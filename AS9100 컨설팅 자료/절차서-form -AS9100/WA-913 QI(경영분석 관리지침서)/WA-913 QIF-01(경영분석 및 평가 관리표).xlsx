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컨설팅\03-승아일렉콤\승아 AS9120 절차서-완료1027\YM-913 QI(경영분석관리 지침서)\"/>
    </mc:Choice>
  </mc:AlternateContent>
  <bookViews>
    <workbookView xWindow="1125" yWindow="45" windowWidth="23880" windowHeight="15555"/>
  </bookViews>
  <sheets>
    <sheet name="자료 분석평가표" sheetId="2" r:id="rId1"/>
    <sheet name="첨부1" sheetId="3" r:id="rId2"/>
    <sheet name="평가점검표" sheetId="4" r:id="rId3"/>
  </sheets>
  <definedNames>
    <definedName name="Check51" localSheetId="2">평가점검표!#REF!</definedName>
    <definedName name="_xlnm.Print_Area" localSheetId="0">'자료 분석평가표'!$A$1:$L$45</definedName>
    <definedName name="_xlnm.Print_Area" localSheetId="1">첨부1!$C$1:$T$48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3" l="1"/>
  <c r="F44" i="3"/>
  <c r="G44" i="3"/>
  <c r="G47" i="3" l="1"/>
  <c r="F47" i="3"/>
  <c r="E47" i="3"/>
  <c r="G46" i="3"/>
  <c r="F46" i="3"/>
  <c r="E46" i="3"/>
  <c r="F48" i="3" l="1"/>
  <c r="G48" i="3"/>
  <c r="E48" i="3"/>
</calcChain>
</file>

<file path=xl/sharedStrings.xml><?xml version="1.0" encoding="utf-8"?>
<sst xmlns="http://schemas.openxmlformats.org/spreadsheetml/2006/main" count="252" uniqueCount="160">
  <si>
    <t>3월</t>
  </si>
  <si>
    <t>5월</t>
  </si>
  <si>
    <t>12월</t>
  </si>
  <si>
    <t>8월</t>
  </si>
  <si>
    <t>2월</t>
  </si>
  <si>
    <t>11월</t>
  </si>
  <si>
    <t>목표</t>
  </si>
  <si>
    <t>9월</t>
  </si>
  <si>
    <t>4월</t>
  </si>
  <si>
    <t>7월</t>
  </si>
  <si>
    <t>6월</t>
  </si>
  <si>
    <t>1월</t>
  </si>
  <si>
    <t>10월</t>
  </si>
  <si>
    <t>데이터
/기록</t>
  </si>
  <si>
    <t>프로세스</t>
  </si>
  <si>
    <t>측정
주기</t>
  </si>
  <si>
    <t>주요성과지표 
및 산출 방법</t>
  </si>
  <si>
    <t>가공:300PPM
구매:30PPM</t>
  </si>
  <si>
    <t>검사수</t>
  </si>
  <si>
    <t>검사수</t>
    <phoneticPr fontId="7" type="noConversion"/>
  </si>
  <si>
    <t>불량수</t>
    <phoneticPr fontId="7" type="noConversion"/>
  </si>
  <si>
    <t>1000PPM</t>
    <phoneticPr fontId="7" type="noConversion"/>
  </si>
  <si>
    <t>분   류</t>
  </si>
  <si>
    <t>합계</t>
    <phoneticPr fontId="13" type="noConversion"/>
  </si>
  <si>
    <t>비고</t>
    <phoneticPr fontId="13" type="noConversion"/>
  </si>
  <si>
    <t xml:space="preserve">불량수 </t>
  </si>
  <si>
    <t>불량률(PPM)</t>
    <phoneticPr fontId="7" type="noConversion"/>
  </si>
  <si>
    <t>불량률(PPM)=
불량수/검사수
X100,0000</t>
    <phoneticPr fontId="7" type="noConversion"/>
  </si>
  <si>
    <t>평가</t>
    <phoneticPr fontId="7" type="noConversion"/>
  </si>
  <si>
    <t>설문지</t>
    <phoneticPr fontId="7" type="noConversion"/>
  </si>
  <si>
    <t>제품 부적합</t>
    <phoneticPr fontId="7" type="noConversion"/>
  </si>
  <si>
    <t>고객불만족</t>
    <phoneticPr fontId="7" type="noConversion"/>
  </si>
  <si>
    <t>에스케이프먼트</t>
    <phoneticPr fontId="7" type="noConversion"/>
  </si>
  <si>
    <t>수입검사 불량률
(불량품 수/입고품 수)*1,000,000</t>
    <phoneticPr fontId="7" type="noConversion"/>
  </si>
  <si>
    <t>3자 심사</t>
    <phoneticPr fontId="7" type="noConversion"/>
  </si>
  <si>
    <t>고객 심사</t>
    <phoneticPr fontId="7" type="noConversion"/>
  </si>
  <si>
    <t>내부 심사</t>
    <phoneticPr fontId="7" type="noConversion"/>
  </si>
  <si>
    <t>리스크 제거 현황</t>
    <phoneticPr fontId="7" type="noConversion"/>
  </si>
  <si>
    <t>기회 달성 현황</t>
    <phoneticPr fontId="7" type="noConversion"/>
  </si>
  <si>
    <t>경영 검토 조치 항목</t>
    <phoneticPr fontId="7" type="noConversion"/>
  </si>
  <si>
    <t>고객 불만족</t>
    <phoneticPr fontId="7" type="noConversion"/>
  </si>
  <si>
    <t>제품 부적합</t>
    <phoneticPr fontId="7" type="noConversion"/>
  </si>
  <si>
    <t>심사 부적합</t>
    <phoneticPr fontId="7" type="noConversion"/>
  </si>
  <si>
    <t xml:space="preserve">리스크 처리 </t>
    <phoneticPr fontId="7" type="noConversion"/>
  </si>
  <si>
    <t>기회 달성</t>
    <phoneticPr fontId="7" type="noConversion"/>
  </si>
  <si>
    <t>QMS 개선 필요성</t>
    <phoneticPr fontId="7" type="noConversion"/>
  </si>
  <si>
    <t>내부검사 불량률
(불량품 수/생산품 수)*1,000,000</t>
    <phoneticPr fontId="7" type="noConversion"/>
  </si>
  <si>
    <t>고객불만족 접수율
(접수건수/납품건수)*1,000,000</t>
    <phoneticPr fontId="7" type="noConversion"/>
  </si>
  <si>
    <t>0ppm</t>
    <phoneticPr fontId="7" type="noConversion"/>
  </si>
  <si>
    <t>0ppm</t>
    <phoneticPr fontId="7" type="noConversion"/>
  </si>
  <si>
    <t>90점</t>
    <phoneticPr fontId="7" type="noConversion"/>
  </si>
  <si>
    <t>심사 부적합 접수율
접수건</t>
    <phoneticPr fontId="7" type="noConversion"/>
  </si>
  <si>
    <t>0건</t>
    <phoneticPr fontId="7" type="noConversion"/>
  </si>
  <si>
    <t>완료건수/시정조치건수*100</t>
    <phoneticPr fontId="7" type="noConversion"/>
  </si>
  <si>
    <t>%</t>
    <phoneticPr fontId="7" type="noConversion"/>
  </si>
  <si>
    <t>완료건수/개선건수*100</t>
    <phoneticPr fontId="7" type="noConversion"/>
  </si>
  <si>
    <t>단위</t>
    <phoneticPr fontId="7" type="noConversion"/>
  </si>
  <si>
    <t>고객불만족 접수율
(접수수량/납품수량)*1,000,000</t>
    <phoneticPr fontId="7" type="noConversion"/>
  </si>
  <si>
    <t>기타 제품 적합율</t>
    <phoneticPr fontId="7" type="noConversion"/>
  </si>
  <si>
    <t>달성건수/ 전체건수*100</t>
    <phoneticPr fontId="7" type="noConversion"/>
  </si>
  <si>
    <t>%</t>
    <phoneticPr fontId="7" type="noConversion"/>
  </si>
  <si>
    <t>구매</t>
    <phoneticPr fontId="7" type="noConversion"/>
  </si>
  <si>
    <t>품질</t>
    <phoneticPr fontId="7" type="noConversion"/>
  </si>
  <si>
    <t>경영</t>
    <phoneticPr fontId="7" type="noConversion"/>
  </si>
  <si>
    <t>경영</t>
    <phoneticPr fontId="7" type="noConversion"/>
  </si>
  <si>
    <t>품질 목표 달성</t>
    <phoneticPr fontId="7" type="noConversion"/>
  </si>
  <si>
    <t>공정 계획 달성</t>
    <phoneticPr fontId="7" type="noConversion"/>
  </si>
  <si>
    <t>달성 계획 수립 건수/ 전체 건수*100</t>
    <phoneticPr fontId="7" type="noConversion"/>
  </si>
  <si>
    <t>제품 적합성</t>
    <phoneticPr fontId="7" type="noConversion"/>
  </si>
  <si>
    <t>선정된 리스크 및 기회 조치의 효과성</t>
    <phoneticPr fontId="7" type="noConversion"/>
  </si>
  <si>
    <t>시정조치 완성도</t>
    <phoneticPr fontId="7" type="noConversion"/>
  </si>
  <si>
    <t>계획의 효과적인 실행</t>
    <phoneticPr fontId="7" type="noConversion"/>
  </si>
  <si>
    <r>
      <rPr>
        <b/>
        <sz val="10"/>
        <color rgb="FF000000"/>
        <rFont val="돋움"/>
        <family val="3"/>
        <charset val="129"/>
      </rPr>
      <t>계획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실현</t>
    </r>
    <phoneticPr fontId="7" type="noConversion"/>
  </si>
  <si>
    <r>
      <rPr>
        <b/>
        <sz val="8"/>
        <color rgb="FF000000"/>
        <rFont val="돋움"/>
        <family val="3"/>
        <charset val="129"/>
      </rPr>
      <t>계획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활동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중간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실현</t>
    </r>
    <phoneticPr fontId="7" type="noConversion"/>
  </si>
  <si>
    <r>
      <rPr>
        <b/>
        <u/>
        <sz val="10"/>
        <color rgb="FF000000"/>
        <rFont val="돋움"/>
        <family val="3"/>
        <charset val="129"/>
      </rPr>
      <t>계획된</t>
    </r>
    <r>
      <rPr>
        <b/>
        <u/>
        <sz val="10"/>
        <color rgb="FF000000"/>
        <rFont val="Arial"/>
        <family val="2"/>
      </rPr>
      <t xml:space="preserve"> </t>
    </r>
    <r>
      <rPr>
        <b/>
        <u/>
        <sz val="10"/>
        <color rgb="FF000000"/>
        <rFont val="돋움"/>
        <family val="3"/>
        <charset val="129"/>
      </rPr>
      <t>결과</t>
    </r>
    <phoneticPr fontId="7" type="noConversion"/>
  </si>
  <si>
    <r>
      <rPr>
        <b/>
        <sz val="8"/>
        <color rgb="FF000000"/>
        <rFont val="돋움"/>
        <family val="3"/>
        <charset val="129"/>
      </rPr>
      <t>계획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결과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달성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실패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적절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조치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수행</t>
    </r>
    <phoneticPr fontId="7" type="noConversion"/>
  </si>
  <si>
    <r>
      <rPr>
        <b/>
        <sz val="8"/>
        <color rgb="FF000000"/>
        <rFont val="돋움"/>
        <family val="3"/>
        <charset val="129"/>
      </rPr>
      <t>계획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결과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달성</t>
    </r>
    <phoneticPr fontId="7" type="noConversion"/>
  </si>
  <si>
    <r>
      <rPr>
        <b/>
        <sz val="8"/>
        <color rgb="FF000000"/>
        <rFont val="돋움"/>
        <family val="3"/>
        <charset val="129"/>
      </rPr>
      <t>계획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활동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최대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실현</t>
    </r>
    <phoneticPr fontId="7" type="noConversion"/>
  </si>
  <si>
    <r>
      <rPr>
        <b/>
        <sz val="8"/>
        <color rgb="FF000000"/>
        <rFont val="돋움"/>
        <family val="3"/>
        <charset val="129"/>
      </rPr>
      <t>계획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활동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실현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없음</t>
    </r>
    <phoneticPr fontId="7" type="noConversion"/>
  </si>
  <si>
    <r>
      <rPr>
        <b/>
        <sz val="8"/>
        <color rgb="FF000000"/>
        <rFont val="돋움"/>
        <family val="3"/>
        <charset val="129"/>
      </rPr>
      <t>계획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결과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달성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실패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적절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조치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실행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없음</t>
    </r>
    <phoneticPr fontId="7" type="noConversion"/>
  </si>
  <si>
    <t>1. 프로세스 있고 및 계획 활동 최대 미 실현 
2. 프로세스 계획 결과 달성 실패 및 후속 조치 없음</t>
    <phoneticPr fontId="7" type="noConversion"/>
  </si>
  <si>
    <t>1. 프로세스 있고 및 계획 활동 최대 실현 
2. 프로세스 계획 결과 달성 실패 및 후속 조치 없음</t>
    <phoneticPr fontId="7" type="noConversion"/>
  </si>
  <si>
    <t>1. 프로세스 있고 및 계획 활동 최대 실현 
2. 프로세스 계획 결과 달성 실패 및 후속 조치 수행</t>
    <phoneticPr fontId="7" type="noConversion"/>
  </si>
  <si>
    <t>1. 프로세스 있고 및 계획 활동 최대 미 실현 
2. 프로세스 계획 결과 달성 실패 및 후속 조치 수행</t>
    <phoneticPr fontId="7" type="noConversion"/>
  </si>
  <si>
    <t xml:space="preserve">1. 프로세스 있고 및 계획 활동 최대 실현 
2. 프로세스 계획 결과 달성 </t>
    <phoneticPr fontId="7" type="noConversion"/>
  </si>
  <si>
    <t xml:space="preserve">1. 프로세스 있고 및 계획 활동 최대 미 실현 
2. 프로세스 계획 결과 달성 </t>
    <phoneticPr fontId="7" type="noConversion"/>
  </si>
  <si>
    <t>1. 프로세스 없고 및 계획 활동 수행 없음 
2. 프로세스 계획 결과 달성 실패 및 후속 조치 수행</t>
    <phoneticPr fontId="7" type="noConversion"/>
  </si>
  <si>
    <t>1. 프로세스 없고 및 계획 활동 수행 없음 
2. 프로세스 계획 결과 달성 실패 및 후속 조치 없음</t>
    <phoneticPr fontId="7" type="noConversion"/>
  </si>
  <si>
    <t>1. 프로세스 없고 및 계획 활동 수행 없음 
2. 프로세스 계획 결과 달성</t>
    <phoneticPr fontId="7" type="noConversion"/>
  </si>
  <si>
    <t>평가 점수</t>
    <phoneticPr fontId="7" type="noConversion"/>
  </si>
  <si>
    <t>평가 점검표</t>
    <phoneticPr fontId="7" type="noConversion"/>
  </si>
  <si>
    <r>
      <rPr>
        <b/>
        <sz val="8"/>
        <color rgb="FF000000"/>
        <rFont val="돋움"/>
        <family val="3"/>
        <charset val="129"/>
      </rPr>
      <t>계획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결과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달성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실패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적절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후속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조치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없음</t>
    </r>
    <phoneticPr fontId="7" type="noConversion"/>
  </si>
  <si>
    <r>
      <rPr>
        <b/>
        <sz val="8"/>
        <color rgb="FF000000"/>
        <rFont val="돋움"/>
        <family val="3"/>
        <charset val="129"/>
      </rPr>
      <t>계획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결과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달성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실패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적절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후속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조치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돋움"/>
        <family val="3"/>
        <charset val="129"/>
      </rPr>
      <t>수행</t>
    </r>
    <phoneticPr fontId="7" type="noConversion"/>
  </si>
  <si>
    <t>QMS 성과 및 효과성 (평가 점검표 참조)</t>
    <phoneticPr fontId="7" type="noConversion"/>
  </si>
  <si>
    <t>대상</t>
    <phoneticPr fontId="7" type="noConversion"/>
  </si>
  <si>
    <t>세부 대상</t>
    <phoneticPr fontId="7" type="noConversion"/>
  </si>
  <si>
    <t>정시 납품성</t>
  </si>
  <si>
    <t>1000ppm</t>
    <phoneticPr fontId="7" type="noConversion"/>
  </si>
  <si>
    <t>실적</t>
    <phoneticPr fontId="7" type="noConversion"/>
  </si>
  <si>
    <t>분석 (현상)</t>
    <phoneticPr fontId="7" type="noConversion"/>
  </si>
  <si>
    <t>계획 달성 건수/ 전체 건수*100</t>
    <phoneticPr fontId="7" type="noConversion"/>
  </si>
  <si>
    <t>계획 변경 필요한가?</t>
    <phoneticPr fontId="7" type="noConversion"/>
  </si>
  <si>
    <t>제품 부적합</t>
    <phoneticPr fontId="7" type="noConversion"/>
  </si>
  <si>
    <t>제품 적합성</t>
    <phoneticPr fontId="7" type="noConversion"/>
  </si>
  <si>
    <t>고객 불만족</t>
    <phoneticPr fontId="7" type="noConversion"/>
  </si>
  <si>
    <t>에스케입먼드</t>
    <phoneticPr fontId="7" type="noConversion"/>
  </si>
  <si>
    <t xml:space="preserve">납품수 </t>
    <phoneticPr fontId="7" type="noConversion"/>
  </si>
  <si>
    <t xml:space="preserve">고객 만족도 </t>
    <phoneticPr fontId="7" type="noConversion"/>
  </si>
  <si>
    <t>고객 만족도</t>
    <phoneticPr fontId="7" type="noConversion"/>
  </si>
  <si>
    <t>설문지</t>
    <phoneticPr fontId="7" type="noConversion"/>
  </si>
  <si>
    <t>고객불만족</t>
  </si>
  <si>
    <t>고객삐드백</t>
  </si>
  <si>
    <t xml:space="preserve">외부 공급자 </t>
    <phoneticPr fontId="7" type="noConversion"/>
  </si>
  <si>
    <t>외부 공급자</t>
    <phoneticPr fontId="7" type="noConversion"/>
  </si>
  <si>
    <t>납기 준수율</t>
    <phoneticPr fontId="7" type="noConversion"/>
  </si>
  <si>
    <t>심사 결과</t>
    <phoneticPr fontId="7" type="noConversion"/>
  </si>
  <si>
    <t>심사 결과</t>
    <phoneticPr fontId="7" type="noConversion"/>
  </si>
  <si>
    <t>기타 제품 적합율</t>
    <phoneticPr fontId="7" type="noConversion"/>
  </si>
  <si>
    <t>고객심사</t>
    <phoneticPr fontId="7" type="noConversion"/>
  </si>
  <si>
    <t>3자심사</t>
    <phoneticPr fontId="7" type="noConversion"/>
  </si>
  <si>
    <t>내부심사</t>
    <phoneticPr fontId="7" type="noConversion"/>
  </si>
  <si>
    <t>고객평가점수합산/ 고객수</t>
    <phoneticPr fontId="7" type="noConversion"/>
  </si>
  <si>
    <t>고객만족도 점수</t>
    <phoneticPr fontId="7" type="noConversion"/>
  </si>
  <si>
    <t>정시납품수량</t>
    <phoneticPr fontId="7" type="noConversion"/>
  </si>
  <si>
    <t>총납품수량</t>
    <phoneticPr fontId="7" type="noConversion"/>
  </si>
  <si>
    <t>고객불만족수량</t>
    <phoneticPr fontId="7" type="noConversion"/>
  </si>
  <si>
    <t>납품 수량</t>
    <phoneticPr fontId="7" type="noConversion"/>
  </si>
  <si>
    <t>접수수량</t>
    <phoneticPr fontId="7" type="noConversion"/>
  </si>
  <si>
    <t>납품수량</t>
    <phoneticPr fontId="7" type="noConversion"/>
  </si>
  <si>
    <t>협력업체 납기준수율
(납기준수수량/총입고수량)*100</t>
    <phoneticPr fontId="7" type="noConversion"/>
  </si>
  <si>
    <t>납기준수수량</t>
    <phoneticPr fontId="7" type="noConversion"/>
  </si>
  <si>
    <t>총납품수량</t>
    <phoneticPr fontId="7" type="noConversion"/>
  </si>
  <si>
    <t>협력업체 불량율
(부적합품수량/입고품수)*1,000,000</t>
    <phoneticPr fontId="7" type="noConversion"/>
  </si>
  <si>
    <t>부적합품수량</t>
    <phoneticPr fontId="7" type="noConversion"/>
  </si>
  <si>
    <t>부적합품수량</t>
    <phoneticPr fontId="7" type="noConversion"/>
  </si>
  <si>
    <t>총입고수량</t>
    <phoneticPr fontId="7" type="noConversion"/>
  </si>
  <si>
    <t>접수건</t>
    <phoneticPr fontId="7" type="noConversion"/>
  </si>
  <si>
    <t>품질 시스템 성과 현황</t>
    <phoneticPr fontId="13" type="noConversion"/>
  </si>
  <si>
    <t>전년 현황</t>
    <phoneticPr fontId="13" type="noConversion"/>
  </si>
  <si>
    <t>달성</t>
    <phoneticPr fontId="7" type="noConversion"/>
  </si>
  <si>
    <t>ppm</t>
    <phoneticPr fontId="7" type="noConversion"/>
  </si>
  <si>
    <t>점</t>
    <phoneticPr fontId="7" type="noConversion"/>
  </si>
  <si>
    <t>%</t>
    <phoneticPr fontId="7" type="noConversion"/>
  </si>
  <si>
    <t>건</t>
    <phoneticPr fontId="7" type="noConversion"/>
  </si>
  <si>
    <t>건</t>
    <phoneticPr fontId="7" type="noConversion"/>
  </si>
  <si>
    <t>품질</t>
    <phoneticPr fontId="7" type="noConversion"/>
  </si>
  <si>
    <t>영업</t>
    <phoneticPr fontId="7" type="noConversion"/>
  </si>
  <si>
    <t>경영</t>
    <phoneticPr fontId="7" type="noConversion"/>
  </si>
  <si>
    <t>협력사 납기준수율</t>
    <phoneticPr fontId="7" type="noConversion"/>
  </si>
  <si>
    <t>협력사 제품 적합성</t>
    <phoneticPr fontId="7" type="noConversion"/>
  </si>
  <si>
    <t>내부심사 전</t>
    <phoneticPr fontId="7" type="noConversion"/>
  </si>
  <si>
    <t>제거 계획 수립 건수/ 전체 건수*100</t>
    <phoneticPr fontId="7" type="noConversion"/>
  </si>
  <si>
    <t>제거 달성 건수/ 전체 건수*100</t>
    <phoneticPr fontId="7" type="noConversion"/>
  </si>
  <si>
    <t>기회 달성 건수/ 전체 건수*100</t>
    <phoneticPr fontId="7" type="noConversion"/>
  </si>
  <si>
    <t>기회 계획 수립 건수/ 전체 건수*100</t>
    <phoneticPr fontId="7" type="noConversion"/>
  </si>
  <si>
    <t>금년 현황</t>
    <phoneticPr fontId="13" type="noConversion"/>
  </si>
  <si>
    <t>품질 목표 달성(절차서 MQH-620 이용)</t>
    <phoneticPr fontId="7" type="noConversion"/>
  </si>
  <si>
    <t>경영 성과 분석 및 평가표(종합)</t>
    <phoneticPr fontId="7" type="noConversion"/>
  </si>
  <si>
    <t>조치 필요</t>
    <phoneticPr fontId="7" type="noConversion"/>
  </si>
  <si>
    <t xml:space="preserve">조치 현항 및 비고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</si>
</sst>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.0%"/>
    <numFmt numFmtId="177" formatCode="#,##0_ "/>
    <numFmt numFmtId="178" formatCode="0_);[Red]\(0\)"/>
  </numFmts>
  <fonts count="30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25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color theme="1"/>
      <name val="산돌고딕 M"/>
      <family val="1"/>
      <charset val="129"/>
    </font>
    <font>
      <sz val="14"/>
      <color rgb="FFFFFFFF"/>
      <name val="맑은 고딕"/>
      <family val="3"/>
      <charset val="129"/>
      <scheme val="minor"/>
    </font>
    <font>
      <sz val="14"/>
      <color rgb="FF404040"/>
      <name val="맑은 고딕"/>
      <family val="3"/>
      <charset val="129"/>
      <scheme val="minor"/>
    </font>
    <font>
      <sz val="14"/>
      <color theme="1" tint="0.14999847407452621"/>
      <name val="맑은 고딕"/>
      <family val="3"/>
      <charset val="129"/>
      <scheme val="minor"/>
    </font>
    <font>
      <b/>
      <sz val="14"/>
      <color theme="1" tint="0.1499984740745262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 tint="0.14999847407452621"/>
      <name val="맑은 고딕"/>
      <family val="3"/>
      <charset val="129"/>
      <scheme val="minor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b/>
      <sz val="8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6" fillId="0" borderId="0"/>
    <xf numFmtId="0" fontId="1" fillId="0" borderId="0">
      <alignment vertical="center"/>
    </xf>
    <xf numFmtId="41" fontId="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0" fontId="4" fillId="2" borderId="2" xfId="0" applyFont="1" applyFill="1" applyBorder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0" xfId="5" applyFont="1">
      <alignment vertical="center"/>
    </xf>
    <xf numFmtId="0" fontId="14" fillId="0" borderId="0" xfId="5" applyFont="1">
      <alignment vertical="center"/>
    </xf>
    <xf numFmtId="0" fontId="17" fillId="0" borderId="2" xfId="5" applyFont="1" applyBorder="1" applyAlignment="1">
      <alignment horizontal="center" vertical="center" wrapText="1" readingOrder="1"/>
    </xf>
    <xf numFmtId="0" fontId="17" fillId="0" borderId="2" xfId="5" applyFont="1" applyBorder="1" applyAlignment="1">
      <alignment horizontal="justify" vertical="center" wrapText="1" readingOrder="1"/>
    </xf>
    <xf numFmtId="0" fontId="20" fillId="0" borderId="2" xfId="5" applyFont="1" applyBorder="1">
      <alignment vertical="center"/>
    </xf>
    <xf numFmtId="0" fontId="10" fillId="0" borderId="2" xfId="5" applyFont="1" applyBorder="1">
      <alignment vertical="center"/>
    </xf>
    <xf numFmtId="0" fontId="21" fillId="0" borderId="2" xfId="5" applyFont="1" applyBorder="1" applyAlignment="1">
      <alignment horizontal="center" vertical="center"/>
    </xf>
    <xf numFmtId="0" fontId="16" fillId="4" borderId="4" xfId="5" applyFont="1" applyFill="1" applyBorder="1" applyAlignment="1">
      <alignment horizontal="center" vertical="center" wrapText="1" readingOrder="1"/>
    </xf>
    <xf numFmtId="0" fontId="16" fillId="4" borderId="5" xfId="5" applyFont="1" applyFill="1" applyBorder="1" applyAlignment="1">
      <alignment horizontal="center" vertical="center" wrapText="1" readingOrder="1"/>
    </xf>
    <xf numFmtId="0" fontId="10" fillId="0" borderId="9" xfId="5" applyFont="1" applyBorder="1">
      <alignment vertical="center"/>
    </xf>
    <xf numFmtId="0" fontId="20" fillId="0" borderId="11" xfId="5" applyFont="1" applyBorder="1">
      <alignment vertical="center"/>
    </xf>
    <xf numFmtId="0" fontId="21" fillId="0" borderId="11" xfId="5" applyFont="1" applyBorder="1" applyAlignment="1">
      <alignment horizontal="center" vertical="center"/>
    </xf>
    <xf numFmtId="1" fontId="21" fillId="0" borderId="11" xfId="5" applyNumberFormat="1" applyFont="1" applyBorder="1" applyAlignment="1">
      <alignment horizontal="center" vertical="center"/>
    </xf>
    <xf numFmtId="0" fontId="10" fillId="0" borderId="11" xfId="5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3" xfId="0" applyFont="1" applyFill="1" applyBorder="1" applyAlignment="1">
      <alignment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17" fillId="0" borderId="6" xfId="5" applyFont="1" applyBorder="1" applyAlignment="1">
      <alignment horizontal="center" vertical="center" wrapText="1" readingOrder="1"/>
    </xf>
    <xf numFmtId="0" fontId="0" fillId="0" borderId="21" xfId="0" applyBorder="1" applyAlignment="1">
      <alignment horizontal="center" vertical="center" wrapText="1" readingOrder="1"/>
    </xf>
    <xf numFmtId="178" fontId="18" fillId="0" borderId="2" xfId="5" applyNumberFormat="1" applyFont="1" applyBorder="1" applyAlignment="1">
      <alignment horizontal="center" vertical="center" wrapText="1" readingOrder="1"/>
    </xf>
    <xf numFmtId="0" fontId="10" fillId="0" borderId="0" xfId="5" applyFont="1" applyAlignment="1">
      <alignment horizontal="center" vertical="center"/>
    </xf>
    <xf numFmtId="1" fontId="21" fillId="0" borderId="11" xfId="6" applyNumberFormat="1" applyFont="1" applyBorder="1" applyAlignment="1">
      <alignment horizontal="center" vertical="center"/>
    </xf>
    <xf numFmtId="41" fontId="9" fillId="0" borderId="2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 wrapText="1"/>
    </xf>
    <xf numFmtId="0" fontId="17" fillId="0" borderId="2" xfId="5" applyFont="1" applyFill="1" applyBorder="1" applyAlignment="1">
      <alignment horizontal="justify" vertical="center" wrapText="1" readingOrder="1"/>
    </xf>
    <xf numFmtId="177" fontId="17" fillId="0" borderId="2" xfId="5" applyNumberFormat="1" applyFont="1" applyFill="1" applyBorder="1" applyAlignment="1">
      <alignment horizontal="center" vertical="center" wrapText="1" readingOrder="1"/>
    </xf>
    <xf numFmtId="0" fontId="17" fillId="0" borderId="2" xfId="5" applyFont="1" applyFill="1" applyBorder="1" applyAlignment="1">
      <alignment horizontal="center" vertical="center" wrapText="1" readingOrder="1"/>
    </xf>
    <xf numFmtId="178" fontId="18" fillId="0" borderId="2" xfId="6" applyNumberFormat="1" applyFont="1" applyFill="1" applyBorder="1" applyAlignment="1">
      <alignment horizontal="center" vertical="center" wrapText="1" readingOrder="1"/>
    </xf>
    <xf numFmtId="177" fontId="18" fillId="0" borderId="2" xfId="5" applyNumberFormat="1" applyFont="1" applyFill="1" applyBorder="1" applyAlignment="1">
      <alignment horizontal="center" vertical="center" wrapText="1" readingOrder="1"/>
    </xf>
    <xf numFmtId="3" fontId="17" fillId="0" borderId="2" xfId="5" applyNumberFormat="1" applyFont="1" applyFill="1" applyBorder="1" applyAlignment="1">
      <alignment horizontal="center" vertical="center" wrapText="1" readingOrder="1"/>
    </xf>
    <xf numFmtId="0" fontId="0" fillId="0" borderId="2" xfId="0" applyBorder="1">
      <alignment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 wrapText="1"/>
    </xf>
    <xf numFmtId="0" fontId="19" fillId="0" borderId="10" xfId="5" applyFont="1" applyBorder="1" applyAlignment="1">
      <alignment horizontal="center" vertical="center" wrapText="1"/>
    </xf>
    <xf numFmtId="0" fontId="17" fillId="0" borderId="6" xfId="5" applyFont="1" applyBorder="1" applyAlignment="1">
      <alignment horizontal="center" vertical="center" wrapText="1" readingOrder="1"/>
    </xf>
    <xf numFmtId="0" fontId="17" fillId="0" borderId="18" xfId="5" applyFont="1" applyBorder="1" applyAlignment="1">
      <alignment horizontal="center" vertical="center" wrapText="1" readingOrder="1"/>
    </xf>
    <xf numFmtId="0" fontId="17" fillId="0" borderId="19" xfId="5" applyFont="1" applyBorder="1" applyAlignment="1">
      <alignment horizontal="center" vertical="center" wrapText="1" readingOrder="1"/>
    </xf>
    <xf numFmtId="0" fontId="0" fillId="0" borderId="19" xfId="0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 readingOrder="1"/>
    </xf>
    <xf numFmtId="0" fontId="22" fillId="0" borderId="7" xfId="5" applyFont="1" applyBorder="1" applyAlignment="1">
      <alignment horizontal="center" vertical="center" wrapText="1" readingOrder="1"/>
    </xf>
    <xf numFmtId="0" fontId="22" fillId="0" borderId="8" xfId="5" applyFont="1" applyBorder="1" applyAlignment="1">
      <alignment horizontal="center" vertical="center" wrapText="1" readingOrder="1"/>
    </xf>
    <xf numFmtId="0" fontId="22" fillId="0" borderId="12" xfId="5" applyFont="1" applyBorder="1" applyAlignment="1">
      <alignment horizontal="center" vertical="center" wrapText="1" readingOrder="1"/>
    </xf>
    <xf numFmtId="0" fontId="12" fillId="0" borderId="0" xfId="5" applyFont="1" applyAlignment="1">
      <alignment horizontal="center" vertical="center"/>
    </xf>
    <xf numFmtId="0" fontId="15" fillId="3" borderId="3" xfId="5" applyFont="1" applyFill="1" applyBorder="1" applyAlignment="1">
      <alignment horizontal="center" vertical="center" wrapText="1" readingOrder="1"/>
    </xf>
    <xf numFmtId="0" fontId="15" fillId="3" borderId="4" xfId="5" applyFont="1" applyFill="1" applyBorder="1" applyAlignment="1">
      <alignment horizontal="center" vertical="center" wrapText="1" readingOrder="1"/>
    </xf>
    <xf numFmtId="0" fontId="23" fillId="0" borderId="0" xfId="0" applyFont="1" applyFill="1" applyAlignment="1">
      <alignment vertical="center" wrapText="1"/>
    </xf>
    <xf numFmtId="0" fontId="23" fillId="0" borderId="15" xfId="0" applyFont="1" applyFill="1" applyBorder="1" applyAlignment="1">
      <alignment vertical="center" wrapText="1"/>
    </xf>
    <xf numFmtId="0" fontId="25" fillId="0" borderId="16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14" xfId="0" applyFont="1" applyFill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 textRotation="90" wrapText="1"/>
    </xf>
  </cellXfs>
  <cellStyles count="7">
    <cellStyle name="쉼표 [0]" xfId="4" builtinId="6"/>
    <cellStyle name="쉼표 [0] 2" xfId="6"/>
    <cellStyle name="쉼표 [0] 3" xfId="3"/>
    <cellStyle name="표준" xfId="0" builtinId="0"/>
    <cellStyle name="표준 2" xfId="1"/>
    <cellStyle name="표준 3" xfId="2"/>
    <cellStyle name="표준 4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619125</xdr:colOff>
      <xdr:row>0</xdr:row>
      <xdr:rowOff>114300</xdr:rowOff>
    </xdr:from>
    <xdr:to>
      <xdr:col>12</xdr:col>
      <xdr:colOff>647700</xdr:colOff>
      <xdr:row>2</xdr:row>
      <xdr:rowOff>352424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1074C77-3E63-4839-84A7-9BF054FD2F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8726150" y="114300"/>
          <a:ext cx="3162300" cy="9620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45"/>
  <sheetViews>
    <sheetView tabSelected="1" zoomScaleNormal="100" zoomScaleSheetLayoutView="115" workbookViewId="0">
      <selection activeCell="C7" sqref="C7"/>
    </sheetView>
  </sheetViews>
  <sheetFormatPr defaultColWidth="8.88671875" defaultRowHeight="13.5"/>
  <cols>
    <col min="1" max="1" width="7.44140625" customWidth="1"/>
    <col min="2" max="2" width="17.33203125" customWidth="1"/>
    <col min="3" max="3" width="16.77734375" customWidth="1"/>
    <col min="4" max="4" width="19.5546875" customWidth="1"/>
    <col min="5" max="5" width="16.88671875" customWidth="1"/>
    <col min="6" max="6" width="7.109375" customWidth="1"/>
    <col min="7" max="7" width="10.77734375" customWidth="1"/>
    <col min="8" max="8" width="10.21875" customWidth="1"/>
    <col min="9" max="9" width="11.6640625" customWidth="1"/>
    <col min="10" max="10" width="11.33203125" style="21" customWidth="1"/>
    <col min="11" max="11" width="39" customWidth="1"/>
    <col min="12" max="12" width="36.5546875" customWidth="1"/>
    <col min="13" max="13" width="10.5546875" customWidth="1"/>
    <col min="14" max="14" width="24.77734375" customWidth="1"/>
    <col min="15" max="15" width="9" bestFit="1" customWidth="1"/>
    <col min="17" max="17" width="9" bestFit="1" customWidth="1"/>
    <col min="19" max="19" width="9" bestFit="1" customWidth="1"/>
    <col min="21" max="21" width="9" bestFit="1" customWidth="1"/>
    <col min="23" max="23" width="9" bestFit="1" customWidth="1"/>
  </cols>
  <sheetData>
    <row r="1" spans="1:14" ht="28.5" customHeight="1">
      <c r="A1" s="46" t="s">
        <v>157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4" ht="28.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4" ht="28.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4" ht="13.5" customHeight="1">
      <c r="A5" s="44" t="s">
        <v>14</v>
      </c>
      <c r="B5" s="44" t="s">
        <v>94</v>
      </c>
      <c r="C5" s="44" t="s">
        <v>95</v>
      </c>
      <c r="D5" s="43" t="s">
        <v>16</v>
      </c>
      <c r="E5" s="44" t="s">
        <v>6</v>
      </c>
      <c r="F5" s="44" t="s">
        <v>56</v>
      </c>
      <c r="G5" s="43" t="s">
        <v>98</v>
      </c>
      <c r="H5" s="43" t="s">
        <v>15</v>
      </c>
      <c r="I5" s="43" t="s">
        <v>13</v>
      </c>
      <c r="J5" s="44" t="s">
        <v>139</v>
      </c>
      <c r="K5" s="44" t="s">
        <v>99</v>
      </c>
      <c r="L5" s="44" t="s">
        <v>28</v>
      </c>
      <c r="M5" s="41" t="s">
        <v>158</v>
      </c>
      <c r="N5" s="41" t="s">
        <v>159</v>
      </c>
    </row>
    <row r="6" spans="1:14">
      <c r="A6" s="44"/>
      <c r="B6" s="44"/>
      <c r="C6" s="44"/>
      <c r="D6" s="44"/>
      <c r="E6" s="44"/>
      <c r="F6" s="42"/>
      <c r="G6" s="44"/>
      <c r="H6" s="44"/>
      <c r="I6" s="44"/>
      <c r="J6" s="42"/>
      <c r="K6" s="42"/>
      <c r="L6" s="42"/>
      <c r="M6" s="42"/>
      <c r="N6" s="42"/>
    </row>
    <row r="7" spans="1:14" ht="39.75" customHeight="1">
      <c r="A7" s="43" t="s">
        <v>145</v>
      </c>
      <c r="B7" s="43" t="s">
        <v>68</v>
      </c>
      <c r="C7" s="19" t="s">
        <v>30</v>
      </c>
      <c r="D7" s="1" t="s">
        <v>46</v>
      </c>
      <c r="E7" s="2" t="s">
        <v>21</v>
      </c>
      <c r="F7" s="2" t="s">
        <v>140</v>
      </c>
      <c r="G7" s="19"/>
      <c r="H7" s="1" t="s">
        <v>150</v>
      </c>
      <c r="I7" s="1"/>
      <c r="J7" s="31"/>
      <c r="K7" s="4"/>
      <c r="L7" s="4"/>
      <c r="M7" s="40"/>
      <c r="N7" s="40"/>
    </row>
    <row r="8" spans="1:14" ht="33" customHeight="1">
      <c r="A8" s="43"/>
      <c r="B8" s="43"/>
      <c r="C8" s="19" t="s">
        <v>31</v>
      </c>
      <c r="D8" s="1" t="s">
        <v>57</v>
      </c>
      <c r="E8" s="19" t="s">
        <v>48</v>
      </c>
      <c r="F8" s="2" t="s">
        <v>140</v>
      </c>
      <c r="G8" s="19"/>
      <c r="H8" s="1" t="s">
        <v>150</v>
      </c>
      <c r="I8" s="1"/>
      <c r="J8" s="32"/>
      <c r="K8" s="32"/>
      <c r="L8" s="32"/>
      <c r="M8" s="40"/>
      <c r="N8" s="40"/>
    </row>
    <row r="9" spans="1:14" ht="36" customHeight="1">
      <c r="A9" s="43"/>
      <c r="B9" s="43"/>
      <c r="C9" s="19" t="s">
        <v>32</v>
      </c>
      <c r="D9" s="1" t="s">
        <v>47</v>
      </c>
      <c r="E9" s="19" t="s">
        <v>49</v>
      </c>
      <c r="F9" s="2" t="s">
        <v>140</v>
      </c>
      <c r="G9" s="19"/>
      <c r="H9" s="1" t="s">
        <v>150</v>
      </c>
      <c r="I9" s="1"/>
      <c r="J9" s="32"/>
      <c r="K9" s="32"/>
      <c r="L9" s="32"/>
      <c r="M9" s="40"/>
      <c r="N9" s="40"/>
    </row>
    <row r="10" spans="1:14" ht="24" customHeight="1">
      <c r="A10" s="43"/>
      <c r="B10" s="43"/>
      <c r="C10" s="19"/>
      <c r="D10" s="19"/>
      <c r="E10" s="19"/>
      <c r="F10" s="19"/>
      <c r="G10" s="19"/>
      <c r="H10" s="19"/>
      <c r="I10" s="19"/>
      <c r="J10" s="32"/>
      <c r="K10" s="32"/>
      <c r="L10" s="32"/>
      <c r="M10" s="40"/>
      <c r="N10" s="40"/>
    </row>
    <row r="11" spans="1:14" ht="25.5" customHeight="1">
      <c r="A11" s="43" t="s">
        <v>146</v>
      </c>
      <c r="B11" s="43" t="s">
        <v>108</v>
      </c>
      <c r="C11" s="19" t="s">
        <v>29</v>
      </c>
      <c r="D11" s="1" t="s">
        <v>121</v>
      </c>
      <c r="E11" s="19" t="s">
        <v>50</v>
      </c>
      <c r="F11" s="19" t="s">
        <v>141</v>
      </c>
      <c r="G11" s="19"/>
      <c r="H11" s="1" t="s">
        <v>150</v>
      </c>
      <c r="I11" s="19"/>
      <c r="J11" s="32"/>
      <c r="K11" s="32"/>
      <c r="L11" s="32"/>
      <c r="M11" s="40"/>
      <c r="N11" s="40"/>
    </row>
    <row r="12" spans="1:14" ht="25.5" customHeight="1">
      <c r="A12" s="43"/>
      <c r="B12" s="43"/>
      <c r="C12" s="19"/>
      <c r="D12" s="1"/>
      <c r="E12" s="19"/>
      <c r="F12" s="19"/>
      <c r="G12" s="19"/>
      <c r="H12" s="1"/>
      <c r="I12" s="19"/>
      <c r="J12" s="32"/>
      <c r="K12" s="32"/>
      <c r="L12" s="32"/>
      <c r="M12" s="40"/>
      <c r="N12" s="40"/>
    </row>
    <row r="13" spans="1:14" ht="25.5" customHeight="1">
      <c r="A13" s="43"/>
      <c r="B13" s="43"/>
      <c r="C13" s="19"/>
      <c r="D13" s="1"/>
      <c r="E13" s="19"/>
      <c r="F13" s="19"/>
      <c r="G13" s="19"/>
      <c r="H13" s="1"/>
      <c r="I13" s="19"/>
      <c r="J13" s="32"/>
      <c r="K13" s="32"/>
      <c r="L13" s="32"/>
      <c r="M13" s="40"/>
      <c r="N13" s="40"/>
    </row>
    <row r="14" spans="1:14" ht="25.5" customHeight="1">
      <c r="A14" s="43"/>
      <c r="B14" s="43"/>
      <c r="C14" s="32"/>
      <c r="D14" s="19"/>
      <c r="E14" s="19"/>
      <c r="F14" s="19"/>
      <c r="G14" s="19"/>
      <c r="H14" s="19"/>
      <c r="I14" s="19"/>
      <c r="J14" s="32"/>
      <c r="K14" s="32"/>
      <c r="L14" s="32"/>
      <c r="M14" s="40"/>
      <c r="N14" s="40"/>
    </row>
    <row r="15" spans="1:14" ht="34.5" customHeight="1">
      <c r="A15" s="43" t="s">
        <v>61</v>
      </c>
      <c r="B15" s="43" t="s">
        <v>112</v>
      </c>
      <c r="C15" s="1" t="s">
        <v>148</v>
      </c>
      <c r="D15" s="1" t="s">
        <v>129</v>
      </c>
      <c r="E15" s="2">
        <v>0.99</v>
      </c>
      <c r="F15" s="2" t="s">
        <v>142</v>
      </c>
      <c r="G15" s="19"/>
      <c r="H15" s="1" t="s">
        <v>150</v>
      </c>
      <c r="I15" s="19"/>
      <c r="J15" s="20"/>
      <c r="K15" s="3"/>
      <c r="L15" s="3"/>
      <c r="M15" s="40"/>
      <c r="N15" s="40"/>
    </row>
    <row r="16" spans="1:14" ht="34.5" customHeight="1">
      <c r="A16" s="43"/>
      <c r="B16" s="45"/>
      <c r="C16" s="1" t="s">
        <v>149</v>
      </c>
      <c r="D16" s="1" t="s">
        <v>132</v>
      </c>
      <c r="E16" s="2" t="s">
        <v>97</v>
      </c>
      <c r="F16" s="2" t="s">
        <v>140</v>
      </c>
      <c r="G16" s="19"/>
      <c r="H16" s="1" t="s">
        <v>150</v>
      </c>
      <c r="I16" s="19"/>
      <c r="J16" s="20"/>
      <c r="K16" s="4"/>
      <c r="L16" s="4"/>
      <c r="M16" s="40"/>
      <c r="N16" s="40"/>
    </row>
    <row r="17" spans="1:14" ht="34.5" customHeight="1">
      <c r="A17" s="43"/>
      <c r="B17" s="45"/>
      <c r="C17" s="1" t="s">
        <v>58</v>
      </c>
      <c r="D17" s="1" t="s">
        <v>33</v>
      </c>
      <c r="E17" s="2" t="s">
        <v>17</v>
      </c>
      <c r="F17" s="2" t="s">
        <v>140</v>
      </c>
      <c r="G17" s="19"/>
      <c r="H17" s="1" t="s">
        <v>150</v>
      </c>
      <c r="I17" s="19"/>
      <c r="J17" s="33"/>
      <c r="K17" s="4"/>
      <c r="L17" s="4"/>
      <c r="M17" s="40"/>
      <c r="N17" s="40"/>
    </row>
    <row r="18" spans="1:14" ht="34.5" customHeight="1">
      <c r="A18" s="43"/>
      <c r="B18" s="45"/>
      <c r="C18" s="1"/>
      <c r="D18" s="1"/>
      <c r="E18" s="2"/>
      <c r="F18" s="2"/>
      <c r="G18" s="19"/>
      <c r="H18" s="19"/>
      <c r="I18" s="19"/>
      <c r="J18" s="33"/>
      <c r="K18" s="4"/>
      <c r="L18" s="4"/>
      <c r="M18" s="40"/>
      <c r="N18" s="40"/>
    </row>
    <row r="19" spans="1:14" ht="25.5" customHeight="1">
      <c r="A19" s="43" t="s">
        <v>62</v>
      </c>
      <c r="B19" s="43" t="s">
        <v>115</v>
      </c>
      <c r="C19" s="1" t="s">
        <v>35</v>
      </c>
      <c r="D19" s="1" t="s">
        <v>51</v>
      </c>
      <c r="E19" s="2" t="s">
        <v>52</v>
      </c>
      <c r="F19" s="2" t="s">
        <v>143</v>
      </c>
      <c r="G19" s="19"/>
      <c r="H19" s="1" t="s">
        <v>150</v>
      </c>
      <c r="I19" s="19"/>
      <c r="J19" s="33"/>
      <c r="K19" s="4"/>
      <c r="L19" s="4"/>
      <c r="M19" s="40"/>
      <c r="N19" s="40"/>
    </row>
    <row r="20" spans="1:14" ht="25.5" customHeight="1">
      <c r="A20" s="45"/>
      <c r="B20" s="45"/>
      <c r="C20" s="1" t="s">
        <v>34</v>
      </c>
      <c r="D20" s="1" t="s">
        <v>51</v>
      </c>
      <c r="E20" s="2" t="s">
        <v>52</v>
      </c>
      <c r="F20" s="2" t="s">
        <v>143</v>
      </c>
      <c r="G20" s="19"/>
      <c r="H20" s="1" t="s">
        <v>150</v>
      </c>
      <c r="I20" s="19"/>
      <c r="J20" s="33"/>
      <c r="K20" s="4"/>
      <c r="L20" s="4"/>
      <c r="M20" s="40"/>
      <c r="N20" s="40"/>
    </row>
    <row r="21" spans="1:14" ht="25.5" customHeight="1">
      <c r="A21" s="45"/>
      <c r="B21" s="45"/>
      <c r="C21" s="1" t="s">
        <v>36</v>
      </c>
      <c r="D21" s="1" t="s">
        <v>51</v>
      </c>
      <c r="E21" s="2" t="s">
        <v>52</v>
      </c>
      <c r="F21" s="2" t="s">
        <v>143</v>
      </c>
      <c r="G21" s="19"/>
      <c r="H21" s="1" t="s">
        <v>150</v>
      </c>
      <c r="I21" s="19"/>
      <c r="J21" s="33"/>
      <c r="K21" s="4"/>
      <c r="L21" s="4"/>
      <c r="M21" s="40"/>
      <c r="N21" s="40"/>
    </row>
    <row r="22" spans="1:14" ht="25.5" customHeight="1">
      <c r="A22" s="45"/>
      <c r="B22" s="45"/>
      <c r="C22" s="32"/>
      <c r="D22" s="1"/>
      <c r="E22" s="2"/>
      <c r="F22" s="2"/>
      <c r="G22" s="19"/>
      <c r="H22" s="19"/>
      <c r="I22" s="19"/>
      <c r="J22" s="33"/>
      <c r="K22" s="4"/>
      <c r="L22" s="4"/>
      <c r="M22" s="40"/>
      <c r="N22" s="40"/>
    </row>
    <row r="23" spans="1:14" ht="25.5" customHeight="1">
      <c r="A23" s="43" t="s">
        <v>63</v>
      </c>
      <c r="B23" s="43" t="s">
        <v>69</v>
      </c>
      <c r="C23" s="1" t="s">
        <v>37</v>
      </c>
      <c r="D23" s="1" t="s">
        <v>59</v>
      </c>
      <c r="E23" s="2">
        <v>1</v>
      </c>
      <c r="F23" s="2" t="s">
        <v>60</v>
      </c>
      <c r="G23" s="19"/>
      <c r="H23" s="1" t="s">
        <v>150</v>
      </c>
      <c r="I23" s="19"/>
      <c r="J23" s="33"/>
      <c r="K23" s="4"/>
      <c r="L23" s="4"/>
      <c r="M23" s="40"/>
      <c r="N23" s="40"/>
    </row>
    <row r="24" spans="1:14" ht="25.5" customHeight="1">
      <c r="A24" s="45"/>
      <c r="B24" s="45"/>
      <c r="C24" s="1" t="s">
        <v>38</v>
      </c>
      <c r="D24" s="1" t="s">
        <v>59</v>
      </c>
      <c r="E24" s="2">
        <v>1</v>
      </c>
      <c r="F24" s="2" t="s">
        <v>60</v>
      </c>
      <c r="G24" s="19"/>
      <c r="H24" s="1" t="s">
        <v>150</v>
      </c>
      <c r="I24" s="19"/>
      <c r="J24" s="33"/>
      <c r="K24" s="4"/>
      <c r="L24" s="4"/>
      <c r="M24" s="40"/>
      <c r="N24" s="40"/>
    </row>
    <row r="25" spans="1:14" ht="25.5" customHeight="1">
      <c r="A25" s="45"/>
      <c r="B25" s="45"/>
      <c r="C25" s="32"/>
      <c r="D25" s="1"/>
      <c r="E25" s="2"/>
      <c r="F25" s="2"/>
      <c r="G25" s="19"/>
      <c r="H25" s="19"/>
      <c r="I25" s="19"/>
      <c r="J25" s="33"/>
      <c r="K25" s="4"/>
      <c r="L25" s="4"/>
      <c r="M25" s="40"/>
      <c r="N25" s="40"/>
    </row>
    <row r="26" spans="1:14" ht="25.5" customHeight="1">
      <c r="A26" s="43" t="s">
        <v>62</v>
      </c>
      <c r="B26" s="43" t="s">
        <v>70</v>
      </c>
      <c r="C26" s="1" t="s">
        <v>39</v>
      </c>
      <c r="D26" s="1" t="s">
        <v>55</v>
      </c>
      <c r="E26" s="2">
        <v>1</v>
      </c>
      <c r="F26" s="19" t="s">
        <v>54</v>
      </c>
      <c r="G26" s="19"/>
      <c r="H26" s="1" t="s">
        <v>150</v>
      </c>
      <c r="I26" s="19"/>
      <c r="J26" s="33"/>
      <c r="K26" s="4"/>
      <c r="L26" s="4"/>
      <c r="M26" s="40"/>
      <c r="N26" s="40"/>
    </row>
    <row r="27" spans="1:14" ht="25.5" customHeight="1">
      <c r="A27" s="45"/>
      <c r="B27" s="43"/>
      <c r="C27" s="1" t="s">
        <v>40</v>
      </c>
      <c r="D27" s="1" t="s">
        <v>53</v>
      </c>
      <c r="E27" s="2">
        <v>1</v>
      </c>
      <c r="F27" s="19" t="s">
        <v>54</v>
      </c>
      <c r="G27" s="19"/>
      <c r="H27" s="1" t="s">
        <v>150</v>
      </c>
      <c r="I27" s="19"/>
      <c r="J27" s="33"/>
      <c r="K27" s="4"/>
      <c r="L27" s="4"/>
      <c r="M27" s="40"/>
      <c r="N27" s="40"/>
    </row>
    <row r="28" spans="1:14" ht="25.5" customHeight="1">
      <c r="A28" s="45"/>
      <c r="B28" s="43"/>
      <c r="C28" s="1" t="s">
        <v>41</v>
      </c>
      <c r="D28" s="1" t="s">
        <v>53</v>
      </c>
      <c r="E28" s="2">
        <v>1</v>
      </c>
      <c r="F28" s="19" t="s">
        <v>54</v>
      </c>
      <c r="G28" s="19"/>
      <c r="H28" s="1" t="s">
        <v>150</v>
      </c>
      <c r="I28" s="19"/>
      <c r="J28" s="33"/>
      <c r="K28" s="4"/>
      <c r="L28" s="4"/>
      <c r="M28" s="40"/>
      <c r="N28" s="40"/>
    </row>
    <row r="29" spans="1:14" ht="25.5" customHeight="1">
      <c r="A29" s="45"/>
      <c r="B29" s="43"/>
      <c r="C29" s="1" t="s">
        <v>42</v>
      </c>
      <c r="D29" s="1" t="s">
        <v>53</v>
      </c>
      <c r="E29" s="2">
        <v>1</v>
      </c>
      <c r="F29" s="19" t="s">
        <v>54</v>
      </c>
      <c r="G29" s="19"/>
      <c r="H29" s="1" t="s">
        <v>150</v>
      </c>
      <c r="I29" s="19"/>
      <c r="J29" s="33"/>
      <c r="K29" s="4"/>
      <c r="L29" s="4"/>
      <c r="M29" s="40"/>
      <c r="N29" s="40"/>
    </row>
    <row r="30" spans="1:14" ht="25.5" customHeight="1">
      <c r="A30" s="45"/>
      <c r="B30" s="45"/>
      <c r="C30" s="32"/>
      <c r="D30" s="1"/>
      <c r="E30" s="2"/>
      <c r="F30" s="2"/>
      <c r="G30" s="19"/>
      <c r="H30" s="19"/>
      <c r="I30" s="19"/>
      <c r="J30" s="33"/>
      <c r="K30" s="4"/>
      <c r="L30" s="4"/>
      <c r="M30" s="40"/>
      <c r="N30" s="40"/>
    </row>
    <row r="31" spans="1:14" ht="25.5" customHeight="1">
      <c r="A31" s="43" t="s">
        <v>64</v>
      </c>
      <c r="B31" s="43" t="s">
        <v>71</v>
      </c>
      <c r="C31" s="1" t="s">
        <v>43</v>
      </c>
      <c r="D31" s="1" t="s">
        <v>151</v>
      </c>
      <c r="E31" s="2">
        <v>1</v>
      </c>
      <c r="F31" s="19" t="s">
        <v>54</v>
      </c>
      <c r="G31" s="19"/>
      <c r="H31" s="1" t="s">
        <v>150</v>
      </c>
      <c r="I31" s="19"/>
      <c r="J31" s="33"/>
      <c r="K31" s="4"/>
      <c r="L31" s="4"/>
      <c r="M31" s="40"/>
      <c r="N31" s="40"/>
    </row>
    <row r="32" spans="1:14" ht="25.5" customHeight="1">
      <c r="A32" s="45"/>
      <c r="B32" s="43"/>
      <c r="C32" s="1" t="s">
        <v>44</v>
      </c>
      <c r="D32" s="1" t="s">
        <v>154</v>
      </c>
      <c r="E32" s="2">
        <v>1</v>
      </c>
      <c r="F32" s="19" t="s">
        <v>54</v>
      </c>
      <c r="G32" s="19"/>
      <c r="H32" s="1" t="s">
        <v>150</v>
      </c>
      <c r="I32" s="19"/>
      <c r="J32" s="33"/>
      <c r="K32" s="4"/>
      <c r="L32" s="4"/>
      <c r="M32" s="40"/>
      <c r="N32" s="40"/>
    </row>
    <row r="33" spans="1:14" ht="25.5" customHeight="1">
      <c r="A33" s="45"/>
      <c r="B33" s="43"/>
      <c r="C33" s="1" t="s">
        <v>156</v>
      </c>
      <c r="D33" s="1" t="s">
        <v>67</v>
      </c>
      <c r="E33" s="2">
        <v>1</v>
      </c>
      <c r="F33" s="19" t="s">
        <v>54</v>
      </c>
      <c r="G33" s="19"/>
      <c r="H33" s="1" t="s">
        <v>150</v>
      </c>
      <c r="I33" s="19"/>
      <c r="J33" s="33"/>
      <c r="K33" s="4"/>
      <c r="L33" s="4"/>
      <c r="M33" s="40"/>
      <c r="N33" s="40"/>
    </row>
    <row r="34" spans="1:14" ht="25.5" customHeight="1">
      <c r="A34" s="45"/>
      <c r="B34" s="43"/>
      <c r="C34" s="1" t="s">
        <v>66</v>
      </c>
      <c r="D34" s="1" t="s">
        <v>67</v>
      </c>
      <c r="E34" s="2">
        <v>1</v>
      </c>
      <c r="F34" s="19" t="s">
        <v>54</v>
      </c>
      <c r="G34" s="19"/>
      <c r="H34" s="1" t="s">
        <v>150</v>
      </c>
      <c r="I34" s="19"/>
      <c r="J34" s="33"/>
      <c r="K34" s="4"/>
      <c r="L34" s="4"/>
      <c r="M34" s="40"/>
      <c r="N34" s="40"/>
    </row>
    <row r="35" spans="1:14" ht="25.5" customHeight="1">
      <c r="A35" s="45"/>
      <c r="B35" s="45"/>
      <c r="C35" s="32"/>
      <c r="D35" s="1"/>
      <c r="E35" s="2"/>
      <c r="F35" s="2"/>
      <c r="G35" s="19"/>
      <c r="H35" s="19"/>
      <c r="I35" s="19"/>
      <c r="J35" s="33"/>
      <c r="K35" s="4"/>
      <c r="L35" s="4"/>
      <c r="M35" s="40"/>
      <c r="N35" s="40"/>
    </row>
    <row r="36" spans="1:14" ht="25.5" customHeight="1">
      <c r="A36" s="43" t="s">
        <v>145</v>
      </c>
      <c r="B36" s="43" t="s">
        <v>93</v>
      </c>
      <c r="C36" s="1" t="s">
        <v>43</v>
      </c>
      <c r="D36" s="1" t="s">
        <v>152</v>
      </c>
      <c r="E36" s="2">
        <v>1</v>
      </c>
      <c r="F36" s="19" t="s">
        <v>54</v>
      </c>
      <c r="G36" s="19"/>
      <c r="H36" s="1" t="s">
        <v>150</v>
      </c>
      <c r="I36" s="19"/>
      <c r="J36" s="33"/>
      <c r="K36" s="4"/>
      <c r="L36" s="4"/>
      <c r="M36" s="40"/>
      <c r="N36" s="40"/>
    </row>
    <row r="37" spans="1:14" ht="25.5" customHeight="1">
      <c r="A37" s="45"/>
      <c r="B37" s="43"/>
      <c r="C37" s="1" t="s">
        <v>44</v>
      </c>
      <c r="D37" s="1" t="s">
        <v>153</v>
      </c>
      <c r="E37" s="2">
        <v>1</v>
      </c>
      <c r="F37" s="19" t="s">
        <v>54</v>
      </c>
      <c r="G37" s="19"/>
      <c r="H37" s="1" t="s">
        <v>150</v>
      </c>
      <c r="I37" s="19"/>
      <c r="J37" s="33"/>
      <c r="K37" s="4"/>
      <c r="L37" s="4"/>
      <c r="M37" s="40"/>
      <c r="N37" s="40"/>
    </row>
    <row r="38" spans="1:14" ht="25.5" customHeight="1">
      <c r="A38" s="45"/>
      <c r="B38" s="43"/>
      <c r="C38" s="1" t="s">
        <v>156</v>
      </c>
      <c r="D38" s="1" t="s">
        <v>100</v>
      </c>
      <c r="E38" s="2">
        <v>1</v>
      </c>
      <c r="F38" s="19" t="s">
        <v>54</v>
      </c>
      <c r="G38" s="19"/>
      <c r="H38" s="1" t="s">
        <v>150</v>
      </c>
      <c r="I38" s="19"/>
      <c r="J38" s="33"/>
      <c r="K38" s="4"/>
      <c r="L38" s="4"/>
      <c r="M38" s="40"/>
      <c r="N38" s="40"/>
    </row>
    <row r="39" spans="1:14" ht="25.5" customHeight="1">
      <c r="A39" s="45"/>
      <c r="B39" s="43"/>
      <c r="C39" s="1" t="s">
        <v>66</v>
      </c>
      <c r="D39" s="1" t="s">
        <v>100</v>
      </c>
      <c r="E39" s="2">
        <v>1</v>
      </c>
      <c r="F39" s="19" t="s">
        <v>54</v>
      </c>
      <c r="G39" s="19"/>
      <c r="H39" s="1" t="s">
        <v>150</v>
      </c>
      <c r="I39" s="19"/>
      <c r="J39" s="33"/>
      <c r="K39" s="4"/>
      <c r="L39" s="4"/>
      <c r="M39" s="40"/>
      <c r="N39" s="40"/>
    </row>
    <row r="40" spans="1:14" ht="25.5" customHeight="1">
      <c r="A40" s="45"/>
      <c r="B40" s="45"/>
      <c r="C40" s="32"/>
      <c r="D40" s="1"/>
      <c r="E40" s="2"/>
      <c r="F40" s="2"/>
      <c r="G40" s="19"/>
      <c r="H40" s="19"/>
      <c r="I40" s="19"/>
      <c r="J40" s="33"/>
      <c r="K40" s="4"/>
      <c r="L40" s="4"/>
      <c r="M40" s="40"/>
      <c r="N40" s="40"/>
    </row>
    <row r="41" spans="1:14" ht="25.5" customHeight="1">
      <c r="A41" s="43" t="s">
        <v>147</v>
      </c>
      <c r="B41" s="43" t="s">
        <v>45</v>
      </c>
      <c r="C41" s="1" t="s">
        <v>43</v>
      </c>
      <c r="D41" s="1" t="s">
        <v>101</v>
      </c>
      <c r="E41" s="2"/>
      <c r="F41" s="2" t="s">
        <v>144</v>
      </c>
      <c r="G41" s="19"/>
      <c r="H41" s="1" t="s">
        <v>150</v>
      </c>
      <c r="I41" s="19"/>
      <c r="J41" s="33"/>
      <c r="K41" s="4"/>
      <c r="L41" s="4"/>
      <c r="M41" s="40"/>
      <c r="N41" s="40"/>
    </row>
    <row r="42" spans="1:14" ht="25.5" customHeight="1">
      <c r="A42" s="45"/>
      <c r="B42" s="43"/>
      <c r="C42" s="1" t="s">
        <v>44</v>
      </c>
      <c r="D42" s="1" t="s">
        <v>101</v>
      </c>
      <c r="E42" s="2"/>
      <c r="F42" s="2" t="s">
        <v>144</v>
      </c>
      <c r="G42" s="19"/>
      <c r="H42" s="1" t="s">
        <v>150</v>
      </c>
      <c r="I42" s="19"/>
      <c r="J42" s="33"/>
      <c r="K42" s="4"/>
      <c r="L42" s="4"/>
      <c r="M42" s="40"/>
      <c r="N42" s="40"/>
    </row>
    <row r="43" spans="1:14" ht="25.5" customHeight="1">
      <c r="A43" s="45"/>
      <c r="B43" s="43"/>
      <c r="C43" s="1" t="s">
        <v>65</v>
      </c>
      <c r="D43" s="1" t="s">
        <v>101</v>
      </c>
      <c r="E43" s="2"/>
      <c r="F43" s="2" t="s">
        <v>144</v>
      </c>
      <c r="G43" s="19"/>
      <c r="H43" s="1" t="s">
        <v>150</v>
      </c>
      <c r="I43" s="19"/>
      <c r="J43" s="33"/>
      <c r="K43" s="4"/>
      <c r="L43" s="4"/>
      <c r="M43" s="40"/>
      <c r="N43" s="40"/>
    </row>
    <row r="44" spans="1:14" ht="25.5" customHeight="1">
      <c r="A44" s="45"/>
      <c r="B44" s="45"/>
      <c r="C44" s="1" t="s">
        <v>66</v>
      </c>
      <c r="D44" s="1" t="s">
        <v>101</v>
      </c>
      <c r="E44" s="2"/>
      <c r="F44" s="2" t="s">
        <v>144</v>
      </c>
      <c r="G44" s="19"/>
      <c r="H44" s="1" t="s">
        <v>150</v>
      </c>
      <c r="I44" s="19"/>
      <c r="J44" s="33"/>
      <c r="K44" s="4"/>
      <c r="L44" s="4"/>
      <c r="M44" s="40"/>
      <c r="N44" s="40"/>
    </row>
    <row r="45" spans="1:14" ht="25.5" customHeight="1">
      <c r="A45" s="45"/>
      <c r="B45" s="45"/>
      <c r="C45" s="32"/>
      <c r="D45" s="19"/>
      <c r="E45" s="19"/>
      <c r="F45" s="19"/>
      <c r="G45" s="19"/>
      <c r="H45" s="19"/>
      <c r="I45" s="1"/>
      <c r="J45" s="32"/>
      <c r="K45" s="32"/>
      <c r="L45" s="32"/>
      <c r="M45" s="40"/>
      <c r="N45" s="40"/>
    </row>
  </sheetData>
  <mergeCells count="34">
    <mergeCell ref="A36:A40"/>
    <mergeCell ref="A41:A45"/>
    <mergeCell ref="B41:B45"/>
    <mergeCell ref="B19:B22"/>
    <mergeCell ref="B15:B18"/>
    <mergeCell ref="B23:B25"/>
    <mergeCell ref="B26:B30"/>
    <mergeCell ref="B31:B35"/>
    <mergeCell ref="B36:B40"/>
    <mergeCell ref="A26:A30"/>
    <mergeCell ref="A31:A35"/>
    <mergeCell ref="A1:L3"/>
    <mergeCell ref="A4:L4"/>
    <mergeCell ref="A5:A6"/>
    <mergeCell ref="D5:D6"/>
    <mergeCell ref="E5:E6"/>
    <mergeCell ref="G5:G6"/>
    <mergeCell ref="H5:H6"/>
    <mergeCell ref="I5:I6"/>
    <mergeCell ref="J5:J6"/>
    <mergeCell ref="K5:K6"/>
    <mergeCell ref="L5:L6"/>
    <mergeCell ref="C5:C6"/>
    <mergeCell ref="F5:F6"/>
    <mergeCell ref="A23:A25"/>
    <mergeCell ref="B11:B14"/>
    <mergeCell ref="B7:B10"/>
    <mergeCell ref="A7:A10"/>
    <mergeCell ref="A15:A18"/>
    <mergeCell ref="M5:M6"/>
    <mergeCell ref="N5:N6"/>
    <mergeCell ref="A11:A14"/>
    <mergeCell ref="B5:B6"/>
    <mergeCell ref="A19:A22"/>
  </mergeCells>
  <phoneticPr fontId="7" type="noConversion"/>
  <printOptions horizontalCentered="1"/>
  <pageMargins left="0.31496062992125984" right="0.31496062992125984" top="0.35433070866141736" bottom="0.35433070866141736" header="0.11811023622047245" footer="0.11811023622047245"/>
  <pageSetup paperSize="9" scale="26" orientation="landscape" r:id="rId1"/>
  <headerFooter>
    <oddFooter>&amp;R&amp;"맑은 고딕,보통"MQH-913-QIF-03 R(0)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U50"/>
  <sheetViews>
    <sheetView zoomScaleNormal="100" zoomScaleSheetLayoutView="85" zoomScalePageLayoutView="55" workbookViewId="0">
      <selection activeCell="N13" sqref="N13"/>
    </sheetView>
  </sheetViews>
  <sheetFormatPr defaultRowHeight="13.5"/>
  <cols>
    <col min="1" max="1" width="3.77734375" style="5" customWidth="1"/>
    <col min="2" max="2" width="18.33203125" style="5" customWidth="1"/>
    <col min="3" max="3" width="17.5546875" style="5" customWidth="1"/>
    <col min="4" max="4" width="16.77734375" style="5" customWidth="1"/>
    <col min="5" max="16" width="8.44140625" style="5" customWidth="1"/>
    <col min="17" max="18" width="11.6640625" style="29" customWidth="1"/>
    <col min="19" max="19" width="11.33203125" style="29" bestFit="1" customWidth="1"/>
    <col min="20" max="20" width="13.88671875" style="5" customWidth="1"/>
    <col min="21" max="16384" width="8.88671875" style="5"/>
  </cols>
  <sheetData>
    <row r="1" spans="2:21" ht="39.75" customHeight="1" thickBot="1">
      <c r="C1" s="58" t="s">
        <v>137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6"/>
    </row>
    <row r="2" spans="2:21" ht="20.25">
      <c r="C2" s="59" t="s">
        <v>22</v>
      </c>
      <c r="D2" s="60"/>
      <c r="E2" s="12" t="s">
        <v>11</v>
      </c>
      <c r="F2" s="12" t="s">
        <v>4</v>
      </c>
      <c r="G2" s="12" t="s">
        <v>0</v>
      </c>
      <c r="H2" s="12" t="s">
        <v>8</v>
      </c>
      <c r="I2" s="12" t="s">
        <v>1</v>
      </c>
      <c r="J2" s="12" t="s">
        <v>10</v>
      </c>
      <c r="K2" s="12" t="s">
        <v>9</v>
      </c>
      <c r="L2" s="12" t="s">
        <v>3</v>
      </c>
      <c r="M2" s="12" t="s">
        <v>7</v>
      </c>
      <c r="N2" s="12" t="s">
        <v>12</v>
      </c>
      <c r="O2" s="12" t="s">
        <v>5</v>
      </c>
      <c r="P2" s="12" t="s">
        <v>2</v>
      </c>
      <c r="Q2" s="12" t="s">
        <v>23</v>
      </c>
      <c r="R2" s="12" t="s">
        <v>138</v>
      </c>
      <c r="S2" s="12" t="s">
        <v>155</v>
      </c>
      <c r="T2" s="13" t="s">
        <v>24</v>
      </c>
    </row>
    <row r="3" spans="2:21" ht="20.25">
      <c r="B3" s="51" t="s">
        <v>103</v>
      </c>
      <c r="C3" s="50" t="s">
        <v>102</v>
      </c>
      <c r="D3" s="8" t="s">
        <v>18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8"/>
      <c r="R3" s="28"/>
      <c r="S3" s="28"/>
      <c r="T3" s="55" t="s">
        <v>27</v>
      </c>
    </row>
    <row r="4" spans="2:21" ht="20.25">
      <c r="B4" s="52"/>
      <c r="C4" s="50"/>
      <c r="D4" s="8" t="s">
        <v>25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8"/>
      <c r="R4" s="28"/>
      <c r="S4" s="28"/>
      <c r="T4" s="56"/>
    </row>
    <row r="5" spans="2:21" ht="20.25">
      <c r="B5" s="52"/>
      <c r="C5" s="50"/>
      <c r="D5" s="34" t="s">
        <v>26</v>
      </c>
      <c r="E5" s="35"/>
      <c r="F5" s="35"/>
      <c r="G5" s="35"/>
      <c r="H5" s="35"/>
      <c r="I5" s="35"/>
      <c r="J5" s="35"/>
      <c r="K5" s="35"/>
      <c r="L5" s="35"/>
      <c r="M5" s="35"/>
      <c r="N5" s="36"/>
      <c r="O5" s="36"/>
      <c r="P5" s="36"/>
      <c r="Q5" s="37"/>
      <c r="R5" s="37"/>
      <c r="S5" s="37"/>
      <c r="T5" s="56"/>
    </row>
    <row r="6" spans="2:21" ht="20.25">
      <c r="B6" s="53"/>
      <c r="C6" s="50" t="s">
        <v>104</v>
      </c>
      <c r="D6" s="34" t="s">
        <v>25</v>
      </c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  <c r="Q6" s="37"/>
      <c r="R6" s="37"/>
      <c r="S6" s="37"/>
      <c r="T6" s="56"/>
    </row>
    <row r="7" spans="2:21" ht="20.25">
      <c r="B7" s="53"/>
      <c r="C7" s="50"/>
      <c r="D7" s="34" t="s">
        <v>106</v>
      </c>
      <c r="E7" s="35"/>
      <c r="F7" s="35"/>
      <c r="G7" s="35"/>
      <c r="H7" s="35"/>
      <c r="I7" s="35"/>
      <c r="J7" s="35"/>
      <c r="K7" s="35"/>
      <c r="L7" s="35"/>
      <c r="M7" s="35"/>
      <c r="N7" s="36"/>
      <c r="O7" s="36"/>
      <c r="P7" s="36"/>
      <c r="Q7" s="37"/>
      <c r="R7" s="37"/>
      <c r="S7" s="37"/>
      <c r="T7" s="56"/>
    </row>
    <row r="8" spans="2:21" ht="20.25">
      <c r="B8" s="53"/>
      <c r="C8" s="50"/>
      <c r="D8" s="34" t="s">
        <v>26</v>
      </c>
      <c r="E8" s="35"/>
      <c r="F8" s="35"/>
      <c r="G8" s="35"/>
      <c r="H8" s="35"/>
      <c r="I8" s="35"/>
      <c r="J8" s="35"/>
      <c r="K8" s="35"/>
      <c r="L8" s="35"/>
      <c r="M8" s="35"/>
      <c r="N8" s="36"/>
      <c r="O8" s="36"/>
      <c r="P8" s="36"/>
      <c r="Q8" s="37"/>
      <c r="R8" s="37"/>
      <c r="S8" s="37"/>
      <c r="T8" s="56"/>
    </row>
    <row r="9" spans="2:21" ht="20.25">
      <c r="B9" s="53"/>
      <c r="C9" s="50" t="s">
        <v>105</v>
      </c>
      <c r="D9" s="34" t="s">
        <v>25</v>
      </c>
      <c r="E9" s="35"/>
      <c r="F9" s="35"/>
      <c r="G9" s="35"/>
      <c r="H9" s="35"/>
      <c r="I9" s="35"/>
      <c r="J9" s="35"/>
      <c r="K9" s="35"/>
      <c r="L9" s="35"/>
      <c r="M9" s="35"/>
      <c r="N9" s="36"/>
      <c r="O9" s="36"/>
      <c r="P9" s="36"/>
      <c r="Q9" s="37"/>
      <c r="R9" s="37"/>
      <c r="S9" s="37"/>
      <c r="T9" s="56"/>
    </row>
    <row r="10" spans="2:21" ht="20.25">
      <c r="B10" s="53"/>
      <c r="C10" s="50"/>
      <c r="D10" s="34" t="s">
        <v>106</v>
      </c>
      <c r="E10" s="35"/>
      <c r="F10" s="35"/>
      <c r="G10" s="35"/>
      <c r="H10" s="35"/>
      <c r="I10" s="35"/>
      <c r="J10" s="35"/>
      <c r="K10" s="35"/>
      <c r="L10" s="35"/>
      <c r="M10" s="35"/>
      <c r="N10" s="36"/>
      <c r="O10" s="36"/>
      <c r="P10" s="36"/>
      <c r="Q10" s="37"/>
      <c r="R10" s="37"/>
      <c r="S10" s="37"/>
      <c r="T10" s="56"/>
    </row>
    <row r="11" spans="2:21" ht="20.25">
      <c r="B11" s="54"/>
      <c r="C11" s="50"/>
      <c r="D11" s="34" t="s">
        <v>26</v>
      </c>
      <c r="E11" s="35"/>
      <c r="F11" s="35"/>
      <c r="G11" s="35"/>
      <c r="H11" s="35"/>
      <c r="I11" s="35"/>
      <c r="J11" s="35"/>
      <c r="K11" s="35"/>
      <c r="L11" s="35"/>
      <c r="M11" s="35"/>
      <c r="N11" s="36"/>
      <c r="O11" s="36"/>
      <c r="P11" s="36"/>
      <c r="Q11" s="37"/>
      <c r="R11" s="37"/>
      <c r="S11" s="37"/>
      <c r="T11" s="56"/>
    </row>
    <row r="12" spans="2:21" ht="20.25">
      <c r="B12" s="51" t="s">
        <v>107</v>
      </c>
      <c r="C12" s="50" t="s">
        <v>109</v>
      </c>
      <c r="D12" s="34" t="s">
        <v>122</v>
      </c>
      <c r="E12" s="35"/>
      <c r="F12" s="35"/>
      <c r="G12" s="35"/>
      <c r="H12" s="35"/>
      <c r="I12" s="35"/>
      <c r="J12" s="35"/>
      <c r="K12" s="35"/>
      <c r="L12" s="35"/>
      <c r="M12" s="35"/>
      <c r="N12" s="36"/>
      <c r="O12" s="36"/>
      <c r="P12" s="36"/>
      <c r="Q12" s="37"/>
      <c r="R12" s="37"/>
      <c r="S12" s="37"/>
      <c r="T12" s="56"/>
    </row>
    <row r="13" spans="2:21" ht="20.25">
      <c r="B13" s="53"/>
      <c r="C13" s="50"/>
      <c r="D13" s="34"/>
      <c r="E13" s="35"/>
      <c r="F13" s="35"/>
      <c r="G13" s="35"/>
      <c r="H13" s="35"/>
      <c r="I13" s="35"/>
      <c r="J13" s="35"/>
      <c r="K13" s="35"/>
      <c r="L13" s="35"/>
      <c r="M13" s="35"/>
      <c r="N13" s="36"/>
      <c r="O13" s="36"/>
      <c r="P13" s="36"/>
      <c r="Q13" s="37"/>
      <c r="R13" s="37"/>
      <c r="S13" s="37"/>
      <c r="T13" s="56"/>
    </row>
    <row r="14" spans="2:21" ht="20.25">
      <c r="B14" s="53"/>
      <c r="C14" s="50"/>
      <c r="D14" s="34"/>
      <c r="E14" s="35"/>
      <c r="F14" s="35"/>
      <c r="G14" s="35"/>
      <c r="H14" s="35"/>
      <c r="I14" s="35"/>
      <c r="J14" s="35"/>
      <c r="K14" s="35"/>
      <c r="L14" s="35"/>
      <c r="M14" s="35"/>
      <c r="N14" s="36"/>
      <c r="O14" s="36"/>
      <c r="P14" s="36"/>
      <c r="Q14" s="37"/>
      <c r="R14" s="37"/>
      <c r="S14" s="37"/>
      <c r="T14" s="56"/>
    </row>
    <row r="15" spans="2:21" ht="20.25">
      <c r="B15" s="53"/>
      <c r="C15" s="50" t="s">
        <v>96</v>
      </c>
      <c r="D15" s="34" t="s">
        <v>123</v>
      </c>
      <c r="E15" s="35"/>
      <c r="F15" s="35"/>
      <c r="G15" s="35"/>
      <c r="H15" s="35"/>
      <c r="I15" s="35"/>
      <c r="J15" s="35"/>
      <c r="K15" s="35"/>
      <c r="L15" s="35"/>
      <c r="M15" s="35"/>
      <c r="N15" s="36"/>
      <c r="O15" s="36"/>
      <c r="P15" s="36"/>
      <c r="Q15" s="37"/>
      <c r="R15" s="37"/>
      <c r="S15" s="37"/>
      <c r="T15" s="56"/>
    </row>
    <row r="16" spans="2:21" ht="20.25">
      <c r="B16" s="53"/>
      <c r="C16" s="50"/>
      <c r="D16" s="34" t="s">
        <v>124</v>
      </c>
      <c r="E16" s="35"/>
      <c r="F16" s="35"/>
      <c r="G16" s="35"/>
      <c r="H16" s="35"/>
      <c r="I16" s="35"/>
      <c r="J16" s="35"/>
      <c r="K16" s="35"/>
      <c r="L16" s="35"/>
      <c r="M16" s="35"/>
      <c r="N16" s="36"/>
      <c r="O16" s="36"/>
      <c r="P16" s="36"/>
      <c r="Q16" s="37"/>
      <c r="R16" s="37"/>
      <c r="S16" s="37"/>
      <c r="T16" s="56"/>
    </row>
    <row r="17" spans="2:20" ht="20.25">
      <c r="B17" s="53"/>
      <c r="C17" s="50"/>
      <c r="D17" s="34"/>
      <c r="E17" s="35"/>
      <c r="F17" s="35"/>
      <c r="G17" s="35"/>
      <c r="H17" s="35"/>
      <c r="I17" s="35"/>
      <c r="J17" s="35"/>
      <c r="K17" s="35"/>
      <c r="L17" s="35"/>
      <c r="M17" s="35"/>
      <c r="N17" s="36"/>
      <c r="O17" s="36"/>
      <c r="P17" s="36"/>
      <c r="Q17" s="37"/>
      <c r="R17" s="37"/>
      <c r="S17" s="37"/>
      <c r="T17" s="56"/>
    </row>
    <row r="18" spans="2:20" ht="20.25">
      <c r="B18" s="53"/>
      <c r="C18" s="50" t="s">
        <v>110</v>
      </c>
      <c r="D18" s="8" t="s">
        <v>125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8"/>
      <c r="R18" s="28"/>
      <c r="S18" s="28"/>
      <c r="T18" s="56"/>
    </row>
    <row r="19" spans="2:20" ht="20.25">
      <c r="B19" s="53"/>
      <c r="C19" s="50"/>
      <c r="D19" s="8" t="s">
        <v>126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8"/>
      <c r="R19" s="28"/>
      <c r="S19" s="28"/>
      <c r="T19" s="56"/>
    </row>
    <row r="20" spans="2:20" ht="20.25">
      <c r="B20" s="53"/>
      <c r="C20" s="50"/>
      <c r="D20" s="34" t="s">
        <v>26</v>
      </c>
      <c r="E20" s="35"/>
      <c r="F20" s="38"/>
      <c r="G20" s="35"/>
      <c r="H20" s="39"/>
      <c r="I20" s="39"/>
      <c r="J20" s="39"/>
      <c r="K20" s="35"/>
      <c r="L20" s="39"/>
      <c r="M20" s="39"/>
      <c r="N20" s="36"/>
      <c r="O20" s="36"/>
      <c r="P20" s="36"/>
      <c r="Q20" s="37"/>
      <c r="R20" s="37"/>
      <c r="S20" s="37"/>
      <c r="T20" s="56"/>
    </row>
    <row r="21" spans="2:20" ht="20.25">
      <c r="B21" s="53"/>
      <c r="C21" s="50" t="s">
        <v>111</v>
      </c>
      <c r="D21" s="8" t="s">
        <v>127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28"/>
      <c r="R21" s="28"/>
      <c r="S21" s="28"/>
      <c r="T21" s="56"/>
    </row>
    <row r="22" spans="2:20" ht="20.25">
      <c r="B22" s="53"/>
      <c r="C22" s="50"/>
      <c r="D22" s="8" t="s">
        <v>128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8"/>
      <c r="R22" s="28"/>
      <c r="S22" s="28"/>
      <c r="T22" s="56"/>
    </row>
    <row r="23" spans="2:20" ht="20.25">
      <c r="B23" s="54"/>
      <c r="C23" s="50"/>
      <c r="D23" s="34" t="s">
        <v>26</v>
      </c>
      <c r="E23" s="35"/>
      <c r="F23" s="35"/>
      <c r="G23" s="35"/>
      <c r="H23" s="36"/>
      <c r="I23" s="36"/>
      <c r="J23" s="36"/>
      <c r="K23" s="35"/>
      <c r="L23" s="39"/>
      <c r="M23" s="39"/>
      <c r="N23" s="39"/>
      <c r="O23" s="39"/>
      <c r="P23" s="36"/>
      <c r="Q23" s="37"/>
      <c r="R23" s="37"/>
      <c r="S23" s="37"/>
      <c r="T23" s="56"/>
    </row>
    <row r="24" spans="2:20" ht="20.25">
      <c r="B24" s="51" t="s">
        <v>113</v>
      </c>
      <c r="C24" s="50" t="s">
        <v>114</v>
      </c>
      <c r="D24" s="34" t="s">
        <v>130</v>
      </c>
      <c r="E24" s="35"/>
      <c r="F24" s="35"/>
      <c r="G24" s="35"/>
      <c r="H24" s="36"/>
      <c r="I24" s="36"/>
      <c r="J24" s="36"/>
      <c r="K24" s="35"/>
      <c r="L24" s="39"/>
      <c r="M24" s="39"/>
      <c r="N24" s="39"/>
      <c r="O24" s="39"/>
      <c r="P24" s="36"/>
      <c r="Q24" s="37"/>
      <c r="R24" s="37"/>
      <c r="S24" s="37"/>
      <c r="T24" s="56"/>
    </row>
    <row r="25" spans="2:20" ht="20.25">
      <c r="B25" s="52"/>
      <c r="C25" s="50"/>
      <c r="D25" s="34" t="s">
        <v>131</v>
      </c>
      <c r="E25" s="35"/>
      <c r="F25" s="35"/>
      <c r="G25" s="35"/>
      <c r="H25" s="36"/>
      <c r="I25" s="36"/>
      <c r="J25" s="36"/>
      <c r="K25" s="35"/>
      <c r="L25" s="39"/>
      <c r="M25" s="39"/>
      <c r="N25" s="39"/>
      <c r="O25" s="39"/>
      <c r="P25" s="36"/>
      <c r="Q25" s="37"/>
      <c r="R25" s="37"/>
      <c r="S25" s="37"/>
      <c r="T25" s="56"/>
    </row>
    <row r="26" spans="2:20" ht="20.25">
      <c r="B26" s="52"/>
      <c r="C26" s="50"/>
      <c r="D26" s="34"/>
      <c r="E26" s="35"/>
      <c r="F26" s="35"/>
      <c r="G26" s="35"/>
      <c r="H26" s="36"/>
      <c r="I26" s="36"/>
      <c r="J26" s="36"/>
      <c r="K26" s="35"/>
      <c r="L26" s="39"/>
      <c r="M26" s="39"/>
      <c r="N26" s="39"/>
      <c r="O26" s="39"/>
      <c r="P26" s="36"/>
      <c r="Q26" s="37"/>
      <c r="R26" s="37"/>
      <c r="S26" s="37"/>
      <c r="T26" s="56"/>
    </row>
    <row r="27" spans="2:20" ht="20.25">
      <c r="B27" s="53"/>
      <c r="C27" s="50" t="s">
        <v>103</v>
      </c>
      <c r="D27" s="34" t="s">
        <v>133</v>
      </c>
      <c r="E27" s="35"/>
      <c r="F27" s="35"/>
      <c r="G27" s="35"/>
      <c r="H27" s="36"/>
      <c r="I27" s="36"/>
      <c r="J27" s="36"/>
      <c r="K27" s="35"/>
      <c r="L27" s="39"/>
      <c r="M27" s="39"/>
      <c r="N27" s="39"/>
      <c r="O27" s="39"/>
      <c r="P27" s="36"/>
      <c r="Q27" s="37"/>
      <c r="R27" s="37"/>
      <c r="S27" s="37"/>
      <c r="T27" s="56"/>
    </row>
    <row r="28" spans="2:20" ht="20.25">
      <c r="B28" s="53"/>
      <c r="C28" s="50"/>
      <c r="D28" s="34" t="s">
        <v>131</v>
      </c>
      <c r="E28" s="35"/>
      <c r="F28" s="35"/>
      <c r="G28" s="35"/>
      <c r="H28" s="36"/>
      <c r="I28" s="36"/>
      <c r="J28" s="36"/>
      <c r="K28" s="35"/>
      <c r="L28" s="39"/>
      <c r="M28" s="39"/>
      <c r="N28" s="39"/>
      <c r="O28" s="39"/>
      <c r="P28" s="36"/>
      <c r="Q28" s="37"/>
      <c r="R28" s="37"/>
      <c r="S28" s="37"/>
      <c r="T28" s="56"/>
    </row>
    <row r="29" spans="2:20" ht="20.25">
      <c r="B29" s="53"/>
      <c r="C29" s="50"/>
      <c r="D29" s="34" t="s">
        <v>26</v>
      </c>
      <c r="E29" s="35"/>
      <c r="F29" s="35"/>
      <c r="G29" s="35"/>
      <c r="H29" s="36"/>
      <c r="I29" s="36"/>
      <c r="J29" s="36"/>
      <c r="K29" s="35"/>
      <c r="L29" s="39"/>
      <c r="M29" s="39"/>
      <c r="N29" s="39"/>
      <c r="O29" s="39"/>
      <c r="P29" s="36"/>
      <c r="Q29" s="37"/>
      <c r="R29" s="37"/>
      <c r="S29" s="37"/>
      <c r="T29" s="56"/>
    </row>
    <row r="30" spans="2:20" ht="20.25">
      <c r="B30" s="53"/>
      <c r="C30" s="50" t="s">
        <v>117</v>
      </c>
      <c r="D30" s="8" t="s">
        <v>134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28"/>
      <c r="R30" s="28"/>
      <c r="S30" s="28"/>
      <c r="T30" s="56"/>
    </row>
    <row r="31" spans="2:20" ht="20.25">
      <c r="B31" s="53"/>
      <c r="C31" s="50"/>
      <c r="D31" s="8" t="s">
        <v>135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28"/>
      <c r="R31" s="28"/>
      <c r="S31" s="28"/>
      <c r="T31" s="56"/>
    </row>
    <row r="32" spans="2:20" ht="20.25">
      <c r="B32" s="54"/>
      <c r="C32" s="50"/>
      <c r="D32" s="34" t="s">
        <v>26</v>
      </c>
      <c r="E32" s="35"/>
      <c r="F32" s="35"/>
      <c r="G32" s="35"/>
      <c r="H32" s="36"/>
      <c r="I32" s="36"/>
      <c r="J32" s="36"/>
      <c r="K32" s="35"/>
      <c r="L32" s="39"/>
      <c r="M32" s="39"/>
      <c r="N32" s="39"/>
      <c r="O32" s="36"/>
      <c r="P32" s="36"/>
      <c r="Q32" s="37"/>
      <c r="R32" s="37"/>
      <c r="S32" s="37"/>
      <c r="T32" s="56"/>
    </row>
    <row r="33" spans="2:20" ht="20.25">
      <c r="B33" s="51" t="s">
        <v>116</v>
      </c>
      <c r="C33" s="50" t="s">
        <v>118</v>
      </c>
      <c r="D33" s="34" t="s">
        <v>136</v>
      </c>
      <c r="E33" s="35"/>
      <c r="F33" s="35"/>
      <c r="G33" s="35"/>
      <c r="H33" s="36"/>
      <c r="I33" s="36"/>
      <c r="J33" s="36"/>
      <c r="K33" s="35"/>
      <c r="L33" s="39"/>
      <c r="M33" s="39"/>
      <c r="N33" s="39"/>
      <c r="O33" s="36"/>
      <c r="P33" s="36"/>
      <c r="Q33" s="37"/>
      <c r="R33" s="37"/>
      <c r="S33" s="37"/>
      <c r="T33" s="56"/>
    </row>
    <row r="34" spans="2:20" ht="20.25">
      <c r="B34" s="52"/>
      <c r="C34" s="50"/>
      <c r="D34" s="34"/>
      <c r="E34" s="35"/>
      <c r="F34" s="35"/>
      <c r="G34" s="35"/>
      <c r="H34" s="36"/>
      <c r="I34" s="36"/>
      <c r="J34" s="36"/>
      <c r="K34" s="35"/>
      <c r="L34" s="39"/>
      <c r="M34" s="39"/>
      <c r="N34" s="39"/>
      <c r="O34" s="36"/>
      <c r="P34" s="36"/>
      <c r="Q34" s="37"/>
      <c r="R34" s="37"/>
      <c r="S34" s="37"/>
      <c r="T34" s="56"/>
    </row>
    <row r="35" spans="2:20" ht="20.25">
      <c r="B35" s="53"/>
      <c r="C35" s="50" t="s">
        <v>119</v>
      </c>
      <c r="D35" s="34" t="s">
        <v>136</v>
      </c>
      <c r="E35" s="35"/>
      <c r="F35" s="35"/>
      <c r="G35" s="35"/>
      <c r="H35" s="36"/>
      <c r="I35" s="36"/>
      <c r="J35" s="36"/>
      <c r="K35" s="35"/>
      <c r="L35" s="39"/>
      <c r="M35" s="39"/>
      <c r="N35" s="39"/>
      <c r="O35" s="36"/>
      <c r="P35" s="36"/>
      <c r="Q35" s="37"/>
      <c r="R35" s="37"/>
      <c r="S35" s="37"/>
      <c r="T35" s="56"/>
    </row>
    <row r="36" spans="2:20" ht="20.25">
      <c r="B36" s="53"/>
      <c r="C36" s="50"/>
      <c r="D36" s="34"/>
      <c r="E36" s="35"/>
      <c r="F36" s="35"/>
      <c r="G36" s="35"/>
      <c r="H36" s="36"/>
      <c r="I36" s="36"/>
      <c r="J36" s="36"/>
      <c r="K36" s="35"/>
      <c r="L36" s="39"/>
      <c r="M36" s="39"/>
      <c r="N36" s="39"/>
      <c r="O36" s="36"/>
      <c r="P36" s="36"/>
      <c r="Q36" s="37"/>
      <c r="R36" s="37"/>
      <c r="S36" s="37"/>
      <c r="T36" s="56"/>
    </row>
    <row r="37" spans="2:20" ht="20.25">
      <c r="B37" s="53"/>
      <c r="C37" s="50" t="s">
        <v>120</v>
      </c>
      <c r="D37" s="34" t="s">
        <v>136</v>
      </c>
      <c r="E37" s="35"/>
      <c r="F37" s="35"/>
      <c r="G37" s="35"/>
      <c r="H37" s="36"/>
      <c r="I37" s="36"/>
      <c r="J37" s="36"/>
      <c r="K37" s="35"/>
      <c r="L37" s="39"/>
      <c r="M37" s="39"/>
      <c r="N37" s="39"/>
      <c r="O37" s="36"/>
      <c r="P37" s="36"/>
      <c r="Q37" s="37"/>
      <c r="R37" s="37"/>
      <c r="S37" s="37"/>
      <c r="T37" s="56"/>
    </row>
    <row r="38" spans="2:20" ht="20.25">
      <c r="B38" s="54"/>
      <c r="C38" s="50"/>
      <c r="D38" s="34"/>
      <c r="E38" s="35"/>
      <c r="F38" s="35"/>
      <c r="G38" s="35"/>
      <c r="H38" s="36"/>
      <c r="I38" s="36"/>
      <c r="J38" s="36"/>
      <c r="K38" s="35"/>
      <c r="L38" s="39"/>
      <c r="M38" s="39"/>
      <c r="N38" s="39"/>
      <c r="O38" s="36"/>
      <c r="P38" s="36"/>
      <c r="Q38" s="37"/>
      <c r="R38" s="37"/>
      <c r="S38" s="37"/>
      <c r="T38" s="56"/>
    </row>
    <row r="39" spans="2:20" ht="20.25">
      <c r="B39" s="27"/>
      <c r="C39" s="26"/>
      <c r="D39" s="34"/>
      <c r="E39" s="35"/>
      <c r="F39" s="35"/>
      <c r="G39" s="35"/>
      <c r="H39" s="36"/>
      <c r="I39" s="36"/>
      <c r="J39" s="36"/>
      <c r="K39" s="35"/>
      <c r="L39" s="39"/>
      <c r="M39" s="39"/>
      <c r="N39" s="39"/>
      <c r="O39" s="36"/>
      <c r="P39" s="36"/>
      <c r="Q39" s="37"/>
      <c r="R39" s="37"/>
      <c r="S39" s="37"/>
      <c r="T39" s="56"/>
    </row>
    <row r="40" spans="2:20" ht="20.25">
      <c r="B40" s="27"/>
      <c r="C40" s="26"/>
      <c r="D40" s="34"/>
      <c r="E40" s="35"/>
      <c r="F40" s="35"/>
      <c r="G40" s="35"/>
      <c r="H40" s="36"/>
      <c r="I40" s="36"/>
      <c r="J40" s="36"/>
      <c r="K40" s="35"/>
      <c r="L40" s="39"/>
      <c r="M40" s="39"/>
      <c r="N40" s="39"/>
      <c r="O40" s="36"/>
      <c r="P40" s="36"/>
      <c r="Q40" s="37"/>
      <c r="R40" s="37"/>
      <c r="S40" s="37"/>
      <c r="T40" s="56"/>
    </row>
    <row r="41" spans="2:20" ht="20.25">
      <c r="B41" s="27"/>
      <c r="C41" s="26"/>
      <c r="D41" s="34"/>
      <c r="E41" s="35"/>
      <c r="F41" s="35"/>
      <c r="G41" s="35"/>
      <c r="H41" s="36"/>
      <c r="I41" s="36"/>
      <c r="J41" s="36"/>
      <c r="K41" s="35"/>
      <c r="L41" s="39"/>
      <c r="M41" s="39"/>
      <c r="N41" s="39"/>
      <c r="O41" s="36"/>
      <c r="P41" s="36"/>
      <c r="Q41" s="37"/>
      <c r="R41" s="37"/>
      <c r="S41" s="37"/>
      <c r="T41" s="56"/>
    </row>
    <row r="42" spans="2:20" ht="20.25">
      <c r="B42" s="50"/>
      <c r="C42" s="50"/>
      <c r="D42" s="8" t="s">
        <v>18</v>
      </c>
      <c r="E42" s="7">
        <v>55</v>
      </c>
      <c r="F42" s="7">
        <v>72</v>
      </c>
      <c r="G42" s="7">
        <v>101</v>
      </c>
      <c r="H42" s="7"/>
      <c r="I42" s="7"/>
      <c r="J42" s="7"/>
      <c r="K42" s="7"/>
      <c r="L42" s="7"/>
      <c r="M42" s="7"/>
      <c r="N42" s="7"/>
      <c r="O42" s="7"/>
      <c r="P42" s="7"/>
      <c r="Q42" s="28"/>
      <c r="R42" s="28"/>
      <c r="S42" s="28"/>
      <c r="T42" s="56"/>
    </row>
    <row r="43" spans="2:20" ht="20.25">
      <c r="B43" s="50"/>
      <c r="C43" s="50"/>
      <c r="D43" s="8" t="s">
        <v>25</v>
      </c>
      <c r="E43" s="7">
        <v>0</v>
      </c>
      <c r="F43" s="7">
        <v>2</v>
      </c>
      <c r="G43" s="7">
        <v>0</v>
      </c>
      <c r="H43" s="7"/>
      <c r="I43" s="7"/>
      <c r="J43" s="7"/>
      <c r="K43" s="7"/>
      <c r="L43" s="7"/>
      <c r="M43" s="7"/>
      <c r="N43" s="7"/>
      <c r="O43" s="7"/>
      <c r="P43" s="7"/>
      <c r="Q43" s="28"/>
      <c r="R43" s="28"/>
      <c r="S43" s="28"/>
      <c r="T43" s="56"/>
    </row>
    <row r="44" spans="2:20" ht="20.25">
      <c r="B44" s="50"/>
      <c r="C44" s="50"/>
      <c r="D44" s="34" t="s">
        <v>26</v>
      </c>
      <c r="E44" s="35">
        <f>E43/E42*1000000</f>
        <v>0</v>
      </c>
      <c r="F44" s="38">
        <f>F43/F42*1000000</f>
        <v>27777.777777777777</v>
      </c>
      <c r="G44" s="35">
        <f>G43/G42*1000000</f>
        <v>0</v>
      </c>
      <c r="H44" s="36"/>
      <c r="I44" s="36"/>
      <c r="J44" s="36"/>
      <c r="K44" s="36"/>
      <c r="L44" s="39"/>
      <c r="M44" s="39"/>
      <c r="N44" s="39"/>
      <c r="O44" s="36"/>
      <c r="P44" s="36"/>
      <c r="Q44" s="37"/>
      <c r="R44" s="37"/>
      <c r="S44" s="37"/>
      <c r="T44" s="56"/>
    </row>
    <row r="45" spans="2:20" ht="5.0999999999999996" customHeight="1">
      <c r="B45" s="14"/>
      <c r="C45" s="14"/>
      <c r="T45" s="56"/>
    </row>
    <row r="46" spans="2:20" ht="24.95" customHeight="1">
      <c r="B46" s="48"/>
      <c r="C46" s="48"/>
      <c r="D46" s="9" t="s">
        <v>19</v>
      </c>
      <c r="E46" s="11">
        <f t="shared" ref="E46:G47" si="0">E3+E18+E21+E30+E42</f>
        <v>55</v>
      </c>
      <c r="F46" s="11">
        <f t="shared" si="0"/>
        <v>72</v>
      </c>
      <c r="G46" s="11">
        <f t="shared" si="0"/>
        <v>101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56"/>
    </row>
    <row r="47" spans="2:20" ht="24.95" customHeight="1">
      <c r="B47" s="48"/>
      <c r="C47" s="48"/>
      <c r="D47" s="9" t="s">
        <v>20</v>
      </c>
      <c r="E47" s="11">
        <f t="shared" si="0"/>
        <v>0</v>
      </c>
      <c r="F47" s="11">
        <f t="shared" si="0"/>
        <v>2</v>
      </c>
      <c r="G47" s="11">
        <f t="shared" si="0"/>
        <v>0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56"/>
    </row>
    <row r="48" spans="2:20" ht="24.95" customHeight="1" thickBot="1">
      <c r="B48" s="49"/>
      <c r="C48" s="49"/>
      <c r="D48" s="15" t="s">
        <v>26</v>
      </c>
      <c r="E48" s="16">
        <f>E47/E46*1000000</f>
        <v>0</v>
      </c>
      <c r="F48" s="17">
        <f t="shared" ref="F48:G48" si="1">F47/F46*1000000</f>
        <v>27777.777777777777</v>
      </c>
      <c r="G48" s="16">
        <f t="shared" si="1"/>
        <v>0</v>
      </c>
      <c r="H48" s="18"/>
      <c r="I48" s="18"/>
      <c r="J48" s="18"/>
      <c r="K48" s="18"/>
      <c r="L48" s="18"/>
      <c r="M48" s="18"/>
      <c r="N48" s="18"/>
      <c r="O48" s="18"/>
      <c r="P48" s="18"/>
      <c r="Q48" s="30"/>
      <c r="R48" s="30"/>
      <c r="S48" s="30"/>
      <c r="T48" s="57"/>
    </row>
    <row r="49" ht="24.95" customHeight="1"/>
    <row r="50" ht="24.95" customHeight="1"/>
  </sheetData>
  <mergeCells count="24">
    <mergeCell ref="T3:T48"/>
    <mergeCell ref="C1:T1"/>
    <mergeCell ref="C21:C23"/>
    <mergeCell ref="C30:C32"/>
    <mergeCell ref="C42:C44"/>
    <mergeCell ref="C2:D2"/>
    <mergeCell ref="C3:C5"/>
    <mergeCell ref="C18:C20"/>
    <mergeCell ref="C37:C38"/>
    <mergeCell ref="B46:B48"/>
    <mergeCell ref="C6:C8"/>
    <mergeCell ref="C9:C11"/>
    <mergeCell ref="C12:C14"/>
    <mergeCell ref="C15:C17"/>
    <mergeCell ref="B3:B11"/>
    <mergeCell ref="B12:B23"/>
    <mergeCell ref="C24:C26"/>
    <mergeCell ref="C27:C29"/>
    <mergeCell ref="B24:B32"/>
    <mergeCell ref="B33:B38"/>
    <mergeCell ref="C33:C34"/>
    <mergeCell ref="C35:C36"/>
    <mergeCell ref="B42:B44"/>
    <mergeCell ref="C46:C48"/>
  </mergeCells>
  <phoneticPr fontId="7" type="noConversion"/>
  <pageMargins left="0.59055118110236215" right="0.39370078740157483" top="0.59055118110236215" bottom="0.39370078740157483" header="0.51181102362204722" footer="0.3937007874015748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14"/>
  <sheetViews>
    <sheetView workbookViewId="0">
      <selection activeCell="K5" sqref="K5"/>
    </sheetView>
  </sheetViews>
  <sheetFormatPr defaultRowHeight="13.5"/>
  <cols>
    <col min="3" max="3" width="8.5546875" customWidth="1"/>
    <col min="4" max="4" width="14.33203125" customWidth="1"/>
    <col min="5" max="5" width="25.33203125" customWidth="1"/>
    <col min="6" max="6" width="24.6640625" customWidth="1"/>
    <col min="7" max="7" width="22.21875" customWidth="1"/>
  </cols>
  <sheetData>
    <row r="1" spans="3:7" ht="14.25" thickBot="1"/>
    <row r="2" spans="3:7" ht="41.25" customHeight="1" thickBot="1">
      <c r="C2" s="66" t="s">
        <v>90</v>
      </c>
      <c r="D2" s="67"/>
      <c r="E2" s="67"/>
      <c r="F2" s="67"/>
      <c r="G2" s="68"/>
    </row>
    <row r="3" spans="3:7" ht="58.5" customHeight="1" thickBot="1">
      <c r="C3" s="69" t="s">
        <v>72</v>
      </c>
      <c r="D3" s="22" t="s">
        <v>77</v>
      </c>
      <c r="E3" s="23" t="s">
        <v>81</v>
      </c>
      <c r="F3" s="23" t="s">
        <v>82</v>
      </c>
      <c r="G3" s="23" t="s">
        <v>84</v>
      </c>
    </row>
    <row r="4" spans="3:7" ht="53.25" customHeight="1" thickBot="1">
      <c r="C4" s="69"/>
      <c r="D4" s="22" t="s">
        <v>73</v>
      </c>
      <c r="E4" s="23" t="s">
        <v>80</v>
      </c>
      <c r="F4" s="23" t="s">
        <v>83</v>
      </c>
      <c r="G4" s="23" t="s">
        <v>85</v>
      </c>
    </row>
    <row r="5" spans="3:7" ht="58.5" customHeight="1" thickBot="1">
      <c r="C5" s="69"/>
      <c r="D5" s="22" t="s">
        <v>78</v>
      </c>
      <c r="E5" s="23" t="s">
        <v>87</v>
      </c>
      <c r="F5" s="23" t="s">
        <v>86</v>
      </c>
      <c r="G5" s="23" t="s">
        <v>88</v>
      </c>
    </row>
    <row r="6" spans="3:7" ht="48.75" customHeight="1" thickBot="1">
      <c r="C6" s="61"/>
      <c r="D6" s="62"/>
      <c r="E6" s="24" t="s">
        <v>79</v>
      </c>
      <c r="F6" s="24" t="s">
        <v>75</v>
      </c>
      <c r="G6" s="24" t="s">
        <v>76</v>
      </c>
    </row>
    <row r="7" spans="3:7" ht="38.25" customHeight="1" thickBot="1">
      <c r="C7" s="61"/>
      <c r="D7" s="62"/>
      <c r="E7" s="63" t="s">
        <v>74</v>
      </c>
      <c r="F7" s="64"/>
      <c r="G7" s="65"/>
    </row>
    <row r="8" spans="3:7" ht="20.25" customHeight="1" thickBot="1"/>
    <row r="9" spans="3:7" ht="37.5" customHeight="1" thickBot="1">
      <c r="C9" s="66" t="s">
        <v>89</v>
      </c>
      <c r="D9" s="67"/>
      <c r="E9" s="67"/>
      <c r="F9" s="67"/>
      <c r="G9" s="68"/>
    </row>
    <row r="10" spans="3:7" ht="40.5" customHeight="1" thickBot="1">
      <c r="C10" s="69" t="s">
        <v>72</v>
      </c>
      <c r="D10" s="22" t="s">
        <v>77</v>
      </c>
      <c r="E10" s="25">
        <v>60</v>
      </c>
      <c r="F10" s="25">
        <v>80</v>
      </c>
      <c r="G10" s="25">
        <v>100</v>
      </c>
    </row>
    <row r="11" spans="3:7" ht="45.75" customHeight="1" thickBot="1">
      <c r="C11" s="69"/>
      <c r="D11" s="22" t="s">
        <v>73</v>
      </c>
      <c r="E11" s="25">
        <v>40</v>
      </c>
      <c r="F11" s="25">
        <v>60</v>
      </c>
      <c r="G11" s="25">
        <v>80</v>
      </c>
    </row>
    <row r="12" spans="3:7" ht="42" customHeight="1" thickBot="1">
      <c r="C12" s="69"/>
      <c r="D12" s="22" t="s">
        <v>78</v>
      </c>
      <c r="E12" s="25">
        <v>20</v>
      </c>
      <c r="F12" s="25">
        <v>40</v>
      </c>
      <c r="G12" s="25">
        <v>60</v>
      </c>
    </row>
    <row r="13" spans="3:7" ht="45.75" customHeight="1" thickBot="1">
      <c r="C13" s="61"/>
      <c r="D13" s="62"/>
      <c r="E13" s="24" t="s">
        <v>91</v>
      </c>
      <c r="F13" s="24" t="s">
        <v>92</v>
      </c>
      <c r="G13" s="24" t="s">
        <v>76</v>
      </c>
    </row>
    <row r="14" spans="3:7" ht="30.75" customHeight="1" thickBot="1">
      <c r="C14" s="61"/>
      <c r="D14" s="62"/>
      <c r="E14" s="63" t="s">
        <v>74</v>
      </c>
      <c r="F14" s="64"/>
      <c r="G14" s="65"/>
    </row>
  </sheetData>
  <mergeCells count="8">
    <mergeCell ref="C13:D14"/>
    <mergeCell ref="E14:G14"/>
    <mergeCell ref="C9:G9"/>
    <mergeCell ref="C2:G2"/>
    <mergeCell ref="C3:C5"/>
    <mergeCell ref="C6:D7"/>
    <mergeCell ref="E7:G7"/>
    <mergeCell ref="C10:C12"/>
  </mergeCells>
  <phoneticPr fontId="7" type="noConversion"/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자료 분석평가표</vt:lpstr>
      <vt:lpstr>첨부1</vt:lpstr>
      <vt:lpstr>평가점검표</vt:lpstr>
      <vt:lpstr>'자료 분석평가표'!Print_Area</vt:lpstr>
      <vt:lpstr>첨부1!Print_Area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이덕수</dc:creator>
  <cp:lastModifiedBy>USER</cp:lastModifiedBy>
  <cp:revision>2</cp:revision>
  <cp:lastPrinted>2025-02-02T05:27:53Z</cp:lastPrinted>
  <dcterms:created xsi:type="dcterms:W3CDTF">2011-06-09T01:28:31Z</dcterms:created>
  <dcterms:modified xsi:type="dcterms:W3CDTF">2025-06-16T03:56:45Z</dcterms:modified>
  <cp:version>1100.0100.01</cp:version>
</cp:coreProperties>
</file>