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913 QI(경영분석 관리지침서)\"/>
    </mc:Choice>
  </mc:AlternateContent>
  <xr:revisionPtr revIDLastSave="0" documentId="8_{FBD93E2C-8AAD-450A-BF6D-C39EE467F4EC}" xr6:coauthVersionLast="47" xr6:coauthVersionMax="47" xr10:uidLastSave="{00000000-0000-0000-0000-000000000000}"/>
  <bookViews>
    <workbookView xWindow="30345" yWindow="4545" windowWidth="25215" windowHeight="10935" xr2:uid="{CA1881FC-6D48-4D7A-95F7-FBB29944E7F0}"/>
  </bookViews>
  <sheets>
    <sheet name="성과지표" sheetId="1" r:id="rId1"/>
  </sheets>
  <externalReferences>
    <externalReference r:id="rId2"/>
  </externalReferences>
  <definedNames>
    <definedName name="_xlnm._FilterDatabase" localSheetId="0" hidden="1">성과지표!$A$4:$N$13</definedName>
    <definedName name="level1">#REF!</definedName>
    <definedName name="_xlnm.Print_Area" localSheetId="0">성과지표!$A$1:$N$14</definedName>
    <definedName name="_xlnm.Print_Titles" localSheetId="0">성과지표!$4:$4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K6" i="1"/>
</calcChain>
</file>

<file path=xl/sharedStrings.xml><?xml version="1.0" encoding="utf-8"?>
<sst xmlns="http://schemas.openxmlformats.org/spreadsheetml/2006/main" count="79" uniqueCount="54">
  <si>
    <t>owner</t>
  </si>
  <si>
    <t>항목</t>
  </si>
  <si>
    <t>산출식</t>
  </si>
  <si>
    <t>측정기기</t>
  </si>
  <si>
    <t>구매</t>
  </si>
  <si>
    <t>[구매품 정시 입고품목수/총 입고품목수 ] * 100(%)</t>
  </si>
  <si>
    <t>수주 및 계약</t>
  </si>
  <si>
    <t>구매품 정시 입고율</t>
  </si>
  <si>
    <t>제품생산(제작)</t>
  </si>
  <si>
    <t>시정 및 예방조치(제작)</t>
  </si>
  <si>
    <t>모니터링</t>
    <phoneticPr fontId="2" type="noConversion"/>
  </si>
  <si>
    <t>측정</t>
    <phoneticPr fontId="2" type="noConversion"/>
  </si>
  <si>
    <t>○</t>
    <phoneticPr fontId="2" type="noConversion"/>
  </si>
  <si>
    <t>생산</t>
    <phoneticPr fontId="2" type="noConversion"/>
  </si>
  <si>
    <t>구매</t>
    <phoneticPr fontId="2" type="noConversion"/>
  </si>
  <si>
    <t>구매품 검사 합격율</t>
    <phoneticPr fontId="2" type="noConversion"/>
  </si>
  <si>
    <t>영업</t>
    <phoneticPr fontId="2" type="noConversion"/>
  </si>
  <si>
    <t>생산 합격율</t>
    <phoneticPr fontId="2" type="noConversion"/>
  </si>
  <si>
    <t>합격수량/ 생산수량 *100</t>
    <phoneticPr fontId="2" type="noConversion"/>
  </si>
  <si>
    <t>정시 생산율</t>
    <phoneticPr fontId="2" type="noConversion"/>
  </si>
  <si>
    <t>구매 합격수량/ 입고수량 *100</t>
    <phoneticPr fontId="2" type="noConversion"/>
  </si>
  <si>
    <t>실적</t>
    <phoneticPr fontId="2" type="noConversion"/>
  </si>
  <si>
    <t>대상</t>
    <phoneticPr fontId="2" type="noConversion"/>
  </si>
  <si>
    <t>비 고</t>
    <phoneticPr fontId="2" type="noConversion"/>
  </si>
  <si>
    <t>절차 번호</t>
    <phoneticPr fontId="2" type="noConversion"/>
  </si>
  <si>
    <t>절차 제목</t>
    <phoneticPr fontId="2" type="noConversion"/>
  </si>
  <si>
    <t>달성</t>
    <phoneticPr fontId="2" type="noConversion"/>
  </si>
  <si>
    <t>결과</t>
    <phoneticPr fontId="2" type="noConversion"/>
  </si>
  <si>
    <t>목표</t>
    <phoneticPr fontId="2" type="noConversion"/>
  </si>
  <si>
    <t>후속조치</t>
    <phoneticPr fontId="2" type="noConversion"/>
  </si>
  <si>
    <t>품질</t>
    <phoneticPr fontId="2" type="noConversion"/>
  </si>
  <si>
    <t>[ QMS 프로세스 성과지표모니터링/측정항목 현황]</t>
    <phoneticPr fontId="2" type="noConversion"/>
  </si>
  <si>
    <t>당사 책임인 인도후 고객 부적합 수량/ 납품 수량*100</t>
    <phoneticPr fontId="2" type="noConversion"/>
  </si>
  <si>
    <t>납품대수/목표 대수*100</t>
    <phoneticPr fontId="2" type="noConversion"/>
  </si>
  <si>
    <t>수주(계약)목표달성율</t>
    <phoneticPr fontId="2" type="noConversion"/>
  </si>
  <si>
    <t>고객불만족</t>
    <phoneticPr fontId="2" type="noConversion"/>
  </si>
  <si>
    <t>Y</t>
    <phoneticPr fontId="2" type="noConversion"/>
  </si>
  <si>
    <t>62개 부적합</t>
    <phoneticPr fontId="2" type="noConversion"/>
  </si>
  <si>
    <t>25개 부적합</t>
    <phoneticPr fontId="2" type="noConversion"/>
  </si>
  <si>
    <t>6개 부적합</t>
    <phoneticPr fontId="2" type="noConversion"/>
  </si>
  <si>
    <t>8건</t>
    <phoneticPr fontId="2" type="noConversion"/>
  </si>
  <si>
    <t>금액</t>
    <phoneticPr fontId="2" type="noConversion"/>
  </si>
  <si>
    <t>고객 만족도</t>
    <phoneticPr fontId="2" type="noConversion"/>
  </si>
  <si>
    <t xml:space="preserve">고객 만족도 조사 설문지 </t>
    <phoneticPr fontId="2" type="noConversion"/>
  </si>
  <si>
    <t>96.2점</t>
    <phoneticPr fontId="2" type="noConversion"/>
  </si>
  <si>
    <t>6건 요청 / 4건 접수</t>
    <phoneticPr fontId="2" type="noConversion"/>
  </si>
  <si>
    <t>접수건 합계 점수/ 건수</t>
    <phoneticPr fontId="2" type="noConversion"/>
  </si>
  <si>
    <t>달성중</t>
    <phoneticPr fontId="2" type="noConversion"/>
  </si>
  <si>
    <t>(수주(계약)액 / 수주 목표액) X 100</t>
    <phoneticPr fontId="2" type="noConversion"/>
  </si>
  <si>
    <t>인도후 고객 부적합 건수</t>
    <phoneticPr fontId="2" type="noConversion"/>
  </si>
  <si>
    <t>시정조치 완료율</t>
    <phoneticPr fontId="2" type="noConversion"/>
  </si>
  <si>
    <t>(시정조치 완료 부적합 건수/ 총 부적합 건수)X100</t>
    <phoneticPr fontId="2" type="noConversion"/>
  </si>
  <si>
    <t>주기교정 실시율</t>
    <phoneticPr fontId="2" type="noConversion"/>
  </si>
  <si>
    <t>(실적/계획) x 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</si>
</sst>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0.0_ "/>
  </numFmts>
  <fonts count="2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바탕"/>
      <family val="1"/>
      <charset val="129"/>
    </font>
    <font>
      <sz val="9"/>
      <name val="바탕"/>
      <family val="1"/>
      <charset val="129"/>
    </font>
    <font>
      <b/>
      <sz val="9"/>
      <name val="바탕"/>
      <family val="1"/>
      <charset val="129"/>
    </font>
    <font>
      <sz val="10"/>
      <name val="바탕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42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7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0" borderId="9" applyNumberFormat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24" borderId="14" xfId="0" applyFont="1" applyFill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10" fontId="4" fillId="0" borderId="11" xfId="0" applyNumberFormat="1" applyFont="1" applyBorder="1" applyAlignment="1">
      <alignment horizontal="center" vertical="center" wrapText="1"/>
    </xf>
    <xf numFmtId="9" fontId="4" fillId="0" borderId="10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 wrapText="1"/>
    </xf>
    <xf numFmtId="185" fontId="4" fillId="0" borderId="10" xfId="0" applyNumberFormat="1" applyFont="1" applyBorder="1" applyAlignment="1">
      <alignment horizontal="center"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>
      <alignment vertical="center"/>
    </xf>
    <xf numFmtId="0" fontId="4" fillId="0" borderId="15" xfId="0" applyFont="1" applyBorder="1" applyAlignment="1">
      <alignment horizontal="center" vertical="center" wrapText="1"/>
    </xf>
    <xf numFmtId="9" fontId="4" fillId="0" borderId="15" xfId="0" applyNumberFormat="1" applyFont="1" applyBorder="1" applyAlignment="1">
      <alignment horizontal="center" vertical="center" wrapText="1"/>
    </xf>
    <xf numFmtId="0" fontId="6" fillId="25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_pc\&#48148;&#53461;%20&#54868;&#47732;\MS_FTP\&#54408;&#51656;&#44221;&#50689;&#48512;%20QMS%20&#44160;&#53664;&#45824;&#4934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E3C-54E3-42C2-888B-D5C7CE5785E8}">
  <dimension ref="A1:N14"/>
  <sheetViews>
    <sheetView showGridLines="0" tabSelected="1" workbookViewId="0">
      <pane ySplit="4" topLeftCell="A5" activePane="bottomLeft" state="frozen"/>
      <selection activeCell="K20" sqref="K20"/>
      <selection pane="bottomLeft" activeCell="D18" sqref="D18"/>
    </sheetView>
  </sheetViews>
  <sheetFormatPr defaultRowHeight="11.25" x14ac:dyDescent="0.15"/>
  <cols>
    <col min="1" max="1" width="9.77734375" style="2" customWidth="1"/>
    <col min="2" max="2" width="12.5546875" style="2" customWidth="1"/>
    <col min="3" max="3" width="5.77734375" style="4" bestFit="1" customWidth="1"/>
    <col min="4" max="5" width="17.77734375" style="4" customWidth="1"/>
    <col min="6" max="7" width="4.6640625" style="2" customWidth="1"/>
    <col min="8" max="8" width="6.77734375" style="2" customWidth="1"/>
    <col min="9" max="9" width="11.21875" style="4" customWidth="1"/>
    <col min="10" max="10" width="11.5546875" style="4" customWidth="1"/>
    <col min="11" max="11" width="8.88671875" style="4" customWidth="1"/>
    <col min="12" max="12" width="7.5546875" style="4" customWidth="1"/>
    <col min="13" max="13" width="10.77734375" style="4" customWidth="1"/>
    <col min="14" max="14" width="13.109375" style="10" customWidth="1"/>
    <col min="15" max="16384" width="8.88671875" style="2"/>
  </cols>
  <sheetData>
    <row r="1" spans="1:14" ht="18.75" x14ac:dyDescent="0.1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8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9"/>
    </row>
    <row r="3" spans="1:14" ht="18" customHeight="1" x14ac:dyDescent="0.15">
      <c r="A3" s="3"/>
      <c r="N3" s="24"/>
    </row>
    <row r="4" spans="1:14" ht="22.5" customHeight="1" x14ac:dyDescent="0.15">
      <c r="A4" s="13" t="s">
        <v>24</v>
      </c>
      <c r="B4" s="13" t="s">
        <v>25</v>
      </c>
      <c r="C4" s="13" t="s">
        <v>0</v>
      </c>
      <c r="D4" s="13" t="s">
        <v>1</v>
      </c>
      <c r="E4" s="13" t="s">
        <v>2</v>
      </c>
      <c r="F4" s="13" t="s">
        <v>10</v>
      </c>
      <c r="G4" s="13" t="s">
        <v>11</v>
      </c>
      <c r="H4" s="13" t="s">
        <v>28</v>
      </c>
      <c r="I4" s="13" t="s">
        <v>22</v>
      </c>
      <c r="J4" s="13" t="s">
        <v>21</v>
      </c>
      <c r="K4" s="13" t="s">
        <v>27</v>
      </c>
      <c r="L4" s="13" t="s">
        <v>26</v>
      </c>
      <c r="M4" s="13" t="s">
        <v>29</v>
      </c>
      <c r="N4" s="13" t="s">
        <v>23</v>
      </c>
    </row>
    <row r="6" spans="1:14" ht="30.75" customHeight="1" x14ac:dyDescent="0.15">
      <c r="A6" s="26">
        <v>912</v>
      </c>
      <c r="B6" s="5" t="s">
        <v>35</v>
      </c>
      <c r="C6" s="5" t="s">
        <v>16</v>
      </c>
      <c r="D6" s="5" t="s">
        <v>49</v>
      </c>
      <c r="E6" s="5" t="s">
        <v>32</v>
      </c>
      <c r="F6" s="21"/>
      <c r="G6" s="6" t="s">
        <v>12</v>
      </c>
      <c r="H6" s="16">
        <v>0.95</v>
      </c>
      <c r="I6" s="20">
        <v>12006</v>
      </c>
      <c r="J6" s="5">
        <v>12000</v>
      </c>
      <c r="K6" s="18">
        <f>J6/I6*100</f>
        <v>99.950024987506254</v>
      </c>
      <c r="L6" s="6" t="s">
        <v>36</v>
      </c>
      <c r="M6" s="6"/>
      <c r="N6" s="5" t="s">
        <v>39</v>
      </c>
    </row>
    <row r="7" spans="1:14" ht="30.75" customHeight="1" x14ac:dyDescent="0.15">
      <c r="A7" s="27"/>
      <c r="B7" s="5" t="s">
        <v>42</v>
      </c>
      <c r="C7" s="5" t="s">
        <v>16</v>
      </c>
      <c r="D7" s="5" t="s">
        <v>43</v>
      </c>
      <c r="E7" s="5" t="s">
        <v>46</v>
      </c>
      <c r="F7" s="6"/>
      <c r="G7" s="6" t="s">
        <v>12</v>
      </c>
      <c r="H7" s="16">
        <v>0.95</v>
      </c>
      <c r="I7" s="20">
        <v>6</v>
      </c>
      <c r="J7" s="5">
        <v>4</v>
      </c>
      <c r="K7" s="5" t="s">
        <v>44</v>
      </c>
      <c r="L7" s="6" t="s">
        <v>36</v>
      </c>
      <c r="M7" s="6"/>
      <c r="N7" s="5" t="s">
        <v>45</v>
      </c>
    </row>
    <row r="8" spans="1:14" ht="39.75" customHeight="1" x14ac:dyDescent="0.15">
      <c r="A8" s="5">
        <v>820</v>
      </c>
      <c r="B8" s="5" t="s">
        <v>6</v>
      </c>
      <c r="C8" s="5" t="s">
        <v>16</v>
      </c>
      <c r="D8" s="5" t="s">
        <v>34</v>
      </c>
      <c r="E8" s="5" t="s">
        <v>48</v>
      </c>
      <c r="F8" s="21"/>
      <c r="G8" s="5" t="s">
        <v>12</v>
      </c>
      <c r="H8" s="19">
        <v>0.9</v>
      </c>
      <c r="I8" s="5">
        <v>30000000</v>
      </c>
      <c r="J8" s="5">
        <v>37000000</v>
      </c>
      <c r="K8" s="18">
        <f>J8/I8*100</f>
        <v>123.33333333333334</v>
      </c>
      <c r="L8" s="6" t="s">
        <v>36</v>
      </c>
      <c r="M8" s="6"/>
      <c r="N8" s="6" t="s">
        <v>41</v>
      </c>
    </row>
    <row r="9" spans="1:14" ht="30.75" customHeight="1" x14ac:dyDescent="0.15">
      <c r="A9" s="5">
        <v>840</v>
      </c>
      <c r="B9" s="5" t="s">
        <v>4</v>
      </c>
      <c r="C9" s="5" t="s">
        <v>14</v>
      </c>
      <c r="D9" s="5" t="s">
        <v>7</v>
      </c>
      <c r="E9" s="5" t="s">
        <v>5</v>
      </c>
      <c r="F9" s="21"/>
      <c r="G9" s="5" t="s">
        <v>12</v>
      </c>
      <c r="H9" s="19">
        <v>0.98</v>
      </c>
      <c r="I9" s="5">
        <v>9494</v>
      </c>
      <c r="J9" s="5">
        <v>9494</v>
      </c>
      <c r="K9" s="19">
        <v>1</v>
      </c>
      <c r="L9" s="6" t="s">
        <v>36</v>
      </c>
      <c r="M9" s="6"/>
      <c r="N9" s="5" t="s">
        <v>47</v>
      </c>
    </row>
    <row r="10" spans="1:14" ht="30.75" customHeight="1" x14ac:dyDescent="0.15">
      <c r="A10" s="5">
        <v>860</v>
      </c>
      <c r="B10" s="5" t="s">
        <v>4</v>
      </c>
      <c r="C10" s="5" t="s">
        <v>14</v>
      </c>
      <c r="D10" s="5" t="s">
        <v>15</v>
      </c>
      <c r="E10" s="5" t="s">
        <v>20</v>
      </c>
      <c r="F10" s="21"/>
      <c r="G10" s="5" t="s">
        <v>12</v>
      </c>
      <c r="H10" s="19">
        <v>0.95</v>
      </c>
      <c r="I10" s="5">
        <v>9494</v>
      </c>
      <c r="J10" s="5">
        <v>9469</v>
      </c>
      <c r="K10" s="18">
        <f>J10/I10*100</f>
        <v>99.736675795239094</v>
      </c>
      <c r="L10" s="6" t="s">
        <v>36</v>
      </c>
      <c r="M10" s="6"/>
      <c r="N10" s="5" t="s">
        <v>38</v>
      </c>
    </row>
    <row r="11" spans="1:14" ht="30.75" customHeight="1" x14ac:dyDescent="0.15">
      <c r="A11" s="5">
        <v>850</v>
      </c>
      <c r="B11" s="5" t="s">
        <v>8</v>
      </c>
      <c r="C11" s="5" t="s">
        <v>13</v>
      </c>
      <c r="D11" s="12" t="s">
        <v>19</v>
      </c>
      <c r="E11" s="7" t="s">
        <v>33</v>
      </c>
      <c r="F11" s="8"/>
      <c r="G11" s="22" t="s">
        <v>12</v>
      </c>
      <c r="H11" s="23">
        <v>0.98</v>
      </c>
      <c r="I11" s="14">
        <v>12006</v>
      </c>
      <c r="J11" s="14">
        <v>12006</v>
      </c>
      <c r="K11" s="16">
        <v>1</v>
      </c>
      <c r="L11" s="4" t="s">
        <v>36</v>
      </c>
      <c r="M11" s="6"/>
      <c r="N11" s="6" t="s">
        <v>47</v>
      </c>
    </row>
    <row r="12" spans="1:14" ht="30.75" customHeight="1" x14ac:dyDescent="0.15">
      <c r="A12" s="11">
        <v>860</v>
      </c>
      <c r="B12" s="5" t="s">
        <v>8</v>
      </c>
      <c r="C12" s="5" t="s">
        <v>13</v>
      </c>
      <c r="D12" s="5" t="s">
        <v>17</v>
      </c>
      <c r="E12" s="5" t="s">
        <v>18</v>
      </c>
      <c r="F12" s="5"/>
      <c r="G12" s="5" t="s">
        <v>12</v>
      </c>
      <c r="H12" s="19">
        <v>0.95</v>
      </c>
      <c r="I12" s="14">
        <v>12006</v>
      </c>
      <c r="J12" s="17">
        <v>11944</v>
      </c>
      <c r="K12" s="15">
        <v>0.995</v>
      </c>
      <c r="L12" s="6" t="s">
        <v>36</v>
      </c>
      <c r="M12" s="5"/>
      <c r="N12" s="5" t="s">
        <v>37</v>
      </c>
    </row>
    <row r="13" spans="1:14" ht="39" customHeight="1" x14ac:dyDescent="0.15">
      <c r="A13" s="5">
        <v>1020</v>
      </c>
      <c r="B13" s="5" t="s">
        <v>9</v>
      </c>
      <c r="C13" s="5" t="s">
        <v>30</v>
      </c>
      <c r="D13" s="5" t="s">
        <v>50</v>
      </c>
      <c r="E13" s="5" t="s">
        <v>51</v>
      </c>
      <c r="F13" s="21"/>
      <c r="G13" s="6" t="s">
        <v>12</v>
      </c>
      <c r="H13" s="16">
        <v>1</v>
      </c>
      <c r="I13" s="14">
        <v>8</v>
      </c>
      <c r="J13" s="5">
        <v>8</v>
      </c>
      <c r="K13" s="19">
        <v>1</v>
      </c>
      <c r="L13" s="6" t="s">
        <v>36</v>
      </c>
      <c r="M13" s="6"/>
      <c r="N13" s="6" t="s">
        <v>40</v>
      </c>
    </row>
    <row r="14" spans="1:14" ht="42" customHeight="1" x14ac:dyDescent="0.15">
      <c r="A14" s="5">
        <v>715</v>
      </c>
      <c r="B14" s="5" t="s">
        <v>3</v>
      </c>
      <c r="C14" s="5" t="s">
        <v>30</v>
      </c>
      <c r="D14" s="5" t="s">
        <v>52</v>
      </c>
      <c r="E14" s="5" t="s">
        <v>53</v>
      </c>
      <c r="F14" s="21"/>
      <c r="G14" s="6" t="s">
        <v>12</v>
      </c>
      <c r="H14" s="16">
        <v>1</v>
      </c>
      <c r="I14" s="6">
        <v>5</v>
      </c>
      <c r="J14" s="5">
        <v>5</v>
      </c>
      <c r="K14" s="19">
        <v>1</v>
      </c>
      <c r="L14" s="6" t="s">
        <v>36</v>
      </c>
      <c r="M14" s="6"/>
      <c r="N14" s="6" t="s">
        <v>47</v>
      </c>
    </row>
  </sheetData>
  <mergeCells count="2">
    <mergeCell ref="A1:N1"/>
    <mergeCell ref="A6:A7"/>
  </mergeCells>
  <phoneticPr fontId="2" type="noConversion"/>
  <pageMargins left="0.31496062992125984" right="0.27559055118110237" top="0.39370078740157483" bottom="0.47244094488188981" header="0.23622047244094491" footer="0.27559055118110237"/>
  <pageSetup paperSize="9" scale="85" orientation="landscape" r:id="rId1"/>
  <headerFooter alignWithMargins="0">
    <oddFooter>&amp;LYM-620 QIF-01(REV:0)&amp;C&amp;"굴림체,보통"&amp;8(주)영민에프엔에스&amp;R제/개정일: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성과지표</vt:lpstr>
      <vt:lpstr>성과지표!Print_Area</vt:lpstr>
      <vt:lpstr>성과지표!Print_Titles</vt:lpstr>
    </vt:vector>
  </TitlesOfParts>
  <Company>kal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임재홍</cp:lastModifiedBy>
  <cp:lastPrinted>2023-07-13T08:00:22Z</cp:lastPrinted>
  <dcterms:created xsi:type="dcterms:W3CDTF">2009-07-16T03:41:59Z</dcterms:created>
  <dcterms:modified xsi:type="dcterms:W3CDTF">2026-04-18T06:57:03Z</dcterms:modified>
</cp:coreProperties>
</file>