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컨설팅-절차서\01-가공\절차서-form -AS9100\WA-715 QI(계측기 관리 지침서)\"/>
    </mc:Choice>
  </mc:AlternateContent>
  <xr:revisionPtr revIDLastSave="0" documentId="13_ncr:1_{29567C57-57F6-46AF-9452-081B2672459E}" xr6:coauthVersionLast="47" xr6:coauthVersionMax="47" xr10:uidLastSave="{00000000-0000-0000-0000-000000000000}"/>
  <bookViews>
    <workbookView xWindow="-108" yWindow="-108" windowWidth="23256" windowHeight="12576" tabRatio="437" firstSheet="1" activeTab="1" xr2:uid="{00000000-000D-0000-FFFF-FFFF00000000}"/>
  </bookViews>
  <sheets>
    <sheet name="관리대장1" sheetId="1" state="hidden" r:id="rId1"/>
    <sheet name="관리대장" sheetId="5" r:id="rId2"/>
    <sheet name="자동차" sheetId="4" state="hidden" r:id="rId3"/>
    <sheet name="CBU" sheetId="3" state="hidden" r:id="rId4"/>
    <sheet name="조립" sheetId="2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_" localSheetId="2">#REF!</definedName>
    <definedName name="_" localSheetId="4">#REF!</definedName>
    <definedName name="_">#REF!</definedName>
    <definedName name="_?">#N/A</definedName>
    <definedName name="______R3_t">#N/A</definedName>
    <definedName name="_￡A￡´" localSheetId="2">'[1]p2-1'!#REF!</definedName>
    <definedName name="_￡A￡´" localSheetId="4">'[1]p2-1'!#REF!</definedName>
    <definedName name="_￡A￡´">'[1]p2-1'!#REF!</definedName>
    <definedName name="_￡A￡´1">#N/A</definedName>
    <definedName name="_￡A￡´2">#N/A</definedName>
    <definedName name="_1" localSheetId="2">#REF!</definedName>
    <definedName name="_1" localSheetId="4">#REF!</definedName>
    <definedName name="_1">#REF!</definedName>
    <definedName name="_11A¤A¡¹RA" localSheetId="2">#REF!</definedName>
    <definedName name="_11A¤A¡¹RA" localSheetId="4">#REF!</definedName>
    <definedName name="_11A¤A¡¹RA">#REF!</definedName>
    <definedName name="_14Ａ４_" localSheetId="2">[2]주행!#REF!</definedName>
    <definedName name="_14Ａ４_" localSheetId="4">[2]주행!#REF!</definedName>
    <definedName name="_14Ａ４_">[2]주행!#REF!</definedName>
    <definedName name="_2" localSheetId="2">#REF!</definedName>
    <definedName name="_2" localSheetId="4">#REF!</definedName>
    <definedName name="_2">#REF!</definedName>
    <definedName name="_3_?" localSheetId="2">#REF!</definedName>
    <definedName name="_3_?" localSheetId="4">#REF!</definedName>
    <definedName name="_3_?">#REF!</definedName>
    <definedName name="_4_?__POINT" localSheetId="2">#REF!</definedName>
    <definedName name="_4_?__POINT" localSheetId="4">#REF!</definedName>
    <definedName name="_4_?__POINT">#REF!</definedName>
    <definedName name="_5_?쨲?f" localSheetId="2">#REF!</definedName>
    <definedName name="_5_?쨲?f" localSheetId="4">#REF!</definedName>
    <definedName name="_5_?쨲?f">#REF!</definedName>
    <definedName name="_8_?춑_TOTAL" localSheetId="2">[3]major!#REF!</definedName>
    <definedName name="_8_?춑_TOTAL" localSheetId="4">[3]major!#REF!</definedName>
    <definedName name="_8_?춑_TOTAL">[3]major!#REF!</definedName>
    <definedName name="_Ａ４" localSheetId="2">'[2]p2-1'!#REF!</definedName>
    <definedName name="_Ａ４" localSheetId="4">'[2]p2-1'!#REF!</definedName>
    <definedName name="_Ａ４">'[2]p2-1'!#REF!</definedName>
    <definedName name="_Ａ４1">#N/A</definedName>
    <definedName name="_Ａ４2">#N/A</definedName>
    <definedName name="_xlnm._FilterDatabase" localSheetId="1" hidden="1">관리대장!$A$6:$U$16</definedName>
    <definedName name="_xlnm._FilterDatabase" localSheetId="0" hidden="1">관리대장1!$A$6:$K$582</definedName>
    <definedName name="_xlnm._FilterDatabase" localSheetId="2" hidden="1">자동차!$A$6:$M$212</definedName>
    <definedName name="_xlnm._FilterDatabase" localSheetId="4" hidden="1">조립!$A$6:$R$263</definedName>
    <definedName name="_xlnm._FilterDatabase" hidden="1">#REF!</definedName>
    <definedName name="_mac0819" localSheetId="2">#REF!</definedName>
    <definedName name="_mac0819" localSheetId="4">#REF!</definedName>
    <definedName name="_mac0819">#REF!</definedName>
    <definedName name="_sht1" localSheetId="0">[0]!BlankMacro1</definedName>
    <definedName name="_sht1" localSheetId="2">[0]!BlankMacro1</definedName>
    <definedName name="_sht1" localSheetId="4">[0]!BlankMacro1</definedName>
    <definedName name="_sht1">[0]!BlankMacro1</definedName>
    <definedName name="_Sort" hidden="1">[4]M1master!$A$1:$IV$4102</definedName>
    <definedName name="´a´c¾÷¹≪" localSheetId="2">#REF!</definedName>
    <definedName name="´a´c¾÷¹≪" localSheetId="4">#REF!</definedName>
    <definedName name="´a´c¾÷¹≪">#REF!</definedName>
    <definedName name="￡A￡´" localSheetId="2">[5]주행!#REF!</definedName>
    <definedName name="￡A￡´" localSheetId="4">[5]주행!#REF!</definedName>
    <definedName name="￡A￡´">[5]주행!#REF!</definedName>
    <definedName name="￥" localSheetId="2">[6]RES!#REF!</definedName>
    <definedName name="￥" localSheetId="4">[6]RES!#REF!</definedName>
    <definedName name="￥">[6]RES!#REF!</definedName>
    <definedName name="\a" localSheetId="2">#REF!</definedName>
    <definedName name="\a" localSheetId="4">#REF!</definedName>
    <definedName name="\a">#REF!</definedName>
    <definedName name="±Uº≫" localSheetId="2">#REF!</definedName>
    <definedName name="±Uº≫" localSheetId="4">#REF!</definedName>
    <definedName name="±Uº≫">#REF!</definedName>
    <definedName name="※_추후_NAVA__PROJECT는__부품_">[2]협조전!$A$41</definedName>
    <definedName name="a" localSheetId="2">#REF!</definedName>
    <definedName name="a" localSheetId="4">#REF!</definedName>
    <definedName name="a">#REF!</definedName>
    <definedName name="A?___R3_t" localSheetId="2">#REF!</definedName>
    <definedName name="A?___R3_t" localSheetId="4">#REF!</definedName>
    <definedName name="A?___R3_t">#REF!</definedName>
    <definedName name="A¤A¡.AA" localSheetId="2">#REF!</definedName>
    <definedName name="A¤A¡.AA" localSheetId="4">#REF!</definedName>
    <definedName name="A¤A¡.AA">#REF!</definedName>
    <definedName name="A¤A¡¼³¸i" localSheetId="2">#REF!</definedName>
    <definedName name="A¤A¡¼³¸i" localSheetId="4">#REF!</definedName>
    <definedName name="A¤A¡¼³¸i">#REF!</definedName>
    <definedName name="AA" localSheetId="2">#REF!</definedName>
    <definedName name="AA" localSheetId="4">#REF!</definedName>
    <definedName name="AA">#REF!</definedName>
    <definedName name="AAA" localSheetId="2">#REF!</definedName>
    <definedName name="AAA" localSheetId="4">#REF!</definedName>
    <definedName name="AAA">#REF!</definedName>
    <definedName name="aaaaa" localSheetId="2">#REF!</definedName>
    <definedName name="aaaaa" localSheetId="4">#REF!</definedName>
    <definedName name="aaaaa">#REF!</definedName>
    <definedName name="Aaaaaa" localSheetId="2">#REF!</definedName>
    <definedName name="Aaaaaa" localSheetId="4">#REF!</definedName>
    <definedName name="Aaaaaa">#REF!</definedName>
    <definedName name="AAAAAAAA" localSheetId="0">[0]!BlankMacro1</definedName>
    <definedName name="AAAAAAAA" localSheetId="2">[0]!BlankMacro1</definedName>
    <definedName name="AAAAAAAA" localSheetId="4">[0]!BlankMacro1</definedName>
    <definedName name="AAAAAAAA">[0]!BlankMacro1</definedName>
    <definedName name="abcd" localSheetId="2">#REF!</definedName>
    <definedName name="abcd" localSheetId="4">#REF!</definedName>
    <definedName name="abcd">#REF!</definedName>
    <definedName name="AC·U" localSheetId="2">#REF!</definedName>
    <definedName name="AC·U" localSheetId="4">#REF!</definedName>
    <definedName name="AC·U">#REF!</definedName>
    <definedName name="AI" localSheetId="2">[7]신규DEP!#REF!</definedName>
    <definedName name="AI" localSheetId="4">[7]신규DEP!#REF!</definedName>
    <definedName name="AI">[7]신규DEP!#REF!</definedName>
    <definedName name="ALTB" localSheetId="2">[6]RES!#REF!</definedName>
    <definedName name="ALTB" localSheetId="4">[6]RES!#REF!</definedName>
    <definedName name="ALTB">[6]RES!#REF!</definedName>
    <definedName name="AMAN" localSheetId="2">#REF!</definedName>
    <definedName name="AMAN" localSheetId="4">#REF!</definedName>
    <definedName name="AMAN">#REF!</definedName>
    <definedName name="AMT" localSheetId="2">#REF!</definedName>
    <definedName name="AMT" localSheetId="4">#REF!</definedName>
    <definedName name="AMT">#REF!</definedName>
    <definedName name="anscount" hidden="1">4</definedName>
    <definedName name="AO½A" localSheetId="2">#REF!</definedName>
    <definedName name="AO½A" localSheetId="4">#REF!</definedName>
    <definedName name="AO½A">#REF!</definedName>
    <definedName name="AS.BB" localSheetId="2">#REF!</definedName>
    <definedName name="AS.BB" localSheetId="4">#REF!</definedName>
    <definedName name="AS.BB">#REF!</definedName>
    <definedName name="ASD" localSheetId="2">[8]HP1AMLIST!#REF!</definedName>
    <definedName name="ASD" localSheetId="4">[8]HP1AMLIST!#REF!</definedName>
    <definedName name="ASD">[8]HP1AMLIST!#REF!</definedName>
    <definedName name="asdfg" localSheetId="0" hidden="1">{#N/A,#N/A,FALSE,"초도품";#N/A,#N/A,FALSE,"초도품 (2)";#N/A,#N/A,FALSE,"초도품 (3)";#N/A,#N/A,FALSE,"초도품 (4)";#N/A,#N/A,FALSE,"초도품 (5)";#N/A,#N/A,FALSE,"초도품 (6)"}</definedName>
    <definedName name="asdfg" localSheetId="2" hidden="1">{#N/A,#N/A,FALSE,"초도품";#N/A,#N/A,FALSE,"초도품 (2)";#N/A,#N/A,FALSE,"초도품 (3)";#N/A,#N/A,FALSE,"초도품 (4)";#N/A,#N/A,FALSE,"초도품 (5)";#N/A,#N/A,FALSE,"초도품 (6)"}</definedName>
    <definedName name="asdfg" localSheetId="4" hidden="1">{#N/A,#N/A,FALSE,"초도품";#N/A,#N/A,FALSE,"초도품 (2)";#N/A,#N/A,FALSE,"초도품 (3)";#N/A,#N/A,FALSE,"초도품 (4)";#N/A,#N/A,FALSE,"초도품 (5)";#N/A,#N/A,FALSE,"초도품 (6)"}</definedName>
    <definedName name="asdfg" hidden="1">{#N/A,#N/A,FALSE,"초도품";#N/A,#N/A,FALSE,"초도품 (2)";#N/A,#N/A,FALSE,"초도품 (3)";#N/A,#N/A,FALSE,"초도품 (4)";#N/A,#N/A,FALSE,"초도품 (5)";#N/A,#N/A,FALSE,"초도품 (6)"}</definedName>
    <definedName name="autoexec" localSheetId="2">'[9]CLM-MP'!#REF!</definedName>
    <definedName name="autoexec" localSheetId="4">'[9]CLM-MP'!#REF!</definedName>
    <definedName name="autoexec">'[9]CLM-MP'!#REF!</definedName>
    <definedName name="awc" localSheetId="2">#REF!</definedName>
    <definedName name="awc" localSheetId="4">#REF!</definedName>
    <definedName name="awc">#REF!</definedName>
    <definedName name="b">'[2]#REF'!$G$10</definedName>
    <definedName name="BB" localSheetId="2">[10]주행!#REF!</definedName>
    <definedName name="BB" localSheetId="4">[10]주행!#REF!</definedName>
    <definedName name="BB">[10]주행!#REF!</definedName>
    <definedName name="BBB" localSheetId="2">#REF!</definedName>
    <definedName name="BBB" localSheetId="4">#REF!</definedName>
    <definedName name="BBB">#REF!</definedName>
    <definedName name="bc" localSheetId="2">#REF!</definedName>
    <definedName name="bc" localSheetId="4">#REF!</definedName>
    <definedName name="bc">#REF!</definedName>
    <definedName name="BILD" localSheetId="2">#REF!</definedName>
    <definedName name="BILD" localSheetId="4">#REF!</definedName>
    <definedName name="BILD">#REF!</definedName>
    <definedName name="BOM_06_rrr" localSheetId="2">#REF!</definedName>
    <definedName name="BOM_06_rrr" localSheetId="4">#REF!</definedName>
    <definedName name="BOM_06_rrr">#REF!</definedName>
    <definedName name="BRKT_ASST" localSheetId="2">#REF!</definedName>
    <definedName name="BRKT_ASST" localSheetId="4">#REF!</definedName>
    <definedName name="BRKT_ASST">#REF!</definedName>
    <definedName name="CC" localSheetId="2">#REF!</definedName>
    <definedName name="CC" localSheetId="4">#REF!</definedName>
    <definedName name="CC">#REF!</definedName>
    <definedName name="CC.QQ" localSheetId="2">#REF!</definedName>
    <definedName name="CC.QQ" localSheetId="4">#REF!</definedName>
    <definedName name="CC.QQ">#REF!</definedName>
    <definedName name="CCC" localSheetId="2">#REF!</definedName>
    <definedName name="CCC" localSheetId="4">#REF!</definedName>
    <definedName name="CCC">#REF!</definedName>
    <definedName name="CF1_10_J_000617" localSheetId="2">#REF!</definedName>
    <definedName name="CF1_10_J_000617" localSheetId="4">#REF!</definedName>
    <definedName name="CF1_10_J_000617">#REF!</definedName>
    <definedName name="CF1_deleted_J" localSheetId="2">#REF!</definedName>
    <definedName name="CF1_deleted_J" localSheetId="4">#REF!</definedName>
    <definedName name="CF1_deleted_J">#REF!</definedName>
    <definedName name="CFprprprrkrkrkrkpdpddkdkdkdkdkd" localSheetId="2">[11]분석mast!#REF!</definedName>
    <definedName name="CFprprprrkrkrkrkpdpddkdkdkdkdkd" localSheetId="4">[11]분석mast!#REF!</definedName>
    <definedName name="CFprprprrkrkrkrkpdpddkdkdkdkdkd">[11]분석mast!#REF!</definedName>
    <definedName name="_xlnm.Criteria" localSheetId="2">[12]major!#REF!</definedName>
    <definedName name="_xlnm.Criteria" localSheetId="4">[12]major!#REF!</definedName>
    <definedName name="_xlnm.Criteria">[12]major!#REF!</definedName>
    <definedName name="d" localSheetId="2">#REF!</definedName>
    <definedName name="d" localSheetId="4">#REF!</definedName>
    <definedName name="d">#REF!</definedName>
    <definedName name="_xlnm.Database" localSheetId="2">#REF!</definedName>
    <definedName name="_xlnm.Database" localSheetId="4">#REF!</definedName>
    <definedName name="_xlnm.Database">#REF!</definedName>
    <definedName name="DD" localSheetId="2">#REF!</definedName>
    <definedName name="DD" localSheetId="4">#REF!</definedName>
    <definedName name="DD">#REF!</definedName>
    <definedName name="DDDD" localSheetId="0">[0]!BlankMacro1</definedName>
    <definedName name="DDDD" localSheetId="2">[0]!BlankMacro1</definedName>
    <definedName name="DDDD" localSheetId="4">[0]!BlankMacro1</definedName>
    <definedName name="DDDD">[0]!BlankMacro1</definedName>
    <definedName name="DIFF_J_H" localSheetId="2">#REF!</definedName>
    <definedName name="DIFF_J_H" localSheetId="4">#REF!</definedName>
    <definedName name="DIFF_J_H">#REF!</definedName>
    <definedName name="DKDKFG8TBTB2RT" localSheetId="2">#REF!</definedName>
    <definedName name="DKDKFG8TBTB2RT" localSheetId="4">#REF!</definedName>
    <definedName name="DKDKFG8TBTB2RT">#REF!</definedName>
    <definedName name="DM" localSheetId="2">#REF!</definedName>
    <definedName name="DM" localSheetId="4">#REF!</definedName>
    <definedName name="DM">#REF!</definedName>
    <definedName name="EE" localSheetId="2">#REF!</definedName>
    <definedName name="EE" localSheetId="4">#REF!</definedName>
    <definedName name="EE">#REF!</definedName>
    <definedName name="EEEEEE" localSheetId="0">[0]!BlankMacro1</definedName>
    <definedName name="EEEEEE" localSheetId="2">[0]!BlankMacro1</definedName>
    <definedName name="EEEEEE" localSheetId="4">[0]!BlankMacro1</definedName>
    <definedName name="EEEEEE">[0]!BlankMacro1</definedName>
    <definedName name="_xlnm.Extract" localSheetId="2">[12]major!#REF!</definedName>
    <definedName name="_xlnm.Extract" localSheetId="4">[12]major!#REF!</definedName>
    <definedName name="_xlnm.Extract">[12]major!#REF!</definedName>
    <definedName name="fax_attn" localSheetId="2">#REF!</definedName>
    <definedName name="fax_attn" localSheetId="4">#REF!</definedName>
    <definedName name="fax_attn">#REF!</definedName>
    <definedName name="fax_body" localSheetId="2">#REF!</definedName>
    <definedName name="fax_body" localSheetId="4">#REF!</definedName>
    <definedName name="fax_body">#REF!</definedName>
    <definedName name="fax_date" localSheetId="2">#REF!</definedName>
    <definedName name="fax_date" localSheetId="4">#REF!</definedName>
    <definedName name="fax_date">#REF!</definedName>
    <definedName name="fax_email" localSheetId="2">#REF!</definedName>
    <definedName name="fax_email" localSheetId="4">#REF!</definedName>
    <definedName name="fax_email">#REF!</definedName>
    <definedName name="fax_from" localSheetId="2">#REF!</definedName>
    <definedName name="fax_from" localSheetId="4">#REF!</definedName>
    <definedName name="fax_from">#REF!</definedName>
    <definedName name="fax_head" localSheetId="2">#REF!</definedName>
    <definedName name="fax_head" localSheetId="4">#REF!</definedName>
    <definedName name="fax_head">#REF!</definedName>
    <definedName name="fax_no" localSheetId="2">#REF!</definedName>
    <definedName name="fax_no" localSheetId="4">#REF!</definedName>
    <definedName name="fax_no">#REF!</definedName>
    <definedName name="fax_page" localSheetId="2">#REF!</definedName>
    <definedName name="fax_page" localSheetId="4">#REF!</definedName>
    <definedName name="fax_page">#REF!</definedName>
    <definedName name="fax_re" localSheetId="2">#REF!</definedName>
    <definedName name="fax_re" localSheetId="4">#REF!</definedName>
    <definedName name="fax_re">#REF!</definedName>
    <definedName name="fax_ref" localSheetId="2">#REF!</definedName>
    <definedName name="fax_ref" localSheetId="4">#REF!</definedName>
    <definedName name="fax_ref">#REF!</definedName>
    <definedName name="fax_to" localSheetId="2">#REF!</definedName>
    <definedName name="fax_to" localSheetId="4">#REF!</definedName>
    <definedName name="fax_to">#REF!</definedName>
    <definedName name="FDFS" localSheetId="2">#REF!</definedName>
    <definedName name="FDFS" localSheetId="4">#REF!</definedName>
    <definedName name="FDFS">#REF!</definedName>
    <definedName name="FF" localSheetId="2">#REF!</definedName>
    <definedName name="FF" localSheetId="4">#REF!</definedName>
    <definedName name="FF">#REF!</definedName>
    <definedName name="FFSD" hidden="1">#REF!</definedName>
    <definedName name="FG12TBTB2RTDKDKGMLRT" localSheetId="2">[13]협조전!#REF!</definedName>
    <definedName name="FG12TBTB2RTDKDKGMLRT" localSheetId="4">[13]협조전!#REF!</definedName>
    <definedName name="FG12TBTB2RTDKDKGMLRT">[13]협조전!#REF!</definedName>
    <definedName name="fgPRPRRKRKRKRKRKTBTB2RT" localSheetId="2">'[14]11'!#REF!</definedName>
    <definedName name="fgPRPRRKRKRKRKRKTBTB2RT" localSheetId="4">'[14]11'!#REF!</definedName>
    <definedName name="fgPRPRRKRKRKRKRKTBTB2RT">'[14]11'!#REF!</definedName>
    <definedName name="fgPRRKRKRKTBTB1RT" localSheetId="2">[6]RES!#REF!</definedName>
    <definedName name="fgPRRKRKRKTBTB1RT" localSheetId="4">[6]RES!#REF!</definedName>
    <definedName name="fgPRRKRKRKTBTB1RT">[6]RES!#REF!</definedName>
    <definedName name="FGR12C15TBTB1RTDKDK" localSheetId="2">[6]RES!#REF!</definedName>
    <definedName name="FGR12C15TBTB1RTDKDK" localSheetId="4">[6]RES!#REF!</definedName>
    <definedName name="FGR12C15TBTB1RTDKDK">[6]RES!#REF!</definedName>
    <definedName name="FGRKBS11TBTB3RTDKDK" localSheetId="2">[15]협조전!#REF!</definedName>
    <definedName name="FGRKBS11TBTB3RTDKDK" localSheetId="4">[15]협조전!#REF!</definedName>
    <definedName name="FGRKBS11TBTB3RTDKDK">[15]협조전!#REF!</definedName>
    <definedName name="fgRKBS8TBTB3RT" localSheetId="2">[15]협조전!#REF!</definedName>
    <definedName name="fgRKBS8TBTB3RT" localSheetId="4">[15]협조전!#REF!</definedName>
    <definedName name="fgRKBS8TBTB3RT">[15]협조전!#REF!</definedName>
    <definedName name="fgRKRKRKRKRKTBTB2RTDKDK" localSheetId="2">#REF!</definedName>
    <definedName name="fgRKRKRKRKRKTBTB2RTDKDK" localSheetId="4">#REF!</definedName>
    <definedName name="fgRKRKRKRKRKTBTB2RTDKDK">#REF!</definedName>
    <definedName name="FGRKRKRKTBTB1RTDKDK" localSheetId="2">[6]RES!#REF!</definedName>
    <definedName name="FGRKRKRKTBTB1RTDKDK" localSheetId="4">[6]RES!#REF!</definedName>
    <definedName name="FGRKRKRKTBTB1RTDKDK">[6]RES!#REF!</definedName>
    <definedName name="FGRKRKTBTB3RTDKDK" localSheetId="2">[6]RES!#REF!</definedName>
    <definedName name="FGRKRKTBTB3RTDKDK" localSheetId="4">[6]RES!#REF!</definedName>
    <definedName name="FGRKRKTBTB3RTDKDK">[6]RES!#REF!</definedName>
    <definedName name="FGtbtbspspsprtdkdk" localSheetId="2">[16]BUS제원1!#REF!</definedName>
    <definedName name="FGtbtbspspsprtdkdk" localSheetId="4">[16]BUS제원1!#REF!</definedName>
    <definedName name="FGtbtbspspsprtdkdk">[16]BUS제원1!#REF!</definedName>
    <definedName name="FRTDRFC3" localSheetId="2">#REF!</definedName>
    <definedName name="FRTDRFC3" localSheetId="4">#REF!</definedName>
    <definedName name="FRTDRFC3">#REF!</definedName>
    <definedName name="FRTDRFC4" localSheetId="2">#REF!</definedName>
    <definedName name="FRTDRFC4" localSheetId="4">#REF!</definedName>
    <definedName name="FRTDRFC4">#REF!</definedName>
    <definedName name="g" localSheetId="0">[0]!BlankMacro1</definedName>
    <definedName name="g" localSheetId="2">[0]!BlankMacro1</definedName>
    <definedName name="g" localSheetId="4">[0]!BlankMacro1</definedName>
    <definedName name="g">[0]!BlankMacro1</definedName>
    <definedName name="gbe" localSheetId="0">[0]!BlankMacro1</definedName>
    <definedName name="gbe" localSheetId="2">[0]!BlankMacro1</definedName>
    <definedName name="gbe" localSheetId="4">[0]!BlankMacro1</definedName>
    <definedName name="gbe">[0]!BlankMacro1</definedName>
    <definedName name="GDGDG">[17]Macro1!$B$1</definedName>
    <definedName name="GFDGFSDAG" localSheetId="2">#REF!</definedName>
    <definedName name="GFDGFSDAG" localSheetId="4">#REF!</definedName>
    <definedName name="GFDGFSDAG">#REF!</definedName>
    <definedName name="GG" localSheetId="2">#REF!</definedName>
    <definedName name="GG" localSheetId="4">#REF!</definedName>
    <definedName name="GG">#REF!</definedName>
    <definedName name="greg" localSheetId="0">[0]!BlankMacro1</definedName>
    <definedName name="greg" localSheetId="2">[0]!BlankMacro1</definedName>
    <definedName name="greg" localSheetId="4">[0]!BlankMacro1</definedName>
    <definedName name="greg">[0]!BlankMacro1</definedName>
    <definedName name="grg" localSheetId="0">[0]!BlankMacro1</definedName>
    <definedName name="grg" localSheetId="2">[0]!BlankMacro1</definedName>
    <definedName name="grg" localSheetId="4">[0]!BlankMacro1</definedName>
    <definedName name="grg">[0]!BlankMacro1</definedName>
    <definedName name="gt" localSheetId="0">[0]!BlankMacro1</definedName>
    <definedName name="gt" localSheetId="2">[0]!BlankMacro1</definedName>
    <definedName name="gt" localSheetId="4">[0]!BlankMacro1</definedName>
    <definedName name="gt">[0]!BlankMacro1</definedName>
    <definedName name="gtr" localSheetId="0">[0]!BlankMacro1</definedName>
    <definedName name="gtr" localSheetId="2">[0]!BlankMacro1</definedName>
    <definedName name="gtr" localSheetId="4">[0]!BlankMacro1</definedName>
    <definedName name="gtr">[0]!BlankMacro1</definedName>
    <definedName name="H11A01K" localSheetId="2">#REF!</definedName>
    <definedName name="H11A01K" localSheetId="4">#REF!</definedName>
    <definedName name="H11A01K">#REF!</definedName>
    <definedName name="HGHGHG">'[18]#REF'!$A$1</definedName>
    <definedName name="hh" localSheetId="2">#REF!</definedName>
    <definedName name="hh" localSheetId="4">#REF!</definedName>
    <definedName name="hh">#REF!</definedName>
    <definedName name="hhhh" localSheetId="2">[19]주행!#REF!</definedName>
    <definedName name="hhhh" localSheetId="4">[19]주행!#REF!</definedName>
    <definedName name="hhhh">[19]주행!#REF!</definedName>
    <definedName name="HP종합" localSheetId="0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4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rg" localSheetId="0">[0]!BlankMacro1</definedName>
    <definedName name="hrg" localSheetId="2">[0]!BlankMacro1</definedName>
    <definedName name="hrg" localSheetId="4">[0]!BlankMacro1</definedName>
    <definedName name="hrg">[0]!BlankMacro1</definedName>
    <definedName name="II" localSheetId="2">#REF!</definedName>
    <definedName name="II" localSheetId="4">#REF!</definedName>
    <definedName name="II">#REF!</definedName>
    <definedName name="ISIR문제">[6]RES!$B$2:$G$247</definedName>
    <definedName name="J2COUPE.EXT.ALTC" localSheetId="2">[6]RES!#REF!</definedName>
    <definedName name="J2COUPE.EXT.ALTC" localSheetId="4">[6]RES!#REF!</definedName>
    <definedName name="J2COUPE.EXT.ALTC">[6]RES!#REF!</definedName>
    <definedName name="jj" localSheetId="0">[0]!BlankMacro1</definedName>
    <definedName name="jj" localSheetId="2">[0]!BlankMacro1</definedName>
    <definedName name="jj" localSheetId="4">[0]!BlankMacro1</definedName>
    <definedName name="jj">[0]!BlankMacro1</definedName>
    <definedName name="KJH" localSheetId="2">#REF!</definedName>
    <definedName name="KJH" localSheetId="4">#REF!</definedName>
    <definedName name="KJH">#REF!</definedName>
    <definedName name="L" localSheetId="2">[13]협조전!#REF!</definedName>
    <definedName name="L" localSheetId="4">[13]협조전!#REF!</definedName>
    <definedName name="L">[13]협조전!#REF!</definedName>
    <definedName name="LCP12GRP" localSheetId="2">'[20]p2-1'!#REF!</definedName>
    <definedName name="LCP12GRP" localSheetId="4">'[20]p2-1'!#REF!</definedName>
    <definedName name="LCP12GRP">'[20]p2-1'!#REF!</definedName>
    <definedName name="LIST" localSheetId="2">#REF!</definedName>
    <definedName name="LIST" localSheetId="4">#REF!</definedName>
    <definedName name="LIST">#REF!</definedName>
    <definedName name="MA" localSheetId="2">#REF!</definedName>
    <definedName name="MA" localSheetId="4">#REF!</definedName>
    <definedName name="MA">#REF!</definedName>
    <definedName name="Macro1">[21]Macro1!$A$1</definedName>
    <definedName name="Macro10">[22]팀별종합!$B$1</definedName>
    <definedName name="Macro11">[23]Macro1!$I$1:$I$11</definedName>
    <definedName name="Macro12" localSheetId="2">#REF!</definedName>
    <definedName name="Macro12" localSheetId="4">#REF!</definedName>
    <definedName name="Macro12">#REF!</definedName>
    <definedName name="Macro13" localSheetId="2">#REF!</definedName>
    <definedName name="Macro13" localSheetId="4">#REF!</definedName>
    <definedName name="Macro13">#REF!</definedName>
    <definedName name="Macro15" localSheetId="2">#REF!</definedName>
    <definedName name="Macro15" localSheetId="4">#REF!</definedName>
    <definedName name="Macro15">#REF!</definedName>
    <definedName name="Macro16" localSheetId="2">#REF!</definedName>
    <definedName name="Macro16" localSheetId="4">#REF!</definedName>
    <definedName name="Macro16">#REF!</definedName>
    <definedName name="Macro21" localSheetId="2">#REF!</definedName>
    <definedName name="Macro21" localSheetId="4">#REF!</definedName>
    <definedName name="Macro21">#REF!</definedName>
    <definedName name="Macro4">[21]Macro1!$B$1</definedName>
    <definedName name="Macro5">[21]Macro1!$C$1</definedName>
    <definedName name="Macro6" localSheetId="2">#REF!</definedName>
    <definedName name="Macro6" localSheetId="4">#REF!</definedName>
    <definedName name="Macro6">#REF!</definedName>
    <definedName name="Macro7">[21]Macro1!$D$1</definedName>
    <definedName name="Macro8">[21]Macro1!$E$1</definedName>
    <definedName name="Macro9">[21]Macro1!$F$1</definedName>
    <definedName name="MC" localSheetId="2">#REF!</definedName>
    <definedName name="MC" localSheetId="4">#REF!</definedName>
    <definedName name="MC">#REF!</definedName>
    <definedName name="MH" localSheetId="2">#REF!</definedName>
    <definedName name="MH" localSheetId="4">#REF!</definedName>
    <definedName name="MH">#REF!</definedName>
    <definedName name="mmm" localSheetId="2">'[24]p2-1'!#REF!</definedName>
    <definedName name="mmm" localSheetId="4">'[24]p2-1'!#REF!</definedName>
    <definedName name="mmm">'[24]p2-1'!#REF!</definedName>
    <definedName name="Mq" localSheetId="2">[25]GRACE!#REF!</definedName>
    <definedName name="Mq" localSheetId="4">[25]GRACE!#REF!</definedName>
    <definedName name="Mq">[25]GRACE!#REF!</definedName>
    <definedName name="MZ" localSheetId="2">[11]구동!#REF!</definedName>
    <definedName name="MZ" localSheetId="4">[11]구동!#REF!</definedName>
    <definedName name="MZ">[11]구동!#REF!</definedName>
    <definedName name="M행">[26]대외공문!$V$11:$AC$11</definedName>
    <definedName name="N" localSheetId="2">[6]RES!#REF!</definedName>
    <definedName name="N" localSheetId="4">[6]RES!#REF!</definedName>
    <definedName name="N">[6]RES!#REF!</definedName>
    <definedName name="nbg" localSheetId="0">[0]!BlankMacro1</definedName>
    <definedName name="nbg" localSheetId="2">[0]!BlankMacro1</definedName>
    <definedName name="nbg" localSheetId="4">[0]!BlankMacro1</definedName>
    <definedName name="nbg">[0]!BlankMacro1</definedName>
    <definedName name="nn" localSheetId="0">[0]!BlankMacro1</definedName>
    <definedName name="nn" localSheetId="2">[0]!BlankMacro1</definedName>
    <definedName name="nn" localSheetId="4">[0]!BlankMacro1</definedName>
    <definedName name="nn">[0]!BlankMacro1</definedName>
    <definedName name="NOMU" localSheetId="2">#REF!</definedName>
    <definedName name="NOMU" localSheetId="4">#REF!</definedName>
    <definedName name="NOMU">#REF!</definedName>
    <definedName name="N행">[26]대외공문!$V$13:$AC$13</definedName>
    <definedName name="O" localSheetId="2">#REF!</definedName>
    <definedName name="O" localSheetId="4">#REF!</definedName>
    <definedName name="O">#REF!</definedName>
    <definedName name="offer">[27]NDT견적!$C$4:$D$4,[27]NDT견적!$F$4,[27]NDT견적!$F$4:$H$4,[27]NDT견적!$C$6:$D$6,[27]NDT견적!$F$6:$H$6,[27]NDT견적!$D$9:$H$13,[27]NDT견적!$B$19:$I$40,[27]NDT견적!$C$42:$J$44,[27]NDT견적!$B$43:$B$44</definedName>
    <definedName name="O행">[26]대외공문!$V$17:$AC$17</definedName>
    <definedName name="P1A¤A¡" localSheetId="2">#REF!</definedName>
    <definedName name="P1A¤A¡" localSheetId="4">#REF!</definedName>
    <definedName name="P1A¤A¡">#REF!</definedName>
    <definedName name="P1정치" localSheetId="2">#REF!</definedName>
    <definedName name="P1정치" localSheetId="4">#REF!</definedName>
    <definedName name="P1정치">#REF!</definedName>
    <definedName name="PBOM_QQ" localSheetId="2">#REF!</definedName>
    <definedName name="PBOM_QQ" localSheetId="4">#REF!</definedName>
    <definedName name="PBOM_QQ">#REF!</definedName>
    <definedName name="PM0tb0tb198tb2tb2rtOR34C122rtrt" localSheetId="2">[6]RES!#REF!</definedName>
    <definedName name="PM0tb0tb198tb2tb2rtOR34C122rtrt" localSheetId="4">[6]RES!#REF!</definedName>
    <definedName name="PM0tb0tb198tb2tb2rtOR34C122rtrt">[6]RES!#REF!</definedName>
    <definedName name="PM0tb0tb198tb38tb44rtOR138C121r" localSheetId="2">[6]RES!#REF!</definedName>
    <definedName name="PM0tb0tb198tb38tb44rtOR138C121r" localSheetId="4">[6]RES!#REF!</definedName>
    <definedName name="PM0tb0tb198tb38tb44rtOR138C121r">[6]RES!#REF!</definedName>
    <definedName name="PM0tb0tb198tb38tb44rtOR138C122r" localSheetId="2">[6]RES!#REF!</definedName>
    <definedName name="PM0tb0tb198tb38tb44rtOR138C122r" localSheetId="4">[6]RES!#REF!</definedName>
    <definedName name="PM0tb0tb198tb38tb44rtOR138C122r">[6]RES!#REF!</definedName>
    <definedName name="_xlnm.Print_Area" localSheetId="0">관리대장1!$A$1:$K$106</definedName>
    <definedName name="_xlnm.Print_Area" localSheetId="2">자동차!$A$1:$M$212</definedName>
    <definedName name="_xlnm.Print_Area" localSheetId="4">조립!$A$1:$R$215</definedName>
    <definedName name="_xlnm.Print_Area">'[2]#REF'!$A$4:$H$136</definedName>
    <definedName name="PRINT_AREA_MI" localSheetId="2">'[28]RD제품개발투자비(매가)'!#REF!</definedName>
    <definedName name="PRINT_AREA_MI" localSheetId="4">'[28]RD제품개발투자비(매가)'!#REF!</definedName>
    <definedName name="PRINT_AREA_MI">'[28]RD제품개발투자비(매가)'!#REF!</definedName>
    <definedName name="_xlnm.Print_Titles" localSheetId="0">관리대장1!$1:$6</definedName>
    <definedName name="_xlnm.Print_Titles" localSheetId="2">자동차!$1:$6</definedName>
    <definedName name="_xlnm.Print_Titles" localSheetId="4">조립!$1:$6</definedName>
    <definedName name="_xlnm.Print_Titles">#REF!</definedName>
    <definedName name="P시험용도차납품현황">[29]차종별!$B$1</definedName>
    <definedName name="P시험용도차현황">[30]Macro1!$C$1</definedName>
    <definedName name="P행">[26]대외공문!$V$19:$AC$19</definedName>
    <definedName name="QQQ" localSheetId="0">[0]!BlankMacro1</definedName>
    <definedName name="QQQ" localSheetId="2">[0]!BlankMacro1</definedName>
    <definedName name="QQQ" localSheetId="4">[0]!BlankMacro1</definedName>
    <definedName name="QQQ">[0]!BlankMacro1</definedName>
    <definedName name="QSCDXC" localSheetId="2">#REF!</definedName>
    <definedName name="QSCDXC" localSheetId="4">#REF!</definedName>
    <definedName name="QSCDXC">#REF!</definedName>
    <definedName name="Q행">[26]대외공문!$V$23:$AC$23</definedName>
    <definedName name="RA" localSheetId="2">[31]구동!#REF!</definedName>
    <definedName name="RA" localSheetId="4">[31]구동!#REF!</definedName>
    <definedName name="RA">[31]구동!#REF!</definedName>
    <definedName name="RD99현황" localSheetId="2">[6]RES!#REF!</definedName>
    <definedName name="RD99현황" localSheetId="4">[6]RES!#REF!</definedName>
    <definedName name="RD99현황">[6]RES!#REF!</definedName>
    <definedName name="record" localSheetId="2">[6]RES!#REF!</definedName>
    <definedName name="record" localSheetId="4">[6]RES!#REF!</definedName>
    <definedName name="record">[6]RES!#REF!</definedName>
    <definedName name="reg" localSheetId="0">[0]!BlankMacro1</definedName>
    <definedName name="reg" localSheetId="2">[0]!BlankMacro1</definedName>
    <definedName name="reg" localSheetId="4">[0]!BlankMacro1</definedName>
    <definedName name="reg">[0]!BlankMacro1</definedName>
    <definedName name="RMRMR" localSheetId="2">#REF!</definedName>
    <definedName name="RMRMR" localSheetId="4">#REF!</definedName>
    <definedName name="RMRMR">#REF!</definedName>
    <definedName name="RQtn_Date" localSheetId="2">#REF!</definedName>
    <definedName name="RQtn_Date" localSheetId="4">#REF!</definedName>
    <definedName name="RQtn_Date">#REF!</definedName>
    <definedName name="RQtn_No" localSheetId="2">#REF!</definedName>
    <definedName name="RQtn_No" localSheetId="4">#REF!</definedName>
    <definedName name="RQtn_No">#REF!</definedName>
    <definedName name="RQtnEtc1" localSheetId="2">#REF!</definedName>
    <definedName name="RQtnEtc1" localSheetId="4">#REF!</definedName>
    <definedName name="RQtnEtc1">#REF!</definedName>
    <definedName name="RQtnEtc2" localSheetId="2">[32]현대!#REF!</definedName>
    <definedName name="RQtnEtc2" localSheetId="4">[32]현대!#REF!</definedName>
    <definedName name="RQtnEtc2">[32]현대!#REF!</definedName>
    <definedName name="RQtnEtc3" localSheetId="2">#REF!</definedName>
    <definedName name="RQtnEtc3" localSheetId="4">#REF!</definedName>
    <definedName name="RQtnEtc3">#REF!</definedName>
    <definedName name="RQtn고객" localSheetId="2">#REF!</definedName>
    <definedName name="RQtn고객" localSheetId="4">#REF!</definedName>
    <definedName name="RQtn고객">#REF!</definedName>
    <definedName name="RQtn고객명" localSheetId="2">#REF!</definedName>
    <definedName name="RQtn고객명" localSheetId="4">#REF!</definedName>
    <definedName name="RQtn고객명">#REF!</definedName>
    <definedName name="RQtn금액" localSheetId="2">#REF!</definedName>
    <definedName name="RQtn금액" localSheetId="4">#REF!</definedName>
    <definedName name="RQtn금액">#REF!</definedName>
    <definedName name="RQtn납품기간" localSheetId="2">#REF!</definedName>
    <definedName name="RQtn납품기간" localSheetId="4">#REF!</definedName>
    <definedName name="RQtn납품기간">#REF!</definedName>
    <definedName name="RQtn납품장소" localSheetId="2">#REF!</definedName>
    <definedName name="RQtn납품장소" localSheetId="4">#REF!</definedName>
    <definedName name="RQtn납품장소">#REF!</definedName>
    <definedName name="RQtn단가" localSheetId="2">#REF!</definedName>
    <definedName name="RQtn단가" localSheetId="4">#REF!</definedName>
    <definedName name="RQtn단가">#REF!</definedName>
    <definedName name="RQtn단위" localSheetId="2">#REF!</definedName>
    <definedName name="RQtn단위" localSheetId="4">#REF!</definedName>
    <definedName name="RQtn단위">#REF!</definedName>
    <definedName name="RQtn담당자" localSheetId="2">#REF!</definedName>
    <definedName name="RQtn담당자" localSheetId="4">#REF!</definedName>
    <definedName name="RQtn담당자">#REF!</definedName>
    <definedName name="RQtn메모" localSheetId="2">#REF!</definedName>
    <definedName name="RQtn메모" localSheetId="4">#REF!</definedName>
    <definedName name="RQtn메모">#REF!</definedName>
    <definedName name="RQtn번호" localSheetId="2">#REF!</definedName>
    <definedName name="RQtn번호" localSheetId="4">#REF!</definedName>
    <definedName name="RQtn번호">#REF!</definedName>
    <definedName name="RQtn보증기간" localSheetId="2">#REF!</definedName>
    <definedName name="RQtn보증기간" localSheetId="4">#REF!</definedName>
    <definedName name="RQtn보증기간">#REF!</definedName>
    <definedName name="RQtn부서명" localSheetId="2">#REF!</definedName>
    <definedName name="RQtn부서명" localSheetId="4">#REF!</definedName>
    <definedName name="RQtn부서명">#REF!</definedName>
    <definedName name="RQtn수량" localSheetId="2">#REF!</definedName>
    <definedName name="RQtn수량" localSheetId="4">#REF!</definedName>
    <definedName name="RQtn수량">#REF!</definedName>
    <definedName name="RQtn유효기간" localSheetId="2">#REF!</definedName>
    <definedName name="RQtn유효기간" localSheetId="4">#REF!</definedName>
    <definedName name="RQtn유효기간">#REF!</definedName>
    <definedName name="RQtn자료삭제">[33]NDT견적!$C$4:$D$4,[33]NDT견적!$F$4,[33]NDT견적!$F$4:$H$4,[33]NDT견적!$C$6:$D$6,[33]NDT견적!$F$6:$H$6,[33]NDT견적!$D$9:$H$13,[33]NDT견적!$B$19:$I$40,[33]NDT견적!$C$42:$J$44,[33]NDT견적!$B$43:$B$44</definedName>
    <definedName name="rQtn자료삭제1" localSheetId="2">#REF!,#REF!,#REF!,#REF!,#REF!,#REF!,#REF!,#REF!,#REF!,#REF!,#REF!,#REF!,#REF!,#REF!,#REF!,#REF!</definedName>
    <definedName name="rQtn자료삭제1" localSheetId="4">#REF!,#REF!,#REF!,#REF!,#REF!,#REF!,#REF!,#REF!,#REF!,#REF!,#REF!,#REF!,#REF!,#REF!,#REF!,#REF!</definedName>
    <definedName name="rQtn자료삭제1">#REF!,#REF!,#REF!,#REF!,#REF!,#REF!,#REF!,#REF!,#REF!,#REF!,#REF!,#REF!,#REF!,#REF!,#REF!,#REF!</definedName>
    <definedName name="RQtn작성자" localSheetId="2">#REF!</definedName>
    <definedName name="RQtn작성자" localSheetId="4">#REF!</definedName>
    <definedName name="RQtn작성자">#REF!</definedName>
    <definedName name="RQtn지불조건" localSheetId="2">#REF!</definedName>
    <definedName name="RQtn지불조건" localSheetId="4">#REF!</definedName>
    <definedName name="RQtn지불조건">#REF!</definedName>
    <definedName name="RQtn총금액" localSheetId="2">#REF!</definedName>
    <definedName name="RQtn총금액" localSheetId="4">#REF!</definedName>
    <definedName name="RQtn총금액">#REF!</definedName>
    <definedName name="RQtn품명_규격" localSheetId="2">#REF!</definedName>
    <definedName name="RQtn품명_규격" localSheetId="4">#REF!</definedName>
    <definedName name="RQtn품명_규격">#REF!</definedName>
    <definedName name="RQtn한글금액" localSheetId="2">#REF!</definedName>
    <definedName name="RQtn한글금액" localSheetId="4">#REF!</definedName>
    <definedName name="RQtn한글금액">#REF!</definedName>
    <definedName name="RR" localSheetId="2">#REF!</definedName>
    <definedName name="RR" localSheetId="4">#REF!</definedName>
    <definedName name="RR">#REF!</definedName>
    <definedName name="rrr" localSheetId="0">[0]!BlankMacro1</definedName>
    <definedName name="rrr" localSheetId="2">[0]!BlankMacro1</definedName>
    <definedName name="rrr" localSheetId="4">[0]!BlankMacro1</definedName>
    <definedName name="rrr">[0]!BlankMacro1</definedName>
    <definedName name="RRRRRRR" localSheetId="0">[0]!BlankMacro1</definedName>
    <definedName name="RRRRRRR" localSheetId="2">[0]!BlankMacro1</definedName>
    <definedName name="RRRRRRR" localSheetId="4">[0]!BlankMacro1</definedName>
    <definedName name="RRRRRRR">[0]!BlankMacro1</definedName>
    <definedName name="RT.RTDK" localSheetId="2">#REF!</definedName>
    <definedName name="RT.RTDK" localSheetId="4">#REF!</definedName>
    <definedName name="RT.RTDK">#REF!</definedName>
    <definedName name="RTCLCRCRCRCRCRCRDLRTDKDK" localSheetId="2">[6]RES!#REF!</definedName>
    <definedName name="RTCLCRCRCRCRCRCRDLRTDKDK" localSheetId="4">[6]RES!#REF!</definedName>
    <definedName name="RTCLCRCRCRCRCRCRDLRTDKDK">[6]RES!#REF!</definedName>
    <definedName name="RTCLDLRTDK" localSheetId="2">[34]SANTAMO!#REF!</definedName>
    <definedName name="RTCLDLRTDK" localSheetId="4">[34]SANTAMO!#REF!</definedName>
    <definedName name="RTCLDLRTDK">[34]SANTAMO!#REF!</definedName>
    <definedName name="RTCLSPRT" localSheetId="2">'[14]11'!#REF!</definedName>
    <definedName name="RTCLSPRT" localSheetId="4">'[14]11'!#REF!</definedName>
    <definedName name="RTCLSPRT">'[14]11'!#REF!</definedName>
    <definedName name="RTCLSPRTDK" localSheetId="2">'[2]#REF'!#REF!</definedName>
    <definedName name="RTCLSPRTDK" localSheetId="4">'[2]#REF'!#REF!</definedName>
    <definedName name="RTCLSPRTDK">'[2]#REF'!#REF!</definedName>
    <definedName name="RT울산시RTDKDK" localSheetId="2">[6]RES!#REF!</definedName>
    <definedName name="RT울산시RTDKDK" localSheetId="4">[6]RES!#REF!</definedName>
    <definedName name="RT울산시RTDKDK">[6]RES!#REF!</definedName>
    <definedName name="R행">[26]대외공문!$V$26:$AC$26</definedName>
    <definedName name="s" localSheetId="0">[0]!BlankMacro1</definedName>
    <definedName name="s" localSheetId="2">[0]!BlankMacro1</definedName>
    <definedName name="s" localSheetId="4">[0]!BlankMacro1</definedName>
    <definedName name="s">[0]!BlankMacro1</definedName>
    <definedName name="schedule" localSheetId="0">[0]!BlankMacro1</definedName>
    <definedName name="schedule" localSheetId="2">[0]!BlankMacro1</definedName>
    <definedName name="schedule" localSheetId="4">[0]!BlankMacro1</definedName>
    <definedName name="schedule">[0]!BlankMacro1</definedName>
    <definedName name="sdddd" localSheetId="2">#REF!</definedName>
    <definedName name="sdddd" localSheetId="4">#REF!</definedName>
    <definedName name="sdddd">#REF!</definedName>
    <definedName name="sheet4" localSheetId="0">[0]!BlankMacro1</definedName>
    <definedName name="sheet4" localSheetId="2">[0]!BlankMacro1</definedName>
    <definedName name="sheet4" localSheetId="4">[0]!BlankMacro1</definedName>
    <definedName name="sheet4">[0]!BlankMacro1</definedName>
    <definedName name="SPACE" localSheetId="2">#REF!</definedName>
    <definedName name="SPACE" localSheetId="4">#REF!</definedName>
    <definedName name="SPACE">#REF!</definedName>
    <definedName name="SPEED_D170" localSheetId="2">#REF!</definedName>
    <definedName name="SPEED_D170" localSheetId="4">#REF!</definedName>
    <definedName name="SPEED_D170">#REF!</definedName>
    <definedName name="ss" localSheetId="0">[0]!BlankMacro1</definedName>
    <definedName name="ss" localSheetId="2">[0]!BlankMacro1</definedName>
    <definedName name="ss" localSheetId="4">[0]!BlankMacro1</definedName>
    <definedName name="ss">[0]!BlankMacro1</definedName>
    <definedName name="sss" localSheetId="2">#REF!</definedName>
    <definedName name="sss" localSheetId="4">#REF!</definedName>
    <definedName name="sss">#REF!</definedName>
    <definedName name="S행" localSheetId="2">[26]대외공문!#REF!</definedName>
    <definedName name="S행" localSheetId="4">[26]대외공문!#REF!</definedName>
    <definedName name="S행">[26]대외공문!#REF!</definedName>
    <definedName name="TAMAN" localSheetId="2">#REF!</definedName>
    <definedName name="TAMAN" localSheetId="4">#REF!</definedName>
    <definedName name="TAMAN">#REF!</definedName>
    <definedName name="TBILD" localSheetId="2">#REF!</definedName>
    <definedName name="TBILD" localSheetId="4">#REF!</definedName>
    <definedName name="TBILD">#REF!</definedName>
    <definedName name="temp" localSheetId="2">#REF!</definedName>
    <definedName name="temp" localSheetId="4">#REF!</definedName>
    <definedName name="temp">#REF!</definedName>
    <definedName name="TMAN" localSheetId="2">#REF!</definedName>
    <definedName name="TMAN" localSheetId="4">#REF!</definedName>
    <definedName name="TMAN">#REF!</definedName>
    <definedName name="TMC" localSheetId="2">#REF!</definedName>
    <definedName name="TMC" localSheetId="4">#REF!</definedName>
    <definedName name="TMC">#REF!</definedName>
    <definedName name="TMH" localSheetId="2">#REF!</definedName>
    <definedName name="TMH" localSheetId="4">#REF!</definedName>
    <definedName name="TMH">#REF!</definedName>
    <definedName name="TNOMU" localSheetId="2">#REF!</definedName>
    <definedName name="TNOMU" localSheetId="4">#REF!</definedName>
    <definedName name="TNOMU">#REF!</definedName>
    <definedName name="to" localSheetId="0">[0]!BlankMacro1</definedName>
    <definedName name="to" localSheetId="2">[0]!BlankMacro1</definedName>
    <definedName name="to" localSheetId="4">[0]!BlankMacro1</definedName>
    <definedName name="to">[0]!BlankMacro1</definedName>
    <definedName name="total" localSheetId="0">[0]!BlankMacro1</definedName>
    <definedName name="total" localSheetId="2">[0]!BlankMacro1</definedName>
    <definedName name="total" localSheetId="4">[0]!BlankMacro1</definedName>
    <definedName name="total">[0]!BlankMacro1</definedName>
    <definedName name="TSPACE" localSheetId="2">#REF!</definedName>
    <definedName name="TSPACE" localSheetId="4">#REF!</definedName>
    <definedName name="TSPACE">#REF!</definedName>
    <definedName name="TTMAN" localSheetId="2">#REF!</definedName>
    <definedName name="TTMAN" localSheetId="4">#REF!</definedName>
    <definedName name="TTMAN">#REF!</definedName>
    <definedName name="TTTTTTT" localSheetId="0">[0]!BlankMacro1</definedName>
    <definedName name="TTTTTTT" localSheetId="2">[0]!BlankMacro1</definedName>
    <definedName name="TTTTTTT" localSheetId="4">[0]!BlankMacro1</definedName>
    <definedName name="TTTTTTT">[0]!BlankMacro1</definedName>
    <definedName name="T행">[26]대외공문!$V$27:$AC$27</definedName>
    <definedName name="uu" localSheetId="2">#REF!</definedName>
    <definedName name="uu" localSheetId="4">#REF!</definedName>
    <definedName name="uu">#REF!</definedName>
    <definedName name="U행">[26]대외공문!$V$28:$AC$28</definedName>
    <definedName name="VV" localSheetId="2">'[35]95계획'!#REF!</definedName>
    <definedName name="VV" localSheetId="4">'[35]95계획'!#REF!</definedName>
    <definedName name="VV">'[35]95계획'!#REF!</definedName>
    <definedName name="V행">[26]대외공문!$V$29:$AC$29</definedName>
    <definedName name="W" localSheetId="2">#REF!</definedName>
    <definedName name="W" localSheetId="4">#REF!</definedName>
    <definedName name="W">#REF!</definedName>
    <definedName name="wrn.AU._.검사성적서." localSheetId="0" hidden="1">{#N/A,#N/A,FALSE,"을지 (4)";#N/A,#N/A,FALSE,"을지 (5)";#N/A,#N/A,FALSE,"을지 (6)"}</definedName>
    <definedName name="wrn.AU._.검사성적서." localSheetId="2" hidden="1">{#N/A,#N/A,FALSE,"을지 (4)";#N/A,#N/A,FALSE,"을지 (5)";#N/A,#N/A,FALSE,"을지 (6)"}</definedName>
    <definedName name="wrn.AU._.검사성적서." localSheetId="4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4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4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 localSheetId="2">#REF!</definedName>
    <definedName name="ww" localSheetId="4">#REF!</definedName>
    <definedName name="ww">#REF!</definedName>
    <definedName name="WWWW" localSheetId="0">[0]!BlankMacro1</definedName>
    <definedName name="WWWW" localSheetId="2">[0]!BlankMacro1</definedName>
    <definedName name="WWWW" localSheetId="4">[0]!BlankMacro1</definedName>
    <definedName name="WWWW">[0]!BlankMacro1</definedName>
    <definedName name="wwww2" localSheetId="0">[0]!BlankMacro1</definedName>
    <definedName name="wwww2" localSheetId="2">[0]!BlankMacro1</definedName>
    <definedName name="wwww2" localSheetId="4">[0]!BlankMacro1</definedName>
    <definedName name="wwww2">[0]!BlankMacro1</definedName>
    <definedName name="W행" localSheetId="2">#REF!</definedName>
    <definedName name="W행" localSheetId="4">#REF!</definedName>
    <definedName name="W행">#REF!</definedName>
    <definedName name="XG액션" localSheetId="2">#REF!</definedName>
    <definedName name="XG액션" localSheetId="4">#REF!</definedName>
    <definedName name="XG액션">#REF!</definedName>
    <definedName name="xx" localSheetId="2">#REF!</definedName>
    <definedName name="xx" localSheetId="4">#REF!</definedName>
    <definedName name="xx">#REF!</definedName>
    <definedName name="X행">[26]대외공문!$V$31:$AC$31</definedName>
    <definedName name="YºI¼­" localSheetId="2">#REF!</definedName>
    <definedName name="YºI¼­" localSheetId="4">#REF!</definedName>
    <definedName name="YºI¼­">#REF!</definedName>
    <definedName name="yy" localSheetId="2">#REF!</definedName>
    <definedName name="yy" localSheetId="4">#REF!</definedName>
    <definedName name="yy">#REF!</definedName>
    <definedName name="YYYYYYYYY" localSheetId="0">[0]!BlankMacro1</definedName>
    <definedName name="YYYYYYYYY" localSheetId="2">[0]!BlankMacro1</definedName>
    <definedName name="YYYYYYYYY" localSheetId="4">[0]!BlankMacro1</definedName>
    <definedName name="YYYYYYYYY">[0]!BlankMacro1</definedName>
    <definedName name="Y부서" localSheetId="2">#REF!</definedName>
    <definedName name="Y부서" localSheetId="4">#REF!</definedName>
    <definedName name="Y부서">#REF!</definedName>
    <definedName name="Z_030BCFA9_A76B_11D1_B759_08000E21FF8D_.wvu.Cols" localSheetId="2" hidden="1">#REF!,#REF!,#REF!</definedName>
    <definedName name="Z_030BCFA9_A76B_11D1_B759_08000E21FF8D_.wvu.Cols" localSheetId="4" hidden="1">#REF!,#REF!,#REF!</definedName>
    <definedName name="Z_030BCFA9_A76B_11D1_B759_08000E21FF8D_.wvu.Cols" hidden="1">#REF!,#REF!,#REF!</definedName>
    <definedName name="Z_030BCFA9_A76B_11D1_B759_08000E21FF8D_.wvu.FilterData" localSheetId="2" hidden="1">#REF!</definedName>
    <definedName name="Z_030BCFA9_A76B_11D1_B759_08000E21FF8D_.wvu.FilterData" localSheetId="4" hidden="1">#REF!</definedName>
    <definedName name="Z_030BCFA9_A76B_11D1_B759_08000E21FF8D_.wvu.FilterData" hidden="1">#REF!</definedName>
    <definedName name="Z_030BCFA9_A76B_11D1_B759_08000E21FF8D_.wvu.PrintArea" localSheetId="2" hidden="1">#REF!</definedName>
    <definedName name="Z_030BCFA9_A76B_11D1_B759_08000E21FF8D_.wvu.PrintArea" localSheetId="4" hidden="1">#REF!</definedName>
    <definedName name="Z_030BCFA9_A76B_11D1_B759_08000E21FF8D_.wvu.PrintArea" hidden="1">#REF!</definedName>
    <definedName name="Z_030BCFA9_A76B_11D1_B759_08000E21FF8D_.wvu.PrintTitles" localSheetId="2" hidden="1">#REF!</definedName>
    <definedName name="Z_030BCFA9_A76B_11D1_B759_08000E21FF8D_.wvu.PrintTitles" localSheetId="4" hidden="1">#REF!</definedName>
    <definedName name="Z_030BCFA9_A76B_11D1_B759_08000E21FF8D_.wvu.PrintTitles" hidden="1">#REF!</definedName>
    <definedName name="ZZ" localSheetId="2">#REF!</definedName>
    <definedName name="ZZ" localSheetId="4">#REF!</definedName>
    <definedName name="ZZ">#REF!</definedName>
    <definedName name="ㄱㅇ" localSheetId="0" hidden="1">{#N/A,#N/A,FALSE,"단축1";#N/A,#N/A,FALSE,"단축2";#N/A,#N/A,FALSE,"단축3";#N/A,#N/A,FALSE,"장축";#N/A,#N/A,FALSE,"4WD"}</definedName>
    <definedName name="ㄱㅇ" localSheetId="2" hidden="1">{#N/A,#N/A,FALSE,"단축1";#N/A,#N/A,FALSE,"단축2";#N/A,#N/A,FALSE,"단축3";#N/A,#N/A,FALSE,"장축";#N/A,#N/A,FALSE,"4WD"}</definedName>
    <definedName name="ㄱㅇ" localSheetId="4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개인실적와_일치하지_않는_Ax021">[36]나머지!$A$1:$X$1896</definedName>
    <definedName name="게획서" localSheetId="2">[37]주행!#REF!</definedName>
    <definedName name="게획서" localSheetId="4">[37]주행!#REF!</definedName>
    <definedName name="게획서">[37]주행!#REF!</definedName>
    <definedName name="계획서" localSheetId="2">'[38]p2-1'!#REF!</definedName>
    <definedName name="계획서" localSheetId="4">'[38]p2-1'!#REF!</definedName>
    <definedName name="계획서">'[38]p2-1'!#REF!</definedName>
    <definedName name="그래프" localSheetId="2">#REF!</definedName>
    <definedName name="그래프" localSheetId="4">#REF!</definedName>
    <definedName name="그래프">#REF!</definedName>
    <definedName name="근본" localSheetId="2">#REF!</definedName>
    <definedName name="근본" localSheetId="4">#REF!</definedName>
    <definedName name="근본">#REF!</definedName>
    <definedName name="금액">[39]QCS거래!$H$13:$H$26</definedName>
    <definedName name="기안갑" localSheetId="2">#REF!</definedName>
    <definedName name="기안갑" localSheetId="4">#REF!</definedName>
    <definedName name="기안갑">#REF!</definedName>
    <definedName name="기안용지" localSheetId="2">#REF!</definedName>
    <definedName name="기안용지" localSheetId="4">#REF!</definedName>
    <definedName name="기안용지">#REF!</definedName>
    <definedName name="기안을" localSheetId="2">#REF!</definedName>
    <definedName name="기안을" localSheetId="4">#REF!</definedName>
    <definedName name="기안을">#REF!</definedName>
    <definedName name="ㄴ" localSheetId="0">[0]!BlankMacro1</definedName>
    <definedName name="ㄴ" localSheetId="2">[0]!BlankMacro1</definedName>
    <definedName name="ㄴ" localSheetId="4">[0]!BlankMacro1</definedName>
    <definedName name="ㄴ">[0]!BlankMacro1</definedName>
    <definedName name="ㄴㄴ" localSheetId="0">[0]!BlankMacro1</definedName>
    <definedName name="ㄴㄴ" localSheetId="2">[0]!BlankMacro1</definedName>
    <definedName name="ㄴㄴ" localSheetId="4">[0]!BlankMacro1</definedName>
    <definedName name="ㄴㄴ">[0]!BlankMacro1</definedName>
    <definedName name="년도__실적추정은_건설이자_미포" localSheetId="2">'[40]R&amp;D'!#REF!</definedName>
    <definedName name="년도__실적추정은_건설이자_미포" localSheetId="4">'[40]R&amp;D'!#REF!</definedName>
    <definedName name="년도__실적추정은_건설이자_미포">'[40]R&amp;D'!#REF!</definedName>
    <definedName name="ㄷ" localSheetId="2">[41]출고전표!#REF!</definedName>
    <definedName name="ㄷ" localSheetId="4">[41]출고전표!#REF!</definedName>
    <definedName name="ㄷ">[41]출고전표!#REF!</definedName>
    <definedName name="ㄷㄷ" localSheetId="0">[0]!BlankMacro1</definedName>
    <definedName name="ㄷㄷ" localSheetId="2">[0]!BlankMacro1</definedName>
    <definedName name="ㄷㄷ" localSheetId="4">[0]!BlankMacro1</definedName>
    <definedName name="ㄷㄷ">[0]!BlankMacro1</definedName>
    <definedName name="단가">[39]QCS거래!$G$13:$G$26</definedName>
    <definedName name="단가2" localSheetId="2">[42]출고전표!#REF!</definedName>
    <definedName name="단가2" localSheetId="4">[42]출고전표!#REF!</definedName>
    <definedName name="단가2">[42]출고전표!#REF!</definedName>
    <definedName name="단가3" localSheetId="2">[42]출고전표!#REF!</definedName>
    <definedName name="단가3" localSheetId="4">[42]출고전표!#REF!</definedName>
    <definedName name="단가3">[42]출고전표!#REF!</definedName>
    <definedName name="단위">[39]QCS거래!$F$13:$F$26</definedName>
    <definedName name="단위2" localSheetId="2">[42]출고전표!#REF!</definedName>
    <definedName name="단위2" localSheetId="4">[42]출고전표!#REF!</definedName>
    <definedName name="단위2">[42]출고전표!#REF!</definedName>
    <definedName name="단위3" localSheetId="2">[42]출고전표!#REF!</definedName>
    <definedName name="단위3" localSheetId="4">[42]출고전표!#REF!</definedName>
    <definedName name="단위3">[42]출고전표!#REF!</definedName>
    <definedName name="單位阡원_阡￥" localSheetId="2">#REF!</definedName>
    <definedName name="單位阡원_阡￥" localSheetId="4">#REF!</definedName>
    <definedName name="單位阡원_阡￥">#REF!</definedName>
    <definedName name="담당업무" localSheetId="2">'[2]#REF'!#REF!</definedName>
    <definedName name="담당업무" localSheetId="4">'[2]#REF'!#REF!</definedName>
    <definedName name="담당업무">'[2]#REF'!#REF!</definedName>
    <definedName name="대림PL" localSheetId="2">[43]ML!#REF!</definedName>
    <definedName name="대림PL" localSheetId="4">[43]ML!#REF!</definedName>
    <definedName name="대림PL">[43]ML!#REF!</definedName>
    <definedName name="대부" localSheetId="0" hidden="1">{#N/A,#N/A,FALSE,"단축1";#N/A,#N/A,FALSE,"단축2";#N/A,#N/A,FALSE,"단축3";#N/A,#N/A,FALSE,"장축";#N/A,#N/A,FALSE,"4WD"}</definedName>
    <definedName name="대부" localSheetId="2" hidden="1">{#N/A,#N/A,FALSE,"단축1";#N/A,#N/A,FALSE,"단축2";#N/A,#N/A,FALSE,"단축3";#N/A,#N/A,FALSE,"장축";#N/A,#N/A,FALSE,"4WD"}</definedName>
    <definedName name="대부" localSheetId="4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일정">[44]Macro1!$C$1</definedName>
    <definedName name="대책서" localSheetId="0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4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회">[26]대외공문!$A$19:$U$31</definedName>
    <definedName name="ㄹㄹ" localSheetId="0">[0]!BlankMacro1</definedName>
    <definedName name="ㄹㄹ" localSheetId="2">[0]!BlankMacro1</definedName>
    <definedName name="ㄹㄹ" localSheetId="4">[0]!BlankMacro1</definedName>
    <definedName name="ㄹㄹ">[0]!BlankMacro1</definedName>
    <definedName name="ㄹㄹㄹㄹㄹ" localSheetId="0">[0]!BlankMacro1</definedName>
    <definedName name="ㄹㄹㄹㄹㄹ" localSheetId="2">[0]!BlankMacro1</definedName>
    <definedName name="ㄹㄹㄹㄹㄹ" localSheetId="4">[0]!BlankMacro1</definedName>
    <definedName name="ㄹㄹㄹㄹㄹ">[0]!BlankMacro1</definedName>
    <definedName name="ㄹㄹㄹㄹㄹㄹ" localSheetId="0">[0]!BlankMacro1</definedName>
    <definedName name="ㄹㄹㄹㄹㄹㄹ" localSheetId="2">[0]!BlankMacro1</definedName>
    <definedName name="ㄹㄹㄹㄹㄹㄹ" localSheetId="4">[0]!BlankMacro1</definedName>
    <definedName name="ㄹㄹㄹㄹㄹㄹ">[0]!BlankMacro1</definedName>
    <definedName name="ㄹㅇㄹㄴㅇ" localSheetId="2">[45]HP1AMLIST!#REF!</definedName>
    <definedName name="ㄹㅇㄹㄴㅇ" localSheetId="4">[45]HP1AMLIST!#REF!</definedName>
    <definedName name="ㄹㅇㄹㄴㅇ">[45]HP1AMLIST!#REF!</definedName>
    <definedName name="ㅁ" localSheetId="2">[46]주행!#REF!</definedName>
    <definedName name="ㅁ" localSheetId="4">[46]주행!#REF!</definedName>
    <definedName name="ㅁ">[46]주행!#REF!</definedName>
    <definedName name="ㅁ1" localSheetId="2">[7]신규DEP!#REF!</definedName>
    <definedName name="ㅁ1" localSheetId="4">[7]신규DEP!#REF!</definedName>
    <definedName name="ㅁ1">[7]신규DEP!#REF!</definedName>
    <definedName name="ㅁㅁㅁ" localSheetId="2">#REF!</definedName>
    <definedName name="ㅁㅁㅁ" localSheetId="4">#REF!</definedName>
    <definedName name="ㅁㅁㅁ">#REF!</definedName>
    <definedName name="매크로10" localSheetId="2">#REF!</definedName>
    <definedName name="매크로10" localSheetId="4">#REF!</definedName>
    <definedName name="매크로10">#REF!</definedName>
    <definedName name="매크로11" localSheetId="2">#REF!</definedName>
    <definedName name="매크로11" localSheetId="4">#REF!</definedName>
    <definedName name="매크로11">#REF!</definedName>
    <definedName name="매크로12" localSheetId="2">#REF!</definedName>
    <definedName name="매크로12" localSheetId="4">#REF!</definedName>
    <definedName name="매크로12">#REF!</definedName>
    <definedName name="매크로13" localSheetId="2">#REF!</definedName>
    <definedName name="매크로13" localSheetId="4">#REF!</definedName>
    <definedName name="매크로13">#REF!</definedName>
    <definedName name="매크로8" localSheetId="2">#REF!</definedName>
    <definedName name="매크로8" localSheetId="4">#REF!</definedName>
    <definedName name="매크로8">#REF!</definedName>
    <definedName name="매크로9" localSheetId="2">#REF!</definedName>
    <definedName name="매크로9" localSheetId="4">#REF!</definedName>
    <definedName name="매크로9">#REF!</definedName>
    <definedName name="모듈5" localSheetId="0">[0]!BlankMacro1</definedName>
    <definedName name="모듈5" localSheetId="2">[0]!BlankMacro1</definedName>
    <definedName name="모듈5" localSheetId="4">[0]!BlankMacro1</definedName>
    <definedName name="모듈5">[0]!BlankMacro1</definedName>
    <definedName name="무빙">[47]총!$AD$1019:$AD$1075</definedName>
    <definedName name="ㅂ" localSheetId="2">#REF!</definedName>
    <definedName name="ㅂ" localSheetId="4">#REF!</definedName>
    <definedName name="ㅂ">#REF!</definedName>
    <definedName name="발" localSheetId="2">#REF!</definedName>
    <definedName name="발" localSheetId="4">#REF!</definedName>
    <definedName name="발">#REF!</definedName>
    <definedName name="번호">[39]QCS거래!$A$13:$A$26</definedName>
    <definedName name="변경" localSheetId="2">[2]협조전!#REF!</definedName>
    <definedName name="변경" localSheetId="4">[2]협조전!#REF!</definedName>
    <definedName name="변경">[2]협조전!#REF!</definedName>
    <definedName name="부서" localSheetId="2">#REF!</definedName>
    <definedName name="부서" localSheetId="4">#REF!</definedName>
    <definedName name="부서">#REF!</definedName>
    <definedName name="부서별예산" localSheetId="2">#REF!</definedName>
    <definedName name="부서별예산" localSheetId="4">#REF!</definedName>
    <definedName name="부서별예산">#REF!</definedName>
    <definedName name="붕가붕가">[48]Macro1!$D$1</definedName>
    <definedName name="비교A" localSheetId="2">#REF!</definedName>
    <definedName name="비교A" localSheetId="4">#REF!</definedName>
    <definedName name="비교A">#REF!</definedName>
    <definedName name="사업별" localSheetId="0">[0]!BlankMacro1</definedName>
    <definedName name="사업별" localSheetId="2">[0]!BlankMacro1</definedName>
    <definedName name="사업별" localSheetId="4">[0]!BlankMacro1</definedName>
    <definedName name="사업별">[0]!BlankMacro1</definedName>
    <definedName name="사업투자" localSheetId="2">#REF!</definedName>
    <definedName name="사업투자" localSheetId="4">#REF!</definedName>
    <definedName name="사업투자">#REF!</definedName>
    <definedName name="사업투자1" localSheetId="2">#REF!</definedName>
    <definedName name="사업투자1" localSheetId="4">#REF!</definedName>
    <definedName name="사업투자1">#REF!</definedName>
    <definedName name="상품_수량_복사" localSheetId="2">[42]!상품_수량_복사</definedName>
    <definedName name="상품_수량_복사" localSheetId="4">[42]!상품_수량_복사</definedName>
    <definedName name="상품_수량_복사">[42]!상품_수량_복사</definedName>
    <definedName name="새이름" localSheetId="2">#REF!</definedName>
    <definedName name="새이름" localSheetId="4">#REF!</definedName>
    <definedName name="새이름">#REF!</definedName>
    <definedName name="샤시">[47]총!$AD$4:$AD$413</definedName>
    <definedName name="세부실적" localSheetId="0">[0]!BlankMacro1</definedName>
    <definedName name="세부실적" localSheetId="2">[0]!BlankMacro1</definedName>
    <definedName name="세부실적" localSheetId="4">[0]!BlankMacro1</definedName>
    <definedName name="세부실적">[0]!BlankMacro1</definedName>
    <definedName name="수량">[39]QCS거래!$E$13:$E$26</definedName>
    <definedName name="수량2" localSheetId="2">[42]출고전표!#REF!</definedName>
    <definedName name="수량2" localSheetId="4">[42]출고전표!#REF!</definedName>
    <definedName name="수량2">[42]출고전표!#REF!</definedName>
    <definedName name="수량3" localSheetId="2">[42]출고전표!#REF!</definedName>
    <definedName name="수량3" localSheetId="4">[42]출고전표!#REF!</definedName>
    <definedName name="수량3">[42]출고전표!#REF!</definedName>
    <definedName name="ㅇ" localSheetId="2">[41]출고전표!#REF!</definedName>
    <definedName name="ㅇ" localSheetId="4">[41]출고전표!#REF!</definedName>
    <definedName name="ㅇ">[41]출고전표!#REF!</definedName>
    <definedName name="ㅇㅇㅇ" localSheetId="2">[41]출고전표!#REF!</definedName>
    <definedName name="ㅇㅇㅇ" localSheetId="4">[41]출고전표!#REF!</definedName>
    <definedName name="ㅇㅇㅇ">[41]출고전표!#REF!</definedName>
    <definedName name="ㅇ허" localSheetId="2">#REF!</definedName>
    <definedName name="ㅇ허" localSheetId="4">#REF!</definedName>
    <definedName name="ㅇ허">#REF!</definedName>
    <definedName name="업무2" localSheetId="0">[0]!BlankMacro1</definedName>
    <definedName name="업무2" localSheetId="2">[0]!BlankMacro1</definedName>
    <definedName name="업무2" localSheetId="4">[0]!BlankMacro1</definedName>
    <definedName name="업무2">[0]!BlankMacro1</definedName>
    <definedName name="업무지시" localSheetId="2">#REF!</definedName>
    <definedName name="업무지시" localSheetId="4">#REF!</definedName>
    <definedName name="업무지시">#REF!</definedName>
    <definedName name="엔진별" localSheetId="2">#REF!</definedName>
    <definedName name="엔진별" localSheetId="4">#REF!</definedName>
    <definedName name="엔진별">#REF!</definedName>
    <definedName name="예산총괄시트설ONLY" localSheetId="2">#REF!</definedName>
    <definedName name="예산총괄시트설ONLY" localSheetId="4">#REF!</definedName>
    <definedName name="예산총괄시트설ONLY">#REF!</definedName>
    <definedName name="월" localSheetId="0">[0]!BlankMacro1</definedName>
    <definedName name="월" localSheetId="2">[0]!BlankMacro1</definedName>
    <definedName name="월" localSheetId="4">[0]!BlankMacro1</definedName>
    <definedName name="월">[0]!BlankMacro1</definedName>
    <definedName name="윤CF">[47]윤영환!$L$4:$L$66</definedName>
    <definedName name="윤CF결과">[47]윤영환!$M$4:$M$66</definedName>
    <definedName name="윤CF접수">[47]윤영환!$K$4:$K$66</definedName>
    <definedName name="의뢰" localSheetId="2">#REF!</definedName>
    <definedName name="의뢰" localSheetId="4">#REF!</definedName>
    <definedName name="의뢰">#REF!</definedName>
    <definedName name="의장">[47]총!$AD$414:$AD$778</definedName>
    <definedName name="이게뭐야진짜">[0]!BlankMacro1</definedName>
    <definedName name="임시" localSheetId="2">#REF!</definedName>
    <definedName name="임시" localSheetId="4">#REF!</definedName>
    <definedName name="임시">#REF!</definedName>
    <definedName name="ㅈ">[49]Macro1!$A$1</definedName>
    <definedName name="ㅈㅈ" localSheetId="0">[0]!BlankMacro1</definedName>
    <definedName name="ㅈㅈ" localSheetId="2">[0]!BlankMacro1</definedName>
    <definedName name="ㅈㅈ" localSheetId="4">[0]!BlankMacro1</definedName>
    <definedName name="ㅈㅈ">[0]!BlankMacro1</definedName>
    <definedName name="ㅈㅈㅈ" localSheetId="0">[0]!BlankMacro1</definedName>
    <definedName name="ㅈㅈㅈ" localSheetId="2">[0]!BlankMacro1</definedName>
    <definedName name="ㅈㅈㅈ" localSheetId="4">[0]!BlankMacro1</definedName>
    <definedName name="ㅈㅈㅈ">[0]!BlankMacro1</definedName>
    <definedName name="ㅈㅈㅈㅈ" localSheetId="0">[0]!BlankMacro1</definedName>
    <definedName name="ㅈㅈㅈㅈ" localSheetId="2">[0]!BlankMacro1</definedName>
    <definedName name="ㅈㅈㅈㅈ" localSheetId="4">[0]!BlankMacro1</definedName>
    <definedName name="ㅈㅈㅈㅈ">[0]!BlankMacro1</definedName>
    <definedName name="ㅈㅈㅈㅈㅈㅈ" localSheetId="0">[0]!BlankMacro1</definedName>
    <definedName name="ㅈㅈㅈㅈㅈㅈ" localSheetId="2">[0]!BlankMacro1</definedName>
    <definedName name="ㅈㅈㅈㅈㅈㅈ" localSheetId="4">[0]!BlankMacro1</definedName>
    <definedName name="ㅈㅈㅈㅈㅈㅈ">[0]!BlankMacro1</definedName>
    <definedName name="ㅈㅈㅈㅈㅈㅈㅈ" localSheetId="0">[0]!BlankMacro1</definedName>
    <definedName name="ㅈㅈㅈㅈㅈㅈㅈ" localSheetId="2">[0]!BlankMacro1</definedName>
    <definedName name="ㅈㅈㅈㅈㅈㅈㅈ" localSheetId="4">[0]!BlankMacro1</definedName>
    <definedName name="ㅈㅈㅈㅈㅈㅈㅈ">[0]!BlankMacro1</definedName>
    <definedName name="자료">[50]NDT견적!$C$4:$D$4,[50]NDT견적!$F$4,[50]NDT견적!$F$4:$H$4,[50]NDT견적!$C$6:$D$6,[50]NDT견적!$F$6:$H$6,[50]NDT견적!$D$9:$H$13,[50]NDT견적!$B$19:$I$40,[50]NDT견적!$C$42:$J$44,[50]NDT견적!$B$43:$B$44</definedName>
    <definedName name="장기투자.94.BB" localSheetId="2">'[35]95계획'!#REF!</definedName>
    <definedName name="장기투자.94.BB" localSheetId="4">'[35]95계획'!#REF!</definedName>
    <definedName name="장기투자.94.BB">'[35]95계획'!#REF!</definedName>
    <definedName name="장종찬" localSheetId="2">[51]구동!#REF!</definedName>
    <definedName name="장종찬" localSheetId="4">[51]구동!#REF!</definedName>
    <definedName name="장종찬">[51]구동!#REF!</definedName>
    <definedName name="전장">[47]총!$AD$779:$AD$1018</definedName>
    <definedName name="정치.AA" localSheetId="2">'[2]#REF'!#REF!</definedName>
    <definedName name="정치.AA" localSheetId="4">'[2]#REF'!#REF!</definedName>
    <definedName name="정치.AA">'[2]#REF'!#REF!</definedName>
    <definedName name="정치문제" localSheetId="2">#REF!</definedName>
    <definedName name="정치문제" localSheetId="4">#REF!</definedName>
    <definedName name="정치문제">#REF!</definedName>
    <definedName name="정치설명" localSheetId="2">#REF!</definedName>
    <definedName name="정치설명" localSheetId="4">#REF!</definedName>
    <definedName name="정치설명">#REF!</definedName>
    <definedName name="제목">[26]대외공문!$D$20</definedName>
    <definedName name="주행P12GRP" localSheetId="2">#REF!</definedName>
    <definedName name="주행P12GRP" localSheetId="4">#REF!</definedName>
    <definedName name="주행P12GRP">#REF!</definedName>
    <definedName name="주행RATING표" localSheetId="2">'[2]#REF'!#REF!</definedName>
    <definedName name="주행RATING표" localSheetId="4">'[2]#REF'!#REF!</definedName>
    <definedName name="주행RATING표">'[2]#REF'!#REF!</definedName>
    <definedName name="중앙" localSheetId="0" hidden="1">{#N/A,#N/A,FALSE,"단축1";#N/A,#N/A,FALSE,"단축2";#N/A,#N/A,FALSE,"단축3";#N/A,#N/A,FALSE,"장축";#N/A,#N/A,FALSE,"4WD"}</definedName>
    <definedName name="중앙" localSheetId="2" hidden="1">{#N/A,#N/A,FALSE,"단축1";#N/A,#N/A,FALSE,"단축2";#N/A,#N/A,FALSE,"단축3";#N/A,#N/A,FALSE,"장축";#N/A,#N/A,FALSE,"4WD"}</definedName>
    <definedName name="중앙" localSheetId="4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차종" localSheetId="2">#REF!</definedName>
    <definedName name="차종" localSheetId="4">#REF!</definedName>
    <definedName name="차종">#REF!</definedName>
    <definedName name="최신본" localSheetId="2">#REF!</definedName>
    <definedName name="최신본" localSheetId="4">#REF!</definedName>
    <definedName name="최신본">#REF!</definedName>
    <definedName name="출고전표내용삭제" localSheetId="2">[42]!출고전표내용삭제</definedName>
    <definedName name="출고전표내용삭제" localSheetId="4">[42]!출고전표내용삭제</definedName>
    <definedName name="출고전표내용삭제">[42]!출고전표내용삭제</definedName>
    <definedName name="ㅋ">[52]NDT견적!$C$4:$D$4,[52]NDT견적!$F$4,[52]NDT견적!$F$4:$H$4,[52]NDT견적!$C$6:$D$6,[52]NDT견적!$F$6:$H$6,[52]NDT견적!$D$9:$H$13,[52]NDT견적!$B$19:$I$40,[52]NDT견적!$C$42:$J$44,[52]NDT견적!$B$43:$B$44</definedName>
    <definedName name="ㅋ후ㅊ" localSheetId="2">#REF!</definedName>
    <definedName name="ㅋ후ㅊ" localSheetId="4">#REF!</definedName>
    <definedName name="ㅋ후ㅊ">#REF!</definedName>
    <definedName name="템플리트모듈1" localSheetId="0">[0]!BlankMacro1</definedName>
    <definedName name="템플리트모듈1" localSheetId="2">[0]!BlankMacro1</definedName>
    <definedName name="템플리트모듈1" localSheetId="4">[0]!BlankMacro1</definedName>
    <definedName name="템플리트모듈1">[0]!BlankMacro1</definedName>
    <definedName name="템플리트모듈2" localSheetId="0">[0]!BlankMacro1</definedName>
    <definedName name="템플리트모듈2" localSheetId="2">[0]!BlankMacro1</definedName>
    <definedName name="템플리트모듈2" localSheetId="4">[0]!BlankMacro1</definedName>
    <definedName name="템플리트모듈2">[0]!BlankMacro1</definedName>
    <definedName name="템플리트모듈3" localSheetId="0">[0]!BlankMacro1</definedName>
    <definedName name="템플리트모듈3" localSheetId="2">[0]!BlankMacro1</definedName>
    <definedName name="템플리트모듈3" localSheetId="4">[0]!BlankMacro1</definedName>
    <definedName name="템플리트모듈3">[0]!BlankMacro1</definedName>
    <definedName name="템플리트모듈4" localSheetId="0">[0]!BlankMacro1</definedName>
    <definedName name="템플리트모듈4" localSheetId="2">[0]!BlankMacro1</definedName>
    <definedName name="템플리트모듈4" localSheetId="4">[0]!BlankMacro1</definedName>
    <definedName name="템플리트모듈4">[0]!BlankMacro1</definedName>
    <definedName name="템플리트모듈5" localSheetId="0">[0]!BlankMacro1</definedName>
    <definedName name="템플리트모듈5" localSheetId="2">[0]!BlankMacro1</definedName>
    <definedName name="템플리트모듈5" localSheetId="4">[0]!BlankMacro1</definedName>
    <definedName name="템플리트모듈5">[0]!BlankMacro1</definedName>
    <definedName name="템플리트모듈6" localSheetId="0">[0]!BlankMacro1</definedName>
    <definedName name="템플리트모듈6" localSheetId="2">[0]!BlankMacro1</definedName>
    <definedName name="템플리트모듈6" localSheetId="4">[0]!BlankMacro1</definedName>
    <definedName name="템플리트모듈6">[0]!BlankMacro1</definedName>
    <definedName name="투자비">'[53]2팀'!$B$7:$AA$230</definedName>
    <definedName name="품명">[39]QCS거래!$B$13:$D$26</definedName>
    <definedName name="품명2" localSheetId="2">[42]출고전표!#REF!</definedName>
    <definedName name="품명2" localSheetId="4">[42]출고전표!#REF!</definedName>
    <definedName name="품명2">[42]출고전표!#REF!</definedName>
    <definedName name="품명3" localSheetId="2">[42]출고전표!#REF!</definedName>
    <definedName name="품명3" localSheetId="4">[42]출고전표!#REF!</definedName>
    <definedName name="품명3">[42]출고전표!#REF!</definedName>
    <definedName name="품목" localSheetId="2">[6]RES!#REF!</definedName>
    <definedName name="품목" localSheetId="4">[6]RES!#REF!</definedName>
    <definedName name="품목">[6]RES!#REF!</definedName>
    <definedName name="解_任_">[2]협조전!$A$32</definedName>
    <definedName name="협조전" localSheetId="2">#REF!</definedName>
    <definedName name="협조전" localSheetId="4">#REF!</definedName>
    <definedName name="협조전">#REF!</definedName>
    <definedName name="회의" localSheetId="2">#REF!</definedName>
    <definedName name="회의" localSheetId="4">#REF!</definedName>
    <definedName name="회의">#REF!</definedName>
    <definedName name="회의록" localSheetId="2">[43]ML!#REF!</definedName>
    <definedName name="회의록" localSheetId="4">[43]ML!#REF!</definedName>
    <definedName name="회의록">[43]ML!#REF!</definedName>
    <definedName name="회의자료" localSheetId="2">#REF!</definedName>
    <definedName name="회의자료" localSheetId="4">#REF!</definedName>
    <definedName name="회의자료">#REF!</definedName>
    <definedName name="흵____R3_t" localSheetId="2">'[2]#REF'!#REF!</definedName>
    <definedName name="흵____R3_t" localSheetId="4">'[2]#REF'!#REF!</definedName>
    <definedName name="흵____R3_t">'[2]#REF'!#REF!</definedName>
    <definedName name="ㅑ" localSheetId="2">[41]출고전표!#REF!</definedName>
    <definedName name="ㅑ" localSheetId="4">[41]출고전표!#REF!</definedName>
    <definedName name="ㅑ">[41]출고전표!#REF!</definedName>
    <definedName name="ㅔ갸ㅜㅅ_샤싣ㄴ" localSheetId="2">#REF!</definedName>
    <definedName name="ㅔ갸ㅜㅅ_샤싣ㄴ" localSheetId="4">#REF!</definedName>
    <definedName name="ㅔ갸ㅜㅅ_샤싣ㄴ">#REF!</definedName>
    <definedName name="ㅗ" localSheetId="2">[41]출고전표!#REF!</definedName>
    <definedName name="ㅗ" localSheetId="4">[41]출고전표!#REF!</definedName>
    <definedName name="ㅗ">[41]출고전표!#REF!</definedName>
    <definedName name="ㅗ쇼" localSheetId="2">#REF!</definedName>
    <definedName name="ㅗ쇼" localSheetId="4">#REF!</definedName>
    <definedName name="ㅗ쇼">#REF!</definedName>
    <definedName name="ㅗ허ㅏ" localSheetId="2">#REF!</definedName>
    <definedName name="ㅗ허ㅏ" localSheetId="4">#REF!</definedName>
    <definedName name="ㅗ허ㅏ">#REF!</definedName>
    <definedName name="ㅛ" localSheetId="2">[41]출고전표!#REF!</definedName>
    <definedName name="ㅛ" localSheetId="4">[41]출고전표!#REF!</definedName>
    <definedName name="ㅛ">[41]출고전표!#REF!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5" l="1"/>
  <c r="J7" i="5"/>
  <c r="K7" i="5" s="1"/>
  <c r="M7" i="5" s="1"/>
  <c r="I566" i="1" l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7" i="1"/>
  <c r="I416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70" i="1"/>
  <c r="I369" i="1"/>
  <c r="I368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86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55" i="1"/>
  <c r="I254" i="1"/>
  <c r="I253" i="1"/>
  <c r="I252" i="1"/>
  <c r="I251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6" i="1"/>
  <c r="I165" i="1"/>
  <c r="I164" i="1"/>
  <c r="I163" i="1"/>
  <c r="I157" i="1"/>
  <c r="I156" i="1"/>
  <c r="I155" i="1"/>
  <c r="I154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2" i="1"/>
  <c r="I131" i="1"/>
  <c r="I130" i="1"/>
  <c r="I129" i="1"/>
  <c r="I128" i="1"/>
  <c r="I127" i="1"/>
  <c r="I126" i="1"/>
  <c r="I124" i="1"/>
  <c r="I97" i="1"/>
  <c r="I96" i="1"/>
  <c r="I95" i="1"/>
  <c r="I93" i="1"/>
  <c r="I31" i="1"/>
  <c r="I11" i="1"/>
  <c r="I10" i="1"/>
  <c r="I2" i="1"/>
  <c r="I2" i="4" l="1"/>
  <c r="J2" i="2" l="1"/>
</calcChain>
</file>

<file path=xl/sharedStrings.xml><?xml version="1.0" encoding="utf-8"?>
<sst xmlns="http://schemas.openxmlformats.org/spreadsheetml/2006/main" count="9574" uniqueCount="3123">
  <si>
    <t>1회 / 1년</t>
  </si>
  <si>
    <t>1회 / 2년</t>
  </si>
  <si>
    <t xml:space="preserve"> Document No#</t>
    <phoneticPr fontId="23" type="noConversion"/>
  </si>
  <si>
    <t xml:space="preserve"> Date:</t>
    <phoneticPr fontId="23" type="noConversion"/>
  </si>
  <si>
    <t>Page</t>
    <phoneticPr fontId="23" type="noConversion"/>
  </si>
  <si>
    <t xml:space="preserve"> OF </t>
    <phoneticPr fontId="23" type="noConversion"/>
  </si>
  <si>
    <t>MASTER LIST OF MEASURING EQUIPMENT</t>
    <phoneticPr fontId="23" type="noConversion"/>
  </si>
  <si>
    <t xml:space="preserve"> Pred'd by Q/A Sect:</t>
    <phoneticPr fontId="23" type="noConversion"/>
  </si>
  <si>
    <t xml:space="preserve"> App'd by Q/A Sect:</t>
    <phoneticPr fontId="23" type="noConversion"/>
  </si>
  <si>
    <t>NO</t>
    <phoneticPr fontId="23" type="noConversion"/>
  </si>
  <si>
    <t>I.D/SER NO</t>
    <phoneticPr fontId="23" type="noConversion"/>
  </si>
  <si>
    <t>SPECIFICATION</t>
    <phoneticPr fontId="23" type="noConversion"/>
  </si>
  <si>
    <t>MAKER</t>
    <phoneticPr fontId="23" type="noConversion"/>
  </si>
  <si>
    <t>CALIB. FREQ.</t>
    <phoneticPr fontId="23" type="noConversion"/>
  </si>
  <si>
    <t>DATE</t>
    <phoneticPr fontId="23" type="noConversion"/>
  </si>
  <si>
    <t>NEXT</t>
    <phoneticPr fontId="23" type="noConversion"/>
  </si>
  <si>
    <t>FIRM</t>
    <phoneticPr fontId="22" type="noConversion"/>
  </si>
  <si>
    <t>REMARK</t>
    <phoneticPr fontId="23" type="noConversion"/>
  </si>
  <si>
    <t>035272</t>
    <phoneticPr fontId="23" type="noConversion"/>
  </si>
  <si>
    <t>EISEN</t>
    <phoneticPr fontId="23" type="noConversion"/>
  </si>
  <si>
    <t>035413</t>
    <phoneticPr fontId="22" type="noConversion"/>
  </si>
  <si>
    <t>036125</t>
    <phoneticPr fontId="22" type="noConversion"/>
  </si>
  <si>
    <t>036208</t>
    <phoneticPr fontId="23" type="noConversion"/>
  </si>
  <si>
    <t>035245</t>
    <phoneticPr fontId="22" type="noConversion"/>
  </si>
  <si>
    <t>034638</t>
    <phoneticPr fontId="22" type="noConversion"/>
  </si>
  <si>
    <t>034363</t>
    <phoneticPr fontId="22" type="noConversion"/>
  </si>
  <si>
    <t>033481</t>
    <phoneticPr fontId="22" type="noConversion"/>
  </si>
  <si>
    <t>036988</t>
    <phoneticPr fontId="22" type="noConversion"/>
  </si>
  <si>
    <t>037204</t>
    <phoneticPr fontId="22" type="noConversion"/>
  </si>
  <si>
    <t>DDQ622</t>
    <phoneticPr fontId="22" type="noConversion"/>
  </si>
  <si>
    <t>LWT391</t>
    <phoneticPr fontId="22" type="noConversion"/>
  </si>
  <si>
    <t>S.S.K</t>
    <phoneticPr fontId="22" type="noConversion"/>
  </si>
  <si>
    <t>MIKRON</t>
    <phoneticPr fontId="22" type="noConversion"/>
  </si>
  <si>
    <t>186-902</t>
    <phoneticPr fontId="22" type="noConversion"/>
  </si>
  <si>
    <t>000407</t>
    <phoneticPr fontId="22" type="noConversion"/>
  </si>
  <si>
    <t>LK</t>
    <phoneticPr fontId="22" type="noConversion"/>
  </si>
  <si>
    <t>3/8-24 UNJF-3A</t>
    <phoneticPr fontId="22" type="noConversion"/>
  </si>
  <si>
    <t>VTG</t>
    <phoneticPr fontId="22" type="noConversion"/>
  </si>
  <si>
    <t>1-12 UNJF-3A</t>
    <phoneticPr fontId="22" type="noConversion"/>
  </si>
  <si>
    <t>1회 / 1년</t>
    <phoneticPr fontId="22" type="noConversion"/>
  </si>
  <si>
    <t>JPG</t>
    <phoneticPr fontId="22" type="noConversion"/>
  </si>
  <si>
    <t>F00005607</t>
    <phoneticPr fontId="22" type="noConversion"/>
  </si>
  <si>
    <t>1101569-1</t>
    <phoneticPr fontId="22" type="noConversion"/>
  </si>
  <si>
    <t>1111127-2</t>
    <phoneticPr fontId="22" type="noConversion"/>
  </si>
  <si>
    <t>1112461-1</t>
    <phoneticPr fontId="22" type="noConversion"/>
  </si>
  <si>
    <t>8-32 UNJC 3A</t>
    <phoneticPr fontId="22" type="noConversion"/>
  </si>
  <si>
    <t>N-MZG001</t>
    <phoneticPr fontId="28" type="noConversion"/>
  </si>
  <si>
    <t>N-MZG002</t>
    <phoneticPr fontId="28" type="noConversion"/>
  </si>
  <si>
    <t>N-MZG003</t>
  </si>
  <si>
    <t>N-MZG004</t>
  </si>
  <si>
    <t>HANDO</t>
    <phoneticPr fontId="22" type="noConversion"/>
  </si>
  <si>
    <t>1102516-6</t>
    <phoneticPr fontId="22" type="noConversion"/>
  </si>
  <si>
    <t>1132024, 1125169</t>
    <phoneticPr fontId="22" type="noConversion"/>
  </si>
  <si>
    <t>IN/62899/06</t>
    <phoneticPr fontId="22" type="noConversion"/>
  </si>
  <si>
    <t>SJ-301</t>
    <phoneticPr fontId="22" type="noConversion"/>
  </si>
  <si>
    <t>NO.178MB</t>
    <phoneticPr fontId="22" type="noConversion"/>
  </si>
  <si>
    <t>1212787-5</t>
    <phoneticPr fontId="22" type="noConversion"/>
  </si>
  <si>
    <t>AF00022150</t>
    <phoneticPr fontId="22" type="noConversion"/>
  </si>
  <si>
    <t>D19.940-D20.067</t>
    <phoneticPr fontId="22" type="noConversion"/>
  </si>
  <si>
    <t>KAL</t>
    <phoneticPr fontId="22" type="noConversion"/>
  </si>
  <si>
    <t>GREENFIELD</t>
    <phoneticPr fontId="22" type="noConversion"/>
  </si>
  <si>
    <t>1/4-28UNJF-3A</t>
    <phoneticPr fontId="22" type="noConversion"/>
  </si>
  <si>
    <t>10-32UNJF-3A</t>
    <phoneticPr fontId="22" type="noConversion"/>
  </si>
  <si>
    <t>0~200㎜,0.01㎜</t>
    <phoneticPr fontId="22" type="noConversion"/>
  </si>
  <si>
    <t>Mitutoyo</t>
    <phoneticPr fontId="23" type="noConversion"/>
  </si>
  <si>
    <t>18㎜</t>
    <phoneticPr fontId="22" type="noConversion"/>
  </si>
  <si>
    <t>VERMONT GAGE</t>
    <phoneticPr fontId="22" type="noConversion"/>
  </si>
  <si>
    <t>OJIYAS</t>
    <phoneticPr fontId="22" type="noConversion"/>
  </si>
  <si>
    <t>AL AMEDA</t>
    <phoneticPr fontId="22" type="noConversion"/>
  </si>
  <si>
    <t>10249381969,10249381970</t>
    <phoneticPr fontId="22" type="noConversion"/>
  </si>
  <si>
    <t>7/16-20UNF-GP,IP 2B</t>
    <phoneticPr fontId="22" type="noConversion"/>
  </si>
  <si>
    <t>10238181288,10238181289</t>
    <phoneticPr fontId="22" type="noConversion"/>
  </si>
  <si>
    <t>5/16-24UNJF 3A</t>
    <phoneticPr fontId="22" type="noConversion"/>
  </si>
  <si>
    <t>10247581683,10247581684</t>
    <phoneticPr fontId="22" type="noConversion"/>
  </si>
  <si>
    <t>3/4-16UNF-2A</t>
    <phoneticPr fontId="22" type="noConversion"/>
  </si>
  <si>
    <t>021051</t>
    <phoneticPr fontId="22" type="noConversion"/>
  </si>
  <si>
    <t>1105-6913</t>
    <phoneticPr fontId="22" type="noConversion"/>
  </si>
  <si>
    <t>BROWN&amp;SHARPE</t>
    <phoneticPr fontId="22" type="noConversion"/>
  </si>
  <si>
    <t>Mitutoyo</t>
    <phoneticPr fontId="23" type="noConversion"/>
  </si>
  <si>
    <t>10238191286,10238191287</t>
    <phoneticPr fontId="22" type="noConversion"/>
  </si>
  <si>
    <t>26110085</t>
    <phoneticPr fontId="22" type="noConversion"/>
  </si>
  <si>
    <t>RWW059</t>
    <phoneticPr fontId="22" type="noConversion"/>
  </si>
  <si>
    <t>317848</t>
    <phoneticPr fontId="22" type="noConversion"/>
  </si>
  <si>
    <t>211008</t>
    <phoneticPr fontId="22" type="noConversion"/>
  </si>
  <si>
    <t>26213060</t>
    <phoneticPr fontId="22" type="noConversion"/>
  </si>
  <si>
    <t>1331240-1</t>
    <phoneticPr fontId="22" type="noConversion"/>
  </si>
  <si>
    <t>JPG</t>
    <phoneticPr fontId="22" type="noConversion"/>
  </si>
  <si>
    <t>46011381</t>
    <phoneticPr fontId="22" type="noConversion"/>
  </si>
  <si>
    <t>46011404</t>
    <phoneticPr fontId="22" type="noConversion"/>
  </si>
  <si>
    <t>324776</t>
    <phoneticPr fontId="22" type="noConversion"/>
  </si>
  <si>
    <t>13483944</t>
    <phoneticPr fontId="22" type="noConversion"/>
  </si>
  <si>
    <t>66406</t>
    <phoneticPr fontId="22" type="noConversion"/>
  </si>
  <si>
    <t>내∙외측 캘리퍼</t>
    <phoneticPr fontId="22" type="noConversion"/>
  </si>
  <si>
    <t>Mitutoyo</t>
    <phoneticPr fontId="23" type="noConversion"/>
  </si>
  <si>
    <t>Mitutoyo</t>
    <phoneticPr fontId="23" type="noConversion"/>
  </si>
  <si>
    <t>0~300㎜,0.05㎜</t>
    <phoneticPr fontId="22" type="noConversion"/>
  </si>
  <si>
    <t>08069015</t>
    <phoneticPr fontId="22" type="noConversion"/>
  </si>
  <si>
    <t>BLUE BIRD</t>
    <phoneticPr fontId="22" type="noConversion"/>
  </si>
  <si>
    <t>내∙외측 캘리퍼(디지털형)</t>
    <phoneticPr fontId="22" type="noConversion"/>
  </si>
  <si>
    <t>06622534</t>
    <phoneticPr fontId="22" type="noConversion"/>
  </si>
  <si>
    <t>05160827</t>
    <phoneticPr fontId="22" type="noConversion"/>
  </si>
  <si>
    <t>03243721</t>
    <phoneticPr fontId="23" type="noConversion"/>
  </si>
  <si>
    <t>05141383</t>
    <phoneticPr fontId="23" type="noConversion"/>
  </si>
  <si>
    <t>05528394</t>
    <phoneticPr fontId="22" type="noConversion"/>
  </si>
  <si>
    <t>06078899</t>
    <phoneticPr fontId="23" type="noConversion"/>
  </si>
  <si>
    <t>06280264</t>
    <phoneticPr fontId="23" type="noConversion"/>
  </si>
  <si>
    <t>07374815</t>
    <phoneticPr fontId="22" type="noConversion"/>
  </si>
  <si>
    <t>0026111</t>
    <phoneticPr fontId="22" type="noConversion"/>
  </si>
  <si>
    <t>09077967</t>
    <phoneticPr fontId="22" type="noConversion"/>
  </si>
  <si>
    <t>121096152</t>
    <phoneticPr fontId="22" type="noConversion"/>
  </si>
  <si>
    <t>121096231</t>
    <phoneticPr fontId="22" type="noConversion"/>
  </si>
  <si>
    <t>L06-003</t>
    <phoneticPr fontId="22" type="noConversion"/>
  </si>
  <si>
    <t>103-139(L06-013)</t>
    <phoneticPr fontId="22" type="noConversion"/>
  </si>
  <si>
    <t>05151833</t>
    <phoneticPr fontId="22" type="noConversion"/>
  </si>
  <si>
    <t>Mitutoyo</t>
    <phoneticPr fontId="23" type="noConversion"/>
  </si>
  <si>
    <t>007299</t>
    <phoneticPr fontId="22" type="noConversion"/>
  </si>
  <si>
    <t>NC</t>
    <phoneticPr fontId="22" type="noConversion"/>
  </si>
  <si>
    <t>GPM561</t>
    <phoneticPr fontId="22" type="noConversion"/>
  </si>
  <si>
    <t>PFA048</t>
    <phoneticPr fontId="22" type="noConversion"/>
  </si>
  <si>
    <t>NJF945</t>
    <phoneticPr fontId="22" type="noConversion"/>
  </si>
  <si>
    <t>MPS881</t>
    <phoneticPr fontId="22" type="noConversion"/>
  </si>
  <si>
    <t>QBV284</t>
    <phoneticPr fontId="22" type="noConversion"/>
  </si>
  <si>
    <t>QBV216</t>
    <phoneticPr fontId="22" type="noConversion"/>
  </si>
  <si>
    <t>PGG993</t>
    <phoneticPr fontId="22" type="noConversion"/>
  </si>
  <si>
    <t>PGG986</t>
    <phoneticPr fontId="22" type="noConversion"/>
  </si>
  <si>
    <t>QQW622</t>
    <phoneticPr fontId="22" type="noConversion"/>
  </si>
  <si>
    <t>Mitutoyo</t>
    <phoneticPr fontId="23" type="noConversion"/>
  </si>
  <si>
    <t>PEACOCK</t>
    <phoneticPr fontId="22" type="noConversion"/>
  </si>
  <si>
    <t>MUX103</t>
    <phoneticPr fontId="22" type="noConversion"/>
  </si>
  <si>
    <t>QMX404</t>
    <phoneticPr fontId="22" type="noConversion"/>
  </si>
  <si>
    <t>SKIN</t>
    <phoneticPr fontId="22" type="noConversion"/>
  </si>
  <si>
    <t>NO.178MAA</t>
    <phoneticPr fontId="22" type="noConversion"/>
  </si>
  <si>
    <t>FUJI TOOL</t>
    <phoneticPr fontId="22" type="noConversion"/>
  </si>
  <si>
    <t>HANDO</t>
    <phoneticPr fontId="22" type="noConversion"/>
  </si>
  <si>
    <t>NO.178MC</t>
    <phoneticPr fontId="22" type="noConversion"/>
  </si>
  <si>
    <t>AF00022147</t>
    <phoneticPr fontId="22" type="noConversion"/>
  </si>
  <si>
    <t>D19.813-D20.067</t>
    <phoneticPr fontId="22" type="noConversion"/>
  </si>
  <si>
    <t>KAL</t>
    <phoneticPr fontId="22" type="noConversion"/>
  </si>
  <si>
    <t>L862602(NONE-3)</t>
    <phoneticPr fontId="23" type="noConversion"/>
  </si>
  <si>
    <t>TESA</t>
    <phoneticPr fontId="23" type="noConversion"/>
  </si>
  <si>
    <t>0013357</t>
    <phoneticPr fontId="22" type="noConversion"/>
  </si>
  <si>
    <t>14332652</t>
    <phoneticPr fontId="22" type="noConversion"/>
  </si>
  <si>
    <t>L141124-1</t>
    <phoneticPr fontId="22" type="noConversion"/>
  </si>
  <si>
    <t>BLUE BIRD</t>
    <phoneticPr fontId="22" type="noConversion"/>
  </si>
  <si>
    <t>L141124-2</t>
  </si>
  <si>
    <t>E5667</t>
    <phoneticPr fontId="22" type="noConversion"/>
  </si>
  <si>
    <t>14478504</t>
    <phoneticPr fontId="22" type="noConversion"/>
  </si>
  <si>
    <t>14478257</t>
    <phoneticPr fontId="22" type="noConversion"/>
  </si>
  <si>
    <t>BRIX 0~33%,BRIX 0.2%</t>
    <phoneticPr fontId="22" type="noConversion"/>
  </si>
  <si>
    <t>ATAGO</t>
    <phoneticPr fontId="22" type="noConversion"/>
  </si>
  <si>
    <t>HANDO</t>
    <phoneticPr fontId="22" type="noConversion"/>
  </si>
  <si>
    <t>1/2-20 UNJF-3B</t>
    <phoneticPr fontId="22" type="noConversion"/>
  </si>
  <si>
    <t>1/4-28 UNJF-3B</t>
    <phoneticPr fontId="22" type="noConversion"/>
  </si>
  <si>
    <t>1/4-28 UNF-GP,IP 3B</t>
    <phoneticPr fontId="22" type="noConversion"/>
  </si>
  <si>
    <t>15.06.24</t>
    <phoneticPr fontId="23" type="noConversion"/>
  </si>
  <si>
    <t>16.06.23</t>
  </si>
  <si>
    <t>1507-003</t>
    <phoneticPr fontId="22" type="noConversion"/>
  </si>
  <si>
    <t>MIKRON</t>
    <phoneticPr fontId="22" type="noConversion"/>
  </si>
  <si>
    <t>1507-002</t>
    <phoneticPr fontId="22" type="noConversion"/>
  </si>
  <si>
    <t>3/4-16 UNF 2B</t>
    <phoneticPr fontId="22" type="noConversion"/>
  </si>
  <si>
    <t>1520068-1</t>
    <phoneticPr fontId="22" type="noConversion"/>
  </si>
  <si>
    <t>5/8-18UNJF-3A</t>
    <phoneticPr fontId="22" type="noConversion"/>
  </si>
  <si>
    <t>JPG</t>
    <phoneticPr fontId="22" type="noConversion"/>
  </si>
  <si>
    <t>#10-32 UNJF-3B</t>
    <phoneticPr fontId="22" type="noConversion"/>
  </si>
  <si>
    <t>4-40UNC-2B</t>
    <phoneticPr fontId="22" type="noConversion"/>
  </si>
  <si>
    <t>6-32UNC-2B</t>
    <phoneticPr fontId="22" type="noConversion"/>
  </si>
  <si>
    <t>8-32UNC-2B</t>
    <phoneticPr fontId="22" type="noConversion"/>
  </si>
  <si>
    <t>1-12 UNF 2B</t>
    <phoneticPr fontId="22" type="noConversion"/>
  </si>
  <si>
    <t>030245</t>
    <phoneticPr fontId="22" type="noConversion"/>
  </si>
  <si>
    <t>021225</t>
    <phoneticPr fontId="22" type="noConversion"/>
  </si>
  <si>
    <t>1512636</t>
    <phoneticPr fontId="22" type="noConversion"/>
  </si>
  <si>
    <t>N/A</t>
    <phoneticPr fontId="22" type="noConversion"/>
  </si>
  <si>
    <t>5m</t>
    <phoneticPr fontId="22" type="noConversion"/>
  </si>
  <si>
    <t>Komelon</t>
    <phoneticPr fontId="22" type="noConversion"/>
  </si>
  <si>
    <t>14.11.24</t>
    <phoneticPr fontId="22" type="noConversion"/>
  </si>
  <si>
    <t>15.11.09</t>
    <phoneticPr fontId="22" type="noConversion"/>
  </si>
  <si>
    <t>15.11.09</t>
    <phoneticPr fontId="23" type="noConversion"/>
  </si>
  <si>
    <t>16.11.08</t>
    <phoneticPr fontId="22" type="noConversion"/>
  </si>
  <si>
    <t>16.11.23</t>
    <phoneticPr fontId="22" type="noConversion"/>
  </si>
  <si>
    <t>L14062602</t>
    <phoneticPr fontId="22" type="noConversion"/>
  </si>
  <si>
    <t>L130621-1</t>
    <phoneticPr fontId="22" type="noConversion"/>
  </si>
  <si>
    <t>6002424</t>
    <phoneticPr fontId="22" type="noConversion"/>
  </si>
  <si>
    <t>30~40mm,0.001mm</t>
    <phoneticPr fontId="22" type="noConversion"/>
  </si>
  <si>
    <t>#3</t>
  </si>
  <si>
    <t>#4</t>
  </si>
  <si>
    <t>#5</t>
  </si>
  <si>
    <t>#6</t>
  </si>
  <si>
    <t>L300CH</t>
    <phoneticPr fontId="22" type="noConversion"/>
  </si>
  <si>
    <t>0.254~12.700mm</t>
    <phoneticPr fontId="22" type="noConversion"/>
  </si>
  <si>
    <t>FUJI TOOL</t>
    <phoneticPr fontId="22" type="noConversion"/>
  </si>
  <si>
    <t>13.970~25.400mm</t>
    <phoneticPr fontId="22" type="noConversion"/>
  </si>
  <si>
    <t>A-067</t>
  </si>
  <si>
    <t>AH6515</t>
    <phoneticPr fontId="22" type="noConversion"/>
  </si>
  <si>
    <t>30±5% IN.LB</t>
    <phoneticPr fontId="28" type="noConversion"/>
  </si>
  <si>
    <t>CLECO</t>
    <phoneticPr fontId="22" type="noConversion"/>
  </si>
  <si>
    <t>1회 / 3개월</t>
  </si>
  <si>
    <t>7</t>
    <phoneticPr fontId="22" type="noConversion"/>
  </si>
  <si>
    <t>A-068</t>
  </si>
  <si>
    <t>AI6603</t>
    <phoneticPr fontId="22" type="noConversion"/>
  </si>
  <si>
    <t>A-072</t>
  </si>
  <si>
    <t>AI6514</t>
    <phoneticPr fontId="22" type="noConversion"/>
  </si>
  <si>
    <t>737</t>
    <phoneticPr fontId="22" type="noConversion"/>
  </si>
  <si>
    <t>A-073</t>
  </si>
  <si>
    <t>AI6625</t>
    <phoneticPr fontId="22" type="noConversion"/>
  </si>
  <si>
    <t>A-074</t>
  </si>
  <si>
    <t>AI6690</t>
    <phoneticPr fontId="22" type="noConversion"/>
  </si>
  <si>
    <t>토크 런너(AF00028795)</t>
  </si>
  <si>
    <t>A-026</t>
  </si>
  <si>
    <t>QH2050</t>
    <phoneticPr fontId="22" type="noConversion"/>
  </si>
  <si>
    <t>15±5% IN.LB</t>
    <phoneticPr fontId="22" type="noConversion"/>
  </si>
  <si>
    <t>A-027</t>
  </si>
  <si>
    <t>YD2093</t>
    <phoneticPr fontId="22" type="noConversion"/>
  </si>
  <si>
    <t>20±5% IN.LB</t>
    <phoneticPr fontId="22" type="noConversion"/>
  </si>
  <si>
    <t>A-028</t>
  </si>
  <si>
    <t>YE2471</t>
    <phoneticPr fontId="22" type="noConversion"/>
  </si>
  <si>
    <t>30±5% IN.LB</t>
    <phoneticPr fontId="22" type="noConversion"/>
  </si>
  <si>
    <t>A-058</t>
    <phoneticPr fontId="22" type="noConversion"/>
  </si>
  <si>
    <t xml:space="preserve"> AI6627</t>
    <phoneticPr fontId="22" type="noConversion"/>
  </si>
  <si>
    <t>20±5% IN.LB</t>
    <phoneticPr fontId="28" type="noConversion"/>
  </si>
  <si>
    <t>A-059</t>
  </si>
  <si>
    <t>AI6628</t>
    <phoneticPr fontId="22" type="noConversion"/>
  </si>
  <si>
    <t>30±5% IN.LB</t>
  </si>
  <si>
    <t>737FSF P/U</t>
    <phoneticPr fontId="22" type="noConversion"/>
  </si>
  <si>
    <t>A-060</t>
  </si>
  <si>
    <t>AI6626</t>
  </si>
  <si>
    <t>A-061</t>
  </si>
  <si>
    <t>AI6602</t>
    <phoneticPr fontId="22" type="noConversion"/>
  </si>
  <si>
    <t>A-062</t>
  </si>
  <si>
    <t>AH6516</t>
    <phoneticPr fontId="22" type="noConversion"/>
  </si>
  <si>
    <t>G-032</t>
  </si>
  <si>
    <t>SN507791</t>
    <phoneticPr fontId="22" type="noConversion"/>
  </si>
  <si>
    <t>5/32~3/8</t>
    <phoneticPr fontId="22" type="noConversion"/>
  </si>
  <si>
    <t>Hi-Lite</t>
    <phoneticPr fontId="22" type="noConversion"/>
  </si>
  <si>
    <t>1회 / 1년</t>
    <phoneticPr fontId="22" type="noConversion"/>
  </si>
  <si>
    <t>787AB</t>
    <phoneticPr fontId="22" type="noConversion"/>
  </si>
  <si>
    <t>2</t>
    <phoneticPr fontId="22" type="noConversion"/>
  </si>
  <si>
    <t>G-026</t>
  </si>
  <si>
    <t>SN507783</t>
    <phoneticPr fontId="22" type="noConversion"/>
  </si>
  <si>
    <t>B-014</t>
  </si>
  <si>
    <t>10372115</t>
    <phoneticPr fontId="22" type="noConversion"/>
  </si>
  <si>
    <t>(0~150)mm/0.01mm</t>
    <phoneticPr fontId="22" type="noConversion"/>
  </si>
  <si>
    <t>1</t>
    <phoneticPr fontId="22" type="noConversion"/>
  </si>
  <si>
    <t>G-027</t>
  </si>
  <si>
    <t>SN507784</t>
  </si>
  <si>
    <t>G-030</t>
  </si>
  <si>
    <t>SN507787</t>
  </si>
  <si>
    <t>G-028</t>
  </si>
  <si>
    <t>SN507785</t>
  </si>
  <si>
    <t>G-029</t>
  </si>
  <si>
    <t>SN507786</t>
  </si>
  <si>
    <t>A-004</t>
  </si>
  <si>
    <t>0210218505</t>
    <phoneticPr fontId="22" type="noConversion"/>
  </si>
  <si>
    <t>SNAP-ON</t>
  </si>
  <si>
    <t>16.02.23</t>
    <phoneticPr fontId="22" type="noConversion"/>
  </si>
  <si>
    <t>A-031</t>
  </si>
  <si>
    <t>12070193</t>
    <phoneticPr fontId="22" type="noConversion"/>
  </si>
  <si>
    <t>토크 렌치(프리셑형)</t>
  </si>
  <si>
    <t>(5~25)N.m</t>
    <phoneticPr fontId="22" type="noConversion"/>
  </si>
  <si>
    <t>KANON</t>
    <phoneticPr fontId="22" type="noConversion"/>
  </si>
  <si>
    <t>B-015</t>
  </si>
  <si>
    <t>10372116</t>
    <phoneticPr fontId="22" type="noConversion"/>
  </si>
  <si>
    <t>15.09.16</t>
    <phoneticPr fontId="22" type="noConversion"/>
  </si>
  <si>
    <t>16.09.15</t>
    <phoneticPr fontId="22" type="noConversion"/>
  </si>
  <si>
    <t>G-035</t>
  </si>
  <si>
    <t>SN107758</t>
  </si>
  <si>
    <t>Hi-Lok</t>
    <phoneticPr fontId="22" type="noConversion"/>
  </si>
  <si>
    <t>A-001</t>
    <phoneticPr fontId="22" type="noConversion"/>
  </si>
  <si>
    <t>SATO</t>
    <phoneticPr fontId="22" type="noConversion"/>
  </si>
  <si>
    <t>A-053</t>
    <phoneticPr fontId="22" type="noConversion"/>
  </si>
  <si>
    <t>15127871</t>
    <phoneticPr fontId="22" type="noConversion"/>
  </si>
  <si>
    <t>.5-.0005"(12.7-0.01mm)</t>
    <phoneticPr fontId="22" type="noConversion"/>
  </si>
  <si>
    <t>MITUTOYO</t>
    <phoneticPr fontId="22" type="noConversion"/>
  </si>
  <si>
    <t>G-033</t>
  </si>
  <si>
    <t>SN107756</t>
    <phoneticPr fontId="22" type="noConversion"/>
  </si>
  <si>
    <t>A-052</t>
    <phoneticPr fontId="22" type="noConversion"/>
  </si>
  <si>
    <t>15127771</t>
    <phoneticPr fontId="22" type="noConversion"/>
  </si>
  <si>
    <t>G-036</t>
  </si>
  <si>
    <t>SN107759</t>
  </si>
  <si>
    <t>G-038</t>
  </si>
  <si>
    <t>SN107761</t>
  </si>
  <si>
    <t>G-039</t>
  </si>
  <si>
    <t>SN107762</t>
  </si>
  <si>
    <t>A-011</t>
  </si>
  <si>
    <t>HG696</t>
    <phoneticPr fontId="22" type="noConversion"/>
  </si>
  <si>
    <t>MV-2000</t>
    <phoneticPr fontId="22" type="noConversion"/>
  </si>
  <si>
    <t>CAS</t>
    <phoneticPr fontId="22" type="noConversion"/>
  </si>
  <si>
    <t>SEALING ROOM</t>
    <phoneticPr fontId="22" type="noConversion"/>
  </si>
  <si>
    <t>3</t>
    <phoneticPr fontId="22" type="noConversion"/>
  </si>
  <si>
    <t>A-044</t>
  </si>
  <si>
    <t>1070548</t>
    <phoneticPr fontId="22" type="noConversion"/>
  </si>
  <si>
    <t>(13.6~67.8)N.m</t>
    <phoneticPr fontId="22" type="noConversion"/>
  </si>
  <si>
    <t>STURTEVANT RICHMONT</t>
    <phoneticPr fontId="22" type="noConversion"/>
  </si>
  <si>
    <t>16.04.18</t>
    <phoneticPr fontId="22" type="noConversion"/>
  </si>
  <si>
    <t>A-049</t>
  </si>
  <si>
    <t>0314805388</t>
    <phoneticPr fontId="22" type="noConversion"/>
  </si>
  <si>
    <t>(3.4~16.9)N.m</t>
    <phoneticPr fontId="22" type="noConversion"/>
  </si>
  <si>
    <t>CDI</t>
    <phoneticPr fontId="22" type="noConversion"/>
  </si>
  <si>
    <t>A-048</t>
  </si>
  <si>
    <t>0314805361</t>
    <phoneticPr fontId="22" type="noConversion"/>
  </si>
  <si>
    <t>A-047</t>
  </si>
  <si>
    <t>0314505870</t>
    <phoneticPr fontId="22" type="noConversion"/>
  </si>
  <si>
    <t>A-002</t>
  </si>
  <si>
    <t>15.10.08</t>
    <phoneticPr fontId="22" type="noConversion"/>
  </si>
  <si>
    <t>B-002</t>
  </si>
  <si>
    <t>08323343</t>
    <phoneticPr fontId="22" type="noConversion"/>
  </si>
  <si>
    <t>A-054</t>
    <phoneticPr fontId="22" type="noConversion"/>
  </si>
  <si>
    <t>H150150220</t>
    <phoneticPr fontId="22" type="noConversion"/>
  </si>
  <si>
    <t>VOLTCRAFT</t>
    <phoneticPr fontId="22" type="noConversion"/>
  </si>
  <si>
    <t>A-055</t>
    <phoneticPr fontId="22" type="noConversion"/>
  </si>
  <si>
    <t>H150150288</t>
    <phoneticPr fontId="22" type="noConversion"/>
  </si>
  <si>
    <t>B-004</t>
  </si>
  <si>
    <t>L10102201</t>
    <phoneticPr fontId="22" type="noConversion"/>
  </si>
  <si>
    <t>(25.4~152.4)mm</t>
    <phoneticPr fontId="22" type="noConversion"/>
  </si>
  <si>
    <t>Starrett</t>
    <phoneticPr fontId="22" type="noConversion"/>
  </si>
  <si>
    <t>B-005</t>
  </si>
  <si>
    <t>L10102202</t>
    <phoneticPr fontId="22" type="noConversion"/>
  </si>
  <si>
    <t>B-006</t>
  </si>
  <si>
    <t>L10102203</t>
    <phoneticPr fontId="22" type="noConversion"/>
  </si>
  <si>
    <t>B-007</t>
  </si>
  <si>
    <t>L10102204</t>
    <phoneticPr fontId="22" type="noConversion"/>
  </si>
  <si>
    <t>B-008</t>
  </si>
  <si>
    <t>L10102205</t>
    <phoneticPr fontId="22" type="noConversion"/>
  </si>
  <si>
    <t>B-009</t>
  </si>
  <si>
    <t>L10102206</t>
    <phoneticPr fontId="22" type="noConversion"/>
  </si>
  <si>
    <t>B-010</t>
  </si>
  <si>
    <t>(25.4~304.8)mm</t>
    <phoneticPr fontId="22" type="noConversion"/>
  </si>
  <si>
    <t>B-011</t>
  </si>
  <si>
    <t>L10102208</t>
    <phoneticPr fontId="22" type="noConversion"/>
  </si>
  <si>
    <t>B-012</t>
  </si>
  <si>
    <t>L10102209</t>
    <phoneticPr fontId="22" type="noConversion"/>
  </si>
  <si>
    <t>(101.6~1219.2)mm</t>
    <phoneticPr fontId="22" type="noConversion"/>
  </si>
  <si>
    <t>G-001</t>
    <phoneticPr fontId="22" type="noConversion"/>
  </si>
  <si>
    <t>HG110-05</t>
    <phoneticPr fontId="22" type="noConversion"/>
  </si>
  <si>
    <t>-</t>
    <phoneticPr fontId="22" type="noConversion"/>
  </si>
  <si>
    <t>HUCK</t>
    <phoneticPr fontId="22" type="noConversion"/>
  </si>
  <si>
    <t>G-002</t>
  </si>
  <si>
    <t>HG110-06</t>
    <phoneticPr fontId="22" type="noConversion"/>
  </si>
  <si>
    <t>G-003</t>
  </si>
  <si>
    <t>HG110-08</t>
    <phoneticPr fontId="22" type="noConversion"/>
  </si>
  <si>
    <t>G-006</t>
  </si>
  <si>
    <t>643</t>
    <phoneticPr fontId="22" type="noConversion"/>
  </si>
  <si>
    <t>(0~2.54)mm/0.0127mm</t>
    <phoneticPr fontId="22" type="noConversion"/>
  </si>
  <si>
    <t>품질팀</t>
  </si>
  <si>
    <t>G-008</t>
  </si>
  <si>
    <t>270</t>
    <phoneticPr fontId="22" type="noConversion"/>
  </si>
  <si>
    <t>(0.254~3.810)mm</t>
    <phoneticPr fontId="22" type="noConversion"/>
  </si>
  <si>
    <t>G-009</t>
  </si>
  <si>
    <t>(0.038~0.635)mm</t>
    <phoneticPr fontId="22" type="noConversion"/>
  </si>
  <si>
    <t>Blue point</t>
    <phoneticPr fontId="22" type="noConversion"/>
  </si>
  <si>
    <t>26 pcs</t>
    <phoneticPr fontId="22" type="noConversion"/>
  </si>
  <si>
    <t>G-010</t>
    <phoneticPr fontId="22" type="noConversion"/>
  </si>
  <si>
    <t>FB-325A-1(#1)</t>
    <phoneticPr fontId="22" type="noConversion"/>
  </si>
  <si>
    <t>A-003</t>
  </si>
  <si>
    <t>D453510670</t>
    <phoneticPr fontId="22" type="noConversion"/>
  </si>
  <si>
    <t>2200g</t>
    <phoneticPr fontId="22" type="noConversion"/>
  </si>
  <si>
    <t>A-025</t>
  </si>
  <si>
    <t>DME29316</t>
    <phoneticPr fontId="22" type="noConversion"/>
  </si>
  <si>
    <t>(33.9~203.37)N.m</t>
    <phoneticPr fontId="22" type="noConversion"/>
  </si>
  <si>
    <t>PROTO</t>
    <phoneticPr fontId="22" type="noConversion"/>
  </si>
  <si>
    <t>A-046</t>
  </si>
  <si>
    <t>1023348</t>
    <phoneticPr fontId="22" type="noConversion"/>
  </si>
  <si>
    <t>(16.9~84.7)N.m</t>
    <phoneticPr fontId="22" type="noConversion"/>
  </si>
  <si>
    <t>A-045</t>
  </si>
  <si>
    <t>1070164</t>
    <phoneticPr fontId="22" type="noConversion"/>
  </si>
  <si>
    <t>A-050</t>
    <phoneticPr fontId="22" type="noConversion"/>
  </si>
  <si>
    <t>0914801325</t>
    <phoneticPr fontId="22" type="noConversion"/>
  </si>
  <si>
    <t>A-051</t>
    <phoneticPr fontId="22" type="noConversion"/>
  </si>
  <si>
    <t>0914801402</t>
    <phoneticPr fontId="22" type="noConversion"/>
  </si>
  <si>
    <t>G-088</t>
  </si>
  <si>
    <t>#7</t>
  </si>
  <si>
    <t>(6.426~6.579)mm</t>
    <phoneticPr fontId="22" type="noConversion"/>
  </si>
  <si>
    <t>VAN KEUREN</t>
    <phoneticPr fontId="22" type="noConversion"/>
  </si>
  <si>
    <t>G-007</t>
  </si>
  <si>
    <t>S167C</t>
    <phoneticPr fontId="22" type="noConversion"/>
  </si>
  <si>
    <t>(0.39~12.70)mm</t>
    <phoneticPr fontId="22" type="noConversion"/>
  </si>
  <si>
    <t>52 pcs</t>
    <phoneticPr fontId="22" type="noConversion"/>
  </si>
  <si>
    <t>G-082</t>
  </si>
  <si>
    <t>#1</t>
    <phoneticPr fontId="22" type="noConversion"/>
  </si>
  <si>
    <t>(4.813~4.864)mm</t>
    <phoneticPr fontId="22" type="noConversion"/>
  </si>
  <si>
    <t>G-083</t>
  </si>
  <si>
    <t>G-084</t>
  </si>
  <si>
    <t>(4.826~4.978)mm</t>
    <phoneticPr fontId="22" type="noConversion"/>
  </si>
  <si>
    <t>G-085</t>
  </si>
  <si>
    <t>(6.248~6.299)mm</t>
    <phoneticPr fontId="22" type="noConversion"/>
  </si>
  <si>
    <t>G-086</t>
  </si>
  <si>
    <t>(6.337~6.388)mm</t>
    <phoneticPr fontId="22" type="noConversion"/>
  </si>
  <si>
    <t>G-087</t>
  </si>
  <si>
    <t>(6.350~6.426)mm</t>
    <phoneticPr fontId="22" type="noConversion"/>
  </si>
  <si>
    <t>G-089</t>
  </si>
  <si>
    <t>#8</t>
  </si>
  <si>
    <t>(7.925~7.976)mm</t>
    <phoneticPr fontId="22" type="noConversion"/>
  </si>
  <si>
    <t>G-090</t>
  </si>
  <si>
    <t>#9</t>
  </si>
  <si>
    <t>(11.100~11.151)mm</t>
    <phoneticPr fontId="22" type="noConversion"/>
  </si>
  <si>
    <t>B-018</t>
    <phoneticPr fontId="22" type="noConversion"/>
  </si>
  <si>
    <t>04070</t>
    <phoneticPr fontId="22" type="noConversion"/>
  </si>
  <si>
    <t>0-44450mN</t>
    <phoneticPr fontId="22" type="noConversion"/>
  </si>
  <si>
    <t>TECLOCK</t>
    <phoneticPr fontId="22" type="noConversion"/>
  </si>
  <si>
    <t>B-017</t>
    <phoneticPr fontId="22" type="noConversion"/>
  </si>
  <si>
    <t>04032</t>
    <phoneticPr fontId="22" type="noConversion"/>
  </si>
  <si>
    <t>A-057</t>
    <phoneticPr fontId="22" type="noConversion"/>
  </si>
  <si>
    <t>15145968</t>
    <phoneticPr fontId="22" type="noConversion"/>
  </si>
  <si>
    <t>1-.0005"(25.4-0.01mm)</t>
    <phoneticPr fontId="22" type="noConversion"/>
  </si>
  <si>
    <t>A-056</t>
    <phoneticPr fontId="22" type="noConversion"/>
  </si>
  <si>
    <t>15091075</t>
    <phoneticPr fontId="22" type="noConversion"/>
  </si>
  <si>
    <t>G-014</t>
  </si>
  <si>
    <t>ST217D7-110-36</t>
    <phoneticPr fontId="22" type="noConversion"/>
  </si>
  <si>
    <t>원통형 플러그 게이지
(GO , NO-GO GAGE)</t>
    <phoneticPr fontId="22" type="noConversion"/>
  </si>
  <si>
    <t>4.712mm/4.763mm</t>
    <phoneticPr fontId="22" type="noConversion"/>
  </si>
  <si>
    <t>None</t>
    <phoneticPr fontId="22" type="noConversion"/>
  </si>
  <si>
    <t>G-015</t>
  </si>
  <si>
    <t>ST217D7-110-37</t>
    <phoneticPr fontId="22" type="noConversion"/>
  </si>
  <si>
    <t>4.719mm/4.773mm</t>
    <phoneticPr fontId="22" type="noConversion"/>
  </si>
  <si>
    <t>G-016</t>
  </si>
  <si>
    <t>ST217D7-110-01</t>
    <phoneticPr fontId="22" type="noConversion"/>
  </si>
  <si>
    <t>4.724mm/4.775mm</t>
    <phoneticPr fontId="22" type="noConversion"/>
  </si>
  <si>
    <t>G-017</t>
  </si>
  <si>
    <t>ST217D7-110-12</t>
    <phoneticPr fontId="22" type="noConversion"/>
  </si>
  <si>
    <t>4.750mm/4.826mm</t>
    <phoneticPr fontId="22" type="noConversion"/>
  </si>
  <si>
    <t>G-018</t>
  </si>
  <si>
    <t>ST217D7-110-02</t>
    <phoneticPr fontId="22" type="noConversion"/>
  </si>
  <si>
    <t>4.826mm/4.902mm</t>
    <phoneticPr fontId="22" type="noConversion"/>
  </si>
  <si>
    <t>G-019</t>
  </si>
  <si>
    <t>ST217D7-110-38</t>
    <phoneticPr fontId="22" type="noConversion"/>
  </si>
  <si>
    <t>6.236mm/6.287mm</t>
    <phoneticPr fontId="22" type="noConversion"/>
  </si>
  <si>
    <t>G-020</t>
  </si>
  <si>
    <t>ST217D7-110-03</t>
    <phoneticPr fontId="22" type="noConversion"/>
  </si>
  <si>
    <t>6.248mm/6.299mm</t>
    <phoneticPr fontId="22" type="noConversion"/>
  </si>
  <si>
    <t>G-021</t>
  </si>
  <si>
    <t>ST217D7-110-39</t>
    <phoneticPr fontId="22" type="noConversion"/>
  </si>
  <si>
    <t>6.274mm/6.350mm</t>
    <phoneticPr fontId="22" type="noConversion"/>
  </si>
  <si>
    <t>G-022</t>
  </si>
  <si>
    <t>ST217D7-110-40</t>
    <phoneticPr fontId="22" type="noConversion"/>
  </si>
  <si>
    <t>7.823mm/7.887mm</t>
    <phoneticPr fontId="22" type="noConversion"/>
  </si>
  <si>
    <t>G-023</t>
  </si>
  <si>
    <t>ST217D7-110-05</t>
    <phoneticPr fontId="22" type="noConversion"/>
  </si>
  <si>
    <t>7.836mm/7.887mm</t>
    <phoneticPr fontId="22" type="noConversion"/>
  </si>
  <si>
    <t>B-003</t>
  </si>
  <si>
    <t>08323411</t>
    <phoneticPr fontId="22" type="noConversion"/>
  </si>
  <si>
    <t>G-011</t>
    <phoneticPr fontId="22" type="noConversion"/>
  </si>
  <si>
    <t>23049</t>
    <phoneticPr fontId="22" type="noConversion"/>
  </si>
  <si>
    <t>HOLE GAGE SET</t>
    <phoneticPr fontId="22" type="noConversion"/>
  </si>
  <si>
    <t>HG604-SABT-3K
(.2000,.2500,.30000")</t>
    <phoneticPr fontId="22" type="noConversion"/>
  </si>
  <si>
    <t>TRULOK</t>
    <phoneticPr fontId="22" type="noConversion"/>
  </si>
  <si>
    <t>G-012</t>
  </si>
  <si>
    <t>23275</t>
    <phoneticPr fontId="22" type="noConversion"/>
  </si>
  <si>
    <t>COUNTERSINK GAGE</t>
    <phoneticPr fontId="22" type="noConversion"/>
  </si>
  <si>
    <t>G-101</t>
  </si>
  <si>
    <t>NO.230</t>
    <phoneticPr fontId="22" type="noConversion"/>
  </si>
  <si>
    <t>GENERAL</t>
    <phoneticPr fontId="22" type="noConversion"/>
  </si>
  <si>
    <t>G-102</t>
  </si>
  <si>
    <t>NO.230#1</t>
    <phoneticPr fontId="22" type="noConversion"/>
  </si>
  <si>
    <t>G-119</t>
    <phoneticPr fontId="22" type="noConversion"/>
  </si>
  <si>
    <t>270A-1</t>
    <phoneticPr fontId="22" type="noConversion"/>
  </si>
  <si>
    <t>(0.3~4)mm</t>
    <phoneticPr fontId="22" type="noConversion"/>
  </si>
  <si>
    <t>Sk</t>
    <phoneticPr fontId="22" type="noConversion"/>
  </si>
  <si>
    <t>G-120</t>
    <phoneticPr fontId="22" type="noConversion"/>
  </si>
  <si>
    <t>270A-2</t>
    <phoneticPr fontId="22" type="noConversion"/>
  </si>
  <si>
    <t>G-121</t>
    <phoneticPr fontId="22" type="noConversion"/>
  </si>
  <si>
    <t>270A-3</t>
    <phoneticPr fontId="22" type="noConversion"/>
  </si>
  <si>
    <t>A-007</t>
  </si>
  <si>
    <t>100726506</t>
    <phoneticPr fontId="22" type="noConversion"/>
  </si>
  <si>
    <t>DIGITAL HITESTER</t>
    <phoneticPr fontId="22" type="noConversion"/>
  </si>
  <si>
    <t>3803</t>
    <phoneticPr fontId="22" type="noConversion"/>
  </si>
  <si>
    <t>HIOKI</t>
    <phoneticPr fontId="22" type="noConversion"/>
  </si>
  <si>
    <t>A-017</t>
  </si>
  <si>
    <t>1513999</t>
    <phoneticPr fontId="22" type="noConversion"/>
  </si>
  <si>
    <t>A-063</t>
    <phoneticPr fontId="22" type="noConversion"/>
  </si>
  <si>
    <t>1518483</t>
    <phoneticPr fontId="22" type="noConversion"/>
  </si>
  <si>
    <t>A-064</t>
    <phoneticPr fontId="22" type="noConversion"/>
  </si>
  <si>
    <t>1518482</t>
    <phoneticPr fontId="22" type="noConversion"/>
  </si>
  <si>
    <t>A-016</t>
  </si>
  <si>
    <t>1513998</t>
    <phoneticPr fontId="22" type="noConversion"/>
  </si>
  <si>
    <t>B-013</t>
  </si>
  <si>
    <t>230</t>
    <phoneticPr fontId="22" type="noConversion"/>
  </si>
  <si>
    <t>(0~25.4)mm/0.002mm</t>
    <phoneticPr fontId="22" type="noConversion"/>
  </si>
  <si>
    <t>16.12.10</t>
    <phoneticPr fontId="22" type="noConversion"/>
  </si>
  <si>
    <t>G-068</t>
  </si>
  <si>
    <t>FB-325A-3</t>
    <phoneticPr fontId="22" type="noConversion"/>
  </si>
  <si>
    <t>B-019</t>
    <phoneticPr fontId="22" type="noConversion"/>
  </si>
  <si>
    <t>15/070418</t>
    <phoneticPr fontId="22" type="noConversion"/>
  </si>
  <si>
    <t>A-066</t>
  </si>
  <si>
    <t>260128</t>
    <phoneticPr fontId="22" type="noConversion"/>
  </si>
  <si>
    <t>737 FSF SEALING</t>
    <phoneticPr fontId="22" type="noConversion"/>
  </si>
  <si>
    <t>A-065</t>
    <phoneticPr fontId="22" type="noConversion"/>
  </si>
  <si>
    <t>260127</t>
    <phoneticPr fontId="22" type="noConversion"/>
  </si>
  <si>
    <t>A330</t>
    <phoneticPr fontId="22" type="noConversion"/>
  </si>
  <si>
    <t>A-069</t>
    <phoneticPr fontId="22" type="noConversion"/>
  </si>
  <si>
    <t>A-070</t>
  </si>
  <si>
    <t>G-091</t>
  </si>
  <si>
    <t>NDT-P-01</t>
    <phoneticPr fontId="22" type="noConversion"/>
  </si>
  <si>
    <t>(4.826~4.877)mm</t>
    <phoneticPr fontId="22" type="noConversion"/>
  </si>
  <si>
    <t>15.03.19</t>
    <phoneticPr fontId="22" type="noConversion"/>
  </si>
  <si>
    <t>17.03.18</t>
    <phoneticPr fontId="22" type="noConversion"/>
  </si>
  <si>
    <t>G-092</t>
  </si>
  <si>
    <t>NDT-P-02</t>
  </si>
  <si>
    <t>G-093</t>
  </si>
  <si>
    <t>NDT-P-03</t>
  </si>
  <si>
    <t>(6.350~6.388)mm</t>
    <phoneticPr fontId="22" type="noConversion"/>
  </si>
  <si>
    <t>G-094</t>
  </si>
  <si>
    <t>NDT-P-04</t>
  </si>
  <si>
    <t>(6.350~6.401)mm</t>
    <phoneticPr fontId="22" type="noConversion"/>
  </si>
  <si>
    <t>G-095</t>
  </si>
  <si>
    <t>NDT-P-05</t>
  </si>
  <si>
    <t>G-096</t>
  </si>
  <si>
    <t>NDT-P-06</t>
  </si>
  <si>
    <t>(7.938~7.988)mm</t>
    <phoneticPr fontId="22" type="noConversion"/>
  </si>
  <si>
    <t>G-097</t>
  </si>
  <si>
    <t>NDT-P-07</t>
  </si>
  <si>
    <t>G-098</t>
  </si>
  <si>
    <t>NDT-P-08</t>
  </si>
  <si>
    <t>(9.525~9.576)mm</t>
    <phoneticPr fontId="22" type="noConversion"/>
  </si>
  <si>
    <t>G-099</t>
  </si>
  <si>
    <t>NDT-P-09</t>
  </si>
  <si>
    <t>G-100</t>
  </si>
  <si>
    <t>NDT-P-10</t>
  </si>
  <si>
    <t>원통형 플러그 게이지</t>
  </si>
  <si>
    <t>(11.113~11.163)mm</t>
    <phoneticPr fontId="22" type="noConversion"/>
  </si>
  <si>
    <t>VAN KEUREN</t>
  </si>
  <si>
    <t>A-018</t>
  </si>
  <si>
    <t>981203</t>
    <phoneticPr fontId="22" type="noConversion"/>
  </si>
  <si>
    <t>FX1077B</t>
    <phoneticPr fontId="22" type="noConversion"/>
  </si>
  <si>
    <t>OYO</t>
    <phoneticPr fontId="22" type="noConversion"/>
  </si>
  <si>
    <t>A-019</t>
  </si>
  <si>
    <t>4360GE160</t>
    <phoneticPr fontId="22" type="noConversion"/>
  </si>
  <si>
    <t>436006</t>
    <phoneticPr fontId="22" type="noConversion"/>
  </si>
  <si>
    <t>YOKOGAWA</t>
    <phoneticPr fontId="22" type="noConversion"/>
  </si>
  <si>
    <t>G-072</t>
  </si>
  <si>
    <t>SN507792</t>
    <phoneticPr fontId="22" type="noConversion"/>
  </si>
  <si>
    <t>17.04.17</t>
    <phoneticPr fontId="22" type="noConversion"/>
  </si>
  <si>
    <t>G-075</t>
  </si>
  <si>
    <t>SN107796</t>
    <phoneticPr fontId="22" type="noConversion"/>
  </si>
  <si>
    <t>G-069</t>
  </si>
  <si>
    <t>SN507782</t>
    <phoneticPr fontId="22" type="noConversion"/>
  </si>
  <si>
    <t>G-073</t>
  </si>
  <si>
    <t>SN107793</t>
    <phoneticPr fontId="22" type="noConversion"/>
  </si>
  <si>
    <t>G-070</t>
  </si>
  <si>
    <t>SN507788</t>
    <phoneticPr fontId="22" type="noConversion"/>
  </si>
  <si>
    <t>G-071</t>
  </si>
  <si>
    <t>SN507790</t>
    <phoneticPr fontId="22" type="noConversion"/>
  </si>
  <si>
    <t>G-074</t>
  </si>
  <si>
    <t>SN107795</t>
    <phoneticPr fontId="22" type="noConversion"/>
  </si>
  <si>
    <t>G-076</t>
  </si>
  <si>
    <t>SN107799</t>
    <phoneticPr fontId="22" type="noConversion"/>
  </si>
  <si>
    <t>B-016</t>
  </si>
  <si>
    <t>90719</t>
    <phoneticPr fontId="22" type="noConversion"/>
  </si>
  <si>
    <t>A-type</t>
    <phoneticPr fontId="22" type="noConversion"/>
  </si>
  <si>
    <t>16.04.19</t>
    <phoneticPr fontId="22" type="noConversion"/>
  </si>
  <si>
    <t>17.04.18</t>
    <phoneticPr fontId="22" type="noConversion"/>
  </si>
  <si>
    <t>A-071</t>
    <phoneticPr fontId="22" type="noConversion"/>
  </si>
  <si>
    <t>A-006</t>
  </si>
  <si>
    <t>DC002502</t>
    <phoneticPr fontId="22" type="noConversion"/>
  </si>
  <si>
    <t>MILLIOHM METER</t>
    <phoneticPr fontId="22" type="noConversion"/>
  </si>
  <si>
    <t>M1</t>
    <phoneticPr fontId="22" type="noConversion"/>
  </si>
  <si>
    <t>BCD</t>
    <phoneticPr fontId="22" type="noConversion"/>
  </si>
  <si>
    <t>16.05.16</t>
    <phoneticPr fontId="22" type="noConversion"/>
  </si>
  <si>
    <t>G-025</t>
  </si>
  <si>
    <t>ST217D7-110-41</t>
    <phoneticPr fontId="22" type="noConversion"/>
  </si>
  <si>
    <t>9.411mm/9.462mm</t>
    <phoneticPr fontId="22" type="noConversion"/>
  </si>
  <si>
    <t>15.06.05</t>
    <phoneticPr fontId="22" type="noConversion"/>
  </si>
  <si>
    <t>17.06.04</t>
    <phoneticPr fontId="22" type="noConversion"/>
  </si>
  <si>
    <t>G-064</t>
  </si>
  <si>
    <t>L11101222</t>
  </si>
  <si>
    <t>3.2512mm/3.4036mm</t>
    <phoneticPr fontId="22" type="noConversion"/>
  </si>
  <si>
    <t>G-103</t>
    <phoneticPr fontId="22" type="noConversion"/>
  </si>
  <si>
    <t>L11101226</t>
    <phoneticPr fontId="22" type="noConversion"/>
  </si>
  <si>
    <t>GO 0.1920"/NOGO 0.1960"</t>
    <phoneticPr fontId="22" type="noConversion"/>
  </si>
  <si>
    <t>15.10.16</t>
    <phoneticPr fontId="22" type="noConversion"/>
  </si>
  <si>
    <t>17.10.15</t>
    <phoneticPr fontId="22" type="noConversion"/>
  </si>
  <si>
    <t>G-105</t>
  </si>
  <si>
    <t>L11101228</t>
    <phoneticPr fontId="22" type="noConversion"/>
  </si>
  <si>
    <t>GO 0.1900"/NOGO 0.1990"</t>
    <phoneticPr fontId="22" type="noConversion"/>
  </si>
  <si>
    <t>G-108</t>
  </si>
  <si>
    <t>L11101231</t>
    <phoneticPr fontId="22" type="noConversion"/>
  </si>
  <si>
    <t>GO 0.1900"/NOGO 0.1940"</t>
    <phoneticPr fontId="22" type="noConversion"/>
  </si>
  <si>
    <t>G-110</t>
  </si>
  <si>
    <t>L11101233</t>
    <phoneticPr fontId="22" type="noConversion"/>
  </si>
  <si>
    <t>GO 0.1910"/NOGO 0.2020"</t>
    <phoneticPr fontId="22" type="noConversion"/>
  </si>
  <si>
    <t>G-111</t>
  </si>
  <si>
    <t>L11101234</t>
    <phoneticPr fontId="22" type="noConversion"/>
  </si>
  <si>
    <t>GO 0.0980"/NOGO 0.1010"</t>
    <phoneticPr fontId="22" type="noConversion"/>
  </si>
  <si>
    <t>G-114</t>
  </si>
  <si>
    <t>L11101237</t>
    <phoneticPr fontId="22" type="noConversion"/>
  </si>
  <si>
    <t>GO 0.2500"/NOGO 0.2540"</t>
    <phoneticPr fontId="22" type="noConversion"/>
  </si>
  <si>
    <t>G-115</t>
  </si>
  <si>
    <t>L11101238</t>
    <phoneticPr fontId="22" type="noConversion"/>
  </si>
  <si>
    <t>GO 0.2180"/NOGO 0.2290"</t>
    <phoneticPr fontId="22" type="noConversion"/>
  </si>
  <si>
    <t>G-118</t>
  </si>
  <si>
    <t>L11101241</t>
    <phoneticPr fontId="22" type="noConversion"/>
  </si>
  <si>
    <t>GO 0.0980"/NOGO 0.1030"</t>
    <phoneticPr fontId="22" type="noConversion"/>
  </si>
  <si>
    <t>G-104</t>
  </si>
  <si>
    <t>L11101227</t>
    <phoneticPr fontId="22" type="noConversion"/>
  </si>
  <si>
    <t>G-106</t>
  </si>
  <si>
    <t>L11101229</t>
    <phoneticPr fontId="22" type="noConversion"/>
  </si>
  <si>
    <t>G-107</t>
  </si>
  <si>
    <t>L11101230</t>
    <phoneticPr fontId="22" type="noConversion"/>
  </si>
  <si>
    <t>G-109</t>
  </si>
  <si>
    <t>L11101232</t>
    <phoneticPr fontId="22" type="noConversion"/>
  </si>
  <si>
    <t>G-112</t>
  </si>
  <si>
    <t>L11101235</t>
    <phoneticPr fontId="22" type="noConversion"/>
  </si>
  <si>
    <t>G-113</t>
  </si>
  <si>
    <t>L11101236</t>
    <phoneticPr fontId="22" type="noConversion"/>
  </si>
  <si>
    <t>G-116</t>
  </si>
  <si>
    <t>L11101239</t>
    <phoneticPr fontId="22" type="noConversion"/>
  </si>
  <si>
    <t>G-117</t>
  </si>
  <si>
    <t>L11101240</t>
    <phoneticPr fontId="22" type="noConversion"/>
  </si>
  <si>
    <t>G-059</t>
  </si>
  <si>
    <t>L11101217</t>
  </si>
  <si>
    <t>4.8133mm/4.8387mm</t>
    <phoneticPr fontId="22" type="noConversion"/>
  </si>
  <si>
    <t>A-012</t>
  </si>
  <si>
    <t>B0002666</t>
    <phoneticPr fontId="22" type="noConversion"/>
  </si>
  <si>
    <t>1</t>
    <phoneticPr fontId="30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</si>
  <si>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</si>
  <si>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</si>
  <si>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</si>
  <si>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</si>
  <si>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</si>
  <si>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</si>
  <si>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</si>
  <si>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</si>
  <si>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</si>
  <si>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</si>
  <si>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</si>
  <si>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</si>
  <si>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</si>
  <si>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</si>
  <si>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</si>
  <si>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</si>
  <si>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</si>
  <si>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</si>
  <si>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</si>
  <si>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</si>
  <si>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</si>
  <si>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</si>
  <si>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</si>
  <si>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</si>
  <si>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</si>
  <si>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</si>
  <si>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</si>
  <si>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</si>
  <si>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</si>
  <si>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</si>
  <si>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</si>
  <si>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</si>
  <si>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</si>
  <si>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</si>
  <si>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</si>
  <si>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</si>
  <si>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</si>
  <si>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</si>
  <si>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</si>
  <si>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</si>
  <si>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</si>
  <si>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</si>
  <si>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</si>
  <si>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</si>
  <si>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</si>
  <si>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</si>
  <si>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</si>
  <si>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</si>
  <si>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</si>
  <si>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</si>
  <si>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</si>
  <si>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</si>
  <si>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</si>
  <si>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</si>
  <si>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</si>
  <si>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</si>
  <si>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</si>
  <si>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</si>
  <si>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</si>
  <si>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</si>
  <si>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</si>
  <si>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</si>
  <si>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</si>
  <si>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</si>
  <si>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</si>
  <si>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</si>
  <si>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</si>
  <si>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</si>
  <si>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</si>
  <si>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</si>
  <si>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</si>
  <si>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</si>
  <si>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</si>
  <si>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</si>
  <si>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</si>
  <si>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</si>
  <si>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</si>
  <si>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</si>
  <si>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</si>
  <si>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</si>
  <si>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</si>
  <si>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</si>
  <si>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</si>
  <si>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</si>
  <si>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</si>
  <si>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</si>
  <si>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</si>
  <si>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</si>
  <si>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</si>
  <si>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</si>
  <si>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</si>
  <si>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</si>
  <si>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</si>
  <si>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</si>
  <si>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</si>
  <si>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</si>
  <si>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</si>
  <si>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</si>
  <si>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</si>
  <si>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</si>
  <si>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</si>
  <si>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</si>
  <si>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</si>
  <si>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</si>
  <si>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</si>
  <si>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</si>
  <si>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</si>
  <si>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</si>
  <si>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</si>
  <si>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</si>
  <si>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</si>
  <si>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</si>
  <si>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</si>
  <si>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</si>
  <si>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</si>
  <si>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</si>
  <si>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</si>
  <si>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</si>
  <si>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</si>
  <si>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</si>
  <si>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</si>
  <si>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</si>
  <si>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</si>
  <si>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</si>
  <si>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</si>
  <si>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</si>
  <si>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</si>
  <si>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</si>
  <si>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</si>
  <si>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</si>
  <si>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</si>
  <si>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</si>
  <si>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</si>
  <si>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</si>
  <si>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</si>
  <si>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</si>
  <si>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</si>
  <si>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</si>
  <si>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</si>
  <si>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</si>
  <si>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</si>
  <si>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</si>
  <si>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</si>
  <si>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</si>
  <si>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</si>
  <si>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</si>
  <si>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</si>
  <si>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</si>
  <si>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</si>
  <si>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</si>
  <si>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</si>
  <si>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</si>
  <si>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</si>
  <si>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</si>
  <si>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</si>
  <si>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</si>
  <si>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</si>
  <si>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</si>
  <si>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</si>
  <si>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</si>
  <si>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</si>
  <si>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</si>
  <si>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</si>
  <si>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</si>
  <si>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</si>
  <si>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</si>
  <si>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</si>
  <si>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</si>
  <si>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</si>
  <si>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</si>
  <si>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</si>
  <si>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</si>
  <si>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</si>
  <si>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</si>
  <si>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</si>
  <si>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</si>
  <si>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</si>
  <si>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</si>
  <si>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</si>
  <si>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</si>
  <si>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</si>
  <si>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</si>
  <si>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</si>
  <si>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</si>
  <si>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</si>
  <si>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</si>
  <si>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</si>
  <si>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</si>
  <si>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</si>
  <si>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</si>
  <si>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</si>
  <si>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</si>
  <si>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</si>
  <si>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</si>
  <si>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</si>
  <si>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</si>
  <si>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</si>
  <si>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</si>
  <si>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</si>
  <si>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</si>
  <si>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</si>
  <si>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</si>
  <si>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</si>
  <si>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</si>
  <si>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066538</t>
    <phoneticPr fontId="30" type="noConversion"/>
  </si>
  <si>
    <t>355880</t>
    <phoneticPr fontId="30" type="noConversion"/>
  </si>
  <si>
    <t>450817</t>
    <phoneticPr fontId="30" type="noConversion"/>
  </si>
  <si>
    <t>339048</t>
    <phoneticPr fontId="30" type="noConversion"/>
  </si>
  <si>
    <t>064508</t>
    <phoneticPr fontId="30" type="noConversion"/>
  </si>
  <si>
    <t>934311</t>
    <phoneticPr fontId="30" type="noConversion"/>
  </si>
  <si>
    <t>903508</t>
    <phoneticPr fontId="30" type="noConversion"/>
  </si>
  <si>
    <t>926434</t>
    <phoneticPr fontId="30" type="noConversion"/>
  </si>
  <si>
    <t>932734</t>
    <phoneticPr fontId="30" type="noConversion"/>
  </si>
  <si>
    <t>707297</t>
    <phoneticPr fontId="30" type="noConversion"/>
  </si>
  <si>
    <t>082373</t>
    <phoneticPr fontId="30" type="noConversion"/>
  </si>
  <si>
    <t>139404</t>
    <phoneticPr fontId="30" type="noConversion"/>
  </si>
  <si>
    <t>543573</t>
    <phoneticPr fontId="30" type="noConversion"/>
  </si>
  <si>
    <t>051369</t>
    <phoneticPr fontId="30" type="noConversion"/>
  </si>
  <si>
    <t>500806</t>
    <phoneticPr fontId="30" type="noConversion"/>
  </si>
  <si>
    <t>035119</t>
    <phoneticPr fontId="30" type="noConversion"/>
  </si>
  <si>
    <t>811520</t>
    <phoneticPr fontId="30" type="noConversion"/>
  </si>
  <si>
    <t>222148</t>
    <phoneticPr fontId="30" type="noConversion"/>
  </si>
  <si>
    <t>467976</t>
    <phoneticPr fontId="30" type="noConversion"/>
  </si>
  <si>
    <t>467738</t>
    <phoneticPr fontId="30" type="noConversion"/>
  </si>
  <si>
    <t>320043</t>
    <phoneticPr fontId="30" type="noConversion"/>
  </si>
  <si>
    <t>511589</t>
    <phoneticPr fontId="30" type="noConversion"/>
  </si>
  <si>
    <t>409501</t>
    <phoneticPr fontId="30" type="noConversion"/>
  </si>
  <si>
    <t>450847</t>
    <phoneticPr fontId="30" type="noConversion"/>
  </si>
  <si>
    <t>609926</t>
    <phoneticPr fontId="30" type="noConversion"/>
  </si>
  <si>
    <t>513676</t>
    <phoneticPr fontId="30" type="noConversion"/>
  </si>
  <si>
    <t>702183</t>
    <phoneticPr fontId="30" type="noConversion"/>
  </si>
  <si>
    <t>672165</t>
    <phoneticPr fontId="30" type="noConversion"/>
  </si>
  <si>
    <t>R00590</t>
    <phoneticPr fontId="30" type="noConversion"/>
  </si>
  <si>
    <t>001952</t>
    <phoneticPr fontId="22" type="noConversion"/>
  </si>
  <si>
    <t>004696</t>
    <phoneticPr fontId="22" type="noConversion"/>
  </si>
  <si>
    <t>004601</t>
    <phoneticPr fontId="22" type="noConversion"/>
  </si>
  <si>
    <t>004667</t>
    <phoneticPr fontId="22" type="noConversion"/>
  </si>
  <si>
    <t>004693</t>
    <phoneticPr fontId="22" type="noConversion"/>
  </si>
  <si>
    <t>004703</t>
    <phoneticPr fontId="22" type="noConversion"/>
  </si>
  <si>
    <t>004682</t>
    <phoneticPr fontId="22" type="noConversion"/>
  </si>
  <si>
    <t>003010</t>
    <phoneticPr fontId="22" type="noConversion"/>
  </si>
  <si>
    <t>004334</t>
    <phoneticPr fontId="22" type="noConversion"/>
  </si>
  <si>
    <t>923182</t>
    <phoneticPr fontId="22" type="noConversion"/>
  </si>
  <si>
    <t>923163</t>
    <phoneticPr fontId="22" type="noConversion"/>
  </si>
  <si>
    <t>0004414</t>
    <phoneticPr fontId="22" type="noConversion"/>
  </si>
  <si>
    <t>0004378</t>
    <phoneticPr fontId="22" type="noConversion"/>
  </si>
  <si>
    <t>0004412</t>
    <phoneticPr fontId="22" type="noConversion"/>
  </si>
  <si>
    <t>0004415</t>
    <phoneticPr fontId="22" type="noConversion"/>
  </si>
  <si>
    <t>0004883</t>
    <phoneticPr fontId="22" type="noConversion"/>
  </si>
  <si>
    <t>0004880</t>
    <phoneticPr fontId="22" type="noConversion"/>
  </si>
  <si>
    <t>0005119</t>
    <phoneticPr fontId="22" type="noConversion"/>
  </si>
  <si>
    <t>0004894</t>
    <phoneticPr fontId="22" type="noConversion"/>
  </si>
  <si>
    <t>0004867</t>
    <phoneticPr fontId="22" type="noConversion"/>
  </si>
  <si>
    <t>0004892</t>
    <phoneticPr fontId="22" type="noConversion"/>
  </si>
  <si>
    <t>0004874</t>
    <phoneticPr fontId="22" type="noConversion"/>
  </si>
  <si>
    <t>0004871</t>
    <phoneticPr fontId="22" type="noConversion"/>
  </si>
  <si>
    <t>0004668</t>
    <phoneticPr fontId="22" type="noConversion"/>
  </si>
  <si>
    <t>0006154</t>
    <phoneticPr fontId="22" type="noConversion"/>
  </si>
  <si>
    <t>377557</t>
  </si>
  <si>
    <t>384253</t>
  </si>
  <si>
    <t>375757</t>
  </si>
  <si>
    <t>378657</t>
  </si>
  <si>
    <t>375678</t>
  </si>
  <si>
    <t>JBT630</t>
    <phoneticPr fontId="30" type="noConversion"/>
  </si>
  <si>
    <t>BRK549</t>
    <phoneticPr fontId="30" type="noConversion"/>
  </si>
  <si>
    <t>BRK535</t>
    <phoneticPr fontId="30" type="noConversion"/>
  </si>
  <si>
    <t>JBY957</t>
    <phoneticPr fontId="30" type="noConversion"/>
  </si>
  <si>
    <t>JBT625</t>
    <phoneticPr fontId="30" type="noConversion"/>
  </si>
  <si>
    <t>DGC516</t>
    <phoneticPr fontId="30" type="noConversion"/>
  </si>
  <si>
    <t>CJG044</t>
    <phoneticPr fontId="30" type="noConversion"/>
  </si>
  <si>
    <t>CRD098</t>
    <phoneticPr fontId="30" type="noConversion"/>
  </si>
  <si>
    <t>DZY477</t>
    <phoneticPr fontId="30" type="noConversion"/>
  </si>
  <si>
    <t>BYC927</t>
    <phoneticPr fontId="30" type="noConversion"/>
  </si>
  <si>
    <t>OM5096</t>
    <phoneticPr fontId="30" type="noConversion"/>
  </si>
  <si>
    <t>BYD130</t>
    <phoneticPr fontId="30" type="noConversion"/>
  </si>
  <si>
    <t>JDU945</t>
    <phoneticPr fontId="30" type="noConversion"/>
  </si>
  <si>
    <t>782453</t>
    <phoneticPr fontId="30" type="noConversion"/>
  </si>
  <si>
    <t>BMA597</t>
    <phoneticPr fontId="30" type="noConversion"/>
  </si>
  <si>
    <t>EBX023</t>
    <phoneticPr fontId="30" type="noConversion"/>
  </si>
  <si>
    <t>CST397</t>
    <phoneticPr fontId="30" type="noConversion"/>
  </si>
  <si>
    <t>EZP835</t>
    <phoneticPr fontId="30" type="noConversion"/>
  </si>
  <si>
    <t>DAF443</t>
    <phoneticPr fontId="30" type="noConversion"/>
  </si>
  <si>
    <t>EJK857</t>
    <phoneticPr fontId="30" type="noConversion"/>
  </si>
  <si>
    <t>EJK099</t>
    <phoneticPr fontId="30" type="noConversion"/>
  </si>
  <si>
    <t>JBT317</t>
    <phoneticPr fontId="30" type="noConversion"/>
  </si>
  <si>
    <t>016G56</t>
    <phoneticPr fontId="30" type="noConversion"/>
  </si>
  <si>
    <t>CZH887</t>
    <phoneticPr fontId="30" type="noConversion"/>
  </si>
  <si>
    <t>FRV057</t>
    <phoneticPr fontId="30" type="noConversion"/>
  </si>
  <si>
    <t>FRV042</t>
    <phoneticPr fontId="30" type="noConversion"/>
  </si>
  <si>
    <t>FRU977</t>
    <phoneticPr fontId="30" type="noConversion"/>
  </si>
  <si>
    <t>053363</t>
    <phoneticPr fontId="30" type="noConversion"/>
  </si>
  <si>
    <t>FFE508</t>
    <phoneticPr fontId="30" type="noConversion"/>
  </si>
  <si>
    <t>EPA828</t>
    <phoneticPr fontId="30" type="noConversion"/>
  </si>
  <si>
    <t>FPQ087</t>
    <phoneticPr fontId="30" type="noConversion"/>
  </si>
  <si>
    <t>FPQ034</t>
    <phoneticPr fontId="30" type="noConversion"/>
  </si>
  <si>
    <t>FRV012</t>
    <phoneticPr fontId="30" type="noConversion"/>
  </si>
  <si>
    <t>ACC750</t>
    <phoneticPr fontId="30" type="noConversion"/>
  </si>
  <si>
    <t>GLW116</t>
    <phoneticPr fontId="30" type="noConversion"/>
  </si>
  <si>
    <t>GGF003</t>
    <phoneticPr fontId="30" type="noConversion"/>
  </si>
  <si>
    <t>47J370</t>
    <phoneticPr fontId="30" type="noConversion"/>
  </si>
  <si>
    <t>BPC917</t>
    <phoneticPr fontId="30" type="noConversion"/>
  </si>
  <si>
    <t>GTQ861</t>
    <phoneticPr fontId="30" type="noConversion"/>
  </si>
  <si>
    <t>HWW574</t>
    <phoneticPr fontId="30" type="noConversion"/>
  </si>
  <si>
    <t>HLX125</t>
    <phoneticPr fontId="30" type="noConversion"/>
  </si>
  <si>
    <t>FRU930</t>
    <phoneticPr fontId="22" type="noConversion"/>
  </si>
  <si>
    <t>B02387</t>
    <phoneticPr fontId="30" type="noConversion"/>
  </si>
  <si>
    <t>P09085</t>
    <phoneticPr fontId="30" type="noConversion"/>
  </si>
  <si>
    <t>55761</t>
    <phoneticPr fontId="30" type="noConversion"/>
  </si>
  <si>
    <t>LYQ415</t>
    <phoneticPr fontId="22" type="noConversion"/>
  </si>
  <si>
    <t>MNW165</t>
    <phoneticPr fontId="22" type="noConversion"/>
  </si>
  <si>
    <t>MPV919</t>
    <phoneticPr fontId="22" type="noConversion"/>
  </si>
  <si>
    <t>MPV921</t>
    <phoneticPr fontId="22" type="noConversion"/>
  </si>
  <si>
    <t>MPV925</t>
    <phoneticPr fontId="22" type="noConversion"/>
  </si>
  <si>
    <t>MPV881</t>
    <phoneticPr fontId="22" type="noConversion"/>
  </si>
  <si>
    <t>MPV933</t>
    <phoneticPr fontId="22" type="noConversion"/>
  </si>
  <si>
    <t>MPV882</t>
    <phoneticPr fontId="22" type="noConversion"/>
  </si>
  <si>
    <t>MPV877</t>
    <phoneticPr fontId="22" type="noConversion"/>
  </si>
  <si>
    <t>MPV923</t>
    <phoneticPr fontId="22" type="noConversion"/>
  </si>
  <si>
    <t>MPV922</t>
    <phoneticPr fontId="22" type="noConversion"/>
  </si>
  <si>
    <t>MPV651</t>
    <phoneticPr fontId="22" type="noConversion"/>
  </si>
  <si>
    <t>MPV930</t>
    <phoneticPr fontId="22" type="noConversion"/>
  </si>
  <si>
    <t>MPV928</t>
    <phoneticPr fontId="22" type="noConversion"/>
  </si>
  <si>
    <t>MPV774</t>
    <phoneticPr fontId="22" type="noConversion"/>
  </si>
  <si>
    <t>MPV926</t>
    <phoneticPr fontId="22" type="noConversion"/>
  </si>
  <si>
    <t>MPV927</t>
    <phoneticPr fontId="22" type="noConversion"/>
  </si>
  <si>
    <t>MPV771</t>
    <phoneticPr fontId="22" type="noConversion"/>
  </si>
  <si>
    <t>MPV887</t>
    <phoneticPr fontId="22" type="noConversion"/>
  </si>
  <si>
    <t>MPV888</t>
    <phoneticPr fontId="22" type="noConversion"/>
  </si>
  <si>
    <t>MPV886</t>
    <phoneticPr fontId="22" type="noConversion"/>
  </si>
  <si>
    <t>MPN511</t>
    <phoneticPr fontId="22" type="noConversion"/>
  </si>
  <si>
    <t>MPW168</t>
    <phoneticPr fontId="22" type="noConversion"/>
  </si>
  <si>
    <t>MQM610</t>
    <phoneticPr fontId="22" type="noConversion"/>
  </si>
  <si>
    <t>SHN119</t>
  </si>
  <si>
    <t>SQY976</t>
  </si>
  <si>
    <t>SFP210</t>
  </si>
  <si>
    <t>SKR399</t>
  </si>
  <si>
    <t>SFN959</t>
  </si>
  <si>
    <t>8013214</t>
    <phoneticPr fontId="30" type="noConversion"/>
  </si>
  <si>
    <t>35049140</t>
    <phoneticPr fontId="22" type="noConversion"/>
  </si>
  <si>
    <t>40988</t>
    <phoneticPr fontId="30" type="noConversion"/>
  </si>
  <si>
    <t>0033477</t>
    <phoneticPr fontId="30" type="noConversion"/>
  </si>
  <si>
    <t>67095383</t>
    <phoneticPr fontId="30" type="noConversion"/>
  </si>
  <si>
    <t>G-OM04-01</t>
    <phoneticPr fontId="30" type="noConversion"/>
  </si>
  <si>
    <t>9267625
G-OM04-02</t>
    <phoneticPr fontId="30" type="noConversion"/>
  </si>
  <si>
    <t>015006</t>
    <phoneticPr fontId="30" type="noConversion"/>
  </si>
  <si>
    <t>HSK060425</t>
    <phoneticPr fontId="30" type="noConversion"/>
  </si>
  <si>
    <t>226901</t>
    <phoneticPr fontId="30" type="noConversion"/>
  </si>
  <si>
    <t>G-OM04-04</t>
    <phoneticPr fontId="30" type="noConversion"/>
  </si>
  <si>
    <t>G-OM04-05</t>
    <phoneticPr fontId="30" type="noConversion"/>
  </si>
  <si>
    <t>217388</t>
    <phoneticPr fontId="30" type="noConversion"/>
  </si>
  <si>
    <t>4061060</t>
    <phoneticPr fontId="30" type="noConversion"/>
  </si>
  <si>
    <t>G-OM04-06</t>
    <phoneticPr fontId="30" type="noConversion"/>
  </si>
  <si>
    <t>217932</t>
    <phoneticPr fontId="30" type="noConversion"/>
  </si>
  <si>
    <t>G-OM04-14</t>
    <phoneticPr fontId="30" type="noConversion"/>
  </si>
  <si>
    <t>G-OM04-07</t>
    <phoneticPr fontId="30" type="noConversion"/>
  </si>
  <si>
    <t>G-OM04-08</t>
    <phoneticPr fontId="30" type="noConversion"/>
  </si>
  <si>
    <t>G-OM04-13</t>
    <phoneticPr fontId="30" type="noConversion"/>
  </si>
  <si>
    <t>G-OM04-15</t>
    <phoneticPr fontId="30" type="noConversion"/>
  </si>
  <si>
    <t>0436192</t>
    <phoneticPr fontId="30" type="noConversion"/>
  </si>
  <si>
    <t>4012379</t>
    <phoneticPr fontId="30" type="noConversion"/>
  </si>
  <si>
    <t>4016433</t>
    <phoneticPr fontId="30" type="noConversion"/>
  </si>
  <si>
    <t>4007066</t>
    <phoneticPr fontId="30" type="noConversion"/>
  </si>
  <si>
    <t>202597</t>
    <phoneticPr fontId="30" type="noConversion"/>
  </si>
  <si>
    <t>14042</t>
    <phoneticPr fontId="30" type="noConversion"/>
  </si>
  <si>
    <t>975325</t>
    <phoneticPr fontId="30" type="noConversion"/>
  </si>
  <si>
    <t>002829</t>
    <phoneticPr fontId="30" type="noConversion"/>
  </si>
  <si>
    <t>9084300</t>
    <phoneticPr fontId="30" type="noConversion"/>
  </si>
  <si>
    <t>6238462</t>
    <phoneticPr fontId="30" type="noConversion"/>
  </si>
  <si>
    <t>5014053</t>
    <phoneticPr fontId="30" type="noConversion"/>
  </si>
  <si>
    <t>66272688</t>
    <phoneticPr fontId="30" type="noConversion"/>
  </si>
  <si>
    <t>5099159</t>
    <phoneticPr fontId="30" type="noConversion"/>
  </si>
  <si>
    <t>4163413</t>
    <phoneticPr fontId="30" type="noConversion"/>
  </si>
  <si>
    <t>4078850</t>
    <phoneticPr fontId="30" type="noConversion"/>
  </si>
  <si>
    <t>07859</t>
    <phoneticPr fontId="30" type="noConversion"/>
  </si>
  <si>
    <t>86021</t>
    <phoneticPr fontId="30" type="noConversion"/>
  </si>
  <si>
    <t>0118115</t>
  </si>
  <si>
    <t>70132496</t>
    <phoneticPr fontId="30" type="noConversion"/>
  </si>
  <si>
    <t>60525751</t>
    <phoneticPr fontId="30" type="noConversion"/>
  </si>
  <si>
    <t>8553506</t>
    <phoneticPr fontId="30" type="noConversion"/>
  </si>
  <si>
    <t>60396623</t>
    <phoneticPr fontId="30" type="noConversion"/>
  </si>
  <si>
    <t>M0444</t>
    <phoneticPr fontId="30" type="noConversion"/>
  </si>
  <si>
    <t>514064</t>
    <phoneticPr fontId="30" type="noConversion"/>
  </si>
  <si>
    <t>407385</t>
    <phoneticPr fontId="30" type="noConversion"/>
  </si>
  <si>
    <t>06237073</t>
    <phoneticPr fontId="30" type="noConversion"/>
  </si>
  <si>
    <t>09033129</t>
    <phoneticPr fontId="22" type="noConversion"/>
  </si>
  <si>
    <t>0005254</t>
    <phoneticPr fontId="22" type="noConversion"/>
  </si>
  <si>
    <t>06069826</t>
    <phoneticPr fontId="30" type="noConversion"/>
  </si>
  <si>
    <t>05104874</t>
    <phoneticPr fontId="30" type="noConversion"/>
  </si>
  <si>
    <t>07015707</t>
    <phoneticPr fontId="30" type="noConversion"/>
  </si>
  <si>
    <t>14057878</t>
  </si>
  <si>
    <t>14073585</t>
  </si>
  <si>
    <t>14145740</t>
  </si>
  <si>
    <t>14145773</t>
  </si>
  <si>
    <t>0012974</t>
    <phoneticPr fontId="30" type="noConversion"/>
  </si>
  <si>
    <t>0700843</t>
    <phoneticPr fontId="30" type="noConversion"/>
  </si>
  <si>
    <t>JVQ825</t>
    <phoneticPr fontId="30" type="noConversion"/>
  </si>
  <si>
    <t>7C1646</t>
    <phoneticPr fontId="30" type="noConversion"/>
  </si>
  <si>
    <t>MTS443</t>
    <phoneticPr fontId="30" type="noConversion"/>
  </si>
  <si>
    <t>KAP665</t>
    <phoneticPr fontId="30" type="noConversion"/>
  </si>
  <si>
    <t>DK020402</t>
    <phoneticPr fontId="30" type="noConversion"/>
  </si>
  <si>
    <t>SJ301</t>
    <phoneticPr fontId="22" type="noConversion"/>
  </si>
  <si>
    <t>1512636</t>
    <phoneticPr fontId="22" type="noConversion"/>
  </si>
  <si>
    <t>303827A</t>
    <phoneticPr fontId="22" type="noConversion"/>
  </si>
  <si>
    <t>321457A</t>
    <phoneticPr fontId="22" type="noConversion"/>
  </si>
  <si>
    <t>버니어 (디지털)</t>
  </si>
  <si>
    <t>6~10</t>
    <phoneticPr fontId="30" type="noConversion"/>
  </si>
  <si>
    <t>10~18.5</t>
    <phoneticPr fontId="30" type="noConversion"/>
  </si>
  <si>
    <t>18~35</t>
    <phoneticPr fontId="30" type="noConversion"/>
  </si>
  <si>
    <t>35~60</t>
    <phoneticPr fontId="22" type="noConversion"/>
  </si>
  <si>
    <t>50~150</t>
    <phoneticPr fontId="22" type="noConversion"/>
  </si>
  <si>
    <t>6~10</t>
  </si>
  <si>
    <t>10~18.5</t>
  </si>
  <si>
    <t>1.0mm</t>
    <phoneticPr fontId="30" type="noConversion"/>
  </si>
  <si>
    <t>1.0mm(0.001)</t>
  </si>
  <si>
    <t>0~150㎜(0.01)</t>
  </si>
  <si>
    <t>1000x1000x800</t>
    <phoneticPr fontId="22" type="noConversion"/>
  </si>
  <si>
    <t>1~100N.m</t>
    <phoneticPr fontId="22" type="noConversion"/>
  </si>
  <si>
    <t>0.5~50N.m</t>
    <phoneticPr fontId="22" type="noConversion"/>
  </si>
  <si>
    <t>1 Div.=0.001</t>
    <phoneticPr fontId="22" type="noConversion"/>
  </si>
  <si>
    <t>기존NO</t>
    <phoneticPr fontId="22" type="noConversion"/>
  </si>
  <si>
    <t>측 정 장 비  관 리 대 장</t>
    <phoneticPr fontId="23" type="noConversion"/>
  </si>
  <si>
    <r>
      <t xml:space="preserve"> 문서번호 : </t>
    </r>
    <r>
      <rPr>
        <b/>
        <sz val="9"/>
        <rFont val="맑은 고딕"/>
        <family val="3"/>
        <charset val="129"/>
        <scheme val="minor"/>
      </rPr>
      <t>NDT-QI-08-01</t>
    </r>
    <phoneticPr fontId="23" type="noConversion"/>
  </si>
  <si>
    <t>단가</t>
    <phoneticPr fontId="22" type="noConversion"/>
  </si>
  <si>
    <t>식별번호</t>
    <phoneticPr fontId="23" type="noConversion"/>
  </si>
  <si>
    <t>장  비  명</t>
    <phoneticPr fontId="23" type="noConversion"/>
  </si>
  <si>
    <t>사  양</t>
    <phoneticPr fontId="23" type="noConversion"/>
  </si>
  <si>
    <t>제작처</t>
    <phoneticPr fontId="23" type="noConversion"/>
  </si>
  <si>
    <t>교정주기</t>
    <phoneticPr fontId="23" type="noConversion"/>
  </si>
  <si>
    <t>교정일자</t>
    <phoneticPr fontId="23" type="noConversion"/>
  </si>
  <si>
    <t>차기일자</t>
    <phoneticPr fontId="23" type="noConversion"/>
  </si>
  <si>
    <t>사용위치</t>
    <phoneticPr fontId="22" type="noConversion"/>
  </si>
  <si>
    <t>비 고</t>
    <phoneticPr fontId="23" type="noConversion"/>
  </si>
  <si>
    <t>소요일(day)</t>
    <phoneticPr fontId="22" type="noConversion"/>
  </si>
  <si>
    <t>사내/외</t>
    <phoneticPr fontId="22" type="noConversion"/>
  </si>
  <si>
    <t>(부가세별도)</t>
    <phoneticPr fontId="22" type="noConversion"/>
  </si>
  <si>
    <t>비고</t>
    <phoneticPr fontId="22" type="noConversion"/>
  </si>
  <si>
    <t>검사실</t>
    <phoneticPr fontId="22" type="noConversion"/>
  </si>
  <si>
    <t>가공</t>
    <phoneticPr fontId="22" type="noConversion"/>
  </si>
  <si>
    <t>사내</t>
    <phoneticPr fontId="22" type="noConversion"/>
  </si>
  <si>
    <t>내∙외측 캘리퍼(다이얼)</t>
    <phoneticPr fontId="22" type="noConversion"/>
  </si>
  <si>
    <t>0~200㎜,0.02㎜</t>
    <phoneticPr fontId="22" type="noConversion"/>
  </si>
  <si>
    <t>직장</t>
    <phoneticPr fontId="22" type="noConversion"/>
  </si>
  <si>
    <t>내∙외측 캘리퍼</t>
    <phoneticPr fontId="22" type="noConversion"/>
  </si>
  <si>
    <t>3축</t>
    <phoneticPr fontId="22" type="noConversion"/>
  </si>
  <si>
    <t>1회 / 1년</t>
    <phoneticPr fontId="22" type="noConversion"/>
  </si>
  <si>
    <t>0~200㎜,0.05㎜</t>
    <phoneticPr fontId="22" type="noConversion"/>
  </si>
  <si>
    <t>내∙외측 캘리퍼(디지털형/인치)</t>
    <phoneticPr fontId="22" type="noConversion"/>
  </si>
  <si>
    <t>0~200㎜,0.01㎜</t>
    <phoneticPr fontId="22" type="noConversion"/>
  </si>
  <si>
    <t>신시네티</t>
    <phoneticPr fontId="22" type="noConversion"/>
  </si>
  <si>
    <t>대형신규3SPIN</t>
    <phoneticPr fontId="22" type="noConversion"/>
  </si>
  <si>
    <t>내∙외측 캘리퍼(디지털형)</t>
    <phoneticPr fontId="22" type="noConversion"/>
  </si>
  <si>
    <t>0~150㎜,0.01㎜</t>
    <phoneticPr fontId="22" type="noConversion"/>
  </si>
  <si>
    <t>3축(MYNX)</t>
    <phoneticPr fontId="22" type="noConversion"/>
  </si>
  <si>
    <t>사상</t>
    <phoneticPr fontId="22" type="noConversion"/>
  </si>
  <si>
    <t>5축</t>
    <phoneticPr fontId="22" type="noConversion"/>
  </si>
  <si>
    <t>D M U(엘리야)</t>
    <phoneticPr fontId="22" type="noConversion"/>
  </si>
  <si>
    <t>외경 다이얼 캘리퍼(아날로그)</t>
    <phoneticPr fontId="22" type="noConversion"/>
  </si>
  <si>
    <t>0~20㎜,0.01㎜</t>
    <phoneticPr fontId="22" type="noConversion"/>
  </si>
  <si>
    <t>틈새 게이지</t>
    <phoneticPr fontId="22" type="noConversion"/>
  </si>
  <si>
    <t>0.03~1.00㎜</t>
    <phoneticPr fontId="22" type="noConversion"/>
  </si>
  <si>
    <t>깊이 마이크로미터</t>
    <phoneticPr fontId="22" type="noConversion"/>
  </si>
  <si>
    <t>0~25㎜,0.01㎜</t>
    <phoneticPr fontId="22" type="noConversion"/>
  </si>
  <si>
    <t>외측 마이크로미터</t>
    <phoneticPr fontId="22" type="noConversion"/>
  </si>
  <si>
    <t>0~25㎜,0.001㎜</t>
    <phoneticPr fontId="22" type="noConversion"/>
  </si>
  <si>
    <t>25~50㎜,0.01㎜</t>
    <phoneticPr fontId="22" type="noConversion"/>
  </si>
  <si>
    <t>50~75㎜,0.01㎜</t>
    <phoneticPr fontId="22" type="noConversion"/>
  </si>
  <si>
    <t>외측 마이크로미터 (블래드형)</t>
    <phoneticPr fontId="22" type="noConversion"/>
  </si>
  <si>
    <t>외측 마이크로미터 (블래드형,디지털)</t>
    <phoneticPr fontId="22" type="noConversion"/>
  </si>
  <si>
    <t>4~5㎜,0.001㎜</t>
    <phoneticPr fontId="22" type="noConversion"/>
  </si>
  <si>
    <t>5~6㎜,0.001㎜</t>
    <phoneticPr fontId="22" type="noConversion"/>
  </si>
  <si>
    <t>6~8㎜,0.001㎜</t>
    <phoneticPr fontId="22" type="noConversion"/>
  </si>
  <si>
    <t>8~10㎜,0.001㎜</t>
    <phoneticPr fontId="22" type="noConversion"/>
  </si>
  <si>
    <t>10~12㎜,0.001㎜</t>
    <phoneticPr fontId="22" type="noConversion"/>
  </si>
  <si>
    <t>12~16㎜,0.005㎜</t>
    <phoneticPr fontId="22" type="noConversion"/>
  </si>
  <si>
    <t>16~20㎜,0.005㎜</t>
    <phoneticPr fontId="22" type="noConversion"/>
  </si>
  <si>
    <t>20~25㎜,0.005㎜</t>
    <phoneticPr fontId="22" type="noConversion"/>
  </si>
  <si>
    <t>25~30㎜,0.005㎜</t>
    <phoneticPr fontId="22" type="noConversion"/>
  </si>
  <si>
    <t>30~40㎜,0.005㎜</t>
    <phoneticPr fontId="22" type="noConversion"/>
  </si>
  <si>
    <t>40~50㎜,0.005㎜</t>
    <phoneticPr fontId="22" type="noConversion"/>
  </si>
  <si>
    <t>75~88㎜,0.005㎜</t>
    <phoneticPr fontId="22" type="noConversion"/>
  </si>
  <si>
    <t>3점 마이크로미터(디지털형)</t>
    <phoneticPr fontId="22" type="noConversion"/>
  </si>
  <si>
    <t>원통형 플러그게이지(GO-NO게이지)</t>
    <phoneticPr fontId="22" type="noConversion"/>
  </si>
  <si>
    <t>원통형 링 게이지</t>
    <phoneticPr fontId="22" type="noConversion"/>
  </si>
  <si>
    <t>5.000㎜</t>
    <phoneticPr fontId="22" type="noConversion"/>
  </si>
  <si>
    <t>7.999㎜</t>
    <phoneticPr fontId="22" type="noConversion"/>
  </si>
  <si>
    <t>11㎜</t>
    <phoneticPr fontId="22" type="noConversion"/>
  </si>
  <si>
    <t>27㎜</t>
    <phoneticPr fontId="22" type="noConversion"/>
  </si>
  <si>
    <t>45㎜</t>
    <phoneticPr fontId="22" type="noConversion"/>
  </si>
  <si>
    <t>16.000㎜</t>
    <phoneticPr fontId="22" type="noConversion"/>
  </si>
  <si>
    <t>24.992㎜</t>
    <phoneticPr fontId="22" type="noConversion"/>
  </si>
  <si>
    <t>39.996㎜</t>
    <phoneticPr fontId="22" type="noConversion"/>
  </si>
  <si>
    <t>래디어스 게이지</t>
    <phoneticPr fontId="22" type="noConversion"/>
  </si>
  <si>
    <t>0.5~13.0㎜</t>
    <phoneticPr fontId="22" type="noConversion"/>
  </si>
  <si>
    <t>1~7㎜</t>
    <phoneticPr fontId="22" type="noConversion"/>
  </si>
  <si>
    <t>7.5~15㎜</t>
    <phoneticPr fontId="22" type="noConversion"/>
  </si>
  <si>
    <t>0.1~1.0㎜</t>
    <phoneticPr fontId="22" type="noConversion"/>
  </si>
  <si>
    <t>15.5~25.0㎜</t>
    <phoneticPr fontId="22" type="noConversion"/>
  </si>
  <si>
    <t>1회 / 2년</t>
    <phoneticPr fontId="22" type="noConversion"/>
  </si>
  <si>
    <t>32pcs기준</t>
    <phoneticPr fontId="22" type="noConversion"/>
  </si>
  <si>
    <t>다이얼 게이지</t>
    <phoneticPr fontId="22" type="noConversion"/>
  </si>
  <si>
    <t>0~10㎜,0.01㎜</t>
    <phoneticPr fontId="22" type="noConversion"/>
  </si>
  <si>
    <t>0~4㎜,0.01㎜</t>
    <phoneticPr fontId="22" type="noConversion"/>
  </si>
  <si>
    <t>0~5㎜,0.01㎜</t>
    <phoneticPr fontId="22" type="noConversion"/>
  </si>
  <si>
    <t>높이 게이지(디지털형)</t>
    <phoneticPr fontId="23" type="noConversion"/>
  </si>
  <si>
    <t>0~300㎜,0.01㎜</t>
    <phoneticPr fontId="23" type="noConversion"/>
  </si>
  <si>
    <t>나사 플러그 게이지</t>
    <phoneticPr fontId="22" type="noConversion"/>
  </si>
  <si>
    <t>나사 링 게이지</t>
    <phoneticPr fontId="22" type="noConversion"/>
  </si>
  <si>
    <t>사외</t>
    <phoneticPr fontId="22" type="noConversion"/>
  </si>
  <si>
    <t>깊이 게이지(디지털/인치)</t>
    <phoneticPr fontId="22" type="noConversion"/>
  </si>
  <si>
    <t>게이지블록(102품)</t>
    <phoneticPr fontId="22" type="noConversion"/>
  </si>
  <si>
    <t>1~100㎜</t>
    <phoneticPr fontId="22" type="noConversion"/>
  </si>
  <si>
    <t>1.00~1.50㎜</t>
    <phoneticPr fontId="23" type="noConversion"/>
  </si>
  <si>
    <t>1.50~2.00㎜</t>
    <phoneticPr fontId="23" type="noConversion"/>
  </si>
  <si>
    <t>2.00~2.50㎜</t>
    <phoneticPr fontId="23" type="noConversion"/>
  </si>
  <si>
    <t>2.50~3.00㎜</t>
    <phoneticPr fontId="23" type="noConversion"/>
  </si>
  <si>
    <t>3.00~3.50㎜</t>
    <phoneticPr fontId="23" type="noConversion"/>
  </si>
  <si>
    <t>3.50~4.00㎜</t>
    <phoneticPr fontId="23" type="noConversion"/>
  </si>
  <si>
    <t>4.00~4.50㎜</t>
    <phoneticPr fontId="23" type="noConversion"/>
  </si>
  <si>
    <t>4.50~5.00㎜</t>
    <phoneticPr fontId="23" type="noConversion"/>
  </si>
  <si>
    <t>5.00~5.50㎜</t>
    <phoneticPr fontId="23" type="noConversion"/>
  </si>
  <si>
    <t>5.50~6.00㎜</t>
    <phoneticPr fontId="23" type="noConversion"/>
  </si>
  <si>
    <t>0~0.14㎜,0.001㎜</t>
    <phoneticPr fontId="22" type="noConversion"/>
  </si>
  <si>
    <t>0~0.8㎜,0.01㎜</t>
    <phoneticPr fontId="22" type="noConversion"/>
  </si>
  <si>
    <t>600 X 600㎜</t>
    <phoneticPr fontId="22" type="noConversion"/>
  </si>
  <si>
    <t>2000 X 1000㎜</t>
    <phoneticPr fontId="22" type="noConversion"/>
  </si>
  <si>
    <t>금성계측기</t>
    <phoneticPr fontId="23" type="noConversion"/>
  </si>
  <si>
    <t>삼차원 좌표 측정기</t>
    <phoneticPr fontId="22" type="noConversion"/>
  </si>
  <si>
    <t>800x1000x2000㎜</t>
    <phoneticPr fontId="22" type="noConversion"/>
  </si>
  <si>
    <t>1500x3000x1000㎜</t>
    <phoneticPr fontId="22" type="noConversion"/>
  </si>
  <si>
    <t>촉침식 표면거칠기 측정기</t>
    <phoneticPr fontId="22" type="noConversion"/>
  </si>
  <si>
    <t>접촉식 좌표 측정기 마스터 볼</t>
    <phoneticPr fontId="22" type="noConversion"/>
  </si>
  <si>
    <t>24.9811㎜</t>
    <phoneticPr fontId="22" type="noConversion"/>
  </si>
  <si>
    <t>곧은자</t>
    <phoneticPr fontId="22" type="noConversion"/>
  </si>
  <si>
    <t>0~300㎜</t>
    <phoneticPr fontId="22" type="noConversion"/>
  </si>
  <si>
    <t>0~600㎜</t>
    <phoneticPr fontId="22" type="noConversion"/>
  </si>
  <si>
    <t>MASTER-M(당도계)</t>
    <phoneticPr fontId="22" type="noConversion"/>
  </si>
  <si>
    <t>줄자</t>
    <phoneticPr fontId="22" type="noConversion"/>
  </si>
  <si>
    <t>자기 온·습도 기록계</t>
    <phoneticPr fontId="22" type="noConversion"/>
  </si>
  <si>
    <t>(-15~+50℃)/ 0~100%</t>
    <phoneticPr fontId="22" type="noConversion"/>
  </si>
  <si>
    <t>토크 런너(AF00028429)</t>
    <phoneticPr fontId="22" type="noConversion"/>
  </si>
  <si>
    <t>조립</t>
    <phoneticPr fontId="22" type="noConversion"/>
  </si>
  <si>
    <t>교정불가</t>
    <phoneticPr fontId="22" type="noConversion"/>
  </si>
  <si>
    <t>토크 드라이버(AF00028428)</t>
    <phoneticPr fontId="22" type="noConversion"/>
  </si>
  <si>
    <t>토크 런너(AF00028796)</t>
    <phoneticPr fontId="22" type="noConversion"/>
  </si>
  <si>
    <t>토크 런너(AF00028794)</t>
    <phoneticPr fontId="22" type="noConversion"/>
  </si>
  <si>
    <t>토크드라이버(AF00025109)</t>
    <phoneticPr fontId="22" type="noConversion"/>
  </si>
  <si>
    <t>1회 / 3개월</t>
    <phoneticPr fontId="22" type="noConversion"/>
  </si>
  <si>
    <t>B777 조립현장</t>
    <phoneticPr fontId="22" type="noConversion"/>
  </si>
  <si>
    <t>토크드라이버(AF00024870)</t>
    <phoneticPr fontId="22" type="noConversion"/>
  </si>
  <si>
    <t>토크드라이버(AF00024869)</t>
    <phoneticPr fontId="22" type="noConversion"/>
  </si>
  <si>
    <t>토크드라이버(AF00028195)</t>
    <phoneticPr fontId="22" type="noConversion"/>
  </si>
  <si>
    <t>토크드라이버(AF00028197)</t>
    <phoneticPr fontId="22" type="noConversion"/>
  </si>
  <si>
    <t>토크드라이버(AF00028198)</t>
    <phoneticPr fontId="22" type="noConversion"/>
  </si>
  <si>
    <t>토크드라이버(AF00028199)</t>
    <phoneticPr fontId="22" type="noConversion"/>
  </si>
  <si>
    <t>토크런너(AF00028202)</t>
    <phoneticPr fontId="22" type="noConversion"/>
  </si>
  <si>
    <t>갭 게이지(OM2-1522HST-B)</t>
    <phoneticPr fontId="22" type="noConversion"/>
  </si>
  <si>
    <t>내외측 캘리퍼(디지털형)</t>
    <phoneticPr fontId="22" type="noConversion"/>
  </si>
  <si>
    <t>미쓰도요</t>
    <phoneticPr fontId="22" type="noConversion"/>
  </si>
  <si>
    <t>품질팀</t>
    <phoneticPr fontId="22" type="noConversion"/>
  </si>
  <si>
    <t>품질팀보관</t>
    <phoneticPr fontId="22" type="noConversion"/>
  </si>
  <si>
    <t>토크 렌치(프리셑형)</t>
    <phoneticPr fontId="22" type="noConversion"/>
  </si>
  <si>
    <t>(4.519~22.597)N∙m</t>
    <phoneticPr fontId="22" type="noConversion"/>
  </si>
  <si>
    <t>1회 / 6개월</t>
    <phoneticPr fontId="22" type="noConversion"/>
  </si>
  <si>
    <t>갭 게이지(OM2-1522-B)</t>
    <phoneticPr fontId="22" type="noConversion"/>
  </si>
  <si>
    <t>자기 온,습도기록계</t>
    <phoneticPr fontId="22" type="noConversion"/>
  </si>
  <si>
    <t>NSⅡ-Q</t>
    <phoneticPr fontId="22" type="noConversion"/>
  </si>
  <si>
    <t>DIGIMATIC INDICATOR
(디지털 게이지)</t>
    <phoneticPr fontId="22" type="noConversion"/>
  </si>
  <si>
    <t>전기식 지시저울</t>
    <phoneticPr fontId="22" type="noConversion"/>
  </si>
  <si>
    <t>저항측정기(DIGITAL-MUTIMETER)
VC-830</t>
    <phoneticPr fontId="22" type="noConversion"/>
  </si>
  <si>
    <t>갭 게이지</t>
    <phoneticPr fontId="22" type="noConversion"/>
  </si>
  <si>
    <t>사내</t>
    <phoneticPr fontId="22" type="noConversion"/>
  </si>
  <si>
    <t>테이퍼형 틈새 게이지</t>
    <phoneticPr fontId="22" type="noConversion"/>
  </si>
  <si>
    <t>사외</t>
    <phoneticPr fontId="22" type="noConversion"/>
  </si>
  <si>
    <t>전기식지시저울</t>
    <phoneticPr fontId="22" type="noConversion"/>
  </si>
  <si>
    <t>플러그 게이지</t>
    <phoneticPr fontId="22" type="noConversion"/>
  </si>
  <si>
    <t>경도 시험계(GS-702N)</t>
    <phoneticPr fontId="22" type="noConversion"/>
  </si>
  <si>
    <t>100-2
(100˚ .360~.560")</t>
    <phoneticPr fontId="22" type="noConversion"/>
  </si>
  <si>
    <t>내 외측 캘리퍼</t>
    <phoneticPr fontId="22" type="noConversion"/>
  </si>
  <si>
    <t>1회/1년</t>
    <phoneticPr fontId="22" type="noConversion"/>
  </si>
  <si>
    <t>원통형 플러그 게이지</t>
    <phoneticPr fontId="22" type="noConversion"/>
  </si>
  <si>
    <t>온도지시조절계</t>
    <phoneticPr fontId="22" type="noConversion"/>
  </si>
  <si>
    <t>온도기록계</t>
    <phoneticPr fontId="22" type="noConversion"/>
  </si>
  <si>
    <t>갭 게이지(OM2-1522HST-B)</t>
    <phoneticPr fontId="22" type="noConversion"/>
  </si>
  <si>
    <t>갭 게이지(OM2-1522-B)</t>
    <phoneticPr fontId="22" type="noConversion"/>
  </si>
  <si>
    <t>듀로미터 경도시험기</t>
    <phoneticPr fontId="22" type="noConversion"/>
  </si>
  <si>
    <t>태성텍크</t>
    <phoneticPr fontId="22" type="noConversion"/>
  </si>
  <si>
    <t>실린더게이지</t>
    <phoneticPr fontId="30" type="noConversion"/>
  </si>
  <si>
    <t>10~18.5㎜(0.01)</t>
    <phoneticPr fontId="30" type="noConversion"/>
  </si>
  <si>
    <t>자동차</t>
    <phoneticPr fontId="22" type="noConversion"/>
  </si>
  <si>
    <t>160~250㎜(0.01)</t>
    <phoneticPr fontId="30" type="noConversion"/>
  </si>
  <si>
    <t>35~60㎜(0.01)</t>
    <phoneticPr fontId="30" type="noConversion"/>
  </si>
  <si>
    <t>35~60㎜(0.001)</t>
    <phoneticPr fontId="30" type="noConversion"/>
  </si>
  <si>
    <t>50~100㎜(0.01)</t>
    <phoneticPr fontId="30" type="noConversion"/>
  </si>
  <si>
    <t>50~100㎜(0.001)</t>
    <phoneticPr fontId="30" type="noConversion"/>
  </si>
  <si>
    <t>18~35㎜(0.01)</t>
    <phoneticPr fontId="30" type="noConversion"/>
  </si>
  <si>
    <t>10~18.5㎜(0.001)</t>
    <phoneticPr fontId="30" type="noConversion"/>
  </si>
  <si>
    <t>18~35㎜(0.001)</t>
    <phoneticPr fontId="30" type="noConversion"/>
  </si>
  <si>
    <t>50~150㎜(0.001)</t>
    <phoneticPr fontId="30" type="noConversion"/>
  </si>
  <si>
    <t>50~150㎜(0.01)</t>
    <phoneticPr fontId="30" type="noConversion"/>
  </si>
  <si>
    <t>160~250㎜(0.001)</t>
    <phoneticPr fontId="30" type="noConversion"/>
  </si>
  <si>
    <t>10~18㎜(0.001)</t>
    <phoneticPr fontId="30" type="noConversion"/>
  </si>
  <si>
    <t>실린더게이지</t>
    <phoneticPr fontId="22" type="noConversion"/>
  </si>
  <si>
    <t>다이얼 게이지</t>
    <phoneticPr fontId="30" type="noConversion"/>
  </si>
  <si>
    <t>0~1㎜(0.001)</t>
    <phoneticPr fontId="30" type="noConversion"/>
  </si>
  <si>
    <t>0~10㎜(0.01)</t>
    <phoneticPr fontId="30" type="noConversion"/>
  </si>
  <si>
    <t>0~10㎜(0.001)</t>
    <phoneticPr fontId="30" type="noConversion"/>
  </si>
  <si>
    <t>0~1㎜(0.01)</t>
    <phoneticPr fontId="30" type="noConversion"/>
  </si>
  <si>
    <t>다이얼 캘리퍼 게이지</t>
    <phoneticPr fontId="30" type="noConversion"/>
  </si>
  <si>
    <t>20~32㎜(0.01)</t>
    <phoneticPr fontId="30" type="noConversion"/>
  </si>
  <si>
    <t>외측 마이크로미터</t>
    <phoneticPr fontId="30" type="noConversion"/>
  </si>
  <si>
    <t>0~25㎜(0.01)</t>
    <phoneticPr fontId="30" type="noConversion"/>
  </si>
  <si>
    <t>0~25㎜(0.001)</t>
    <phoneticPr fontId="30" type="noConversion"/>
  </si>
  <si>
    <t>25~50㎜(0.01)</t>
    <phoneticPr fontId="30" type="noConversion"/>
  </si>
  <si>
    <t>50~75㎜(0.01)</t>
    <phoneticPr fontId="30" type="noConversion"/>
  </si>
  <si>
    <t>75~100㎜(0.01)</t>
    <phoneticPr fontId="30" type="noConversion"/>
  </si>
  <si>
    <t>100~125㎜(0.01)</t>
    <phoneticPr fontId="30" type="noConversion"/>
  </si>
  <si>
    <t>0~150㎜(0.01)</t>
    <phoneticPr fontId="30" type="noConversion"/>
  </si>
  <si>
    <t>125~150㎜(0.01)</t>
    <phoneticPr fontId="30" type="noConversion"/>
  </si>
  <si>
    <t>150~175㎜(0.01)</t>
    <phoneticPr fontId="30" type="noConversion"/>
  </si>
  <si>
    <t>175~200㎜(0.01)</t>
    <phoneticPr fontId="30" type="noConversion"/>
  </si>
  <si>
    <t>200~225㎜(0.01)</t>
    <phoneticPr fontId="30" type="noConversion"/>
  </si>
  <si>
    <t>150~300㎜(0.01)</t>
    <phoneticPr fontId="30" type="noConversion"/>
  </si>
  <si>
    <t>300~400㎜(0.01)</t>
    <phoneticPr fontId="30" type="noConversion"/>
  </si>
  <si>
    <t>400~500㎜(0.01)</t>
    <phoneticPr fontId="30" type="noConversion"/>
  </si>
  <si>
    <t>500~600㎜(0.01)</t>
    <phoneticPr fontId="30" type="noConversion"/>
  </si>
  <si>
    <t>내측 마이크로미터</t>
    <phoneticPr fontId="30" type="noConversion"/>
  </si>
  <si>
    <t>깊이 마이크로미터</t>
    <phoneticPr fontId="30" type="noConversion"/>
  </si>
  <si>
    <t>외측 마이크로미터(디스크)</t>
    <phoneticPr fontId="30" type="noConversion"/>
  </si>
  <si>
    <t>외측 마이크로미터(포인트)</t>
    <phoneticPr fontId="30" type="noConversion"/>
  </si>
  <si>
    <t>외측 마이크로미터(브레이드)</t>
    <phoneticPr fontId="30" type="noConversion"/>
  </si>
  <si>
    <t>외측 마이크로미터(나사)</t>
    <phoneticPr fontId="30" type="noConversion"/>
  </si>
  <si>
    <t>봉형 내측 마이크로미터</t>
    <phoneticPr fontId="30" type="noConversion"/>
  </si>
  <si>
    <t>50~1000㎜(0.01)</t>
    <phoneticPr fontId="30" type="noConversion"/>
  </si>
  <si>
    <t>300~325㎜(0.01)</t>
    <phoneticPr fontId="30" type="noConversion"/>
  </si>
  <si>
    <t>350~375㎜(0.01)</t>
    <phoneticPr fontId="30" type="noConversion"/>
  </si>
  <si>
    <t>375~400㎜(0.01)</t>
    <phoneticPr fontId="30" type="noConversion"/>
  </si>
  <si>
    <t>버니어 캘리퍼스</t>
    <phoneticPr fontId="30" type="noConversion"/>
  </si>
  <si>
    <t>0~300㎜(0.05)</t>
    <phoneticPr fontId="30" type="noConversion"/>
  </si>
  <si>
    <t>0~200㎜(0.05)</t>
    <phoneticPr fontId="30" type="noConversion"/>
  </si>
  <si>
    <t>0~600㎜(0.05)</t>
    <phoneticPr fontId="30" type="noConversion"/>
  </si>
  <si>
    <t>0~1000㎜(0.05)</t>
    <phoneticPr fontId="30" type="noConversion"/>
  </si>
  <si>
    <t>버니어 (디지털)</t>
    <phoneticPr fontId="30" type="noConversion"/>
  </si>
  <si>
    <t>0~200㎜(0.01)</t>
    <phoneticPr fontId="30" type="noConversion"/>
  </si>
  <si>
    <t>버니어 (다이얼)</t>
    <phoneticPr fontId="30" type="noConversion"/>
  </si>
  <si>
    <t>0~200㎜(0.02)</t>
    <phoneticPr fontId="30" type="noConversion"/>
  </si>
  <si>
    <t>높이 게이지(다이얼)</t>
    <phoneticPr fontId="30" type="noConversion"/>
  </si>
  <si>
    <t>0~300㎜(0.01)</t>
    <phoneticPr fontId="30" type="noConversion"/>
  </si>
  <si>
    <t>테스트 인디케이터</t>
    <phoneticPr fontId="30" type="noConversion"/>
  </si>
  <si>
    <t>0~0.8㎜(0.01)</t>
    <phoneticPr fontId="30" type="noConversion"/>
  </si>
  <si>
    <t>0~0.2㎜(0.002)</t>
    <phoneticPr fontId="30" type="noConversion"/>
  </si>
  <si>
    <t>정밀 정반</t>
    <phoneticPr fontId="30" type="noConversion"/>
  </si>
  <si>
    <t>1500×1000㎜</t>
    <phoneticPr fontId="30" type="noConversion"/>
  </si>
  <si>
    <t>3차원 좌표 측정기</t>
    <phoneticPr fontId="30" type="noConversion"/>
  </si>
  <si>
    <t>표면 조도 측정기</t>
    <phoneticPr fontId="30" type="noConversion"/>
  </si>
  <si>
    <t>온,습도계기록계</t>
    <phoneticPr fontId="30" type="noConversion"/>
  </si>
  <si>
    <t>SIGMAⅡ</t>
    <phoneticPr fontId="22" type="noConversion"/>
  </si>
  <si>
    <t>토크렌치</t>
    <phoneticPr fontId="22" type="noConversion"/>
  </si>
  <si>
    <t>토크렌치</t>
    <phoneticPr fontId="30" type="noConversion"/>
  </si>
  <si>
    <t>석정반</t>
    <phoneticPr fontId="22" type="noConversion"/>
  </si>
  <si>
    <t>0~200㎜,0.01㎜</t>
    <phoneticPr fontId="22" type="noConversion"/>
  </si>
  <si>
    <t>3점 마이크로미터(홀 테스터)</t>
    <phoneticPr fontId="22" type="noConversion"/>
  </si>
  <si>
    <t>핀 게이지</t>
    <phoneticPr fontId="23" type="noConversion"/>
  </si>
  <si>
    <t>테스트 인디케이터</t>
    <phoneticPr fontId="23" type="noConversion"/>
  </si>
  <si>
    <t>외측 마이크로미터</t>
    <phoneticPr fontId="30" type="noConversion"/>
  </si>
  <si>
    <t>관리섹션</t>
    <phoneticPr fontId="22" type="noConversion"/>
  </si>
  <si>
    <t>교정원</t>
    <phoneticPr fontId="22" type="noConversion"/>
  </si>
  <si>
    <t>검교정</t>
    <phoneticPr fontId="22" type="noConversion"/>
  </si>
  <si>
    <t>EQUIPMENT</t>
    <phoneticPr fontId="22" type="noConversion"/>
  </si>
  <si>
    <t>1회 / 1년</t>
    <phoneticPr fontId="22" type="noConversion"/>
  </si>
  <si>
    <t>1회 / 1년</t>
    <phoneticPr fontId="22" type="noConversion"/>
  </si>
  <si>
    <t>1회 / 2년</t>
    <phoneticPr fontId="22" type="noConversion"/>
  </si>
  <si>
    <t>1회 / 6개월</t>
    <phoneticPr fontId="22" type="noConversion"/>
  </si>
  <si>
    <t>1회 / 6개월</t>
    <phoneticPr fontId="22" type="noConversion"/>
  </si>
  <si>
    <t>15.12.12</t>
    <phoneticPr fontId="30" type="noConversion"/>
  </si>
  <si>
    <t>16.10.16</t>
    <phoneticPr fontId="30" type="noConversion"/>
  </si>
  <si>
    <t>14.12.09</t>
    <phoneticPr fontId="30" type="noConversion"/>
  </si>
  <si>
    <t>15.06.24</t>
    <phoneticPr fontId="22" type="noConversion"/>
  </si>
  <si>
    <t>14.07.22</t>
    <phoneticPr fontId="22" type="noConversion"/>
  </si>
  <si>
    <t>14.07.19</t>
    <phoneticPr fontId="22" type="noConversion"/>
  </si>
  <si>
    <t>16.12.09</t>
    <phoneticPr fontId="30" type="noConversion"/>
  </si>
  <si>
    <t>16.07.22</t>
    <phoneticPr fontId="22" type="noConversion"/>
  </si>
  <si>
    <t>17.06.23</t>
    <phoneticPr fontId="30" type="noConversion"/>
  </si>
  <si>
    <t>순번</t>
    <phoneticPr fontId="22" type="noConversion"/>
  </si>
  <si>
    <t>석정반</t>
    <phoneticPr fontId="22" type="noConversion"/>
  </si>
  <si>
    <t>17.08.30</t>
    <phoneticPr fontId="22" type="noConversion"/>
  </si>
  <si>
    <t>17.09.25</t>
    <phoneticPr fontId="22" type="noConversion"/>
  </si>
  <si>
    <t>16.06.23</t>
    <phoneticPr fontId="22" type="noConversion"/>
  </si>
  <si>
    <t>16.10.24</t>
    <phoneticPr fontId="22" type="noConversion"/>
  </si>
  <si>
    <t>17.10.23</t>
    <phoneticPr fontId="22" type="noConversion"/>
  </si>
  <si>
    <t>가공</t>
    <phoneticPr fontId="22" type="noConversion"/>
  </si>
  <si>
    <t>63073662</t>
    <phoneticPr fontId="22" type="noConversion"/>
  </si>
  <si>
    <t>외측 마이크로미터(디지털)</t>
    <phoneticPr fontId="23" type="noConversion"/>
  </si>
  <si>
    <t>B16082980</t>
    <phoneticPr fontId="22" type="noConversion"/>
  </si>
  <si>
    <t>0~25mm,0.001</t>
    <phoneticPr fontId="22" type="noConversion"/>
  </si>
  <si>
    <t>Mitutoyo</t>
    <phoneticPr fontId="23" type="noConversion"/>
  </si>
  <si>
    <t>검사실</t>
    <phoneticPr fontId="22" type="noConversion"/>
  </si>
  <si>
    <t>45252960</t>
    <phoneticPr fontId="22" type="noConversion"/>
  </si>
  <si>
    <t>외측 마이크로미터(디지털)</t>
    <phoneticPr fontId="23" type="noConversion"/>
  </si>
  <si>
    <t>25~50mm,0.001</t>
    <phoneticPr fontId="22" type="noConversion"/>
  </si>
  <si>
    <t>05394897</t>
    <phoneticPr fontId="22" type="noConversion"/>
  </si>
  <si>
    <t>내∙외측 캘리퍼(디지털형)</t>
    <phoneticPr fontId="22" type="noConversion"/>
  </si>
  <si>
    <t>0~200㎜,0.01㎜</t>
    <phoneticPr fontId="22" type="noConversion"/>
  </si>
  <si>
    <t>3축</t>
    <phoneticPr fontId="22" type="noConversion"/>
  </si>
  <si>
    <t>검사실</t>
    <phoneticPr fontId="22" type="noConversion"/>
  </si>
  <si>
    <t>가공</t>
    <phoneticPr fontId="22" type="noConversion"/>
  </si>
  <si>
    <t>160215</t>
    <phoneticPr fontId="22" type="noConversion"/>
  </si>
  <si>
    <t>CHAMFER GAGE</t>
    <phoneticPr fontId="22" type="noConversion"/>
  </si>
  <si>
    <t>(0.5~5.0)</t>
    <phoneticPr fontId="22" type="noConversion"/>
  </si>
  <si>
    <t>FUJI TOOL</t>
    <phoneticPr fontId="22" type="noConversion"/>
  </si>
  <si>
    <t>B16082966</t>
    <phoneticPr fontId="22" type="noConversion"/>
  </si>
  <si>
    <t>내∙외측 캘리퍼(디지털형)</t>
    <phoneticPr fontId="22" type="noConversion"/>
  </si>
  <si>
    <t>0~200㎜,0.01㎜</t>
    <phoneticPr fontId="22" type="noConversion"/>
  </si>
  <si>
    <t>Mitutoyo</t>
    <phoneticPr fontId="23" type="noConversion"/>
  </si>
  <si>
    <t>기술팀</t>
    <phoneticPr fontId="22" type="noConversion"/>
  </si>
  <si>
    <t>B16082986</t>
    <phoneticPr fontId="22" type="noConversion"/>
  </si>
  <si>
    <t>17.12.29</t>
    <phoneticPr fontId="22" type="noConversion"/>
  </si>
  <si>
    <t xml:space="preserve"> 작 성: 서 동 영</t>
    <phoneticPr fontId="23" type="noConversion"/>
  </si>
  <si>
    <t>3축</t>
    <phoneticPr fontId="22" type="noConversion"/>
  </si>
  <si>
    <t>대출일자</t>
    <phoneticPr fontId="22" type="noConversion"/>
  </si>
  <si>
    <t>대출자</t>
    <phoneticPr fontId="22" type="noConversion"/>
  </si>
  <si>
    <t>16.09.26</t>
    <phoneticPr fontId="22" type="noConversion"/>
  </si>
  <si>
    <t>2015.09.23</t>
    <phoneticPr fontId="22" type="noConversion"/>
  </si>
  <si>
    <t>송병운</t>
    <phoneticPr fontId="22" type="noConversion"/>
  </si>
  <si>
    <t>16.11.11</t>
    <phoneticPr fontId="22" type="noConversion"/>
  </si>
  <si>
    <t>2016.10.24</t>
    <phoneticPr fontId="22" type="noConversion"/>
  </si>
  <si>
    <t>이형용</t>
    <phoneticPr fontId="22" type="noConversion"/>
  </si>
  <si>
    <t>정성택</t>
    <phoneticPr fontId="22" type="noConversion"/>
  </si>
  <si>
    <t>2016.11.11</t>
    <phoneticPr fontId="22" type="noConversion"/>
  </si>
  <si>
    <t>2016.03.03</t>
    <phoneticPr fontId="22" type="noConversion"/>
  </si>
  <si>
    <t>16.08.24</t>
    <phoneticPr fontId="22" type="noConversion"/>
  </si>
  <si>
    <t>16.12.12</t>
    <phoneticPr fontId="22" type="noConversion"/>
  </si>
  <si>
    <t>17.12.11</t>
    <phoneticPr fontId="22" type="noConversion"/>
  </si>
  <si>
    <t>16.09.23</t>
    <phoneticPr fontId="22" type="noConversion"/>
  </si>
  <si>
    <t>17.09.22</t>
    <phoneticPr fontId="22" type="noConversion"/>
  </si>
  <si>
    <t>17.05.11</t>
    <phoneticPr fontId="22" type="noConversion"/>
  </si>
  <si>
    <t>16.12.13</t>
    <phoneticPr fontId="22" type="noConversion"/>
  </si>
  <si>
    <t>16.09.22</t>
    <phoneticPr fontId="22" type="noConversion"/>
  </si>
  <si>
    <t>17.02.21</t>
    <phoneticPr fontId="22" type="noConversion"/>
  </si>
  <si>
    <t>16.11.09</t>
    <phoneticPr fontId="22" type="noConversion"/>
  </si>
  <si>
    <t>17.05.09</t>
    <phoneticPr fontId="22" type="noConversion"/>
  </si>
  <si>
    <t>16.05.13</t>
    <phoneticPr fontId="22" type="noConversion"/>
  </si>
  <si>
    <t>16.08.25</t>
    <phoneticPr fontId="22" type="noConversion"/>
  </si>
  <si>
    <t>17.08.24</t>
    <phoneticPr fontId="22" type="noConversion"/>
  </si>
  <si>
    <t>16.04.15</t>
    <phoneticPr fontId="22" type="noConversion"/>
  </si>
  <si>
    <t>17.04.14</t>
    <phoneticPr fontId="22" type="noConversion"/>
  </si>
  <si>
    <t>16.09.22</t>
    <phoneticPr fontId="22" type="noConversion"/>
  </si>
  <si>
    <t>16.11.09</t>
    <phoneticPr fontId="22" type="noConversion"/>
  </si>
  <si>
    <t>16.11.09</t>
    <phoneticPr fontId="22" type="noConversion"/>
  </si>
  <si>
    <t>17.05.09</t>
    <phoneticPr fontId="22" type="noConversion"/>
  </si>
  <si>
    <t>16.09.26</t>
    <phoneticPr fontId="22" type="noConversion"/>
  </si>
  <si>
    <t>17.09.26</t>
    <phoneticPr fontId="22" type="noConversion"/>
  </si>
  <si>
    <t>16.10.25</t>
    <phoneticPr fontId="22" type="noConversion"/>
  </si>
  <si>
    <t>17.10.24</t>
    <phoneticPr fontId="22" type="noConversion"/>
  </si>
  <si>
    <t>16.10.21</t>
    <phoneticPr fontId="22" type="noConversion"/>
  </si>
  <si>
    <t>16.10.21</t>
    <phoneticPr fontId="22" type="noConversion"/>
  </si>
  <si>
    <t>16.12.13</t>
    <phoneticPr fontId="22" type="noConversion"/>
  </si>
  <si>
    <t>17.02.22</t>
    <phoneticPr fontId="22" type="noConversion"/>
  </si>
  <si>
    <t>16.05.12</t>
    <phoneticPr fontId="22" type="noConversion"/>
  </si>
  <si>
    <t>16.11.28</t>
    <phoneticPr fontId="22" type="noConversion"/>
  </si>
  <si>
    <t>16.10.21</t>
    <phoneticPr fontId="22" type="noConversion"/>
  </si>
  <si>
    <t>17.10.21</t>
    <phoneticPr fontId="22" type="noConversion"/>
  </si>
  <si>
    <t>16.11.08</t>
    <phoneticPr fontId="22" type="noConversion"/>
  </si>
  <si>
    <t>17.11.08</t>
    <phoneticPr fontId="22" type="noConversion"/>
  </si>
  <si>
    <t>16.12.10</t>
    <phoneticPr fontId="22" type="noConversion"/>
  </si>
  <si>
    <t>16.08.31</t>
    <phoneticPr fontId="22" type="noConversion"/>
  </si>
  <si>
    <t>16.12.12</t>
    <phoneticPr fontId="22" type="noConversion"/>
  </si>
  <si>
    <t>16.10.21</t>
    <phoneticPr fontId="22" type="noConversion"/>
  </si>
  <si>
    <t>16.10.21</t>
    <phoneticPr fontId="22" type="noConversion"/>
  </si>
  <si>
    <t>16.02.27</t>
    <phoneticPr fontId="22" type="noConversion"/>
  </si>
  <si>
    <t>18.02.26</t>
    <phoneticPr fontId="22" type="noConversion"/>
  </si>
  <si>
    <t>17.10.07</t>
    <phoneticPr fontId="22" type="noConversion"/>
  </si>
  <si>
    <t>16.12.10</t>
    <phoneticPr fontId="22" type="noConversion"/>
  </si>
  <si>
    <t>17.12.10</t>
    <phoneticPr fontId="22" type="noConversion"/>
  </si>
  <si>
    <t>16.04.18</t>
    <phoneticPr fontId="22" type="noConversion"/>
  </si>
  <si>
    <t>17.04.17</t>
    <phoneticPr fontId="22" type="noConversion"/>
  </si>
  <si>
    <t>17.10.21</t>
    <phoneticPr fontId="22" type="noConversion"/>
  </si>
  <si>
    <t>15.10.16</t>
    <phoneticPr fontId="22" type="noConversion"/>
  </si>
  <si>
    <t>16.12.14</t>
    <phoneticPr fontId="22" type="noConversion"/>
  </si>
  <si>
    <t>17.12.13</t>
    <phoneticPr fontId="22" type="noConversion"/>
  </si>
  <si>
    <t>2016.09.23</t>
    <phoneticPr fontId="22" type="noConversion"/>
  </si>
  <si>
    <t>2016.12.12</t>
    <phoneticPr fontId="22" type="noConversion"/>
  </si>
  <si>
    <t>최경준</t>
    <phoneticPr fontId="22" type="noConversion"/>
  </si>
  <si>
    <t>최경준</t>
    <phoneticPr fontId="22" type="noConversion"/>
  </si>
  <si>
    <t>성영주</t>
    <phoneticPr fontId="22" type="noConversion"/>
  </si>
  <si>
    <t>2016.11.21</t>
    <phoneticPr fontId="22" type="noConversion"/>
  </si>
  <si>
    <t>박준모</t>
    <phoneticPr fontId="22" type="noConversion"/>
  </si>
  <si>
    <t>장병철</t>
    <phoneticPr fontId="22" type="noConversion"/>
  </si>
  <si>
    <t>신인철</t>
    <phoneticPr fontId="22" type="noConversion"/>
  </si>
  <si>
    <t>박가람</t>
    <phoneticPr fontId="22" type="noConversion"/>
  </si>
  <si>
    <t>2016.11.10</t>
    <phoneticPr fontId="22" type="noConversion"/>
  </si>
  <si>
    <t>2016.10.24</t>
    <phoneticPr fontId="22" type="noConversion"/>
  </si>
  <si>
    <t>2016.11.07</t>
    <phoneticPr fontId="22" type="noConversion"/>
  </si>
  <si>
    <t>박봉국</t>
    <phoneticPr fontId="22" type="noConversion"/>
  </si>
  <si>
    <t>이재현</t>
    <phoneticPr fontId="22" type="noConversion"/>
  </si>
  <si>
    <t>홍주현</t>
    <phoneticPr fontId="22" type="noConversion"/>
  </si>
  <si>
    <t>2016.12.10</t>
    <phoneticPr fontId="22" type="noConversion"/>
  </si>
  <si>
    <t>박준호</t>
    <phoneticPr fontId="22" type="noConversion"/>
  </si>
  <si>
    <t>신인철</t>
    <phoneticPr fontId="22" type="noConversion"/>
  </si>
  <si>
    <t>최경준</t>
    <phoneticPr fontId="22" type="noConversion"/>
  </si>
  <si>
    <t>최경준</t>
    <phoneticPr fontId="22" type="noConversion"/>
  </si>
  <si>
    <t>2016.06.12</t>
    <phoneticPr fontId="22" type="noConversion"/>
  </si>
  <si>
    <t>2016.08.31</t>
    <phoneticPr fontId="22" type="noConversion"/>
  </si>
  <si>
    <t>2016.09.26</t>
    <phoneticPr fontId="22" type="noConversion"/>
  </si>
  <si>
    <t>2016.11.21</t>
    <phoneticPr fontId="22" type="noConversion"/>
  </si>
  <si>
    <t>2016.02.01</t>
    <phoneticPr fontId="22" type="noConversion"/>
  </si>
  <si>
    <t>2016.05.26</t>
    <phoneticPr fontId="22" type="noConversion"/>
  </si>
  <si>
    <t>2016.11.03</t>
    <phoneticPr fontId="22" type="noConversion"/>
  </si>
  <si>
    <t>2016.11.17</t>
    <phoneticPr fontId="22" type="noConversion"/>
  </si>
  <si>
    <t>2016.05.11</t>
    <phoneticPr fontId="22" type="noConversion"/>
  </si>
  <si>
    <t>2016.11.11</t>
    <phoneticPr fontId="22" type="noConversion"/>
  </si>
  <si>
    <t>2016.08.26</t>
    <phoneticPr fontId="22" type="noConversion"/>
  </si>
  <si>
    <t>2016.09.26</t>
    <phoneticPr fontId="22" type="noConversion"/>
  </si>
  <si>
    <t>2016.09.07</t>
    <phoneticPr fontId="22" type="noConversion"/>
  </si>
  <si>
    <t>2015.11.02</t>
    <phoneticPr fontId="22" type="noConversion"/>
  </si>
  <si>
    <t>2015.12.29</t>
    <phoneticPr fontId="22" type="noConversion"/>
  </si>
  <si>
    <t>정재환</t>
    <phoneticPr fontId="22" type="noConversion"/>
  </si>
  <si>
    <t>2016.08.31</t>
    <phoneticPr fontId="22" type="noConversion"/>
  </si>
  <si>
    <t>성환웅&gt;주영혁</t>
  </si>
  <si>
    <t>2016.04.20</t>
    <phoneticPr fontId="22" type="noConversion"/>
  </si>
  <si>
    <t>2016.04.20</t>
    <phoneticPr fontId="22" type="noConversion"/>
  </si>
  <si>
    <t>최경준</t>
    <phoneticPr fontId="22" type="noConversion"/>
  </si>
  <si>
    <t>신인철</t>
    <phoneticPr fontId="22" type="noConversion"/>
  </si>
  <si>
    <t>정성택</t>
    <phoneticPr fontId="22" type="noConversion"/>
  </si>
  <si>
    <t>신인철</t>
    <phoneticPr fontId="22" type="noConversion"/>
  </si>
  <si>
    <t>박봉국</t>
    <phoneticPr fontId="22" type="noConversion"/>
  </si>
  <si>
    <t>2015.10.24</t>
    <phoneticPr fontId="22" type="noConversion"/>
  </si>
  <si>
    <t>박성림</t>
    <phoneticPr fontId="22" type="noConversion"/>
  </si>
  <si>
    <t>2015.11.02</t>
    <phoneticPr fontId="22" type="noConversion"/>
  </si>
  <si>
    <t>박가람</t>
    <phoneticPr fontId="22" type="noConversion"/>
  </si>
  <si>
    <t>2015.10.24</t>
    <phoneticPr fontId="22" type="noConversion"/>
  </si>
  <si>
    <t>박성림</t>
    <phoneticPr fontId="22" type="noConversion"/>
  </si>
  <si>
    <t>2015.10.24</t>
    <phoneticPr fontId="22" type="noConversion"/>
  </si>
  <si>
    <t>박성림</t>
    <phoneticPr fontId="22" type="noConversion"/>
  </si>
  <si>
    <t>2015.11.02</t>
    <phoneticPr fontId="22" type="noConversion"/>
  </si>
  <si>
    <t>박가람</t>
    <phoneticPr fontId="22" type="noConversion"/>
  </si>
  <si>
    <t>2015.10.24</t>
    <phoneticPr fontId="22" type="noConversion"/>
  </si>
  <si>
    <t>박성림</t>
    <phoneticPr fontId="22" type="noConversion"/>
  </si>
  <si>
    <t>2016.12.27</t>
    <phoneticPr fontId="22" type="noConversion"/>
  </si>
  <si>
    <t>16.05.17</t>
    <phoneticPr fontId="22" type="noConversion"/>
  </si>
  <si>
    <t>16.08.17</t>
    <phoneticPr fontId="22" type="noConversion"/>
  </si>
  <si>
    <t>2016.02.23</t>
    <phoneticPr fontId="22" type="noConversion"/>
  </si>
  <si>
    <t>A-075</t>
    <phoneticPr fontId="22" type="noConversion"/>
  </si>
  <si>
    <t>A-076</t>
    <phoneticPr fontId="22" type="noConversion"/>
  </si>
  <si>
    <t>A-077</t>
    <phoneticPr fontId="22" type="noConversion"/>
  </si>
  <si>
    <t>A-078</t>
    <phoneticPr fontId="22" type="noConversion"/>
  </si>
  <si>
    <t>A-079</t>
    <phoneticPr fontId="22" type="noConversion"/>
  </si>
  <si>
    <t>A-080</t>
    <phoneticPr fontId="22" type="noConversion"/>
  </si>
  <si>
    <t>A-081</t>
    <phoneticPr fontId="22" type="noConversion"/>
  </si>
  <si>
    <t>A-082</t>
    <phoneticPr fontId="22" type="noConversion"/>
  </si>
  <si>
    <t>피막 두께 측정기</t>
    <phoneticPr fontId="22" type="noConversion"/>
  </si>
  <si>
    <t>초시계</t>
    <phoneticPr fontId="22" type="noConversion"/>
  </si>
  <si>
    <t>잔컵 점도계</t>
    <phoneticPr fontId="22" type="noConversion"/>
  </si>
  <si>
    <t>전자식 지시저울</t>
    <phoneticPr fontId="22" type="noConversion"/>
  </si>
  <si>
    <t>토크 런너</t>
    <phoneticPr fontId="22" type="noConversion"/>
  </si>
  <si>
    <t>토크 드라이버</t>
    <phoneticPr fontId="22" type="noConversion"/>
  </si>
  <si>
    <t>AF00029717</t>
    <phoneticPr fontId="22" type="noConversion"/>
  </si>
  <si>
    <t>SN160000926</t>
    <phoneticPr fontId="22" type="noConversion"/>
  </si>
  <si>
    <t>172689</t>
    <phoneticPr fontId="22" type="noConversion"/>
  </si>
  <si>
    <t>172833</t>
    <phoneticPr fontId="22" type="noConversion"/>
  </si>
  <si>
    <t>S251678</t>
    <phoneticPr fontId="22" type="noConversion"/>
  </si>
  <si>
    <t>K16890</t>
    <phoneticPr fontId="22" type="noConversion"/>
  </si>
  <si>
    <t>K16895</t>
    <phoneticPr fontId="22" type="noConversion"/>
  </si>
  <si>
    <t>AF00029744</t>
    <phoneticPr fontId="22" type="noConversion"/>
  </si>
  <si>
    <r>
      <t>(0~1000)</t>
    </r>
    <r>
      <rPr>
        <sz val="9"/>
        <rFont val="맑은 고딕"/>
        <family val="3"/>
        <charset val="129"/>
      </rPr>
      <t>µ</t>
    </r>
    <r>
      <rPr>
        <sz val="9"/>
        <rFont val="바탕체"/>
        <family val="1"/>
        <charset val="129"/>
      </rPr>
      <t>m / 1</t>
    </r>
    <r>
      <rPr>
        <sz val="9"/>
        <rFont val="맑은 고딕"/>
        <family val="3"/>
        <charset val="129"/>
      </rPr>
      <t>µ</t>
    </r>
    <r>
      <rPr>
        <sz val="9"/>
        <rFont val="바탕체"/>
        <family val="1"/>
        <charset val="129"/>
      </rPr>
      <t>m</t>
    </r>
    <phoneticPr fontId="28" type="noConversion"/>
  </si>
  <si>
    <t>N/A</t>
    <phoneticPr fontId="28" type="noConversion"/>
  </si>
  <si>
    <t>2200g</t>
    <phoneticPr fontId="28" type="noConversion"/>
  </si>
  <si>
    <t>FISCHER</t>
    <phoneticPr fontId="22" type="noConversion"/>
  </si>
  <si>
    <t>SOI TEC</t>
    <phoneticPr fontId="22" type="noConversion"/>
  </si>
  <si>
    <t>자체교정주기</t>
    <phoneticPr fontId="22" type="noConversion"/>
  </si>
  <si>
    <t>16.06.07</t>
    <phoneticPr fontId="22" type="noConversion"/>
  </si>
  <si>
    <t>17.06.06</t>
    <phoneticPr fontId="22" type="noConversion"/>
  </si>
  <si>
    <t>16.12.16</t>
    <phoneticPr fontId="22" type="noConversion"/>
  </si>
  <si>
    <t>17.03.16</t>
    <phoneticPr fontId="22" type="noConversion"/>
  </si>
  <si>
    <t>16.11.01</t>
    <phoneticPr fontId="22" type="noConversion"/>
  </si>
  <si>
    <t>18.11.01</t>
    <phoneticPr fontId="22" type="noConversion"/>
  </si>
  <si>
    <t>18.11.08</t>
    <phoneticPr fontId="22" type="noConversion"/>
  </si>
  <si>
    <t>16.10.26</t>
    <phoneticPr fontId="22" type="noConversion"/>
  </si>
  <si>
    <t>PAINT</t>
    <phoneticPr fontId="22" type="noConversion"/>
  </si>
  <si>
    <t>노현우</t>
    <phoneticPr fontId="22" type="noConversion"/>
  </si>
  <si>
    <t>2016.11.01</t>
    <phoneticPr fontId="22" type="noConversion"/>
  </si>
  <si>
    <t>노현우</t>
    <phoneticPr fontId="22" type="noConversion"/>
  </si>
  <si>
    <t>L10102207</t>
    <phoneticPr fontId="22" type="noConversion"/>
  </si>
  <si>
    <t>곧은자</t>
    <phoneticPr fontId="22" type="noConversion"/>
  </si>
  <si>
    <t>(25.4~304.8)mm</t>
    <phoneticPr fontId="22" type="noConversion"/>
  </si>
  <si>
    <t>Starrett</t>
    <phoneticPr fontId="22" type="noConversion"/>
  </si>
  <si>
    <t>1회 / 1년</t>
    <phoneticPr fontId="22" type="noConversion"/>
  </si>
  <si>
    <t>737FSF P/U</t>
    <phoneticPr fontId="22" type="noConversion"/>
  </si>
  <si>
    <t>16.10.07</t>
    <phoneticPr fontId="22" type="noConversion"/>
  </si>
  <si>
    <t>B-020</t>
    <phoneticPr fontId="22" type="noConversion"/>
  </si>
  <si>
    <t>B-021</t>
    <phoneticPr fontId="22" type="noConversion"/>
  </si>
  <si>
    <t>A16111316</t>
    <phoneticPr fontId="22" type="noConversion"/>
  </si>
  <si>
    <t>63077831</t>
    <phoneticPr fontId="22" type="noConversion"/>
  </si>
  <si>
    <t>내외측 캘리퍼(디지털형)</t>
    <phoneticPr fontId="22" type="noConversion"/>
  </si>
  <si>
    <t>외측 마이크로미터</t>
    <phoneticPr fontId="22" type="noConversion"/>
  </si>
  <si>
    <t>16.12.17</t>
    <phoneticPr fontId="22" type="noConversion"/>
  </si>
  <si>
    <t>A330</t>
    <phoneticPr fontId="22" type="noConversion"/>
  </si>
  <si>
    <t>2016.12.26</t>
    <phoneticPr fontId="22" type="noConversion"/>
  </si>
  <si>
    <t>정재윤</t>
    <phoneticPr fontId="22" type="noConversion"/>
  </si>
  <si>
    <t>FB-325A(#2)</t>
    <phoneticPr fontId="22" type="noConversion"/>
  </si>
  <si>
    <t>틈새 게이지</t>
    <phoneticPr fontId="22" type="noConversion"/>
  </si>
  <si>
    <t>(0.038~0.635)mm</t>
    <phoneticPr fontId="22" type="noConversion"/>
  </si>
  <si>
    <t>Blue point</t>
    <phoneticPr fontId="22" type="noConversion"/>
  </si>
  <si>
    <t>G-024</t>
    <phoneticPr fontId="22" type="noConversion"/>
  </si>
  <si>
    <t>49480</t>
    <phoneticPr fontId="22" type="noConversion"/>
  </si>
  <si>
    <t>CHAMPER GAGE</t>
    <phoneticPr fontId="22" type="noConversion"/>
  </si>
  <si>
    <t>SET TO 0.0150"</t>
    <phoneticPr fontId="22" type="noConversion"/>
  </si>
  <si>
    <t>BARCOR</t>
    <phoneticPr fontId="22" type="noConversion"/>
  </si>
  <si>
    <t>1회 / 1년</t>
    <phoneticPr fontId="22" type="noConversion"/>
  </si>
  <si>
    <t>16.05.12</t>
    <phoneticPr fontId="22" type="noConversion"/>
  </si>
  <si>
    <t>17.05.11</t>
    <phoneticPr fontId="22" type="noConversion"/>
  </si>
  <si>
    <t>품질팀</t>
    <phoneticPr fontId="22" type="noConversion"/>
  </si>
  <si>
    <t>G-055</t>
    <phoneticPr fontId="22" type="noConversion"/>
  </si>
  <si>
    <t>원통형 플러그 게이지
(GO , NO-GO GAGE)</t>
    <phoneticPr fontId="22" type="noConversion"/>
  </si>
  <si>
    <t>6.274mm/6.350mm</t>
    <phoneticPr fontId="22" type="noConversion"/>
  </si>
  <si>
    <t>VAN KEUREN</t>
    <phoneticPr fontId="22" type="noConversion"/>
  </si>
  <si>
    <t>16.12.30</t>
    <phoneticPr fontId="22" type="noConversion"/>
  </si>
  <si>
    <t>17.12.29</t>
    <phoneticPr fontId="22" type="noConversion"/>
  </si>
  <si>
    <t>L11101213</t>
    <phoneticPr fontId="22" type="noConversion"/>
  </si>
  <si>
    <t>787AB</t>
    <phoneticPr fontId="22" type="noConversion"/>
  </si>
  <si>
    <t>2016.12.31</t>
    <phoneticPr fontId="22" type="noConversion"/>
  </si>
  <si>
    <t>신인철</t>
    <phoneticPr fontId="22" type="noConversion"/>
  </si>
  <si>
    <t>G-058</t>
    <phoneticPr fontId="22" type="noConversion"/>
  </si>
  <si>
    <t>L11101216</t>
    <phoneticPr fontId="22" type="noConversion"/>
  </si>
  <si>
    <t>4.7498mm/4.826mm</t>
    <phoneticPr fontId="22" type="noConversion"/>
  </si>
  <si>
    <t>16.02.21</t>
    <phoneticPr fontId="22" type="noConversion"/>
  </si>
  <si>
    <t>#2</t>
    <phoneticPr fontId="22" type="noConversion"/>
  </si>
  <si>
    <t>플러그 게이지</t>
    <phoneticPr fontId="22" type="noConversion"/>
  </si>
  <si>
    <t>(4.826~4.902)mm</t>
    <phoneticPr fontId="22" type="noConversion"/>
  </si>
  <si>
    <t>VAN KEUREN</t>
    <phoneticPr fontId="22" type="noConversion"/>
  </si>
  <si>
    <t>1회 / 1년</t>
    <phoneticPr fontId="22" type="noConversion"/>
  </si>
  <si>
    <t>품질팀보관</t>
    <phoneticPr fontId="22" type="noConversion"/>
  </si>
  <si>
    <t>14.10.13</t>
    <phoneticPr fontId="22" type="noConversion"/>
  </si>
  <si>
    <t>16.10.12</t>
    <phoneticPr fontId="22" type="noConversion"/>
  </si>
  <si>
    <t>P161003</t>
    <phoneticPr fontId="22" type="noConversion"/>
  </si>
  <si>
    <t>Y150115606</t>
    <phoneticPr fontId="22" type="noConversion"/>
  </si>
  <si>
    <t>Y150115421</t>
    <phoneticPr fontId="22" type="noConversion"/>
  </si>
  <si>
    <t>Y150115723</t>
    <phoneticPr fontId="22" type="noConversion"/>
  </si>
  <si>
    <t>압력 게이지</t>
    <phoneticPr fontId="22" type="noConversion"/>
  </si>
  <si>
    <t>3점 마이크로미터</t>
    <phoneticPr fontId="22" type="noConversion"/>
  </si>
  <si>
    <t>플러그 게이지</t>
    <phoneticPr fontId="22" type="noConversion"/>
  </si>
  <si>
    <t>100 Mpa 이하</t>
    <phoneticPr fontId="22" type="noConversion"/>
  </si>
  <si>
    <t>(10~12)mm/0.001mm</t>
    <phoneticPr fontId="22" type="noConversion"/>
  </si>
  <si>
    <t>(8~10)mm/0.001mm</t>
    <phoneticPr fontId="22" type="noConversion"/>
  </si>
  <si>
    <t>(6~8)mm/0.001mm</t>
    <phoneticPr fontId="22" type="noConversion"/>
  </si>
  <si>
    <t>8.000 mm</t>
    <phoneticPr fontId="22" type="noConversion"/>
  </si>
  <si>
    <t>10.000 mm</t>
    <phoneticPr fontId="22" type="noConversion"/>
  </si>
  <si>
    <t>2.460mm/2.540mm</t>
    <phoneticPr fontId="22" type="noConversion"/>
  </si>
  <si>
    <t>3.250mm/3.350mm</t>
    <phoneticPr fontId="22" type="noConversion"/>
  </si>
  <si>
    <t>3.280mm/3.350mm</t>
    <phoneticPr fontId="22" type="noConversion"/>
  </si>
  <si>
    <t>4.166mm/4.242mm</t>
    <phoneticPr fontId="22" type="noConversion"/>
  </si>
  <si>
    <t>4.366mm/4.442mm</t>
    <phoneticPr fontId="22" type="noConversion"/>
  </si>
  <si>
    <t>None</t>
    <phoneticPr fontId="22" type="noConversion"/>
  </si>
  <si>
    <t>MITUTOYO</t>
    <phoneticPr fontId="22" type="noConversion"/>
  </si>
  <si>
    <t>자체교정주기</t>
    <phoneticPr fontId="22" type="noConversion"/>
  </si>
  <si>
    <t>16.12.29</t>
    <phoneticPr fontId="22" type="noConversion"/>
  </si>
  <si>
    <t>16.12.30</t>
    <phoneticPr fontId="22" type="noConversion"/>
  </si>
  <si>
    <t>17.01.03</t>
    <phoneticPr fontId="22" type="noConversion"/>
  </si>
  <si>
    <t>17.12.02</t>
    <phoneticPr fontId="22" type="noConversion"/>
  </si>
  <si>
    <t>17.12.17</t>
    <phoneticPr fontId="22" type="noConversion"/>
  </si>
  <si>
    <t>17.12.28</t>
    <phoneticPr fontId="22" type="noConversion"/>
  </si>
  <si>
    <t>G-122</t>
    <phoneticPr fontId="22" type="noConversion"/>
  </si>
  <si>
    <t>조립</t>
    <phoneticPr fontId="22" type="noConversion"/>
  </si>
  <si>
    <t>G-123</t>
    <phoneticPr fontId="22" type="noConversion"/>
  </si>
  <si>
    <t>G-124</t>
    <phoneticPr fontId="22" type="noConversion"/>
  </si>
  <si>
    <t>G-125</t>
    <phoneticPr fontId="22" type="noConversion"/>
  </si>
  <si>
    <t>G-126</t>
    <phoneticPr fontId="22" type="noConversion"/>
  </si>
  <si>
    <t>G-127</t>
    <phoneticPr fontId="22" type="noConversion"/>
  </si>
  <si>
    <t>G-128</t>
    <phoneticPr fontId="22" type="noConversion"/>
  </si>
  <si>
    <t>G-129</t>
    <phoneticPr fontId="22" type="noConversion"/>
  </si>
  <si>
    <t>G-130</t>
    <phoneticPr fontId="22" type="noConversion"/>
  </si>
  <si>
    <t>G-131</t>
    <phoneticPr fontId="22" type="noConversion"/>
  </si>
  <si>
    <t>G-132</t>
    <phoneticPr fontId="22" type="noConversion"/>
  </si>
  <si>
    <t>G-133</t>
    <phoneticPr fontId="22" type="noConversion"/>
  </si>
  <si>
    <t>G-134</t>
    <phoneticPr fontId="22" type="noConversion"/>
  </si>
  <si>
    <t>G-135</t>
    <phoneticPr fontId="22" type="noConversion"/>
  </si>
  <si>
    <t>G-136</t>
    <phoneticPr fontId="22" type="noConversion"/>
  </si>
  <si>
    <t>G-137</t>
    <phoneticPr fontId="22" type="noConversion"/>
  </si>
  <si>
    <t>G-138</t>
    <phoneticPr fontId="22" type="noConversion"/>
  </si>
  <si>
    <t>G-141</t>
    <phoneticPr fontId="22" type="noConversion"/>
  </si>
  <si>
    <t>G-142</t>
    <phoneticPr fontId="22" type="noConversion"/>
  </si>
  <si>
    <t>G-143</t>
    <phoneticPr fontId="22" type="noConversion"/>
  </si>
  <si>
    <t>G-144</t>
    <phoneticPr fontId="22" type="noConversion"/>
  </si>
  <si>
    <t>G-145</t>
    <phoneticPr fontId="22" type="noConversion"/>
  </si>
  <si>
    <t>G-146</t>
    <phoneticPr fontId="22" type="noConversion"/>
  </si>
  <si>
    <t>G-147</t>
    <phoneticPr fontId="22" type="noConversion"/>
  </si>
  <si>
    <t>G-148</t>
    <phoneticPr fontId="22" type="noConversion"/>
  </si>
  <si>
    <t>G-149</t>
    <phoneticPr fontId="22" type="noConversion"/>
  </si>
  <si>
    <t>G-150</t>
    <phoneticPr fontId="22" type="noConversion"/>
  </si>
  <si>
    <t>G-151</t>
    <phoneticPr fontId="22" type="noConversion"/>
  </si>
  <si>
    <t>G-152</t>
    <phoneticPr fontId="22" type="noConversion"/>
  </si>
  <si>
    <t>G-153</t>
    <phoneticPr fontId="22" type="noConversion"/>
  </si>
  <si>
    <t>G-154</t>
    <phoneticPr fontId="22" type="noConversion"/>
  </si>
  <si>
    <t>G-155</t>
    <phoneticPr fontId="22" type="noConversion"/>
  </si>
  <si>
    <t>G-156</t>
    <phoneticPr fontId="22" type="noConversion"/>
  </si>
  <si>
    <t>G-157</t>
    <phoneticPr fontId="22" type="noConversion"/>
  </si>
  <si>
    <t>G-158</t>
    <phoneticPr fontId="22" type="noConversion"/>
  </si>
  <si>
    <t>G-159</t>
    <phoneticPr fontId="22" type="noConversion"/>
  </si>
  <si>
    <t>G-160</t>
    <phoneticPr fontId="22" type="noConversion"/>
  </si>
  <si>
    <t>G-161</t>
    <phoneticPr fontId="22" type="noConversion"/>
  </si>
  <si>
    <t>G-162</t>
    <phoneticPr fontId="22" type="noConversion"/>
  </si>
  <si>
    <t>G-163</t>
    <phoneticPr fontId="22" type="noConversion"/>
  </si>
  <si>
    <t>G-164</t>
    <phoneticPr fontId="22" type="noConversion"/>
  </si>
  <si>
    <t>G-165</t>
    <phoneticPr fontId="22" type="noConversion"/>
  </si>
  <si>
    <t>G-166</t>
    <phoneticPr fontId="22" type="noConversion"/>
  </si>
  <si>
    <t>G-167</t>
    <phoneticPr fontId="22" type="noConversion"/>
  </si>
  <si>
    <t>G-168</t>
    <phoneticPr fontId="22" type="noConversion"/>
  </si>
  <si>
    <t>G-169</t>
    <phoneticPr fontId="22" type="noConversion"/>
  </si>
  <si>
    <t>G-170</t>
    <phoneticPr fontId="22" type="noConversion"/>
  </si>
  <si>
    <t>G-171</t>
    <phoneticPr fontId="22" type="noConversion"/>
  </si>
  <si>
    <t>G-172</t>
    <phoneticPr fontId="22" type="noConversion"/>
  </si>
  <si>
    <t>G-173</t>
    <phoneticPr fontId="22" type="noConversion"/>
  </si>
  <si>
    <t>G-174</t>
    <phoneticPr fontId="22" type="noConversion"/>
  </si>
  <si>
    <t>G-175</t>
    <phoneticPr fontId="22" type="noConversion"/>
  </si>
  <si>
    <t>G-176</t>
    <phoneticPr fontId="22" type="noConversion"/>
  </si>
  <si>
    <t>G-177</t>
    <phoneticPr fontId="22" type="noConversion"/>
  </si>
  <si>
    <t>G-178</t>
    <phoneticPr fontId="22" type="noConversion"/>
  </si>
  <si>
    <t>G-179</t>
    <phoneticPr fontId="22" type="noConversion"/>
  </si>
  <si>
    <t>G-180</t>
    <phoneticPr fontId="22" type="noConversion"/>
  </si>
  <si>
    <t>G-181</t>
    <phoneticPr fontId="22" type="noConversion"/>
  </si>
  <si>
    <t>G-182</t>
    <phoneticPr fontId="22" type="noConversion"/>
  </si>
  <si>
    <t>G-183</t>
    <phoneticPr fontId="22" type="noConversion"/>
  </si>
  <si>
    <t>G-184</t>
    <phoneticPr fontId="22" type="noConversion"/>
  </si>
  <si>
    <t>G-185</t>
    <phoneticPr fontId="22" type="noConversion"/>
  </si>
  <si>
    <t>G-186</t>
    <phoneticPr fontId="22" type="noConversion"/>
  </si>
  <si>
    <t>G-187</t>
    <phoneticPr fontId="22" type="noConversion"/>
  </si>
  <si>
    <t>G-188</t>
    <phoneticPr fontId="22" type="noConversion"/>
  </si>
  <si>
    <t>G-189</t>
    <phoneticPr fontId="22" type="noConversion"/>
  </si>
  <si>
    <t>G-190</t>
    <phoneticPr fontId="22" type="noConversion"/>
  </si>
  <si>
    <t>G-191</t>
    <phoneticPr fontId="22" type="noConversion"/>
  </si>
  <si>
    <t>G-192</t>
    <phoneticPr fontId="22" type="noConversion"/>
  </si>
  <si>
    <t>G-193</t>
    <phoneticPr fontId="22" type="noConversion"/>
  </si>
  <si>
    <t>P161004</t>
    <phoneticPr fontId="22" type="noConversion"/>
  </si>
  <si>
    <t>P161005</t>
    <phoneticPr fontId="22" type="noConversion"/>
  </si>
  <si>
    <t>P161006</t>
    <phoneticPr fontId="22" type="noConversion"/>
  </si>
  <si>
    <t>P161007</t>
    <phoneticPr fontId="22" type="noConversion"/>
  </si>
  <si>
    <t>Y150117410</t>
    <phoneticPr fontId="22" type="noConversion"/>
  </si>
  <si>
    <t>Y150115630</t>
    <phoneticPr fontId="22" type="noConversion"/>
  </si>
  <si>
    <t>302872</t>
    <phoneticPr fontId="22" type="noConversion"/>
  </si>
  <si>
    <t>PUSH-PULL 게이지</t>
    <phoneticPr fontId="22" type="noConversion"/>
  </si>
  <si>
    <t>20kgf 이하</t>
    <phoneticPr fontId="22" type="noConversion"/>
  </si>
  <si>
    <t>302874</t>
    <phoneticPr fontId="22" type="noConversion"/>
  </si>
  <si>
    <t>511734</t>
    <phoneticPr fontId="22" type="noConversion"/>
  </si>
  <si>
    <t>3점 마이크로미터</t>
    <phoneticPr fontId="22" type="noConversion"/>
  </si>
  <si>
    <t>511650</t>
    <phoneticPr fontId="22" type="noConversion"/>
  </si>
  <si>
    <t>511744</t>
    <phoneticPr fontId="22" type="noConversion"/>
  </si>
  <si>
    <t>151997</t>
    <phoneticPr fontId="22" type="noConversion"/>
  </si>
  <si>
    <t>원통형 링게이지</t>
    <phoneticPr fontId="22" type="noConversion"/>
  </si>
  <si>
    <t>152350</t>
    <phoneticPr fontId="22" type="noConversion"/>
  </si>
  <si>
    <t>ST217D7-110-176-1</t>
    <phoneticPr fontId="22" type="noConversion"/>
  </si>
  <si>
    <t>ST217D7-110-176-2</t>
    <phoneticPr fontId="22" type="noConversion"/>
  </si>
  <si>
    <t>ST217D7-110-178-1</t>
    <phoneticPr fontId="22" type="noConversion"/>
  </si>
  <si>
    <t>ST217D7-110-178-2</t>
    <phoneticPr fontId="22" type="noConversion"/>
  </si>
  <si>
    <t>ST217D7-110-179-1</t>
    <phoneticPr fontId="22" type="noConversion"/>
  </si>
  <si>
    <t>ST217D7-110-179-2</t>
    <phoneticPr fontId="22" type="noConversion"/>
  </si>
  <si>
    <t>ST217D7-110-155-1</t>
    <phoneticPr fontId="22" type="noConversion"/>
  </si>
  <si>
    <t>ST217D7-110-155-2</t>
    <phoneticPr fontId="22" type="noConversion"/>
  </si>
  <si>
    <t>ST217D7-110-243-1</t>
    <phoneticPr fontId="22" type="noConversion"/>
  </si>
  <si>
    <t>ST217D7-110-243-2</t>
    <phoneticPr fontId="22" type="noConversion"/>
  </si>
  <si>
    <t>ST217D7-110-160-1</t>
    <phoneticPr fontId="22" type="noConversion"/>
  </si>
  <si>
    <t>4.815mm/4.855mm</t>
    <phoneticPr fontId="22" type="noConversion"/>
  </si>
  <si>
    <t>ST217D7-110-160-2</t>
    <phoneticPr fontId="22" type="noConversion"/>
  </si>
  <si>
    <t>ST217D7-110-28-1</t>
    <phoneticPr fontId="22" type="noConversion"/>
  </si>
  <si>
    <t>4.815mm/4.863mm</t>
    <phoneticPr fontId="22" type="noConversion"/>
  </si>
  <si>
    <t>ST217D7-110-28-2</t>
    <phoneticPr fontId="22" type="noConversion"/>
  </si>
  <si>
    <t>ST217D7-110-108-1</t>
    <phoneticPr fontId="22" type="noConversion"/>
  </si>
  <si>
    <t>4.850mm/4.950mm</t>
    <phoneticPr fontId="22" type="noConversion"/>
  </si>
  <si>
    <t>ST217D7-110-108-2</t>
    <phoneticPr fontId="22" type="noConversion"/>
  </si>
  <si>
    <t>ST217D7-110-246-1</t>
    <phoneticPr fontId="22" type="noConversion"/>
  </si>
  <si>
    <t>5.055mm/5.131mm</t>
    <phoneticPr fontId="22" type="noConversion"/>
  </si>
  <si>
    <t>ST217D7-110-246-2</t>
    <phoneticPr fontId="22" type="noConversion"/>
  </si>
  <si>
    <t>ST217D7-110-171-1</t>
    <phoneticPr fontId="22" type="noConversion"/>
  </si>
  <si>
    <t>6.339mm/6.379mm</t>
    <phoneticPr fontId="22" type="noConversion"/>
  </si>
  <si>
    <t>ST217D7-110-171-2</t>
    <phoneticPr fontId="22" type="noConversion"/>
  </si>
  <si>
    <t>ST217D7-110-106-1</t>
    <phoneticPr fontId="22" type="noConversion"/>
  </si>
  <si>
    <t>6.604mm/6.680mm</t>
    <phoneticPr fontId="22" type="noConversion"/>
  </si>
  <si>
    <t>ST217D7-110-106-2</t>
    <phoneticPr fontId="22" type="noConversion"/>
  </si>
  <si>
    <t>ST217D7-110-107-1</t>
    <phoneticPr fontId="22" type="noConversion"/>
  </si>
  <si>
    <t>7.925mm/8.001mm</t>
    <phoneticPr fontId="22" type="noConversion"/>
  </si>
  <si>
    <t>ST217D7-110-107-2</t>
    <phoneticPr fontId="22" type="noConversion"/>
  </si>
  <si>
    <t>ST217D7-110-57-1</t>
    <phoneticPr fontId="22" type="noConversion"/>
  </si>
  <si>
    <t>7.927mm/7.964mm</t>
    <phoneticPr fontId="22" type="noConversion"/>
  </si>
  <si>
    <t>ST217D7-110-57-2</t>
    <phoneticPr fontId="22" type="noConversion"/>
  </si>
  <si>
    <t>ST217D7-110-175-1</t>
    <phoneticPr fontId="22" type="noConversion"/>
  </si>
  <si>
    <t>9.514mm/9.552mm</t>
    <phoneticPr fontId="22" type="noConversion"/>
  </si>
  <si>
    <t>ST217D7-110-175-2</t>
    <phoneticPr fontId="22" type="noConversion"/>
  </si>
  <si>
    <t>ST217D7-110-247-1</t>
    <phoneticPr fontId="22" type="noConversion"/>
  </si>
  <si>
    <t>9.514mm/9.554mm</t>
    <phoneticPr fontId="22" type="noConversion"/>
  </si>
  <si>
    <t>ST217D7-110-247-2</t>
    <phoneticPr fontId="22" type="noConversion"/>
  </si>
  <si>
    <t>ST217D7-110-159-1</t>
    <phoneticPr fontId="22" type="noConversion"/>
  </si>
  <si>
    <t>9.514mm/9.565mm</t>
    <phoneticPr fontId="22" type="noConversion"/>
  </si>
  <si>
    <t>ST217D7-110-159-2</t>
    <phoneticPr fontId="22" type="noConversion"/>
  </si>
  <si>
    <t>ST217D7-110-248-1</t>
    <phoneticPr fontId="22" type="noConversion"/>
  </si>
  <si>
    <t>9.949mm/9.987mm</t>
    <phoneticPr fontId="22" type="noConversion"/>
  </si>
  <si>
    <t>ST217D7-110-248-2</t>
    <phoneticPr fontId="22" type="noConversion"/>
  </si>
  <si>
    <t>ST219D7-08-1</t>
    <phoneticPr fontId="22" type="noConversion"/>
  </si>
  <si>
    <t>5.20mm</t>
    <phoneticPr fontId="22" type="noConversion"/>
  </si>
  <si>
    <t>ST219D7-08-2</t>
    <phoneticPr fontId="22" type="noConversion"/>
  </si>
  <si>
    <t>ST216D7-215-05-1</t>
    <phoneticPr fontId="22" type="noConversion"/>
  </si>
  <si>
    <t>5.500mm/5.893mm</t>
    <phoneticPr fontId="22" type="noConversion"/>
  </si>
  <si>
    <t>ST216D7-215-05-2</t>
    <phoneticPr fontId="22" type="noConversion"/>
  </si>
  <si>
    <t>ST216D7-215-6-1</t>
    <phoneticPr fontId="22" type="noConversion"/>
  </si>
  <si>
    <t>6.900mm/7.417mm</t>
    <phoneticPr fontId="22" type="noConversion"/>
  </si>
  <si>
    <t>ST216D7-215-6-2</t>
    <phoneticPr fontId="22" type="noConversion"/>
  </si>
  <si>
    <t>ST216D7-214-3-1</t>
    <phoneticPr fontId="22" type="noConversion"/>
  </si>
  <si>
    <t>7.424mm/9.224mm</t>
    <phoneticPr fontId="22" type="noConversion"/>
  </si>
  <si>
    <t>ST216D7-214-3-2</t>
    <phoneticPr fontId="22" type="noConversion"/>
  </si>
  <si>
    <t>ST216D7-215-10-1</t>
    <phoneticPr fontId="22" type="noConversion"/>
  </si>
  <si>
    <t>8.103mm/9.500mm</t>
    <phoneticPr fontId="22" type="noConversion"/>
  </si>
  <si>
    <t>ST216D7-215-10-2</t>
    <phoneticPr fontId="22" type="noConversion"/>
  </si>
  <si>
    <t>ST216D7-214-4-1</t>
    <phoneticPr fontId="22" type="noConversion"/>
  </si>
  <si>
    <t>8.184mm/9.995mm</t>
    <phoneticPr fontId="22" type="noConversion"/>
  </si>
  <si>
    <t>ST216D7-214-4-2</t>
    <phoneticPr fontId="22" type="noConversion"/>
  </si>
  <si>
    <t>ST216D7-214-5-1</t>
    <phoneticPr fontId="22" type="noConversion"/>
  </si>
  <si>
    <t>9.704mm/11.533mm</t>
    <phoneticPr fontId="22" type="noConversion"/>
  </si>
  <si>
    <t>ST216D7-214-5-2</t>
    <phoneticPr fontId="22" type="noConversion"/>
  </si>
  <si>
    <t>ST216D7-213-8-1</t>
    <phoneticPr fontId="22" type="noConversion"/>
  </si>
  <si>
    <t>10.16mm/11.43mm</t>
    <phoneticPr fontId="22" type="noConversion"/>
  </si>
  <si>
    <t>ST216D7-213-8-2</t>
    <phoneticPr fontId="22" type="noConversion"/>
  </si>
  <si>
    <t>ST216D7-214-6-1</t>
    <phoneticPr fontId="22" type="noConversion"/>
  </si>
  <si>
    <t>10.724mm/12.555mm</t>
    <phoneticPr fontId="22" type="noConversion"/>
  </si>
  <si>
    <t>ST216D7-214-6-2</t>
    <phoneticPr fontId="22" type="noConversion"/>
  </si>
  <si>
    <t>6023653</t>
    <phoneticPr fontId="22" type="noConversion"/>
  </si>
  <si>
    <t>(5~6)mm/0.001mm</t>
    <phoneticPr fontId="22" type="noConversion"/>
  </si>
  <si>
    <t>16.10.21</t>
    <phoneticPr fontId="22" type="noConversion"/>
  </si>
  <si>
    <t>HISCO</t>
    <phoneticPr fontId="22" type="noConversion"/>
  </si>
  <si>
    <t>OPTECH</t>
    <phoneticPr fontId="22" type="noConversion"/>
  </si>
  <si>
    <t>16.12.02</t>
    <phoneticPr fontId="22" type="noConversion"/>
  </si>
  <si>
    <t>16.12.17</t>
    <phoneticPr fontId="22" type="noConversion"/>
  </si>
  <si>
    <t>16.12.29</t>
    <phoneticPr fontId="22" type="noConversion"/>
  </si>
  <si>
    <t>17.12.28</t>
    <phoneticPr fontId="22" type="noConversion"/>
  </si>
  <si>
    <t>Mitutoyo</t>
    <phoneticPr fontId="22" type="noConversion"/>
  </si>
  <si>
    <t>18.01.02</t>
    <phoneticPr fontId="22" type="noConversion"/>
  </si>
  <si>
    <t>설치형</t>
    <phoneticPr fontId="22" type="noConversion"/>
  </si>
  <si>
    <t>설치형</t>
    <phoneticPr fontId="22" type="noConversion"/>
  </si>
  <si>
    <t>대출</t>
    <phoneticPr fontId="22" type="noConversion"/>
  </si>
  <si>
    <t>대출</t>
    <phoneticPr fontId="22" type="noConversion"/>
  </si>
  <si>
    <t>17.02.23</t>
    <phoneticPr fontId="22" type="noConversion"/>
  </si>
  <si>
    <t>17.03.21</t>
    <phoneticPr fontId="22" type="noConversion"/>
  </si>
  <si>
    <t>17.03.21</t>
    <phoneticPr fontId="22" type="noConversion"/>
  </si>
  <si>
    <t>787조립현장</t>
    <phoneticPr fontId="22" type="noConversion"/>
  </si>
  <si>
    <t>2016.12.13</t>
    <phoneticPr fontId="22" type="noConversion"/>
  </si>
  <si>
    <t>17.10.20</t>
    <phoneticPr fontId="22" type="noConversion"/>
  </si>
  <si>
    <t>737 PAINT ROOM</t>
    <phoneticPr fontId="22" type="noConversion"/>
  </si>
  <si>
    <t>737</t>
    <phoneticPr fontId="22" type="noConversion"/>
  </si>
  <si>
    <t>17.03.13</t>
    <phoneticPr fontId="22" type="noConversion"/>
  </si>
  <si>
    <t>17.02.28</t>
    <phoneticPr fontId="22" type="noConversion"/>
  </si>
  <si>
    <t>17.02.28</t>
    <phoneticPr fontId="22" type="noConversion"/>
  </si>
  <si>
    <t>17.03.13</t>
    <phoneticPr fontId="22" type="noConversion"/>
  </si>
  <si>
    <t>2016.11.28</t>
    <phoneticPr fontId="22" type="noConversion"/>
  </si>
  <si>
    <t>분실</t>
    <phoneticPr fontId="22" type="noConversion"/>
  </si>
  <si>
    <t>17.12.12</t>
    <phoneticPr fontId="22" type="noConversion"/>
  </si>
  <si>
    <t>17.10.24</t>
    <phoneticPr fontId="22" type="noConversion"/>
  </si>
  <si>
    <t>17.10.26</t>
    <phoneticPr fontId="22" type="noConversion"/>
  </si>
  <si>
    <t>17.09.25</t>
    <phoneticPr fontId="22" type="noConversion"/>
  </si>
  <si>
    <t>17.10.23</t>
    <phoneticPr fontId="22" type="noConversion"/>
  </si>
  <si>
    <t>17.11.11</t>
    <phoneticPr fontId="22" type="noConversion"/>
  </si>
  <si>
    <t>17.02.23</t>
    <phoneticPr fontId="22" type="noConversion"/>
  </si>
  <si>
    <t>17.05.15</t>
    <phoneticPr fontId="22" type="noConversion"/>
  </si>
  <si>
    <t>17.12.11</t>
    <phoneticPr fontId="22" type="noConversion"/>
  </si>
  <si>
    <t>17.09.22</t>
    <phoneticPr fontId="22" type="noConversion"/>
  </si>
  <si>
    <t>17.08.24</t>
    <phoneticPr fontId="22" type="noConversion"/>
  </si>
  <si>
    <t>17.04.14</t>
    <phoneticPr fontId="22" type="noConversion"/>
  </si>
  <si>
    <t>17.05.11</t>
    <phoneticPr fontId="22" type="noConversion"/>
  </si>
  <si>
    <t>17.01.23</t>
    <phoneticPr fontId="22" type="noConversion"/>
  </si>
  <si>
    <t>17.02.21</t>
    <phoneticPr fontId="22" type="noConversion"/>
  </si>
  <si>
    <t>17.05.09</t>
    <phoneticPr fontId="22" type="noConversion"/>
  </si>
  <si>
    <t>17.09.26</t>
    <phoneticPr fontId="22" type="noConversion"/>
  </si>
  <si>
    <t>17.10.21</t>
    <phoneticPr fontId="22" type="noConversion"/>
  </si>
  <si>
    <t>16.08.17</t>
    <phoneticPr fontId="22" type="noConversion"/>
  </si>
  <si>
    <t>17.01.27</t>
    <phoneticPr fontId="22" type="noConversion"/>
  </si>
  <si>
    <t>17.01.31</t>
    <phoneticPr fontId="22" type="noConversion"/>
  </si>
  <si>
    <t>17.02.22</t>
    <phoneticPr fontId="22" type="noConversion"/>
  </si>
  <si>
    <t>17.06.06</t>
    <phoneticPr fontId="22" type="noConversion"/>
  </si>
  <si>
    <t>18.11.01</t>
    <phoneticPr fontId="22" type="noConversion"/>
  </si>
  <si>
    <t>18.11.08</t>
    <phoneticPr fontId="22" type="noConversion"/>
  </si>
  <si>
    <t>17.10.26</t>
    <phoneticPr fontId="22" type="noConversion"/>
  </si>
  <si>
    <t>17.03.16</t>
    <phoneticPr fontId="22" type="noConversion"/>
  </si>
  <si>
    <t>17.11.08</t>
    <phoneticPr fontId="22" type="noConversion"/>
  </si>
  <si>
    <t>16.10.07</t>
    <phoneticPr fontId="22" type="noConversion"/>
  </si>
  <si>
    <t>17.12.10</t>
    <phoneticPr fontId="22" type="noConversion"/>
  </si>
  <si>
    <t>17.04.18</t>
    <phoneticPr fontId="22" type="noConversion"/>
  </si>
  <si>
    <t>17.08.30</t>
    <phoneticPr fontId="22" type="noConversion"/>
  </si>
  <si>
    <t>17.12.10</t>
    <phoneticPr fontId="22" type="noConversion"/>
  </si>
  <si>
    <t>18.10.21</t>
    <phoneticPr fontId="22" type="noConversion"/>
  </si>
  <si>
    <t>G-194</t>
    <phoneticPr fontId="22" type="noConversion"/>
  </si>
  <si>
    <t>G-195</t>
    <phoneticPr fontId="22" type="noConversion"/>
  </si>
  <si>
    <t>G-196</t>
    <phoneticPr fontId="22" type="noConversion"/>
  </si>
  <si>
    <t>G-197</t>
    <phoneticPr fontId="22" type="noConversion"/>
  </si>
  <si>
    <t>G-198</t>
    <phoneticPr fontId="22" type="noConversion"/>
  </si>
  <si>
    <t>G-199</t>
    <phoneticPr fontId="22" type="noConversion"/>
  </si>
  <si>
    <t>ST217D7-110-60-1</t>
    <phoneticPr fontId="22" type="noConversion"/>
  </si>
  <si>
    <t>ST217D7-110-60-2</t>
    <phoneticPr fontId="22" type="noConversion"/>
  </si>
  <si>
    <t>ST217D7-110-109-1</t>
    <phoneticPr fontId="22" type="noConversion"/>
  </si>
  <si>
    <t>ST217D7-110-109-2</t>
    <phoneticPr fontId="22" type="noConversion"/>
  </si>
  <si>
    <t>ST217D7-110-244-1</t>
    <phoneticPr fontId="22" type="noConversion"/>
  </si>
  <si>
    <t>ST217D7-110-244-2</t>
    <phoneticPr fontId="22" type="noConversion"/>
  </si>
  <si>
    <t>4.815mm/4.845mm</t>
    <phoneticPr fontId="22" type="noConversion"/>
  </si>
  <si>
    <t>5.600mm/5.700mm</t>
    <phoneticPr fontId="22" type="noConversion"/>
  </si>
  <si>
    <t>4.810mm/4.885mm</t>
    <phoneticPr fontId="22" type="noConversion"/>
  </si>
  <si>
    <t>14527404</t>
    <phoneticPr fontId="22" type="noConversion"/>
  </si>
  <si>
    <t>1630965-1</t>
    <phoneticPr fontId="22" type="noConversion"/>
  </si>
  <si>
    <t>나사 플러그 게이지</t>
    <phoneticPr fontId="22" type="noConversion"/>
  </si>
  <si>
    <t>3/4-16 UNF-GPIP 3B</t>
    <phoneticPr fontId="22" type="noConversion"/>
  </si>
  <si>
    <t>SHS</t>
    <phoneticPr fontId="22" type="noConversion"/>
  </si>
  <si>
    <t>검사실</t>
    <phoneticPr fontId="22" type="noConversion"/>
  </si>
  <si>
    <t>800-767-7633</t>
    <phoneticPr fontId="22" type="noConversion"/>
  </si>
  <si>
    <t>양축</t>
    <phoneticPr fontId="22" type="noConversion"/>
  </si>
  <si>
    <t>17.01.09</t>
    <phoneticPr fontId="22" type="noConversion"/>
  </si>
  <si>
    <t>19.01.08</t>
    <phoneticPr fontId="22" type="noConversion"/>
  </si>
  <si>
    <t>B-022</t>
    <phoneticPr fontId="22" type="noConversion"/>
  </si>
  <si>
    <t>B-023</t>
    <phoneticPr fontId="22" type="noConversion"/>
  </si>
  <si>
    <t>L17010401</t>
    <phoneticPr fontId="22" type="noConversion"/>
  </si>
  <si>
    <t>L17010402</t>
    <phoneticPr fontId="22" type="noConversion"/>
  </si>
  <si>
    <t>150 mm</t>
    <phoneticPr fontId="22" type="noConversion"/>
  </si>
  <si>
    <t>17.01.04</t>
    <phoneticPr fontId="22" type="noConversion"/>
  </si>
  <si>
    <t>19.01.03</t>
    <phoneticPr fontId="22" type="noConversion"/>
  </si>
  <si>
    <t>SHINWA</t>
    <phoneticPr fontId="22" type="noConversion"/>
  </si>
  <si>
    <t>SHINWA</t>
    <phoneticPr fontId="22" type="noConversion"/>
  </si>
  <si>
    <t>17.01.24</t>
    <phoneticPr fontId="22" type="noConversion"/>
  </si>
  <si>
    <t>17.04.24</t>
    <phoneticPr fontId="22" type="noConversion"/>
  </si>
  <si>
    <t>17.02.06</t>
    <phoneticPr fontId="22" type="noConversion"/>
  </si>
  <si>
    <t>18.02.06</t>
    <phoneticPr fontId="22" type="noConversion"/>
  </si>
  <si>
    <t>A330</t>
    <phoneticPr fontId="22" type="noConversion"/>
  </si>
  <si>
    <t>G-200</t>
    <phoneticPr fontId="22" type="noConversion"/>
  </si>
  <si>
    <t>G-201</t>
    <phoneticPr fontId="22" type="noConversion"/>
  </si>
  <si>
    <t>G-202</t>
    <phoneticPr fontId="22" type="noConversion"/>
  </si>
  <si>
    <t>G-204</t>
    <phoneticPr fontId="22" type="noConversion"/>
  </si>
  <si>
    <t>G-206</t>
    <phoneticPr fontId="22" type="noConversion"/>
  </si>
  <si>
    <t>G-205</t>
    <phoneticPr fontId="22" type="noConversion"/>
  </si>
  <si>
    <t>디지털 게이지</t>
    <phoneticPr fontId="22" type="noConversion"/>
  </si>
  <si>
    <t>COUNTERSINK GAGE</t>
    <phoneticPr fontId="22" type="noConversion"/>
  </si>
  <si>
    <t>00805</t>
    <phoneticPr fontId="22" type="noConversion"/>
  </si>
  <si>
    <t>55037</t>
    <phoneticPr fontId="22" type="noConversion"/>
  </si>
  <si>
    <t>27850</t>
    <phoneticPr fontId="22" type="noConversion"/>
  </si>
  <si>
    <t>54619</t>
    <phoneticPr fontId="22" type="noConversion"/>
  </si>
  <si>
    <t>54936</t>
    <phoneticPr fontId="22" type="noConversion"/>
  </si>
  <si>
    <t>55046</t>
    <phoneticPr fontId="22" type="noConversion"/>
  </si>
  <si>
    <t>G-203</t>
    <phoneticPr fontId="22" type="noConversion"/>
  </si>
  <si>
    <t>TRULOK</t>
    <phoneticPr fontId="22" type="noConversion"/>
  </si>
  <si>
    <t>(0~5) mm/ 0.001 mm</t>
    <phoneticPr fontId="22" type="noConversion"/>
  </si>
  <si>
    <t>6.604 mm</t>
    <phoneticPr fontId="22" type="noConversion"/>
  </si>
  <si>
    <t>17.01.18</t>
    <phoneticPr fontId="22" type="noConversion"/>
  </si>
  <si>
    <t>11.684 mm</t>
    <phoneticPr fontId="22" type="noConversion"/>
  </si>
  <si>
    <t>16.674 mm</t>
    <phoneticPr fontId="22" type="noConversion"/>
  </si>
  <si>
    <t>수리불가</t>
    <phoneticPr fontId="22" type="noConversion"/>
  </si>
  <si>
    <t>18.01.17</t>
    <phoneticPr fontId="22" type="noConversion"/>
  </si>
  <si>
    <t>A-089</t>
  </si>
  <si>
    <t>A-090</t>
  </si>
  <si>
    <t>A-093</t>
  </si>
  <si>
    <t>A-096</t>
  </si>
  <si>
    <t>A-103</t>
  </si>
  <si>
    <t>A-104</t>
  </si>
  <si>
    <t>A-105</t>
  </si>
  <si>
    <t>A-108</t>
  </si>
  <si>
    <t>A-109</t>
  </si>
  <si>
    <t>A-110</t>
  </si>
  <si>
    <t>17.03.15</t>
    <phoneticPr fontId="22" type="noConversion"/>
  </si>
  <si>
    <t>17.06.15</t>
    <phoneticPr fontId="22" type="noConversion"/>
  </si>
  <si>
    <t>AF00030281</t>
    <phoneticPr fontId="22" type="noConversion"/>
  </si>
  <si>
    <t>A-144</t>
    <phoneticPr fontId="22" type="noConversion"/>
  </si>
  <si>
    <t>PNEUMATIC SCREWDRIVER</t>
    <phoneticPr fontId="22" type="noConversion"/>
  </si>
  <si>
    <t>4.2 Nm</t>
    <phoneticPr fontId="22" type="noConversion"/>
  </si>
  <si>
    <t>DEPRAG</t>
    <phoneticPr fontId="22" type="noConversion"/>
  </si>
  <si>
    <t xml:space="preserve"> 승 인 : 이 상 엽</t>
    <phoneticPr fontId="23" type="noConversion"/>
  </si>
  <si>
    <t>추가구매검토</t>
    <phoneticPr fontId="22" type="noConversion"/>
  </si>
  <si>
    <t>5/22 교정 반출</t>
    <phoneticPr fontId="22" type="noConversion"/>
  </si>
  <si>
    <t>NO.178MAA-1</t>
    <phoneticPr fontId="22" type="noConversion"/>
  </si>
  <si>
    <t>NO.178MAA-2</t>
    <phoneticPr fontId="22" type="noConversion"/>
  </si>
  <si>
    <t>NO.178MAA-3</t>
    <phoneticPr fontId="22" type="noConversion"/>
  </si>
  <si>
    <t>NO.178MAA-4</t>
    <phoneticPr fontId="22" type="noConversion"/>
  </si>
  <si>
    <t>NO.178MAA-5</t>
    <phoneticPr fontId="22" type="noConversion"/>
  </si>
  <si>
    <t>NO.178MA(NONE-1)</t>
    <phoneticPr fontId="22" type="noConversion"/>
  </si>
  <si>
    <t>NO.178MA</t>
    <phoneticPr fontId="22" type="noConversion"/>
  </si>
  <si>
    <t>NO.178MA-1</t>
    <phoneticPr fontId="22" type="noConversion"/>
  </si>
  <si>
    <t>NO.178MA-2</t>
    <phoneticPr fontId="22" type="noConversion"/>
  </si>
  <si>
    <t>NO.178MA-3</t>
    <phoneticPr fontId="22" type="noConversion"/>
  </si>
  <si>
    <t>NO.178MA-4</t>
    <phoneticPr fontId="22" type="noConversion"/>
  </si>
  <si>
    <t>3축</t>
    <phoneticPr fontId="22" type="noConversion"/>
  </si>
  <si>
    <t>5축</t>
    <phoneticPr fontId="22" type="noConversion"/>
  </si>
  <si>
    <t>엘리야</t>
    <phoneticPr fontId="22" type="noConversion"/>
  </si>
  <si>
    <t>대형신규3SPIN</t>
    <phoneticPr fontId="22" type="noConversion"/>
  </si>
  <si>
    <t>공구실</t>
    <phoneticPr fontId="22" type="noConversion"/>
  </si>
  <si>
    <t>검사실</t>
    <phoneticPr fontId="22" type="noConversion"/>
  </si>
  <si>
    <t>223445</t>
    <phoneticPr fontId="22" type="noConversion"/>
  </si>
  <si>
    <t>L300EH</t>
    <phoneticPr fontId="22" type="noConversion"/>
  </si>
  <si>
    <t>NO-THP-1</t>
    <phoneticPr fontId="22" type="noConversion"/>
  </si>
  <si>
    <t>AI6627</t>
    <phoneticPr fontId="22" type="noConversion"/>
  </si>
  <si>
    <t>NO.47</t>
    <phoneticPr fontId="22" type="noConversion"/>
  </si>
  <si>
    <t>L0001(100MZ)</t>
    <phoneticPr fontId="22" type="noConversion"/>
  </si>
  <si>
    <t>L0002(100MZ)</t>
    <phoneticPr fontId="22" type="noConversion"/>
  </si>
  <si>
    <t>L0003(150MZ)</t>
    <phoneticPr fontId="22" type="noConversion"/>
  </si>
  <si>
    <t>1회 / 1년</t>
    <phoneticPr fontId="22" type="noConversion"/>
  </si>
  <si>
    <t>6768</t>
    <phoneticPr fontId="22" type="noConversion"/>
  </si>
  <si>
    <t>TP17062202</t>
    <phoneticPr fontId="22" type="noConversion"/>
  </si>
  <si>
    <t>신네시티</t>
    <phoneticPr fontId="22" type="noConversion"/>
  </si>
  <si>
    <t>14478504</t>
    <phoneticPr fontId="22" type="noConversion"/>
  </si>
  <si>
    <t>검사실</t>
    <phoneticPr fontId="22" type="noConversion"/>
  </si>
  <si>
    <t>검교정예정</t>
    <phoneticPr fontId="22" type="noConversion"/>
  </si>
  <si>
    <t>대여(미확인)</t>
    <phoneticPr fontId="22" type="noConversion"/>
  </si>
  <si>
    <t>수령검사중</t>
    <phoneticPr fontId="22" type="noConversion"/>
  </si>
  <si>
    <t>제품변경예정</t>
    <phoneticPr fontId="22" type="noConversion"/>
  </si>
  <si>
    <t>↑</t>
    <phoneticPr fontId="22" type="noConversion"/>
  </si>
  <si>
    <t>측 정 장 비  관 리 대 장</t>
    <phoneticPr fontId="22" type="noConversion"/>
  </si>
  <si>
    <t>MASTER LIST OF MEASURING EQUIPMENT</t>
    <phoneticPr fontId="22" type="noConversion"/>
  </si>
  <si>
    <t>반출일자</t>
    <phoneticPr fontId="22" type="noConversion"/>
  </si>
  <si>
    <t>반출자</t>
    <phoneticPr fontId="22" type="noConversion"/>
  </si>
  <si>
    <t>외경 다이얼 캘리퍼(아날로그)</t>
    <phoneticPr fontId="22" type="noConversion"/>
  </si>
  <si>
    <t>가공</t>
    <phoneticPr fontId="22" type="noConversion"/>
  </si>
  <si>
    <t>NONE-1</t>
    <phoneticPr fontId="22" type="noConversion"/>
  </si>
  <si>
    <t>나사 피치 게이지</t>
    <phoneticPr fontId="22" type="noConversion"/>
  </si>
  <si>
    <t>0.25~6.350mm</t>
    <phoneticPr fontId="22" type="noConversion"/>
  </si>
  <si>
    <t>1회 / 2년</t>
    <phoneticPr fontId="22" type="noConversion"/>
  </si>
  <si>
    <t>검사실</t>
    <phoneticPr fontId="22" type="noConversion"/>
  </si>
  <si>
    <t>사내</t>
    <phoneticPr fontId="22" type="noConversion"/>
  </si>
  <si>
    <t>사내</t>
    <phoneticPr fontId="22" type="noConversion"/>
  </si>
  <si>
    <t xml:space="preserve"> 작 성: 임희선</t>
    <phoneticPr fontId="23" type="noConversion"/>
  </si>
  <si>
    <t>가공</t>
    <phoneticPr fontId="22" type="noConversion"/>
  </si>
  <si>
    <t>13259807</t>
    <phoneticPr fontId="22" type="noConversion"/>
  </si>
  <si>
    <t>내∙외측 캘리퍼(디지털형/인치)</t>
    <phoneticPr fontId="22" type="noConversion"/>
  </si>
  <si>
    <t>0~200㎜,0.01㎜</t>
    <phoneticPr fontId="22" type="noConversion"/>
  </si>
  <si>
    <t>Mitutoyo</t>
    <phoneticPr fontId="23" type="noConversion"/>
  </si>
  <si>
    <t>검사실</t>
    <phoneticPr fontId="22" type="noConversion"/>
  </si>
  <si>
    <t>H17030401</t>
    <phoneticPr fontId="22" type="noConversion"/>
  </si>
  <si>
    <t>측정실</t>
    <phoneticPr fontId="22" type="noConversion"/>
  </si>
  <si>
    <t xml:space="preserve"> 승 인 : 이호진</t>
    <phoneticPr fontId="23" type="noConversion"/>
  </si>
  <si>
    <t>가공</t>
    <phoneticPr fontId="22" type="noConversion"/>
  </si>
  <si>
    <t>3점 마이크로미터(DIGI)</t>
    <phoneticPr fontId="22" type="noConversion"/>
  </si>
  <si>
    <t>10~12mm,0.001mm</t>
    <phoneticPr fontId="22" type="noConversion"/>
  </si>
  <si>
    <t>12~16mm,0.001mm</t>
    <phoneticPr fontId="22" type="noConversion"/>
  </si>
  <si>
    <t>6039013(HEAD:706811)</t>
    <phoneticPr fontId="22" type="noConversion"/>
  </si>
  <si>
    <t>16~20mm,0.001mm</t>
    <phoneticPr fontId="22" type="noConversion"/>
  </si>
  <si>
    <t>20~25mm,0.001mm</t>
    <phoneticPr fontId="22" type="noConversion"/>
  </si>
  <si>
    <t>6035251(HEAD:717800)</t>
    <phoneticPr fontId="22" type="noConversion"/>
  </si>
  <si>
    <t>6045761(HEAD:747296)</t>
    <phoneticPr fontId="22" type="noConversion"/>
  </si>
  <si>
    <t>6045448(HEAD:747342)</t>
    <phoneticPr fontId="22" type="noConversion"/>
  </si>
  <si>
    <t>가공</t>
    <phoneticPr fontId="22" type="noConversion"/>
  </si>
  <si>
    <t>NONE</t>
    <phoneticPr fontId="22" type="noConversion"/>
  </si>
  <si>
    <t>곧은자</t>
    <phoneticPr fontId="23" type="noConversion"/>
  </si>
  <si>
    <t>0~1500mm</t>
    <phoneticPr fontId="22" type="noConversion"/>
  </si>
  <si>
    <t>BOSI TOOLS SKILL</t>
    <phoneticPr fontId="23" type="noConversion"/>
  </si>
  <si>
    <t>1회 / 2년</t>
    <phoneticPr fontId="22" type="noConversion"/>
  </si>
  <si>
    <t>검사실</t>
    <phoneticPr fontId="22" type="noConversion"/>
  </si>
  <si>
    <t>가공</t>
    <phoneticPr fontId="22" type="noConversion"/>
  </si>
  <si>
    <t>AF00030014</t>
    <phoneticPr fontId="22" type="noConversion"/>
  </si>
  <si>
    <t>CLECO CARTRIDGE</t>
    <phoneticPr fontId="22" type="noConversion"/>
  </si>
  <si>
    <r>
      <t>ST8865-A-5(5</t>
    </r>
    <r>
      <rPr>
        <sz val="9"/>
        <rFont val="맑은 고딕"/>
        <family val="3"/>
        <charset val="129"/>
      </rPr>
      <t>±0.5)lb</t>
    </r>
    <phoneticPr fontId="22" type="noConversion"/>
  </si>
  <si>
    <t>CLECO</t>
    <phoneticPr fontId="22" type="noConversion"/>
  </si>
  <si>
    <t>1회 / 1년</t>
    <phoneticPr fontId="22" type="noConversion"/>
  </si>
  <si>
    <t>검사실</t>
    <phoneticPr fontId="22" type="noConversion"/>
  </si>
  <si>
    <t>AF00030053</t>
    <phoneticPr fontId="22" type="noConversion"/>
  </si>
  <si>
    <t>AF00030026</t>
    <phoneticPr fontId="22" type="noConversion"/>
  </si>
  <si>
    <t>AF00030024</t>
    <phoneticPr fontId="22" type="noConversion"/>
  </si>
  <si>
    <t>AF00030058</t>
    <phoneticPr fontId="22" type="noConversion"/>
  </si>
  <si>
    <t>AF00030021</t>
    <phoneticPr fontId="22" type="noConversion"/>
  </si>
  <si>
    <t>AF00030020</t>
    <phoneticPr fontId="22" type="noConversion"/>
  </si>
  <si>
    <t>AF00030065</t>
    <phoneticPr fontId="22" type="noConversion"/>
  </si>
  <si>
    <t>CLECO CARTRIDGE</t>
    <phoneticPr fontId="22" type="noConversion"/>
  </si>
  <si>
    <r>
      <t>ST8865-A-5(5</t>
    </r>
    <r>
      <rPr>
        <sz val="9"/>
        <rFont val="맑은 고딕"/>
        <family val="3"/>
        <charset val="129"/>
      </rPr>
      <t>±0.5)lb</t>
    </r>
    <phoneticPr fontId="22" type="noConversion"/>
  </si>
  <si>
    <t>CLECO</t>
    <phoneticPr fontId="22" type="noConversion"/>
  </si>
  <si>
    <t>1회 / 1년</t>
    <phoneticPr fontId="22" type="noConversion"/>
  </si>
  <si>
    <t>검사실</t>
    <phoneticPr fontId="22" type="noConversion"/>
  </si>
  <si>
    <t>가공</t>
    <phoneticPr fontId="22" type="noConversion"/>
  </si>
  <si>
    <t>AF00030057</t>
    <phoneticPr fontId="22" type="noConversion"/>
  </si>
  <si>
    <t>AF00030030</t>
    <phoneticPr fontId="22" type="noConversion"/>
  </si>
  <si>
    <t>AF00030071</t>
    <phoneticPr fontId="22" type="noConversion"/>
  </si>
  <si>
    <t>AF00030069</t>
    <phoneticPr fontId="22" type="noConversion"/>
  </si>
  <si>
    <t>CLECO CARTRIDGE</t>
    <phoneticPr fontId="22" type="noConversion"/>
  </si>
  <si>
    <r>
      <t>ST8865-A-5(5</t>
    </r>
    <r>
      <rPr>
        <sz val="9"/>
        <rFont val="맑은 고딕"/>
        <family val="3"/>
        <charset val="129"/>
      </rPr>
      <t>±0.5)lb</t>
    </r>
    <phoneticPr fontId="22" type="noConversion"/>
  </si>
  <si>
    <t>CLECO</t>
    <phoneticPr fontId="22" type="noConversion"/>
  </si>
  <si>
    <t>1회 / 1년</t>
    <phoneticPr fontId="22" type="noConversion"/>
  </si>
  <si>
    <t>검사실</t>
    <phoneticPr fontId="22" type="noConversion"/>
  </si>
  <si>
    <t>가공</t>
    <phoneticPr fontId="22" type="noConversion"/>
  </si>
  <si>
    <t>AF00030031</t>
    <phoneticPr fontId="22" type="noConversion"/>
  </si>
  <si>
    <t>AF00030067</t>
    <phoneticPr fontId="22" type="noConversion"/>
  </si>
  <si>
    <t>AF00030016</t>
    <phoneticPr fontId="22" type="noConversion"/>
  </si>
  <si>
    <t>AF00030023</t>
    <phoneticPr fontId="22" type="noConversion"/>
  </si>
  <si>
    <t>AF00030027</t>
    <phoneticPr fontId="22" type="noConversion"/>
  </si>
  <si>
    <t>AF00030017</t>
    <phoneticPr fontId="22" type="noConversion"/>
  </si>
  <si>
    <t>AF00030029</t>
    <phoneticPr fontId="22" type="noConversion"/>
  </si>
  <si>
    <t>AF00030013</t>
    <phoneticPr fontId="22" type="noConversion"/>
  </si>
  <si>
    <t>AF00030028</t>
    <phoneticPr fontId="22" type="noConversion"/>
  </si>
  <si>
    <t>AF00030015</t>
    <phoneticPr fontId="22" type="noConversion"/>
  </si>
  <si>
    <t>검사실</t>
    <phoneticPr fontId="22" type="noConversion"/>
  </si>
  <si>
    <t>3축</t>
    <phoneticPr fontId="22" type="noConversion"/>
  </si>
  <si>
    <t>품질팀</t>
    <phoneticPr fontId="22" type="noConversion"/>
  </si>
  <si>
    <t>C/S</t>
    <phoneticPr fontId="22" type="noConversion"/>
  </si>
  <si>
    <t>조립</t>
    <phoneticPr fontId="22" type="noConversion"/>
  </si>
  <si>
    <t>NSⅡ-Q</t>
    <phoneticPr fontId="22" type="noConversion"/>
  </si>
  <si>
    <t>조립 공통</t>
    <phoneticPr fontId="22" type="noConversion"/>
  </si>
  <si>
    <t>B737 OVEN</t>
    <phoneticPr fontId="22" type="noConversion"/>
  </si>
  <si>
    <t>1회 / 6개월</t>
    <phoneticPr fontId="22" type="noConversion"/>
  </si>
  <si>
    <t>B777 조립현장</t>
    <phoneticPr fontId="22" type="noConversion"/>
  </si>
  <si>
    <t>조립 공통</t>
  </si>
  <si>
    <t>온도지시조절계</t>
    <phoneticPr fontId="22" type="noConversion"/>
  </si>
  <si>
    <t>787조립현장</t>
    <phoneticPr fontId="22" type="noConversion"/>
  </si>
  <si>
    <t>설치형</t>
    <phoneticPr fontId="22" type="noConversion"/>
  </si>
  <si>
    <t>1회 / 3개월</t>
    <phoneticPr fontId="22" type="noConversion"/>
  </si>
  <si>
    <t>9월중 검교정</t>
    <phoneticPr fontId="22" type="noConversion"/>
  </si>
  <si>
    <t>A330 부싱룸</t>
    <phoneticPr fontId="22" type="noConversion"/>
  </si>
  <si>
    <t>초시계</t>
    <phoneticPr fontId="22" type="noConversion"/>
  </si>
  <si>
    <t>G-137</t>
    <phoneticPr fontId="22" type="noConversion"/>
  </si>
  <si>
    <t>151997</t>
    <phoneticPr fontId="22" type="noConversion"/>
  </si>
  <si>
    <t>8.000 mm</t>
    <phoneticPr fontId="22" type="noConversion"/>
  </si>
  <si>
    <t>AF00030018</t>
    <phoneticPr fontId="22" type="noConversion"/>
  </si>
  <si>
    <t>CLECO CARTRIDGE</t>
    <phoneticPr fontId="22" type="noConversion"/>
  </si>
  <si>
    <t>AF00030019</t>
    <phoneticPr fontId="22" type="noConversion"/>
  </si>
  <si>
    <t>AF00030022</t>
    <phoneticPr fontId="22" type="noConversion"/>
  </si>
  <si>
    <t>AF00030025</t>
    <phoneticPr fontId="22" type="noConversion"/>
  </si>
  <si>
    <t>AF00030032</t>
    <phoneticPr fontId="22" type="noConversion"/>
  </si>
  <si>
    <t>AF00030033</t>
    <phoneticPr fontId="22" type="noConversion"/>
  </si>
  <si>
    <t>AF00030034</t>
    <phoneticPr fontId="22" type="noConversion"/>
  </si>
  <si>
    <t>AF00030037</t>
    <phoneticPr fontId="22" type="noConversion"/>
  </si>
  <si>
    <t>AF00030038</t>
    <phoneticPr fontId="22" type="noConversion"/>
  </si>
  <si>
    <t>AF00030039</t>
    <phoneticPr fontId="22" type="noConversion"/>
  </si>
  <si>
    <t>DEPRAG</t>
    <phoneticPr fontId="22" type="noConversion"/>
  </si>
  <si>
    <t>G-138</t>
    <phoneticPr fontId="22" type="noConversion"/>
  </si>
  <si>
    <t>152350</t>
    <phoneticPr fontId="22" type="noConversion"/>
  </si>
  <si>
    <t>10.000 mm</t>
    <phoneticPr fontId="22" type="noConversion"/>
  </si>
  <si>
    <t>G-141</t>
    <phoneticPr fontId="22" type="noConversion"/>
  </si>
  <si>
    <t>ST217D7-110-176-1</t>
    <phoneticPr fontId="22" type="noConversion"/>
  </si>
  <si>
    <t>2.460mm/2.540mm</t>
    <phoneticPr fontId="22" type="noConversion"/>
  </si>
  <si>
    <t>G-142</t>
    <phoneticPr fontId="22" type="noConversion"/>
  </si>
  <si>
    <t>ST217D7-110-176-2</t>
    <phoneticPr fontId="22" type="noConversion"/>
  </si>
  <si>
    <t>A-157</t>
    <phoneticPr fontId="22" type="noConversion"/>
  </si>
  <si>
    <t>5.1 Nm</t>
    <phoneticPr fontId="22" type="noConversion"/>
  </si>
  <si>
    <t>G-143</t>
    <phoneticPr fontId="22" type="noConversion"/>
  </si>
  <si>
    <t>ST217D7-110-178-1</t>
    <phoneticPr fontId="22" type="noConversion"/>
  </si>
  <si>
    <t>3.250mm/3.350mm</t>
    <phoneticPr fontId="22" type="noConversion"/>
  </si>
  <si>
    <t>A-158</t>
    <phoneticPr fontId="22" type="noConversion"/>
  </si>
  <si>
    <t>A-160</t>
    <phoneticPr fontId="22" type="noConversion"/>
  </si>
  <si>
    <t>05J-0993</t>
    <phoneticPr fontId="22" type="noConversion"/>
  </si>
  <si>
    <t>곧은자</t>
    <phoneticPr fontId="22" type="noConversion"/>
  </si>
  <si>
    <t>G-144</t>
    <phoneticPr fontId="22" type="noConversion"/>
  </si>
  <si>
    <t>ST217D7-110-178-2</t>
    <phoneticPr fontId="22" type="noConversion"/>
  </si>
  <si>
    <t>듀로미터 경도시험기</t>
    <phoneticPr fontId="22" type="noConversion"/>
  </si>
  <si>
    <t>D-type</t>
    <phoneticPr fontId="22" type="noConversion"/>
  </si>
  <si>
    <t>G-145</t>
    <phoneticPr fontId="22" type="noConversion"/>
  </si>
  <si>
    <t>ST217D7-110-179-1</t>
    <phoneticPr fontId="22" type="noConversion"/>
  </si>
  <si>
    <t>3.280mm/3.350mm</t>
    <phoneticPr fontId="22" type="noConversion"/>
  </si>
  <si>
    <t>G-146</t>
    <phoneticPr fontId="22" type="noConversion"/>
  </si>
  <si>
    <t>ST217D7-110-179-2</t>
    <phoneticPr fontId="22" type="noConversion"/>
  </si>
  <si>
    <t>150 mm</t>
    <phoneticPr fontId="22" type="noConversion"/>
  </si>
  <si>
    <t>SHINWA</t>
    <phoneticPr fontId="22" type="noConversion"/>
  </si>
  <si>
    <t>B-023</t>
    <phoneticPr fontId="22" type="noConversion"/>
  </si>
  <si>
    <t>L17010402</t>
    <phoneticPr fontId="22" type="noConversion"/>
  </si>
  <si>
    <t>G-148</t>
    <phoneticPr fontId="22" type="noConversion"/>
  </si>
  <si>
    <t>ST217D7-110-155-2</t>
    <phoneticPr fontId="22" type="noConversion"/>
  </si>
  <si>
    <t>4.166mm/4.242mm</t>
    <phoneticPr fontId="22" type="noConversion"/>
  </si>
  <si>
    <t>G-149</t>
    <phoneticPr fontId="22" type="noConversion"/>
  </si>
  <si>
    <t>ST217D7-110-243-1</t>
    <phoneticPr fontId="22" type="noConversion"/>
  </si>
  <si>
    <t>4.366mm/4.442mm</t>
    <phoneticPr fontId="22" type="noConversion"/>
  </si>
  <si>
    <t>B-026</t>
    <phoneticPr fontId="22" type="noConversion"/>
  </si>
  <si>
    <t>41832</t>
    <phoneticPr fontId="22" type="noConversion"/>
  </si>
  <si>
    <t>PTC</t>
    <phoneticPr fontId="22" type="noConversion"/>
  </si>
  <si>
    <t>B-027</t>
    <phoneticPr fontId="22" type="noConversion"/>
  </si>
  <si>
    <t>18190</t>
    <phoneticPr fontId="22" type="noConversion"/>
  </si>
  <si>
    <t>갭 게이지</t>
    <phoneticPr fontId="22" type="noConversion"/>
  </si>
  <si>
    <t>100-2(100˚ .360~.560")</t>
    <phoneticPr fontId="22" type="noConversion"/>
  </si>
  <si>
    <t>태성텍크</t>
    <phoneticPr fontId="22" type="noConversion"/>
  </si>
  <si>
    <t>G-151</t>
    <phoneticPr fontId="22" type="noConversion"/>
  </si>
  <si>
    <t>ST217D7-110-160-1</t>
    <phoneticPr fontId="22" type="noConversion"/>
  </si>
  <si>
    <t>4.815mm/4.855mm</t>
    <phoneticPr fontId="22" type="noConversion"/>
  </si>
  <si>
    <t>G-152</t>
    <phoneticPr fontId="22" type="noConversion"/>
  </si>
  <si>
    <t>ST217D7-110-160-2</t>
    <phoneticPr fontId="22" type="noConversion"/>
  </si>
  <si>
    <t>3점 마이크로미터</t>
    <phoneticPr fontId="22" type="noConversion"/>
  </si>
  <si>
    <t>9.514mm/9.565mm</t>
    <phoneticPr fontId="22" type="noConversion"/>
  </si>
  <si>
    <t>G-172</t>
    <phoneticPr fontId="22" type="noConversion"/>
  </si>
  <si>
    <t>ST217D7-110-159-2</t>
    <phoneticPr fontId="22" type="noConversion"/>
  </si>
  <si>
    <t>G-173</t>
    <phoneticPr fontId="22" type="noConversion"/>
  </si>
  <si>
    <t>ST217D7-110-248-1</t>
    <phoneticPr fontId="22" type="noConversion"/>
  </si>
  <si>
    <t>9.949mm/9.987mm</t>
    <phoneticPr fontId="22" type="noConversion"/>
  </si>
  <si>
    <t>G-174</t>
    <phoneticPr fontId="22" type="noConversion"/>
  </si>
  <si>
    <t>ST217D7-110-248-2</t>
    <phoneticPr fontId="22" type="noConversion"/>
  </si>
  <si>
    <t>5.20mm</t>
    <phoneticPr fontId="22" type="noConversion"/>
  </si>
  <si>
    <t>G-176</t>
    <phoneticPr fontId="22" type="noConversion"/>
  </si>
  <si>
    <t>ST219D7-08-2</t>
    <phoneticPr fontId="22" type="noConversion"/>
  </si>
  <si>
    <t>G-181</t>
    <phoneticPr fontId="22" type="noConversion"/>
  </si>
  <si>
    <t>ST216D7-214-3-1</t>
    <phoneticPr fontId="22" type="noConversion"/>
  </si>
  <si>
    <t>7.424mm/9.224mm</t>
    <phoneticPr fontId="22" type="noConversion"/>
  </si>
  <si>
    <t>G-185</t>
    <phoneticPr fontId="22" type="noConversion"/>
  </si>
  <si>
    <t>ST216D7-214-4-1</t>
    <phoneticPr fontId="22" type="noConversion"/>
  </si>
  <si>
    <t>8.184mm/9.995mm</t>
    <phoneticPr fontId="22" type="noConversion"/>
  </si>
  <si>
    <t>G-186</t>
    <phoneticPr fontId="22" type="noConversion"/>
  </si>
  <si>
    <t>ST216D7-214-4-2</t>
    <phoneticPr fontId="22" type="noConversion"/>
  </si>
  <si>
    <t>G-187</t>
    <phoneticPr fontId="22" type="noConversion"/>
  </si>
  <si>
    <t>ST216D7-214-5-1</t>
    <phoneticPr fontId="22" type="noConversion"/>
  </si>
  <si>
    <t>9.704mm/11.533mm</t>
    <phoneticPr fontId="22" type="noConversion"/>
  </si>
  <si>
    <t>G-188</t>
    <phoneticPr fontId="22" type="noConversion"/>
  </si>
  <si>
    <t>ST216D7-214-5-2</t>
    <phoneticPr fontId="22" type="noConversion"/>
  </si>
  <si>
    <t>G-189</t>
    <phoneticPr fontId="22" type="noConversion"/>
  </si>
  <si>
    <t>ST216D7-213-8-1</t>
    <phoneticPr fontId="22" type="noConversion"/>
  </si>
  <si>
    <t>10.16mm/11.43mm</t>
    <phoneticPr fontId="22" type="noConversion"/>
  </si>
  <si>
    <t>G-192</t>
    <phoneticPr fontId="22" type="noConversion"/>
  </si>
  <si>
    <t>ST216D7-214-6-2</t>
    <phoneticPr fontId="22" type="noConversion"/>
  </si>
  <si>
    <t>10.724mm/12.555mm</t>
    <phoneticPr fontId="22" type="noConversion"/>
  </si>
  <si>
    <t>G-147</t>
    <phoneticPr fontId="22" type="noConversion"/>
  </si>
  <si>
    <t>ST217D7-110-155-1</t>
    <phoneticPr fontId="22" type="noConversion"/>
  </si>
  <si>
    <t>B-020</t>
    <phoneticPr fontId="22" type="noConversion"/>
  </si>
  <si>
    <t>A16111316</t>
    <phoneticPr fontId="22" type="noConversion"/>
  </si>
  <si>
    <t>G-177</t>
    <phoneticPr fontId="22" type="noConversion"/>
  </si>
  <si>
    <t>ST216D7-215-05-1</t>
    <phoneticPr fontId="22" type="noConversion"/>
  </si>
  <si>
    <t>5.66mm/5.89mm</t>
    <phoneticPr fontId="22" type="noConversion"/>
  </si>
  <si>
    <t>G-191</t>
    <phoneticPr fontId="22" type="noConversion"/>
  </si>
  <si>
    <t>ST216D7-214-6-1</t>
    <phoneticPr fontId="22" type="noConversion"/>
  </si>
  <si>
    <t>G-179</t>
    <phoneticPr fontId="22" type="noConversion"/>
  </si>
  <si>
    <t>ST216D7-215-06-1</t>
    <phoneticPr fontId="22" type="noConversion"/>
  </si>
  <si>
    <t>6.86mm/7.42mm</t>
    <phoneticPr fontId="22" type="noConversion"/>
  </si>
  <si>
    <t>G-193</t>
    <phoneticPr fontId="22" type="noConversion"/>
  </si>
  <si>
    <t>6023653</t>
    <phoneticPr fontId="22" type="noConversion"/>
  </si>
  <si>
    <t>(5~6)mm/0.001mm</t>
    <phoneticPr fontId="22" type="noConversion"/>
  </si>
  <si>
    <t>Mitutoyo</t>
    <phoneticPr fontId="22" type="noConversion"/>
  </si>
  <si>
    <t>G-194</t>
    <phoneticPr fontId="22" type="noConversion"/>
  </si>
  <si>
    <t>ST217D7-110-60-1</t>
    <phoneticPr fontId="22" type="noConversion"/>
  </si>
  <si>
    <t>4.815mm/4.845mm</t>
    <phoneticPr fontId="22" type="noConversion"/>
  </si>
  <si>
    <t>G-183</t>
    <phoneticPr fontId="22" type="noConversion"/>
  </si>
  <si>
    <t>ST216D7-215-10-1</t>
    <phoneticPr fontId="22" type="noConversion"/>
  </si>
  <si>
    <t>8.10mm/9.47mm</t>
    <phoneticPr fontId="22" type="noConversion"/>
  </si>
  <si>
    <t>G-195</t>
    <phoneticPr fontId="22" type="noConversion"/>
  </si>
  <si>
    <t>ST217D7-110-60-2</t>
    <phoneticPr fontId="22" type="noConversion"/>
  </si>
  <si>
    <t>G-196</t>
    <phoneticPr fontId="22" type="noConversion"/>
  </si>
  <si>
    <t>ST217D7-110-109-1</t>
    <phoneticPr fontId="22" type="noConversion"/>
  </si>
  <si>
    <t>5.600mm/5.700mm</t>
    <phoneticPr fontId="22" type="noConversion"/>
  </si>
  <si>
    <t>G-197</t>
    <phoneticPr fontId="22" type="noConversion"/>
  </si>
  <si>
    <t>ST217D7-110-109-2</t>
    <phoneticPr fontId="22" type="noConversion"/>
  </si>
  <si>
    <t>G-198</t>
    <phoneticPr fontId="22" type="noConversion"/>
  </si>
  <si>
    <t>ST217D7-110-244-1</t>
    <phoneticPr fontId="22" type="noConversion"/>
  </si>
  <si>
    <t>4.810mm/4.885mm</t>
    <phoneticPr fontId="22" type="noConversion"/>
  </si>
  <si>
    <t>G-199</t>
    <phoneticPr fontId="22" type="noConversion"/>
  </si>
  <si>
    <t>ST217D7-110-244-2</t>
    <phoneticPr fontId="22" type="noConversion"/>
  </si>
  <si>
    <t>A-156</t>
    <phoneticPr fontId="22" type="noConversion"/>
  </si>
  <si>
    <t>G-248</t>
    <phoneticPr fontId="22" type="noConversion"/>
  </si>
  <si>
    <t>G-201</t>
    <phoneticPr fontId="22" type="noConversion"/>
  </si>
  <si>
    <t>G-202</t>
    <phoneticPr fontId="22" type="noConversion"/>
  </si>
  <si>
    <t>6.604 mm</t>
    <phoneticPr fontId="22" type="noConversion"/>
  </si>
  <si>
    <t>G-203</t>
    <phoneticPr fontId="22" type="noConversion"/>
  </si>
  <si>
    <t>G-244</t>
    <phoneticPr fontId="22" type="noConversion"/>
  </si>
  <si>
    <t>FB-325A-5</t>
    <phoneticPr fontId="22" type="noConversion"/>
  </si>
  <si>
    <t>Blue Point</t>
    <phoneticPr fontId="22" type="noConversion"/>
  </si>
  <si>
    <t>G-215</t>
    <phoneticPr fontId="22" type="noConversion"/>
  </si>
  <si>
    <t>조립</t>
    <phoneticPr fontId="22" type="noConversion"/>
  </si>
  <si>
    <t>NDT_A330_STD-01NEW-1</t>
    <phoneticPr fontId="22" type="noConversion"/>
  </si>
  <si>
    <t>WET FILM GAUGE</t>
    <phoneticPr fontId="22" type="noConversion"/>
  </si>
  <si>
    <t>자체제작</t>
    <phoneticPr fontId="22" type="noConversion"/>
  </si>
  <si>
    <t>1회 / 1년</t>
    <phoneticPr fontId="22" type="noConversion"/>
  </si>
  <si>
    <t>A330</t>
    <phoneticPr fontId="22" type="noConversion"/>
  </si>
  <si>
    <t>16080469</t>
    <phoneticPr fontId="22" type="noConversion"/>
  </si>
  <si>
    <t>(0~25)mm/0.01mm</t>
    <phoneticPr fontId="22" type="noConversion"/>
  </si>
  <si>
    <t>G-280</t>
    <phoneticPr fontId="22" type="noConversion"/>
  </si>
  <si>
    <t>G-220</t>
    <phoneticPr fontId="22" type="noConversion"/>
  </si>
  <si>
    <t>1520275</t>
    <phoneticPr fontId="22" type="noConversion"/>
  </si>
  <si>
    <t>G-221</t>
    <phoneticPr fontId="22" type="noConversion"/>
  </si>
  <si>
    <t>1520202</t>
    <phoneticPr fontId="22" type="noConversion"/>
  </si>
  <si>
    <t>G-222</t>
    <phoneticPr fontId="22" type="noConversion"/>
  </si>
  <si>
    <t>182777</t>
    <phoneticPr fontId="22" type="noConversion"/>
  </si>
  <si>
    <t>BLUETEC/BT-HS3</t>
    <phoneticPr fontId="22" type="noConversion"/>
  </si>
  <si>
    <t>G-223</t>
    <phoneticPr fontId="22" type="noConversion"/>
  </si>
  <si>
    <t>182776</t>
    <phoneticPr fontId="22" type="noConversion"/>
  </si>
  <si>
    <t>G-224</t>
    <phoneticPr fontId="22" type="noConversion"/>
  </si>
  <si>
    <t>#1 도장룸 가스버너</t>
    <phoneticPr fontId="22" type="noConversion"/>
  </si>
  <si>
    <t>GH1000</t>
    <phoneticPr fontId="22" type="noConversion"/>
  </si>
  <si>
    <t>HONEYWELL</t>
    <phoneticPr fontId="22" type="noConversion"/>
  </si>
  <si>
    <t>도장룸</t>
    <phoneticPr fontId="22" type="noConversion"/>
  </si>
  <si>
    <t>G-225</t>
    <phoneticPr fontId="22" type="noConversion"/>
  </si>
  <si>
    <t>#1 도장룸 내부온도</t>
    <phoneticPr fontId="22" type="noConversion"/>
  </si>
  <si>
    <t>AX3</t>
    <phoneticPr fontId="22" type="noConversion"/>
  </si>
  <si>
    <t>HANYOUNG NUX</t>
    <phoneticPr fontId="22" type="noConversion"/>
  </si>
  <si>
    <t>G-226</t>
    <phoneticPr fontId="22" type="noConversion"/>
  </si>
  <si>
    <t>12030590(오븐룸)</t>
    <phoneticPr fontId="22" type="noConversion"/>
  </si>
  <si>
    <t>MT612X</t>
    <phoneticPr fontId="22" type="noConversion"/>
  </si>
  <si>
    <t>Weintex Labs</t>
    <phoneticPr fontId="22" type="noConversion"/>
  </si>
  <si>
    <t>G-227</t>
    <phoneticPr fontId="22" type="noConversion"/>
  </si>
  <si>
    <t>#2 도장룸 가스버너</t>
    <phoneticPr fontId="22" type="noConversion"/>
  </si>
  <si>
    <t>G-228</t>
    <phoneticPr fontId="22" type="noConversion"/>
  </si>
  <si>
    <t>#2 도장룸 내부온도</t>
    <phoneticPr fontId="22" type="noConversion"/>
  </si>
  <si>
    <t>G-229</t>
    <phoneticPr fontId="22" type="noConversion"/>
  </si>
  <si>
    <t>#1 도장룸 내부습도</t>
    <phoneticPr fontId="22" type="noConversion"/>
  </si>
  <si>
    <t>습도지시조절계</t>
    <phoneticPr fontId="22" type="noConversion"/>
  </si>
  <si>
    <t>HX7</t>
    <phoneticPr fontId="22" type="noConversion"/>
  </si>
  <si>
    <t>G-230</t>
    <phoneticPr fontId="22" type="noConversion"/>
  </si>
  <si>
    <t>#2 도장룸 내부습도</t>
    <phoneticPr fontId="22" type="noConversion"/>
  </si>
  <si>
    <t>G-231</t>
    <phoneticPr fontId="22" type="noConversion"/>
  </si>
  <si>
    <t>OVEN FURNACE</t>
    <phoneticPr fontId="22" type="noConversion"/>
  </si>
  <si>
    <t>ELECTRIC FURNACE</t>
    <phoneticPr fontId="22" type="noConversion"/>
  </si>
  <si>
    <r>
      <t>(17.7</t>
    </r>
    <r>
      <rPr>
        <sz val="9"/>
        <rFont val="맑은 고딕"/>
        <family val="3"/>
        <charset val="129"/>
      </rPr>
      <t>±1.1)℃</t>
    </r>
    <phoneticPr fontId="22" type="noConversion"/>
  </si>
  <si>
    <t>G-232</t>
    <phoneticPr fontId="22" type="noConversion"/>
  </si>
  <si>
    <t>L11101246</t>
    <phoneticPr fontId="22" type="noConversion"/>
  </si>
  <si>
    <t>GO 0.1910"/NOGO 0.1990"</t>
    <phoneticPr fontId="22" type="noConversion"/>
  </si>
  <si>
    <t>G-234</t>
    <phoneticPr fontId="22" type="noConversion"/>
  </si>
  <si>
    <t>L11101247</t>
    <phoneticPr fontId="22" type="noConversion"/>
  </si>
  <si>
    <t>G-235</t>
    <phoneticPr fontId="22" type="noConversion"/>
  </si>
  <si>
    <t>1520272</t>
    <phoneticPr fontId="22" type="noConversion"/>
  </si>
  <si>
    <t>G-236</t>
    <phoneticPr fontId="22" type="noConversion"/>
  </si>
  <si>
    <t>1520203</t>
    <phoneticPr fontId="22" type="noConversion"/>
  </si>
  <si>
    <t>G-237</t>
    <phoneticPr fontId="22" type="noConversion"/>
  </si>
  <si>
    <t>1520274</t>
    <phoneticPr fontId="22" type="noConversion"/>
  </si>
  <si>
    <t>G-238</t>
    <phoneticPr fontId="22" type="noConversion"/>
  </si>
  <si>
    <t>17190974</t>
    <phoneticPr fontId="22" type="noConversion"/>
  </si>
  <si>
    <t>G-240</t>
    <phoneticPr fontId="22" type="noConversion"/>
  </si>
  <si>
    <t>0917112572</t>
    <phoneticPr fontId="22" type="noConversion"/>
  </si>
  <si>
    <t>(2.5~5.0)N.m</t>
    <phoneticPr fontId="22" type="noConversion"/>
  </si>
  <si>
    <t>CDI TORQUE</t>
    <phoneticPr fontId="22" type="noConversion"/>
  </si>
  <si>
    <t>G-241</t>
    <phoneticPr fontId="22" type="noConversion"/>
  </si>
  <si>
    <t>(2.5~8.6)N.m</t>
    <phoneticPr fontId="22" type="noConversion"/>
  </si>
  <si>
    <t>G-246</t>
    <phoneticPr fontId="22" type="noConversion"/>
  </si>
  <si>
    <t>B17099767</t>
    <phoneticPr fontId="22" type="noConversion"/>
  </si>
  <si>
    <t>G-247</t>
    <phoneticPr fontId="22" type="noConversion"/>
  </si>
  <si>
    <t>B17099768</t>
    <phoneticPr fontId="22" type="noConversion"/>
  </si>
  <si>
    <t>1150756</t>
    <phoneticPr fontId="22" type="noConversion"/>
  </si>
  <si>
    <t>(10~50)N.m</t>
    <phoneticPr fontId="22" type="noConversion"/>
  </si>
  <si>
    <t>Sturtvant Richmont</t>
    <phoneticPr fontId="22" type="noConversion"/>
  </si>
  <si>
    <t>G-279</t>
    <phoneticPr fontId="22" type="noConversion"/>
  </si>
  <si>
    <t>조립</t>
    <phoneticPr fontId="22" type="noConversion"/>
  </si>
  <si>
    <t>NO.230#1</t>
    <phoneticPr fontId="22" type="noConversion"/>
  </si>
  <si>
    <t>틈새 게이지</t>
    <phoneticPr fontId="22" type="noConversion"/>
  </si>
  <si>
    <t>(0.038~0.635)mm</t>
    <phoneticPr fontId="22" type="noConversion"/>
  </si>
  <si>
    <t>GENERAL</t>
    <phoneticPr fontId="22" type="noConversion"/>
  </si>
  <si>
    <t>1회 / 1년</t>
    <phoneticPr fontId="22" type="noConversion"/>
  </si>
  <si>
    <t>A330</t>
    <phoneticPr fontId="22" type="noConversion"/>
  </si>
  <si>
    <t>ST217D7-110-01</t>
    <phoneticPr fontId="22" type="noConversion"/>
  </si>
  <si>
    <t>B777 조립현장</t>
    <phoneticPr fontId="22" type="noConversion"/>
  </si>
  <si>
    <t>ST217D7-110-12</t>
    <phoneticPr fontId="22" type="noConversion"/>
  </si>
  <si>
    <t>ST217D7-110-02</t>
    <phoneticPr fontId="22" type="noConversion"/>
  </si>
  <si>
    <t>ST217D7-110-39</t>
    <phoneticPr fontId="22" type="noConversion"/>
  </si>
  <si>
    <t>ST217D7-110-40</t>
    <phoneticPr fontId="22" type="noConversion"/>
  </si>
  <si>
    <t>ST217D7-110-05</t>
    <phoneticPr fontId="22" type="noConversion"/>
  </si>
  <si>
    <t>G-024</t>
    <phoneticPr fontId="22" type="noConversion"/>
  </si>
  <si>
    <t>49480</t>
    <phoneticPr fontId="22" type="noConversion"/>
  </si>
  <si>
    <t>CHAMPER GAGE</t>
    <phoneticPr fontId="22" type="noConversion"/>
  </si>
  <si>
    <t>SET TO 0.0150"</t>
    <phoneticPr fontId="22" type="noConversion"/>
  </si>
  <si>
    <t>BARCOR</t>
    <phoneticPr fontId="22" type="noConversion"/>
  </si>
  <si>
    <t>ST217D7-110-41</t>
    <phoneticPr fontId="22" type="noConversion"/>
  </si>
  <si>
    <t>갭 게이지(OM2-1522HST-B)</t>
    <phoneticPr fontId="22" type="noConversion"/>
  </si>
  <si>
    <t>5/32~3/8</t>
    <phoneticPr fontId="22" type="noConversion"/>
  </si>
  <si>
    <t>Hi-Lite</t>
    <phoneticPr fontId="22" type="noConversion"/>
  </si>
  <si>
    <t>조립</t>
    <phoneticPr fontId="22" type="noConversion"/>
  </si>
  <si>
    <t>갭 게이지(OM2-1522HST-B)</t>
    <phoneticPr fontId="22" type="noConversion"/>
  </si>
  <si>
    <t>5/32~3/8</t>
    <phoneticPr fontId="22" type="noConversion"/>
  </si>
  <si>
    <t>Hi-Lite</t>
    <phoneticPr fontId="22" type="noConversion"/>
  </si>
  <si>
    <t>1회 / 1년</t>
    <phoneticPr fontId="22" type="noConversion"/>
  </si>
  <si>
    <t>787AB</t>
    <phoneticPr fontId="22" type="noConversion"/>
  </si>
  <si>
    <t>갭 게이지(OM2-1522-B)</t>
    <phoneticPr fontId="22" type="noConversion"/>
  </si>
  <si>
    <t>Hi-Lok</t>
    <phoneticPr fontId="22" type="noConversion"/>
  </si>
  <si>
    <t>B777 조립현장</t>
    <phoneticPr fontId="22" type="noConversion"/>
  </si>
  <si>
    <t>G-055</t>
    <phoneticPr fontId="22" type="noConversion"/>
  </si>
  <si>
    <t>L11101213</t>
    <phoneticPr fontId="22" type="noConversion"/>
  </si>
  <si>
    <t>VAN KEUREN</t>
    <phoneticPr fontId="22" type="noConversion"/>
  </si>
  <si>
    <t>G-058</t>
    <phoneticPr fontId="22" type="noConversion"/>
  </si>
  <si>
    <t>L11101216</t>
    <phoneticPr fontId="22" type="noConversion"/>
  </si>
  <si>
    <t>737</t>
    <phoneticPr fontId="22" type="noConversion"/>
  </si>
  <si>
    <t>조립</t>
    <phoneticPr fontId="22" type="noConversion"/>
  </si>
  <si>
    <t>VAN KEUREN</t>
    <phoneticPr fontId="22" type="noConversion"/>
  </si>
  <si>
    <t>1회 / 1년</t>
    <phoneticPr fontId="22" type="noConversion"/>
  </si>
  <si>
    <t>FB-325A-3</t>
    <phoneticPr fontId="22" type="noConversion"/>
  </si>
  <si>
    <t>틈새 게이지</t>
    <phoneticPr fontId="22" type="noConversion"/>
  </si>
  <si>
    <t>(0.038~0.635)mm</t>
    <phoneticPr fontId="22" type="noConversion"/>
  </si>
  <si>
    <t>Blue point</t>
    <phoneticPr fontId="22" type="noConversion"/>
  </si>
  <si>
    <t>777WBE</t>
    <phoneticPr fontId="22" type="noConversion"/>
  </si>
  <si>
    <t>갭 게이지(OM2-1522HST-B)</t>
    <phoneticPr fontId="22" type="noConversion"/>
  </si>
  <si>
    <t>5/32~3/8</t>
    <phoneticPr fontId="22" type="noConversion"/>
  </si>
  <si>
    <t>Hi-Lite</t>
    <phoneticPr fontId="22" type="noConversion"/>
  </si>
  <si>
    <t>B777 조립현장</t>
    <phoneticPr fontId="22" type="noConversion"/>
  </si>
  <si>
    <t>갭 게이지(OM2-1522-B)</t>
    <phoneticPr fontId="22" type="noConversion"/>
  </si>
  <si>
    <t>Hi-Lok</t>
    <phoneticPr fontId="22" type="noConversion"/>
  </si>
  <si>
    <t>#1</t>
    <phoneticPr fontId="22" type="noConversion"/>
  </si>
  <si>
    <t>(4.813~4.864)mm</t>
    <phoneticPr fontId="22" type="noConversion"/>
  </si>
  <si>
    <t>(6.248~6.299)mm</t>
    <phoneticPr fontId="22" type="noConversion"/>
  </si>
  <si>
    <t>(6.337~6.388)mm</t>
    <phoneticPr fontId="22" type="noConversion"/>
  </si>
  <si>
    <t>(6.426~6.579)mm</t>
    <phoneticPr fontId="22" type="noConversion"/>
  </si>
  <si>
    <t>(7.925~7.976)mm</t>
    <phoneticPr fontId="22" type="noConversion"/>
  </si>
  <si>
    <t>(11.100~11.151)mm</t>
    <phoneticPr fontId="22" type="noConversion"/>
  </si>
  <si>
    <t>NDT-P-01</t>
    <phoneticPr fontId="22" type="noConversion"/>
  </si>
  <si>
    <t>787 AB</t>
    <phoneticPr fontId="22" type="noConversion"/>
  </si>
  <si>
    <t>G-150</t>
    <phoneticPr fontId="22" type="noConversion"/>
  </si>
  <si>
    <t>ST217D7-110-243-2</t>
    <phoneticPr fontId="22" type="noConversion"/>
  </si>
  <si>
    <t>4.366mm/4.442mm</t>
    <phoneticPr fontId="22" type="noConversion"/>
  </si>
  <si>
    <t>A330</t>
    <phoneticPr fontId="22" type="noConversion"/>
  </si>
  <si>
    <t>G-103</t>
    <phoneticPr fontId="22" type="noConversion"/>
  </si>
  <si>
    <t>L11101226</t>
    <phoneticPr fontId="22" type="noConversion"/>
  </si>
  <si>
    <t>GO 0.1920"/NOGO 0.1960"</t>
    <phoneticPr fontId="22" type="noConversion"/>
  </si>
  <si>
    <t>태성텍크</t>
    <phoneticPr fontId="22" type="noConversion"/>
  </si>
  <si>
    <t>737</t>
    <phoneticPr fontId="22" type="noConversion"/>
  </si>
  <si>
    <t>L11101227</t>
    <phoneticPr fontId="22" type="noConversion"/>
  </si>
  <si>
    <t>L11101228</t>
    <phoneticPr fontId="22" type="noConversion"/>
  </si>
  <si>
    <t>GO 0.1900"/NOGO 0.1990"</t>
    <phoneticPr fontId="22" type="noConversion"/>
  </si>
  <si>
    <t>L11101230</t>
    <phoneticPr fontId="22" type="noConversion"/>
  </si>
  <si>
    <t>GO 0.1900"/NOGO 0.1940"</t>
    <phoneticPr fontId="22" type="noConversion"/>
  </si>
  <si>
    <t>L11101231</t>
    <phoneticPr fontId="22" type="noConversion"/>
  </si>
  <si>
    <t>L11101232</t>
    <phoneticPr fontId="22" type="noConversion"/>
  </si>
  <si>
    <t>GO 0.1910"/NOGO 0.2020"</t>
    <phoneticPr fontId="22" type="noConversion"/>
  </si>
  <si>
    <t>L11101233</t>
    <phoneticPr fontId="22" type="noConversion"/>
  </si>
  <si>
    <t>압력 게이지</t>
    <phoneticPr fontId="22" type="noConversion"/>
  </si>
  <si>
    <t>100 Mpa 이하</t>
    <phoneticPr fontId="22" type="noConversion"/>
  </si>
  <si>
    <t>B737 OVEN</t>
    <phoneticPr fontId="22" type="noConversion"/>
  </si>
  <si>
    <t>G-127</t>
    <phoneticPr fontId="22" type="noConversion"/>
  </si>
  <si>
    <t>Y150115606</t>
    <phoneticPr fontId="22" type="noConversion"/>
  </si>
  <si>
    <t>HISCO</t>
    <phoneticPr fontId="22" type="noConversion"/>
  </si>
  <si>
    <t>PAINT</t>
    <phoneticPr fontId="22" type="noConversion"/>
  </si>
  <si>
    <t>G-128</t>
    <phoneticPr fontId="22" type="noConversion"/>
  </si>
  <si>
    <t>Y150115421</t>
    <phoneticPr fontId="22" type="noConversion"/>
  </si>
  <si>
    <t>G-129</t>
    <phoneticPr fontId="22" type="noConversion"/>
  </si>
  <si>
    <t>Y150115723</t>
    <phoneticPr fontId="22" type="noConversion"/>
  </si>
  <si>
    <t>S251501</t>
    <phoneticPr fontId="22" type="noConversion"/>
  </si>
  <si>
    <t>잔컵 점도계</t>
    <phoneticPr fontId="22" type="noConversion"/>
  </si>
  <si>
    <t>N/A</t>
    <phoneticPr fontId="28" type="noConversion"/>
  </si>
  <si>
    <t>SOI TEC</t>
    <phoneticPr fontId="22" type="noConversion"/>
  </si>
  <si>
    <t>G-130</t>
    <phoneticPr fontId="22" type="noConversion"/>
  </si>
  <si>
    <t>S252020</t>
    <phoneticPr fontId="22" type="noConversion"/>
  </si>
  <si>
    <t>G-131</t>
    <phoneticPr fontId="22" type="noConversion"/>
  </si>
  <si>
    <t>Y150115630</t>
    <phoneticPr fontId="22" type="noConversion"/>
  </si>
  <si>
    <t>L11101242</t>
    <phoneticPr fontId="22" type="noConversion"/>
  </si>
  <si>
    <t>(4.851~5.131)mm</t>
    <phoneticPr fontId="22" type="noConversion"/>
  </si>
  <si>
    <t>-</t>
    <phoneticPr fontId="22" type="noConversion"/>
  </si>
  <si>
    <t>G-132</t>
    <phoneticPr fontId="22" type="noConversion"/>
  </si>
  <si>
    <t>302872</t>
    <phoneticPr fontId="22" type="noConversion"/>
  </si>
  <si>
    <t>PUSH-PULL 게이지</t>
    <phoneticPr fontId="22" type="noConversion"/>
  </si>
  <si>
    <t>20kgf 이하</t>
    <phoneticPr fontId="22" type="noConversion"/>
  </si>
  <si>
    <t>OPTECH</t>
    <phoneticPr fontId="22" type="noConversion"/>
  </si>
  <si>
    <t>L11101243</t>
    <phoneticPr fontId="22" type="noConversion"/>
  </si>
  <si>
    <t>G-133</t>
    <phoneticPr fontId="22" type="noConversion"/>
  </si>
  <si>
    <t>302874</t>
    <phoneticPr fontId="22" type="noConversion"/>
  </si>
  <si>
    <t>L11101244</t>
    <phoneticPr fontId="22" type="noConversion"/>
  </si>
  <si>
    <t>(6.350~6.452)mm</t>
    <phoneticPr fontId="22" type="noConversion"/>
  </si>
  <si>
    <t>G-153</t>
    <phoneticPr fontId="22" type="noConversion"/>
  </si>
  <si>
    <t>ST217D7-110-28-1</t>
    <phoneticPr fontId="22" type="noConversion"/>
  </si>
  <si>
    <t>4.815mm/4.863mm</t>
    <phoneticPr fontId="22" type="noConversion"/>
  </si>
  <si>
    <t>G-134</t>
    <phoneticPr fontId="22" type="noConversion"/>
  </si>
  <si>
    <t>L11101245</t>
    <phoneticPr fontId="22" type="noConversion"/>
  </si>
  <si>
    <t>G-154</t>
    <phoneticPr fontId="22" type="noConversion"/>
  </si>
  <si>
    <t>ST217D7-110-28-2</t>
    <phoneticPr fontId="22" type="noConversion"/>
  </si>
  <si>
    <t>G-155</t>
    <phoneticPr fontId="22" type="noConversion"/>
  </si>
  <si>
    <t>ST217D7-110-108-1</t>
    <phoneticPr fontId="22" type="noConversion"/>
  </si>
  <si>
    <t>4.850mm/4.950mm</t>
    <phoneticPr fontId="22" type="noConversion"/>
  </si>
  <si>
    <t>G-156</t>
    <phoneticPr fontId="22" type="noConversion"/>
  </si>
  <si>
    <t>ST217D7-110-108-2</t>
    <phoneticPr fontId="22" type="noConversion"/>
  </si>
  <si>
    <t>G-157</t>
    <phoneticPr fontId="22" type="noConversion"/>
  </si>
  <si>
    <t>ST217D7-110-246-1</t>
    <phoneticPr fontId="22" type="noConversion"/>
  </si>
  <si>
    <t>5.055mm/5.131mm</t>
    <phoneticPr fontId="22" type="noConversion"/>
  </si>
  <si>
    <t>G-158</t>
    <phoneticPr fontId="22" type="noConversion"/>
  </si>
  <si>
    <t>ST217D7-110-246-2</t>
    <phoneticPr fontId="22" type="noConversion"/>
  </si>
  <si>
    <t>230</t>
    <phoneticPr fontId="22" type="noConversion"/>
  </si>
  <si>
    <t>외측 마이크로미터</t>
    <phoneticPr fontId="22" type="noConversion"/>
  </si>
  <si>
    <t>(0~25.4)mm/0.002mm</t>
    <phoneticPr fontId="22" type="noConversion"/>
  </si>
  <si>
    <t>Starrett</t>
    <phoneticPr fontId="22" type="noConversion"/>
  </si>
  <si>
    <t>B-021</t>
    <phoneticPr fontId="22" type="noConversion"/>
  </si>
  <si>
    <t>63077831</t>
    <phoneticPr fontId="22" type="noConversion"/>
  </si>
  <si>
    <t>511734</t>
    <phoneticPr fontId="22" type="noConversion"/>
  </si>
  <si>
    <t>3점 마이크로미터</t>
    <phoneticPr fontId="22" type="noConversion"/>
  </si>
  <si>
    <t>(10~12)mm/0.001mm</t>
    <phoneticPr fontId="22" type="noConversion"/>
  </si>
  <si>
    <t>MITUTOYO</t>
    <phoneticPr fontId="22" type="noConversion"/>
  </si>
  <si>
    <t>G-135</t>
    <phoneticPr fontId="22" type="noConversion"/>
  </si>
  <si>
    <t>511650</t>
    <phoneticPr fontId="22" type="noConversion"/>
  </si>
  <si>
    <t>(8~10)mm/0.001mm</t>
    <phoneticPr fontId="22" type="noConversion"/>
  </si>
  <si>
    <t>G-136</t>
    <phoneticPr fontId="22" type="noConversion"/>
  </si>
  <si>
    <t>511744</t>
    <phoneticPr fontId="22" type="noConversion"/>
  </si>
  <si>
    <t>(6~8)mm/0.001mm</t>
    <phoneticPr fontId="22" type="noConversion"/>
  </si>
  <si>
    <t>G-159</t>
    <phoneticPr fontId="22" type="noConversion"/>
  </si>
  <si>
    <t>ST217D7-110-171-1</t>
    <phoneticPr fontId="22" type="noConversion"/>
  </si>
  <si>
    <t>6.339mm/6.379mm</t>
    <phoneticPr fontId="22" type="noConversion"/>
  </si>
  <si>
    <t>G-160</t>
    <phoneticPr fontId="22" type="noConversion"/>
  </si>
  <si>
    <t>ST217D7-110-171-2</t>
    <phoneticPr fontId="22" type="noConversion"/>
  </si>
  <si>
    <t>G-161</t>
    <phoneticPr fontId="22" type="noConversion"/>
  </si>
  <si>
    <t>ST217D7-110-106-1</t>
    <phoneticPr fontId="22" type="noConversion"/>
  </si>
  <si>
    <t>6.604mm/6.680mm</t>
    <phoneticPr fontId="22" type="noConversion"/>
  </si>
  <si>
    <t>G-162</t>
    <phoneticPr fontId="22" type="noConversion"/>
  </si>
  <si>
    <t>ST217D7-110-106-2</t>
    <phoneticPr fontId="22" type="noConversion"/>
  </si>
  <si>
    <t>G-163</t>
    <phoneticPr fontId="22" type="noConversion"/>
  </si>
  <si>
    <t>ST217D7-110-107-1</t>
    <phoneticPr fontId="22" type="noConversion"/>
  </si>
  <si>
    <t>7.925mm/8.001mm</t>
    <phoneticPr fontId="22" type="noConversion"/>
  </si>
  <si>
    <t>G-164</t>
    <phoneticPr fontId="22" type="noConversion"/>
  </si>
  <si>
    <t>ST217D7-110-107-2</t>
    <phoneticPr fontId="22" type="noConversion"/>
  </si>
  <si>
    <t>G-165</t>
    <phoneticPr fontId="22" type="noConversion"/>
  </si>
  <si>
    <t>ST217D7-110-57-1</t>
    <phoneticPr fontId="22" type="noConversion"/>
  </si>
  <si>
    <t>7.927mm/7.964mm</t>
    <phoneticPr fontId="22" type="noConversion"/>
  </si>
  <si>
    <t>G-166</t>
    <phoneticPr fontId="22" type="noConversion"/>
  </si>
  <si>
    <t>ST217D7-110-57-2</t>
    <phoneticPr fontId="22" type="noConversion"/>
  </si>
  <si>
    <t>G-167</t>
    <phoneticPr fontId="22" type="noConversion"/>
  </si>
  <si>
    <t>ST217D7-110-175-1</t>
    <phoneticPr fontId="22" type="noConversion"/>
  </si>
  <si>
    <t>9.514mm/9.552mm</t>
    <phoneticPr fontId="22" type="noConversion"/>
  </si>
  <si>
    <t>G-168</t>
    <phoneticPr fontId="22" type="noConversion"/>
  </si>
  <si>
    <t>ST217D7-110-175-2</t>
    <phoneticPr fontId="22" type="noConversion"/>
  </si>
  <si>
    <t>G-169</t>
    <phoneticPr fontId="22" type="noConversion"/>
  </si>
  <si>
    <t>ST217D7-110-247-1</t>
    <phoneticPr fontId="22" type="noConversion"/>
  </si>
  <si>
    <t>9.514mm/9.554mm</t>
    <phoneticPr fontId="22" type="noConversion"/>
  </si>
  <si>
    <t>G-170</t>
    <phoneticPr fontId="22" type="noConversion"/>
  </si>
  <si>
    <t>ST217D7-110-247-2</t>
    <phoneticPr fontId="22" type="noConversion"/>
  </si>
  <si>
    <t>32pcs기준</t>
    <phoneticPr fontId="22" type="noConversion"/>
  </si>
  <si>
    <t>G-171</t>
    <phoneticPr fontId="22" type="noConversion"/>
  </si>
  <si>
    <t>ST217D7-110-159-1</t>
    <phoneticPr fontId="22" type="noConversion"/>
  </si>
  <si>
    <t>9.514mm/9.565mm</t>
    <phoneticPr fontId="22" type="noConversion"/>
  </si>
  <si>
    <t>G-204</t>
    <phoneticPr fontId="22" type="noConversion"/>
  </si>
  <si>
    <t>11.684 mm</t>
    <phoneticPr fontId="22" type="noConversion"/>
  </si>
  <si>
    <t>TRULOK</t>
    <phoneticPr fontId="22" type="noConversion"/>
  </si>
  <si>
    <t>G-205</t>
    <phoneticPr fontId="22" type="noConversion"/>
  </si>
  <si>
    <t>G-206</t>
    <phoneticPr fontId="22" type="noConversion"/>
  </si>
  <si>
    <t>16.674 mm</t>
    <phoneticPr fontId="22" type="noConversion"/>
  </si>
  <si>
    <t>G-242</t>
    <phoneticPr fontId="22" type="noConversion"/>
  </si>
  <si>
    <t>No.270-4</t>
    <phoneticPr fontId="22" type="noConversion"/>
  </si>
  <si>
    <t>(0.3~4)mm</t>
    <phoneticPr fontId="22" type="noConversion"/>
  </si>
  <si>
    <t>G-243</t>
    <phoneticPr fontId="22" type="noConversion"/>
  </si>
  <si>
    <t>No.270-5</t>
    <phoneticPr fontId="22" type="noConversion"/>
  </si>
  <si>
    <t>조립</t>
    <phoneticPr fontId="22" type="noConversion"/>
  </si>
  <si>
    <t>틈새 게이지</t>
    <phoneticPr fontId="22" type="noConversion"/>
  </si>
  <si>
    <t>(0.038~0.635)mm</t>
    <phoneticPr fontId="22" type="noConversion"/>
  </si>
  <si>
    <t>1회 / 1년</t>
    <phoneticPr fontId="22" type="noConversion"/>
  </si>
  <si>
    <t>A330</t>
    <phoneticPr fontId="22" type="noConversion"/>
  </si>
  <si>
    <t>G-208</t>
    <phoneticPr fontId="22" type="noConversion"/>
  </si>
  <si>
    <t>15237736</t>
    <phoneticPr fontId="22" type="noConversion"/>
  </si>
  <si>
    <t>0~25.4/0.01mm</t>
    <phoneticPr fontId="22" type="noConversion"/>
  </si>
  <si>
    <t>Mitutoyo</t>
    <phoneticPr fontId="23" type="noConversion"/>
  </si>
  <si>
    <t>B-024</t>
    <phoneticPr fontId="22" type="noConversion"/>
  </si>
  <si>
    <t>41678</t>
    <phoneticPr fontId="22" type="noConversion"/>
  </si>
  <si>
    <t>듀로미터 경도시험기</t>
    <phoneticPr fontId="22" type="noConversion"/>
  </si>
  <si>
    <t>A-type</t>
    <phoneticPr fontId="22" type="noConversion"/>
  </si>
  <si>
    <t>PTC</t>
    <phoneticPr fontId="22" type="noConversion"/>
  </si>
  <si>
    <t>B-025</t>
    <phoneticPr fontId="22" type="noConversion"/>
  </si>
  <si>
    <t>18193</t>
    <phoneticPr fontId="22" type="noConversion"/>
  </si>
  <si>
    <t>D-type</t>
    <phoneticPr fontId="22" type="noConversion"/>
  </si>
  <si>
    <t>G-207</t>
    <phoneticPr fontId="22" type="noConversion"/>
  </si>
  <si>
    <t>1519974</t>
    <phoneticPr fontId="22" type="noConversion"/>
  </si>
  <si>
    <t>NSⅡ-Q</t>
    <phoneticPr fontId="22" type="noConversion"/>
  </si>
  <si>
    <t>SATO</t>
    <phoneticPr fontId="22" type="noConversion"/>
  </si>
  <si>
    <t>G-209</t>
    <phoneticPr fontId="22" type="noConversion"/>
  </si>
  <si>
    <t>깊이게이지(DIAL)</t>
    <phoneticPr fontId="22" type="noConversion"/>
  </si>
  <si>
    <t>0~10mm/0.01mm</t>
    <phoneticPr fontId="22" type="noConversion"/>
  </si>
  <si>
    <t>G-211</t>
    <phoneticPr fontId="22" type="noConversion"/>
  </si>
  <si>
    <t>FB-325A-1</t>
    <phoneticPr fontId="22" type="noConversion"/>
  </si>
  <si>
    <t>Blue point</t>
    <phoneticPr fontId="22" type="noConversion"/>
  </si>
  <si>
    <t>G-212</t>
    <phoneticPr fontId="22" type="noConversion"/>
  </si>
  <si>
    <t>FB-325A-2</t>
    <phoneticPr fontId="22" type="noConversion"/>
  </si>
  <si>
    <t>G-184</t>
    <phoneticPr fontId="22" type="noConversion"/>
  </si>
  <si>
    <t>ST216D7-215-10-2</t>
    <phoneticPr fontId="22" type="noConversion"/>
  </si>
  <si>
    <t>갭 게이지</t>
    <phoneticPr fontId="22" type="noConversion"/>
  </si>
  <si>
    <t>8.10mm/9.47mm</t>
    <phoneticPr fontId="22" type="noConversion"/>
  </si>
  <si>
    <t>CCMD00078</t>
    <phoneticPr fontId="22" type="noConversion"/>
  </si>
  <si>
    <t>150kg</t>
    <phoneticPr fontId="22" type="noConversion"/>
  </si>
  <si>
    <t>G-253</t>
    <phoneticPr fontId="22" type="noConversion"/>
  </si>
  <si>
    <t>1150767</t>
    <phoneticPr fontId="22" type="noConversion"/>
  </si>
  <si>
    <t>(10~50)N.m</t>
    <phoneticPr fontId="22" type="noConversion"/>
  </si>
  <si>
    <t>STURTEVANT</t>
    <phoneticPr fontId="22" type="noConversion"/>
  </si>
  <si>
    <t>1회 / 6개월</t>
    <phoneticPr fontId="22" type="noConversion"/>
  </si>
  <si>
    <t>갭 게이지</t>
    <phoneticPr fontId="22" type="noConversion"/>
  </si>
  <si>
    <t>G-255</t>
    <phoneticPr fontId="22" type="noConversion"/>
  </si>
  <si>
    <t>0917112561</t>
    <phoneticPr fontId="22" type="noConversion"/>
  </si>
  <si>
    <t>(2.5~5.0)N.m</t>
    <phoneticPr fontId="22" type="noConversion"/>
  </si>
  <si>
    <t>CDI TORQUE</t>
    <phoneticPr fontId="22" type="noConversion"/>
  </si>
  <si>
    <t>G-256</t>
    <phoneticPr fontId="22" type="noConversion"/>
  </si>
  <si>
    <t>ST217D7-110-176</t>
    <phoneticPr fontId="22" type="noConversion"/>
  </si>
  <si>
    <t>G-257</t>
    <phoneticPr fontId="22" type="noConversion"/>
  </si>
  <si>
    <t>ST217D7-110-178</t>
    <phoneticPr fontId="22" type="noConversion"/>
  </si>
  <si>
    <t>3.250mm/3.350mm</t>
    <phoneticPr fontId="22" type="noConversion"/>
  </si>
  <si>
    <t>G-258</t>
    <phoneticPr fontId="22" type="noConversion"/>
  </si>
  <si>
    <t>ST217D7-110-155</t>
    <phoneticPr fontId="22" type="noConversion"/>
  </si>
  <si>
    <t>4.166mm/4.242mm</t>
    <phoneticPr fontId="22" type="noConversion"/>
  </si>
  <si>
    <t>G-259</t>
    <phoneticPr fontId="22" type="noConversion"/>
  </si>
  <si>
    <t>ST217D7-110-60</t>
    <phoneticPr fontId="22" type="noConversion"/>
  </si>
  <si>
    <t>4.815mm/4.845mm</t>
    <phoneticPr fontId="22" type="noConversion"/>
  </si>
  <si>
    <t>G-260</t>
    <phoneticPr fontId="22" type="noConversion"/>
  </si>
  <si>
    <t>ST217D7-110-160</t>
    <phoneticPr fontId="22" type="noConversion"/>
  </si>
  <si>
    <t>4.815mm/4.855mm</t>
    <phoneticPr fontId="22" type="noConversion"/>
  </si>
  <si>
    <t>G-261</t>
    <phoneticPr fontId="22" type="noConversion"/>
  </si>
  <si>
    <t>ST217D7-110-28</t>
    <phoneticPr fontId="22" type="noConversion"/>
  </si>
  <si>
    <t>4.815mm/4.863mm</t>
    <phoneticPr fontId="22" type="noConversion"/>
  </si>
  <si>
    <t>G-262</t>
    <phoneticPr fontId="22" type="noConversion"/>
  </si>
  <si>
    <t>ST217D7-110-108</t>
    <phoneticPr fontId="22" type="noConversion"/>
  </si>
  <si>
    <t>4.850mm/4.950mm</t>
    <phoneticPr fontId="22" type="noConversion"/>
  </si>
  <si>
    <t>G-263</t>
    <phoneticPr fontId="22" type="noConversion"/>
  </si>
  <si>
    <t>ST217D7-110-246</t>
    <phoneticPr fontId="22" type="noConversion"/>
  </si>
  <si>
    <t>5.055mm/5.131mm</t>
    <phoneticPr fontId="22" type="noConversion"/>
  </si>
  <si>
    <t>G-264</t>
    <phoneticPr fontId="22" type="noConversion"/>
  </si>
  <si>
    <t>ST217D7-110-109</t>
    <phoneticPr fontId="22" type="noConversion"/>
  </si>
  <si>
    <t>5.600mm/5.700mm</t>
    <phoneticPr fontId="22" type="noConversion"/>
  </si>
  <si>
    <t>G-265</t>
    <phoneticPr fontId="22" type="noConversion"/>
  </si>
  <si>
    <t>ST217D7-110-106</t>
    <phoneticPr fontId="22" type="noConversion"/>
  </si>
  <si>
    <t>6.604mm/6.680mm</t>
    <phoneticPr fontId="22" type="noConversion"/>
  </si>
  <si>
    <t>G-266</t>
    <phoneticPr fontId="22" type="noConversion"/>
  </si>
  <si>
    <t>ST217D7-110-57</t>
    <phoneticPr fontId="22" type="noConversion"/>
  </si>
  <si>
    <t>7.927mm/7.964mm</t>
    <phoneticPr fontId="22" type="noConversion"/>
  </si>
  <si>
    <t>G-267</t>
    <phoneticPr fontId="22" type="noConversion"/>
  </si>
  <si>
    <t>ST217D7-110-107</t>
    <phoneticPr fontId="22" type="noConversion"/>
  </si>
  <si>
    <t>7.925mm/8.001mm</t>
    <phoneticPr fontId="22" type="noConversion"/>
  </si>
  <si>
    <t>G-268</t>
    <phoneticPr fontId="22" type="noConversion"/>
  </si>
  <si>
    <t>ST217D7-110-175</t>
    <phoneticPr fontId="22" type="noConversion"/>
  </si>
  <si>
    <t>9.514mm/9.552mm</t>
    <phoneticPr fontId="22" type="noConversion"/>
  </si>
  <si>
    <t>G-269</t>
    <phoneticPr fontId="22" type="noConversion"/>
  </si>
  <si>
    <t>ST217D7-110-159</t>
    <phoneticPr fontId="22" type="noConversion"/>
  </si>
  <si>
    <t>9.514mm/9.565mm</t>
    <phoneticPr fontId="22" type="noConversion"/>
  </si>
  <si>
    <t>G-270</t>
    <phoneticPr fontId="22" type="noConversion"/>
  </si>
  <si>
    <t>FB-325A-7</t>
    <phoneticPr fontId="22" type="noConversion"/>
  </si>
  <si>
    <t>틈새 게이지</t>
    <phoneticPr fontId="22" type="noConversion"/>
  </si>
  <si>
    <t>(0.038~0.635)mm</t>
    <phoneticPr fontId="22" type="noConversion"/>
  </si>
  <si>
    <t>Blue Point</t>
    <phoneticPr fontId="22" type="noConversion"/>
  </si>
  <si>
    <t>G-271</t>
    <phoneticPr fontId="22" type="noConversion"/>
  </si>
  <si>
    <t>FB-325A-8</t>
    <phoneticPr fontId="22" type="noConversion"/>
  </si>
  <si>
    <t>G-272</t>
    <phoneticPr fontId="22" type="noConversion"/>
  </si>
  <si>
    <t>08070178</t>
    <phoneticPr fontId="22" type="noConversion"/>
  </si>
  <si>
    <t>(0~150)mm/0.01mm</t>
    <phoneticPr fontId="22" type="noConversion"/>
  </si>
  <si>
    <t>G-273</t>
    <phoneticPr fontId="22" type="noConversion"/>
  </si>
  <si>
    <t>ST216D7-214-6-3</t>
    <phoneticPr fontId="22" type="noConversion"/>
  </si>
  <si>
    <t>10.724mm/12.555mm</t>
    <phoneticPr fontId="22" type="noConversion"/>
  </si>
  <si>
    <t>G-274</t>
    <phoneticPr fontId="22" type="noConversion"/>
  </si>
  <si>
    <t>ST216D7-214-4-3</t>
    <phoneticPr fontId="22" type="noConversion"/>
  </si>
  <si>
    <t>8.184mm/9.995mm</t>
    <phoneticPr fontId="22" type="noConversion"/>
  </si>
  <si>
    <t>G-275</t>
    <phoneticPr fontId="22" type="noConversion"/>
  </si>
  <si>
    <t>ST216D7-214-4-4</t>
    <phoneticPr fontId="22" type="noConversion"/>
  </si>
  <si>
    <t>G-276</t>
    <phoneticPr fontId="22" type="noConversion"/>
  </si>
  <si>
    <t>ST216D7-214-3-3</t>
    <phoneticPr fontId="22" type="noConversion"/>
  </si>
  <si>
    <t>7.424mm/9.224mm</t>
    <phoneticPr fontId="22" type="noConversion"/>
  </si>
  <si>
    <t>G-277</t>
    <phoneticPr fontId="22" type="noConversion"/>
  </si>
  <si>
    <t>ST216D7-214-3-4</t>
    <phoneticPr fontId="22" type="noConversion"/>
  </si>
  <si>
    <t>G-278</t>
    <phoneticPr fontId="22" type="noConversion"/>
  </si>
  <si>
    <t>ST216D7-214-5-3</t>
    <phoneticPr fontId="22" type="noConversion"/>
  </si>
  <si>
    <t>9.704mm/11.533mm</t>
    <phoneticPr fontId="22" type="noConversion"/>
  </si>
  <si>
    <t>A330 BUSH ROOM</t>
    <phoneticPr fontId="22" type="noConversion"/>
  </si>
  <si>
    <t>A-102</t>
    <phoneticPr fontId="22" type="noConversion"/>
  </si>
  <si>
    <t>G-011</t>
    <phoneticPr fontId="22" type="noConversion"/>
  </si>
  <si>
    <t>조립</t>
    <phoneticPr fontId="22" type="noConversion"/>
  </si>
  <si>
    <t>23049</t>
    <phoneticPr fontId="22" type="noConversion"/>
  </si>
  <si>
    <t>HOLE GAGE SET</t>
    <phoneticPr fontId="22" type="noConversion"/>
  </si>
  <si>
    <t>HG604-SABT-3K(.2000,.2500,.30000")</t>
    <phoneticPr fontId="22" type="noConversion"/>
  </si>
  <si>
    <t>TRULOK</t>
    <phoneticPr fontId="22" type="noConversion"/>
  </si>
  <si>
    <t>A-180</t>
    <phoneticPr fontId="22" type="noConversion"/>
  </si>
  <si>
    <t>1520332</t>
    <phoneticPr fontId="22" type="noConversion"/>
  </si>
  <si>
    <t>NSⅡ-Q</t>
    <phoneticPr fontId="22" type="noConversion"/>
  </si>
  <si>
    <t>G-283</t>
    <phoneticPr fontId="22" type="noConversion"/>
  </si>
  <si>
    <t>777</t>
    <phoneticPr fontId="22" type="noConversion"/>
  </si>
  <si>
    <t>G-284</t>
    <phoneticPr fontId="22" type="noConversion"/>
  </si>
  <si>
    <t>G-285</t>
    <phoneticPr fontId="22" type="noConversion"/>
  </si>
  <si>
    <t>G-286</t>
    <phoneticPr fontId="22" type="noConversion"/>
  </si>
  <si>
    <t>G-287</t>
    <phoneticPr fontId="22" type="noConversion"/>
  </si>
  <si>
    <t>G-288</t>
    <phoneticPr fontId="22" type="noConversion"/>
  </si>
  <si>
    <t>G-289</t>
    <phoneticPr fontId="22" type="noConversion"/>
  </si>
  <si>
    <t>G-290</t>
    <phoneticPr fontId="22" type="noConversion"/>
  </si>
  <si>
    <t>G-291</t>
    <phoneticPr fontId="22" type="noConversion"/>
  </si>
  <si>
    <t>G-292</t>
    <phoneticPr fontId="22" type="noConversion"/>
  </si>
  <si>
    <t>G-294</t>
    <phoneticPr fontId="22" type="noConversion"/>
  </si>
  <si>
    <t>G-293</t>
    <phoneticPr fontId="22" type="noConversion"/>
  </si>
  <si>
    <t>G-295</t>
    <phoneticPr fontId="22" type="noConversion"/>
  </si>
  <si>
    <t>G-296</t>
    <phoneticPr fontId="22" type="noConversion"/>
  </si>
  <si>
    <t>G-297</t>
    <phoneticPr fontId="22" type="noConversion"/>
  </si>
  <si>
    <t>G-298</t>
    <phoneticPr fontId="22" type="noConversion"/>
  </si>
  <si>
    <t>G-299</t>
    <phoneticPr fontId="22" type="noConversion"/>
  </si>
  <si>
    <t>G-300</t>
    <phoneticPr fontId="22" type="noConversion"/>
  </si>
  <si>
    <t>G-301</t>
    <phoneticPr fontId="22" type="noConversion"/>
  </si>
  <si>
    <t>NDT-P-25</t>
    <phoneticPr fontId="22" type="noConversion"/>
  </si>
  <si>
    <t>.1900/.1940 inch</t>
    <phoneticPr fontId="22" type="noConversion"/>
  </si>
  <si>
    <t>NDT-P-26</t>
    <phoneticPr fontId="22" type="noConversion"/>
  </si>
  <si>
    <t>NDT-P-27</t>
    <phoneticPr fontId="22" type="noConversion"/>
  </si>
  <si>
    <t>NDT-P-28</t>
    <phoneticPr fontId="22" type="noConversion"/>
  </si>
  <si>
    <t>NDT-P-29</t>
    <phoneticPr fontId="22" type="noConversion"/>
  </si>
  <si>
    <t>.1900/.1990 inch</t>
    <phoneticPr fontId="22" type="noConversion"/>
  </si>
  <si>
    <t>.1910/.1960 inch</t>
    <phoneticPr fontId="22" type="noConversion"/>
  </si>
  <si>
    <t>NDT-P-30</t>
    <phoneticPr fontId="22" type="noConversion"/>
  </si>
  <si>
    <t>.1910/.2020 inch</t>
    <phoneticPr fontId="22" type="noConversion"/>
  </si>
  <si>
    <t>.1920/.1960 inch</t>
    <phoneticPr fontId="22" type="noConversion"/>
  </si>
  <si>
    <t>NDT-P-11</t>
    <phoneticPr fontId="22" type="noConversion"/>
  </si>
  <si>
    <t>NDT-P-12</t>
    <phoneticPr fontId="22" type="noConversion"/>
  </si>
  <si>
    <t>NDT-P-14</t>
    <phoneticPr fontId="22" type="noConversion"/>
  </si>
  <si>
    <t>NDT-P-16</t>
    <phoneticPr fontId="22" type="noConversion"/>
  </si>
  <si>
    <t>.0980/.1030 inch</t>
    <phoneticPr fontId="22" type="noConversion"/>
  </si>
  <si>
    <t>.1215/.1355 inch</t>
    <phoneticPr fontId="22" type="noConversion"/>
  </si>
  <si>
    <t>.1260/.1300 inch</t>
    <phoneticPr fontId="22" type="noConversion"/>
  </si>
  <si>
    <t>.1610/.1640 inch</t>
    <phoneticPr fontId="22" type="noConversion"/>
  </si>
  <si>
    <t>NDT-P-17</t>
    <phoneticPr fontId="22" type="noConversion"/>
  </si>
  <si>
    <t>NDT-P-20</t>
    <phoneticPr fontId="22" type="noConversion"/>
  </si>
  <si>
    <t>.1640/.1680 inch</t>
    <phoneticPr fontId="22" type="noConversion"/>
  </si>
  <si>
    <t>.1645/.1665 inch</t>
    <phoneticPr fontId="22" type="noConversion"/>
  </si>
  <si>
    <t>B17072501</t>
    <phoneticPr fontId="22" type="noConversion"/>
  </si>
  <si>
    <t>.1880/.1900 inch</t>
    <phoneticPr fontId="22" type="noConversion"/>
  </si>
  <si>
    <t>.1940/.2030 inch</t>
    <phoneticPr fontId="22" type="noConversion"/>
  </si>
  <si>
    <t>NDT-P-31</t>
    <phoneticPr fontId="22" type="noConversion"/>
  </si>
  <si>
    <t>.2180/.2280 inch</t>
    <phoneticPr fontId="22" type="noConversion"/>
  </si>
  <si>
    <t>.2500/.2540 inch</t>
    <phoneticPr fontId="22" type="noConversion"/>
  </si>
  <si>
    <t>NDT-P-33</t>
    <phoneticPr fontId="22" type="noConversion"/>
  </si>
  <si>
    <t>NDT-P-34</t>
    <phoneticPr fontId="22" type="noConversion"/>
  </si>
  <si>
    <t>.2500/.2610 inch</t>
    <phoneticPr fontId="22" type="noConversion"/>
  </si>
  <si>
    <t>NDT-P-35</t>
    <phoneticPr fontId="22" type="noConversion"/>
  </si>
  <si>
    <t>NDT-P-38</t>
    <phoneticPr fontId="22" type="noConversion"/>
  </si>
  <si>
    <t>.3075/.3105 inch</t>
    <phoneticPr fontId="22" type="noConversion"/>
  </si>
  <si>
    <t>G-302</t>
    <phoneticPr fontId="22" type="noConversion"/>
  </si>
  <si>
    <t>NDT-P-39</t>
    <phoneticPr fontId="22" type="noConversion"/>
  </si>
  <si>
    <t>.3080/.3100 inch</t>
    <phoneticPr fontId="22" type="noConversion"/>
  </si>
  <si>
    <t>NDT-P-42</t>
    <phoneticPr fontId="22" type="noConversion"/>
  </si>
  <si>
    <t>.3130/3170 inch</t>
    <phoneticPr fontId="22" type="noConversion"/>
  </si>
  <si>
    <t>B18089766</t>
    <phoneticPr fontId="22" type="noConversion"/>
  </si>
  <si>
    <t>A-181</t>
    <phoneticPr fontId="22" type="noConversion"/>
  </si>
  <si>
    <t>A-182</t>
    <phoneticPr fontId="22" type="noConversion"/>
  </si>
  <si>
    <t>1520335</t>
    <phoneticPr fontId="22" type="noConversion"/>
  </si>
  <si>
    <t>1520273</t>
    <phoneticPr fontId="22" type="noConversion"/>
  </si>
  <si>
    <t>G-303</t>
    <phoneticPr fontId="22" type="noConversion"/>
  </si>
  <si>
    <t>L1101221</t>
    <phoneticPr fontId="22" type="noConversion"/>
  </si>
  <si>
    <t>.1590/.1650 inch</t>
    <phoneticPr fontId="22" type="noConversion"/>
  </si>
  <si>
    <t>조립 공통</t>
    <phoneticPr fontId="22" type="noConversion"/>
  </si>
  <si>
    <t>검사실</t>
    <phoneticPr fontId="22" type="noConversion"/>
  </si>
  <si>
    <t>G-304</t>
    <phoneticPr fontId="22" type="noConversion"/>
  </si>
  <si>
    <t>0,002/0,025inch</t>
    <phoneticPr fontId="22" type="noConversion"/>
  </si>
  <si>
    <t>G-306</t>
    <phoneticPr fontId="22" type="noConversion"/>
  </si>
  <si>
    <t>조립</t>
    <phoneticPr fontId="22" type="noConversion"/>
  </si>
  <si>
    <t>0817123470</t>
    <phoneticPr fontId="22" type="noConversion"/>
  </si>
  <si>
    <t>CDI</t>
    <phoneticPr fontId="22" type="noConversion"/>
  </si>
  <si>
    <t>A330</t>
    <phoneticPr fontId="22" type="noConversion"/>
  </si>
  <si>
    <t>NDTENG-R-01</t>
    <phoneticPr fontId="22" type="noConversion"/>
  </si>
  <si>
    <t>3축</t>
    <phoneticPr fontId="22" type="noConversion"/>
  </si>
  <si>
    <t>NDTENG-R-02</t>
    <phoneticPr fontId="22" type="noConversion"/>
  </si>
  <si>
    <t>A-002</t>
    <phoneticPr fontId="22" type="noConversion"/>
  </si>
  <si>
    <t>1520333</t>
    <phoneticPr fontId="22" type="noConversion"/>
  </si>
  <si>
    <t>MYLAR</t>
    <phoneticPr fontId="22" type="noConversion"/>
  </si>
  <si>
    <t>30418090CC</t>
    <phoneticPr fontId="22" type="noConversion"/>
  </si>
  <si>
    <t>CROMA</t>
    <phoneticPr fontId="22" type="noConversion"/>
  </si>
  <si>
    <t>800x1000x600㎜</t>
    <phoneticPr fontId="22" type="noConversion"/>
  </si>
  <si>
    <t>A-184</t>
    <phoneticPr fontId="22" type="noConversion"/>
  </si>
  <si>
    <t>A-185</t>
    <phoneticPr fontId="22" type="noConversion"/>
  </si>
  <si>
    <t>A-186</t>
    <phoneticPr fontId="22" type="noConversion"/>
  </si>
  <si>
    <t>A-187</t>
    <phoneticPr fontId="22" type="noConversion"/>
  </si>
  <si>
    <t>A-188</t>
    <phoneticPr fontId="22" type="noConversion"/>
  </si>
  <si>
    <t>AF00030846</t>
    <phoneticPr fontId="22" type="noConversion"/>
  </si>
  <si>
    <t>AF00030845</t>
    <phoneticPr fontId="22" type="noConversion"/>
  </si>
  <si>
    <t>AF00030844</t>
    <phoneticPr fontId="22" type="noConversion"/>
  </si>
  <si>
    <t>AF00030843</t>
    <phoneticPr fontId="22" type="noConversion"/>
  </si>
  <si>
    <t>AF00030842</t>
    <phoneticPr fontId="22" type="noConversion"/>
  </si>
  <si>
    <t>737</t>
    <phoneticPr fontId="22" type="noConversion"/>
  </si>
  <si>
    <t>A-179</t>
    <phoneticPr fontId="22" type="noConversion"/>
  </si>
  <si>
    <t>B-028</t>
    <phoneticPr fontId="22" type="noConversion"/>
  </si>
  <si>
    <t>L10102203</t>
    <phoneticPr fontId="22" type="noConversion"/>
  </si>
  <si>
    <t>G-122</t>
    <phoneticPr fontId="22" type="noConversion"/>
  </si>
  <si>
    <t>압력 게이지</t>
    <phoneticPr fontId="22" type="noConversion"/>
  </si>
  <si>
    <t>100 Mpa 이하</t>
    <phoneticPr fontId="22" type="noConversion"/>
  </si>
  <si>
    <t>TAIWAN</t>
    <phoneticPr fontId="22" type="noConversion"/>
  </si>
  <si>
    <t>1회 / 1년</t>
    <phoneticPr fontId="22" type="noConversion"/>
  </si>
  <si>
    <t>B737 OVEN</t>
    <phoneticPr fontId="22" type="noConversion"/>
  </si>
  <si>
    <t>G-124</t>
    <phoneticPr fontId="22" type="noConversion"/>
  </si>
  <si>
    <t>조립</t>
    <phoneticPr fontId="22" type="noConversion"/>
  </si>
  <si>
    <t>압력 게이지</t>
    <phoneticPr fontId="22" type="noConversion"/>
  </si>
  <si>
    <t>G-125</t>
    <phoneticPr fontId="22" type="noConversion"/>
  </si>
  <si>
    <t>P161008</t>
    <phoneticPr fontId="22" type="noConversion"/>
  </si>
  <si>
    <t>G-126</t>
    <phoneticPr fontId="22" type="noConversion"/>
  </si>
  <si>
    <t>P161009</t>
    <phoneticPr fontId="22" type="noConversion"/>
  </si>
  <si>
    <t>조립</t>
    <phoneticPr fontId="22" type="noConversion"/>
  </si>
  <si>
    <t>P161010</t>
    <phoneticPr fontId="22" type="noConversion"/>
  </si>
  <si>
    <t>100 Mpa 이하</t>
    <phoneticPr fontId="22" type="noConversion"/>
  </si>
  <si>
    <t>TAIWAN</t>
    <phoneticPr fontId="22" type="noConversion"/>
  </si>
  <si>
    <t>1회 / 1년</t>
    <phoneticPr fontId="22" type="noConversion"/>
  </si>
  <si>
    <t>B737 OVEN</t>
    <phoneticPr fontId="22" type="noConversion"/>
  </si>
  <si>
    <t>A-189</t>
    <phoneticPr fontId="22" type="noConversion"/>
  </si>
  <si>
    <t>AF00030898</t>
    <phoneticPr fontId="22" type="noConversion"/>
  </si>
  <si>
    <t>A330</t>
    <phoneticPr fontId="22" type="noConversion"/>
  </si>
  <si>
    <t>A-190</t>
    <phoneticPr fontId="22" type="noConversion"/>
  </si>
  <si>
    <t>A-191</t>
    <phoneticPr fontId="22" type="noConversion"/>
  </si>
  <si>
    <t>A-192</t>
    <phoneticPr fontId="22" type="noConversion"/>
  </si>
  <si>
    <t>AF00030895</t>
    <phoneticPr fontId="22" type="noConversion"/>
  </si>
  <si>
    <t>AF00030897</t>
    <phoneticPr fontId="22" type="noConversion"/>
  </si>
  <si>
    <t>AF00030896</t>
    <phoneticPr fontId="22" type="noConversion"/>
  </si>
  <si>
    <t>803827</t>
    <phoneticPr fontId="22" type="noConversion"/>
  </si>
  <si>
    <t>3점 마이크로미터(DIGI)</t>
    <phoneticPr fontId="22" type="noConversion"/>
  </si>
  <si>
    <t>8~10mm,0.001mm</t>
    <phoneticPr fontId="22" type="noConversion"/>
  </si>
  <si>
    <t>Mitutoyo</t>
    <phoneticPr fontId="22" type="noConversion"/>
  </si>
  <si>
    <t>G-307</t>
    <phoneticPr fontId="22" type="noConversion"/>
  </si>
  <si>
    <t>G-308</t>
    <phoneticPr fontId="22" type="noConversion"/>
  </si>
  <si>
    <t>NDT-P-22</t>
    <phoneticPr fontId="22" type="noConversion"/>
  </si>
  <si>
    <t>GO 0.1895"/NOGO 0.1905"</t>
    <phoneticPr fontId="22" type="noConversion"/>
  </si>
  <si>
    <t>NDT-P-23</t>
    <phoneticPr fontId="22" type="noConversion"/>
  </si>
  <si>
    <t>GO 0.1900"/NOGO 0.1930"</t>
    <phoneticPr fontId="22" type="noConversion"/>
  </si>
  <si>
    <t>NDT-P-36</t>
    <phoneticPr fontId="22" type="noConversion"/>
  </si>
  <si>
    <t>GO 0.2790"/NOGO 0.2910"</t>
    <phoneticPr fontId="22" type="noConversion"/>
  </si>
  <si>
    <t>GO 0.1900"/NOGO 0.1960"</t>
    <phoneticPr fontId="22" type="noConversion"/>
  </si>
  <si>
    <t>787AB</t>
    <phoneticPr fontId="22" type="noConversion"/>
  </si>
  <si>
    <t>18493-001</t>
    <phoneticPr fontId="22" type="noConversion"/>
  </si>
  <si>
    <t>3/4-16 GPIP2B</t>
    <phoneticPr fontId="22" type="noConversion"/>
  </si>
  <si>
    <t>P161011</t>
    <phoneticPr fontId="22" type="noConversion"/>
  </si>
  <si>
    <t>P161013</t>
    <phoneticPr fontId="22" type="noConversion"/>
  </si>
  <si>
    <t>251,900</t>
    <phoneticPr fontId="22" type="noConversion"/>
  </si>
  <si>
    <t>G-310</t>
    <phoneticPr fontId="22" type="noConversion"/>
  </si>
  <si>
    <t>G-311</t>
    <phoneticPr fontId="22" type="noConversion"/>
  </si>
  <si>
    <t>L11101242-01</t>
    <phoneticPr fontId="22" type="noConversion"/>
  </si>
  <si>
    <t>L11101243-01</t>
    <phoneticPr fontId="22" type="noConversion"/>
  </si>
  <si>
    <t>737 FAJ</t>
    <phoneticPr fontId="22" type="noConversion"/>
  </si>
  <si>
    <t>B-004</t>
    <phoneticPr fontId="22" type="noConversion"/>
  </si>
  <si>
    <t>조립</t>
    <phoneticPr fontId="22" type="noConversion"/>
  </si>
  <si>
    <t>0700843</t>
    <phoneticPr fontId="22" type="noConversion"/>
  </si>
  <si>
    <t>높이 게이지(디지털형)</t>
    <phoneticPr fontId="23" type="noConversion"/>
  </si>
  <si>
    <t>0~300㎜,0.01㎜</t>
    <phoneticPr fontId="23" type="noConversion"/>
  </si>
  <si>
    <t>Mitutoyo</t>
    <phoneticPr fontId="23" type="noConversion"/>
  </si>
  <si>
    <t>L120621-3</t>
    <phoneticPr fontId="22" type="noConversion"/>
  </si>
  <si>
    <t>분도기</t>
    <phoneticPr fontId="22" type="noConversion"/>
  </si>
  <si>
    <t>0~180°</t>
    <phoneticPr fontId="22" type="noConversion"/>
  </si>
  <si>
    <t>SB</t>
    <phoneticPr fontId="22" type="noConversion"/>
  </si>
  <si>
    <t>A-001</t>
    <phoneticPr fontId="22" type="noConversion"/>
  </si>
  <si>
    <t>조립</t>
    <phoneticPr fontId="22" type="noConversion"/>
  </si>
  <si>
    <t>자기 온,습도기록계</t>
    <phoneticPr fontId="22" type="noConversion"/>
  </si>
  <si>
    <t>NSⅡ-Q</t>
    <phoneticPr fontId="22" type="noConversion"/>
  </si>
  <si>
    <t>SATO</t>
    <phoneticPr fontId="22" type="noConversion"/>
  </si>
  <si>
    <t>NSⅡ-Q</t>
    <phoneticPr fontId="22" type="noConversion"/>
  </si>
  <si>
    <t>D453510670</t>
    <phoneticPr fontId="22" type="noConversion"/>
  </si>
  <si>
    <t>전자식 지시저울</t>
    <phoneticPr fontId="22" type="noConversion"/>
  </si>
  <si>
    <t>2200g</t>
    <phoneticPr fontId="22" type="noConversion"/>
  </si>
  <si>
    <t>CAS</t>
    <phoneticPr fontId="22" type="noConversion"/>
  </si>
  <si>
    <t>조립</t>
    <phoneticPr fontId="22" type="noConversion"/>
  </si>
  <si>
    <t>0210218505</t>
    <phoneticPr fontId="22" type="noConversion"/>
  </si>
  <si>
    <t>토크 렌치 (프리셑형)</t>
    <phoneticPr fontId="22" type="noConversion"/>
  </si>
  <si>
    <t>DC002502</t>
    <phoneticPr fontId="22" type="noConversion"/>
  </si>
  <si>
    <t>MILLIOHM METER</t>
    <phoneticPr fontId="22" type="noConversion"/>
  </si>
  <si>
    <t>M1</t>
    <phoneticPr fontId="22" type="noConversion"/>
  </si>
  <si>
    <t>BCD</t>
    <phoneticPr fontId="22" type="noConversion"/>
  </si>
  <si>
    <t>조립</t>
    <phoneticPr fontId="22" type="noConversion"/>
  </si>
  <si>
    <t>100726506</t>
    <phoneticPr fontId="22" type="noConversion"/>
  </si>
  <si>
    <t>3803</t>
    <phoneticPr fontId="22" type="noConversion"/>
  </si>
  <si>
    <t>HIOKI</t>
    <phoneticPr fontId="22" type="noConversion"/>
  </si>
  <si>
    <t>조립</t>
    <phoneticPr fontId="22" type="noConversion"/>
  </si>
  <si>
    <t>B0002666</t>
    <phoneticPr fontId="22" type="noConversion"/>
  </si>
  <si>
    <t>MILLIOHM METER</t>
    <phoneticPr fontId="22" type="noConversion"/>
  </si>
  <si>
    <t>M1</t>
    <phoneticPr fontId="22" type="noConversion"/>
  </si>
  <si>
    <t>BCD</t>
    <phoneticPr fontId="22" type="noConversion"/>
  </si>
  <si>
    <t>A-016</t>
    <phoneticPr fontId="22" type="noConversion"/>
  </si>
  <si>
    <t>1513998</t>
    <phoneticPr fontId="22" type="noConversion"/>
  </si>
  <si>
    <t>NSⅡ-Q</t>
    <phoneticPr fontId="22" type="noConversion"/>
  </si>
  <si>
    <t>SATO</t>
    <phoneticPr fontId="22" type="noConversion"/>
  </si>
  <si>
    <t>981203</t>
    <phoneticPr fontId="22" type="noConversion"/>
  </si>
  <si>
    <t>온도지시조절계</t>
    <phoneticPr fontId="22" type="noConversion"/>
  </si>
  <si>
    <t>FX1077B</t>
    <phoneticPr fontId="22" type="noConversion"/>
  </si>
  <si>
    <t>4360GE160</t>
    <phoneticPr fontId="22" type="noConversion"/>
  </si>
  <si>
    <t>온도기록계</t>
    <phoneticPr fontId="22" type="noConversion"/>
  </si>
  <si>
    <t>436006</t>
    <phoneticPr fontId="22" type="noConversion"/>
  </si>
  <si>
    <t>YOKOGAWA</t>
    <phoneticPr fontId="22" type="noConversion"/>
  </si>
  <si>
    <t>(33.9~203.37)N.m</t>
    <phoneticPr fontId="22" type="noConversion"/>
  </si>
  <si>
    <t>PROTO</t>
    <phoneticPr fontId="22" type="noConversion"/>
  </si>
  <si>
    <t>QH2050 (AF00025109)</t>
    <phoneticPr fontId="22" type="noConversion"/>
  </si>
  <si>
    <t>PNEUMATIC SCREWDRIVER</t>
    <phoneticPr fontId="22" type="noConversion"/>
  </si>
  <si>
    <t>15±5% IN.LB</t>
    <phoneticPr fontId="22" type="noConversion"/>
  </si>
  <si>
    <t>CLECO</t>
    <phoneticPr fontId="22" type="noConversion"/>
  </si>
  <si>
    <t>조립</t>
    <phoneticPr fontId="22" type="noConversion"/>
  </si>
  <si>
    <t>YD2093 (AF00024870)</t>
    <phoneticPr fontId="22" type="noConversion"/>
  </si>
  <si>
    <t>20±5% IN.LB</t>
    <phoneticPr fontId="22" type="noConversion"/>
  </si>
  <si>
    <t>CLECO</t>
    <phoneticPr fontId="22" type="noConversion"/>
  </si>
  <si>
    <t>YE2471 (AF00024869)</t>
    <phoneticPr fontId="22" type="noConversion"/>
  </si>
  <si>
    <t>토크 드라이버</t>
    <phoneticPr fontId="22" type="noConversion"/>
  </si>
  <si>
    <t>30±5% IN.LB</t>
    <phoneticPr fontId="22" type="noConversion"/>
  </si>
  <si>
    <t>(13.6~67.8)N.m</t>
    <phoneticPr fontId="22" type="noConversion"/>
  </si>
  <si>
    <t>1070164</t>
    <phoneticPr fontId="22" type="noConversion"/>
  </si>
  <si>
    <t>STURTEVANT RICHMONT</t>
    <phoneticPr fontId="22" type="noConversion"/>
  </si>
  <si>
    <t>1023348</t>
    <phoneticPr fontId="22" type="noConversion"/>
  </si>
  <si>
    <t>(16.9~84.7)N.m</t>
    <phoneticPr fontId="22" type="noConversion"/>
  </si>
  <si>
    <t>0314505870</t>
    <phoneticPr fontId="22" type="noConversion"/>
  </si>
  <si>
    <t>(3.4~16.9)N.m</t>
    <phoneticPr fontId="22" type="noConversion"/>
  </si>
  <si>
    <t>CDI</t>
    <phoneticPr fontId="22" type="noConversion"/>
  </si>
  <si>
    <t>0314805361</t>
    <phoneticPr fontId="22" type="noConversion"/>
  </si>
  <si>
    <t>(3.4~16.9)N.m</t>
    <phoneticPr fontId="22" type="noConversion"/>
  </si>
  <si>
    <t>CDI</t>
    <phoneticPr fontId="22" type="noConversion"/>
  </si>
  <si>
    <t>A-050</t>
    <phoneticPr fontId="22" type="noConversion"/>
  </si>
  <si>
    <t>0914801325</t>
    <phoneticPr fontId="22" type="noConversion"/>
  </si>
  <si>
    <t>A-051</t>
    <phoneticPr fontId="22" type="noConversion"/>
  </si>
  <si>
    <t>0914801402</t>
    <phoneticPr fontId="22" type="noConversion"/>
  </si>
  <si>
    <t>(3.4~16.9)N.m</t>
    <phoneticPr fontId="22" type="noConversion"/>
  </si>
  <si>
    <t>CDI</t>
    <phoneticPr fontId="22" type="noConversion"/>
  </si>
  <si>
    <t>A-052</t>
    <phoneticPr fontId="22" type="noConversion"/>
  </si>
  <si>
    <t>조립</t>
    <phoneticPr fontId="22" type="noConversion"/>
  </si>
  <si>
    <t>15127771</t>
    <phoneticPr fontId="22" type="noConversion"/>
  </si>
  <si>
    <t>디지털 게이지(DIGIMATIC INDICATOR)</t>
    <phoneticPr fontId="22" type="noConversion"/>
  </si>
  <si>
    <t>.5-.0005"(12.7-0.01mm)</t>
    <phoneticPr fontId="22" type="noConversion"/>
  </si>
  <si>
    <t>MITUTOYO</t>
  </si>
  <si>
    <t>A-053</t>
    <phoneticPr fontId="22" type="noConversion"/>
  </si>
  <si>
    <t>조립</t>
    <phoneticPr fontId="22" type="noConversion"/>
  </si>
  <si>
    <t>15127871</t>
    <phoneticPr fontId="22" type="noConversion"/>
  </si>
  <si>
    <t>디지털 게이지(DIGIMATIC INDICATOR)</t>
    <phoneticPr fontId="22" type="noConversion"/>
  </si>
  <si>
    <t>.5-.0005"(12.7-0.01mm)</t>
    <phoneticPr fontId="22" type="noConversion"/>
  </si>
  <si>
    <t>A-054</t>
    <phoneticPr fontId="22" type="noConversion"/>
  </si>
  <si>
    <t>H150150220</t>
    <phoneticPr fontId="22" type="noConversion"/>
  </si>
  <si>
    <t>저항측정기(DIGITAL-MUTIMETER)/VC-830</t>
    <phoneticPr fontId="22" type="noConversion"/>
  </si>
  <si>
    <t>VOLTCRAFT</t>
    <phoneticPr fontId="22" type="noConversion"/>
  </si>
  <si>
    <t>A-055</t>
    <phoneticPr fontId="22" type="noConversion"/>
  </si>
  <si>
    <t>H150150288</t>
    <phoneticPr fontId="22" type="noConversion"/>
  </si>
  <si>
    <t>VOLTCRAFT</t>
    <phoneticPr fontId="22" type="noConversion"/>
  </si>
  <si>
    <t>A-056</t>
    <phoneticPr fontId="22" type="noConversion"/>
  </si>
  <si>
    <t>15091075</t>
    <phoneticPr fontId="22" type="noConversion"/>
  </si>
  <si>
    <t>디지털 게이지(DIGIMATIC INDICATOR)</t>
    <phoneticPr fontId="22" type="noConversion"/>
  </si>
  <si>
    <t>1-.0005"(25.4-0.01mm)</t>
    <phoneticPr fontId="22" type="noConversion"/>
  </si>
  <si>
    <t>A-057</t>
    <phoneticPr fontId="22" type="noConversion"/>
  </si>
  <si>
    <t>15145968</t>
    <phoneticPr fontId="22" type="noConversion"/>
  </si>
  <si>
    <t>A-058</t>
    <phoneticPr fontId="22" type="noConversion"/>
  </si>
  <si>
    <t>AI6627 (AF00028195)</t>
    <phoneticPr fontId="22" type="noConversion"/>
  </si>
  <si>
    <t>토크 드라이버</t>
    <phoneticPr fontId="22" type="noConversion"/>
  </si>
  <si>
    <t>20±5% IN.LB</t>
    <phoneticPr fontId="22" type="noConversion"/>
  </si>
  <si>
    <t>CLECO</t>
    <phoneticPr fontId="22" type="noConversion"/>
  </si>
  <si>
    <t>A-060</t>
    <phoneticPr fontId="22" type="noConversion"/>
  </si>
  <si>
    <t>AI6626 (AF00028198)</t>
    <phoneticPr fontId="22" type="noConversion"/>
  </si>
  <si>
    <t>30±5% IN.LB</t>
    <phoneticPr fontId="22" type="noConversion"/>
  </si>
  <si>
    <t>A-061</t>
    <phoneticPr fontId="22" type="noConversion"/>
  </si>
  <si>
    <t>AI6602 (AF00028199)</t>
    <phoneticPr fontId="22" type="noConversion"/>
  </si>
  <si>
    <t>토크 드라이버</t>
    <phoneticPr fontId="22" type="noConversion"/>
  </si>
  <si>
    <t>30±5% IN.LB</t>
    <phoneticPr fontId="22" type="noConversion"/>
  </si>
  <si>
    <t>CLECO</t>
    <phoneticPr fontId="22" type="noConversion"/>
  </si>
  <si>
    <t>A-062</t>
    <phoneticPr fontId="22" type="noConversion"/>
  </si>
  <si>
    <t>AH6516 (AF00028202)</t>
    <phoneticPr fontId="22" type="noConversion"/>
  </si>
  <si>
    <t>토크 런너</t>
    <phoneticPr fontId="22" type="noConversion"/>
  </si>
  <si>
    <t>20±5% IN.LB</t>
    <phoneticPr fontId="22" type="noConversion"/>
  </si>
  <si>
    <t>A-064</t>
    <phoneticPr fontId="22" type="noConversion"/>
  </si>
  <si>
    <t>1518482</t>
    <phoneticPr fontId="22" type="noConversion"/>
  </si>
  <si>
    <t>A-066</t>
    <phoneticPr fontId="22" type="noConversion"/>
  </si>
  <si>
    <t>260128</t>
    <phoneticPr fontId="22" type="noConversion"/>
  </si>
  <si>
    <t>NSⅡ-Q</t>
    <phoneticPr fontId="22" type="noConversion"/>
  </si>
  <si>
    <t>SATO</t>
    <phoneticPr fontId="22" type="noConversion"/>
  </si>
  <si>
    <t>A-067</t>
    <phoneticPr fontId="22" type="noConversion"/>
  </si>
  <si>
    <t>A-069</t>
    <phoneticPr fontId="22" type="noConversion"/>
  </si>
  <si>
    <t>A-070</t>
    <phoneticPr fontId="22" type="noConversion"/>
  </si>
  <si>
    <t>A-071</t>
    <phoneticPr fontId="22" type="noConversion"/>
  </si>
  <si>
    <t>AI6625 (AF00028794)</t>
    <phoneticPr fontId="22" type="noConversion"/>
  </si>
  <si>
    <t>30±5% IN.LB</t>
    <phoneticPr fontId="28" type="noConversion"/>
  </si>
  <si>
    <t>AI6690 (AF00028795)</t>
    <phoneticPr fontId="22" type="noConversion"/>
  </si>
  <si>
    <t>A-075</t>
    <phoneticPr fontId="22" type="noConversion"/>
  </si>
  <si>
    <t>SN160000926</t>
    <phoneticPr fontId="22" type="noConversion"/>
  </si>
  <si>
    <t>FISCHER</t>
    <phoneticPr fontId="22" type="noConversion"/>
  </si>
  <si>
    <t>초시계</t>
    <phoneticPr fontId="22" type="noConversion"/>
  </si>
  <si>
    <t>N/A</t>
    <phoneticPr fontId="28" type="noConversion"/>
  </si>
  <si>
    <t>A-077</t>
    <phoneticPr fontId="22" type="noConversion"/>
  </si>
  <si>
    <t>172833</t>
    <phoneticPr fontId="22" type="noConversion"/>
  </si>
  <si>
    <t>A-079</t>
    <phoneticPr fontId="22" type="noConversion"/>
  </si>
  <si>
    <t>K16890</t>
    <phoneticPr fontId="22" type="noConversion"/>
  </si>
  <si>
    <t>전자식 지시저울</t>
    <phoneticPr fontId="22" type="noConversion"/>
  </si>
  <si>
    <t>2200g</t>
    <phoneticPr fontId="28" type="noConversion"/>
  </si>
  <si>
    <t>A-080</t>
    <phoneticPr fontId="22" type="noConversion"/>
  </si>
  <si>
    <t>K16895</t>
    <phoneticPr fontId="22" type="noConversion"/>
  </si>
  <si>
    <t>A-081</t>
    <phoneticPr fontId="22" type="noConversion"/>
  </si>
  <si>
    <t>BG7126 (AF00029744)</t>
    <phoneticPr fontId="22" type="noConversion"/>
  </si>
  <si>
    <t>토크 런너</t>
    <phoneticPr fontId="22" type="noConversion"/>
  </si>
  <si>
    <t>30±5% IN.LB</t>
    <phoneticPr fontId="28" type="noConversion"/>
  </si>
  <si>
    <t>CB6724 (AF00030482)</t>
    <phoneticPr fontId="22" type="noConversion"/>
  </si>
  <si>
    <t>A-082</t>
    <phoneticPr fontId="22" type="noConversion"/>
  </si>
  <si>
    <t>AI6603 (AF00028428)</t>
    <phoneticPr fontId="22" type="noConversion"/>
  </si>
  <si>
    <t>A-083</t>
    <phoneticPr fontId="22" type="noConversion"/>
  </si>
  <si>
    <t>RA10R</t>
    <phoneticPr fontId="22" type="noConversion"/>
  </si>
  <si>
    <t>0.1℃</t>
    <phoneticPr fontId="22" type="noConversion"/>
  </si>
  <si>
    <t>CLECO CARTRIDGE</t>
    <phoneticPr fontId="22" type="noConversion"/>
  </si>
  <si>
    <t>CLECO</t>
    <phoneticPr fontId="22" type="noConversion"/>
  </si>
  <si>
    <t>A-142</t>
    <phoneticPr fontId="22" type="noConversion"/>
  </si>
  <si>
    <t>4.2 Nm</t>
    <phoneticPr fontId="22" type="noConversion"/>
  </si>
  <si>
    <t>A-159</t>
    <phoneticPr fontId="22" type="noConversion"/>
  </si>
  <si>
    <t>CROPICO</t>
    <phoneticPr fontId="22" type="noConversion"/>
  </si>
  <si>
    <t>A-140</t>
    <phoneticPr fontId="22" type="noConversion"/>
  </si>
  <si>
    <t>A6842478 (AF00031135)</t>
    <phoneticPr fontId="22" type="noConversion"/>
  </si>
  <si>
    <t>ANGLE NUTRUNNER</t>
    <phoneticPr fontId="22" type="noConversion"/>
  </si>
  <si>
    <t>(13.0~14.6)Nm</t>
    <phoneticPr fontId="22" type="noConversion"/>
  </si>
  <si>
    <t>ATLAS COPCO</t>
    <phoneticPr fontId="22" type="noConversion"/>
  </si>
  <si>
    <t>CA8079 (AF00030481)</t>
    <phoneticPr fontId="22" type="noConversion"/>
  </si>
  <si>
    <t>HI-LOK GUN</t>
    <phoneticPr fontId="22" type="noConversion"/>
  </si>
  <si>
    <t>(4.4~5.8)Nn</t>
    <phoneticPr fontId="22" type="noConversion"/>
  </si>
  <si>
    <t>A-143</t>
    <phoneticPr fontId="22" type="noConversion"/>
  </si>
  <si>
    <t>1513999</t>
    <phoneticPr fontId="22" type="noConversion"/>
  </si>
  <si>
    <t>A-145</t>
    <phoneticPr fontId="22" type="noConversion"/>
  </si>
  <si>
    <t>1246428/15</t>
    <phoneticPr fontId="22" type="noConversion"/>
  </si>
  <si>
    <t>PNEUMATIC SCREWDRIVER</t>
    <phoneticPr fontId="22" type="noConversion"/>
  </si>
  <si>
    <t>4.2 Nm</t>
    <phoneticPr fontId="22" type="noConversion"/>
  </si>
  <si>
    <t>DEPRAG</t>
    <phoneticPr fontId="22" type="noConversion"/>
  </si>
  <si>
    <t>A-146</t>
    <phoneticPr fontId="22" type="noConversion"/>
  </si>
  <si>
    <t>AF00030713</t>
    <phoneticPr fontId="22" type="noConversion"/>
  </si>
  <si>
    <t>A-147</t>
    <phoneticPr fontId="22" type="noConversion"/>
  </si>
  <si>
    <t>AF00030714</t>
    <phoneticPr fontId="22" type="noConversion"/>
  </si>
  <si>
    <t>A-148</t>
    <phoneticPr fontId="22" type="noConversion"/>
  </si>
  <si>
    <t>AF00030715</t>
    <phoneticPr fontId="22" type="noConversion"/>
  </si>
  <si>
    <t>디지털 게이지(DIGIMATIC INDICATOR)</t>
    <phoneticPr fontId="22" type="noConversion"/>
  </si>
  <si>
    <t>A-150</t>
    <phoneticPr fontId="22" type="noConversion"/>
  </si>
  <si>
    <t>0917902148</t>
    <phoneticPr fontId="22" type="noConversion"/>
  </si>
  <si>
    <t>(20~150)in.lb</t>
    <phoneticPr fontId="22" type="noConversion"/>
  </si>
  <si>
    <t>CDI</t>
    <phoneticPr fontId="22" type="noConversion"/>
  </si>
  <si>
    <t>A-151</t>
    <phoneticPr fontId="22" type="noConversion"/>
  </si>
  <si>
    <t>A-152</t>
    <phoneticPr fontId="22" type="noConversion"/>
  </si>
  <si>
    <t>1262902/16 (AF00031397)</t>
    <phoneticPr fontId="22" type="noConversion"/>
  </si>
  <si>
    <t>4.2Nm</t>
    <phoneticPr fontId="22" type="noConversion"/>
  </si>
  <si>
    <t>A-153</t>
    <phoneticPr fontId="22" type="noConversion"/>
  </si>
  <si>
    <t>1262903/16 (AF00031398)</t>
    <phoneticPr fontId="22" type="noConversion"/>
  </si>
  <si>
    <t>A-154</t>
    <phoneticPr fontId="22" type="noConversion"/>
  </si>
  <si>
    <t>10.0 lb</t>
    <phoneticPr fontId="22" type="noConversion"/>
  </si>
  <si>
    <t>TRULOK</t>
    <phoneticPr fontId="22" type="noConversion"/>
  </si>
  <si>
    <t>A-155</t>
    <phoneticPr fontId="22" type="noConversion"/>
  </si>
  <si>
    <t>A8781842 (AF00030483)</t>
    <phoneticPr fontId="22" type="noConversion"/>
  </si>
  <si>
    <t>(26.9~32.3)Nm</t>
    <phoneticPr fontId="22" type="noConversion"/>
  </si>
  <si>
    <t>CA8080 (AF00030723)</t>
    <phoneticPr fontId="22" type="noConversion"/>
  </si>
  <si>
    <t>HI-LOK GUN</t>
    <phoneticPr fontId="22" type="noConversion"/>
  </si>
  <si>
    <t>1246429/15 (AF00030480)</t>
    <phoneticPr fontId="22" type="noConversion"/>
  </si>
  <si>
    <t>디지털 게이지(DIGIMATIC INDICATOR)</t>
    <phoneticPr fontId="22" type="noConversion"/>
  </si>
  <si>
    <t>DO4000 Series</t>
    <phoneticPr fontId="22" type="noConversion"/>
  </si>
  <si>
    <t>A-161</t>
    <phoneticPr fontId="22" type="noConversion"/>
  </si>
  <si>
    <t>A9771502 (AF00031615)</t>
    <phoneticPr fontId="22" type="noConversion"/>
  </si>
  <si>
    <t>VERNIER CALIPER (DIGI)</t>
  </si>
  <si>
    <t>플러그 게이지 (GO / NO-GO GAGE)</t>
  </si>
  <si>
    <t>테이퍼 게이지</t>
  </si>
  <si>
    <t>55037 (AF00031365)</t>
    <phoneticPr fontId="22" type="noConversion"/>
  </si>
  <si>
    <t>COUNTERSINK GAGE BLOCK</t>
    <phoneticPr fontId="22" type="noConversion"/>
  </si>
  <si>
    <t>55041 (AF00031365)</t>
    <phoneticPr fontId="22" type="noConversion"/>
  </si>
  <si>
    <t>COUNTERSINK GAGE</t>
    <phoneticPr fontId="22" type="noConversion"/>
  </si>
  <si>
    <t>27850 (AF00031366)</t>
    <phoneticPr fontId="22" type="noConversion"/>
  </si>
  <si>
    <t>55044 (AF00031366)</t>
    <phoneticPr fontId="22" type="noConversion"/>
  </si>
  <si>
    <t>54619 (AF00031370)</t>
    <phoneticPr fontId="22" type="noConversion"/>
  </si>
  <si>
    <t>55042 (AF00031370)</t>
    <phoneticPr fontId="22" type="noConversion"/>
  </si>
  <si>
    <t>54936 (AF00031368)</t>
    <phoneticPr fontId="22" type="noConversion"/>
  </si>
  <si>
    <t>55045 (AF00031368)</t>
    <phoneticPr fontId="22" type="noConversion"/>
  </si>
  <si>
    <t>55046 (AF00031369)</t>
    <phoneticPr fontId="22" type="noConversion"/>
  </si>
  <si>
    <t>55043 (AF00031369)</t>
    <phoneticPr fontId="22" type="noConversion"/>
  </si>
  <si>
    <t>S15-7211 (6 inch)</t>
    <phoneticPr fontId="22" type="noConversion"/>
  </si>
  <si>
    <t>COUNTERSINK DIAMETER GAGE</t>
    <phoneticPr fontId="22" type="noConversion"/>
  </si>
  <si>
    <t>56537 (AF00031400)</t>
    <phoneticPr fontId="22" type="noConversion"/>
  </si>
  <si>
    <t>AI6605 (AF00029717)</t>
    <phoneticPr fontId="22" type="noConversion"/>
  </si>
  <si>
    <t>A-193</t>
    <phoneticPr fontId="22" type="noConversion"/>
  </si>
  <si>
    <t>A-194</t>
    <phoneticPr fontId="22" type="noConversion"/>
  </si>
  <si>
    <t>56543 (AF00031236)</t>
    <phoneticPr fontId="22" type="noConversion"/>
  </si>
  <si>
    <t>DIGITAL FLUSHNESS GAGE</t>
    <phoneticPr fontId="22" type="noConversion"/>
  </si>
  <si>
    <t>A-195</t>
    <phoneticPr fontId="22" type="noConversion"/>
  </si>
  <si>
    <t>56542 (AF00031235)</t>
    <phoneticPr fontId="22" type="noConversion"/>
  </si>
  <si>
    <t>14.224-19.812mm (0.001mm)</t>
    <phoneticPr fontId="22" type="noConversion"/>
  </si>
  <si>
    <t>A-196</t>
    <phoneticPr fontId="22" type="noConversion"/>
  </si>
  <si>
    <t>56539 (AF00031234)</t>
    <phoneticPr fontId="22" type="noConversion"/>
  </si>
  <si>
    <t>9.144-14.224mm (0.001mm)</t>
    <phoneticPr fontId="22" type="noConversion"/>
  </si>
  <si>
    <t>A-197</t>
    <phoneticPr fontId="22" type="noConversion"/>
  </si>
  <si>
    <t>56538 (AF00031233)</t>
    <phoneticPr fontId="22" type="noConversion"/>
  </si>
  <si>
    <t>A-198</t>
    <phoneticPr fontId="22" type="noConversion"/>
  </si>
  <si>
    <t>56536 (AF00031232)</t>
    <phoneticPr fontId="22" type="noConversion"/>
  </si>
  <si>
    <t>4.064-9.144mm (0.001mm)</t>
    <phoneticPr fontId="22" type="noConversion"/>
  </si>
  <si>
    <t>56535 (AF00031231)</t>
    <phoneticPr fontId="22" type="noConversion"/>
  </si>
  <si>
    <t>4.064-6.604mm (0.001mm)</t>
    <phoneticPr fontId="22" type="noConversion"/>
  </si>
  <si>
    <t>A-199</t>
    <phoneticPr fontId="22" type="noConversion"/>
  </si>
  <si>
    <t>56541 (AF00031230)</t>
    <phoneticPr fontId="22" type="noConversion"/>
  </si>
  <si>
    <t>A-200</t>
    <phoneticPr fontId="22" type="noConversion"/>
  </si>
  <si>
    <t>56540 (AF00031229)</t>
    <phoneticPr fontId="22" type="noConversion"/>
  </si>
  <si>
    <t>간이 OVEN</t>
    <phoneticPr fontId="22" type="noConversion"/>
  </si>
  <si>
    <t>PAINT BOOTH</t>
    <phoneticPr fontId="22" type="noConversion"/>
  </si>
  <si>
    <t>조립 공통</t>
    <phoneticPr fontId="22" type="noConversion"/>
  </si>
  <si>
    <t>G-313</t>
    <phoneticPr fontId="22" type="noConversion"/>
  </si>
  <si>
    <t>CTI1001800123016</t>
    <phoneticPr fontId="22" type="noConversion"/>
  </si>
  <si>
    <t>LOAD CELL</t>
    <phoneticPr fontId="22" type="noConversion"/>
  </si>
  <si>
    <t>㈜큐리오텍</t>
    <phoneticPr fontId="22" type="noConversion"/>
  </si>
  <si>
    <t>GO 0.2470"/NOGO 0.2500"</t>
    <phoneticPr fontId="22" type="noConversion"/>
  </si>
  <si>
    <t>CSMN-30L</t>
    <phoneticPr fontId="22" type="noConversion"/>
  </si>
  <si>
    <t>L17010408</t>
    <phoneticPr fontId="22" type="noConversion"/>
  </si>
  <si>
    <t>L17010409</t>
    <phoneticPr fontId="22" type="noConversion"/>
  </si>
  <si>
    <t>0817123480</t>
    <phoneticPr fontId="22" type="noConversion"/>
  </si>
  <si>
    <t>DANATRONIS</t>
    <phoneticPr fontId="22" type="noConversion"/>
  </si>
  <si>
    <t>초음파 두께 측정기</t>
    <phoneticPr fontId="22" type="noConversion"/>
  </si>
  <si>
    <t>가공</t>
    <phoneticPr fontId="22" type="noConversion"/>
  </si>
  <si>
    <t>(2~20)MM / 0.01MM</t>
    <phoneticPr fontId="22" type="noConversion"/>
  </si>
  <si>
    <t>1회 / 1년</t>
    <phoneticPr fontId="22" type="noConversion"/>
  </si>
  <si>
    <t>품질팀</t>
    <phoneticPr fontId="22" type="noConversion"/>
  </si>
  <si>
    <t>G-309</t>
    <phoneticPr fontId="22" type="noConversion"/>
  </si>
  <si>
    <t>787</t>
    <phoneticPr fontId="22" type="noConversion"/>
  </si>
  <si>
    <t>737 PAINT</t>
    <phoneticPr fontId="22" type="noConversion"/>
  </si>
  <si>
    <t>A330 FAJ UNIT2</t>
    <phoneticPr fontId="22" type="noConversion"/>
  </si>
  <si>
    <t>A330 FAJ UNIT1</t>
    <phoneticPr fontId="22" type="noConversion"/>
  </si>
  <si>
    <t>B777 P/U</t>
    <phoneticPr fontId="22" type="noConversion"/>
  </si>
  <si>
    <t>A330 BUSH ROOM</t>
    <phoneticPr fontId="22" type="noConversion"/>
  </si>
  <si>
    <t>SEALING ROOM 보관</t>
    <phoneticPr fontId="22" type="noConversion"/>
  </si>
  <si>
    <t>B787 AB</t>
    <phoneticPr fontId="22" type="noConversion"/>
  </si>
  <si>
    <t>737 FWD UNIT2</t>
    <phoneticPr fontId="22" type="noConversion"/>
  </si>
  <si>
    <t>G-305</t>
    <phoneticPr fontId="22" type="noConversion"/>
  </si>
  <si>
    <t>G-239</t>
    <phoneticPr fontId="22" type="noConversion"/>
  </si>
  <si>
    <t>G-182</t>
    <phoneticPr fontId="22" type="noConversion"/>
  </si>
  <si>
    <t>G-178</t>
    <phoneticPr fontId="22" type="noConversion"/>
  </si>
  <si>
    <t>G-140</t>
    <phoneticPr fontId="22" type="noConversion"/>
  </si>
  <si>
    <t>G-123</t>
    <phoneticPr fontId="22" type="noConversion"/>
  </si>
  <si>
    <t>G-106</t>
    <phoneticPr fontId="22" type="noConversion"/>
  </si>
  <si>
    <t>G-077</t>
    <phoneticPr fontId="22" type="noConversion"/>
  </si>
  <si>
    <t>G-078</t>
    <phoneticPr fontId="22" type="noConversion"/>
  </si>
  <si>
    <t>G-079</t>
    <phoneticPr fontId="22" type="noConversion"/>
  </si>
  <si>
    <t>A-178</t>
    <phoneticPr fontId="22" type="noConversion"/>
  </si>
  <si>
    <t>A-095</t>
    <phoneticPr fontId="22" type="noConversion"/>
  </si>
  <si>
    <t>A-014</t>
    <phoneticPr fontId="22" type="noConversion"/>
  </si>
  <si>
    <t>A-013</t>
    <phoneticPr fontId="22" type="noConversion"/>
  </si>
  <si>
    <t>NDT-P-41</t>
    <phoneticPr fontId="22" type="noConversion"/>
  </si>
  <si>
    <t>.3090/.3130 inch</t>
    <phoneticPr fontId="22" type="noConversion"/>
  </si>
  <si>
    <t>가공</t>
    <phoneticPr fontId="22" type="noConversion"/>
  </si>
  <si>
    <t>NONE-1</t>
    <phoneticPr fontId="22" type="noConversion"/>
  </si>
  <si>
    <t>접촉식 좌표 측정기 마스터 볼</t>
    <phoneticPr fontId="22" type="noConversion"/>
  </si>
  <si>
    <t>19.999㎜</t>
    <phoneticPr fontId="22" type="noConversion"/>
  </si>
  <si>
    <t>1회 / 2년</t>
    <phoneticPr fontId="22" type="noConversion"/>
  </si>
  <si>
    <t>검사실</t>
    <phoneticPr fontId="22" type="noConversion"/>
  </si>
  <si>
    <t>A-065</t>
    <phoneticPr fontId="22" type="noConversion"/>
  </si>
  <si>
    <t>15127793</t>
    <phoneticPr fontId="22" type="noConversion"/>
  </si>
  <si>
    <t>조립</t>
    <phoneticPr fontId="22" type="noConversion"/>
  </si>
  <si>
    <t>121096199</t>
    <phoneticPr fontId="22" type="noConversion"/>
  </si>
  <si>
    <t>다이얼 캘리퍼 게이지</t>
    <phoneticPr fontId="22" type="noConversion"/>
  </si>
  <si>
    <t>(0,01~20,000) mm</t>
    <phoneticPr fontId="22" type="noConversion"/>
  </si>
  <si>
    <t>1회 / 1년</t>
    <phoneticPr fontId="22" type="noConversion"/>
  </si>
  <si>
    <t>G-315</t>
    <phoneticPr fontId="22" type="noConversion"/>
  </si>
  <si>
    <t>B737 T/C</t>
    <phoneticPr fontId="22" type="noConversion"/>
  </si>
  <si>
    <t>대형신규3SPIN</t>
    <phoneticPr fontId="22" type="noConversion"/>
  </si>
  <si>
    <t>A-193</t>
    <phoneticPr fontId="22" type="noConversion"/>
  </si>
  <si>
    <t>A-194</t>
    <phoneticPr fontId="22" type="noConversion"/>
  </si>
  <si>
    <t>AF00031305</t>
    <phoneticPr fontId="22" type="noConversion"/>
  </si>
  <si>
    <t>AF00030899</t>
    <phoneticPr fontId="22" type="noConversion"/>
  </si>
  <si>
    <t>G-316</t>
    <phoneticPr fontId="22" type="noConversion"/>
  </si>
  <si>
    <t>G-317</t>
    <phoneticPr fontId="22" type="noConversion"/>
  </si>
  <si>
    <t>G-318</t>
    <phoneticPr fontId="22" type="noConversion"/>
  </si>
  <si>
    <t>ST216D7-213-8-3</t>
    <phoneticPr fontId="22" type="noConversion"/>
  </si>
  <si>
    <t>ST216D7-213-8-4</t>
    <phoneticPr fontId="22" type="noConversion"/>
  </si>
  <si>
    <t>ST216D7-213-8-5</t>
    <phoneticPr fontId="22" type="noConversion"/>
  </si>
  <si>
    <t>1</t>
    <phoneticPr fontId="22" type="noConversion"/>
  </si>
  <si>
    <t>AH6514 (AF00028796)</t>
    <phoneticPr fontId="22" type="noConversion"/>
  </si>
  <si>
    <t>55040 (AF00031367)</t>
    <phoneticPr fontId="22" type="noConversion"/>
  </si>
  <si>
    <t>GO 0.1870"/NOGO 0.1900"</t>
    <phoneticPr fontId="22" type="noConversion"/>
  </si>
  <si>
    <t>GO 0.1900"/NOGO 0.1920"</t>
    <phoneticPr fontId="22" type="noConversion"/>
  </si>
  <si>
    <t>GO 0.2500"/NOGO 0.2520"</t>
    <phoneticPr fontId="22" type="noConversion"/>
  </si>
  <si>
    <t>A330</t>
    <phoneticPr fontId="22" type="noConversion"/>
  </si>
  <si>
    <t>.1900/.1920 inch</t>
    <phoneticPr fontId="22" type="noConversion"/>
  </si>
  <si>
    <t>737 AFT</t>
    <phoneticPr fontId="22" type="noConversion"/>
  </si>
  <si>
    <t>007287(WNW269)</t>
    <phoneticPr fontId="22" type="noConversion"/>
  </si>
  <si>
    <t>.3705/.3725 inch</t>
    <phoneticPr fontId="22" type="noConversion"/>
  </si>
  <si>
    <t>G-319</t>
    <phoneticPr fontId="22" type="noConversion"/>
  </si>
  <si>
    <t>G-320</t>
    <phoneticPr fontId="22" type="noConversion"/>
  </si>
  <si>
    <t>G-321</t>
    <phoneticPr fontId="22" type="noConversion"/>
  </si>
  <si>
    <t>G-322</t>
    <phoneticPr fontId="22" type="noConversion"/>
  </si>
  <si>
    <t>G-323</t>
    <phoneticPr fontId="22" type="noConversion"/>
  </si>
  <si>
    <t>G-324</t>
    <phoneticPr fontId="22" type="noConversion"/>
  </si>
  <si>
    <t>NDT-G-01</t>
    <phoneticPr fontId="22" type="noConversion"/>
  </si>
  <si>
    <t>NDT-G-02</t>
    <phoneticPr fontId="22" type="noConversion"/>
  </si>
  <si>
    <t>NDT-G-03</t>
    <phoneticPr fontId="22" type="noConversion"/>
  </si>
  <si>
    <t>NDT-G-04</t>
    <phoneticPr fontId="22" type="noConversion"/>
  </si>
  <si>
    <t>NDT-G-05</t>
    <phoneticPr fontId="22" type="noConversion"/>
  </si>
  <si>
    <t>NDT-G-06</t>
    <phoneticPr fontId="22" type="noConversion"/>
  </si>
  <si>
    <t>G-325</t>
    <phoneticPr fontId="22" type="noConversion"/>
  </si>
  <si>
    <t>NDT-G-07</t>
    <phoneticPr fontId="22" type="noConversion"/>
  </si>
  <si>
    <t>737FSF</t>
    <phoneticPr fontId="22" type="noConversion"/>
  </si>
  <si>
    <t>BACR15BA(4DIA)</t>
    <phoneticPr fontId="22" type="noConversion"/>
  </si>
  <si>
    <t>BACR15BA(5DIA)</t>
    <phoneticPr fontId="22" type="noConversion"/>
  </si>
  <si>
    <t>BACR15BA(6DIA)</t>
    <phoneticPr fontId="22" type="noConversion"/>
  </si>
  <si>
    <t>BACB30LH(3DIA)</t>
    <phoneticPr fontId="22" type="noConversion"/>
  </si>
  <si>
    <t>BACB30XD(3DIA)</t>
    <phoneticPr fontId="22" type="noConversion"/>
  </si>
  <si>
    <t>BACR15BA(3DIA)</t>
    <phoneticPr fontId="22" type="noConversion"/>
  </si>
  <si>
    <t>A-003</t>
    <phoneticPr fontId="22" type="noConversion"/>
  </si>
  <si>
    <t>A-004</t>
    <phoneticPr fontId="22" type="noConversion"/>
  </si>
  <si>
    <t>온습도 기록계</t>
    <phoneticPr fontId="22" type="noConversion"/>
  </si>
  <si>
    <t>SATO</t>
    <phoneticPr fontId="23" type="noConversion"/>
  </si>
  <si>
    <t>2018H150614</t>
    <phoneticPr fontId="22" type="noConversion"/>
  </si>
  <si>
    <t>15.0836MM</t>
    <phoneticPr fontId="22" type="noConversion"/>
  </si>
  <si>
    <t>A-005</t>
    <phoneticPr fontId="22" type="noConversion"/>
  </si>
  <si>
    <t>검교정 진행 중</t>
    <phoneticPr fontId="22" type="noConversion"/>
  </si>
  <si>
    <t>737FSF</t>
    <phoneticPr fontId="22" type="noConversion"/>
  </si>
  <si>
    <t>NDT</t>
    <phoneticPr fontId="22" type="noConversion"/>
  </si>
  <si>
    <t>507785</t>
    <phoneticPr fontId="22" type="noConversion"/>
  </si>
  <si>
    <t>507786</t>
    <phoneticPr fontId="22" type="noConversion"/>
  </si>
  <si>
    <t>507787</t>
    <phoneticPr fontId="22" type="noConversion"/>
  </si>
  <si>
    <t>507791</t>
    <phoneticPr fontId="22" type="noConversion"/>
  </si>
  <si>
    <t>507783</t>
    <phoneticPr fontId="22" type="noConversion"/>
  </si>
  <si>
    <t>507784</t>
    <phoneticPr fontId="22" type="noConversion"/>
  </si>
  <si>
    <t>107759</t>
    <phoneticPr fontId="22" type="noConversion"/>
  </si>
  <si>
    <t>107761</t>
    <phoneticPr fontId="22" type="noConversion"/>
  </si>
  <si>
    <t>107762</t>
    <phoneticPr fontId="22" type="noConversion"/>
  </si>
  <si>
    <t>107756</t>
    <phoneticPr fontId="22" type="noConversion"/>
  </si>
  <si>
    <t>107758</t>
    <phoneticPr fontId="22" type="noConversion"/>
  </si>
  <si>
    <t>507782</t>
    <phoneticPr fontId="22" type="noConversion"/>
  </si>
  <si>
    <t>507788</t>
    <phoneticPr fontId="22" type="noConversion"/>
  </si>
  <si>
    <t>507790</t>
    <phoneticPr fontId="22" type="noConversion"/>
  </si>
  <si>
    <t>507792</t>
    <phoneticPr fontId="22" type="noConversion"/>
  </si>
  <si>
    <t>107793</t>
    <phoneticPr fontId="22" type="noConversion"/>
  </si>
  <si>
    <t>107796</t>
    <phoneticPr fontId="22" type="noConversion"/>
  </si>
  <si>
    <t>107799</t>
    <phoneticPr fontId="22" type="noConversion"/>
  </si>
  <si>
    <t>AH6515 (AF00028429)</t>
    <phoneticPr fontId="22" type="noConversion"/>
  </si>
  <si>
    <t>A-183</t>
    <phoneticPr fontId="22" type="noConversion"/>
  </si>
  <si>
    <t>AI6601 (AF00031144)</t>
    <phoneticPr fontId="22" type="noConversion"/>
  </si>
  <si>
    <t>A330</t>
    <phoneticPr fontId="22" type="noConversion"/>
  </si>
  <si>
    <t>G-326</t>
    <phoneticPr fontId="22" type="noConversion"/>
  </si>
  <si>
    <t>ST216D7-215-06-2</t>
    <phoneticPr fontId="22" type="noConversion"/>
  </si>
  <si>
    <t>A330</t>
    <phoneticPr fontId="22" type="noConversion"/>
  </si>
  <si>
    <t xml:space="preserve"> 승 인 : 김문환</t>
    <phoneticPr fontId="23" type="noConversion"/>
  </si>
  <si>
    <t>VC-830</t>
    <phoneticPr fontId="22" type="noConversion"/>
  </si>
  <si>
    <t>.1855/.1875 inch</t>
    <phoneticPr fontId="22" type="noConversion"/>
  </si>
  <si>
    <t>.1857/.1879 inch</t>
    <phoneticPr fontId="22" type="noConversion"/>
  </si>
  <si>
    <t>.1860/.1880 inch</t>
    <phoneticPr fontId="22" type="noConversion"/>
  </si>
  <si>
    <t>.1870/.1900 inch</t>
    <phoneticPr fontId="22" type="noConversion"/>
  </si>
  <si>
    <t>.1900/.1930 inch</t>
    <phoneticPr fontId="22" type="noConversion"/>
  </si>
  <si>
    <t>.2455/.2475 inch</t>
    <phoneticPr fontId="22" type="noConversion"/>
  </si>
  <si>
    <t>.2460/.2480 inch</t>
    <phoneticPr fontId="22" type="noConversion"/>
  </si>
  <si>
    <t>.2470/.2500 inch</t>
    <phoneticPr fontId="22" type="noConversion"/>
  </si>
  <si>
    <t>.3080/.3105 inch</t>
    <phoneticPr fontId="22" type="noConversion"/>
  </si>
  <si>
    <t>.3085/.3105 inch</t>
    <phoneticPr fontId="22" type="noConversion"/>
  </si>
  <si>
    <t>.2500/.2530 inch</t>
    <phoneticPr fontId="22" type="noConversion"/>
  </si>
  <si>
    <t>1920006</t>
    <phoneticPr fontId="22" type="noConversion"/>
  </si>
  <si>
    <t>체크 마스터</t>
    <phoneticPr fontId="23" type="noConversion"/>
  </si>
  <si>
    <t>1,010mm</t>
    <phoneticPr fontId="23" type="noConversion"/>
  </si>
  <si>
    <t>Mitutoyu</t>
    <phoneticPr fontId="23" type="noConversion"/>
  </si>
  <si>
    <t>7C1646</t>
    <phoneticPr fontId="22" type="noConversion"/>
  </si>
  <si>
    <t>0~0.8㎜,0.01㎜</t>
    <phoneticPr fontId="22" type="noConversion"/>
  </si>
  <si>
    <t>ST219-D7-3</t>
    <phoneticPr fontId="22" type="noConversion"/>
  </si>
  <si>
    <t>No.270-6</t>
    <phoneticPr fontId="22" type="noConversion"/>
  </si>
  <si>
    <t>1830105-2</t>
    <phoneticPr fontId="22" type="noConversion"/>
  </si>
  <si>
    <t>JPG</t>
    <phoneticPr fontId="22" type="noConversion"/>
  </si>
  <si>
    <t>재구매 진행중</t>
    <phoneticPr fontId="22" type="noConversion"/>
  </si>
  <si>
    <t>재 구매</t>
    <phoneticPr fontId="22" type="noConversion"/>
  </si>
  <si>
    <t>COUNTERSINK GAGE BLOCK</t>
    <phoneticPr fontId="22" type="noConversion"/>
  </si>
  <si>
    <t>4-40UNC-2B</t>
    <phoneticPr fontId="22" type="noConversion"/>
  </si>
  <si>
    <t>토크 드라이버</t>
    <phoneticPr fontId="22" type="noConversion"/>
  </si>
  <si>
    <t>30±5% IN.LB</t>
    <phoneticPr fontId="22" type="noConversion"/>
  </si>
  <si>
    <t>D-type</t>
    <phoneticPr fontId="22" type="noConversion"/>
  </si>
  <si>
    <t>피막 두께 측정기</t>
    <phoneticPr fontId="22" type="noConversion"/>
  </si>
  <si>
    <r>
      <t>ST8865-A-11(11</t>
    </r>
    <r>
      <rPr>
        <sz val="9"/>
        <rFont val="맑은 고딕"/>
        <family val="3"/>
        <charset val="129"/>
      </rPr>
      <t>±1)lb</t>
    </r>
  </si>
  <si>
    <r>
      <t>ST8865-A-10(10</t>
    </r>
    <r>
      <rPr>
        <sz val="9"/>
        <rFont val="맑은 고딕"/>
        <family val="3"/>
        <charset val="129"/>
      </rPr>
      <t>±1)lb</t>
    </r>
    <phoneticPr fontId="22" type="noConversion"/>
  </si>
  <si>
    <r>
      <t>ST8865-A-30(30</t>
    </r>
    <r>
      <rPr>
        <sz val="9"/>
        <rFont val="맑은 고딕"/>
        <family val="3"/>
        <charset val="129"/>
      </rPr>
      <t>±3)lb</t>
    </r>
    <phoneticPr fontId="22" type="noConversion"/>
  </si>
  <si>
    <t>가공</t>
    <phoneticPr fontId="22" type="noConversion"/>
  </si>
  <si>
    <t>AF00032992</t>
    <phoneticPr fontId="22" type="noConversion"/>
  </si>
  <si>
    <t>경도측정기</t>
    <phoneticPr fontId="22" type="noConversion"/>
  </si>
  <si>
    <t>W-B75</t>
    <phoneticPr fontId="22" type="noConversion"/>
  </si>
  <si>
    <t>WEBSTER INSTRUMENT</t>
    <phoneticPr fontId="22" type="noConversion"/>
  </si>
  <si>
    <t>1회/6개월</t>
    <phoneticPr fontId="22" type="noConversion"/>
  </si>
  <si>
    <t>검사실</t>
    <phoneticPr fontId="22" type="noConversion"/>
  </si>
  <si>
    <t xml:space="preserve"> 작 성: 이글/한건우</t>
    <phoneticPr fontId="23" type="noConversion"/>
  </si>
  <si>
    <t>판정 기준 및 측정 오차</t>
    <phoneticPr fontId="22" type="noConversion"/>
  </si>
  <si>
    <t>RESURLT</t>
    <phoneticPr fontId="22" type="noConversion"/>
  </si>
  <si>
    <t>합/부</t>
    <phoneticPr fontId="22" type="noConversion"/>
  </si>
  <si>
    <t>4</t>
    <phoneticPr fontId="22" type="noConversion"/>
  </si>
  <si>
    <t>계측기 공차</t>
    <phoneticPr fontId="22" type="noConversion"/>
  </si>
  <si>
    <t>합격범위</t>
    <phoneticPr fontId="22" type="noConversion"/>
  </si>
  <si>
    <t>계산값</t>
    <phoneticPr fontId="22" type="noConversion"/>
  </si>
  <si>
    <t>측정불확도
(교정성적서상)</t>
    <phoneticPr fontId="22" type="noConversion"/>
  </si>
  <si>
    <t>상수(k=2)
(교정성적서상)</t>
    <phoneticPr fontId="22" type="noConversion"/>
  </si>
  <si>
    <t>교정측정오차값
(교정성적서상)</t>
    <phoneticPr fontId="22" type="noConversion"/>
  </si>
  <si>
    <t>보호대역 설정값</t>
    <phoneticPr fontId="22" type="noConversion"/>
  </si>
  <si>
    <t>12 M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</si>
</sst>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_ &quot;₩&quot;* #,##0.00_ ;_ &quot;₩&quot;* \-#,##0.00_ ;_ &quot;₩&quot;* &quot;-&quot;??_ ;_ @_ "/>
    <numFmt numFmtId="177" formatCode="_ &quot;₩&quot;* #,##0_ ;_ &quot;₩&quot;* \-#,##0_ ;_ &quot;₩&quot;* &quot;-&quot;_ ;_ @_ "/>
    <numFmt numFmtId="178" formatCode="yyyy&quot;/&quot;m&quot;/&quot;d"/>
    <numFmt numFmtId="179" formatCode="mm&quot;/&quot;dd&quot;/&quot;yy"/>
    <numFmt numFmtId="180" formatCode="0.00_)"/>
    <numFmt numFmtId="181" formatCode="_-[$€-2]* #,##0.00_-;\-[$€-2]* #,##0.00_-;_-[$€-2]* &quot;-&quot;??_-"/>
    <numFmt numFmtId="182" formatCode="[$-409]d&quot;-&quot;mmm&quot;-&quot;yy;@"/>
    <numFmt numFmtId="183" formatCode="m&quot;월&quot;\ d&quot;일&quot;;@"/>
  </numFmts>
  <fonts count="56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1"/>
      <name val="Arial"/>
      <family val="2"/>
    </font>
    <font>
      <sz val="12"/>
      <name val="굴림체"/>
      <family val="3"/>
      <charset val="129"/>
    </font>
    <font>
      <sz val="11"/>
      <name val="바탕체"/>
      <family val="1"/>
      <charset val="129"/>
    </font>
    <font>
      <sz val="12"/>
      <name val="¹UAAA¼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0"/>
      <name val="Helv"/>
      <family val="2"/>
    </font>
    <font>
      <sz val="12"/>
      <name val="Arial"/>
      <family val="2"/>
    </font>
    <font>
      <sz val="10"/>
      <name val="Arial"/>
      <family val="2"/>
    </font>
    <font>
      <sz val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8"/>
      <name val="돋움"/>
      <family val="3"/>
      <charset val="129"/>
    </font>
    <font>
      <sz val="8"/>
      <name val="바탕"/>
      <family val="1"/>
      <charset val="129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sz val="11"/>
      <color indexed="12"/>
      <name val="돋움"/>
      <family val="3"/>
      <charset val="129"/>
    </font>
    <font>
      <b/>
      <sz val="11"/>
      <name val="돋움"/>
      <family val="3"/>
      <charset val="129"/>
    </font>
    <font>
      <sz val="8"/>
      <name val="맑은 고딕"/>
      <family val="3"/>
      <charset val="129"/>
    </font>
    <font>
      <sz val="9"/>
      <name val="돋움"/>
      <family val="3"/>
      <charset val="129"/>
    </font>
    <font>
      <sz val="8"/>
      <name val="굴림"/>
      <family val="3"/>
      <charset val="129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trike/>
      <sz val="9"/>
      <name val="맑은 고딕"/>
      <family val="3"/>
      <charset val="129"/>
    </font>
    <font>
      <sz val="9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4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9"/>
      <name val="맑은 고딕"/>
      <family val="3"/>
      <charset val="129"/>
      <scheme val="maj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15"/>
        <bgColor indexed="64"/>
      </patternFill>
    </fill>
  </fills>
  <borders count="20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>
      <alignment vertical="center"/>
    </xf>
    <xf numFmtId="49" fontId="2" fillId="0" borderId="1">
      <alignment horizontal="center"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0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/>
    <xf numFmtId="0" fontId="1" fillId="0" borderId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1" fillId="0" borderId="0"/>
    <xf numFmtId="0" fontId="12" fillId="0" borderId="0"/>
    <xf numFmtId="0" fontId="13" fillId="0" borderId="0"/>
    <xf numFmtId="41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/>
    <xf numFmtId="0" fontId="8" fillId="0" borderId="0" applyFont="0" applyFill="0" applyBorder="0" applyAlignment="0" applyProtection="0"/>
    <xf numFmtId="181" fontId="1" fillId="0" borderId="0" applyFont="0" applyFill="0" applyBorder="0" applyAlignment="0" applyProtection="0"/>
    <xf numFmtId="38" fontId="17" fillId="2" borderId="0" applyNumberFormat="0" applyBorder="0" applyAlignment="0" applyProtection="0"/>
    <xf numFmtId="0" fontId="18" fillId="0" borderId="0">
      <alignment horizontal="left"/>
    </xf>
    <xf numFmtId="0" fontId="19" fillId="0" borderId="2" applyNumberFormat="0" applyAlignment="0" applyProtection="0">
      <alignment horizontal="left" vertical="center"/>
    </xf>
    <xf numFmtId="0" fontId="19" fillId="0" borderId="3">
      <alignment horizontal="left" vertical="center"/>
    </xf>
    <xf numFmtId="0" fontId="3" fillId="0" borderId="0" applyFont="0" applyFill="0" applyBorder="0" applyAlignment="0" applyProtection="0"/>
    <xf numFmtId="10" fontId="17" fillId="2" borderId="4" applyNumberFormat="0" applyBorder="0" applyAlignment="0" applyProtection="0"/>
    <xf numFmtId="0" fontId="3" fillId="0" borderId="0" applyFont="0" applyFill="0" applyBorder="0" applyAlignment="0" applyProtection="0"/>
    <xf numFmtId="0" fontId="20" fillId="0" borderId="5"/>
    <xf numFmtId="180" fontId="21" fillId="0" borderId="0"/>
    <xf numFmtId="0" fontId="15" fillId="0" borderId="0"/>
    <xf numFmtId="10" fontId="1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2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6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27" fillId="0" borderId="4" xfId="0" applyFont="1" applyBorder="1">
      <alignment vertical="center"/>
    </xf>
    <xf numFmtId="0" fontId="25" fillId="0" borderId="4" xfId="0" applyFont="1" applyBorder="1">
      <alignment vertical="center"/>
    </xf>
    <xf numFmtId="0" fontId="0" fillId="0" borderId="4" xfId="0" applyBorder="1">
      <alignment vertical="center"/>
    </xf>
    <xf numFmtId="0" fontId="29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31" fillId="0" borderId="0" xfId="0" applyFont="1">
      <alignment vertical="center"/>
    </xf>
    <xf numFmtId="0" fontId="33" fillId="0" borderId="7" xfId="35" applyFont="1" applyBorder="1" applyAlignment="1">
      <alignment vertical="center"/>
    </xf>
    <xf numFmtId="178" fontId="33" fillId="0" borderId="6" xfId="35" applyNumberFormat="1" applyFont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0" fontId="33" fillId="0" borderId="10" xfId="35" applyFont="1" applyBorder="1" applyAlignment="1">
      <alignment horizontal="center" vertical="center"/>
    </xf>
    <xf numFmtId="0" fontId="33" fillId="0" borderId="11" xfId="35" applyFont="1" applyBorder="1" applyAlignment="1">
      <alignment vertical="center"/>
    </xf>
    <xf numFmtId="0" fontId="33" fillId="0" borderId="12" xfId="35" applyFont="1" applyBorder="1" applyAlignment="1">
      <alignment horizontal="center" vertical="center"/>
    </xf>
    <xf numFmtId="0" fontId="35" fillId="0" borderId="6" xfId="35" applyFont="1" applyBorder="1" applyAlignment="1">
      <alignment horizontal="center" vertical="center" wrapText="1"/>
    </xf>
    <xf numFmtId="0" fontId="35" fillId="0" borderId="6" xfId="35" applyFont="1" applyBorder="1" applyAlignment="1">
      <alignment horizontal="center" vertical="center"/>
    </xf>
    <xf numFmtId="49" fontId="35" fillId="0" borderId="6" xfId="35" applyNumberFormat="1" applyFont="1" applyBorder="1" applyAlignment="1">
      <alignment horizontal="center" vertical="center"/>
    </xf>
    <xf numFmtId="178" fontId="35" fillId="0" borderId="6" xfId="35" applyNumberFormat="1" applyFont="1" applyBorder="1" applyAlignment="1">
      <alignment horizontal="center" vertical="center"/>
    </xf>
    <xf numFmtId="0" fontId="37" fillId="0" borderId="6" xfId="35" applyFont="1" applyBorder="1" applyAlignment="1">
      <alignment horizontal="center" vertical="center"/>
    </xf>
    <xf numFmtId="0" fontId="35" fillId="0" borderId="13" xfId="35" applyFont="1" applyBorder="1" applyAlignment="1">
      <alignment horizontal="center" vertical="center"/>
    </xf>
    <xf numFmtId="49" fontId="35" fillId="0" borderId="13" xfId="35" applyNumberFormat="1" applyFont="1" applyBorder="1" applyAlignment="1">
      <alignment horizontal="center" vertical="center"/>
    </xf>
    <xf numFmtId="178" fontId="35" fillId="0" borderId="13" xfId="35" applyNumberFormat="1" applyFont="1" applyBorder="1" applyAlignment="1">
      <alignment horizontal="center" vertical="center"/>
    </xf>
    <xf numFmtId="0" fontId="33" fillId="0" borderId="4" xfId="35" applyFont="1" applyBorder="1" applyAlignment="1">
      <alignment horizontal="center" vertical="center"/>
    </xf>
    <xf numFmtId="179" fontId="33" fillId="0" borderId="4" xfId="35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41" fontId="33" fillId="0" borderId="4" xfId="67" applyFont="1" applyBorder="1">
      <alignment vertical="center"/>
    </xf>
    <xf numFmtId="0" fontId="33" fillId="0" borderId="4" xfId="0" applyFont="1" applyBorder="1">
      <alignment vertical="center"/>
    </xf>
    <xf numFmtId="0" fontId="33" fillId="0" borderId="4" xfId="35" applyFont="1" applyBorder="1" applyAlignment="1">
      <alignment horizontal="left" vertical="center"/>
    </xf>
    <xf numFmtId="49" fontId="33" fillId="0" borderId="4" xfId="35" applyNumberFormat="1" applyFont="1" applyBorder="1" applyAlignment="1">
      <alignment horizontal="center" vertical="center"/>
    </xf>
    <xf numFmtId="0" fontId="33" fillId="3" borderId="4" xfId="35" applyFont="1" applyFill="1" applyBorder="1" applyAlignment="1">
      <alignment horizontal="center" vertical="center"/>
    </xf>
    <xf numFmtId="49" fontId="33" fillId="3" borderId="4" xfId="35" applyNumberFormat="1" applyFont="1" applyFill="1" applyBorder="1" applyAlignment="1">
      <alignment horizontal="center" vertical="center"/>
    </xf>
    <xf numFmtId="179" fontId="33" fillId="3" borderId="4" xfId="35" applyNumberFormat="1" applyFont="1" applyFill="1" applyBorder="1" applyAlignment="1">
      <alignment horizontal="center" vertical="center"/>
    </xf>
    <xf numFmtId="49" fontId="33" fillId="0" borderId="4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left" vertical="center"/>
    </xf>
    <xf numFmtId="49" fontId="33" fillId="2" borderId="4" xfId="35" applyNumberFormat="1" applyFont="1" applyFill="1" applyBorder="1" applyAlignment="1">
      <alignment horizontal="center" vertical="center"/>
    </xf>
    <xf numFmtId="49" fontId="33" fillId="0" borderId="4" xfId="35" applyNumberFormat="1" applyFont="1" applyBorder="1" applyAlignment="1">
      <alignment horizontal="left" vertical="center"/>
    </xf>
    <xf numFmtId="49" fontId="33" fillId="0" borderId="4" xfId="36" applyNumberFormat="1" applyFont="1" applyBorder="1" applyAlignment="1">
      <alignment horizontal="left" vertical="center"/>
    </xf>
    <xf numFmtId="49" fontId="33" fillId="0" borderId="4" xfId="0" applyNumberFormat="1" applyFont="1" applyBorder="1">
      <alignment vertical="center"/>
    </xf>
    <xf numFmtId="49" fontId="33" fillId="3" borderId="4" xfId="35" applyNumberFormat="1" applyFont="1" applyFill="1" applyBorder="1" applyAlignment="1">
      <alignment horizontal="left" vertical="center" wrapText="1"/>
    </xf>
    <xf numFmtId="49" fontId="33" fillId="3" borderId="4" xfId="35" applyNumberFormat="1" applyFont="1" applyFill="1" applyBorder="1" applyAlignment="1">
      <alignment horizontal="left" vertical="center"/>
    </xf>
    <xf numFmtId="49" fontId="33" fillId="0" borderId="4" xfId="35" applyNumberFormat="1" applyFont="1" applyBorder="1" applyAlignment="1">
      <alignment horizontal="center" vertical="center" wrapText="1"/>
    </xf>
    <xf numFmtId="49" fontId="33" fillId="3" borderId="4" xfId="36" applyNumberFormat="1" applyFont="1" applyFill="1" applyBorder="1" applyAlignment="1">
      <alignment horizontal="left" vertical="center" wrapText="1"/>
    </xf>
    <xf numFmtId="49" fontId="33" fillId="3" borderId="4" xfId="0" applyNumberFormat="1" applyFont="1" applyFill="1" applyBorder="1" applyAlignment="1">
      <alignment horizontal="center" vertical="center"/>
    </xf>
    <xf numFmtId="41" fontId="33" fillId="3" borderId="4" xfId="67" applyFont="1" applyFill="1" applyBorder="1">
      <alignment vertical="center"/>
    </xf>
    <xf numFmtId="49" fontId="33" fillId="3" borderId="4" xfId="0" applyNumberFormat="1" applyFont="1" applyFill="1" applyBorder="1">
      <alignment vertical="center"/>
    </xf>
    <xf numFmtId="49" fontId="33" fillId="0" borderId="4" xfId="36" applyNumberFormat="1" applyFont="1" applyBorder="1" applyAlignment="1">
      <alignment horizontal="left" vertical="center" wrapText="1"/>
    </xf>
    <xf numFmtId="49" fontId="33" fillId="0" borderId="4" xfId="35" applyNumberFormat="1" applyFont="1" applyBorder="1" applyAlignment="1">
      <alignment horizontal="left" vertical="center" wrapText="1"/>
    </xf>
    <xf numFmtId="49" fontId="33" fillId="3" borderId="4" xfId="36" applyNumberFormat="1" applyFont="1" applyFill="1" applyBorder="1" applyAlignment="1">
      <alignment horizontal="left" vertical="center"/>
    </xf>
    <xf numFmtId="0" fontId="33" fillId="3" borderId="4" xfId="35" applyFont="1" applyFill="1" applyBorder="1" applyAlignment="1">
      <alignment horizontal="left" vertical="center"/>
    </xf>
    <xf numFmtId="0" fontId="33" fillId="3" borderId="4" xfId="36" applyFont="1" applyFill="1" applyBorder="1" applyAlignment="1">
      <alignment horizontal="left" vertical="center"/>
    </xf>
    <xf numFmtId="0" fontId="33" fillId="0" borderId="4" xfId="36" applyFont="1" applyBorder="1" applyAlignment="1">
      <alignment horizontal="left" vertical="center"/>
    </xf>
    <xf numFmtId="0" fontId="33" fillId="3" borderId="4" xfId="0" applyFont="1" applyFill="1" applyBorder="1" applyAlignment="1">
      <alignment horizontal="left" vertical="center"/>
    </xf>
    <xf numFmtId="49" fontId="33" fillId="0" borderId="4" xfId="0" applyNumberFormat="1" applyFont="1" applyBorder="1" applyAlignment="1">
      <alignment horizontal="left" vertical="center" shrinkToFit="1"/>
    </xf>
    <xf numFmtId="0" fontId="33" fillId="0" borderId="4" xfId="0" applyFont="1" applyBorder="1" applyAlignment="1">
      <alignment horizontal="left" vertical="center" shrinkToFit="1"/>
    </xf>
    <xf numFmtId="49" fontId="33" fillId="0" borderId="4" xfId="35" quotePrefix="1" applyNumberFormat="1" applyFont="1" applyBorder="1" applyAlignment="1">
      <alignment horizontal="left" vertical="center"/>
    </xf>
    <xf numFmtId="49" fontId="33" fillId="0" borderId="4" xfId="36" quotePrefix="1" applyNumberFormat="1" applyFont="1" applyBorder="1" applyAlignment="1">
      <alignment horizontal="left" vertical="center"/>
    </xf>
    <xf numFmtId="49" fontId="33" fillId="3" borderId="4" xfId="35" quotePrefix="1" applyNumberFormat="1" applyFont="1" applyFill="1" applyBorder="1" applyAlignment="1">
      <alignment horizontal="left" vertical="center"/>
    </xf>
    <xf numFmtId="49" fontId="33" fillId="0" borderId="4" xfId="0" applyNumberFormat="1" applyFont="1" applyBorder="1" applyAlignment="1">
      <alignment horizontal="left" vertical="center"/>
    </xf>
    <xf numFmtId="49" fontId="33" fillId="0" borderId="4" xfId="0" applyNumberFormat="1" applyFont="1" applyBorder="1" applyAlignment="1">
      <alignment horizontal="left" vertical="center" wrapText="1" shrinkToFit="1"/>
    </xf>
    <xf numFmtId="182" fontId="33" fillId="0" borderId="9" xfId="35" applyNumberFormat="1" applyFont="1" applyBorder="1" applyAlignment="1">
      <alignment horizontal="left" vertical="center"/>
    </xf>
    <xf numFmtId="0" fontId="35" fillId="0" borderId="15" xfId="0" applyFont="1" applyBorder="1" applyAlignment="1"/>
    <xf numFmtId="0" fontId="35" fillId="0" borderId="15" xfId="0" applyFont="1" applyBorder="1" applyAlignment="1">
      <alignment horizontal="center"/>
    </xf>
    <xf numFmtId="49" fontId="33" fillId="0" borderId="9" xfId="0" applyNumberFormat="1" applyFont="1" applyBorder="1" applyAlignment="1">
      <alignment horizontal="center" vertical="center"/>
    </xf>
    <xf numFmtId="49" fontId="33" fillId="0" borderId="16" xfId="0" applyNumberFormat="1" applyFont="1" applyBorder="1" applyAlignment="1">
      <alignment horizontal="center" vertical="center"/>
    </xf>
    <xf numFmtId="182" fontId="33" fillId="0" borderId="4" xfId="35" applyNumberFormat="1" applyFont="1" applyBorder="1" applyAlignment="1">
      <alignment horizontal="center" vertical="center"/>
    </xf>
    <xf numFmtId="182" fontId="33" fillId="3" borderId="4" xfId="35" applyNumberFormat="1" applyFont="1" applyFill="1" applyBorder="1" applyAlignment="1">
      <alignment horizontal="center" vertical="center"/>
    </xf>
    <xf numFmtId="0" fontId="35" fillId="5" borderId="6" xfId="0" applyFont="1" applyFill="1" applyBorder="1" applyAlignment="1">
      <alignment horizontal="center" vertical="center"/>
    </xf>
    <xf numFmtId="0" fontId="35" fillId="5" borderId="6" xfId="0" applyFont="1" applyFill="1" applyBorder="1">
      <alignment vertical="center"/>
    </xf>
    <xf numFmtId="0" fontId="35" fillId="5" borderId="9" xfId="35" applyFont="1" applyFill="1" applyBorder="1" applyAlignment="1">
      <alignment horizontal="center" vertical="center"/>
    </xf>
    <xf numFmtId="41" fontId="35" fillId="5" borderId="9" xfId="67" applyFont="1" applyFill="1" applyBorder="1" applyAlignment="1">
      <alignment horizontal="center" vertical="center"/>
    </xf>
    <xf numFmtId="0" fontId="35" fillId="0" borderId="9" xfId="35" applyFont="1" applyBorder="1" applyAlignment="1">
      <alignment horizontal="center" vertical="center"/>
    </xf>
    <xf numFmtId="182" fontId="33" fillId="4" borderId="4" xfId="35" applyNumberFormat="1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49" fontId="34" fillId="3" borderId="4" xfId="35" applyNumberFormat="1" applyFont="1" applyFill="1" applyBorder="1" applyAlignment="1">
      <alignment horizontal="center" vertical="center"/>
    </xf>
    <xf numFmtId="49" fontId="34" fillId="0" borderId="4" xfId="35" applyNumberFormat="1" applyFont="1" applyBorder="1" applyAlignment="1">
      <alignment horizontal="center" vertical="center"/>
    </xf>
    <xf numFmtId="49" fontId="33" fillId="4" borderId="4" xfId="35" applyNumberFormat="1" applyFont="1" applyFill="1" applyBorder="1" applyAlignment="1">
      <alignment horizontal="center" vertical="center"/>
    </xf>
    <xf numFmtId="49" fontId="33" fillId="6" borderId="4" xfId="35" applyNumberFormat="1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49" fontId="33" fillId="7" borderId="4" xfId="35" applyNumberFormat="1" applyFont="1" applyFill="1" applyBorder="1" applyAlignment="1">
      <alignment horizontal="center" vertical="center"/>
    </xf>
    <xf numFmtId="49" fontId="34" fillId="7" borderId="4" xfId="35" applyNumberFormat="1" applyFont="1" applyFill="1" applyBorder="1" applyAlignment="1">
      <alignment horizontal="center" vertical="center"/>
    </xf>
    <xf numFmtId="14" fontId="33" fillId="0" borderId="4" xfId="35" applyNumberFormat="1" applyFont="1" applyBorder="1" applyAlignment="1">
      <alignment horizontal="center" vertical="center"/>
    </xf>
    <xf numFmtId="14" fontId="34" fillId="3" borderId="4" xfId="35" applyNumberFormat="1" applyFont="1" applyFill="1" applyBorder="1" applyAlignment="1">
      <alignment horizontal="center" vertical="center"/>
    </xf>
    <xf numFmtId="14" fontId="34" fillId="0" borderId="4" xfId="35" applyNumberFormat="1" applyFont="1" applyBorder="1" applyAlignment="1">
      <alignment horizontal="center" vertical="center"/>
    </xf>
    <xf numFmtId="14" fontId="33" fillId="3" borderId="4" xfId="35" applyNumberFormat="1" applyFont="1" applyFill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4" fontId="33" fillId="3" borderId="4" xfId="0" applyNumberFormat="1" applyFont="1" applyFill="1" applyBorder="1" applyAlignment="1">
      <alignment horizontal="center" vertical="center"/>
    </xf>
    <xf numFmtId="49" fontId="33" fillId="0" borderId="4" xfId="0" applyNumberFormat="1" applyFont="1" applyBorder="1" applyAlignment="1">
      <alignment horizontal="center" vertical="center" wrapText="1"/>
    </xf>
    <xf numFmtId="49" fontId="39" fillId="3" borderId="4" xfId="35" applyNumberFormat="1" applyFont="1" applyFill="1" applyBorder="1" applyAlignment="1">
      <alignment horizontal="center" vertical="center"/>
    </xf>
    <xf numFmtId="49" fontId="39" fillId="3" borderId="4" xfId="35" applyNumberFormat="1" applyFont="1" applyFill="1" applyBorder="1" applyAlignment="1">
      <alignment horizontal="left" vertical="center"/>
    </xf>
    <xf numFmtId="49" fontId="24" fillId="3" borderId="4" xfId="35" applyNumberFormat="1" applyFont="1" applyFill="1" applyBorder="1" applyAlignment="1">
      <alignment horizontal="center" vertical="center"/>
    </xf>
    <xf numFmtId="49" fontId="34" fillId="8" borderId="4" xfId="35" applyNumberFormat="1" applyFont="1" applyFill="1" applyBorder="1" applyAlignment="1">
      <alignment horizontal="center" vertical="center"/>
    </xf>
    <xf numFmtId="0" fontId="41" fillId="6" borderId="4" xfId="0" applyFont="1" applyFill="1" applyBorder="1" applyAlignment="1">
      <alignment horizontal="center" vertical="center"/>
    </xf>
    <xf numFmtId="0" fontId="35" fillId="0" borderId="0" xfId="0" applyFont="1" applyAlignment="1"/>
    <xf numFmtId="0" fontId="35" fillId="0" borderId="4" xfId="0" applyFont="1" applyBorder="1" applyAlignment="1">
      <alignment horizontal="center"/>
    </xf>
    <xf numFmtId="0" fontId="35" fillId="5" borderId="7" xfId="0" applyFont="1" applyFill="1" applyBorder="1">
      <alignment vertical="center"/>
    </xf>
    <xf numFmtId="41" fontId="35" fillId="5" borderId="11" xfId="67" applyFont="1" applyFill="1" applyBorder="1" applyAlignment="1">
      <alignment horizontal="center" vertical="center"/>
    </xf>
    <xf numFmtId="0" fontId="33" fillId="0" borderId="18" xfId="0" applyFont="1" applyBorder="1">
      <alignment vertical="center"/>
    </xf>
    <xf numFmtId="49" fontId="33" fillId="0" borderId="18" xfId="0" applyNumberFormat="1" applyFont="1" applyBorder="1" applyAlignment="1">
      <alignment horizontal="center" vertical="center"/>
    </xf>
    <xf numFmtId="0" fontId="42" fillId="0" borderId="18" xfId="0" applyFont="1" applyBorder="1">
      <alignment vertical="center"/>
    </xf>
    <xf numFmtId="49" fontId="33" fillId="0" borderId="18" xfId="0" applyNumberFormat="1" applyFont="1" applyBorder="1">
      <alignment vertical="center"/>
    </xf>
    <xf numFmtId="49" fontId="33" fillId="3" borderId="18" xfId="0" applyNumberFormat="1" applyFont="1" applyFill="1" applyBorder="1">
      <alignment vertical="center"/>
    </xf>
    <xf numFmtId="0" fontId="0" fillId="0" borderId="18" xfId="0" applyBorder="1">
      <alignment vertical="center"/>
    </xf>
    <xf numFmtId="49" fontId="33" fillId="0" borderId="18" xfId="35" applyNumberFormat="1" applyFont="1" applyBorder="1" applyAlignment="1">
      <alignment horizontal="center" vertical="center"/>
    </xf>
    <xf numFmtId="0" fontId="27" fillId="0" borderId="6" xfId="0" applyFont="1" applyBorder="1">
      <alignment vertical="center"/>
    </xf>
    <xf numFmtId="0" fontId="25" fillId="0" borderId="6" xfId="0" applyFont="1" applyBorder="1">
      <alignment vertical="center"/>
    </xf>
    <xf numFmtId="0" fontId="0" fillId="0" borderId="6" xfId="0" applyBorder="1">
      <alignment vertical="center"/>
    </xf>
    <xf numFmtId="0" fontId="27" fillId="0" borderId="9" xfId="0" applyFont="1" applyBorder="1">
      <alignment vertical="center"/>
    </xf>
    <xf numFmtId="183" fontId="38" fillId="0" borderId="17" xfId="0" applyNumberFormat="1" applyFont="1" applyBorder="1">
      <alignment vertical="center"/>
    </xf>
    <xf numFmtId="183" fontId="43" fillId="0" borderId="17" xfId="0" applyNumberFormat="1" applyFont="1" applyBorder="1">
      <alignment vertical="center"/>
    </xf>
    <xf numFmtId="0" fontId="27" fillId="0" borderId="0" xfId="0" applyFont="1">
      <alignment vertical="center"/>
    </xf>
    <xf numFmtId="0" fontId="25" fillId="0" borderId="0" xfId="0" applyFont="1">
      <alignment vertical="center"/>
    </xf>
    <xf numFmtId="0" fontId="24" fillId="0" borderId="0" xfId="0" applyFont="1">
      <alignment vertical="center"/>
    </xf>
    <xf numFmtId="49" fontId="44" fillId="6" borderId="4" xfId="35" applyNumberFormat="1" applyFont="1" applyFill="1" applyBorder="1" applyAlignment="1">
      <alignment horizontal="center" vertical="center"/>
    </xf>
    <xf numFmtId="3" fontId="33" fillId="0" borderId="4" xfId="67" applyNumberFormat="1" applyFont="1" applyBorder="1" applyAlignment="1">
      <alignment horizontal="center" vertical="center"/>
    </xf>
    <xf numFmtId="0" fontId="46" fillId="6" borderId="4" xfId="0" applyFont="1" applyFill="1" applyBorder="1" applyAlignment="1">
      <alignment horizontal="center" vertical="center"/>
    </xf>
    <xf numFmtId="49" fontId="47" fillId="6" borderId="4" xfId="35" applyNumberFormat="1" applyFont="1" applyFill="1" applyBorder="1" applyAlignment="1">
      <alignment horizontal="center" vertical="center"/>
    </xf>
    <xf numFmtId="49" fontId="33" fillId="0" borderId="9" xfId="35" applyNumberFormat="1" applyFont="1" applyBorder="1" applyAlignment="1">
      <alignment horizontal="center" vertical="center"/>
    </xf>
    <xf numFmtId="0" fontId="48" fillId="0" borderId="18" xfId="0" applyFont="1" applyBorder="1">
      <alignment vertical="center"/>
    </xf>
    <xf numFmtId="0" fontId="35" fillId="0" borderId="18" xfId="0" applyFont="1" applyBorder="1" applyAlignment="1">
      <alignment horizontal="center" vertical="center"/>
    </xf>
    <xf numFmtId="0" fontId="42" fillId="0" borderId="4" xfId="0" applyFont="1" applyBorder="1">
      <alignment vertical="center"/>
    </xf>
    <xf numFmtId="0" fontId="49" fillId="0" borderId="18" xfId="0" applyFont="1" applyBorder="1" applyAlignment="1">
      <alignment horizontal="center" vertical="center"/>
    </xf>
    <xf numFmtId="49" fontId="42" fillId="0" borderId="18" xfId="0" applyNumberFormat="1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50" fillId="0" borderId="4" xfId="0" applyFont="1" applyBorder="1">
      <alignment vertical="center"/>
    </xf>
    <xf numFmtId="41" fontId="52" fillId="3" borderId="4" xfId="67" applyFont="1" applyFill="1" applyBorder="1" applyAlignment="1">
      <alignment horizontal="right" vertical="center"/>
    </xf>
    <xf numFmtId="0" fontId="0" fillId="0" borderId="0" xfId="0" applyAlignment="1"/>
    <xf numFmtId="0" fontId="33" fillId="0" borderId="9" xfId="35" applyFont="1" applyBorder="1" applyAlignment="1">
      <alignment horizontal="center" vertical="center"/>
    </xf>
    <xf numFmtId="49" fontId="49" fillId="0" borderId="4" xfId="0" applyNumberFormat="1" applyFont="1" applyBorder="1" applyAlignment="1">
      <alignment horizontal="center" vertical="center"/>
    </xf>
    <xf numFmtId="0" fontId="35" fillId="0" borderId="6" xfId="0" applyFont="1" applyBorder="1" applyAlignment="1"/>
    <xf numFmtId="0" fontId="35" fillId="0" borderId="10" xfId="0" applyFont="1" applyBorder="1" applyAlignment="1"/>
    <xf numFmtId="0" fontId="35" fillId="0" borderId="13" xfId="0" applyFont="1" applyBorder="1" applyAlignment="1"/>
    <xf numFmtId="0" fontId="33" fillId="0" borderId="17" xfId="35" applyFont="1" applyBorder="1" applyAlignment="1">
      <alignment vertical="center"/>
    </xf>
    <xf numFmtId="0" fontId="33" fillId="0" borderId="15" xfId="35" applyFont="1" applyBorder="1" applyAlignment="1">
      <alignment horizontal="center" vertical="center"/>
    </xf>
    <xf numFmtId="0" fontId="35" fillId="0" borderId="4" xfId="0" applyFont="1" applyBorder="1" applyAlignment="1"/>
    <xf numFmtId="0" fontId="35" fillId="0" borderId="4" xfId="35" applyFont="1" applyBorder="1" applyAlignment="1">
      <alignment horizontal="center" vertical="center" wrapText="1"/>
    </xf>
    <xf numFmtId="0" fontId="35" fillId="0" borderId="4" xfId="35" applyFont="1" applyBorder="1" applyAlignment="1">
      <alignment horizontal="center" vertical="center"/>
    </xf>
    <xf numFmtId="49" fontId="35" fillId="0" borderId="4" xfId="35" applyNumberFormat="1" applyFont="1" applyBorder="1" applyAlignment="1">
      <alignment horizontal="center" vertical="center"/>
    </xf>
    <xf numFmtId="178" fontId="35" fillId="0" borderId="4" xfId="35" applyNumberFormat="1" applyFont="1" applyBorder="1" applyAlignment="1">
      <alignment horizontal="center" vertical="center"/>
    </xf>
    <xf numFmtId="0" fontId="37" fillId="0" borderId="4" xfId="35" applyFont="1" applyBorder="1" applyAlignment="1">
      <alignment horizontal="center" vertical="center"/>
    </xf>
    <xf numFmtId="0" fontId="33" fillId="3" borderId="4" xfId="0" applyFont="1" applyFill="1" applyBorder="1" applyAlignment="1">
      <alignment horizontal="center" vertical="center"/>
    </xf>
    <xf numFmtId="0" fontId="42" fillId="3" borderId="4" xfId="0" applyFont="1" applyFill="1" applyBorder="1">
      <alignment vertical="center"/>
    </xf>
    <xf numFmtId="0" fontId="0" fillId="3" borderId="0" xfId="0" applyFill="1">
      <alignment vertical="center"/>
    </xf>
    <xf numFmtId="0" fontId="49" fillId="3" borderId="18" xfId="0" applyFont="1" applyFill="1" applyBorder="1" applyAlignment="1">
      <alignment horizontal="center" vertical="center"/>
    </xf>
    <xf numFmtId="0" fontId="54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49" fontId="51" fillId="3" borderId="18" xfId="0" applyNumberFormat="1" applyFont="1" applyFill="1" applyBorder="1" applyAlignment="1">
      <alignment horizontal="center" vertical="center"/>
    </xf>
    <xf numFmtId="0" fontId="42" fillId="3" borderId="18" xfId="0" applyFont="1" applyFill="1" applyBorder="1">
      <alignment vertical="center"/>
    </xf>
    <xf numFmtId="49" fontId="42" fillId="3" borderId="18" xfId="0" applyNumberFormat="1" applyFont="1" applyFill="1" applyBorder="1" applyAlignment="1">
      <alignment horizontal="center" vertical="center"/>
    </xf>
    <xf numFmtId="49" fontId="42" fillId="0" borderId="4" xfId="0" applyNumberFormat="1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53" fillId="3" borderId="18" xfId="0" applyFont="1" applyFill="1" applyBorder="1">
      <alignment vertical="center"/>
    </xf>
    <xf numFmtId="49" fontId="33" fillId="3" borderId="9" xfId="35" applyNumberFormat="1" applyFont="1" applyFill="1" applyBorder="1" applyAlignment="1">
      <alignment horizontal="left" vertical="center"/>
    </xf>
    <xf numFmtId="49" fontId="33" fillId="3" borderId="9" xfId="0" applyNumberFormat="1" applyFont="1" applyFill="1" applyBorder="1" applyAlignment="1">
      <alignment horizontal="center" vertical="center"/>
    </xf>
    <xf numFmtId="49" fontId="33" fillId="3" borderId="11" xfId="0" applyNumberFormat="1" applyFont="1" applyFill="1" applyBorder="1">
      <alignment vertical="center"/>
    </xf>
    <xf numFmtId="0" fontId="50" fillId="0" borderId="18" xfId="0" applyFont="1" applyBorder="1">
      <alignment vertical="center"/>
    </xf>
    <xf numFmtId="0" fontId="53" fillId="0" borderId="18" xfId="0" applyFont="1" applyBorder="1">
      <alignment vertical="center"/>
    </xf>
    <xf numFmtId="14" fontId="55" fillId="0" borderId="4" xfId="0" quotePrefix="1" applyNumberFormat="1" applyFont="1" applyBorder="1" applyAlignment="1">
      <alignment horizontal="center" vertical="center"/>
    </xf>
    <xf numFmtId="14" fontId="33" fillId="0" borderId="9" xfId="35" applyNumberFormat="1" applyFont="1" applyBorder="1" applyAlignment="1">
      <alignment horizontal="center" vertical="center"/>
    </xf>
    <xf numFmtId="0" fontId="29" fillId="0" borderId="4" xfId="0" applyFont="1" applyBorder="1">
      <alignment vertical="center"/>
    </xf>
    <xf numFmtId="183" fontId="38" fillId="0" borderId="4" xfId="0" applyNumberFormat="1" applyFont="1" applyBorder="1">
      <alignment vertical="center"/>
    </xf>
    <xf numFmtId="0" fontId="33" fillId="0" borderId="9" xfId="35" applyFont="1" applyBorder="1" applyAlignment="1">
      <alignment horizontal="left" vertical="center"/>
    </xf>
    <xf numFmtId="49" fontId="45" fillId="0" borderId="4" xfId="35" applyNumberFormat="1" applyFont="1" applyBorder="1" applyAlignment="1">
      <alignment horizontal="center" vertical="center" wrapText="1"/>
    </xf>
    <xf numFmtId="14" fontId="33" fillId="0" borderId="4" xfId="0" applyNumberFormat="1" applyFont="1" applyBorder="1" applyAlignment="1">
      <alignment horizontal="center" vertical="center"/>
    </xf>
    <xf numFmtId="14" fontId="34" fillId="0" borderId="9" xfId="35" applyNumberFormat="1" applyFont="1" applyBorder="1" applyAlignment="1">
      <alignment horizontal="center" vertical="center"/>
    </xf>
    <xf numFmtId="0" fontId="0" fillId="4" borderId="0" xfId="0" applyFill="1">
      <alignment vertical="center"/>
    </xf>
    <xf numFmtId="41" fontId="33" fillId="0" borderId="4" xfId="67" applyFont="1" applyFill="1" applyBorder="1">
      <alignment vertical="center"/>
    </xf>
    <xf numFmtId="49" fontId="33" fillId="0" borderId="9" xfId="35" applyNumberFormat="1" applyFont="1" applyBorder="1" applyAlignment="1">
      <alignment horizontal="left" vertical="center"/>
    </xf>
    <xf numFmtId="49" fontId="33" fillId="0" borderId="9" xfId="36" applyNumberFormat="1" applyFont="1" applyBorder="1" applyAlignment="1">
      <alignment horizontal="left" vertical="center" wrapText="1"/>
    </xf>
    <xf numFmtId="49" fontId="33" fillId="4" borderId="18" xfId="35" applyNumberFormat="1" applyFont="1" applyFill="1" applyBorder="1" applyAlignment="1">
      <alignment horizontal="center" vertical="center"/>
    </xf>
    <xf numFmtId="49" fontId="33" fillId="0" borderId="9" xfId="36" applyNumberFormat="1" applyFont="1" applyBorder="1" applyAlignment="1">
      <alignment horizontal="left" vertical="center"/>
    </xf>
    <xf numFmtId="0" fontId="33" fillId="0" borderId="18" xfId="35" applyFont="1" applyBorder="1" applyAlignment="1">
      <alignment horizontal="center" vertical="center"/>
    </xf>
    <xf numFmtId="49" fontId="33" fillId="2" borderId="9" xfId="35" applyNumberFormat="1" applyFont="1" applyFill="1" applyBorder="1" applyAlignment="1">
      <alignment horizontal="center" vertical="center"/>
    </xf>
    <xf numFmtId="49" fontId="33" fillId="0" borderId="19" xfId="0" applyNumberFormat="1" applyFont="1" applyBorder="1" applyAlignment="1">
      <alignment horizontal="center" vertical="center"/>
    </xf>
    <xf numFmtId="0" fontId="33" fillId="0" borderId="9" xfId="36" applyFont="1" applyBorder="1" applyAlignment="1">
      <alignment horizontal="left" vertical="center"/>
    </xf>
    <xf numFmtId="0" fontId="54" fillId="0" borderId="18" xfId="0" applyFont="1" applyBorder="1" applyAlignment="1">
      <alignment horizontal="center" vertical="center"/>
    </xf>
    <xf numFmtId="49" fontId="32" fillId="0" borderId="8" xfId="35" applyNumberFormat="1" applyFont="1" applyBorder="1" applyAlignment="1">
      <alignment horizontal="center" vertical="center"/>
    </xf>
    <xf numFmtId="49" fontId="32" fillId="0" borderId="0" xfId="35" applyNumberFormat="1" applyFont="1" applyAlignment="1">
      <alignment horizontal="center" vertical="center"/>
    </xf>
    <xf numFmtId="49" fontId="36" fillId="0" borderId="0" xfId="35" applyNumberFormat="1" applyFont="1" applyAlignment="1">
      <alignment horizontal="center" vertical="center"/>
    </xf>
    <xf numFmtId="178" fontId="33" fillId="0" borderId="0" xfId="35" applyNumberFormat="1" applyFont="1" applyAlignment="1">
      <alignment horizontal="left" vertical="center"/>
    </xf>
    <xf numFmtId="182" fontId="33" fillId="0" borderId="0" xfId="35" applyNumberFormat="1" applyFont="1" applyAlignment="1">
      <alignment horizontal="left" vertical="center"/>
    </xf>
    <xf numFmtId="0" fontId="33" fillId="0" borderId="0" xfId="35" applyFont="1" applyAlignment="1">
      <alignment vertical="center"/>
    </xf>
    <xf numFmtId="0" fontId="33" fillId="0" borderId="0" xfId="35" applyFont="1" applyAlignment="1">
      <alignment horizontal="center" vertical="center"/>
    </xf>
    <xf numFmtId="0" fontId="33" fillId="0" borderId="14" xfId="35" applyFont="1" applyBorder="1" applyAlignment="1">
      <alignment vertical="center"/>
    </xf>
    <xf numFmtId="0" fontId="33" fillId="0" borderId="14" xfId="35" applyFont="1" applyBorder="1" applyAlignment="1">
      <alignment horizontal="center" vertical="center"/>
    </xf>
    <xf numFmtId="49" fontId="32" fillId="0" borderId="7" xfId="35" applyNumberFormat="1" applyFont="1" applyBorder="1" applyAlignment="1">
      <alignment horizontal="center" vertical="center"/>
    </xf>
    <xf numFmtId="49" fontId="32" fillId="0" borderId="8" xfId="35" applyNumberFormat="1" applyFont="1" applyBorder="1" applyAlignment="1">
      <alignment horizontal="center" vertical="center"/>
    </xf>
    <xf numFmtId="49" fontId="32" fillId="0" borderId="10" xfId="35" applyNumberFormat="1" applyFont="1" applyBorder="1" applyAlignment="1">
      <alignment horizontal="center" vertical="center"/>
    </xf>
    <xf numFmtId="49" fontId="32" fillId="0" borderId="17" xfId="35" applyNumberFormat="1" applyFont="1" applyBorder="1" applyAlignment="1">
      <alignment horizontal="center" vertical="center"/>
    </xf>
    <xf numFmtId="49" fontId="32" fillId="0" borderId="0" xfId="35" applyNumberFormat="1" applyFont="1" applyAlignment="1">
      <alignment horizontal="center" vertical="center"/>
    </xf>
    <xf numFmtId="49" fontId="32" fillId="0" borderId="15" xfId="35" applyNumberFormat="1" applyFont="1" applyBorder="1" applyAlignment="1">
      <alignment horizontal="center" vertical="center"/>
    </xf>
    <xf numFmtId="49" fontId="36" fillId="0" borderId="17" xfId="35" applyNumberFormat="1" applyFont="1" applyBorder="1" applyAlignment="1">
      <alignment horizontal="center" vertical="center"/>
    </xf>
    <xf numFmtId="49" fontId="36" fillId="0" borderId="0" xfId="35" applyNumberFormat="1" applyFont="1" applyAlignment="1">
      <alignment horizontal="center" vertical="center"/>
    </xf>
    <xf numFmtId="49" fontId="36" fillId="0" borderId="15" xfId="35" applyNumberFormat="1" applyFont="1" applyBorder="1" applyAlignment="1">
      <alignment horizontal="center" vertical="center"/>
    </xf>
    <xf numFmtId="49" fontId="36" fillId="0" borderId="11" xfId="35" applyNumberFormat="1" applyFont="1" applyBorder="1" applyAlignment="1">
      <alignment horizontal="center" vertical="center"/>
    </xf>
    <xf numFmtId="49" fontId="36" fillId="0" borderId="14" xfId="35" applyNumberFormat="1" applyFont="1" applyBorder="1" applyAlignment="1">
      <alignment horizontal="center" vertical="center"/>
    </xf>
    <xf numFmtId="49" fontId="36" fillId="0" borderId="12" xfId="35" applyNumberFormat="1" applyFont="1" applyBorder="1" applyAlignment="1">
      <alignment horizontal="center" vertical="center"/>
    </xf>
    <xf numFmtId="0" fontId="35" fillId="0" borderId="18" xfId="35" applyFont="1" applyBorder="1" applyAlignment="1">
      <alignment horizontal="center" vertical="center"/>
    </xf>
    <xf numFmtId="0" fontId="35" fillId="0" borderId="3" xfId="35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4" fillId="0" borderId="0" xfId="35" applyFont="1" applyAlignment="1">
      <alignment horizontal="center" vertical="center"/>
    </xf>
    <xf numFmtId="178" fontId="33" fillId="0" borderId="0" xfId="35" applyNumberFormat="1" applyFont="1" applyAlignment="1">
      <alignment horizontal="center" vertical="center"/>
    </xf>
    <xf numFmtId="178" fontId="33" fillId="0" borderId="14" xfId="35" applyNumberFormat="1" applyFont="1" applyBorder="1" applyAlignment="1">
      <alignment horizontal="center" vertical="center"/>
    </xf>
    <xf numFmtId="0" fontId="33" fillId="0" borderId="0" xfId="35" applyFont="1" applyAlignment="1">
      <alignment horizontal="left" vertical="center"/>
    </xf>
    <xf numFmtId="0" fontId="33" fillId="0" borderId="7" xfId="35" applyFont="1" applyBorder="1" applyAlignment="1">
      <alignment horizontal="left" vertical="center"/>
    </xf>
    <xf numFmtId="0" fontId="33" fillId="0" borderId="10" xfId="35" applyFont="1" applyBorder="1" applyAlignment="1">
      <alignment horizontal="left" vertical="center"/>
    </xf>
    <xf numFmtId="0" fontId="33" fillId="0" borderId="11" xfId="35" applyFont="1" applyBorder="1" applyAlignment="1">
      <alignment horizontal="left" vertical="center"/>
    </xf>
    <xf numFmtId="0" fontId="33" fillId="0" borderId="12" xfId="35" applyFont="1" applyBorder="1" applyAlignment="1">
      <alignment horizontal="left" vertical="center"/>
    </xf>
    <xf numFmtId="49" fontId="32" fillId="0" borderId="6" xfId="35" applyNumberFormat="1" applyFont="1" applyBorder="1" applyAlignment="1">
      <alignment horizontal="center" vertical="center"/>
    </xf>
    <xf numFmtId="49" fontId="32" fillId="0" borderId="13" xfId="35" applyNumberFormat="1" applyFont="1" applyBorder="1" applyAlignment="1">
      <alignment horizontal="center" vertical="center"/>
    </xf>
    <xf numFmtId="49" fontId="36" fillId="0" borderId="13" xfId="35" applyNumberFormat="1" applyFont="1" applyBorder="1" applyAlignment="1">
      <alignment horizontal="center" vertical="center"/>
    </xf>
    <xf numFmtId="0" fontId="34" fillId="0" borderId="7" xfId="35" applyFont="1" applyBorder="1" applyAlignment="1">
      <alignment horizontal="center" vertical="center"/>
    </xf>
    <xf numFmtId="0" fontId="34" fillId="0" borderId="10" xfId="35" applyFont="1" applyBorder="1" applyAlignment="1">
      <alignment horizontal="center" vertical="center"/>
    </xf>
    <xf numFmtId="0" fontId="34" fillId="0" borderId="11" xfId="35" applyFont="1" applyBorder="1" applyAlignment="1">
      <alignment horizontal="center" vertical="center"/>
    </xf>
    <xf numFmtId="0" fontId="34" fillId="0" borderId="12" xfId="35" applyFont="1" applyBorder="1" applyAlignment="1">
      <alignment horizontal="center" vertical="center"/>
    </xf>
    <xf numFmtId="178" fontId="33" fillId="0" borderId="7" xfId="35" applyNumberFormat="1" applyFont="1" applyBorder="1" applyAlignment="1">
      <alignment horizontal="center" vertical="center"/>
    </xf>
    <xf numFmtId="178" fontId="33" fillId="0" borderId="8" xfId="35" applyNumberFormat="1" applyFont="1" applyBorder="1" applyAlignment="1">
      <alignment horizontal="center" vertical="center"/>
    </xf>
    <xf numFmtId="178" fontId="33" fillId="0" borderId="10" xfId="35" applyNumberFormat="1" applyFont="1" applyBorder="1" applyAlignment="1">
      <alignment horizontal="center" vertical="center"/>
    </xf>
    <xf numFmtId="178" fontId="33" fillId="0" borderId="17" xfId="35" applyNumberFormat="1" applyFont="1" applyBorder="1" applyAlignment="1">
      <alignment horizontal="center" vertical="center"/>
    </xf>
    <xf numFmtId="178" fontId="33" fillId="0" borderId="15" xfId="35" applyNumberFormat="1" applyFont="1" applyBorder="1" applyAlignment="1">
      <alignment horizontal="center" vertical="center"/>
    </xf>
    <xf numFmtId="0" fontId="34" fillId="0" borderId="8" xfId="35" applyFont="1" applyBorder="1" applyAlignment="1">
      <alignment horizontal="center" vertical="center"/>
    </xf>
    <xf numFmtId="0" fontId="34" fillId="0" borderId="14" xfId="35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49" fontId="36" fillId="0" borderId="9" xfId="35" applyNumberFormat="1" applyFont="1" applyBorder="1" applyAlignment="1">
      <alignment horizontal="center" vertical="center"/>
    </xf>
    <xf numFmtId="178" fontId="33" fillId="0" borderId="11" xfId="35" applyNumberFormat="1" applyFont="1" applyBorder="1" applyAlignment="1">
      <alignment horizontal="center" vertical="center"/>
    </xf>
    <xf numFmtId="178" fontId="33" fillId="0" borderId="12" xfId="35" applyNumberFormat="1" applyFont="1" applyBorder="1" applyAlignment="1">
      <alignment horizontal="center" vertical="center"/>
    </xf>
  </cellXfs>
  <cellStyles count="70">
    <cellStyle name="&quot;" xfId="1" xr:uid="{00000000-0005-0000-0000-000000000000}"/>
    <cellStyle name="_Cg8J0n4zzuBwEaPTcOxkbUm2G" xfId="16" xr:uid="{00000000-0005-0000-0000-000001000000}"/>
    <cellStyle name="_KPFRJ8U3h0jFTP13R1MYQ3Bwv" xfId="17" xr:uid="{00000000-0005-0000-0000-000002000000}"/>
    <cellStyle name="_PQT" xfId="18" xr:uid="{00000000-0005-0000-0000-000003000000}"/>
    <cellStyle name="_PQT_1" xfId="19" xr:uid="{00000000-0005-0000-0000-000004000000}"/>
    <cellStyle name="_RHD (2)" xfId="20" xr:uid="{00000000-0005-0000-0000-000005000000}"/>
    <cellStyle name="_RHD (2)_1" xfId="21" xr:uid="{00000000-0005-0000-0000-000006000000}"/>
    <cellStyle name="_TOTAL" xfId="22" xr:uid="{00000000-0005-0000-0000-000007000000}"/>
    <cellStyle name="_y2k 7월생산계획실적" xfId="23" xr:uid="{00000000-0005-0000-0000-000008000000}"/>
    <cellStyle name="_금형" xfId="2" xr:uid="{00000000-0005-0000-0000-000009000000}"/>
    <cellStyle name="_금형_Cg8J0n4zzuBwEaPTcOxkbUm2G" xfId="5" xr:uid="{00000000-0005-0000-0000-00000A000000}"/>
    <cellStyle name="_금형_KPFRJ8U3h0jFTP13R1MYQ3Bwv" xfId="6" xr:uid="{00000000-0005-0000-0000-00000B000000}"/>
    <cellStyle name="_금형_TOTAL" xfId="7" xr:uid="{00000000-0005-0000-0000-00000C000000}"/>
    <cellStyle name="_금형_y2k 7월생산계획실적" xfId="8" xr:uid="{00000000-0005-0000-0000-00000D000000}"/>
    <cellStyle name="_금형_영업日실적 (AP,전성,시판)" xfId="3" xr:uid="{00000000-0005-0000-0000-00000E000000}"/>
    <cellStyle name="_금형_영업日실적(SMI)" xfId="4" xr:uid="{00000000-0005-0000-0000-00000F000000}"/>
    <cellStyle name="_샤시 (2)" xfId="9" xr:uid="{00000000-0005-0000-0000-000010000000}"/>
    <cellStyle name="_샤시 (2)_1" xfId="10" xr:uid="{00000000-0005-0000-0000-000011000000}"/>
    <cellStyle name="_샤시 (2)_2" xfId="11" xr:uid="{00000000-0005-0000-0000-000012000000}"/>
    <cellStyle name="_영업日실적 (AP,전성,시판)" xfId="12" xr:uid="{00000000-0005-0000-0000-000013000000}"/>
    <cellStyle name="_영업日실적(SMI)" xfId="13" xr:uid="{00000000-0005-0000-0000-000014000000}"/>
    <cellStyle name="_차체 (2)" xfId="14" xr:uid="{00000000-0005-0000-0000-000015000000}"/>
    <cellStyle name="_차체 (2)_1" xfId="15" xr:uid="{00000000-0005-0000-0000-000016000000}"/>
    <cellStyle name="AeE­ [0]_½CAuCoE² " xfId="37" xr:uid="{00000000-0005-0000-0000-000017000000}"/>
    <cellStyle name="AeE­_½CAuCoE² " xfId="38" xr:uid="{00000000-0005-0000-0000-000018000000}"/>
    <cellStyle name="AÞ¸¶ [0]_½CAuCoE² " xfId="39" xr:uid="{00000000-0005-0000-0000-000019000000}"/>
    <cellStyle name="AÞ¸¶_½CAuCoE² " xfId="40" xr:uid="{00000000-0005-0000-0000-00001A000000}"/>
    <cellStyle name="C￥AØ_#03_#04 ¼oA¤" xfId="41" xr:uid="{00000000-0005-0000-0000-00001B000000}"/>
    <cellStyle name="Ç¥ÁØ_Book1" xfId="42" xr:uid="{00000000-0005-0000-0000-00001C000000}"/>
    <cellStyle name="category" xfId="43" xr:uid="{00000000-0005-0000-0000-00001D000000}"/>
    <cellStyle name="Comma [0]" xfId="44" xr:uid="{00000000-0005-0000-0000-00001E000000}"/>
    <cellStyle name="Comma [0] 2" xfId="68" xr:uid="{00000000-0005-0000-0000-00001F000000}"/>
    <cellStyle name="Comma_ SG&amp;A Bridge " xfId="45" xr:uid="{00000000-0005-0000-0000-000020000000}"/>
    <cellStyle name="Currency [0]" xfId="46" xr:uid="{00000000-0005-0000-0000-000021000000}"/>
    <cellStyle name="Currency_ SG&amp;A Bridge " xfId="47" xr:uid="{00000000-0005-0000-0000-000022000000}"/>
    <cellStyle name="Currency1" xfId="48" xr:uid="{00000000-0005-0000-0000-000023000000}"/>
    <cellStyle name="Euro" xfId="50" xr:uid="{00000000-0005-0000-0000-000024000000}"/>
    <cellStyle name="Grey" xfId="51" xr:uid="{00000000-0005-0000-0000-000025000000}"/>
    <cellStyle name="HEADER" xfId="52" xr:uid="{00000000-0005-0000-0000-000026000000}"/>
    <cellStyle name="Header1" xfId="53" xr:uid="{00000000-0005-0000-0000-000027000000}"/>
    <cellStyle name="Header2" xfId="54" xr:uid="{00000000-0005-0000-0000-000028000000}"/>
    <cellStyle name="iles|_x0005_h" xfId="55" xr:uid="{00000000-0005-0000-0000-000029000000}"/>
    <cellStyle name="Input [yellow]" xfId="56" xr:uid="{00000000-0005-0000-0000-00002A000000}"/>
    <cellStyle name="les" xfId="57" xr:uid="{00000000-0005-0000-0000-00002B000000}"/>
    <cellStyle name="Model" xfId="58" xr:uid="{00000000-0005-0000-0000-00002C000000}"/>
    <cellStyle name="Normal - Style1" xfId="59" xr:uid="{00000000-0005-0000-0000-00002D000000}"/>
    <cellStyle name="Normal_ SG&amp;A Bridge " xfId="60" xr:uid="{00000000-0005-0000-0000-00002E000000}"/>
    <cellStyle name="Percent [2]" xfId="61" xr:uid="{00000000-0005-0000-0000-00002F000000}"/>
    <cellStyle name="R?" xfId="62" xr:uid="{00000000-0005-0000-0000-000030000000}"/>
    <cellStyle name="sche|_x0005_" xfId="63" xr:uid="{00000000-0005-0000-0000-000031000000}"/>
    <cellStyle name="subhead" xfId="64" xr:uid="{00000000-0005-0000-0000-000032000000}"/>
    <cellStyle name="XLS'|_x0005_t" xfId="65" xr:uid="{00000000-0005-0000-0000-000033000000}"/>
    <cellStyle name="ऌଃࠁ_x0004_܀܇܇ⴂఀ̉ᰋࠀȄ܂ऌଃਁȋЈȂ܇܇ȇ-ऌଃਁȋ䀁ࠀ_x0004_ⴀ Ї ऌଃⴁ Ј" xfId="66" xr:uid="{00000000-0005-0000-0000-000034000000}"/>
    <cellStyle name="ఀ̉ᰋࠀȄ܂ऌଃਁȋЈȂ܇܇ȇ-ऌଃਁȋ䀁ࠀ_x0004_ⴀ Ї ऌଃⴁ Ј" xfId="49" xr:uid="{00000000-0005-0000-0000-000035000000}"/>
    <cellStyle name="뒤에 오는 하이퍼링크_040202_MOB발의(선반).xls Chart 1" xfId="24" xr:uid="{00000000-0005-0000-0000-000036000000}"/>
    <cellStyle name="똿뗦먛귟 [0.00]_PRODUCT DETAIL Q1" xfId="25" xr:uid="{00000000-0005-0000-0000-000037000000}"/>
    <cellStyle name="똿뗦먛귟_PRODUCT DETAIL Q1" xfId="26" xr:uid="{00000000-0005-0000-0000-000038000000}"/>
    <cellStyle name="믅됞 [0.00]_PRODUCT DETAIL Q1" xfId="27" xr:uid="{00000000-0005-0000-0000-000039000000}"/>
    <cellStyle name="믅됞_PRODUCT DETAIL Q1" xfId="28" xr:uid="{00000000-0005-0000-0000-00003A000000}"/>
    <cellStyle name="뷭?_BOOKSHIP" xfId="29" xr:uid="{00000000-0005-0000-0000-00003B000000}"/>
    <cellStyle name="셈迷?XLS!check_filesche|_x0005_" xfId="30" xr:uid="{00000000-0005-0000-0000-00003C000000}"/>
    <cellStyle name="쉼표 [0]" xfId="67" builtinId="6"/>
    <cellStyle name="쉼표 [0] 2" xfId="69" xr:uid="{00000000-0005-0000-0000-00003E000000}"/>
    <cellStyle name="스타일 1" xfId="31" xr:uid="{00000000-0005-0000-0000-00003F000000}"/>
    <cellStyle name="콤마 [0]_~0034660" xfId="32" xr:uid="{00000000-0005-0000-0000-000040000000}"/>
    <cellStyle name="콤마,_x0005__x0014_" xfId="33" xr:uid="{00000000-0005-0000-0000-000041000000}"/>
    <cellStyle name="콤마_~0034660" xfId="34" xr:uid="{00000000-0005-0000-0000-000042000000}"/>
    <cellStyle name="표준" xfId="0" builtinId="0"/>
    <cellStyle name="표준_Sheet1_항공측정장비 대장" xfId="36" xr:uid="{00000000-0005-0000-0000-000044000000}"/>
    <cellStyle name="표준_항공측정장비 대장" xfId="35" xr:uid="{00000000-0005-0000-0000-000045000000}"/>
  </cellStyles>
  <dxfs count="7">
    <dxf>
      <font>
        <b/>
        <i val="0"/>
        <color rgb="FF0000FF"/>
      </font>
    </dxf>
    <dxf>
      <font>
        <b/>
        <i val="0"/>
        <color rgb="FF0000FF"/>
      </font>
    </dxf>
    <dxf>
      <fill>
        <patternFill>
          <bgColor theme="9" tint="0.59996337778862885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0000FF"/>
      <color rgb="FF00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61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MA&#51452;&#5466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&#44608;&#46041;&#44396;\&#51208;&#52264;&#44508;&#51221;\&#50629;&#47924;&#54364;&#51456;\&#49884;&#51089;&#51333;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10229\c$\USER\LBJ\NOTES_US\CKD\&#45824;&#47564;\MAST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17;&#52629;\My%20Documents\project\qa4\&#50896;&#45800;&#50948;\&#50896;&#45800;&#5094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CMK\XLSRULE\&#44060;&#51221;&#44508;&#51221;\&#50756;&#4934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1116;&#44428;\PROJECT\JO_DIR\&#44277;&#51109;&#50868;&#50689;\&#51109;&#44592;\RESULT\&#50577;&#49885;\PM&#54924;&#51032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RKS\AU\9511\RKS\AU\95&#51208;&#44048;\PART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KSB\ACTION\PJH\HP-1\&#50896;&#44032;\NIX\&#50896;&#45800;&#5094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17399\&#49436;&#47749;&#49688;\CLAIM\CL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IWS\CH\EF\CMK\XLSRULE\&#44060;&#51221;&#44508;&#51221;\&#50756;&#4934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PJH\HP-1\&#50896;&#44032;\NIX\&#50896;&#45800;&#5094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_US\CKD\&#45824;&#47564;\MASTER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&#54924;&#51032;&#51088;&#4730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HEXCEL\&#54788;&#5488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Library" Target="ANALYSIS/FUNCRES.XLA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1T\BUS\A1\96_3\KST\&#49548;&#54805;BUS\BUS&#51228;&#50896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ccc\HP-1\&#48372;&#44256;&#51088;&#47308;\&#52572;&#44540;&#48372;&#44256;\ccc\HP-1\&#54924;&#51032;&#51088;&#47308;\PJH\HP-1\MAST\HP1M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KSB\ACTION\PJH\HP-1\MAST\HP1M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CH\EF\CMK\XLSRULE\&#44060;&#51221;&#44508;&#51221;\&#50756;&#49345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MA&#51452;&#54665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M2&#51088;&#5111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AKNH\BOGO\&#50629;&#47924;&#48372;&#44256;\AKNH\ILBAN\CR&#50629;&#53685;&#498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&#51204;&#51109;LIS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CH\EF\MA&#51452;&#54665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Project\98&#45380;%20&#49324;&#50629;&#44228;&#54925;\ODSS\WORK\&#50896;&#44032;&#48516;&#49437;\&#49688;&#48520;&#48324;\95\&#50896;&#44032;&#53685;&#4837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TEAM\&#49436;&#49885;&#47448;&#54632;\&#45824;&#50808;&#44277;&#4792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1\changwon\EXCEL\YANGSIK\&#44144;&#47749;&#49464;&#5436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&#23004;&#21746;&#34224;\FO\HEE-DONG\AVANTE\WAGON\&#47588;&#44032;&#44208;&#51221;\DEP&#44228;&#4932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277;&#51109;&#54785;&#49888;&#54016;\98&#45380;MH&#50629;&#47924;\98&#45380;5&#50900;\&#51088;&#47308;\&#45208;&#47672;&#51648;.csv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ccc\HP-1\&#50896;&#45800;&#50948;\2&#49324;&#48516;&#44592;\&#50517;&#52629;\KTW\DNKIM\HP-1\MLIST\MLIS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PJH\HP-1\MAST\HP1M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1\changwon\&#50577;&#49885;(TOTAL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Documents%20and%20Settings\QCS\Local%20Settings\Temporary%20Internet%20Files\Content.IE5\A5SZMP65\SEAMTRACK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KSB\ACTION\PJH\HP-1\MAST\HP1M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NVEST\&#49892;&#51201;\95&#45380;&#44228;&#5492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1109;&#54785;&#49888;&#54016;\D\&#47928;&#49436;file\&#50577;&#50980;&#55148;\11&#52264;\&#45824;&#54805;&#51649;\F-CHORD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BWC\SM\IWS\CH\EF\CMK\XLSRULE\&#44060;&#51221;&#44508;&#51221;\&#50756;&#49345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BWC\SM\IWS\CH\EF\MA&#51452;&#54665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50577;&#49885;(TOTAL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NVEST\96&#44228;&#54925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mgh\c\&#50577;&#49885;(TOTAL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&#50577;&#49885;(TOTAL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DHP\HPMLGJ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1116;&#44428;\PROJECT\JO_DIR\&#44277;&#51109;&#50868;&#50689;\&#51109;&#44592;\RESULT\&#54801;&#51312;&#50577;&#49885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PJH\HP-1\&#50896;&#44032;\NIX\&#50896;&#45800;&#50948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CMK\XLSRULE\&#44060;&#51221;&#44508;&#51221;\&#50756;&#49345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ccc\HP-1\&#50896;&#45800;&#50948;\2&#49324;&#48516;&#44592;\&#50517;&#52629;\KTW\DNKIM\HP-1\MLIST\PJH\HP-1\MAST\Hp1m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My%20Documents\HP-1\&#50577;&#49885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PJH\HP-1\&#50896;&#44032;\NIX\&#50896;&#45800;&#5094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d\&#50577;&#49885;(TOTAL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ccc\HP-1\&#48372;&#44256;&#51088;&#47308;\&#52572;&#44540;&#48372;&#44256;\ccc\HP-1\&#54924;&#51032;&#51088;&#47308;\My%20Documents\HP-1\DNKIM\HP-1\MLIST\PJH\HP-1\MAST\Hp1ml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44204;&#51201;&#49436;\kk\&#45236;&#51088;\QCS&#44256;&#44061;(A)\&#48512;&#49328;&#45824;&#54617;&#44368;\couplant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301\&#44608;&#45224;&#50896;\HDOffice\DOCUMENT\&#51652;&#54665;&#54788;&#548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p2-1"/>
      <sheetName val="주행"/>
      <sheetName val="#RE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조회"/>
      <sheetName val="조회SUPP"/>
      <sheetName val="간이MLIST"/>
      <sheetName val="원하는_OPTION선택"/>
      <sheetName val="내용추출"/>
      <sheetName val="Sheet6"/>
      <sheetName val="Macro1"/>
      <sheetName val="M1master"/>
    </sheetNames>
    <sheetDataSet>
      <sheetData sheetId="0"/>
      <sheetData sheetId="1"/>
      <sheetData sheetId="2" refreshError="1"/>
      <sheetData sheetId="3"/>
      <sheetData sheetId="4"/>
      <sheetData sheetId="5"/>
      <sheetData sheetId="6">
        <row r="1">
          <cell r="D1" t="str">
            <v>붕가붕가</v>
          </cell>
        </row>
      </sheetData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  <sheetName val="HP1AM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M-MP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분석mast"/>
      <sheetName val="구동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FUNCRES"/>
      <sheetName val="BUS제원1"/>
      <sheetName val="기안"/>
      <sheetName val="신규DEP"/>
      <sheetName val="#REF"/>
      <sheetName val="협조전"/>
      <sheetName val="Y3-LIST"/>
      <sheetName val="작성양식"/>
      <sheetName val="인원계획"/>
      <sheetName val="직원신상"/>
      <sheetName val="2.대외공문"/>
      <sheetName val="품의서"/>
      <sheetName val="MX628EX"/>
      <sheetName val="11"/>
      <sheetName val="MX개발"/>
      <sheetName val="Sheet5"/>
      <sheetName val="기안지"/>
      <sheetName val="TOT"/>
      <sheetName val="96수출"/>
      <sheetName val="세목별"/>
      <sheetName val="소상 &quot;1&quot;"/>
      <sheetName val="계정"/>
      <sheetName val="품-(주)코①"/>
      <sheetName val="동아합의"/>
      <sheetName val="Book2"/>
      <sheetName val="형명별 (백만원 단위 환율  1,100)"/>
      <sheetName val="형명별 (백만원 단위 환율  1,050)"/>
      <sheetName val="형명별 (백만원 단위 환율  1,000)"/>
      <sheetName val="형명별 (수정)원 단위 "/>
      <sheetName val="사업계획 (data)"/>
      <sheetName val="04 년 1월 (2)"/>
      <sheetName val="04 년 2월 (2)"/>
      <sheetName val="04 년 3월 (2)"/>
      <sheetName val="04 년 4월 (2)"/>
      <sheetName val="04 년 5월 (2)"/>
      <sheetName val="04 년 6월 (2)"/>
      <sheetName val="04 년 7월 (2)"/>
      <sheetName val="04 년 8월 (2)"/>
      <sheetName val="04 년 9월 (2)"/>
      <sheetName val="04 년 10월 (2)"/>
      <sheetName val="04 년 11월 (2)"/>
      <sheetName val="04 년 12월 (2)"/>
      <sheetName val="주행"/>
      <sheetName val="p2-1"/>
      <sheetName val="현금경비중역"/>
      <sheetName val="Code"/>
      <sheetName val="매출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Macro1"/>
      <sheetName val="TCA"/>
      <sheetName val="#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절감업무통신 "/>
      <sheetName val="GALLOPER]"/>
      <sheetName val="SANTAMO"/>
      <sheetName val="팀별종합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용추출"/>
      <sheetName val="업체별"/>
      <sheetName val="WIR'G PART"/>
      <sheetName val="내용추출-2"/>
      <sheetName val="Macro1"/>
    </sheetNames>
    <sheetDataSet>
      <sheetData sheetId="0"/>
      <sheetData sheetId="1"/>
      <sheetData sheetId="2"/>
      <sheetData sheetId="3"/>
      <sheetData sheetId="4">
        <row r="1">
          <cell r="A1" t="str">
            <v>Macro1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Sheet1"/>
      <sheetName val="Sheet2"/>
      <sheetName val="Sheet3"/>
      <sheetName val="2.대외공문"/>
    </sheetNames>
    <sheetDataSet>
      <sheetData sheetId="0" refreshError="1">
        <row r="28">
          <cell r="A28" t="str">
            <v xml:space="preserve"> </v>
          </cell>
        </row>
        <row r="29">
          <cell r="A29" t="str">
            <v xml:space="preserve">                                     경남 울산시 중구 양정동700</v>
          </cell>
        </row>
        <row r="30">
          <cell r="A30" t="str">
            <v xml:space="preserve">                                     현 대 자 동 차 주 식 회 사</v>
          </cell>
        </row>
        <row r="31">
          <cell r="A31" t="str">
            <v xml:space="preserve">                                     대 표 이 사  ○   ○   ○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  <sheetName val="거명세표"/>
      <sheetName val="NDT견적"/>
      <sheetName val="QCS거래"/>
      <sheetName val="CIR-S"/>
      <sheetName val="견적"/>
      <sheetName val="정산자료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</sheetNames>
    <sheetDataSet>
      <sheetData sheetId="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나머지"/>
      <sheetName val="차종별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IST"/>
      <sheetName val="PROTO"/>
      <sheetName val="P2 MLIST"/>
      <sheetName val="차종별"/>
      <sheetName val="Macro1"/>
    </sheetNames>
    <sheetDataSet>
      <sheetData sheetId="0"/>
      <sheetData sheetId="1"/>
      <sheetData sheetId="2"/>
      <sheetData sheetId="3">
        <row r="1">
          <cell r="B1" t="str">
            <v>Macro11</v>
          </cell>
        </row>
      </sheetData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구동"/>
      <sheetName val="차체부품 INS REPORT(갑)"/>
      <sheetName val="내수1.8GL"/>
      <sheetName val="RD제품개발투자비(매가)"/>
      <sheetName val="BAFFLE HMC TABLE1"/>
      <sheetName val="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현대"/>
    </sheetNames>
    <sheetDataSet>
      <sheetData sheetId="0"/>
      <sheetData sheetId="1">
        <row r="4">
          <cell r="C4" t="str">
            <v>N9709301C</v>
          </cell>
        </row>
      </sheetData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신호"/>
      <sheetName val="현대"/>
      <sheetName val="1"/>
      <sheetName val="2"/>
      <sheetName val="3"/>
      <sheetName val="4"/>
      <sheetName val="5"/>
      <sheetName val="NDT견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TAM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계획"/>
    </sheetNames>
    <sheetDataSet>
      <sheetData sheetId="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CHORD"/>
      <sheetName val="나머지"/>
    </sheetNames>
    <sheetDataSet>
      <sheetData sheetId="0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QCS거래"/>
    </sheetNames>
    <sheetDataSet>
      <sheetData sheetId="0"/>
      <sheetData sheetId="1">
        <row r="4">
          <cell r="C4" t="str">
            <v>N9709301C</v>
          </cell>
        </row>
      </sheetData>
      <sheetData sheetId="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</sheetNames>
    <sheetDataSet>
      <sheetData sheetId="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출고전표"/>
    </sheetNames>
    <sheetDataSet>
      <sheetData sheetId="0"/>
      <sheetData sheetId="1">
        <row r="4">
          <cell r="C4" t="str">
            <v>N9709301C</v>
          </cell>
        </row>
      </sheetData>
      <sheetData sheetId="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  <sheetName val="출고전표"/>
      <sheetName val="양식(TOTAL)"/>
    </sheetNames>
    <definedNames>
      <definedName name="상품_수량_복사"/>
      <definedName name="출고전표내용삭제"/>
    </definedNames>
    <sheetDataSet>
      <sheetData sheetId="0"/>
      <sheetData sheetId="1">
        <row r="4">
          <cell r="C4" t="str">
            <v>N9709301C</v>
          </cell>
        </row>
      </sheetData>
      <sheetData sheetId="2" refreshError="1"/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P1AMLIST"/>
      <sheetName val="ML"/>
    </sheetNames>
    <sheetDataSet>
      <sheetData sheetId="0"/>
      <sheetData sheetId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Macro1"/>
    </sheetNames>
    <sheetDataSet>
      <sheetData sheetId="0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팀별종합"/>
      <sheetName val="구동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HP1AMLI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현황"/>
      <sheetName val="USAGE"/>
      <sheetName val="도면접수"/>
      <sheetName val="BODY"/>
      <sheetName val="투자비"/>
      <sheetName val="Sheet10"/>
      <sheetName val="Sheet11"/>
      <sheetName val="Sheet12"/>
      <sheetName val="Sheet13"/>
      <sheetName val="Sheet14"/>
      <sheetName val="Sheet15"/>
      <sheetName val="Sheet16"/>
      <sheetName val="Macro1"/>
      <sheetName val="총"/>
      <sheetName val="윤영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C1" t="str">
            <v>매크로11</v>
          </cell>
        </row>
      </sheetData>
      <sheetData sheetId="13" refreshError="1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동"/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그룹별MASɔ (2)"/>
      <sheetName val="종합"/>
      <sheetName val="내수1.8GL"/>
      <sheetName val="Macro1"/>
      <sheetName val="2.대외공문"/>
      <sheetName val="차종별"/>
      <sheetName val="RD제품개발투자비(매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 FAX"/>
      <sheetName val="NDT견적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주소(한문)"/>
      <sheetName val="구동"/>
      <sheetName val="HP1AMLIST"/>
      <sheetName val="1.변경범위"/>
      <sheetName val="Sheet28"/>
      <sheetName val="Sheet29"/>
      <sheetName val="TCA"/>
      <sheetName val="간이연락"/>
      <sheetName val="so-021"/>
      <sheetName val="1.개발개요"/>
      <sheetName val="BUS제원1"/>
      <sheetName val="Macro"/>
      <sheetName val="CVT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S견적"/>
      <sheetName val="QCS거래"/>
      <sheetName val="QCS FAX  (2)"/>
      <sheetName val="QCS견적 (2)"/>
      <sheetName val="NDT견적"/>
    </sheetNames>
    <sheetDataSet>
      <sheetData sheetId="0"/>
      <sheetData sheetId="1">
        <row r="13">
          <cell r="C13" t="str">
            <v>ACCESSORIES FOR UT</v>
          </cell>
        </row>
      </sheetData>
      <sheetData sheetId="2"/>
      <sheetData sheetId="3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현황"/>
      <sheetName val="미개발list"/>
      <sheetName val="2팀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82"/>
  <sheetViews>
    <sheetView topLeftCell="F1" zoomScaleNormal="100" zoomScaleSheetLayoutView="100" workbookViewId="0">
      <pane ySplit="6" topLeftCell="A112" activePane="bottomLeft" state="frozen"/>
      <selection pane="bottomLeft" activeCell="K113" sqref="K113"/>
    </sheetView>
  </sheetViews>
  <sheetFormatPr defaultColWidth="8.8984375" defaultRowHeight="14.4"/>
  <cols>
    <col min="1" max="1" width="7.69921875" customWidth="1"/>
    <col min="2" max="2" width="6.09765625" customWidth="1"/>
    <col min="3" max="3" width="20.69921875" style="1" bestFit="1" customWidth="1"/>
    <col min="4" max="4" width="28.19921875" style="1" bestFit="1" customWidth="1"/>
    <col min="5" max="5" width="26.59765625" customWidth="1"/>
    <col min="6" max="6" width="16.8984375" customWidth="1"/>
    <col min="7" max="7" width="12.19921875" customWidth="1"/>
    <col min="8" max="9" width="11.3984375" bestFit="1" customWidth="1"/>
    <col min="10" max="10" width="14.59765625" bestFit="1" customWidth="1"/>
    <col min="11" max="11" width="15" customWidth="1"/>
    <col min="12" max="12" width="8" style="7" customWidth="1"/>
    <col min="13" max="13" width="6.3984375" style="7" customWidth="1"/>
    <col min="14" max="14" width="8.19921875" style="8" customWidth="1"/>
    <col min="15" max="15" width="12.59765625" customWidth="1"/>
  </cols>
  <sheetData>
    <row r="1" spans="1:15" ht="17.399999999999999">
      <c r="A1" s="132"/>
      <c r="B1" s="133"/>
      <c r="C1" s="211" t="s">
        <v>1914</v>
      </c>
      <c r="D1" s="211"/>
      <c r="E1" s="211"/>
      <c r="F1" s="211"/>
      <c r="G1" s="207" t="s">
        <v>2</v>
      </c>
      <c r="H1" s="208"/>
      <c r="I1" s="11" t="s">
        <v>3</v>
      </c>
      <c r="J1" s="214" t="s">
        <v>4</v>
      </c>
      <c r="K1" s="215"/>
      <c r="L1" s="12"/>
      <c r="M1" s="12"/>
      <c r="N1" s="13"/>
      <c r="O1" s="9"/>
    </row>
    <row r="2" spans="1:15" ht="17.399999999999999">
      <c r="A2" s="134"/>
      <c r="B2" s="63"/>
      <c r="C2" s="212"/>
      <c r="D2" s="212"/>
      <c r="E2" s="212"/>
      <c r="F2" s="212"/>
      <c r="G2" s="209" t="s">
        <v>1033</v>
      </c>
      <c r="H2" s="210"/>
      <c r="I2" s="62">
        <f ca="1">TODAY()</f>
        <v>46127</v>
      </c>
      <c r="J2" s="216" t="s">
        <v>5</v>
      </c>
      <c r="K2" s="217"/>
      <c r="L2" s="12"/>
      <c r="M2" s="12"/>
      <c r="N2" s="13"/>
      <c r="O2" s="9"/>
    </row>
    <row r="3" spans="1:15" ht="17.399999999999999">
      <c r="A3" s="134"/>
      <c r="B3" s="63"/>
      <c r="C3" s="213" t="s">
        <v>1915</v>
      </c>
      <c r="D3" s="213"/>
      <c r="E3" s="213"/>
      <c r="F3" s="213"/>
      <c r="G3" s="10" t="s">
        <v>7</v>
      </c>
      <c r="H3" s="14"/>
      <c r="I3" s="218" t="s">
        <v>8</v>
      </c>
      <c r="J3" s="219"/>
      <c r="K3" s="220"/>
      <c r="L3" s="12"/>
      <c r="M3" s="12"/>
      <c r="N3" s="13"/>
      <c r="O3" s="9"/>
    </row>
    <row r="4" spans="1:15" ht="17.399999999999999">
      <c r="A4" s="134"/>
      <c r="B4" s="63"/>
      <c r="C4" s="213"/>
      <c r="D4" s="213"/>
      <c r="E4" s="213"/>
      <c r="F4" s="213"/>
      <c r="G4" s="135" t="s">
        <v>3110</v>
      </c>
      <c r="H4" s="136"/>
      <c r="I4" s="221" t="s">
        <v>3069</v>
      </c>
      <c r="J4" s="204"/>
      <c r="K4" s="222"/>
      <c r="L4" s="12"/>
      <c r="M4" s="12"/>
      <c r="N4" s="13"/>
      <c r="O4" s="9"/>
    </row>
    <row r="5" spans="1:15" ht="15" customHeight="1">
      <c r="A5" s="137"/>
      <c r="B5" s="137"/>
      <c r="C5" s="138" t="s">
        <v>10</v>
      </c>
      <c r="D5" s="139" t="s">
        <v>1279</v>
      </c>
      <c r="E5" s="140" t="s">
        <v>11</v>
      </c>
      <c r="F5" s="139" t="s">
        <v>12</v>
      </c>
      <c r="G5" s="139" t="s">
        <v>13</v>
      </c>
      <c r="H5" s="139" t="s">
        <v>14</v>
      </c>
      <c r="I5" s="141" t="s">
        <v>15</v>
      </c>
      <c r="J5" s="141" t="s">
        <v>16</v>
      </c>
      <c r="K5" s="142" t="s">
        <v>17</v>
      </c>
      <c r="L5" s="69" t="s">
        <v>1278</v>
      </c>
      <c r="M5" s="69" t="s">
        <v>1277</v>
      </c>
      <c r="N5" s="69" t="s">
        <v>1034</v>
      </c>
      <c r="O5" s="97"/>
    </row>
    <row r="6" spans="1:15" ht="12.75" customHeight="1">
      <c r="A6" s="96" t="s">
        <v>1031</v>
      </c>
      <c r="B6" s="96" t="s">
        <v>1276</v>
      </c>
      <c r="C6" s="139" t="s">
        <v>1035</v>
      </c>
      <c r="D6" s="139" t="s">
        <v>1036</v>
      </c>
      <c r="E6" s="140" t="s">
        <v>1037</v>
      </c>
      <c r="F6" s="139" t="s">
        <v>1038</v>
      </c>
      <c r="G6" s="139" t="s">
        <v>1039</v>
      </c>
      <c r="H6" s="139" t="s">
        <v>1040</v>
      </c>
      <c r="I6" s="141" t="s">
        <v>1041</v>
      </c>
      <c r="J6" s="141" t="s">
        <v>1042</v>
      </c>
      <c r="K6" s="139" t="s">
        <v>1043</v>
      </c>
      <c r="L6" s="71" t="s">
        <v>1044</v>
      </c>
      <c r="M6" s="71" t="s">
        <v>1045</v>
      </c>
      <c r="N6" s="71" t="s">
        <v>1046</v>
      </c>
      <c r="O6" s="98" t="s">
        <v>1047</v>
      </c>
    </row>
    <row r="7" spans="1:15" s="145" customFormat="1" ht="13.5" customHeight="1">
      <c r="A7" s="25">
        <v>3</v>
      </c>
      <c r="B7" s="25" t="s">
        <v>1049</v>
      </c>
      <c r="C7" s="57" t="s">
        <v>141</v>
      </c>
      <c r="D7" s="30" t="s">
        <v>1051</v>
      </c>
      <c r="E7" s="30" t="s">
        <v>1052</v>
      </c>
      <c r="F7" s="25" t="s">
        <v>64</v>
      </c>
      <c r="G7" s="25" t="s">
        <v>0</v>
      </c>
      <c r="H7" s="85">
        <v>43524</v>
      </c>
      <c r="I7" s="83">
        <v>43888</v>
      </c>
      <c r="J7" s="26" t="s">
        <v>1053</v>
      </c>
      <c r="K7" s="25"/>
      <c r="L7" s="143">
        <v>1</v>
      </c>
      <c r="M7" s="143" t="s">
        <v>1050</v>
      </c>
      <c r="N7" s="46">
        <v>19500</v>
      </c>
      <c r="O7" s="144"/>
    </row>
    <row r="8" spans="1:15" ht="17.100000000000001" customHeight="1">
      <c r="A8" s="25">
        <v>4</v>
      </c>
      <c r="B8" s="25" t="s">
        <v>1049</v>
      </c>
      <c r="C8" s="38">
        <v>51422445</v>
      </c>
      <c r="D8" s="30" t="s">
        <v>92</v>
      </c>
      <c r="E8" s="30" t="s">
        <v>95</v>
      </c>
      <c r="F8" s="25" t="s">
        <v>94</v>
      </c>
      <c r="G8" s="25" t="s">
        <v>0</v>
      </c>
      <c r="H8" s="85">
        <v>43616</v>
      </c>
      <c r="I8" s="83">
        <v>43981</v>
      </c>
      <c r="J8" s="26" t="s">
        <v>1055</v>
      </c>
      <c r="K8" s="26"/>
      <c r="L8" s="27">
        <v>1</v>
      </c>
      <c r="M8" s="27" t="s">
        <v>1050</v>
      </c>
      <c r="N8" s="169">
        <v>37700</v>
      </c>
      <c r="O8" s="122"/>
    </row>
    <row r="9" spans="1:15" ht="17.100000000000001" customHeight="1">
      <c r="A9" s="25">
        <v>6</v>
      </c>
      <c r="B9" s="25" t="s">
        <v>1049</v>
      </c>
      <c r="C9" s="38" t="s">
        <v>91</v>
      </c>
      <c r="D9" s="30" t="s">
        <v>1054</v>
      </c>
      <c r="E9" s="30" t="s">
        <v>1057</v>
      </c>
      <c r="F9" s="25" t="s">
        <v>93</v>
      </c>
      <c r="G9" s="25" t="s">
        <v>0</v>
      </c>
      <c r="H9" s="85">
        <v>43616</v>
      </c>
      <c r="I9" s="83">
        <v>43981</v>
      </c>
      <c r="J9" s="26" t="s">
        <v>1055</v>
      </c>
      <c r="K9" s="26"/>
      <c r="L9" s="143">
        <v>1</v>
      </c>
      <c r="M9" s="143" t="s">
        <v>1050</v>
      </c>
      <c r="N9" s="46">
        <v>37700</v>
      </c>
      <c r="O9" s="126"/>
    </row>
    <row r="10" spans="1:15" ht="17.100000000000001" customHeight="1">
      <c r="A10" s="33" t="s">
        <v>2836</v>
      </c>
      <c r="B10" s="35" t="s">
        <v>2707</v>
      </c>
      <c r="C10" s="42" t="s">
        <v>2837</v>
      </c>
      <c r="D10" s="42" t="s">
        <v>2745</v>
      </c>
      <c r="E10" s="36" t="s">
        <v>2834</v>
      </c>
      <c r="F10" s="31" t="s">
        <v>2743</v>
      </c>
      <c r="G10" s="117" t="s">
        <v>2008</v>
      </c>
      <c r="H10" s="83">
        <v>43546</v>
      </c>
      <c r="I10" s="84">
        <f>H10+92</f>
        <v>43638</v>
      </c>
      <c r="J10" s="31" t="s">
        <v>201</v>
      </c>
      <c r="K10" s="26" t="s">
        <v>3041</v>
      </c>
      <c r="L10" s="143">
        <v>1</v>
      </c>
      <c r="M10" s="143" t="s">
        <v>1050</v>
      </c>
      <c r="N10" s="46">
        <v>37700</v>
      </c>
      <c r="O10" s="40"/>
    </row>
    <row r="11" spans="1:15" ht="17.100000000000001" customHeight="1">
      <c r="A11" s="33" t="s">
        <v>2911</v>
      </c>
      <c r="B11" s="35" t="s">
        <v>1998</v>
      </c>
      <c r="C11" s="42" t="s">
        <v>2910</v>
      </c>
      <c r="D11" s="42" t="s">
        <v>2745</v>
      </c>
      <c r="E11" s="36" t="s">
        <v>221</v>
      </c>
      <c r="F11" s="31" t="s">
        <v>194</v>
      </c>
      <c r="G11" s="80" t="s">
        <v>195</v>
      </c>
      <c r="H11" s="83">
        <v>43546</v>
      </c>
      <c r="I11" s="84">
        <f>H11+92</f>
        <v>43638</v>
      </c>
      <c r="J11" s="31" t="s">
        <v>201</v>
      </c>
      <c r="K11" s="26" t="s">
        <v>3041</v>
      </c>
      <c r="L11" s="45" t="s">
        <v>3002</v>
      </c>
      <c r="M11" s="143" t="s">
        <v>1050</v>
      </c>
      <c r="N11" s="46">
        <v>32600</v>
      </c>
      <c r="O11" s="47"/>
    </row>
    <row r="12" spans="1:15" ht="17.100000000000001" customHeight="1">
      <c r="A12" s="25">
        <v>7</v>
      </c>
      <c r="B12" s="25" t="s">
        <v>1049</v>
      </c>
      <c r="C12" s="58" t="s">
        <v>96</v>
      </c>
      <c r="D12" s="30" t="s">
        <v>1058</v>
      </c>
      <c r="E12" s="30" t="s">
        <v>1059</v>
      </c>
      <c r="F12" s="25" t="s">
        <v>94</v>
      </c>
      <c r="G12" s="25" t="s">
        <v>0</v>
      </c>
      <c r="H12" s="83">
        <v>43634</v>
      </c>
      <c r="I12" s="84">
        <v>43999</v>
      </c>
      <c r="J12" s="26" t="s">
        <v>130</v>
      </c>
      <c r="K12" s="26"/>
      <c r="L12" s="35" t="s">
        <v>196</v>
      </c>
      <c r="M12" s="45" t="s">
        <v>1119</v>
      </c>
      <c r="N12" s="28">
        <v>44000</v>
      </c>
      <c r="O12" s="47"/>
    </row>
    <row r="13" spans="1:15" s="145" customFormat="1">
      <c r="A13" s="31" t="s">
        <v>2457</v>
      </c>
      <c r="B13" s="31" t="s">
        <v>2151</v>
      </c>
      <c r="C13" s="42" t="s">
        <v>2458</v>
      </c>
      <c r="D13" s="48" t="s">
        <v>2893</v>
      </c>
      <c r="E13" s="42" t="s">
        <v>1558</v>
      </c>
      <c r="F13" s="31" t="s">
        <v>3043</v>
      </c>
      <c r="G13" s="31" t="s">
        <v>2155</v>
      </c>
      <c r="H13" s="83">
        <v>43668</v>
      </c>
      <c r="I13" s="84">
        <v>44033</v>
      </c>
      <c r="J13" s="31" t="s">
        <v>2156</v>
      </c>
      <c r="K13" s="26"/>
      <c r="L13" s="45"/>
      <c r="M13" s="45"/>
      <c r="N13" s="28"/>
      <c r="O13" s="47"/>
    </row>
    <row r="14" spans="1:15" s="145" customFormat="1">
      <c r="A14" s="31" t="s">
        <v>2459</v>
      </c>
      <c r="B14" s="31" t="s">
        <v>2151</v>
      </c>
      <c r="C14" s="42" t="s">
        <v>2460</v>
      </c>
      <c r="D14" s="48" t="s">
        <v>2893</v>
      </c>
      <c r="E14" s="42" t="s">
        <v>2461</v>
      </c>
      <c r="F14" s="31" t="s">
        <v>3043</v>
      </c>
      <c r="G14" s="31" t="s">
        <v>2155</v>
      </c>
      <c r="H14" s="83">
        <v>43668</v>
      </c>
      <c r="I14" s="84">
        <v>44033</v>
      </c>
      <c r="J14" s="31" t="s">
        <v>486</v>
      </c>
      <c r="K14" s="26"/>
      <c r="L14" s="45"/>
      <c r="M14" s="45"/>
      <c r="N14" s="28"/>
      <c r="O14" s="47"/>
    </row>
    <row r="15" spans="1:15" ht="13.5" customHeight="1">
      <c r="A15" s="31" t="s">
        <v>2462</v>
      </c>
      <c r="B15" s="31" t="s">
        <v>2151</v>
      </c>
      <c r="C15" s="42" t="s">
        <v>2463</v>
      </c>
      <c r="D15" s="48" t="s">
        <v>2893</v>
      </c>
      <c r="E15" s="42" t="s">
        <v>2464</v>
      </c>
      <c r="F15" s="31" t="s">
        <v>3043</v>
      </c>
      <c r="G15" s="31" t="s">
        <v>2155</v>
      </c>
      <c r="H15" s="83">
        <v>43668</v>
      </c>
      <c r="I15" s="84">
        <v>44033</v>
      </c>
      <c r="J15" s="31" t="s">
        <v>486</v>
      </c>
      <c r="K15" s="26"/>
      <c r="L15" s="45"/>
      <c r="M15" s="45"/>
      <c r="N15" s="28"/>
      <c r="O15" s="99"/>
    </row>
    <row r="16" spans="1:15">
      <c r="A16" s="31" t="s">
        <v>2465</v>
      </c>
      <c r="B16" s="31" t="s">
        <v>2151</v>
      </c>
      <c r="C16" s="42" t="s">
        <v>2466</v>
      </c>
      <c r="D16" s="48" t="s">
        <v>2893</v>
      </c>
      <c r="E16" s="42" t="s">
        <v>2467</v>
      </c>
      <c r="F16" s="31" t="s">
        <v>3043</v>
      </c>
      <c r="G16" s="31" t="s">
        <v>2155</v>
      </c>
      <c r="H16" s="83">
        <v>43668</v>
      </c>
      <c r="I16" s="84">
        <v>44033</v>
      </c>
      <c r="J16" s="31" t="s">
        <v>486</v>
      </c>
      <c r="K16" s="26"/>
      <c r="L16" s="45"/>
      <c r="M16" s="45"/>
      <c r="N16" s="28"/>
      <c r="O16" s="103"/>
    </row>
    <row r="17" spans="1:15">
      <c r="A17" s="31" t="s">
        <v>2468</v>
      </c>
      <c r="B17" s="31" t="s">
        <v>2151</v>
      </c>
      <c r="C17" s="42" t="s">
        <v>2469</v>
      </c>
      <c r="D17" s="48" t="s">
        <v>2893</v>
      </c>
      <c r="E17" s="42" t="s">
        <v>2470</v>
      </c>
      <c r="F17" s="31" t="s">
        <v>3043</v>
      </c>
      <c r="G17" s="31" t="s">
        <v>2155</v>
      </c>
      <c r="H17" s="83">
        <v>43668</v>
      </c>
      <c r="I17" s="84">
        <v>44033</v>
      </c>
      <c r="J17" s="31" t="s">
        <v>486</v>
      </c>
      <c r="K17" s="26"/>
      <c r="L17" s="45"/>
      <c r="M17" s="45"/>
      <c r="N17" s="28"/>
      <c r="O17" s="102"/>
    </row>
    <row r="18" spans="1:15">
      <c r="A18" s="31" t="s">
        <v>2471</v>
      </c>
      <c r="B18" s="31" t="s">
        <v>2151</v>
      </c>
      <c r="C18" s="42" t="s">
        <v>2472</v>
      </c>
      <c r="D18" s="48" t="s">
        <v>2893</v>
      </c>
      <c r="E18" s="42" t="s">
        <v>2473</v>
      </c>
      <c r="F18" s="31" t="s">
        <v>3043</v>
      </c>
      <c r="G18" s="31" t="s">
        <v>2155</v>
      </c>
      <c r="H18" s="83">
        <v>43668</v>
      </c>
      <c r="I18" s="84">
        <v>44033</v>
      </c>
      <c r="J18" s="31" t="s">
        <v>486</v>
      </c>
      <c r="K18" s="26"/>
      <c r="L18" s="45"/>
      <c r="M18" s="45"/>
      <c r="N18" s="28"/>
      <c r="O18" s="102"/>
    </row>
    <row r="19" spans="1:15">
      <c r="A19" s="31" t="s">
        <v>2474</v>
      </c>
      <c r="B19" s="31" t="s">
        <v>2151</v>
      </c>
      <c r="C19" s="42" t="s">
        <v>2475</v>
      </c>
      <c r="D19" s="48" t="s">
        <v>2893</v>
      </c>
      <c r="E19" s="42" t="s">
        <v>2476</v>
      </c>
      <c r="F19" s="31" t="s">
        <v>3043</v>
      </c>
      <c r="G19" s="31" t="s">
        <v>2155</v>
      </c>
      <c r="H19" s="83">
        <v>43668</v>
      </c>
      <c r="I19" s="84">
        <v>44033</v>
      </c>
      <c r="J19" s="31" t="s">
        <v>486</v>
      </c>
      <c r="K19" s="26"/>
      <c r="L19" s="45"/>
      <c r="M19" s="45"/>
      <c r="N19" s="28"/>
      <c r="O19" s="99"/>
    </row>
    <row r="20" spans="1:15">
      <c r="A20" s="31" t="s">
        <v>2477</v>
      </c>
      <c r="B20" s="31" t="s">
        <v>2151</v>
      </c>
      <c r="C20" s="42" t="s">
        <v>2478</v>
      </c>
      <c r="D20" s="48" t="s">
        <v>2893</v>
      </c>
      <c r="E20" s="42" t="s">
        <v>2479</v>
      </c>
      <c r="F20" s="31" t="s">
        <v>3043</v>
      </c>
      <c r="G20" s="31" t="s">
        <v>2155</v>
      </c>
      <c r="H20" s="83">
        <v>43668</v>
      </c>
      <c r="I20" s="84">
        <v>44033</v>
      </c>
      <c r="J20" s="31" t="s">
        <v>486</v>
      </c>
      <c r="K20" s="26"/>
      <c r="L20" s="45"/>
      <c r="M20" s="45"/>
      <c r="N20" s="28"/>
      <c r="O20" s="99"/>
    </row>
    <row r="21" spans="1:15">
      <c r="A21" s="31" t="s">
        <v>2480</v>
      </c>
      <c r="B21" s="31" t="s">
        <v>2151</v>
      </c>
      <c r="C21" s="42" t="s">
        <v>2481</v>
      </c>
      <c r="D21" s="48" t="s">
        <v>2893</v>
      </c>
      <c r="E21" s="42" t="s">
        <v>2482</v>
      </c>
      <c r="F21" s="31" t="s">
        <v>3043</v>
      </c>
      <c r="G21" s="31" t="s">
        <v>2155</v>
      </c>
      <c r="H21" s="83">
        <v>43668</v>
      </c>
      <c r="I21" s="84">
        <v>44033</v>
      </c>
      <c r="J21" s="31" t="s">
        <v>486</v>
      </c>
      <c r="K21" s="26"/>
      <c r="L21" s="45"/>
      <c r="M21" s="45"/>
      <c r="N21" s="28"/>
      <c r="O21" s="105"/>
    </row>
    <row r="22" spans="1:15">
      <c r="A22" s="31" t="s">
        <v>2483</v>
      </c>
      <c r="B22" s="31" t="s">
        <v>2151</v>
      </c>
      <c r="C22" s="42" t="s">
        <v>2484</v>
      </c>
      <c r="D22" s="48" t="s">
        <v>2893</v>
      </c>
      <c r="E22" s="42" t="s">
        <v>2485</v>
      </c>
      <c r="F22" s="31" t="s">
        <v>3043</v>
      </c>
      <c r="G22" s="31" t="s">
        <v>2155</v>
      </c>
      <c r="H22" s="83">
        <v>43668</v>
      </c>
      <c r="I22" s="84">
        <v>44033</v>
      </c>
      <c r="J22" s="31" t="s">
        <v>486</v>
      </c>
      <c r="K22" s="26"/>
      <c r="L22" s="45"/>
      <c r="M22" s="45"/>
      <c r="N22" s="28"/>
      <c r="O22" s="105"/>
    </row>
    <row r="23" spans="1:15">
      <c r="A23" s="31" t="s">
        <v>2486</v>
      </c>
      <c r="B23" s="31" t="s">
        <v>2151</v>
      </c>
      <c r="C23" s="42" t="s">
        <v>2487</v>
      </c>
      <c r="D23" s="48" t="s">
        <v>2893</v>
      </c>
      <c r="E23" s="42" t="s">
        <v>2488</v>
      </c>
      <c r="F23" s="31" t="s">
        <v>3043</v>
      </c>
      <c r="G23" s="31" t="s">
        <v>2155</v>
      </c>
      <c r="H23" s="83">
        <v>43668</v>
      </c>
      <c r="I23" s="84">
        <v>44033</v>
      </c>
      <c r="J23" s="31" t="s">
        <v>486</v>
      </c>
      <c r="K23" s="26"/>
      <c r="L23" s="45"/>
      <c r="M23" s="45"/>
      <c r="N23" s="28"/>
      <c r="O23" s="99"/>
    </row>
    <row r="24" spans="1:15">
      <c r="A24" s="31" t="s">
        <v>2489</v>
      </c>
      <c r="B24" s="31" t="s">
        <v>2151</v>
      </c>
      <c r="C24" s="42" t="s">
        <v>2490</v>
      </c>
      <c r="D24" s="48" t="s">
        <v>2893</v>
      </c>
      <c r="E24" s="42" t="s">
        <v>2491</v>
      </c>
      <c r="F24" s="31" t="s">
        <v>3043</v>
      </c>
      <c r="G24" s="31" t="s">
        <v>2155</v>
      </c>
      <c r="H24" s="83">
        <v>43668</v>
      </c>
      <c r="I24" s="84">
        <v>44033</v>
      </c>
      <c r="J24" s="31" t="s">
        <v>486</v>
      </c>
      <c r="K24" s="26"/>
      <c r="L24" s="45"/>
      <c r="M24" s="45"/>
      <c r="N24" s="28"/>
      <c r="O24" s="99"/>
    </row>
    <row r="25" spans="1:15">
      <c r="A25" s="31" t="s">
        <v>2492</v>
      </c>
      <c r="B25" s="31" t="s">
        <v>2151</v>
      </c>
      <c r="C25" s="42" t="s">
        <v>2493</v>
      </c>
      <c r="D25" s="48" t="s">
        <v>2893</v>
      </c>
      <c r="E25" s="42" t="s">
        <v>2494</v>
      </c>
      <c r="F25" s="31" t="s">
        <v>3043</v>
      </c>
      <c r="G25" s="31" t="s">
        <v>2155</v>
      </c>
      <c r="H25" s="83">
        <v>43668</v>
      </c>
      <c r="I25" s="84">
        <v>44033</v>
      </c>
      <c r="J25" s="31" t="s">
        <v>486</v>
      </c>
      <c r="K25" s="26"/>
      <c r="L25" s="45"/>
      <c r="M25" s="45"/>
      <c r="N25" s="28"/>
      <c r="O25" s="99"/>
    </row>
    <row r="26" spans="1:15">
      <c r="A26" s="31" t="s">
        <v>2495</v>
      </c>
      <c r="B26" s="31" t="s">
        <v>2151</v>
      </c>
      <c r="C26" s="42" t="s">
        <v>2496</v>
      </c>
      <c r="D26" s="48" t="s">
        <v>2893</v>
      </c>
      <c r="E26" s="42" t="s">
        <v>2497</v>
      </c>
      <c r="F26" s="31" t="s">
        <v>3043</v>
      </c>
      <c r="G26" s="31" t="s">
        <v>2155</v>
      </c>
      <c r="H26" s="83">
        <v>43668</v>
      </c>
      <c r="I26" s="84">
        <v>44033</v>
      </c>
      <c r="J26" s="31" t="s">
        <v>486</v>
      </c>
      <c r="K26" s="26"/>
      <c r="L26" s="45"/>
      <c r="M26" s="45"/>
      <c r="N26" s="28"/>
      <c r="O26" s="99"/>
    </row>
    <row r="27" spans="1:15">
      <c r="A27" s="31" t="s">
        <v>2498</v>
      </c>
      <c r="B27" s="35" t="s">
        <v>2151</v>
      </c>
      <c r="C27" s="42" t="s">
        <v>2499</v>
      </c>
      <c r="D27" s="38" t="s">
        <v>2500</v>
      </c>
      <c r="E27" s="42" t="s">
        <v>2501</v>
      </c>
      <c r="F27" s="31" t="s">
        <v>2502</v>
      </c>
      <c r="G27" s="27" t="s">
        <v>2155</v>
      </c>
      <c r="H27" s="83">
        <v>43668</v>
      </c>
      <c r="I27" s="84">
        <v>44033</v>
      </c>
      <c r="J27" s="31" t="s">
        <v>2156</v>
      </c>
      <c r="K27" s="26"/>
      <c r="L27" s="27">
        <v>4</v>
      </c>
      <c r="M27" s="27" t="s">
        <v>1119</v>
      </c>
      <c r="N27" s="28"/>
      <c r="O27" s="99"/>
    </row>
    <row r="28" spans="1:15">
      <c r="A28" s="31" t="s">
        <v>2503</v>
      </c>
      <c r="B28" s="35" t="s">
        <v>2151</v>
      </c>
      <c r="C28" s="42" t="s">
        <v>2504</v>
      </c>
      <c r="D28" s="38" t="s">
        <v>2500</v>
      </c>
      <c r="E28" s="42" t="s">
        <v>2501</v>
      </c>
      <c r="F28" s="31" t="s">
        <v>2502</v>
      </c>
      <c r="G28" s="27" t="s">
        <v>2155</v>
      </c>
      <c r="H28" s="83">
        <v>43668</v>
      </c>
      <c r="I28" s="84">
        <v>44033</v>
      </c>
      <c r="J28" s="31" t="s">
        <v>2156</v>
      </c>
      <c r="K28" s="26"/>
      <c r="L28" s="27">
        <v>1</v>
      </c>
      <c r="M28" s="27" t="s">
        <v>1050</v>
      </c>
      <c r="N28" s="28"/>
      <c r="O28" s="99"/>
    </row>
    <row r="29" spans="1:15" ht="13.5" customHeight="1">
      <c r="A29" s="31" t="s">
        <v>2505</v>
      </c>
      <c r="B29" s="35" t="s">
        <v>2151</v>
      </c>
      <c r="C29" s="42" t="s">
        <v>2506</v>
      </c>
      <c r="D29" s="38" t="s">
        <v>2892</v>
      </c>
      <c r="E29" s="38" t="s">
        <v>2507</v>
      </c>
      <c r="F29" s="31" t="s">
        <v>2769</v>
      </c>
      <c r="G29" s="31" t="s">
        <v>2155</v>
      </c>
      <c r="H29" s="83">
        <v>43668</v>
      </c>
      <c r="I29" s="84">
        <v>44033</v>
      </c>
      <c r="J29" s="31" t="s">
        <v>2156</v>
      </c>
      <c r="K29" s="26"/>
      <c r="L29" s="27">
        <v>2</v>
      </c>
      <c r="M29" s="27" t="s">
        <v>1050</v>
      </c>
      <c r="N29" s="28"/>
      <c r="O29" s="99"/>
    </row>
    <row r="30" spans="1:15">
      <c r="A30" s="31" t="s">
        <v>2508</v>
      </c>
      <c r="B30" s="35" t="s">
        <v>2151</v>
      </c>
      <c r="C30" s="42" t="s">
        <v>2509</v>
      </c>
      <c r="D30" s="42" t="s">
        <v>2452</v>
      </c>
      <c r="E30" s="42" t="s">
        <v>2510</v>
      </c>
      <c r="F30" s="31" t="s">
        <v>3043</v>
      </c>
      <c r="G30" s="27" t="s">
        <v>2155</v>
      </c>
      <c r="H30" s="83">
        <v>43668</v>
      </c>
      <c r="I30" s="84">
        <v>44033</v>
      </c>
      <c r="J30" s="31" t="s">
        <v>486</v>
      </c>
      <c r="K30" s="26"/>
      <c r="L30" s="27">
        <v>2</v>
      </c>
      <c r="M30" s="27" t="s">
        <v>1050</v>
      </c>
      <c r="N30" s="28"/>
      <c r="O30" s="99" t="s">
        <v>1110</v>
      </c>
    </row>
    <row r="31" spans="1:15">
      <c r="A31" s="31" t="s">
        <v>2511</v>
      </c>
      <c r="B31" s="35" t="s">
        <v>2151</v>
      </c>
      <c r="C31" s="42" t="s">
        <v>2512</v>
      </c>
      <c r="D31" s="42" t="s">
        <v>2452</v>
      </c>
      <c r="E31" s="42" t="s">
        <v>2513</v>
      </c>
      <c r="F31" s="31" t="s">
        <v>3043</v>
      </c>
      <c r="G31" s="27" t="s">
        <v>2155</v>
      </c>
      <c r="H31" s="83">
        <v>43283</v>
      </c>
      <c r="I31" s="84">
        <f>H31+364</f>
        <v>43647</v>
      </c>
      <c r="J31" s="31" t="s">
        <v>2156</v>
      </c>
      <c r="K31" s="26" t="s">
        <v>3041</v>
      </c>
      <c r="L31" s="27">
        <v>7</v>
      </c>
      <c r="M31" s="27" t="s">
        <v>1119</v>
      </c>
      <c r="N31" s="28">
        <v>336600</v>
      </c>
      <c r="O31" s="99"/>
    </row>
    <row r="32" spans="1:15">
      <c r="A32" s="31" t="s">
        <v>2514</v>
      </c>
      <c r="B32" s="35" t="s">
        <v>2151</v>
      </c>
      <c r="C32" s="42" t="s">
        <v>2515</v>
      </c>
      <c r="D32" s="42" t="s">
        <v>2452</v>
      </c>
      <c r="E32" s="42" t="s">
        <v>2513</v>
      </c>
      <c r="F32" s="31" t="s">
        <v>3043</v>
      </c>
      <c r="G32" s="27" t="s">
        <v>2155</v>
      </c>
      <c r="H32" s="83">
        <v>43668</v>
      </c>
      <c r="I32" s="84">
        <v>44033</v>
      </c>
      <c r="J32" s="31" t="s">
        <v>486</v>
      </c>
      <c r="K32" s="26"/>
      <c r="L32" s="27">
        <v>2</v>
      </c>
      <c r="M32" s="27" t="s">
        <v>1050</v>
      </c>
      <c r="N32" s="28"/>
      <c r="O32" s="99"/>
    </row>
    <row r="33" spans="1:15" ht="13.5" customHeight="1">
      <c r="A33" s="31" t="s">
        <v>2516</v>
      </c>
      <c r="B33" s="35" t="s">
        <v>2151</v>
      </c>
      <c r="C33" s="42" t="s">
        <v>2517</v>
      </c>
      <c r="D33" s="42" t="s">
        <v>2452</v>
      </c>
      <c r="E33" s="42" t="s">
        <v>2518</v>
      </c>
      <c r="F33" s="31" t="s">
        <v>3043</v>
      </c>
      <c r="G33" s="27" t="s">
        <v>2155</v>
      </c>
      <c r="H33" s="83">
        <v>43668</v>
      </c>
      <c r="I33" s="84">
        <v>44033</v>
      </c>
      <c r="J33" s="31" t="s">
        <v>2156</v>
      </c>
      <c r="K33" s="26"/>
      <c r="L33" s="27">
        <v>2</v>
      </c>
      <c r="M33" s="27" t="s">
        <v>1050</v>
      </c>
      <c r="N33" s="28"/>
      <c r="O33" s="99"/>
    </row>
    <row r="34" spans="1:15" ht="13.5" customHeight="1">
      <c r="A34" s="31" t="s">
        <v>2519</v>
      </c>
      <c r="B34" s="35" t="s">
        <v>2151</v>
      </c>
      <c r="C34" s="42" t="s">
        <v>2520</v>
      </c>
      <c r="D34" s="42" t="s">
        <v>2452</v>
      </c>
      <c r="E34" s="42" t="s">
        <v>2518</v>
      </c>
      <c r="F34" s="31" t="s">
        <v>3043</v>
      </c>
      <c r="G34" s="27" t="s">
        <v>2155</v>
      </c>
      <c r="H34" s="83">
        <v>43668</v>
      </c>
      <c r="I34" s="84">
        <v>44033</v>
      </c>
      <c r="J34" s="31" t="s">
        <v>486</v>
      </c>
      <c r="K34" s="26"/>
      <c r="L34" s="27">
        <v>2</v>
      </c>
      <c r="M34" s="27" t="s">
        <v>1050</v>
      </c>
      <c r="N34" s="28"/>
      <c r="O34" s="99"/>
    </row>
    <row r="35" spans="1:15" ht="13.5" customHeight="1">
      <c r="A35" s="31" t="s">
        <v>2222</v>
      </c>
      <c r="B35" s="35" t="s">
        <v>1998</v>
      </c>
      <c r="C35" s="42" t="s">
        <v>3088</v>
      </c>
      <c r="D35" s="42" t="s">
        <v>2068</v>
      </c>
      <c r="E35" s="42" t="s">
        <v>2085</v>
      </c>
      <c r="F35" s="31" t="s">
        <v>3043</v>
      </c>
      <c r="G35" s="27" t="s">
        <v>39</v>
      </c>
      <c r="H35" s="83">
        <v>43668</v>
      </c>
      <c r="I35" s="84">
        <v>44033</v>
      </c>
      <c r="J35" s="31" t="s">
        <v>486</v>
      </c>
      <c r="K35" s="26"/>
      <c r="L35" s="27">
        <v>2</v>
      </c>
      <c r="M35" s="27" t="s">
        <v>1050</v>
      </c>
      <c r="N35" s="28"/>
      <c r="O35" s="99"/>
    </row>
    <row r="36" spans="1:15" ht="13.5" customHeight="1">
      <c r="A36" s="25">
        <v>8</v>
      </c>
      <c r="B36" s="25" t="s">
        <v>1049</v>
      </c>
      <c r="C36" s="58" t="s">
        <v>1907</v>
      </c>
      <c r="D36" s="30" t="s">
        <v>1058</v>
      </c>
      <c r="E36" s="30" t="s">
        <v>1059</v>
      </c>
      <c r="F36" s="25" t="s">
        <v>94</v>
      </c>
      <c r="G36" s="25" t="s">
        <v>0</v>
      </c>
      <c r="H36" s="85">
        <v>43616</v>
      </c>
      <c r="I36" s="83">
        <v>43981</v>
      </c>
      <c r="J36" s="26" t="s">
        <v>1908</v>
      </c>
      <c r="K36" s="26"/>
      <c r="L36" s="27"/>
      <c r="M36" s="27"/>
      <c r="N36" s="28"/>
      <c r="O36" s="99"/>
    </row>
    <row r="37" spans="1:15" ht="13.5" customHeight="1">
      <c r="A37" s="37" t="s">
        <v>355</v>
      </c>
      <c r="B37" s="35" t="s">
        <v>2718</v>
      </c>
      <c r="C37" s="57" t="s">
        <v>356</v>
      </c>
      <c r="D37" s="38" t="s">
        <v>2709</v>
      </c>
      <c r="E37" s="38" t="s">
        <v>2734</v>
      </c>
      <c r="F37" s="31" t="s">
        <v>2735</v>
      </c>
      <c r="G37" s="78" t="s">
        <v>2002</v>
      </c>
      <c r="H37" s="83">
        <v>43670</v>
      </c>
      <c r="I37" s="86">
        <v>43853</v>
      </c>
      <c r="J37" s="31" t="s">
        <v>2003</v>
      </c>
      <c r="K37" s="26"/>
      <c r="L37" s="27">
        <v>2</v>
      </c>
      <c r="M37" s="27" t="s">
        <v>1050</v>
      </c>
      <c r="N37" s="28"/>
      <c r="O37" s="99"/>
    </row>
    <row r="38" spans="1:15" ht="13.5" customHeight="1">
      <c r="A38" s="37" t="s">
        <v>2793</v>
      </c>
      <c r="B38" s="35" t="s">
        <v>2718</v>
      </c>
      <c r="C38" s="38" t="s">
        <v>2794</v>
      </c>
      <c r="D38" s="38" t="s">
        <v>2790</v>
      </c>
      <c r="E38" s="38" t="s">
        <v>2795</v>
      </c>
      <c r="F38" s="31" t="s">
        <v>2792</v>
      </c>
      <c r="G38" s="80" t="s">
        <v>195</v>
      </c>
      <c r="H38" s="84">
        <v>43671</v>
      </c>
      <c r="I38" s="84">
        <v>43763</v>
      </c>
      <c r="J38" s="31" t="s">
        <v>201</v>
      </c>
      <c r="K38" s="26"/>
      <c r="L38" s="27">
        <v>2</v>
      </c>
      <c r="M38" s="27" t="s">
        <v>1050</v>
      </c>
      <c r="N38" s="28"/>
      <c r="O38" s="99"/>
    </row>
    <row r="39" spans="1:15" ht="13.5" customHeight="1">
      <c r="A39" s="37" t="s">
        <v>2796</v>
      </c>
      <c r="B39" s="35" t="s">
        <v>2765</v>
      </c>
      <c r="C39" s="38" t="s">
        <v>2797</v>
      </c>
      <c r="D39" s="38" t="s">
        <v>2798</v>
      </c>
      <c r="E39" s="38" t="s">
        <v>2799</v>
      </c>
      <c r="F39" s="31" t="s">
        <v>2800</v>
      </c>
      <c r="G39" s="80" t="s">
        <v>195</v>
      </c>
      <c r="H39" s="84">
        <v>43671</v>
      </c>
      <c r="I39" s="84">
        <v>43763</v>
      </c>
      <c r="J39" s="31" t="s">
        <v>201</v>
      </c>
      <c r="K39" s="26"/>
      <c r="L39" s="27"/>
      <c r="M39" s="27"/>
      <c r="N39" s="28"/>
      <c r="O39" s="99"/>
    </row>
    <row r="40" spans="1:15" ht="13.5" customHeight="1">
      <c r="A40" s="37" t="s">
        <v>2801</v>
      </c>
      <c r="B40" s="35" t="s">
        <v>2765</v>
      </c>
      <c r="C40" s="38" t="s">
        <v>2802</v>
      </c>
      <c r="D40" s="38" t="s">
        <v>2803</v>
      </c>
      <c r="E40" s="38" t="s">
        <v>2804</v>
      </c>
      <c r="F40" s="31" t="s">
        <v>2800</v>
      </c>
      <c r="G40" s="80" t="s">
        <v>195</v>
      </c>
      <c r="H40" s="84">
        <v>43669</v>
      </c>
      <c r="I40" s="84">
        <v>43761</v>
      </c>
      <c r="J40" s="31" t="s">
        <v>201</v>
      </c>
      <c r="K40" s="26"/>
      <c r="L40" s="27">
        <v>2</v>
      </c>
      <c r="M40" s="27" t="s">
        <v>1050</v>
      </c>
      <c r="N40" s="28"/>
      <c r="O40" s="99"/>
    </row>
    <row r="41" spans="1:15">
      <c r="A41" s="33" t="s">
        <v>202</v>
      </c>
      <c r="B41" s="35" t="s">
        <v>2718</v>
      </c>
      <c r="C41" s="42" t="s">
        <v>2815</v>
      </c>
      <c r="D41" s="36" t="s">
        <v>2790</v>
      </c>
      <c r="E41" s="36" t="s">
        <v>2816</v>
      </c>
      <c r="F41" s="31" t="s">
        <v>2792</v>
      </c>
      <c r="G41" s="80" t="s">
        <v>195</v>
      </c>
      <c r="H41" s="84">
        <v>43671</v>
      </c>
      <c r="I41" s="84">
        <v>43763</v>
      </c>
      <c r="J41" s="31" t="s">
        <v>486</v>
      </c>
      <c r="K41" s="26"/>
      <c r="L41" s="27">
        <v>2</v>
      </c>
      <c r="M41" s="27" t="s">
        <v>1050</v>
      </c>
      <c r="N41" s="28"/>
      <c r="O41" s="99"/>
    </row>
    <row r="42" spans="1:15">
      <c r="A42" s="33" t="s">
        <v>204</v>
      </c>
      <c r="B42" s="35" t="s">
        <v>2718</v>
      </c>
      <c r="C42" s="42" t="s">
        <v>2817</v>
      </c>
      <c r="D42" s="36" t="s">
        <v>2790</v>
      </c>
      <c r="E42" s="36" t="s">
        <v>2816</v>
      </c>
      <c r="F42" s="31" t="s">
        <v>2792</v>
      </c>
      <c r="G42" s="80" t="s">
        <v>195</v>
      </c>
      <c r="H42" s="84">
        <v>43671</v>
      </c>
      <c r="I42" s="84">
        <v>43763</v>
      </c>
      <c r="J42" s="31" t="s">
        <v>201</v>
      </c>
      <c r="K42" s="26"/>
      <c r="L42" s="27">
        <v>7</v>
      </c>
      <c r="M42" s="27" t="s">
        <v>1119</v>
      </c>
      <c r="N42" s="28"/>
      <c r="O42" s="99"/>
    </row>
    <row r="43" spans="1:15">
      <c r="A43" s="33" t="s">
        <v>2831</v>
      </c>
      <c r="B43" s="35" t="s">
        <v>2707</v>
      </c>
      <c r="C43" s="42" t="s">
        <v>2832</v>
      </c>
      <c r="D43" s="42" t="s">
        <v>2833</v>
      </c>
      <c r="E43" s="36" t="s">
        <v>2834</v>
      </c>
      <c r="F43" s="31" t="s">
        <v>2743</v>
      </c>
      <c r="G43" s="117" t="s">
        <v>2008</v>
      </c>
      <c r="H43" s="84">
        <v>43671</v>
      </c>
      <c r="I43" s="84">
        <v>43763</v>
      </c>
      <c r="J43" s="31" t="s">
        <v>201</v>
      </c>
      <c r="K43" s="26"/>
      <c r="L43" s="31"/>
      <c r="M43" s="31"/>
      <c r="N43" s="31"/>
      <c r="O43" s="105"/>
    </row>
    <row r="44" spans="1:15" ht="13.5" customHeight="1">
      <c r="A44" s="25">
        <v>9</v>
      </c>
      <c r="B44" s="25" t="s">
        <v>1928</v>
      </c>
      <c r="C44" s="50" t="s">
        <v>1929</v>
      </c>
      <c r="D44" s="51" t="s">
        <v>1930</v>
      </c>
      <c r="E44" s="51" t="s">
        <v>1931</v>
      </c>
      <c r="F44" s="25" t="s">
        <v>1932</v>
      </c>
      <c r="G44" s="25" t="s">
        <v>0</v>
      </c>
      <c r="H44" s="85">
        <v>43350</v>
      </c>
      <c r="I44" s="83">
        <v>43714</v>
      </c>
      <c r="J44" s="26" t="s">
        <v>1933</v>
      </c>
      <c r="K44" s="131"/>
      <c r="L44" s="31"/>
      <c r="M44" s="31"/>
      <c r="N44" s="31"/>
      <c r="O44" s="105"/>
    </row>
    <row r="45" spans="1:15" ht="13.5" customHeight="1">
      <c r="A45" s="31" t="s">
        <v>2453</v>
      </c>
      <c r="B45" s="35" t="s">
        <v>2151</v>
      </c>
      <c r="C45" s="42" t="s">
        <v>2454</v>
      </c>
      <c r="D45" s="38" t="s">
        <v>2709</v>
      </c>
      <c r="E45" s="42" t="s">
        <v>2455</v>
      </c>
      <c r="F45" s="31" t="s">
        <v>2456</v>
      </c>
      <c r="G45" s="78" t="s">
        <v>2451</v>
      </c>
      <c r="H45" s="83">
        <v>43670</v>
      </c>
      <c r="I45" s="86">
        <v>43853</v>
      </c>
      <c r="J45" s="31" t="s">
        <v>2156</v>
      </c>
      <c r="K45" s="26"/>
      <c r="L45" s="31"/>
      <c r="M45" s="31"/>
      <c r="N45" s="31"/>
      <c r="O45" s="105"/>
    </row>
    <row r="46" spans="1:15" ht="13.5" customHeight="1">
      <c r="A46" s="25" t="s">
        <v>2532</v>
      </c>
      <c r="B46" s="25" t="s">
        <v>2527</v>
      </c>
      <c r="C46" s="39" t="s">
        <v>2533</v>
      </c>
      <c r="D46" s="38" t="s">
        <v>2699</v>
      </c>
      <c r="E46" s="38" t="s">
        <v>2534</v>
      </c>
      <c r="F46" s="31" t="s">
        <v>267</v>
      </c>
      <c r="G46" s="25" t="s">
        <v>1281</v>
      </c>
      <c r="H46" s="83">
        <v>43670</v>
      </c>
      <c r="I46" s="84">
        <v>44035</v>
      </c>
      <c r="J46" s="31" t="s">
        <v>2004</v>
      </c>
      <c r="K46" s="26"/>
      <c r="L46" s="27">
        <v>2</v>
      </c>
      <c r="M46" s="27" t="s">
        <v>1050</v>
      </c>
      <c r="N46" s="28"/>
      <c r="O46" s="29"/>
    </row>
    <row r="47" spans="1:15">
      <c r="A47" s="31" t="s">
        <v>2526</v>
      </c>
      <c r="B47" s="35" t="s">
        <v>2527</v>
      </c>
      <c r="C47" s="38" t="s">
        <v>2528</v>
      </c>
      <c r="D47" s="38" t="s">
        <v>2529</v>
      </c>
      <c r="E47" s="38" t="s">
        <v>2530</v>
      </c>
      <c r="F47" s="31" t="s">
        <v>2531</v>
      </c>
      <c r="G47" s="31" t="s">
        <v>2263</v>
      </c>
      <c r="H47" s="160">
        <v>43668</v>
      </c>
      <c r="I47" s="84">
        <v>44033</v>
      </c>
      <c r="J47" s="31" t="s">
        <v>2004</v>
      </c>
      <c r="K47" s="26"/>
      <c r="L47" s="31"/>
      <c r="M47" s="31"/>
      <c r="N47" s="31"/>
      <c r="O47" s="105"/>
    </row>
    <row r="48" spans="1:15">
      <c r="A48" s="31" t="s">
        <v>246</v>
      </c>
      <c r="B48" s="35" t="s">
        <v>2246</v>
      </c>
      <c r="C48" s="38" t="s">
        <v>3044</v>
      </c>
      <c r="D48" s="173" t="s">
        <v>2247</v>
      </c>
      <c r="E48" s="170" t="s">
        <v>2248</v>
      </c>
      <c r="F48" s="119" t="s">
        <v>2249</v>
      </c>
      <c r="G48" s="31" t="s">
        <v>2250</v>
      </c>
      <c r="H48" s="83">
        <v>43668</v>
      </c>
      <c r="I48" s="84">
        <v>44033</v>
      </c>
      <c r="J48" s="31" t="s">
        <v>486</v>
      </c>
      <c r="K48" s="26"/>
      <c r="L48" s="27">
        <v>2</v>
      </c>
      <c r="M48" s="27" t="s">
        <v>1050</v>
      </c>
      <c r="N48" s="28"/>
      <c r="O48" s="105"/>
    </row>
    <row r="49" spans="1:15">
      <c r="A49" s="31" t="s">
        <v>248</v>
      </c>
      <c r="B49" s="35" t="s">
        <v>2246</v>
      </c>
      <c r="C49" s="38" t="s">
        <v>3045</v>
      </c>
      <c r="D49" s="39" t="s">
        <v>2247</v>
      </c>
      <c r="E49" s="38" t="s">
        <v>2248</v>
      </c>
      <c r="F49" s="31" t="s">
        <v>2249</v>
      </c>
      <c r="G49" s="31" t="s">
        <v>2250</v>
      </c>
      <c r="H49" s="83">
        <v>43668</v>
      </c>
      <c r="I49" s="84">
        <v>44033</v>
      </c>
      <c r="J49" s="31" t="s">
        <v>486</v>
      </c>
      <c r="K49" s="26"/>
      <c r="L49" s="27">
        <v>2</v>
      </c>
      <c r="M49" s="27" t="s">
        <v>1050</v>
      </c>
      <c r="N49" s="28"/>
      <c r="O49" s="105"/>
    </row>
    <row r="50" spans="1:15">
      <c r="A50" s="31" t="s">
        <v>244</v>
      </c>
      <c r="B50" s="35" t="s">
        <v>2246</v>
      </c>
      <c r="C50" s="38" t="s">
        <v>3046</v>
      </c>
      <c r="D50" s="39" t="s">
        <v>2247</v>
      </c>
      <c r="E50" s="38" t="s">
        <v>2248</v>
      </c>
      <c r="F50" s="31" t="s">
        <v>2249</v>
      </c>
      <c r="G50" s="31" t="s">
        <v>2250</v>
      </c>
      <c r="H50" s="83">
        <v>43668</v>
      </c>
      <c r="I50" s="84">
        <v>44033</v>
      </c>
      <c r="J50" s="31" t="s">
        <v>486</v>
      </c>
      <c r="K50" s="26"/>
      <c r="L50" s="27">
        <v>2</v>
      </c>
      <c r="M50" s="27" t="s">
        <v>1050</v>
      </c>
      <c r="N50" s="28"/>
      <c r="O50" s="105"/>
    </row>
    <row r="51" spans="1:15">
      <c r="A51" s="31" t="s">
        <v>229</v>
      </c>
      <c r="B51" s="35" t="s">
        <v>1998</v>
      </c>
      <c r="C51" s="38" t="s">
        <v>3047</v>
      </c>
      <c r="D51" s="39" t="s">
        <v>1194</v>
      </c>
      <c r="E51" s="38" t="s">
        <v>2270</v>
      </c>
      <c r="F51" s="31" t="s">
        <v>2245</v>
      </c>
      <c r="G51" s="31" t="s">
        <v>1281</v>
      </c>
      <c r="H51" s="83">
        <v>43691</v>
      </c>
      <c r="I51" s="84">
        <v>44056</v>
      </c>
      <c r="J51" s="31" t="s">
        <v>2283</v>
      </c>
      <c r="K51" s="26"/>
      <c r="L51" s="31"/>
      <c r="M51" s="31"/>
      <c r="N51" s="31"/>
      <c r="O51" s="105"/>
    </row>
    <row r="52" spans="1:15">
      <c r="A52" s="25">
        <v>10</v>
      </c>
      <c r="B52" s="25" t="s">
        <v>1049</v>
      </c>
      <c r="C52" s="50" t="s">
        <v>90</v>
      </c>
      <c r="D52" s="51" t="s">
        <v>1058</v>
      </c>
      <c r="E52" s="51" t="s">
        <v>1059</v>
      </c>
      <c r="F52" s="25" t="s">
        <v>64</v>
      </c>
      <c r="G52" s="25" t="s">
        <v>0</v>
      </c>
      <c r="H52" s="85">
        <v>43616</v>
      </c>
      <c r="I52" s="83">
        <v>43981</v>
      </c>
      <c r="J52" s="26" t="s">
        <v>1061</v>
      </c>
      <c r="K52" s="26"/>
      <c r="L52" s="31"/>
      <c r="M52" s="31"/>
      <c r="N52" s="31"/>
      <c r="O52" s="105"/>
    </row>
    <row r="53" spans="1:15">
      <c r="A53" s="31" t="s">
        <v>2535</v>
      </c>
      <c r="B53" s="35" t="s">
        <v>1998</v>
      </c>
      <c r="C53" s="42" t="s">
        <v>2555</v>
      </c>
      <c r="D53" s="48" t="s">
        <v>2893</v>
      </c>
      <c r="E53" s="42" t="s">
        <v>2556</v>
      </c>
      <c r="F53" s="31" t="s">
        <v>3043</v>
      </c>
      <c r="G53" s="27" t="s">
        <v>39</v>
      </c>
      <c r="H53" s="83">
        <v>43691</v>
      </c>
      <c r="I53" s="84">
        <v>44056</v>
      </c>
      <c r="J53" s="31" t="s">
        <v>2536</v>
      </c>
      <c r="K53" s="26"/>
      <c r="L53" s="31"/>
      <c r="M53" s="31"/>
      <c r="N53" s="31"/>
      <c r="O53" s="105"/>
    </row>
    <row r="54" spans="1:15">
      <c r="A54" s="31" t="s">
        <v>2537</v>
      </c>
      <c r="B54" s="35" t="s">
        <v>1998</v>
      </c>
      <c r="C54" s="42" t="s">
        <v>2557</v>
      </c>
      <c r="D54" s="48" t="s">
        <v>2893</v>
      </c>
      <c r="E54" s="42" t="s">
        <v>2561</v>
      </c>
      <c r="F54" s="31" t="s">
        <v>3043</v>
      </c>
      <c r="G54" s="27" t="s">
        <v>39</v>
      </c>
      <c r="H54" s="83">
        <v>43691</v>
      </c>
      <c r="I54" s="84">
        <v>44056</v>
      </c>
      <c r="J54" s="31" t="s">
        <v>2536</v>
      </c>
      <c r="K54" s="26"/>
      <c r="L54" s="31"/>
      <c r="M54" s="31"/>
      <c r="N54" s="31"/>
      <c r="O54" s="105"/>
    </row>
    <row r="55" spans="1:15">
      <c r="A55" s="31" t="s">
        <v>2538</v>
      </c>
      <c r="B55" s="35" t="s">
        <v>1998</v>
      </c>
      <c r="C55" s="42" t="s">
        <v>2558</v>
      </c>
      <c r="D55" s="48" t="s">
        <v>2893</v>
      </c>
      <c r="E55" s="42" t="s">
        <v>2562</v>
      </c>
      <c r="F55" s="31" t="s">
        <v>3043</v>
      </c>
      <c r="G55" s="27" t="s">
        <v>39</v>
      </c>
      <c r="H55" s="83">
        <v>43691</v>
      </c>
      <c r="I55" s="84">
        <v>44056</v>
      </c>
      <c r="J55" s="31" t="s">
        <v>2536</v>
      </c>
      <c r="K55" s="26"/>
      <c r="L55" s="31"/>
      <c r="M55" s="31"/>
      <c r="N55" s="31"/>
      <c r="O55" s="105"/>
    </row>
    <row r="56" spans="1:15">
      <c r="A56" s="31" t="s">
        <v>2539</v>
      </c>
      <c r="B56" s="35" t="s">
        <v>1998</v>
      </c>
      <c r="C56" s="42" t="s">
        <v>2559</v>
      </c>
      <c r="D56" s="48" t="s">
        <v>2893</v>
      </c>
      <c r="E56" s="42" t="s">
        <v>2564</v>
      </c>
      <c r="F56" s="31" t="s">
        <v>3043</v>
      </c>
      <c r="G56" s="27" t="s">
        <v>39</v>
      </c>
      <c r="H56" s="83">
        <v>43691</v>
      </c>
      <c r="I56" s="84">
        <v>44056</v>
      </c>
      <c r="J56" s="31" t="s">
        <v>2536</v>
      </c>
      <c r="K56" s="26"/>
      <c r="L56" s="31"/>
      <c r="M56" s="31"/>
      <c r="N56" s="31"/>
      <c r="O56" s="105"/>
    </row>
    <row r="57" spans="1:15">
      <c r="A57" s="31" t="s">
        <v>2540</v>
      </c>
      <c r="B57" s="35" t="s">
        <v>1998</v>
      </c>
      <c r="C57" s="42" t="s">
        <v>2560</v>
      </c>
      <c r="D57" s="48" t="s">
        <v>2893</v>
      </c>
      <c r="E57" s="42" t="s">
        <v>2565</v>
      </c>
      <c r="F57" s="31" t="s">
        <v>3043</v>
      </c>
      <c r="G57" s="27" t="s">
        <v>39</v>
      </c>
      <c r="H57" s="83">
        <v>43691</v>
      </c>
      <c r="I57" s="84">
        <v>44056</v>
      </c>
      <c r="J57" s="31" t="s">
        <v>2536</v>
      </c>
      <c r="K57" s="26"/>
      <c r="L57" s="31"/>
      <c r="M57" s="31"/>
      <c r="N57" s="31"/>
      <c r="O57" s="105"/>
    </row>
    <row r="58" spans="1:15">
      <c r="A58" s="31" t="s">
        <v>2541</v>
      </c>
      <c r="B58" s="35" t="s">
        <v>1998</v>
      </c>
      <c r="C58" s="42" t="s">
        <v>2566</v>
      </c>
      <c r="D58" s="48" t="s">
        <v>2893</v>
      </c>
      <c r="E58" s="42" t="s">
        <v>2570</v>
      </c>
      <c r="F58" s="31" t="s">
        <v>3043</v>
      </c>
      <c r="G58" s="27" t="s">
        <v>39</v>
      </c>
      <c r="H58" s="83">
        <v>43691</v>
      </c>
      <c r="I58" s="84">
        <v>44056</v>
      </c>
      <c r="J58" s="31" t="s">
        <v>2536</v>
      </c>
      <c r="K58" s="26"/>
      <c r="L58" s="31"/>
      <c r="M58" s="31"/>
      <c r="N58" s="31"/>
      <c r="O58" s="105"/>
    </row>
    <row r="59" spans="1:15">
      <c r="A59" s="31" t="s">
        <v>2542</v>
      </c>
      <c r="B59" s="35" t="s">
        <v>1998</v>
      </c>
      <c r="C59" s="42" t="s">
        <v>2567</v>
      </c>
      <c r="D59" s="48" t="s">
        <v>2893</v>
      </c>
      <c r="E59" s="42" t="s">
        <v>2571</v>
      </c>
      <c r="F59" s="31" t="s">
        <v>3043</v>
      </c>
      <c r="G59" s="27" t="s">
        <v>39</v>
      </c>
      <c r="H59" s="83">
        <v>43691</v>
      </c>
      <c r="I59" s="84">
        <v>44056</v>
      </c>
      <c r="J59" s="31" t="s">
        <v>2536</v>
      </c>
      <c r="K59" s="26"/>
      <c r="L59" s="31"/>
      <c r="M59" s="31"/>
      <c r="N59" s="31"/>
      <c r="O59" s="105"/>
    </row>
    <row r="60" spans="1:15">
      <c r="A60" s="31" t="s">
        <v>2543</v>
      </c>
      <c r="B60" s="35" t="s">
        <v>1998</v>
      </c>
      <c r="C60" s="42" t="s">
        <v>2568</v>
      </c>
      <c r="D60" s="48" t="s">
        <v>2893</v>
      </c>
      <c r="E60" s="42" t="s">
        <v>2572</v>
      </c>
      <c r="F60" s="31" t="s">
        <v>3043</v>
      </c>
      <c r="G60" s="27" t="s">
        <v>39</v>
      </c>
      <c r="H60" s="83">
        <v>43691</v>
      </c>
      <c r="I60" s="84">
        <v>44056</v>
      </c>
      <c r="J60" s="31" t="s">
        <v>2536</v>
      </c>
      <c r="K60" s="26"/>
      <c r="L60" s="31"/>
      <c r="M60" s="31"/>
      <c r="N60" s="31"/>
      <c r="O60" s="105"/>
    </row>
    <row r="61" spans="1:15">
      <c r="A61" s="31" t="s">
        <v>2544</v>
      </c>
      <c r="B61" s="35" t="s">
        <v>1998</v>
      </c>
      <c r="C61" s="42" t="s">
        <v>2569</v>
      </c>
      <c r="D61" s="48" t="s">
        <v>2893</v>
      </c>
      <c r="E61" s="42" t="s">
        <v>2573</v>
      </c>
      <c r="F61" s="31" t="s">
        <v>3043</v>
      </c>
      <c r="G61" s="27" t="s">
        <v>39</v>
      </c>
      <c r="H61" s="83">
        <v>43691</v>
      </c>
      <c r="I61" s="84">
        <v>44056</v>
      </c>
      <c r="J61" s="31" t="s">
        <v>2536</v>
      </c>
      <c r="K61" s="26"/>
      <c r="L61" s="31"/>
      <c r="M61" s="31"/>
      <c r="N61" s="31"/>
      <c r="O61" s="105"/>
    </row>
    <row r="62" spans="1:15">
      <c r="A62" s="31" t="s">
        <v>2545</v>
      </c>
      <c r="B62" s="35" t="s">
        <v>1998</v>
      </c>
      <c r="C62" s="42" t="s">
        <v>2574</v>
      </c>
      <c r="D62" s="48" t="s">
        <v>2893</v>
      </c>
      <c r="E62" s="42" t="s">
        <v>2576</v>
      </c>
      <c r="F62" s="31" t="s">
        <v>3043</v>
      </c>
      <c r="G62" s="27" t="s">
        <v>39</v>
      </c>
      <c r="H62" s="83">
        <v>43691</v>
      </c>
      <c r="I62" s="84">
        <v>44056</v>
      </c>
      <c r="J62" s="31" t="s">
        <v>2536</v>
      </c>
      <c r="K62" s="26"/>
      <c r="L62" s="31"/>
      <c r="M62" s="31"/>
      <c r="N62" s="31"/>
      <c r="O62" s="105"/>
    </row>
    <row r="63" spans="1:15">
      <c r="A63" s="31" t="s">
        <v>2547</v>
      </c>
      <c r="B63" s="35" t="s">
        <v>1998</v>
      </c>
      <c r="C63" s="42" t="s">
        <v>2575</v>
      </c>
      <c r="D63" s="48" t="s">
        <v>2893</v>
      </c>
      <c r="E63" s="42" t="s">
        <v>2577</v>
      </c>
      <c r="F63" s="31" t="s">
        <v>3043</v>
      </c>
      <c r="G63" s="27" t="s">
        <v>39</v>
      </c>
      <c r="H63" s="83">
        <v>43691</v>
      </c>
      <c r="I63" s="84">
        <v>44056</v>
      </c>
      <c r="J63" s="31" t="s">
        <v>2536</v>
      </c>
      <c r="K63" s="26"/>
      <c r="L63" s="31"/>
      <c r="M63" s="31"/>
      <c r="N63" s="31"/>
      <c r="O63" s="105"/>
    </row>
    <row r="64" spans="1:15">
      <c r="A64" s="31" t="s">
        <v>2546</v>
      </c>
      <c r="B64" s="35" t="s">
        <v>1998</v>
      </c>
      <c r="C64" s="42" t="s">
        <v>2578</v>
      </c>
      <c r="D64" s="48" t="s">
        <v>2893</v>
      </c>
      <c r="E64" s="42" t="s">
        <v>2579</v>
      </c>
      <c r="F64" s="31" t="s">
        <v>3043</v>
      </c>
      <c r="G64" s="27" t="s">
        <v>39</v>
      </c>
      <c r="H64" s="83">
        <v>43691</v>
      </c>
      <c r="I64" s="84">
        <v>44056</v>
      </c>
      <c r="J64" s="31" t="s">
        <v>2536</v>
      </c>
      <c r="K64" s="26"/>
      <c r="L64" s="31"/>
      <c r="M64" s="31"/>
      <c r="N64" s="31"/>
      <c r="O64" s="105"/>
    </row>
    <row r="65" spans="1:15">
      <c r="A65" s="31" t="s">
        <v>2548</v>
      </c>
      <c r="B65" s="35" t="s">
        <v>1998</v>
      </c>
      <c r="C65" s="42" t="s">
        <v>2563</v>
      </c>
      <c r="D65" s="48" t="s">
        <v>2893</v>
      </c>
      <c r="E65" s="42" t="s">
        <v>2580</v>
      </c>
      <c r="F65" s="31" t="s">
        <v>3043</v>
      </c>
      <c r="G65" s="27" t="s">
        <v>39</v>
      </c>
      <c r="H65" s="83">
        <v>43691</v>
      </c>
      <c r="I65" s="84">
        <v>44056</v>
      </c>
      <c r="J65" s="31" t="s">
        <v>2536</v>
      </c>
      <c r="K65" s="26"/>
      <c r="L65" s="31"/>
      <c r="M65" s="31"/>
      <c r="N65" s="31"/>
      <c r="O65" s="105"/>
    </row>
    <row r="66" spans="1:15">
      <c r="A66" s="31" t="s">
        <v>2549</v>
      </c>
      <c r="B66" s="35" t="s">
        <v>1998</v>
      </c>
      <c r="C66" s="42" t="s">
        <v>2581</v>
      </c>
      <c r="D66" s="48" t="s">
        <v>2893</v>
      </c>
      <c r="E66" s="42" t="s">
        <v>2582</v>
      </c>
      <c r="F66" s="31" t="s">
        <v>3043</v>
      </c>
      <c r="G66" s="27" t="s">
        <v>39</v>
      </c>
      <c r="H66" s="83">
        <v>43691</v>
      </c>
      <c r="I66" s="84">
        <v>44056</v>
      </c>
      <c r="J66" s="31" t="s">
        <v>2536</v>
      </c>
      <c r="K66" s="26"/>
      <c r="L66" s="31"/>
      <c r="M66" s="31"/>
      <c r="N66" s="31"/>
      <c r="O66" s="105"/>
    </row>
    <row r="67" spans="1:15">
      <c r="A67" s="31" t="s">
        <v>2550</v>
      </c>
      <c r="B67" s="35" t="s">
        <v>1998</v>
      </c>
      <c r="C67" s="42" t="s">
        <v>2584</v>
      </c>
      <c r="D67" s="48" t="s">
        <v>2893</v>
      </c>
      <c r="E67" s="42" t="s">
        <v>2583</v>
      </c>
      <c r="F67" s="31" t="s">
        <v>3043</v>
      </c>
      <c r="G67" s="27" t="s">
        <v>39</v>
      </c>
      <c r="H67" s="83">
        <v>43691</v>
      </c>
      <c r="I67" s="84">
        <v>44056</v>
      </c>
      <c r="J67" s="31" t="s">
        <v>2536</v>
      </c>
      <c r="K67" s="26"/>
      <c r="L67" s="31"/>
      <c r="M67" s="31"/>
      <c r="N67" s="31"/>
      <c r="O67" s="105"/>
    </row>
    <row r="68" spans="1:15">
      <c r="A68" s="31" t="s">
        <v>2551</v>
      </c>
      <c r="B68" s="35" t="s">
        <v>1998</v>
      </c>
      <c r="C68" s="42" t="s">
        <v>2585</v>
      </c>
      <c r="D68" s="48" t="s">
        <v>2893</v>
      </c>
      <c r="E68" s="42" t="s">
        <v>2586</v>
      </c>
      <c r="F68" s="31" t="s">
        <v>3043</v>
      </c>
      <c r="G68" s="27" t="s">
        <v>39</v>
      </c>
      <c r="H68" s="83">
        <v>43691</v>
      </c>
      <c r="I68" s="84">
        <v>44056</v>
      </c>
      <c r="J68" s="31" t="s">
        <v>2536</v>
      </c>
      <c r="K68" s="26"/>
      <c r="L68" s="31"/>
      <c r="M68" s="31"/>
      <c r="N68" s="31"/>
      <c r="O68" s="105"/>
    </row>
    <row r="69" spans="1:15">
      <c r="A69" s="31" t="s">
        <v>2552</v>
      </c>
      <c r="B69" s="35" t="s">
        <v>1998</v>
      </c>
      <c r="C69" s="42" t="s">
        <v>2587</v>
      </c>
      <c r="D69" s="48" t="s">
        <v>2893</v>
      </c>
      <c r="E69" s="42" t="s">
        <v>2586</v>
      </c>
      <c r="F69" s="31" t="s">
        <v>3043</v>
      </c>
      <c r="G69" s="27" t="s">
        <v>39</v>
      </c>
      <c r="H69" s="83">
        <v>43691</v>
      </c>
      <c r="I69" s="84">
        <v>44056</v>
      </c>
      <c r="J69" s="31" t="s">
        <v>2536</v>
      </c>
      <c r="K69" s="26"/>
      <c r="L69" s="31"/>
      <c r="M69" s="31"/>
      <c r="N69" s="31"/>
      <c r="O69" s="105"/>
    </row>
    <row r="70" spans="1:15">
      <c r="A70" s="31" t="s">
        <v>2553</v>
      </c>
      <c r="B70" s="35" t="s">
        <v>1998</v>
      </c>
      <c r="C70" s="42" t="s">
        <v>2588</v>
      </c>
      <c r="D70" s="48" t="s">
        <v>2893</v>
      </c>
      <c r="E70" s="42" t="s">
        <v>2589</v>
      </c>
      <c r="F70" s="31" t="s">
        <v>3043</v>
      </c>
      <c r="G70" s="27" t="s">
        <v>39</v>
      </c>
      <c r="H70" s="83">
        <v>43691</v>
      </c>
      <c r="I70" s="84">
        <v>44056</v>
      </c>
      <c r="J70" s="31" t="s">
        <v>2536</v>
      </c>
      <c r="K70" s="26"/>
      <c r="L70" s="31"/>
      <c r="M70" s="31"/>
      <c r="N70" s="31"/>
      <c r="O70" s="105"/>
    </row>
    <row r="71" spans="1:15">
      <c r="A71" s="31" t="s">
        <v>2554</v>
      </c>
      <c r="B71" s="35" t="s">
        <v>1998</v>
      </c>
      <c r="C71" s="42" t="s">
        <v>2591</v>
      </c>
      <c r="D71" s="171" t="s">
        <v>2893</v>
      </c>
      <c r="E71" s="155" t="s">
        <v>2592</v>
      </c>
      <c r="F71" s="119" t="s">
        <v>3043</v>
      </c>
      <c r="G71" s="27" t="s">
        <v>39</v>
      </c>
      <c r="H71" s="83">
        <v>43691</v>
      </c>
      <c r="I71" s="84">
        <v>44056</v>
      </c>
      <c r="J71" s="31" t="s">
        <v>2536</v>
      </c>
      <c r="K71" s="26"/>
      <c r="L71" s="31"/>
      <c r="M71" s="31"/>
      <c r="N71" s="31"/>
      <c r="O71" s="105"/>
    </row>
    <row r="72" spans="1:15">
      <c r="A72" s="31" t="s">
        <v>2590</v>
      </c>
      <c r="B72" s="35" t="s">
        <v>1998</v>
      </c>
      <c r="C72" s="42" t="s">
        <v>2593</v>
      </c>
      <c r="D72" s="48" t="s">
        <v>2893</v>
      </c>
      <c r="E72" s="42" t="s">
        <v>2594</v>
      </c>
      <c r="F72" s="31" t="s">
        <v>3043</v>
      </c>
      <c r="G72" s="27" t="s">
        <v>39</v>
      </c>
      <c r="H72" s="83">
        <v>43691</v>
      </c>
      <c r="I72" s="84">
        <v>44056</v>
      </c>
      <c r="J72" s="31" t="s">
        <v>2536</v>
      </c>
      <c r="K72" s="26"/>
      <c r="L72" s="31"/>
      <c r="M72" s="31"/>
      <c r="N72" s="31"/>
      <c r="O72" s="105"/>
    </row>
    <row r="73" spans="1:15">
      <c r="A73" s="25" t="s">
        <v>2596</v>
      </c>
      <c r="B73" s="25" t="s">
        <v>1152</v>
      </c>
      <c r="C73" s="39" t="s">
        <v>2599</v>
      </c>
      <c r="D73" s="38" t="s">
        <v>2699</v>
      </c>
      <c r="E73" s="38" t="s">
        <v>1999</v>
      </c>
      <c r="F73" s="31" t="s">
        <v>267</v>
      </c>
      <c r="G73" s="25" t="s">
        <v>1281</v>
      </c>
      <c r="H73" s="83">
        <v>43691</v>
      </c>
      <c r="I73" s="84">
        <v>44056</v>
      </c>
      <c r="J73" s="26" t="s">
        <v>2000</v>
      </c>
      <c r="K73" s="26"/>
      <c r="L73" s="31"/>
      <c r="M73" s="31"/>
      <c r="N73" s="31"/>
      <c r="O73" s="105"/>
    </row>
    <row r="74" spans="1:15">
      <c r="A74" s="25" t="s">
        <v>2597</v>
      </c>
      <c r="B74" s="25" t="s">
        <v>1152</v>
      </c>
      <c r="C74" s="39" t="s">
        <v>2598</v>
      </c>
      <c r="D74" s="38" t="s">
        <v>2699</v>
      </c>
      <c r="E74" s="38" t="s">
        <v>1999</v>
      </c>
      <c r="F74" s="31" t="s">
        <v>267</v>
      </c>
      <c r="G74" s="25" t="s">
        <v>1281</v>
      </c>
      <c r="H74" s="83">
        <v>43691</v>
      </c>
      <c r="I74" s="84">
        <v>44056</v>
      </c>
      <c r="J74" s="26" t="s">
        <v>2000</v>
      </c>
      <c r="K74" s="26"/>
      <c r="L74" s="31"/>
      <c r="M74" s="31"/>
      <c r="N74" s="31"/>
      <c r="O74" s="105"/>
    </row>
    <row r="75" spans="1:15">
      <c r="A75" s="31" t="s">
        <v>2874</v>
      </c>
      <c r="B75" s="35" t="s">
        <v>2688</v>
      </c>
      <c r="C75" s="42" t="s">
        <v>2875</v>
      </c>
      <c r="D75" s="36" t="s">
        <v>2859</v>
      </c>
      <c r="E75" s="36" t="s">
        <v>2876</v>
      </c>
      <c r="F75" s="27" t="s">
        <v>2861</v>
      </c>
      <c r="G75" s="80" t="s">
        <v>2008</v>
      </c>
      <c r="H75" s="83">
        <v>43704</v>
      </c>
      <c r="I75" s="84">
        <v>43826</v>
      </c>
      <c r="J75" s="27" t="s">
        <v>486</v>
      </c>
      <c r="K75" s="26"/>
      <c r="L75" s="35"/>
      <c r="M75" s="35"/>
      <c r="N75" s="28"/>
      <c r="O75" s="102"/>
    </row>
    <row r="76" spans="1:15">
      <c r="A76" s="31" t="s">
        <v>2882</v>
      </c>
      <c r="B76" s="35" t="s">
        <v>2688</v>
      </c>
      <c r="C76" s="42" t="s">
        <v>2883</v>
      </c>
      <c r="D76" s="36" t="s">
        <v>2849</v>
      </c>
      <c r="E76" s="36" t="s">
        <v>2884</v>
      </c>
      <c r="F76" s="27" t="s">
        <v>2851</v>
      </c>
      <c r="G76" s="80" t="s">
        <v>2008</v>
      </c>
      <c r="H76" s="83">
        <v>43704</v>
      </c>
      <c r="I76" s="84">
        <v>43826</v>
      </c>
      <c r="J76" s="27" t="s">
        <v>486</v>
      </c>
      <c r="K76" s="26"/>
      <c r="L76" s="35"/>
      <c r="M76" s="35"/>
      <c r="N76" s="28"/>
      <c r="O76" s="40"/>
    </row>
    <row r="77" spans="1:15">
      <c r="A77" s="33" t="s">
        <v>2035</v>
      </c>
      <c r="B77" s="35" t="s">
        <v>1152</v>
      </c>
      <c r="C77" s="42" t="s">
        <v>2885</v>
      </c>
      <c r="D77" s="42" t="s">
        <v>2886</v>
      </c>
      <c r="E77" s="36" t="s">
        <v>2036</v>
      </c>
      <c r="F77" s="31" t="s">
        <v>194</v>
      </c>
      <c r="G77" s="118" t="s">
        <v>2008</v>
      </c>
      <c r="H77" s="83">
        <v>43704</v>
      </c>
      <c r="I77" s="84">
        <v>43826</v>
      </c>
      <c r="J77" s="31" t="s">
        <v>486</v>
      </c>
      <c r="K77" s="26"/>
      <c r="L77" s="35"/>
      <c r="M77" s="35"/>
      <c r="N77" s="28"/>
      <c r="O77" s="102"/>
    </row>
    <row r="78" spans="1:15" s="129" customFormat="1">
      <c r="A78" s="33" t="s">
        <v>2040</v>
      </c>
      <c r="B78" s="176" t="s">
        <v>1152</v>
      </c>
      <c r="C78" s="42" t="s">
        <v>2887</v>
      </c>
      <c r="D78" s="42" t="s">
        <v>1872</v>
      </c>
      <c r="E78" s="36" t="s">
        <v>2844</v>
      </c>
      <c r="F78" s="31" t="s">
        <v>2026</v>
      </c>
      <c r="G78" s="118" t="s">
        <v>2008</v>
      </c>
      <c r="H78" s="83">
        <v>43704</v>
      </c>
      <c r="I78" s="84">
        <v>43826</v>
      </c>
      <c r="J78" s="31" t="s">
        <v>486</v>
      </c>
      <c r="K78" s="26"/>
      <c r="L78" s="35"/>
      <c r="M78" s="35"/>
      <c r="N78" s="28"/>
      <c r="O78" s="40"/>
    </row>
    <row r="79" spans="1:15">
      <c r="A79" s="37" t="s">
        <v>2811</v>
      </c>
      <c r="B79" s="35" t="s">
        <v>1152</v>
      </c>
      <c r="C79" s="38" t="s">
        <v>3062</v>
      </c>
      <c r="D79" s="38" t="s">
        <v>1465</v>
      </c>
      <c r="E79" s="38" t="s">
        <v>215</v>
      </c>
      <c r="F79" s="31" t="s">
        <v>194</v>
      </c>
      <c r="G79" s="80" t="s">
        <v>195</v>
      </c>
      <c r="H79" s="83">
        <v>43614</v>
      </c>
      <c r="I79" s="84">
        <v>43706</v>
      </c>
      <c r="J79" s="31" t="s">
        <v>201</v>
      </c>
      <c r="K79" s="35"/>
      <c r="L79" s="27">
        <v>1</v>
      </c>
      <c r="M79" s="27" t="s">
        <v>1925</v>
      </c>
      <c r="N79" s="28">
        <v>8830</v>
      </c>
      <c r="O79" s="101"/>
    </row>
    <row r="80" spans="1:15">
      <c r="A80" s="33" t="s">
        <v>3063</v>
      </c>
      <c r="B80" s="35" t="s">
        <v>1152</v>
      </c>
      <c r="C80" s="42" t="s">
        <v>3064</v>
      </c>
      <c r="D80" s="42" t="s">
        <v>3096</v>
      </c>
      <c r="E80" s="36" t="s">
        <v>3097</v>
      </c>
      <c r="F80" s="31" t="s">
        <v>194</v>
      </c>
      <c r="G80" s="80" t="s">
        <v>195</v>
      </c>
      <c r="H80" s="83">
        <v>43614</v>
      </c>
      <c r="I80" s="84">
        <v>43706</v>
      </c>
      <c r="J80" s="31" t="s">
        <v>201</v>
      </c>
      <c r="K80" s="35"/>
      <c r="L80" s="27">
        <v>1</v>
      </c>
      <c r="M80" s="27" t="s">
        <v>1926</v>
      </c>
      <c r="N80" s="28">
        <v>8830</v>
      </c>
      <c r="O80" s="101"/>
    </row>
    <row r="81" spans="1:15">
      <c r="A81" s="25">
        <v>12</v>
      </c>
      <c r="B81" s="25" t="s">
        <v>1049</v>
      </c>
      <c r="C81" s="50" t="s">
        <v>147</v>
      </c>
      <c r="D81" s="51" t="s">
        <v>1058</v>
      </c>
      <c r="E81" s="51" t="s">
        <v>1059</v>
      </c>
      <c r="F81" s="25" t="s">
        <v>64</v>
      </c>
      <c r="G81" s="25" t="s">
        <v>0</v>
      </c>
      <c r="H81" s="83">
        <v>43634</v>
      </c>
      <c r="I81" s="84">
        <v>43999</v>
      </c>
      <c r="J81" s="26" t="s">
        <v>1064</v>
      </c>
      <c r="K81" s="25"/>
      <c r="L81" s="27"/>
      <c r="M81" s="27"/>
      <c r="N81" s="28"/>
      <c r="O81" s="99"/>
    </row>
    <row r="82" spans="1:15">
      <c r="A82" s="25">
        <v>13</v>
      </c>
      <c r="B82" s="25" t="s">
        <v>1049</v>
      </c>
      <c r="C82" s="59" t="s">
        <v>2595</v>
      </c>
      <c r="D82" s="51" t="s">
        <v>98</v>
      </c>
      <c r="E82" s="51" t="s">
        <v>1063</v>
      </c>
      <c r="F82" s="25" t="s">
        <v>94</v>
      </c>
      <c r="G82" s="25" t="s">
        <v>0</v>
      </c>
      <c r="H82" s="85">
        <v>43668</v>
      </c>
      <c r="I82" s="83">
        <v>44033</v>
      </c>
      <c r="J82" s="26" t="s">
        <v>1997</v>
      </c>
      <c r="K82" s="26"/>
      <c r="L82" s="27"/>
      <c r="M82" s="27"/>
      <c r="N82" s="28"/>
      <c r="O82" s="99"/>
    </row>
    <row r="83" spans="1:15" ht="13.5" customHeight="1">
      <c r="A83" s="25">
        <v>15</v>
      </c>
      <c r="B83" s="25" t="s">
        <v>1049</v>
      </c>
      <c r="C83" s="59" t="s">
        <v>99</v>
      </c>
      <c r="D83" s="51" t="s">
        <v>1062</v>
      </c>
      <c r="E83" s="51" t="s">
        <v>1271</v>
      </c>
      <c r="F83" s="25" t="s">
        <v>93</v>
      </c>
      <c r="G83" s="25" t="s">
        <v>0</v>
      </c>
      <c r="H83" s="85">
        <v>43616</v>
      </c>
      <c r="I83" s="83">
        <v>43981</v>
      </c>
      <c r="J83" s="26" t="s">
        <v>116</v>
      </c>
      <c r="K83" s="26"/>
      <c r="L83" s="27"/>
      <c r="M83" s="27"/>
      <c r="N83" s="28"/>
      <c r="O83" s="122"/>
    </row>
    <row r="84" spans="1:15" ht="13.5" customHeight="1">
      <c r="A84" s="25">
        <v>16</v>
      </c>
      <c r="B84" s="25" t="s">
        <v>1049</v>
      </c>
      <c r="C84" s="59" t="s">
        <v>100</v>
      </c>
      <c r="D84" s="51" t="s">
        <v>1062</v>
      </c>
      <c r="E84" s="51" t="s">
        <v>1271</v>
      </c>
      <c r="F84" s="25" t="s">
        <v>94</v>
      </c>
      <c r="G84" s="25" t="s">
        <v>0</v>
      </c>
      <c r="H84" s="85">
        <v>43616</v>
      </c>
      <c r="I84" s="83">
        <v>43981</v>
      </c>
      <c r="J84" s="26" t="s">
        <v>1055</v>
      </c>
      <c r="K84" s="26"/>
      <c r="L84" s="27"/>
      <c r="M84" s="27"/>
      <c r="N84" s="28"/>
      <c r="O84" s="122"/>
    </row>
    <row r="85" spans="1:15" ht="13.5" customHeight="1">
      <c r="A85" s="25">
        <v>17</v>
      </c>
      <c r="B85" s="25" t="s">
        <v>1049</v>
      </c>
      <c r="C85" s="59" t="s">
        <v>101</v>
      </c>
      <c r="D85" s="51" t="s">
        <v>98</v>
      </c>
      <c r="E85" s="51" t="s">
        <v>1059</v>
      </c>
      <c r="F85" s="25" t="s">
        <v>94</v>
      </c>
      <c r="G85" s="25" t="s">
        <v>0</v>
      </c>
      <c r="H85" s="85">
        <v>43616</v>
      </c>
      <c r="I85" s="83">
        <v>43981</v>
      </c>
      <c r="J85" s="26" t="s">
        <v>116</v>
      </c>
      <c r="K85" s="26"/>
      <c r="L85" s="27"/>
      <c r="M85" s="27"/>
      <c r="N85" s="28"/>
      <c r="O85" s="122"/>
    </row>
    <row r="86" spans="1:15" ht="13.5" customHeight="1">
      <c r="A86" s="25">
        <v>18</v>
      </c>
      <c r="B86" s="25" t="s">
        <v>1049</v>
      </c>
      <c r="C86" s="59" t="s">
        <v>102</v>
      </c>
      <c r="D86" s="51" t="s">
        <v>1062</v>
      </c>
      <c r="E86" s="51" t="s">
        <v>1059</v>
      </c>
      <c r="F86" s="25" t="s">
        <v>94</v>
      </c>
      <c r="G86" s="25" t="s">
        <v>0</v>
      </c>
      <c r="H86" s="85">
        <v>43350</v>
      </c>
      <c r="I86" s="83">
        <v>43714</v>
      </c>
      <c r="J86" s="26" t="s">
        <v>1935</v>
      </c>
      <c r="K86" s="25"/>
      <c r="L86" s="27"/>
      <c r="M86" s="27"/>
      <c r="N86" s="28"/>
      <c r="O86" s="122"/>
    </row>
    <row r="87" spans="1:15" ht="13.5" customHeight="1">
      <c r="A87" s="25">
        <v>19</v>
      </c>
      <c r="B87" s="25" t="s">
        <v>1049</v>
      </c>
      <c r="C87" s="59" t="s">
        <v>103</v>
      </c>
      <c r="D87" s="51" t="s">
        <v>1062</v>
      </c>
      <c r="E87" s="51" t="s">
        <v>1059</v>
      </c>
      <c r="F87" s="25" t="s">
        <v>94</v>
      </c>
      <c r="G87" s="25" t="s">
        <v>0</v>
      </c>
      <c r="H87" s="83">
        <v>43634</v>
      </c>
      <c r="I87" s="84">
        <v>43999</v>
      </c>
      <c r="J87" s="26" t="s">
        <v>1906</v>
      </c>
      <c r="K87" s="26"/>
      <c r="L87" s="27"/>
      <c r="M87" s="27"/>
      <c r="N87" s="28"/>
      <c r="O87" s="122"/>
    </row>
    <row r="88" spans="1:15" ht="13.5" customHeight="1">
      <c r="A88" s="25">
        <v>21</v>
      </c>
      <c r="B88" s="25" t="s">
        <v>1049</v>
      </c>
      <c r="C88" s="59" t="s">
        <v>104</v>
      </c>
      <c r="D88" s="51" t="s">
        <v>1062</v>
      </c>
      <c r="E88" s="51" t="s">
        <v>1059</v>
      </c>
      <c r="F88" s="25" t="s">
        <v>94</v>
      </c>
      <c r="G88" s="25" t="s">
        <v>0</v>
      </c>
      <c r="H88" s="83">
        <v>43634</v>
      </c>
      <c r="I88" s="84">
        <v>43999</v>
      </c>
      <c r="J88" s="26" t="s">
        <v>1065</v>
      </c>
      <c r="K88" s="26"/>
      <c r="L88" s="27"/>
      <c r="M88" s="27"/>
      <c r="N88" s="28"/>
      <c r="O88" s="122"/>
    </row>
    <row r="89" spans="1:15" ht="12.75" customHeight="1">
      <c r="A89" s="25">
        <v>23</v>
      </c>
      <c r="B89" s="25" t="s">
        <v>1049</v>
      </c>
      <c r="C89" s="59" t="s">
        <v>106</v>
      </c>
      <c r="D89" s="51" t="s">
        <v>98</v>
      </c>
      <c r="E89" s="51" t="s">
        <v>1059</v>
      </c>
      <c r="F89" s="25" t="s">
        <v>94</v>
      </c>
      <c r="G89" s="25" t="s">
        <v>1056</v>
      </c>
      <c r="H89" s="83">
        <v>43634</v>
      </c>
      <c r="I89" s="84">
        <v>43999</v>
      </c>
      <c r="J89" s="26" t="s">
        <v>1066</v>
      </c>
      <c r="K89" s="26"/>
      <c r="L89" s="35"/>
      <c r="M89" s="35"/>
      <c r="N89" s="28"/>
      <c r="O89" s="127"/>
    </row>
    <row r="90" spans="1:15">
      <c r="A90" s="25">
        <v>27</v>
      </c>
      <c r="B90" s="25" t="s">
        <v>1049</v>
      </c>
      <c r="C90" s="42" t="s">
        <v>109</v>
      </c>
      <c r="D90" s="52" t="s">
        <v>1918</v>
      </c>
      <c r="E90" s="51" t="s">
        <v>1069</v>
      </c>
      <c r="F90" s="25" t="s">
        <v>97</v>
      </c>
      <c r="G90" s="25" t="s">
        <v>0</v>
      </c>
      <c r="H90" s="85">
        <v>43350</v>
      </c>
      <c r="I90" s="83">
        <v>43714</v>
      </c>
      <c r="J90" s="26" t="s">
        <v>1066</v>
      </c>
      <c r="K90" s="25"/>
      <c r="L90" s="31"/>
      <c r="M90" s="31"/>
      <c r="N90" s="31"/>
      <c r="O90" s="105"/>
    </row>
    <row r="91" spans="1:15">
      <c r="A91" s="25">
        <v>28</v>
      </c>
      <c r="B91" s="25" t="s">
        <v>1049</v>
      </c>
      <c r="C91" s="42" t="s">
        <v>110</v>
      </c>
      <c r="D91" s="52" t="s">
        <v>1068</v>
      </c>
      <c r="E91" s="51" t="s">
        <v>1069</v>
      </c>
      <c r="F91" s="25" t="s">
        <v>97</v>
      </c>
      <c r="G91" s="25" t="s">
        <v>0</v>
      </c>
      <c r="H91" s="85">
        <v>43616</v>
      </c>
      <c r="I91" s="83">
        <v>43981</v>
      </c>
      <c r="J91" s="26" t="s">
        <v>1055</v>
      </c>
      <c r="K91" s="26"/>
      <c r="L91" s="31"/>
      <c r="M91" s="31"/>
      <c r="N91" s="31"/>
      <c r="O91" s="105"/>
    </row>
    <row r="92" spans="1:15">
      <c r="A92" s="25">
        <v>31</v>
      </c>
      <c r="B92" s="25" t="s">
        <v>1049</v>
      </c>
      <c r="C92" s="42" t="s">
        <v>1902</v>
      </c>
      <c r="D92" s="52" t="s">
        <v>1070</v>
      </c>
      <c r="E92" s="51" t="s">
        <v>1071</v>
      </c>
      <c r="F92" s="32" t="s">
        <v>31</v>
      </c>
      <c r="G92" s="32" t="s">
        <v>0</v>
      </c>
      <c r="H92" s="85">
        <v>43642</v>
      </c>
      <c r="I92" s="83">
        <v>44007</v>
      </c>
      <c r="J92" s="34" t="s">
        <v>1060</v>
      </c>
      <c r="K92" s="26"/>
      <c r="L92" s="31"/>
      <c r="M92" s="31"/>
      <c r="N92" s="31"/>
      <c r="O92" s="105"/>
    </row>
    <row r="93" spans="1:15">
      <c r="A93" s="31" t="s">
        <v>2605</v>
      </c>
      <c r="B93" s="35" t="s">
        <v>1998</v>
      </c>
      <c r="C93" s="42" t="s">
        <v>2907</v>
      </c>
      <c r="D93" s="42" t="s">
        <v>2225</v>
      </c>
      <c r="E93" s="42" t="s">
        <v>2606</v>
      </c>
      <c r="F93" s="31" t="s">
        <v>3043</v>
      </c>
      <c r="G93" s="27" t="s">
        <v>39</v>
      </c>
      <c r="H93" s="83">
        <v>43350</v>
      </c>
      <c r="I93" s="84">
        <f>H93+364</f>
        <v>43714</v>
      </c>
      <c r="J93" s="31" t="s">
        <v>2603</v>
      </c>
      <c r="K93" s="35"/>
      <c r="L93" s="31"/>
      <c r="M93" s="31"/>
      <c r="N93" s="31"/>
      <c r="O93" s="105"/>
    </row>
    <row r="94" spans="1:15" ht="13.5" customHeight="1">
      <c r="A94" s="25">
        <v>32</v>
      </c>
      <c r="B94" s="25" t="s">
        <v>1049</v>
      </c>
      <c r="C94" s="38">
        <v>954886</v>
      </c>
      <c r="D94" s="30" t="s">
        <v>1072</v>
      </c>
      <c r="E94" s="38" t="s">
        <v>1073</v>
      </c>
      <c r="F94" s="25" t="s">
        <v>94</v>
      </c>
      <c r="G94" s="25" t="s">
        <v>0</v>
      </c>
      <c r="H94" s="85">
        <v>43616</v>
      </c>
      <c r="I94" s="83">
        <v>43981</v>
      </c>
      <c r="J94" s="34" t="s">
        <v>1048</v>
      </c>
      <c r="K94" s="26"/>
      <c r="L94" s="45"/>
      <c r="M94" s="45"/>
      <c r="N94" s="46"/>
      <c r="O94" s="103"/>
    </row>
    <row r="95" spans="1:15">
      <c r="A95" s="33" t="s">
        <v>2862</v>
      </c>
      <c r="B95" s="35" t="s">
        <v>2688</v>
      </c>
      <c r="C95" s="42" t="s">
        <v>2863</v>
      </c>
      <c r="D95" s="42" t="s">
        <v>2841</v>
      </c>
      <c r="E95" s="30" t="s">
        <v>3102</v>
      </c>
      <c r="F95" s="31" t="s">
        <v>2842</v>
      </c>
      <c r="G95" s="31" t="s">
        <v>39</v>
      </c>
      <c r="H95" s="83">
        <v>43353</v>
      </c>
      <c r="I95" s="84">
        <f>H95+364</f>
        <v>43717</v>
      </c>
      <c r="J95" s="31" t="s">
        <v>2004</v>
      </c>
      <c r="K95" s="35"/>
      <c r="L95" s="27"/>
      <c r="M95" s="27"/>
      <c r="N95" s="28"/>
      <c r="O95" s="122"/>
    </row>
    <row r="96" spans="1:15" ht="13.5" customHeight="1">
      <c r="A96" s="33" t="s">
        <v>2864</v>
      </c>
      <c r="B96" s="35" t="s">
        <v>2688</v>
      </c>
      <c r="C96" s="42" t="s">
        <v>2865</v>
      </c>
      <c r="D96" s="42" t="s">
        <v>2841</v>
      </c>
      <c r="E96" s="30" t="s">
        <v>3102</v>
      </c>
      <c r="F96" s="31" t="s">
        <v>2842</v>
      </c>
      <c r="G96" s="31" t="s">
        <v>39</v>
      </c>
      <c r="H96" s="83">
        <v>43353</v>
      </c>
      <c r="I96" s="84">
        <f>H96+364</f>
        <v>43717</v>
      </c>
      <c r="J96" s="31" t="s">
        <v>2004</v>
      </c>
      <c r="K96" s="35"/>
      <c r="L96" s="27"/>
      <c r="M96" s="27"/>
      <c r="N96" s="28"/>
      <c r="O96" s="122"/>
    </row>
    <row r="97" spans="1:15">
      <c r="A97" s="33" t="s">
        <v>2866</v>
      </c>
      <c r="B97" s="35" t="s">
        <v>2688</v>
      </c>
      <c r="C97" s="42" t="s">
        <v>2867</v>
      </c>
      <c r="D97" s="42" t="s">
        <v>2841</v>
      </c>
      <c r="E97" s="30" t="s">
        <v>3102</v>
      </c>
      <c r="F97" s="31" t="s">
        <v>2842</v>
      </c>
      <c r="G97" s="31" t="s">
        <v>39</v>
      </c>
      <c r="H97" s="83">
        <v>43353</v>
      </c>
      <c r="I97" s="84">
        <f>H97+364</f>
        <v>43717</v>
      </c>
      <c r="J97" s="31" t="s">
        <v>2004</v>
      </c>
      <c r="K97" s="35"/>
      <c r="L97" s="27"/>
      <c r="M97" s="27"/>
      <c r="N97" s="28"/>
      <c r="O97" s="122"/>
    </row>
    <row r="98" spans="1:15">
      <c r="A98" s="25">
        <v>33</v>
      </c>
      <c r="B98" s="25" t="s">
        <v>1049</v>
      </c>
      <c r="C98" s="38">
        <v>37028436</v>
      </c>
      <c r="D98" s="53" t="s">
        <v>1074</v>
      </c>
      <c r="E98" s="30" t="s">
        <v>1075</v>
      </c>
      <c r="F98" s="25" t="s">
        <v>94</v>
      </c>
      <c r="G98" s="25" t="s">
        <v>0</v>
      </c>
      <c r="H98" s="85">
        <v>43616</v>
      </c>
      <c r="I98" s="83">
        <v>43981</v>
      </c>
      <c r="J98" s="26" t="s">
        <v>116</v>
      </c>
      <c r="K98" s="26"/>
      <c r="L98" s="27"/>
      <c r="M98" s="27"/>
      <c r="N98" s="28"/>
      <c r="O98" s="122"/>
    </row>
    <row r="99" spans="1:15">
      <c r="A99" s="25">
        <v>35</v>
      </c>
      <c r="B99" s="25" t="s">
        <v>1049</v>
      </c>
      <c r="C99" s="38">
        <v>66053717</v>
      </c>
      <c r="D99" s="53" t="s">
        <v>1074</v>
      </c>
      <c r="E99" s="30" t="s">
        <v>1073</v>
      </c>
      <c r="F99" s="25" t="s">
        <v>94</v>
      </c>
      <c r="G99" s="25" t="s">
        <v>0</v>
      </c>
      <c r="H99" s="85">
        <v>43616</v>
      </c>
      <c r="I99" s="83">
        <v>43981</v>
      </c>
      <c r="J99" s="26" t="s">
        <v>116</v>
      </c>
      <c r="K99" s="26"/>
      <c r="L99" s="27"/>
      <c r="M99" s="27"/>
      <c r="N99" s="28"/>
      <c r="O99" s="122"/>
    </row>
    <row r="100" spans="1:15">
      <c r="A100" s="25">
        <v>38</v>
      </c>
      <c r="B100" s="25" t="s">
        <v>1049</v>
      </c>
      <c r="C100" s="38">
        <v>16191434</v>
      </c>
      <c r="D100" s="53" t="s">
        <v>1074</v>
      </c>
      <c r="E100" s="30" t="s">
        <v>1073</v>
      </c>
      <c r="F100" s="25" t="s">
        <v>94</v>
      </c>
      <c r="G100" s="25" t="s">
        <v>0</v>
      </c>
      <c r="H100" s="85">
        <v>43616</v>
      </c>
      <c r="I100" s="83">
        <v>43981</v>
      </c>
      <c r="J100" s="26" t="s">
        <v>1066</v>
      </c>
      <c r="K100" s="26"/>
      <c r="L100" s="27"/>
      <c r="M100" s="27"/>
      <c r="N100" s="28"/>
      <c r="O100" s="122"/>
    </row>
    <row r="101" spans="1:15">
      <c r="A101" s="25">
        <v>39</v>
      </c>
      <c r="B101" s="25" t="s">
        <v>1049</v>
      </c>
      <c r="C101" s="38">
        <v>16091635</v>
      </c>
      <c r="D101" s="53" t="s">
        <v>1074</v>
      </c>
      <c r="E101" s="30" t="s">
        <v>1073</v>
      </c>
      <c r="F101" s="25" t="s">
        <v>94</v>
      </c>
      <c r="G101" s="25" t="s">
        <v>0</v>
      </c>
      <c r="H101" s="83">
        <v>43634</v>
      </c>
      <c r="I101" s="84">
        <v>43999</v>
      </c>
      <c r="J101" s="26" t="s">
        <v>1307</v>
      </c>
      <c r="K101" s="25"/>
      <c r="L101" s="27"/>
      <c r="M101" s="27"/>
      <c r="N101" s="28"/>
      <c r="O101" s="122"/>
    </row>
    <row r="102" spans="1:15">
      <c r="A102" s="25">
        <v>40</v>
      </c>
      <c r="B102" s="25" t="s">
        <v>1049</v>
      </c>
      <c r="C102" s="42" t="s">
        <v>87</v>
      </c>
      <c r="D102" s="52" t="s">
        <v>1074</v>
      </c>
      <c r="E102" s="51" t="s">
        <v>1073</v>
      </c>
      <c r="F102" s="32" t="s">
        <v>64</v>
      </c>
      <c r="G102" s="32" t="s">
        <v>0</v>
      </c>
      <c r="H102" s="85">
        <v>43524</v>
      </c>
      <c r="I102" s="83">
        <v>43888</v>
      </c>
      <c r="J102" s="34" t="s">
        <v>1061</v>
      </c>
      <c r="K102" s="25"/>
      <c r="L102" s="27"/>
      <c r="M102" s="27"/>
      <c r="N102" s="28"/>
      <c r="O102" s="122"/>
    </row>
    <row r="103" spans="1:15">
      <c r="A103" s="25">
        <v>42</v>
      </c>
      <c r="B103" s="25" t="s">
        <v>1049</v>
      </c>
      <c r="C103" s="38" t="s">
        <v>88</v>
      </c>
      <c r="D103" s="53" t="s">
        <v>1074</v>
      </c>
      <c r="E103" s="30" t="s">
        <v>1073</v>
      </c>
      <c r="F103" s="25" t="s">
        <v>64</v>
      </c>
      <c r="G103" s="25" t="s">
        <v>0</v>
      </c>
      <c r="H103" s="85">
        <v>43616</v>
      </c>
      <c r="I103" s="83">
        <v>43981</v>
      </c>
      <c r="J103" s="26" t="s">
        <v>1329</v>
      </c>
      <c r="K103" s="26"/>
      <c r="L103" s="27"/>
      <c r="M103" s="27"/>
      <c r="N103" s="28"/>
      <c r="O103" s="122"/>
    </row>
    <row r="104" spans="1:15">
      <c r="A104" s="25">
        <v>45</v>
      </c>
      <c r="B104" s="25" t="s">
        <v>1049</v>
      </c>
      <c r="C104" s="38">
        <v>3325392</v>
      </c>
      <c r="D104" s="53" t="s">
        <v>1074</v>
      </c>
      <c r="E104" s="30" t="s">
        <v>1076</v>
      </c>
      <c r="F104" s="25" t="s">
        <v>94</v>
      </c>
      <c r="G104" s="25" t="s">
        <v>0</v>
      </c>
      <c r="H104" s="83">
        <v>43634</v>
      </c>
      <c r="I104" s="84">
        <v>43999</v>
      </c>
      <c r="J104" s="26" t="s">
        <v>1048</v>
      </c>
      <c r="K104" s="26"/>
      <c r="L104" s="27"/>
      <c r="M104" s="27"/>
      <c r="N104" s="28"/>
      <c r="O104" s="122"/>
    </row>
    <row r="105" spans="1:15">
      <c r="A105" s="25">
        <v>47</v>
      </c>
      <c r="B105" s="25" t="s">
        <v>1049</v>
      </c>
      <c r="C105" s="39">
        <v>5070950</v>
      </c>
      <c r="D105" s="53" t="s">
        <v>1074</v>
      </c>
      <c r="E105" s="30" t="s">
        <v>1076</v>
      </c>
      <c r="F105" s="25" t="s">
        <v>94</v>
      </c>
      <c r="G105" s="25" t="s">
        <v>0</v>
      </c>
      <c r="H105" s="83">
        <v>43634</v>
      </c>
      <c r="I105" s="84">
        <v>43999</v>
      </c>
      <c r="J105" s="26" t="s">
        <v>116</v>
      </c>
      <c r="K105" s="26"/>
      <c r="L105" s="35"/>
      <c r="M105" s="35"/>
      <c r="N105" s="28"/>
      <c r="O105" s="102"/>
    </row>
    <row r="106" spans="1:15">
      <c r="A106" s="25">
        <v>48</v>
      </c>
      <c r="B106" s="25" t="s">
        <v>1049</v>
      </c>
      <c r="C106" s="38" t="s">
        <v>111</v>
      </c>
      <c r="D106" s="53" t="s">
        <v>1074</v>
      </c>
      <c r="E106" s="30" t="s">
        <v>1077</v>
      </c>
      <c r="F106" s="25" t="s">
        <v>93</v>
      </c>
      <c r="G106" s="25" t="s">
        <v>0</v>
      </c>
      <c r="H106" s="83">
        <v>43634</v>
      </c>
      <c r="I106" s="84">
        <v>43999</v>
      </c>
      <c r="J106" s="26" t="s">
        <v>116</v>
      </c>
      <c r="K106" s="26"/>
      <c r="L106" s="31"/>
      <c r="M106" s="31"/>
      <c r="N106" s="31"/>
      <c r="O106" s="105"/>
    </row>
    <row r="107" spans="1:15">
      <c r="A107" s="25">
        <v>49</v>
      </c>
      <c r="B107" s="25" t="s">
        <v>1049</v>
      </c>
      <c r="C107" s="38" t="s">
        <v>112</v>
      </c>
      <c r="D107" s="53" t="s">
        <v>1074</v>
      </c>
      <c r="E107" s="30" t="s">
        <v>1077</v>
      </c>
      <c r="F107" s="25" t="s">
        <v>93</v>
      </c>
      <c r="G107" s="25" t="s">
        <v>0</v>
      </c>
      <c r="H107" s="83">
        <v>43634</v>
      </c>
      <c r="I107" s="84">
        <v>43999</v>
      </c>
      <c r="J107" s="26" t="s">
        <v>1066</v>
      </c>
      <c r="K107" s="26"/>
      <c r="L107" s="31"/>
      <c r="M107" s="31"/>
      <c r="N107" s="31"/>
      <c r="O107" s="105"/>
    </row>
    <row r="108" spans="1:15">
      <c r="A108" s="25">
        <v>53</v>
      </c>
      <c r="B108" s="25" t="s">
        <v>1049</v>
      </c>
      <c r="C108" s="38" t="s">
        <v>80</v>
      </c>
      <c r="D108" s="53" t="s">
        <v>1078</v>
      </c>
      <c r="E108" s="30" t="s">
        <v>1073</v>
      </c>
      <c r="F108" s="25" t="s">
        <v>64</v>
      </c>
      <c r="G108" s="25" t="s">
        <v>0</v>
      </c>
      <c r="H108" s="85">
        <v>43350</v>
      </c>
      <c r="I108" s="83">
        <v>43714</v>
      </c>
      <c r="J108" s="26" t="s">
        <v>1048</v>
      </c>
      <c r="K108" s="25"/>
      <c r="L108" s="31"/>
      <c r="M108" s="31"/>
      <c r="N108" s="31"/>
      <c r="O108" s="105"/>
    </row>
    <row r="109" spans="1:15">
      <c r="A109" s="25">
        <v>54</v>
      </c>
      <c r="B109" s="25" t="s">
        <v>1049</v>
      </c>
      <c r="C109" s="39">
        <v>36106400</v>
      </c>
      <c r="D109" s="53" t="s">
        <v>1078</v>
      </c>
      <c r="E109" s="30" t="s">
        <v>1073</v>
      </c>
      <c r="F109" s="25" t="s">
        <v>93</v>
      </c>
      <c r="G109" s="25" t="s">
        <v>0</v>
      </c>
      <c r="H109" s="83">
        <v>43634</v>
      </c>
      <c r="I109" s="84">
        <v>43999</v>
      </c>
      <c r="J109" s="26" t="s">
        <v>116</v>
      </c>
      <c r="K109" s="26"/>
      <c r="L109" s="31"/>
      <c r="M109" s="31"/>
      <c r="N109" s="31"/>
      <c r="O109" s="105"/>
    </row>
    <row r="110" spans="1:15">
      <c r="A110" s="25">
        <v>56</v>
      </c>
      <c r="B110" s="25" t="s">
        <v>1049</v>
      </c>
      <c r="C110" s="38" t="s">
        <v>113</v>
      </c>
      <c r="D110" s="53" t="s">
        <v>1079</v>
      </c>
      <c r="E110" s="30" t="s">
        <v>1075</v>
      </c>
      <c r="F110" s="25" t="s">
        <v>93</v>
      </c>
      <c r="G110" s="25" t="s">
        <v>1056</v>
      </c>
      <c r="H110" s="83">
        <v>43634</v>
      </c>
      <c r="I110" s="84">
        <v>43999</v>
      </c>
      <c r="J110" s="26" t="s">
        <v>1048</v>
      </c>
      <c r="K110" s="26"/>
      <c r="L110" s="27"/>
      <c r="M110" s="27"/>
      <c r="N110" s="27"/>
      <c r="O110" s="27"/>
    </row>
    <row r="111" spans="1:15">
      <c r="A111" s="25">
        <v>57</v>
      </c>
      <c r="B111" s="25" t="s">
        <v>1049</v>
      </c>
      <c r="C111" s="39" t="s">
        <v>84</v>
      </c>
      <c r="D111" s="53" t="s">
        <v>1078</v>
      </c>
      <c r="E111" s="30" t="s">
        <v>1076</v>
      </c>
      <c r="F111" s="25" t="s">
        <v>64</v>
      </c>
      <c r="G111" s="25" t="s">
        <v>0</v>
      </c>
      <c r="H111" s="85">
        <v>43350</v>
      </c>
      <c r="I111" s="83">
        <v>43714</v>
      </c>
      <c r="J111" s="26" t="s">
        <v>1048</v>
      </c>
      <c r="K111" s="25"/>
      <c r="L111" s="27"/>
      <c r="M111" s="27"/>
      <c r="N111" s="27"/>
      <c r="O111" s="27"/>
    </row>
    <row r="112" spans="1:15">
      <c r="A112" s="25">
        <v>62</v>
      </c>
      <c r="B112" s="25" t="s">
        <v>1049</v>
      </c>
      <c r="C112" s="38" t="s">
        <v>83</v>
      </c>
      <c r="D112" s="30" t="s">
        <v>1272</v>
      </c>
      <c r="E112" s="30" t="s">
        <v>1080</v>
      </c>
      <c r="F112" s="25" t="s">
        <v>64</v>
      </c>
      <c r="G112" s="25" t="s">
        <v>0</v>
      </c>
      <c r="H112" s="85">
        <v>43350</v>
      </c>
      <c r="I112" s="83">
        <v>43714</v>
      </c>
      <c r="J112" s="26" t="s">
        <v>2604</v>
      </c>
      <c r="K112" s="25"/>
      <c r="L112" s="27"/>
      <c r="M112" s="27"/>
      <c r="N112" s="27"/>
      <c r="O112" s="27"/>
    </row>
    <row r="113" spans="1:15" ht="17.100000000000001" customHeight="1">
      <c r="A113" s="25">
        <v>64</v>
      </c>
      <c r="B113" s="25" t="s">
        <v>1049</v>
      </c>
      <c r="C113" s="38">
        <v>110577</v>
      </c>
      <c r="D113" s="30" t="s">
        <v>1272</v>
      </c>
      <c r="E113" s="30" t="s">
        <v>1082</v>
      </c>
      <c r="F113" s="25" t="s">
        <v>78</v>
      </c>
      <c r="G113" s="25" t="s">
        <v>0</v>
      </c>
      <c r="H113" s="83">
        <v>43634</v>
      </c>
      <c r="I113" s="84">
        <v>43999</v>
      </c>
      <c r="J113" s="26" t="s">
        <v>1055</v>
      </c>
      <c r="K113" s="26"/>
      <c r="L113" s="35"/>
      <c r="M113" s="45"/>
      <c r="N113" s="28"/>
      <c r="O113" s="47"/>
    </row>
    <row r="114" spans="1:15">
      <c r="A114" s="25">
        <v>65</v>
      </c>
      <c r="B114" s="25" t="s">
        <v>1049</v>
      </c>
      <c r="C114" s="38">
        <v>108129</v>
      </c>
      <c r="D114" s="30" t="s">
        <v>1272</v>
      </c>
      <c r="E114" s="30" t="s">
        <v>1082</v>
      </c>
      <c r="F114" s="25" t="s">
        <v>78</v>
      </c>
      <c r="G114" s="25" t="s">
        <v>0</v>
      </c>
      <c r="H114" s="85">
        <v>43350</v>
      </c>
      <c r="I114" s="83">
        <v>43714</v>
      </c>
      <c r="J114" s="26" t="s">
        <v>1048</v>
      </c>
      <c r="K114" s="25"/>
      <c r="L114" s="31"/>
      <c r="M114" s="31"/>
      <c r="N114" s="31"/>
      <c r="O114" s="105"/>
    </row>
    <row r="115" spans="1:15">
      <c r="A115" s="25">
        <v>66</v>
      </c>
      <c r="B115" s="25" t="s">
        <v>1049</v>
      </c>
      <c r="C115" s="38">
        <v>108370</v>
      </c>
      <c r="D115" s="30" t="s">
        <v>1272</v>
      </c>
      <c r="E115" s="30" t="s">
        <v>1083</v>
      </c>
      <c r="F115" s="25" t="s">
        <v>78</v>
      </c>
      <c r="G115" s="25" t="s">
        <v>0</v>
      </c>
      <c r="H115" s="83">
        <v>43634</v>
      </c>
      <c r="I115" s="84">
        <v>43999</v>
      </c>
      <c r="J115" s="26" t="s">
        <v>1048</v>
      </c>
      <c r="K115" s="26"/>
      <c r="L115" s="31"/>
      <c r="M115" s="31"/>
      <c r="N115" s="31"/>
      <c r="O115" s="105"/>
    </row>
    <row r="116" spans="1:15">
      <c r="A116" s="25">
        <v>67</v>
      </c>
      <c r="B116" s="25" t="s">
        <v>1049</v>
      </c>
      <c r="C116" s="38">
        <v>108334</v>
      </c>
      <c r="D116" s="30" t="s">
        <v>1272</v>
      </c>
      <c r="E116" s="30" t="s">
        <v>1083</v>
      </c>
      <c r="F116" s="25" t="s">
        <v>114</v>
      </c>
      <c r="G116" s="25" t="s">
        <v>0</v>
      </c>
      <c r="H116" s="83">
        <v>43634</v>
      </c>
      <c r="I116" s="84">
        <v>43999</v>
      </c>
      <c r="J116" s="26" t="s">
        <v>1055</v>
      </c>
      <c r="K116" s="26"/>
      <c r="L116" s="31"/>
      <c r="M116" s="31"/>
      <c r="N116" s="31"/>
      <c r="O116" s="105"/>
    </row>
    <row r="117" spans="1:15">
      <c r="A117" s="25">
        <v>68</v>
      </c>
      <c r="B117" s="25" t="s">
        <v>1049</v>
      </c>
      <c r="C117" s="38">
        <v>904554</v>
      </c>
      <c r="D117" s="30" t="s">
        <v>1272</v>
      </c>
      <c r="E117" s="30" t="s">
        <v>1084</v>
      </c>
      <c r="F117" s="25" t="s">
        <v>114</v>
      </c>
      <c r="G117" s="25" t="s">
        <v>0</v>
      </c>
      <c r="H117" s="83">
        <v>43634</v>
      </c>
      <c r="I117" s="84">
        <v>43999</v>
      </c>
      <c r="J117" s="26" t="s">
        <v>1048</v>
      </c>
      <c r="K117" s="26"/>
      <c r="L117" s="31"/>
      <c r="M117" s="31"/>
      <c r="N117" s="31"/>
      <c r="O117" s="105"/>
    </row>
    <row r="118" spans="1:15">
      <c r="A118" s="25">
        <v>69</v>
      </c>
      <c r="B118" s="25" t="s">
        <v>1049</v>
      </c>
      <c r="C118" s="42" t="s">
        <v>89</v>
      </c>
      <c r="D118" s="30" t="s">
        <v>1272</v>
      </c>
      <c r="E118" s="51" t="s">
        <v>1085</v>
      </c>
      <c r="F118" s="32" t="s">
        <v>64</v>
      </c>
      <c r="G118" s="32" t="s">
        <v>1056</v>
      </c>
      <c r="H118" s="85">
        <v>43642</v>
      </c>
      <c r="I118" s="83">
        <v>44007</v>
      </c>
      <c r="J118" s="34" t="s">
        <v>1048</v>
      </c>
      <c r="K118" s="26"/>
      <c r="L118" s="31"/>
      <c r="M118" s="31"/>
      <c r="N118" s="31"/>
      <c r="O118" s="105"/>
    </row>
    <row r="119" spans="1:15">
      <c r="A119" s="25">
        <v>70</v>
      </c>
      <c r="B119" s="25" t="s">
        <v>1049</v>
      </c>
      <c r="C119" s="38">
        <v>325154</v>
      </c>
      <c r="D119" s="30" t="s">
        <v>1272</v>
      </c>
      <c r="E119" s="30" t="s">
        <v>1086</v>
      </c>
      <c r="F119" s="25" t="s">
        <v>114</v>
      </c>
      <c r="G119" s="25" t="s">
        <v>0</v>
      </c>
      <c r="H119" s="83">
        <v>43634</v>
      </c>
      <c r="I119" s="84">
        <v>43999</v>
      </c>
      <c r="J119" s="26" t="s">
        <v>1048</v>
      </c>
      <c r="K119" s="26"/>
      <c r="L119" s="31"/>
      <c r="M119" s="31"/>
      <c r="N119" s="31"/>
      <c r="O119" s="105"/>
    </row>
    <row r="120" spans="1:15">
      <c r="A120" s="25">
        <v>71</v>
      </c>
      <c r="B120" s="25" t="s">
        <v>1049</v>
      </c>
      <c r="C120" s="38">
        <v>202345</v>
      </c>
      <c r="D120" s="30" t="s">
        <v>1272</v>
      </c>
      <c r="E120" s="30" t="s">
        <v>1086</v>
      </c>
      <c r="F120" s="25" t="s">
        <v>114</v>
      </c>
      <c r="G120" s="25" t="s">
        <v>0</v>
      </c>
      <c r="H120" s="83">
        <v>43634</v>
      </c>
      <c r="I120" s="84">
        <v>43999</v>
      </c>
      <c r="J120" s="26" t="s">
        <v>116</v>
      </c>
      <c r="K120" s="26"/>
      <c r="L120" s="31"/>
      <c r="M120" s="31"/>
      <c r="N120" s="31"/>
      <c r="O120" s="105"/>
    </row>
    <row r="121" spans="1:15">
      <c r="A121" s="25">
        <v>72</v>
      </c>
      <c r="B121" s="25" t="s">
        <v>1049</v>
      </c>
      <c r="C121" s="38">
        <v>222323</v>
      </c>
      <c r="D121" s="30" t="s">
        <v>1272</v>
      </c>
      <c r="E121" s="30" t="s">
        <v>1087</v>
      </c>
      <c r="F121" s="25" t="s">
        <v>114</v>
      </c>
      <c r="G121" s="25" t="s">
        <v>0</v>
      </c>
      <c r="H121" s="83">
        <v>43634</v>
      </c>
      <c r="I121" s="84">
        <v>43999</v>
      </c>
      <c r="J121" s="26" t="s">
        <v>1048</v>
      </c>
      <c r="K121" s="26"/>
      <c r="L121" s="31"/>
      <c r="M121" s="31"/>
      <c r="N121" s="31"/>
      <c r="O121" s="105"/>
    </row>
    <row r="122" spans="1:15">
      <c r="A122" s="25">
        <v>73</v>
      </c>
      <c r="B122" s="25" t="s">
        <v>1049</v>
      </c>
      <c r="C122" s="38" t="s">
        <v>1895</v>
      </c>
      <c r="D122" s="30" t="s">
        <v>1272</v>
      </c>
      <c r="E122" s="30" t="s">
        <v>1088</v>
      </c>
      <c r="F122" s="25" t="s">
        <v>114</v>
      </c>
      <c r="G122" s="25" t="s">
        <v>0</v>
      </c>
      <c r="H122" s="85">
        <v>43642</v>
      </c>
      <c r="I122" s="83">
        <v>44007</v>
      </c>
      <c r="J122" s="26" t="s">
        <v>1048</v>
      </c>
      <c r="K122" s="26"/>
      <c r="L122" s="31"/>
      <c r="M122" s="31"/>
      <c r="N122" s="31"/>
      <c r="O122" s="105"/>
    </row>
    <row r="123" spans="1:15">
      <c r="A123" s="25">
        <v>74</v>
      </c>
      <c r="B123" s="25" t="s">
        <v>1049</v>
      </c>
      <c r="C123" s="38">
        <v>223242</v>
      </c>
      <c r="D123" s="30" t="s">
        <v>1272</v>
      </c>
      <c r="E123" s="30" t="s">
        <v>1089</v>
      </c>
      <c r="F123" s="25" t="s">
        <v>114</v>
      </c>
      <c r="G123" s="25" t="s">
        <v>0</v>
      </c>
      <c r="H123" s="85">
        <v>43350</v>
      </c>
      <c r="I123" s="83">
        <v>43714</v>
      </c>
      <c r="J123" s="26" t="s">
        <v>1048</v>
      </c>
      <c r="K123" s="25"/>
      <c r="L123" s="31"/>
      <c r="M123" s="31"/>
      <c r="N123" s="31"/>
      <c r="O123" s="105"/>
    </row>
    <row r="124" spans="1:15">
      <c r="A124" s="33" t="s">
        <v>2971</v>
      </c>
      <c r="B124" s="35" t="s">
        <v>2707</v>
      </c>
      <c r="C124" s="42" t="s">
        <v>2835</v>
      </c>
      <c r="D124" s="42" t="s">
        <v>1465</v>
      </c>
      <c r="E124" s="36" t="s">
        <v>2816</v>
      </c>
      <c r="F124" s="31" t="s">
        <v>2743</v>
      </c>
      <c r="G124" s="117" t="s">
        <v>2008</v>
      </c>
      <c r="H124" s="84">
        <v>43627</v>
      </c>
      <c r="I124" s="84">
        <f>H124+92</f>
        <v>43719</v>
      </c>
      <c r="J124" s="31" t="s">
        <v>486</v>
      </c>
      <c r="K124" s="26"/>
      <c r="L124" s="31"/>
      <c r="M124" s="31"/>
      <c r="N124" s="31"/>
      <c r="O124" s="105"/>
    </row>
    <row r="125" spans="1:15">
      <c r="A125" s="31" t="s">
        <v>2877</v>
      </c>
      <c r="B125" s="35" t="s">
        <v>2688</v>
      </c>
      <c r="C125" s="42" t="s">
        <v>2878</v>
      </c>
      <c r="D125" s="36" t="s">
        <v>2859</v>
      </c>
      <c r="E125" s="36" t="s">
        <v>2876</v>
      </c>
      <c r="F125" s="27" t="s">
        <v>2861</v>
      </c>
      <c r="G125" s="80" t="s">
        <v>2008</v>
      </c>
      <c r="H125" s="83">
        <v>43630</v>
      </c>
      <c r="I125" s="84">
        <v>43722</v>
      </c>
      <c r="J125" s="27" t="s">
        <v>486</v>
      </c>
      <c r="K125" s="26"/>
      <c r="L125" s="31"/>
      <c r="M125" s="31"/>
      <c r="N125" s="31"/>
      <c r="O125" s="105"/>
    </row>
    <row r="126" spans="1:15">
      <c r="A126" s="33" t="s">
        <v>2621</v>
      </c>
      <c r="B126" s="35" t="s">
        <v>1998</v>
      </c>
      <c r="C126" s="42" t="s">
        <v>2626</v>
      </c>
      <c r="D126" s="42" t="s">
        <v>1956</v>
      </c>
      <c r="E126" s="30" t="s">
        <v>3100</v>
      </c>
      <c r="F126" s="31" t="s">
        <v>194</v>
      </c>
      <c r="G126" s="31" t="s">
        <v>39</v>
      </c>
      <c r="H126" s="83">
        <v>43361</v>
      </c>
      <c r="I126" s="84">
        <f t="shared" ref="I126:I131" si="0">H126+364</f>
        <v>43725</v>
      </c>
      <c r="J126" s="31" t="s">
        <v>2004</v>
      </c>
      <c r="K126" s="35"/>
      <c r="L126" s="31"/>
      <c r="M126" s="31"/>
      <c r="N126" s="31"/>
      <c r="O126" s="105"/>
    </row>
    <row r="127" spans="1:15">
      <c r="A127" s="33" t="s">
        <v>2622</v>
      </c>
      <c r="B127" s="35" t="s">
        <v>1998</v>
      </c>
      <c r="C127" s="42" t="s">
        <v>2627</v>
      </c>
      <c r="D127" s="42" t="s">
        <v>1956</v>
      </c>
      <c r="E127" s="30" t="s">
        <v>3100</v>
      </c>
      <c r="F127" s="31" t="s">
        <v>194</v>
      </c>
      <c r="G127" s="31" t="s">
        <v>39</v>
      </c>
      <c r="H127" s="83">
        <v>43361</v>
      </c>
      <c r="I127" s="84">
        <f t="shared" si="0"/>
        <v>43725</v>
      </c>
      <c r="J127" s="31" t="s">
        <v>2004</v>
      </c>
      <c r="K127" s="35"/>
      <c r="L127" s="31"/>
      <c r="M127" s="31"/>
      <c r="N127" s="31"/>
      <c r="O127" s="105"/>
    </row>
    <row r="128" spans="1:15">
      <c r="A128" s="33" t="s">
        <v>2623</v>
      </c>
      <c r="B128" s="35" t="s">
        <v>1998</v>
      </c>
      <c r="C128" s="42" t="s">
        <v>2628</v>
      </c>
      <c r="D128" s="42" t="s">
        <v>1956</v>
      </c>
      <c r="E128" s="30" t="s">
        <v>3100</v>
      </c>
      <c r="F128" s="31" t="s">
        <v>194</v>
      </c>
      <c r="G128" s="31" t="s">
        <v>39</v>
      </c>
      <c r="H128" s="83">
        <v>43361</v>
      </c>
      <c r="I128" s="84">
        <f t="shared" si="0"/>
        <v>43725</v>
      </c>
      <c r="J128" s="31" t="s">
        <v>2004</v>
      </c>
      <c r="K128" s="35"/>
      <c r="L128" s="31"/>
      <c r="M128" s="31"/>
      <c r="N128" s="31"/>
      <c r="O128" s="105"/>
    </row>
    <row r="129" spans="1:15">
      <c r="A129" s="33" t="s">
        <v>2624</v>
      </c>
      <c r="B129" s="35" t="s">
        <v>1998</v>
      </c>
      <c r="C129" s="42" t="s">
        <v>2629</v>
      </c>
      <c r="D129" s="42" t="s">
        <v>1956</v>
      </c>
      <c r="E129" s="30" t="s">
        <v>3100</v>
      </c>
      <c r="F129" s="31" t="s">
        <v>194</v>
      </c>
      <c r="G129" s="31" t="s">
        <v>39</v>
      </c>
      <c r="H129" s="83">
        <v>43361</v>
      </c>
      <c r="I129" s="84">
        <f t="shared" si="0"/>
        <v>43725</v>
      </c>
      <c r="J129" s="31" t="s">
        <v>2004</v>
      </c>
      <c r="K129" s="35"/>
      <c r="L129" s="31"/>
      <c r="M129" s="31"/>
      <c r="N129" s="31"/>
      <c r="O129" s="105"/>
    </row>
    <row r="130" spans="1:15">
      <c r="A130" s="33" t="s">
        <v>2625</v>
      </c>
      <c r="B130" s="35" t="s">
        <v>1998</v>
      </c>
      <c r="C130" s="42" t="s">
        <v>2630</v>
      </c>
      <c r="D130" s="42" t="s">
        <v>1956</v>
      </c>
      <c r="E130" s="30" t="s">
        <v>3100</v>
      </c>
      <c r="F130" s="31" t="s">
        <v>194</v>
      </c>
      <c r="G130" s="31" t="s">
        <v>39</v>
      </c>
      <c r="H130" s="83">
        <v>43361</v>
      </c>
      <c r="I130" s="84">
        <f t="shared" si="0"/>
        <v>43725</v>
      </c>
      <c r="J130" s="31" t="s">
        <v>2004</v>
      </c>
      <c r="K130" s="35"/>
      <c r="L130" s="31"/>
      <c r="M130" s="31"/>
      <c r="N130" s="31"/>
      <c r="O130" s="105"/>
    </row>
    <row r="131" spans="1:15">
      <c r="A131" s="37" t="s">
        <v>2813</v>
      </c>
      <c r="B131" s="35" t="s">
        <v>2718</v>
      </c>
      <c r="C131" s="38">
        <v>260136</v>
      </c>
      <c r="D131" s="38" t="s">
        <v>2699</v>
      </c>
      <c r="E131" s="38" t="s">
        <v>2725</v>
      </c>
      <c r="F131" s="31" t="s">
        <v>2726</v>
      </c>
      <c r="G131" s="27" t="s">
        <v>39</v>
      </c>
      <c r="H131" s="83">
        <v>43362</v>
      </c>
      <c r="I131" s="84">
        <f t="shared" si="0"/>
        <v>43726</v>
      </c>
      <c r="J131" s="31" t="s">
        <v>2933</v>
      </c>
      <c r="K131" s="35"/>
      <c r="L131" s="31"/>
      <c r="M131" s="31"/>
      <c r="N131" s="31"/>
      <c r="O131" s="105"/>
    </row>
    <row r="132" spans="1:15" s="168" customFormat="1">
      <c r="A132" s="37" t="s">
        <v>2811</v>
      </c>
      <c r="B132" s="35" t="s">
        <v>2718</v>
      </c>
      <c r="C132" s="38" t="s">
        <v>3003</v>
      </c>
      <c r="D132" s="38" t="s">
        <v>2803</v>
      </c>
      <c r="E132" s="38" t="s">
        <v>2746</v>
      </c>
      <c r="F132" s="31" t="s">
        <v>2743</v>
      </c>
      <c r="G132" s="80" t="s">
        <v>195</v>
      </c>
      <c r="H132" s="83">
        <v>43635</v>
      </c>
      <c r="I132" s="84">
        <f>H132+92</f>
        <v>43727</v>
      </c>
      <c r="J132" s="31" t="s">
        <v>201</v>
      </c>
      <c r="K132" s="26"/>
      <c r="L132" s="78"/>
      <c r="M132" s="78"/>
      <c r="N132" s="78"/>
      <c r="O132" s="172"/>
    </row>
    <row r="133" spans="1:15">
      <c r="A133" s="25">
        <v>75</v>
      </c>
      <c r="B133" s="25" t="s">
        <v>1049</v>
      </c>
      <c r="C133" s="38">
        <v>223280</v>
      </c>
      <c r="D133" s="30" t="s">
        <v>1272</v>
      </c>
      <c r="E133" s="30" t="s">
        <v>1090</v>
      </c>
      <c r="F133" s="25" t="s">
        <v>114</v>
      </c>
      <c r="G133" s="25" t="s">
        <v>0</v>
      </c>
      <c r="H133" s="83">
        <v>43634</v>
      </c>
      <c r="I133" s="84">
        <v>43999</v>
      </c>
      <c r="J133" s="26" t="s">
        <v>1048</v>
      </c>
      <c r="K133" s="26"/>
      <c r="L133" s="31"/>
      <c r="M133" s="31"/>
      <c r="N133" s="31"/>
      <c r="O133" s="105"/>
    </row>
    <row r="134" spans="1:15">
      <c r="A134" s="37" t="s">
        <v>250</v>
      </c>
      <c r="B134" s="35" t="s">
        <v>2707</v>
      </c>
      <c r="C134" s="38" t="s">
        <v>2708</v>
      </c>
      <c r="D134" s="38" t="s">
        <v>2709</v>
      </c>
      <c r="E134" s="38" t="s">
        <v>1173</v>
      </c>
      <c r="F134" s="31" t="s">
        <v>252</v>
      </c>
      <c r="G134" s="78" t="s">
        <v>1174</v>
      </c>
      <c r="H134" s="85">
        <v>43545</v>
      </c>
      <c r="I134" s="83">
        <v>43728</v>
      </c>
      <c r="J134" s="31" t="s">
        <v>2003</v>
      </c>
      <c r="K134" s="35"/>
      <c r="L134" s="31"/>
      <c r="M134" s="31"/>
      <c r="N134" s="31"/>
      <c r="O134" s="31"/>
    </row>
    <row r="135" spans="1:15" ht="13.5" customHeight="1">
      <c r="A135" s="37" t="s">
        <v>359</v>
      </c>
      <c r="B135" s="35" t="s">
        <v>2740</v>
      </c>
      <c r="C135" s="57" t="s">
        <v>2750</v>
      </c>
      <c r="D135" s="38" t="s">
        <v>2709</v>
      </c>
      <c r="E135" s="38" t="s">
        <v>2751</v>
      </c>
      <c r="F135" s="165" t="s">
        <v>2749</v>
      </c>
      <c r="G135" s="78" t="s">
        <v>2002</v>
      </c>
      <c r="H135" s="85">
        <v>43545</v>
      </c>
      <c r="I135" s="83">
        <v>43728</v>
      </c>
      <c r="J135" s="31" t="s">
        <v>2003</v>
      </c>
      <c r="K135" s="35"/>
      <c r="L135" s="27"/>
      <c r="M135" s="27"/>
      <c r="N135" s="28">
        <v>23000</v>
      </c>
      <c r="O135" s="29"/>
    </row>
    <row r="136" spans="1:15">
      <c r="A136" s="37" t="s">
        <v>2764</v>
      </c>
      <c r="B136" s="35" t="s">
        <v>2765</v>
      </c>
      <c r="C136" s="38" t="s">
        <v>2766</v>
      </c>
      <c r="D136" s="38" t="s">
        <v>2767</v>
      </c>
      <c r="E136" s="38" t="s">
        <v>2768</v>
      </c>
      <c r="F136" s="31" t="s">
        <v>2769</v>
      </c>
      <c r="G136" s="31" t="s">
        <v>39</v>
      </c>
      <c r="H136" s="83">
        <v>43364</v>
      </c>
      <c r="I136" s="84">
        <f t="shared" ref="I136:I149" si="1">H136+364</f>
        <v>43728</v>
      </c>
      <c r="J136" s="31" t="s">
        <v>2004</v>
      </c>
      <c r="K136" s="35"/>
      <c r="L136" s="31"/>
      <c r="M136" s="31"/>
      <c r="N136" s="31"/>
      <c r="O136" s="31"/>
    </row>
    <row r="137" spans="1:15" ht="13.5" customHeight="1">
      <c r="A137" s="37" t="s">
        <v>2770</v>
      </c>
      <c r="B137" s="35" t="s">
        <v>2771</v>
      </c>
      <c r="C137" s="38" t="s">
        <v>2772</v>
      </c>
      <c r="D137" s="38" t="s">
        <v>2773</v>
      </c>
      <c r="E137" s="38" t="s">
        <v>2774</v>
      </c>
      <c r="F137" s="31" t="s">
        <v>2769</v>
      </c>
      <c r="G137" s="31" t="s">
        <v>39</v>
      </c>
      <c r="H137" s="83">
        <v>43364</v>
      </c>
      <c r="I137" s="84">
        <f t="shared" si="1"/>
        <v>43728</v>
      </c>
      <c r="J137" s="31" t="s">
        <v>2003</v>
      </c>
      <c r="K137" s="35"/>
      <c r="L137" s="35"/>
      <c r="M137" s="35"/>
      <c r="N137" s="28"/>
      <c r="O137" s="40"/>
    </row>
    <row r="138" spans="1:15" ht="17.100000000000001" customHeight="1">
      <c r="A138" s="37" t="s">
        <v>2782</v>
      </c>
      <c r="B138" s="35" t="s">
        <v>2718</v>
      </c>
      <c r="C138" s="38" t="s">
        <v>2783</v>
      </c>
      <c r="D138" s="38" t="s">
        <v>2784</v>
      </c>
      <c r="E138" s="38" t="s">
        <v>2785</v>
      </c>
      <c r="F138" s="31" t="s">
        <v>2769</v>
      </c>
      <c r="G138" s="31" t="s">
        <v>39</v>
      </c>
      <c r="H138" s="83">
        <v>43364</v>
      </c>
      <c r="I138" s="84">
        <f t="shared" si="1"/>
        <v>43728</v>
      </c>
      <c r="J138" s="31" t="s">
        <v>2004</v>
      </c>
      <c r="K138" s="35"/>
      <c r="L138" s="35"/>
      <c r="M138" s="35"/>
      <c r="N138" s="28">
        <v>21200</v>
      </c>
      <c r="O138" s="35"/>
    </row>
    <row r="139" spans="1:15" ht="13.5" customHeight="1">
      <c r="A139" s="33" t="s">
        <v>2829</v>
      </c>
      <c r="B139" s="35" t="s">
        <v>2707</v>
      </c>
      <c r="C139" s="42" t="s">
        <v>2830</v>
      </c>
      <c r="D139" s="42" t="s">
        <v>2827</v>
      </c>
      <c r="E139" s="36" t="s">
        <v>2828</v>
      </c>
      <c r="F139" s="31" t="s">
        <v>2706</v>
      </c>
      <c r="G139" s="76" t="s">
        <v>39</v>
      </c>
      <c r="H139" s="83">
        <v>43364</v>
      </c>
      <c r="I139" s="84">
        <f t="shared" si="1"/>
        <v>43728</v>
      </c>
      <c r="J139" s="77" t="s">
        <v>2004</v>
      </c>
      <c r="K139" s="35"/>
      <c r="L139" s="27"/>
      <c r="M139" s="27"/>
      <c r="N139" s="28">
        <v>21200</v>
      </c>
      <c r="O139" s="29"/>
    </row>
    <row r="140" spans="1:15">
      <c r="A140" s="31" t="s">
        <v>437</v>
      </c>
      <c r="B140" s="35" t="s">
        <v>1998</v>
      </c>
      <c r="C140" s="38" t="s">
        <v>438</v>
      </c>
      <c r="D140" s="38" t="s">
        <v>2892</v>
      </c>
      <c r="E140" s="38" t="s">
        <v>240</v>
      </c>
      <c r="F140" s="31" t="s">
        <v>2769</v>
      </c>
      <c r="G140" s="31" t="s">
        <v>39</v>
      </c>
      <c r="H140" s="83">
        <v>43364</v>
      </c>
      <c r="I140" s="84">
        <f t="shared" si="1"/>
        <v>43728</v>
      </c>
      <c r="J140" s="31" t="s">
        <v>234</v>
      </c>
      <c r="K140" s="35"/>
      <c r="L140" s="31"/>
      <c r="M140" s="31"/>
      <c r="N140" s="28">
        <v>21200</v>
      </c>
      <c r="O140" s="31"/>
    </row>
    <row r="141" spans="1:15" ht="13.5" customHeight="1">
      <c r="A141" s="31" t="s">
        <v>238</v>
      </c>
      <c r="B141" s="35" t="s">
        <v>1998</v>
      </c>
      <c r="C141" s="38" t="s">
        <v>239</v>
      </c>
      <c r="D141" s="38" t="s">
        <v>2892</v>
      </c>
      <c r="E141" s="38" t="s">
        <v>240</v>
      </c>
      <c r="F141" s="31" t="s">
        <v>2769</v>
      </c>
      <c r="G141" s="31" t="s">
        <v>39</v>
      </c>
      <c r="H141" s="83">
        <v>43364</v>
      </c>
      <c r="I141" s="84">
        <f t="shared" si="1"/>
        <v>43728</v>
      </c>
      <c r="J141" s="31" t="s">
        <v>2004</v>
      </c>
      <c r="K141" s="35"/>
      <c r="L141" s="35"/>
      <c r="M141" s="35"/>
      <c r="N141" s="28">
        <v>21200</v>
      </c>
      <c r="O141" s="40" t="s">
        <v>375</v>
      </c>
    </row>
    <row r="142" spans="1:15">
      <c r="A142" s="31" t="s">
        <v>444</v>
      </c>
      <c r="B142" s="35" t="s">
        <v>1998</v>
      </c>
      <c r="C142" s="38" t="s">
        <v>445</v>
      </c>
      <c r="D142" s="38" t="s">
        <v>446</v>
      </c>
      <c r="E142" s="49" t="s">
        <v>2069</v>
      </c>
      <c r="F142" s="31" t="s">
        <v>443</v>
      </c>
      <c r="G142" s="31" t="s">
        <v>39</v>
      </c>
      <c r="H142" s="83">
        <v>43364</v>
      </c>
      <c r="I142" s="84">
        <f t="shared" si="1"/>
        <v>43728</v>
      </c>
      <c r="J142" s="31" t="s">
        <v>2004</v>
      </c>
      <c r="K142" s="35"/>
      <c r="L142" s="35"/>
      <c r="M142" s="35"/>
      <c r="N142" s="28"/>
      <c r="O142" s="40"/>
    </row>
    <row r="143" spans="1:15" ht="13.5" customHeight="1">
      <c r="A143" s="31" t="s">
        <v>236</v>
      </c>
      <c r="B143" s="35" t="s">
        <v>2151</v>
      </c>
      <c r="C143" s="38" t="s">
        <v>3048</v>
      </c>
      <c r="D143" s="39" t="s">
        <v>2243</v>
      </c>
      <c r="E143" s="38" t="s">
        <v>2244</v>
      </c>
      <c r="F143" s="31" t="s">
        <v>2245</v>
      </c>
      <c r="G143" s="31" t="s">
        <v>2155</v>
      </c>
      <c r="H143" s="83">
        <v>43364</v>
      </c>
      <c r="I143" s="84">
        <f t="shared" si="1"/>
        <v>43728</v>
      </c>
      <c r="J143" s="31" t="s">
        <v>2231</v>
      </c>
      <c r="K143" s="35"/>
      <c r="L143" s="27"/>
      <c r="M143" s="27"/>
      <c r="N143" s="28">
        <v>21200</v>
      </c>
      <c r="O143" s="29"/>
    </row>
    <row r="144" spans="1:15" ht="13.5" customHeight="1">
      <c r="A144" s="31" t="s">
        <v>242</v>
      </c>
      <c r="B144" s="35" t="s">
        <v>2246</v>
      </c>
      <c r="C144" s="38" t="s">
        <v>3049</v>
      </c>
      <c r="D144" s="39" t="s">
        <v>2247</v>
      </c>
      <c r="E144" s="38" t="s">
        <v>2248</v>
      </c>
      <c r="F144" s="31" t="s">
        <v>2249</v>
      </c>
      <c r="G144" s="31" t="s">
        <v>2250</v>
      </c>
      <c r="H144" s="83">
        <v>43364</v>
      </c>
      <c r="I144" s="84">
        <f t="shared" si="1"/>
        <v>43728</v>
      </c>
      <c r="J144" s="31" t="s">
        <v>2004</v>
      </c>
      <c r="K144" s="35"/>
      <c r="L144" s="27"/>
      <c r="M144" s="27"/>
      <c r="N144" s="28">
        <v>21200</v>
      </c>
      <c r="O144" s="29"/>
    </row>
    <row r="145" spans="1:15" ht="13.5" customHeight="1">
      <c r="A145" s="31" t="s">
        <v>276</v>
      </c>
      <c r="B145" s="35" t="s">
        <v>2246</v>
      </c>
      <c r="C145" s="38" t="s">
        <v>3050</v>
      </c>
      <c r="D145" s="39" t="s">
        <v>2252</v>
      </c>
      <c r="E145" s="38" t="s">
        <v>2248</v>
      </c>
      <c r="F145" s="31" t="s">
        <v>2253</v>
      </c>
      <c r="G145" s="31" t="s">
        <v>2250</v>
      </c>
      <c r="H145" s="83">
        <v>43364</v>
      </c>
      <c r="I145" s="84">
        <f t="shared" si="1"/>
        <v>43728</v>
      </c>
      <c r="J145" s="31" t="s">
        <v>2004</v>
      </c>
      <c r="K145" s="35"/>
      <c r="L145" s="27"/>
      <c r="M145" s="27"/>
      <c r="N145" s="28">
        <v>21200</v>
      </c>
      <c r="O145" s="29"/>
    </row>
    <row r="146" spans="1:15" ht="13.5" customHeight="1">
      <c r="A146" s="31" t="s">
        <v>278</v>
      </c>
      <c r="B146" s="35" t="s">
        <v>2246</v>
      </c>
      <c r="C146" s="38" t="s">
        <v>3051</v>
      </c>
      <c r="D146" s="39" t="s">
        <v>2252</v>
      </c>
      <c r="E146" s="38" t="s">
        <v>2248</v>
      </c>
      <c r="F146" s="31" t="s">
        <v>2253</v>
      </c>
      <c r="G146" s="31" t="s">
        <v>2250</v>
      </c>
      <c r="H146" s="83">
        <v>43364</v>
      </c>
      <c r="I146" s="84">
        <f t="shared" si="1"/>
        <v>43728</v>
      </c>
      <c r="J146" s="31" t="s">
        <v>2004</v>
      </c>
      <c r="K146" s="35"/>
      <c r="L146" s="27"/>
      <c r="M146" s="27"/>
      <c r="N146" s="28">
        <v>21200</v>
      </c>
      <c r="O146" s="29"/>
    </row>
    <row r="147" spans="1:15">
      <c r="A147" s="31" t="s">
        <v>280</v>
      </c>
      <c r="B147" s="35" t="s">
        <v>2246</v>
      </c>
      <c r="C147" s="38" t="s">
        <v>3052</v>
      </c>
      <c r="D147" s="39" t="s">
        <v>2252</v>
      </c>
      <c r="E147" s="38" t="s">
        <v>2248</v>
      </c>
      <c r="F147" s="31" t="s">
        <v>2253</v>
      </c>
      <c r="G147" s="31" t="s">
        <v>2250</v>
      </c>
      <c r="H147" s="83">
        <v>43364</v>
      </c>
      <c r="I147" s="84">
        <f t="shared" si="1"/>
        <v>43728</v>
      </c>
      <c r="J147" s="31" t="s">
        <v>2004</v>
      </c>
      <c r="K147" s="35"/>
      <c r="L147" s="35"/>
      <c r="M147" s="35"/>
      <c r="N147" s="28">
        <v>21200</v>
      </c>
      <c r="O147" s="126"/>
    </row>
    <row r="148" spans="1:15">
      <c r="A148" s="31" t="s">
        <v>382</v>
      </c>
      <c r="B148" s="35" t="s">
        <v>2261</v>
      </c>
      <c r="C148" s="39" t="s">
        <v>184</v>
      </c>
      <c r="D148" s="48" t="s">
        <v>2893</v>
      </c>
      <c r="E148" s="38" t="s">
        <v>2277</v>
      </c>
      <c r="F148" s="31" t="s">
        <v>2262</v>
      </c>
      <c r="G148" s="31" t="s">
        <v>2263</v>
      </c>
      <c r="H148" s="83">
        <v>43364</v>
      </c>
      <c r="I148" s="84">
        <f t="shared" si="1"/>
        <v>43728</v>
      </c>
      <c r="J148" s="31" t="s">
        <v>2004</v>
      </c>
      <c r="K148" s="35"/>
      <c r="L148" s="35"/>
      <c r="M148" s="35"/>
      <c r="N148" s="28">
        <v>21200</v>
      </c>
      <c r="O148" s="126"/>
    </row>
    <row r="149" spans="1:15">
      <c r="A149" s="31" t="s">
        <v>384</v>
      </c>
      <c r="B149" s="35" t="s">
        <v>2261</v>
      </c>
      <c r="C149" s="39" t="s">
        <v>185</v>
      </c>
      <c r="D149" s="48" t="s">
        <v>2893</v>
      </c>
      <c r="E149" s="38" t="s">
        <v>2278</v>
      </c>
      <c r="F149" s="31" t="s">
        <v>2262</v>
      </c>
      <c r="G149" s="31" t="s">
        <v>2263</v>
      </c>
      <c r="H149" s="83">
        <v>43364</v>
      </c>
      <c r="I149" s="84">
        <f t="shared" si="1"/>
        <v>43728</v>
      </c>
      <c r="J149" s="31" t="s">
        <v>2004</v>
      </c>
      <c r="K149" s="35"/>
      <c r="L149" s="35"/>
      <c r="M149" s="35"/>
      <c r="N149" s="28">
        <v>21200</v>
      </c>
      <c r="O149" s="126"/>
    </row>
    <row r="150" spans="1:15">
      <c r="A150" s="31" t="s">
        <v>2213</v>
      </c>
      <c r="B150" s="35" t="s">
        <v>1998</v>
      </c>
      <c r="C150" s="38" t="s">
        <v>2943</v>
      </c>
      <c r="D150" s="38" t="s">
        <v>2709</v>
      </c>
      <c r="E150" s="38" t="s">
        <v>2214</v>
      </c>
      <c r="F150" s="31" t="s">
        <v>296</v>
      </c>
      <c r="G150" s="78" t="s">
        <v>2002</v>
      </c>
      <c r="H150" s="85">
        <v>43545</v>
      </c>
      <c r="I150" s="83">
        <v>43728</v>
      </c>
      <c r="J150" s="31" t="s">
        <v>486</v>
      </c>
      <c r="K150" s="31"/>
      <c r="L150" s="35"/>
      <c r="M150" s="35"/>
      <c r="N150" s="28">
        <v>21200</v>
      </c>
      <c r="O150" s="35"/>
    </row>
    <row r="151" spans="1:15">
      <c r="A151" s="31" t="s">
        <v>2142</v>
      </c>
      <c r="B151" s="35" t="s">
        <v>1998</v>
      </c>
      <c r="C151" s="42" t="s">
        <v>2219</v>
      </c>
      <c r="D151" s="38" t="s">
        <v>2709</v>
      </c>
      <c r="E151" s="42" t="s">
        <v>2220</v>
      </c>
      <c r="F151" s="31" t="s">
        <v>2221</v>
      </c>
      <c r="G151" s="78" t="s">
        <v>2002</v>
      </c>
      <c r="H151" s="85">
        <v>43545</v>
      </c>
      <c r="I151" s="83">
        <v>43728</v>
      </c>
      <c r="J151" s="31" t="s">
        <v>486</v>
      </c>
      <c r="K151" s="35"/>
      <c r="L151" s="27"/>
      <c r="M151" s="27"/>
      <c r="N151" s="28">
        <v>12340</v>
      </c>
      <c r="O151" s="29"/>
    </row>
    <row r="152" spans="1:15">
      <c r="A152" s="25">
        <v>76</v>
      </c>
      <c r="B152" s="25" t="s">
        <v>1049</v>
      </c>
      <c r="C152" s="38" t="s">
        <v>82</v>
      </c>
      <c r="D152" s="30" t="s">
        <v>1272</v>
      </c>
      <c r="E152" s="30" t="s">
        <v>1091</v>
      </c>
      <c r="F152" s="25" t="s">
        <v>64</v>
      </c>
      <c r="G152" s="25" t="s">
        <v>0</v>
      </c>
      <c r="H152" s="85">
        <v>43350</v>
      </c>
      <c r="I152" s="83">
        <v>43714</v>
      </c>
      <c r="J152" s="26" t="s">
        <v>1048</v>
      </c>
      <c r="K152" s="25"/>
      <c r="L152" s="27"/>
      <c r="M152" s="27"/>
      <c r="N152" s="28">
        <v>7100</v>
      </c>
      <c r="O152" s="29"/>
    </row>
    <row r="153" spans="1:15">
      <c r="A153" s="25">
        <v>77</v>
      </c>
      <c r="B153" s="25" t="s">
        <v>1049</v>
      </c>
      <c r="C153" s="38" t="s">
        <v>181</v>
      </c>
      <c r="D153" s="30" t="s">
        <v>1092</v>
      </c>
      <c r="E153" s="30" t="s">
        <v>182</v>
      </c>
      <c r="F153" s="25" t="s">
        <v>64</v>
      </c>
      <c r="G153" s="25" t="s">
        <v>1056</v>
      </c>
      <c r="H153" s="85">
        <v>43524</v>
      </c>
      <c r="I153" s="83">
        <v>43888</v>
      </c>
      <c r="J153" s="26" t="s">
        <v>1048</v>
      </c>
      <c r="K153" s="25"/>
      <c r="L153" s="35"/>
      <c r="M153" s="35"/>
      <c r="N153" s="28"/>
      <c r="O153" s="148"/>
    </row>
    <row r="154" spans="1:15">
      <c r="A154" s="31" t="s">
        <v>2847</v>
      </c>
      <c r="B154" s="35" t="s">
        <v>2688</v>
      </c>
      <c r="C154" s="42" t="s">
        <v>2848</v>
      </c>
      <c r="D154" s="36" t="s">
        <v>2849</v>
      </c>
      <c r="E154" s="36" t="s">
        <v>2850</v>
      </c>
      <c r="F154" s="27" t="s">
        <v>2851</v>
      </c>
      <c r="G154" s="80" t="s">
        <v>2008</v>
      </c>
      <c r="H154" s="83">
        <v>43637</v>
      </c>
      <c r="I154" s="84">
        <f>H154+92</f>
        <v>43729</v>
      </c>
      <c r="J154" s="27" t="s">
        <v>486</v>
      </c>
      <c r="K154" s="26"/>
      <c r="L154" s="27"/>
      <c r="M154" s="27"/>
      <c r="N154" s="28">
        <v>12340</v>
      </c>
      <c r="O154" s="99"/>
    </row>
    <row r="155" spans="1:15">
      <c r="A155" s="31" t="s">
        <v>2843</v>
      </c>
      <c r="B155" s="35" t="s">
        <v>2688</v>
      </c>
      <c r="C155" s="42" t="s">
        <v>2852</v>
      </c>
      <c r="D155" s="36" t="s">
        <v>2853</v>
      </c>
      <c r="E155" s="36" t="s">
        <v>2854</v>
      </c>
      <c r="F155" s="27" t="s">
        <v>2842</v>
      </c>
      <c r="G155" s="80" t="s">
        <v>2008</v>
      </c>
      <c r="H155" s="83">
        <v>43637</v>
      </c>
      <c r="I155" s="84">
        <f>H155+92</f>
        <v>43729</v>
      </c>
      <c r="J155" s="27" t="s">
        <v>486</v>
      </c>
      <c r="K155" s="26" t="s">
        <v>3041</v>
      </c>
      <c r="L155" s="27"/>
      <c r="M155" s="27"/>
      <c r="N155" s="28"/>
      <c r="O155" s="99"/>
    </row>
    <row r="156" spans="1:15">
      <c r="A156" s="33" t="s">
        <v>2857</v>
      </c>
      <c r="B156" s="35" t="s">
        <v>2688</v>
      </c>
      <c r="C156" s="42" t="s">
        <v>2858</v>
      </c>
      <c r="D156" s="42" t="s">
        <v>2859</v>
      </c>
      <c r="E156" s="36" t="s">
        <v>2860</v>
      </c>
      <c r="F156" s="31" t="s">
        <v>2861</v>
      </c>
      <c r="G156" s="118" t="s">
        <v>2008</v>
      </c>
      <c r="H156" s="83">
        <v>43637</v>
      </c>
      <c r="I156" s="84">
        <f>H156+92</f>
        <v>43729</v>
      </c>
      <c r="J156" s="31" t="s">
        <v>486</v>
      </c>
      <c r="K156" s="35"/>
      <c r="L156" s="27"/>
      <c r="M156" s="27"/>
      <c r="N156" s="28"/>
      <c r="O156" s="99"/>
    </row>
    <row r="157" spans="1:15">
      <c r="A157" s="37" t="s">
        <v>2890</v>
      </c>
      <c r="B157" s="35" t="s">
        <v>2688</v>
      </c>
      <c r="C157" s="38" t="s">
        <v>2891</v>
      </c>
      <c r="D157" s="38" t="s">
        <v>2849</v>
      </c>
      <c r="E157" s="36" t="s">
        <v>2884</v>
      </c>
      <c r="F157" s="31" t="s">
        <v>2851</v>
      </c>
      <c r="G157" s="118" t="s">
        <v>2008</v>
      </c>
      <c r="H157" s="83">
        <v>43637</v>
      </c>
      <c r="I157" s="84">
        <f>H157+92</f>
        <v>43729</v>
      </c>
      <c r="J157" s="31" t="s">
        <v>486</v>
      </c>
      <c r="K157" s="35"/>
      <c r="L157" s="27"/>
      <c r="M157" s="27"/>
      <c r="N157" s="28"/>
      <c r="O157" s="99"/>
    </row>
    <row r="158" spans="1:15">
      <c r="A158" s="25">
        <v>78</v>
      </c>
      <c r="B158" s="25" t="s">
        <v>1049</v>
      </c>
      <c r="C158" s="38" t="s">
        <v>1900</v>
      </c>
      <c r="D158" s="53" t="s">
        <v>1070</v>
      </c>
      <c r="E158" s="30" t="s">
        <v>1071</v>
      </c>
      <c r="F158" s="25" t="s">
        <v>150</v>
      </c>
      <c r="G158" s="25" t="s">
        <v>0</v>
      </c>
      <c r="H158" s="85">
        <v>43642</v>
      </c>
      <c r="I158" s="83">
        <v>44007</v>
      </c>
      <c r="J158" s="26" t="s">
        <v>1048</v>
      </c>
      <c r="K158" s="26"/>
      <c r="L158" s="45"/>
      <c r="M158" s="45"/>
      <c r="N158" s="46"/>
      <c r="O158" s="103"/>
    </row>
    <row r="159" spans="1:15">
      <c r="A159" s="25">
        <v>79</v>
      </c>
      <c r="B159" s="25" t="s">
        <v>1049</v>
      </c>
      <c r="C159" s="38" t="s">
        <v>1901</v>
      </c>
      <c r="D159" s="53" t="s">
        <v>1070</v>
      </c>
      <c r="E159" s="30" t="s">
        <v>1071</v>
      </c>
      <c r="F159" s="25" t="s">
        <v>150</v>
      </c>
      <c r="G159" s="25" t="s">
        <v>0</v>
      </c>
      <c r="H159" s="85">
        <v>43642</v>
      </c>
      <c r="I159" s="83">
        <v>44007</v>
      </c>
      <c r="J159" s="26" t="s">
        <v>1048</v>
      </c>
      <c r="K159" s="26"/>
      <c r="L159" s="31"/>
      <c r="M159" s="31"/>
      <c r="N159" s="31"/>
      <c r="O159" s="105"/>
    </row>
    <row r="160" spans="1:15">
      <c r="A160" s="25">
        <v>80</v>
      </c>
      <c r="B160" s="25" t="s">
        <v>1049</v>
      </c>
      <c r="C160" s="39" t="s">
        <v>57</v>
      </c>
      <c r="D160" s="30" t="s">
        <v>1093</v>
      </c>
      <c r="E160" s="30" t="s">
        <v>58</v>
      </c>
      <c r="F160" s="25" t="s">
        <v>59</v>
      </c>
      <c r="G160" s="25" t="s">
        <v>1056</v>
      </c>
      <c r="H160" s="85">
        <v>43642</v>
      </c>
      <c r="I160" s="83">
        <v>44007</v>
      </c>
      <c r="J160" s="26" t="s">
        <v>1048</v>
      </c>
      <c r="K160" s="26"/>
      <c r="L160" s="35"/>
      <c r="M160" s="35"/>
      <c r="N160" s="28"/>
      <c r="O160" s="102"/>
    </row>
    <row r="161" spans="1:15">
      <c r="A161" s="25">
        <v>81</v>
      </c>
      <c r="B161" s="25" t="s">
        <v>1049</v>
      </c>
      <c r="C161" s="50" t="s">
        <v>135</v>
      </c>
      <c r="D161" s="51" t="s">
        <v>1093</v>
      </c>
      <c r="E161" s="51" t="s">
        <v>136</v>
      </c>
      <c r="F161" s="32" t="s">
        <v>137</v>
      </c>
      <c r="G161" s="32" t="s">
        <v>1056</v>
      </c>
      <c r="H161" s="85">
        <v>43642</v>
      </c>
      <c r="I161" s="83">
        <v>44007</v>
      </c>
      <c r="J161" s="34" t="s">
        <v>1048</v>
      </c>
      <c r="K161" s="26"/>
      <c r="L161" s="27"/>
      <c r="M161" s="27"/>
      <c r="N161" s="28">
        <v>8820</v>
      </c>
      <c r="O161" s="99"/>
    </row>
    <row r="162" spans="1:15">
      <c r="A162" s="25">
        <v>82</v>
      </c>
      <c r="B162" s="25" t="s">
        <v>1049</v>
      </c>
      <c r="C162" s="39">
        <v>110004</v>
      </c>
      <c r="D162" s="30" t="s">
        <v>1094</v>
      </c>
      <c r="E162" s="30" t="s">
        <v>1095</v>
      </c>
      <c r="F162" s="25" t="s">
        <v>64</v>
      </c>
      <c r="G162" s="25" t="s">
        <v>1</v>
      </c>
      <c r="H162" s="85">
        <v>43279</v>
      </c>
      <c r="I162" s="83">
        <v>44009</v>
      </c>
      <c r="J162" s="26" t="s">
        <v>1307</v>
      </c>
      <c r="K162" s="25"/>
      <c r="L162" s="35"/>
      <c r="M162" s="35"/>
      <c r="N162" s="28"/>
      <c r="O162" s="121"/>
    </row>
    <row r="163" spans="1:15" ht="15.6">
      <c r="A163" s="37" t="s">
        <v>207</v>
      </c>
      <c r="B163" s="35" t="s">
        <v>2718</v>
      </c>
      <c r="C163" s="57" t="s">
        <v>2736</v>
      </c>
      <c r="D163" s="38" t="s">
        <v>2737</v>
      </c>
      <c r="E163" s="38" t="s">
        <v>2738</v>
      </c>
      <c r="F163" s="31" t="s">
        <v>2739</v>
      </c>
      <c r="G163" s="79" t="s">
        <v>2008</v>
      </c>
      <c r="H163" s="161">
        <v>43641</v>
      </c>
      <c r="I163" s="84">
        <f>H163+92</f>
        <v>43733</v>
      </c>
      <c r="J163" s="31" t="s">
        <v>2003</v>
      </c>
      <c r="K163" s="35"/>
      <c r="L163" s="45"/>
      <c r="M163" s="45"/>
      <c r="N163" s="128"/>
      <c r="O163" s="149" t="s">
        <v>2009</v>
      </c>
    </row>
    <row r="164" spans="1:15">
      <c r="A164" s="37" t="s">
        <v>210</v>
      </c>
      <c r="B164" s="35" t="s">
        <v>2740</v>
      </c>
      <c r="C164" s="57" t="s">
        <v>2741</v>
      </c>
      <c r="D164" s="38" t="s">
        <v>2737</v>
      </c>
      <c r="E164" s="38" t="s">
        <v>2742</v>
      </c>
      <c r="F164" s="31" t="s">
        <v>2743</v>
      </c>
      <c r="G164" s="79" t="s">
        <v>2008</v>
      </c>
      <c r="H164" s="83">
        <v>43641</v>
      </c>
      <c r="I164" s="84">
        <f>H164+92</f>
        <v>43733</v>
      </c>
      <c r="J164" s="31" t="s">
        <v>2003</v>
      </c>
      <c r="K164" s="35"/>
      <c r="L164" s="35"/>
      <c r="M164" s="35"/>
      <c r="N164" s="28"/>
      <c r="O164" s="100"/>
    </row>
    <row r="165" spans="1:15">
      <c r="A165" s="37" t="s">
        <v>213</v>
      </c>
      <c r="B165" s="35" t="s">
        <v>2707</v>
      </c>
      <c r="C165" s="57" t="s">
        <v>2744</v>
      </c>
      <c r="D165" s="38" t="s">
        <v>2745</v>
      </c>
      <c r="E165" s="38" t="s">
        <v>2746</v>
      </c>
      <c r="F165" s="31" t="s">
        <v>2739</v>
      </c>
      <c r="G165" s="79" t="s">
        <v>2008</v>
      </c>
      <c r="H165" s="83">
        <v>43641</v>
      </c>
      <c r="I165" s="84">
        <f>H165+92</f>
        <v>43733</v>
      </c>
      <c r="J165" s="31" t="s">
        <v>2003</v>
      </c>
      <c r="K165" s="35"/>
      <c r="L165" s="35"/>
      <c r="M165" s="35"/>
      <c r="N165" s="28">
        <v>21200</v>
      </c>
      <c r="O165" s="100"/>
    </row>
    <row r="166" spans="1:15">
      <c r="A166" s="37" t="s">
        <v>2788</v>
      </c>
      <c r="B166" s="35" t="s">
        <v>2718</v>
      </c>
      <c r="C166" s="38" t="s">
        <v>2789</v>
      </c>
      <c r="D166" s="38" t="s">
        <v>2790</v>
      </c>
      <c r="E166" s="38" t="s">
        <v>2791</v>
      </c>
      <c r="F166" s="31" t="s">
        <v>2792</v>
      </c>
      <c r="G166" s="80" t="s">
        <v>195</v>
      </c>
      <c r="H166" s="83">
        <v>43644</v>
      </c>
      <c r="I166" s="84">
        <f>H166+92</f>
        <v>43736</v>
      </c>
      <c r="J166" s="31" t="s">
        <v>201</v>
      </c>
      <c r="K166" s="35"/>
      <c r="L166" s="27"/>
      <c r="M166" s="27"/>
      <c r="N166" s="28">
        <v>21200</v>
      </c>
      <c r="O166" s="99"/>
    </row>
    <row r="167" spans="1:15">
      <c r="A167" s="25">
        <v>83</v>
      </c>
      <c r="B167" s="25" t="s">
        <v>1049</v>
      </c>
      <c r="C167" s="39">
        <v>100516</v>
      </c>
      <c r="D167" s="30" t="s">
        <v>1094</v>
      </c>
      <c r="E167" s="30" t="s">
        <v>1096</v>
      </c>
      <c r="F167" s="25" t="s">
        <v>64</v>
      </c>
      <c r="G167" s="25" t="s">
        <v>1</v>
      </c>
      <c r="H167" s="85">
        <v>43279</v>
      </c>
      <c r="I167" s="83">
        <v>44009</v>
      </c>
      <c r="J167" s="26" t="s">
        <v>1048</v>
      </c>
      <c r="K167" s="25"/>
      <c r="L167" s="27"/>
      <c r="M167" s="27"/>
      <c r="N167" s="28">
        <v>23930</v>
      </c>
      <c r="O167" s="99"/>
    </row>
    <row r="168" spans="1:15" s="145" customFormat="1">
      <c r="A168" s="33" t="s">
        <v>2654</v>
      </c>
      <c r="B168" s="35" t="s">
        <v>1998</v>
      </c>
      <c r="C168" s="42" t="s">
        <v>2655</v>
      </c>
      <c r="D168" s="42" t="s">
        <v>1956</v>
      </c>
      <c r="E168" s="30" t="s">
        <v>3100</v>
      </c>
      <c r="F168" s="31" t="s">
        <v>194</v>
      </c>
      <c r="G168" s="31" t="s">
        <v>39</v>
      </c>
      <c r="H168" s="83">
        <v>43390</v>
      </c>
      <c r="I168" s="84">
        <f t="shared" ref="I168:I184" si="2">H168+364</f>
        <v>43754</v>
      </c>
      <c r="J168" s="31" t="s">
        <v>2656</v>
      </c>
      <c r="K168" s="35"/>
      <c r="L168" s="143"/>
      <c r="M168" s="143"/>
      <c r="N168" s="46">
        <v>10700</v>
      </c>
      <c r="O168" s="150"/>
    </row>
    <row r="169" spans="1:15">
      <c r="A169" s="33" t="s">
        <v>2657</v>
      </c>
      <c r="B169" s="35" t="s">
        <v>1998</v>
      </c>
      <c r="C169" s="42" t="s">
        <v>2660</v>
      </c>
      <c r="D169" s="42" t="s">
        <v>1956</v>
      </c>
      <c r="E169" s="30" t="s">
        <v>3100</v>
      </c>
      <c r="F169" s="31" t="s">
        <v>194</v>
      </c>
      <c r="G169" s="31" t="s">
        <v>39</v>
      </c>
      <c r="H169" s="83">
        <v>43390</v>
      </c>
      <c r="I169" s="84">
        <f t="shared" si="2"/>
        <v>43754</v>
      </c>
      <c r="J169" s="31" t="s">
        <v>2656</v>
      </c>
      <c r="K169" s="35"/>
      <c r="L169" s="35"/>
      <c r="M169" s="35"/>
      <c r="N169" s="28"/>
      <c r="O169" s="100"/>
    </row>
    <row r="170" spans="1:15">
      <c r="A170" s="33" t="s">
        <v>2658</v>
      </c>
      <c r="B170" s="35" t="s">
        <v>1998</v>
      </c>
      <c r="C170" s="42" t="s">
        <v>2661</v>
      </c>
      <c r="D170" s="42" t="s">
        <v>1956</v>
      </c>
      <c r="E170" s="30" t="s">
        <v>3100</v>
      </c>
      <c r="F170" s="31" t="s">
        <v>194</v>
      </c>
      <c r="G170" s="31" t="s">
        <v>39</v>
      </c>
      <c r="H170" s="83">
        <v>43390</v>
      </c>
      <c r="I170" s="84">
        <f t="shared" si="2"/>
        <v>43754</v>
      </c>
      <c r="J170" s="31" t="s">
        <v>2656</v>
      </c>
      <c r="K170" s="35"/>
      <c r="L170" s="27"/>
      <c r="M170" s="27"/>
      <c r="N170" s="28">
        <v>25580</v>
      </c>
      <c r="O170" s="99"/>
    </row>
    <row r="171" spans="1:15">
      <c r="A171" s="33" t="s">
        <v>2659</v>
      </c>
      <c r="B171" s="35" t="s">
        <v>1998</v>
      </c>
      <c r="C171" s="42" t="s">
        <v>2662</v>
      </c>
      <c r="D171" s="42" t="s">
        <v>1956</v>
      </c>
      <c r="E171" s="30" t="s">
        <v>3100</v>
      </c>
      <c r="F171" s="31" t="s">
        <v>194</v>
      </c>
      <c r="G171" s="31" t="s">
        <v>39</v>
      </c>
      <c r="H171" s="83">
        <v>43390</v>
      </c>
      <c r="I171" s="84">
        <f t="shared" si="2"/>
        <v>43754</v>
      </c>
      <c r="J171" s="31" t="s">
        <v>2656</v>
      </c>
      <c r="K171" s="35"/>
      <c r="L171" s="35"/>
      <c r="M171" s="35"/>
      <c r="N171" s="28">
        <v>14370</v>
      </c>
      <c r="O171" s="102"/>
    </row>
    <row r="172" spans="1:15">
      <c r="A172" s="31" t="s">
        <v>405</v>
      </c>
      <c r="B172" s="35" t="s">
        <v>1998</v>
      </c>
      <c r="C172" s="38" t="s">
        <v>406</v>
      </c>
      <c r="D172" s="48" t="s">
        <v>2893</v>
      </c>
      <c r="E172" s="42" t="s">
        <v>3071</v>
      </c>
      <c r="F172" s="31" t="s">
        <v>3043</v>
      </c>
      <c r="G172" s="31" t="s">
        <v>39</v>
      </c>
      <c r="H172" s="84">
        <v>43393</v>
      </c>
      <c r="I172" s="84">
        <f t="shared" si="2"/>
        <v>43757</v>
      </c>
      <c r="J172" s="31" t="s">
        <v>2003</v>
      </c>
      <c r="K172" s="35"/>
      <c r="L172" s="27"/>
      <c r="M172" s="27"/>
      <c r="N172" s="28">
        <v>25580</v>
      </c>
      <c r="O172" s="99"/>
    </row>
    <row r="173" spans="1:15">
      <c r="A173" s="31" t="s">
        <v>410</v>
      </c>
      <c r="B173" s="35" t="s">
        <v>1998</v>
      </c>
      <c r="C173" s="38" t="s">
        <v>411</v>
      </c>
      <c r="D173" s="48" t="s">
        <v>2893</v>
      </c>
      <c r="E173" s="42" t="s">
        <v>3072</v>
      </c>
      <c r="F173" s="31" t="s">
        <v>3043</v>
      </c>
      <c r="G173" s="76" t="s">
        <v>39</v>
      </c>
      <c r="H173" s="84">
        <v>43393</v>
      </c>
      <c r="I173" s="84">
        <f t="shared" si="2"/>
        <v>43757</v>
      </c>
      <c r="J173" s="31" t="s">
        <v>2003</v>
      </c>
      <c r="K173" s="35"/>
      <c r="L173" s="27"/>
      <c r="M173" s="27"/>
      <c r="N173" s="28"/>
      <c r="O173" s="99"/>
    </row>
    <row r="174" spans="1:15">
      <c r="A174" s="31" t="s">
        <v>413</v>
      </c>
      <c r="B174" s="35" t="s">
        <v>2151</v>
      </c>
      <c r="C174" s="38" t="s">
        <v>2230</v>
      </c>
      <c r="D174" s="48" t="s">
        <v>2893</v>
      </c>
      <c r="E174" s="42" t="s">
        <v>3073</v>
      </c>
      <c r="F174" s="31" t="s">
        <v>3043</v>
      </c>
      <c r="G174" s="76" t="s">
        <v>2155</v>
      </c>
      <c r="H174" s="84">
        <v>43393</v>
      </c>
      <c r="I174" s="84">
        <f t="shared" si="2"/>
        <v>43757</v>
      </c>
      <c r="J174" s="31" t="s">
        <v>2231</v>
      </c>
      <c r="K174" s="35"/>
      <c r="L174" s="27"/>
      <c r="M174" s="27"/>
      <c r="N174" s="28">
        <v>13230</v>
      </c>
      <c r="O174" s="123"/>
    </row>
    <row r="175" spans="1:15">
      <c r="A175" s="31" t="s">
        <v>416</v>
      </c>
      <c r="B175" s="35" t="s">
        <v>2151</v>
      </c>
      <c r="C175" s="38" t="s">
        <v>2232</v>
      </c>
      <c r="D175" s="48" t="s">
        <v>2893</v>
      </c>
      <c r="E175" s="42" t="s">
        <v>3074</v>
      </c>
      <c r="F175" s="31" t="s">
        <v>3043</v>
      </c>
      <c r="G175" s="76" t="s">
        <v>2155</v>
      </c>
      <c r="H175" s="84">
        <v>43393</v>
      </c>
      <c r="I175" s="84">
        <f t="shared" si="2"/>
        <v>43757</v>
      </c>
      <c r="J175" s="31" t="s">
        <v>2231</v>
      </c>
      <c r="K175" s="35"/>
      <c r="L175" s="27"/>
      <c r="M175" s="27"/>
      <c r="N175" s="28"/>
      <c r="O175" s="123"/>
    </row>
    <row r="176" spans="1:15">
      <c r="A176" s="31" t="s">
        <v>419</v>
      </c>
      <c r="B176" s="35" t="s">
        <v>2151</v>
      </c>
      <c r="C176" s="38" t="s">
        <v>2233</v>
      </c>
      <c r="D176" s="48" t="s">
        <v>2893</v>
      </c>
      <c r="E176" s="42" t="s">
        <v>3075</v>
      </c>
      <c r="F176" s="31" t="s">
        <v>3043</v>
      </c>
      <c r="G176" s="76" t="s">
        <v>2155</v>
      </c>
      <c r="H176" s="84">
        <v>43393</v>
      </c>
      <c r="I176" s="84">
        <f t="shared" si="2"/>
        <v>43757</v>
      </c>
      <c r="J176" s="31" t="s">
        <v>2231</v>
      </c>
      <c r="K176" s="35"/>
      <c r="L176" s="27"/>
      <c r="M176" s="27"/>
      <c r="N176" s="28"/>
      <c r="O176" s="99"/>
    </row>
    <row r="177" spans="1:15">
      <c r="A177" s="31" t="s">
        <v>422</v>
      </c>
      <c r="B177" s="35" t="s">
        <v>1998</v>
      </c>
      <c r="C177" s="38" t="s">
        <v>423</v>
      </c>
      <c r="D177" s="48" t="s">
        <v>2893</v>
      </c>
      <c r="E177" s="42" t="s">
        <v>3076</v>
      </c>
      <c r="F177" s="31" t="s">
        <v>3043</v>
      </c>
      <c r="G177" s="76" t="s">
        <v>39</v>
      </c>
      <c r="H177" s="84">
        <v>43393</v>
      </c>
      <c r="I177" s="84">
        <f t="shared" si="2"/>
        <v>43757</v>
      </c>
      <c r="J177" s="31" t="s">
        <v>2003</v>
      </c>
      <c r="K177" s="35"/>
      <c r="L177" s="45"/>
      <c r="M177" s="45"/>
      <c r="N177" s="28">
        <v>129800</v>
      </c>
      <c r="O177" s="103"/>
    </row>
    <row r="178" spans="1:15">
      <c r="A178" s="31" t="s">
        <v>425</v>
      </c>
      <c r="B178" s="35" t="s">
        <v>1998</v>
      </c>
      <c r="C178" s="38" t="s">
        <v>426</v>
      </c>
      <c r="D178" s="48" t="s">
        <v>2893</v>
      </c>
      <c r="E178" s="42" t="s">
        <v>3077</v>
      </c>
      <c r="F178" s="31" t="s">
        <v>3043</v>
      </c>
      <c r="G178" s="76" t="s">
        <v>39</v>
      </c>
      <c r="H178" s="84">
        <v>43393</v>
      </c>
      <c r="I178" s="84">
        <f t="shared" si="2"/>
        <v>43757</v>
      </c>
      <c r="J178" s="31" t="s">
        <v>2003</v>
      </c>
      <c r="K178" s="35"/>
      <c r="L178" s="45"/>
      <c r="M178" s="45"/>
      <c r="N178" s="28">
        <v>21200</v>
      </c>
      <c r="O178" s="103"/>
    </row>
    <row r="179" spans="1:15">
      <c r="A179" s="31" t="s">
        <v>428</v>
      </c>
      <c r="B179" s="35" t="s">
        <v>2151</v>
      </c>
      <c r="C179" s="38" t="s">
        <v>2234</v>
      </c>
      <c r="D179" s="48" t="s">
        <v>2893</v>
      </c>
      <c r="E179" s="42" t="s">
        <v>3078</v>
      </c>
      <c r="F179" s="31" t="s">
        <v>3043</v>
      </c>
      <c r="G179" s="76" t="s">
        <v>2155</v>
      </c>
      <c r="H179" s="84">
        <v>43393</v>
      </c>
      <c r="I179" s="84">
        <f t="shared" si="2"/>
        <v>43757</v>
      </c>
      <c r="J179" s="31" t="s">
        <v>2231</v>
      </c>
      <c r="K179" s="35"/>
      <c r="L179" s="45"/>
      <c r="M179" s="45"/>
      <c r="N179" s="28">
        <v>21200</v>
      </c>
      <c r="O179" s="103"/>
    </row>
    <row r="180" spans="1:15">
      <c r="A180" s="31" t="s">
        <v>431</v>
      </c>
      <c r="B180" s="35" t="s">
        <v>2151</v>
      </c>
      <c r="C180" s="38" t="s">
        <v>2235</v>
      </c>
      <c r="D180" s="48" t="s">
        <v>2893</v>
      </c>
      <c r="E180" s="42" t="s">
        <v>3079</v>
      </c>
      <c r="F180" s="31" t="s">
        <v>3043</v>
      </c>
      <c r="G180" s="76" t="s">
        <v>2155</v>
      </c>
      <c r="H180" s="84">
        <v>43393</v>
      </c>
      <c r="I180" s="84">
        <f t="shared" si="2"/>
        <v>43757</v>
      </c>
      <c r="J180" s="31" t="s">
        <v>2231</v>
      </c>
      <c r="K180" s="35"/>
      <c r="L180" s="35"/>
      <c r="M180" s="35"/>
      <c r="N180" s="28">
        <v>21200</v>
      </c>
      <c r="O180" s="121"/>
    </row>
    <row r="181" spans="1:15">
      <c r="A181" s="31" t="s">
        <v>434</v>
      </c>
      <c r="B181" s="35" t="s">
        <v>2151</v>
      </c>
      <c r="C181" s="38" t="s">
        <v>2236</v>
      </c>
      <c r="D181" s="48" t="s">
        <v>2893</v>
      </c>
      <c r="E181" s="42" t="s">
        <v>3080</v>
      </c>
      <c r="F181" s="31" t="s">
        <v>3043</v>
      </c>
      <c r="G181" s="76" t="s">
        <v>2155</v>
      </c>
      <c r="H181" s="84">
        <v>43393</v>
      </c>
      <c r="I181" s="84">
        <f t="shared" si="2"/>
        <v>43757</v>
      </c>
      <c r="J181" s="31" t="s">
        <v>2231</v>
      </c>
      <c r="K181" s="35"/>
      <c r="L181" s="27"/>
      <c r="M181" s="27"/>
      <c r="N181" s="28">
        <v>21200</v>
      </c>
      <c r="O181" s="123"/>
    </row>
    <row r="182" spans="1:15">
      <c r="A182" s="31" t="s">
        <v>386</v>
      </c>
      <c r="B182" s="35" t="s">
        <v>2261</v>
      </c>
      <c r="C182" s="39" t="s">
        <v>186</v>
      </c>
      <c r="D182" s="48" t="s">
        <v>2893</v>
      </c>
      <c r="E182" s="42" t="s">
        <v>3081</v>
      </c>
      <c r="F182" s="31" t="s">
        <v>2262</v>
      </c>
      <c r="G182" s="31" t="s">
        <v>2263</v>
      </c>
      <c r="H182" s="84">
        <v>43393</v>
      </c>
      <c r="I182" s="84">
        <f t="shared" si="2"/>
        <v>43757</v>
      </c>
      <c r="J182" s="31" t="s">
        <v>1159</v>
      </c>
      <c r="K182" s="35"/>
      <c r="L182" s="27"/>
      <c r="M182" s="27"/>
      <c r="N182" s="28">
        <v>21200</v>
      </c>
      <c r="O182" s="123"/>
    </row>
    <row r="183" spans="1:15">
      <c r="A183" s="31" t="s">
        <v>581</v>
      </c>
      <c r="B183" s="35" t="s">
        <v>1998</v>
      </c>
      <c r="C183" s="39" t="s">
        <v>582</v>
      </c>
      <c r="D183" s="48" t="s">
        <v>2893</v>
      </c>
      <c r="E183" s="42" t="s">
        <v>583</v>
      </c>
      <c r="F183" s="31" t="s">
        <v>2070</v>
      </c>
      <c r="G183" s="31" t="s">
        <v>39</v>
      </c>
      <c r="H183" s="83">
        <v>43393</v>
      </c>
      <c r="I183" s="84">
        <f t="shared" si="2"/>
        <v>43757</v>
      </c>
      <c r="J183" s="31" t="s">
        <v>201</v>
      </c>
      <c r="K183" s="35"/>
      <c r="L183" s="27"/>
      <c r="M183" s="27"/>
      <c r="N183" s="28">
        <v>21200</v>
      </c>
      <c r="O183" s="123"/>
    </row>
    <row r="184" spans="1:15">
      <c r="A184" s="31" t="s">
        <v>456</v>
      </c>
      <c r="B184" s="35" t="s">
        <v>2261</v>
      </c>
      <c r="C184" s="39" t="s">
        <v>2332</v>
      </c>
      <c r="D184" s="48" t="s">
        <v>2893</v>
      </c>
      <c r="E184" s="38" t="s">
        <v>2333</v>
      </c>
      <c r="F184" s="31" t="s">
        <v>2323</v>
      </c>
      <c r="G184" s="31" t="s">
        <v>2263</v>
      </c>
      <c r="H184" s="83">
        <v>43393</v>
      </c>
      <c r="I184" s="84">
        <f t="shared" si="2"/>
        <v>43757</v>
      </c>
      <c r="J184" s="31" t="s">
        <v>201</v>
      </c>
      <c r="K184" s="35"/>
      <c r="L184" s="27"/>
      <c r="M184" s="27"/>
      <c r="N184" s="28">
        <v>21200</v>
      </c>
      <c r="O184" s="101"/>
    </row>
    <row r="185" spans="1:15">
      <c r="A185" s="31" t="s">
        <v>2164</v>
      </c>
      <c r="B185" s="35" t="s">
        <v>1998</v>
      </c>
      <c r="C185" s="42" t="s">
        <v>2165</v>
      </c>
      <c r="D185" s="38" t="s">
        <v>2011</v>
      </c>
      <c r="E185" s="38"/>
      <c r="F185" s="31" t="s">
        <v>2166</v>
      </c>
      <c r="G185" s="31" t="s">
        <v>39</v>
      </c>
      <c r="H185" s="84">
        <v>43033</v>
      </c>
      <c r="I185" s="84">
        <f>H185+365+364</f>
        <v>43762</v>
      </c>
      <c r="J185" s="31" t="s">
        <v>2001</v>
      </c>
      <c r="K185" s="35"/>
      <c r="L185" s="27"/>
      <c r="M185" s="27"/>
      <c r="N185" s="28">
        <v>21200</v>
      </c>
      <c r="O185" s="101"/>
    </row>
    <row r="186" spans="1:15">
      <c r="A186" s="31" t="s">
        <v>2167</v>
      </c>
      <c r="B186" s="35" t="s">
        <v>1998</v>
      </c>
      <c r="C186" s="42" t="s">
        <v>2168</v>
      </c>
      <c r="D186" s="38" t="s">
        <v>2011</v>
      </c>
      <c r="E186" s="38"/>
      <c r="F186" s="31" t="s">
        <v>2166</v>
      </c>
      <c r="G186" s="31" t="s">
        <v>39</v>
      </c>
      <c r="H186" s="83">
        <v>43033</v>
      </c>
      <c r="I186" s="84">
        <f>H186+365+364</f>
        <v>43762</v>
      </c>
      <c r="J186" s="31" t="s">
        <v>2001</v>
      </c>
      <c r="K186" s="35"/>
      <c r="L186" s="27"/>
      <c r="M186" s="27"/>
      <c r="N186" s="28">
        <v>21200</v>
      </c>
      <c r="O186" s="123"/>
    </row>
    <row r="187" spans="1:15" s="145" customFormat="1">
      <c r="A187" s="37" t="s">
        <v>352</v>
      </c>
      <c r="B187" s="35" t="s">
        <v>2688</v>
      </c>
      <c r="C187" s="38" t="s">
        <v>2703</v>
      </c>
      <c r="D187" s="38" t="s">
        <v>2704</v>
      </c>
      <c r="E187" s="38" t="s">
        <v>2705</v>
      </c>
      <c r="F187" s="31" t="s">
        <v>2706</v>
      </c>
      <c r="G187" s="31" t="s">
        <v>39</v>
      </c>
      <c r="H187" s="83">
        <v>43410</v>
      </c>
      <c r="I187" s="84">
        <f t="shared" ref="I187:I221" si="3">H187+364</f>
        <v>43774</v>
      </c>
      <c r="J187" s="31" t="s">
        <v>286</v>
      </c>
      <c r="K187" s="35"/>
      <c r="L187" s="45"/>
      <c r="M187" s="45"/>
      <c r="N187" s="28">
        <v>21200</v>
      </c>
      <c r="O187" s="103"/>
    </row>
    <row r="188" spans="1:15" s="145" customFormat="1">
      <c r="A188" s="25" t="s">
        <v>2973</v>
      </c>
      <c r="B188" s="35" t="s">
        <v>2688</v>
      </c>
      <c r="C188" s="39" t="s">
        <v>2689</v>
      </c>
      <c r="D188" s="30" t="s">
        <v>2690</v>
      </c>
      <c r="E188" s="30" t="s">
        <v>2691</v>
      </c>
      <c r="F188" s="25" t="s">
        <v>2692</v>
      </c>
      <c r="G188" s="25" t="s">
        <v>0</v>
      </c>
      <c r="H188" s="83">
        <v>43410</v>
      </c>
      <c r="I188" s="84">
        <f t="shared" si="3"/>
        <v>43774</v>
      </c>
      <c r="J188" s="26" t="s">
        <v>2010</v>
      </c>
      <c r="K188" s="25"/>
      <c r="L188" s="45"/>
      <c r="M188" s="45"/>
      <c r="N188" s="28">
        <v>21200</v>
      </c>
      <c r="O188" s="103"/>
    </row>
    <row r="189" spans="1:15">
      <c r="A189" s="37" t="s">
        <v>2786</v>
      </c>
      <c r="B189" s="35" t="s">
        <v>2718</v>
      </c>
      <c r="C189" s="38" t="s">
        <v>2787</v>
      </c>
      <c r="D189" s="38" t="s">
        <v>2784</v>
      </c>
      <c r="E189" s="38" t="s">
        <v>2785</v>
      </c>
      <c r="F189" s="31" t="s">
        <v>2769</v>
      </c>
      <c r="G189" s="31" t="s">
        <v>39</v>
      </c>
      <c r="H189" s="83">
        <v>43410</v>
      </c>
      <c r="I189" s="84">
        <f t="shared" si="3"/>
        <v>43774</v>
      </c>
      <c r="J189" s="31" t="s">
        <v>201</v>
      </c>
      <c r="K189" s="35"/>
      <c r="L189" s="27"/>
      <c r="M189" s="27"/>
      <c r="N189" s="28">
        <v>21200</v>
      </c>
      <c r="O189" s="123"/>
    </row>
    <row r="190" spans="1:15" s="145" customFormat="1">
      <c r="A190" s="31" t="s">
        <v>318</v>
      </c>
      <c r="B190" s="35" t="s">
        <v>1998</v>
      </c>
      <c r="C190" s="39" t="s">
        <v>319</v>
      </c>
      <c r="D190" s="38" t="s">
        <v>2043</v>
      </c>
      <c r="E190" s="38" t="s">
        <v>312</v>
      </c>
      <c r="F190" s="31" t="s">
        <v>313</v>
      </c>
      <c r="G190" s="31" t="s">
        <v>39</v>
      </c>
      <c r="H190" s="83">
        <v>43410</v>
      </c>
      <c r="I190" s="84">
        <f t="shared" si="3"/>
        <v>43774</v>
      </c>
      <c r="J190" s="31" t="s">
        <v>2004</v>
      </c>
      <c r="K190" s="35"/>
      <c r="L190" s="45"/>
      <c r="M190" s="45"/>
      <c r="N190" s="28">
        <v>21200</v>
      </c>
      <c r="O190" s="151"/>
    </row>
    <row r="191" spans="1:15">
      <c r="A191" s="31" t="s">
        <v>2633</v>
      </c>
      <c r="B191" s="35" t="s">
        <v>1998</v>
      </c>
      <c r="C191" s="39" t="s">
        <v>2634</v>
      </c>
      <c r="D191" s="38" t="s">
        <v>2043</v>
      </c>
      <c r="E191" s="38" t="s">
        <v>312</v>
      </c>
      <c r="F191" s="31" t="s">
        <v>313</v>
      </c>
      <c r="G191" s="31" t="s">
        <v>39</v>
      </c>
      <c r="H191" s="84">
        <v>43410</v>
      </c>
      <c r="I191" s="84">
        <f t="shared" si="3"/>
        <v>43774</v>
      </c>
      <c r="J191" s="31" t="s">
        <v>2000</v>
      </c>
      <c r="K191" s="35"/>
      <c r="L191" s="35"/>
      <c r="M191" s="35"/>
      <c r="N191" s="28">
        <v>21200</v>
      </c>
      <c r="O191" s="102"/>
    </row>
    <row r="192" spans="1:15">
      <c r="A192" s="31" t="s">
        <v>339</v>
      </c>
      <c r="B192" s="35" t="s">
        <v>1998</v>
      </c>
      <c r="C192" s="38" t="s">
        <v>340</v>
      </c>
      <c r="D192" s="38" t="s">
        <v>1111</v>
      </c>
      <c r="E192" s="38" t="s">
        <v>341</v>
      </c>
      <c r="F192" s="31" t="s">
        <v>313</v>
      </c>
      <c r="G192" s="31" t="s">
        <v>39</v>
      </c>
      <c r="H192" s="83">
        <v>43410</v>
      </c>
      <c r="I192" s="84">
        <f t="shared" si="3"/>
        <v>43774</v>
      </c>
      <c r="J192" s="31" t="s">
        <v>2004</v>
      </c>
      <c r="K192" s="35"/>
      <c r="L192" s="35"/>
      <c r="M192" s="35"/>
      <c r="N192" s="28">
        <v>21200</v>
      </c>
      <c r="O192" s="102"/>
    </row>
    <row r="193" spans="1:15">
      <c r="A193" s="31" t="s">
        <v>372</v>
      </c>
      <c r="B193" s="35" t="s">
        <v>1998</v>
      </c>
      <c r="C193" s="38" t="s">
        <v>373</v>
      </c>
      <c r="D193" s="38" t="s">
        <v>1103</v>
      </c>
      <c r="E193" s="38" t="s">
        <v>374</v>
      </c>
      <c r="F193" s="31" t="s">
        <v>313</v>
      </c>
      <c r="G193" s="31" t="s">
        <v>1281</v>
      </c>
      <c r="H193" s="84">
        <v>43410</v>
      </c>
      <c r="I193" s="84">
        <f t="shared" si="3"/>
        <v>43774</v>
      </c>
      <c r="J193" s="31" t="s">
        <v>2004</v>
      </c>
      <c r="K193" s="35"/>
      <c r="L193" s="35"/>
      <c r="M193" s="35"/>
      <c r="N193" s="28">
        <v>21200</v>
      </c>
      <c r="O193" s="102"/>
    </row>
    <row r="194" spans="1:15">
      <c r="A194" s="31" t="s">
        <v>343</v>
      </c>
      <c r="B194" s="35" t="s">
        <v>1998</v>
      </c>
      <c r="C194" s="39" t="s">
        <v>344</v>
      </c>
      <c r="D194" s="38" t="s">
        <v>2894</v>
      </c>
      <c r="E194" s="38" t="s">
        <v>345</v>
      </c>
      <c r="F194" s="31" t="s">
        <v>313</v>
      </c>
      <c r="G194" s="31" t="s">
        <v>39</v>
      </c>
      <c r="H194" s="83">
        <v>43410</v>
      </c>
      <c r="I194" s="84">
        <f t="shared" si="3"/>
        <v>43774</v>
      </c>
      <c r="J194" s="31" t="s">
        <v>3065</v>
      </c>
      <c r="K194" s="35"/>
      <c r="L194" s="35"/>
      <c r="M194" s="35"/>
      <c r="N194" s="28">
        <v>21200</v>
      </c>
      <c r="O194" s="102"/>
    </row>
    <row r="195" spans="1:15">
      <c r="A195" s="31" t="s">
        <v>2968</v>
      </c>
      <c r="B195" s="35" t="s">
        <v>2261</v>
      </c>
      <c r="C195" s="42" t="s">
        <v>2313</v>
      </c>
      <c r="D195" s="42" t="s">
        <v>2314</v>
      </c>
      <c r="E195" s="36" t="s">
        <v>2315</v>
      </c>
      <c r="F195" s="31" t="s">
        <v>2316</v>
      </c>
      <c r="G195" s="31" t="s">
        <v>2263</v>
      </c>
      <c r="H195" s="83">
        <v>43410</v>
      </c>
      <c r="I195" s="84">
        <f t="shared" si="3"/>
        <v>43774</v>
      </c>
      <c r="J195" s="31" t="s">
        <v>2304</v>
      </c>
      <c r="K195" s="35"/>
      <c r="L195" s="45"/>
      <c r="M195" s="45"/>
      <c r="N195" s="28">
        <v>21200</v>
      </c>
      <c r="O195" s="103"/>
    </row>
    <row r="196" spans="1:15">
      <c r="A196" s="31" t="s">
        <v>2969</v>
      </c>
      <c r="B196" s="31" t="s">
        <v>2648</v>
      </c>
      <c r="C196" s="42" t="s">
        <v>2649</v>
      </c>
      <c r="D196" s="42" t="s">
        <v>2636</v>
      </c>
      <c r="E196" s="42" t="s">
        <v>2650</v>
      </c>
      <c r="F196" s="31" t="s">
        <v>2651</v>
      </c>
      <c r="G196" s="31" t="s">
        <v>2652</v>
      </c>
      <c r="H196" s="84">
        <v>43410</v>
      </c>
      <c r="I196" s="84">
        <f t="shared" si="3"/>
        <v>43774</v>
      </c>
      <c r="J196" s="31" t="s">
        <v>2653</v>
      </c>
      <c r="K196" s="31"/>
      <c r="L196" s="45"/>
      <c r="M196" s="45"/>
      <c r="N196" s="28">
        <v>21200</v>
      </c>
      <c r="O196" s="103"/>
    </row>
    <row r="197" spans="1:15" s="110" customFormat="1" ht="15.6">
      <c r="A197" s="31" t="s">
        <v>376</v>
      </c>
      <c r="B197" s="35" t="s">
        <v>2261</v>
      </c>
      <c r="C197" s="39" t="s">
        <v>2275</v>
      </c>
      <c r="D197" s="48" t="s">
        <v>2893</v>
      </c>
      <c r="E197" s="38" t="s">
        <v>2276</v>
      </c>
      <c r="F197" s="31" t="s">
        <v>2262</v>
      </c>
      <c r="G197" s="31" t="s">
        <v>2263</v>
      </c>
      <c r="H197" s="83">
        <v>43410</v>
      </c>
      <c r="I197" s="84">
        <f t="shared" si="3"/>
        <v>43774</v>
      </c>
      <c r="J197" s="31" t="s">
        <v>2004</v>
      </c>
      <c r="K197" s="35"/>
      <c r="L197" s="35"/>
      <c r="M197" s="35"/>
      <c r="N197" s="28">
        <v>21200</v>
      </c>
      <c r="O197" s="124"/>
    </row>
    <row r="198" spans="1:15" s="110" customFormat="1" ht="15.6">
      <c r="A198" s="31" t="s">
        <v>388</v>
      </c>
      <c r="B198" s="35" t="s">
        <v>2261</v>
      </c>
      <c r="C198" s="39" t="s">
        <v>389</v>
      </c>
      <c r="D198" s="48" t="s">
        <v>2893</v>
      </c>
      <c r="E198" s="38" t="s">
        <v>2280</v>
      </c>
      <c r="F198" s="31" t="s">
        <v>2262</v>
      </c>
      <c r="G198" s="31" t="s">
        <v>2263</v>
      </c>
      <c r="H198" s="83">
        <v>43410</v>
      </c>
      <c r="I198" s="84">
        <f t="shared" si="3"/>
        <v>43774</v>
      </c>
      <c r="J198" s="31" t="s">
        <v>2004</v>
      </c>
      <c r="K198" s="35"/>
      <c r="L198" s="35"/>
      <c r="M198" s="35"/>
      <c r="N198" s="28">
        <v>21200</v>
      </c>
      <c r="O198" s="124"/>
    </row>
    <row r="199" spans="1:15" s="110" customFormat="1" ht="15.6">
      <c r="A199" s="31" t="s">
        <v>391</v>
      </c>
      <c r="B199" s="35" t="s">
        <v>2261</v>
      </c>
      <c r="C199" s="39" t="s">
        <v>392</v>
      </c>
      <c r="D199" s="48" t="s">
        <v>2893</v>
      </c>
      <c r="E199" s="38" t="s">
        <v>2281</v>
      </c>
      <c r="F199" s="31" t="s">
        <v>2262</v>
      </c>
      <c r="G199" s="31" t="s">
        <v>2263</v>
      </c>
      <c r="H199" s="83">
        <v>43410</v>
      </c>
      <c r="I199" s="84">
        <f t="shared" si="3"/>
        <v>43774</v>
      </c>
      <c r="J199" s="31" t="s">
        <v>2004</v>
      </c>
      <c r="K199" s="35"/>
      <c r="L199" s="35"/>
      <c r="M199" s="35"/>
      <c r="N199" s="28"/>
      <c r="O199" s="124"/>
    </row>
    <row r="200" spans="1:15" s="110" customFormat="1" ht="15.6">
      <c r="A200" s="31" t="s">
        <v>604</v>
      </c>
      <c r="B200" s="35" t="s">
        <v>1998</v>
      </c>
      <c r="C200" s="39" t="s">
        <v>605</v>
      </c>
      <c r="D200" s="48" t="s">
        <v>2893</v>
      </c>
      <c r="E200" s="42" t="s">
        <v>589</v>
      </c>
      <c r="F200" s="31" t="s">
        <v>2070</v>
      </c>
      <c r="G200" s="31" t="s">
        <v>39</v>
      </c>
      <c r="H200" s="83">
        <v>43410</v>
      </c>
      <c r="I200" s="84">
        <f t="shared" si="3"/>
        <v>43774</v>
      </c>
      <c r="J200" s="31" t="s">
        <v>2004</v>
      </c>
      <c r="K200" s="35"/>
      <c r="L200" s="35"/>
      <c r="M200" s="35"/>
      <c r="N200" s="28"/>
      <c r="O200" s="124"/>
    </row>
    <row r="201" spans="1:15" s="110" customFormat="1" ht="15.6">
      <c r="A201" s="31" t="s">
        <v>2635</v>
      </c>
      <c r="B201" s="31" t="s">
        <v>2151</v>
      </c>
      <c r="C201" s="42" t="s">
        <v>2679</v>
      </c>
      <c r="D201" s="42" t="s">
        <v>2636</v>
      </c>
      <c r="E201" s="42" t="s">
        <v>2637</v>
      </c>
      <c r="F201" s="31" t="s">
        <v>2638</v>
      </c>
      <c r="G201" s="31" t="s">
        <v>2639</v>
      </c>
      <c r="H201" s="84">
        <v>43410</v>
      </c>
      <c r="I201" s="84">
        <f t="shared" si="3"/>
        <v>43774</v>
      </c>
      <c r="J201" s="31" t="s">
        <v>2640</v>
      </c>
      <c r="K201" s="31"/>
      <c r="L201" s="35"/>
      <c r="M201" s="35"/>
      <c r="N201" s="28"/>
      <c r="O201" s="102"/>
    </row>
    <row r="202" spans="1:15" s="110" customFormat="1" ht="15.6">
      <c r="A202" s="31" t="s">
        <v>2641</v>
      </c>
      <c r="B202" s="31" t="s">
        <v>2642</v>
      </c>
      <c r="C202" s="42" t="s">
        <v>2680</v>
      </c>
      <c r="D202" s="42" t="s">
        <v>2643</v>
      </c>
      <c r="E202" s="42" t="s">
        <v>2637</v>
      </c>
      <c r="F202" s="31" t="s">
        <v>2638</v>
      </c>
      <c r="G202" s="31" t="s">
        <v>2639</v>
      </c>
      <c r="H202" s="84">
        <v>43410</v>
      </c>
      <c r="I202" s="84">
        <f t="shared" si="3"/>
        <v>43774</v>
      </c>
      <c r="J202" s="31" t="s">
        <v>2640</v>
      </c>
      <c r="K202" s="31"/>
      <c r="L202" s="35"/>
      <c r="M202" s="35"/>
      <c r="N202" s="28"/>
      <c r="O202" s="102"/>
    </row>
    <row r="203" spans="1:15" s="110" customFormat="1" ht="15.6">
      <c r="A203" s="31" t="s">
        <v>2644</v>
      </c>
      <c r="B203" s="31" t="s">
        <v>2642</v>
      </c>
      <c r="C203" s="42" t="s">
        <v>2645</v>
      </c>
      <c r="D203" s="42" t="s">
        <v>2643</v>
      </c>
      <c r="E203" s="42" t="s">
        <v>2637</v>
      </c>
      <c r="F203" s="31" t="s">
        <v>2638</v>
      </c>
      <c r="G203" s="31" t="s">
        <v>2639</v>
      </c>
      <c r="H203" s="84">
        <v>43410</v>
      </c>
      <c r="I203" s="84">
        <f t="shared" si="3"/>
        <v>43774</v>
      </c>
      <c r="J203" s="31" t="s">
        <v>2640</v>
      </c>
      <c r="K203" s="31"/>
      <c r="L203" s="35"/>
      <c r="M203" s="35"/>
      <c r="N203" s="28"/>
      <c r="O203" s="102"/>
    </row>
    <row r="204" spans="1:15" s="110" customFormat="1" ht="15.6">
      <c r="A204" s="31" t="s">
        <v>2646</v>
      </c>
      <c r="B204" s="31" t="s">
        <v>2642</v>
      </c>
      <c r="C204" s="42" t="s">
        <v>2647</v>
      </c>
      <c r="D204" s="42" t="s">
        <v>2643</v>
      </c>
      <c r="E204" s="42" t="s">
        <v>2637</v>
      </c>
      <c r="F204" s="31" t="s">
        <v>2638</v>
      </c>
      <c r="G204" s="31" t="s">
        <v>2639</v>
      </c>
      <c r="H204" s="84">
        <v>43410</v>
      </c>
      <c r="I204" s="84">
        <f t="shared" si="3"/>
        <v>43774</v>
      </c>
      <c r="J204" s="31" t="s">
        <v>2640</v>
      </c>
      <c r="K204" s="31"/>
      <c r="L204" s="35"/>
      <c r="M204" s="35"/>
      <c r="N204" s="28"/>
      <c r="O204" s="102"/>
    </row>
    <row r="205" spans="1:15" s="110" customFormat="1" ht="15.6">
      <c r="A205" s="31" t="s">
        <v>2160</v>
      </c>
      <c r="B205" s="35" t="s">
        <v>1998</v>
      </c>
      <c r="C205" s="42" t="s">
        <v>2161</v>
      </c>
      <c r="D205" s="38" t="s">
        <v>2699</v>
      </c>
      <c r="E205" s="38" t="s">
        <v>1999</v>
      </c>
      <c r="F205" s="31" t="s">
        <v>267</v>
      </c>
      <c r="G205" s="31" t="s">
        <v>39</v>
      </c>
      <c r="H205" s="83">
        <v>43410</v>
      </c>
      <c r="I205" s="84">
        <f t="shared" si="3"/>
        <v>43774</v>
      </c>
      <c r="J205" s="31" t="s">
        <v>2957</v>
      </c>
      <c r="K205" s="35"/>
      <c r="L205" s="35"/>
      <c r="M205" s="35"/>
      <c r="N205" s="28"/>
      <c r="O205" s="125"/>
    </row>
    <row r="206" spans="1:15">
      <c r="A206" s="31" t="s">
        <v>2162</v>
      </c>
      <c r="B206" s="35" t="s">
        <v>1998</v>
      </c>
      <c r="C206" s="42" t="s">
        <v>2163</v>
      </c>
      <c r="D206" s="38" t="s">
        <v>2699</v>
      </c>
      <c r="E206" s="38" t="s">
        <v>1999</v>
      </c>
      <c r="F206" s="31" t="s">
        <v>267</v>
      </c>
      <c r="G206" s="31" t="s">
        <v>39</v>
      </c>
      <c r="H206" s="83">
        <v>43410</v>
      </c>
      <c r="I206" s="84">
        <f t="shared" si="3"/>
        <v>43774</v>
      </c>
      <c r="J206" s="31" t="s">
        <v>2954</v>
      </c>
      <c r="K206" s="35"/>
      <c r="L206" s="35"/>
      <c r="M206" s="35"/>
      <c r="N206" s="28"/>
      <c r="O206" s="152"/>
    </row>
    <row r="207" spans="1:15">
      <c r="A207" s="31" t="s">
        <v>609</v>
      </c>
      <c r="B207" s="35" t="s">
        <v>2718</v>
      </c>
      <c r="C207" s="38" t="s">
        <v>2719</v>
      </c>
      <c r="D207" s="42" t="s">
        <v>2720</v>
      </c>
      <c r="E207" s="42" t="s">
        <v>2721</v>
      </c>
      <c r="F207" s="31" t="s">
        <v>2722</v>
      </c>
      <c r="G207" s="31" t="s">
        <v>39</v>
      </c>
      <c r="H207" s="83">
        <v>43411</v>
      </c>
      <c r="I207" s="84">
        <f t="shared" si="3"/>
        <v>43775</v>
      </c>
      <c r="J207" s="31" t="s">
        <v>2004</v>
      </c>
      <c r="K207" s="35"/>
      <c r="L207" s="35"/>
      <c r="M207" s="35"/>
      <c r="N207" s="28">
        <v>129800</v>
      </c>
      <c r="O207" s="102"/>
    </row>
    <row r="208" spans="1:15">
      <c r="A208" s="37" t="s">
        <v>2775</v>
      </c>
      <c r="B208" s="35" t="s">
        <v>2765</v>
      </c>
      <c r="C208" s="38" t="s">
        <v>2776</v>
      </c>
      <c r="D208" s="38" t="s">
        <v>2777</v>
      </c>
      <c r="E208" s="38" t="s">
        <v>3070</v>
      </c>
      <c r="F208" s="31" t="s">
        <v>2778</v>
      </c>
      <c r="G208" s="31" t="s">
        <v>39</v>
      </c>
      <c r="H208" s="83">
        <v>43411</v>
      </c>
      <c r="I208" s="84">
        <f t="shared" si="3"/>
        <v>43775</v>
      </c>
      <c r="J208" s="31" t="s">
        <v>2004</v>
      </c>
      <c r="K208" s="35"/>
      <c r="L208" s="35"/>
      <c r="M208" s="35"/>
      <c r="N208" s="28">
        <v>21200</v>
      </c>
      <c r="O208" s="102"/>
    </row>
    <row r="209" spans="1:15">
      <c r="A209" s="31" t="s">
        <v>331</v>
      </c>
      <c r="B209" s="35" t="s">
        <v>1998</v>
      </c>
      <c r="C209" s="38" t="s">
        <v>332</v>
      </c>
      <c r="D209" s="39" t="s">
        <v>2068</v>
      </c>
      <c r="E209" s="38" t="s">
        <v>333</v>
      </c>
      <c r="F209" s="31" t="s">
        <v>334</v>
      </c>
      <c r="G209" s="31" t="s">
        <v>39</v>
      </c>
      <c r="H209" s="84">
        <v>43413</v>
      </c>
      <c r="I209" s="84">
        <f t="shared" si="3"/>
        <v>43777</v>
      </c>
      <c r="J209" s="31" t="s">
        <v>2004</v>
      </c>
      <c r="K209" s="35"/>
      <c r="L209" s="45"/>
      <c r="M209" s="45"/>
      <c r="N209" s="28">
        <v>21200</v>
      </c>
      <c r="O209" s="103"/>
    </row>
    <row r="210" spans="1:15">
      <c r="A210" s="31" t="s">
        <v>335</v>
      </c>
      <c r="B210" s="35" t="s">
        <v>1998</v>
      </c>
      <c r="C210" s="38" t="s">
        <v>336</v>
      </c>
      <c r="D210" s="38" t="s">
        <v>2068</v>
      </c>
      <c r="E210" s="38" t="s">
        <v>333</v>
      </c>
      <c r="F210" s="31" t="s">
        <v>334</v>
      </c>
      <c r="G210" s="31" t="s">
        <v>39</v>
      </c>
      <c r="H210" s="84">
        <v>43413</v>
      </c>
      <c r="I210" s="84">
        <f t="shared" si="3"/>
        <v>43777</v>
      </c>
      <c r="J210" s="31" t="s">
        <v>2004</v>
      </c>
      <c r="K210" s="35"/>
      <c r="L210" s="35"/>
      <c r="M210" s="35"/>
      <c r="N210" s="28">
        <v>21200</v>
      </c>
      <c r="O210" s="124"/>
    </row>
    <row r="211" spans="1:15">
      <c r="A211" s="31" t="s">
        <v>337</v>
      </c>
      <c r="B211" s="35" t="s">
        <v>1998</v>
      </c>
      <c r="C211" s="38" t="s">
        <v>338</v>
      </c>
      <c r="D211" s="38" t="s">
        <v>2068</v>
      </c>
      <c r="E211" s="38" t="s">
        <v>333</v>
      </c>
      <c r="F211" s="31" t="s">
        <v>334</v>
      </c>
      <c r="G211" s="31" t="s">
        <v>39</v>
      </c>
      <c r="H211" s="84">
        <v>43413</v>
      </c>
      <c r="I211" s="84">
        <f t="shared" si="3"/>
        <v>43777</v>
      </c>
      <c r="J211" s="31" t="s">
        <v>2004</v>
      </c>
      <c r="K211" s="35"/>
      <c r="L211" s="35"/>
      <c r="M211" s="35"/>
      <c r="N211" s="28">
        <v>21200</v>
      </c>
      <c r="O211" s="124"/>
    </row>
    <row r="212" spans="1:15">
      <c r="A212" s="31" t="s">
        <v>272</v>
      </c>
      <c r="B212" s="35" t="s">
        <v>2246</v>
      </c>
      <c r="C212" s="38" t="s">
        <v>3053</v>
      </c>
      <c r="D212" s="39" t="s">
        <v>2252</v>
      </c>
      <c r="E212" s="38" t="s">
        <v>2248</v>
      </c>
      <c r="F212" s="31" t="s">
        <v>2253</v>
      </c>
      <c r="G212" s="31" t="s">
        <v>2250</v>
      </c>
      <c r="H212" s="84">
        <v>43413</v>
      </c>
      <c r="I212" s="84">
        <f t="shared" si="3"/>
        <v>43777</v>
      </c>
      <c r="J212" s="31" t="s">
        <v>2254</v>
      </c>
      <c r="K212" s="35"/>
      <c r="L212" s="35"/>
      <c r="M212" s="35"/>
      <c r="N212" s="28">
        <v>21200</v>
      </c>
      <c r="O212" s="100"/>
    </row>
    <row r="213" spans="1:15">
      <c r="A213" s="31" t="s">
        <v>263</v>
      </c>
      <c r="B213" s="35" t="s">
        <v>2246</v>
      </c>
      <c r="C213" s="38" t="s">
        <v>3054</v>
      </c>
      <c r="D213" s="39" t="s">
        <v>2252</v>
      </c>
      <c r="E213" s="38" t="s">
        <v>2248</v>
      </c>
      <c r="F213" s="31" t="s">
        <v>2253</v>
      </c>
      <c r="G213" s="31" t="s">
        <v>2250</v>
      </c>
      <c r="H213" s="84">
        <v>43413</v>
      </c>
      <c r="I213" s="84">
        <f t="shared" si="3"/>
        <v>43777</v>
      </c>
      <c r="J213" s="31" t="s">
        <v>2251</v>
      </c>
      <c r="K213" s="35"/>
      <c r="L213" s="35"/>
      <c r="M213" s="35"/>
      <c r="N213" s="28">
        <v>21200</v>
      </c>
      <c r="O213" s="100"/>
    </row>
    <row r="214" spans="1:15">
      <c r="A214" s="31" t="s">
        <v>2169</v>
      </c>
      <c r="B214" s="35" t="s">
        <v>1998</v>
      </c>
      <c r="C214" s="39" t="s">
        <v>2170</v>
      </c>
      <c r="D214" s="39" t="s">
        <v>2005</v>
      </c>
      <c r="E214" s="38" t="s">
        <v>2171</v>
      </c>
      <c r="F214" s="31" t="s">
        <v>2172</v>
      </c>
      <c r="G214" s="33" t="s">
        <v>39</v>
      </c>
      <c r="H214" s="83">
        <v>43413</v>
      </c>
      <c r="I214" s="84">
        <f t="shared" si="3"/>
        <v>43777</v>
      </c>
      <c r="J214" s="31" t="s">
        <v>2173</v>
      </c>
      <c r="K214" s="35"/>
      <c r="L214" s="35"/>
      <c r="M214" s="35"/>
      <c r="N214" s="28">
        <v>21200</v>
      </c>
      <c r="O214" s="100"/>
    </row>
    <row r="215" spans="1:15">
      <c r="A215" s="31" t="s">
        <v>2174</v>
      </c>
      <c r="B215" s="35" t="s">
        <v>1998</v>
      </c>
      <c r="C215" s="39" t="s">
        <v>2175</v>
      </c>
      <c r="D215" s="39" t="s">
        <v>2005</v>
      </c>
      <c r="E215" s="38" t="s">
        <v>2176</v>
      </c>
      <c r="F215" s="31" t="s">
        <v>2177</v>
      </c>
      <c r="G215" s="33" t="s">
        <v>39</v>
      </c>
      <c r="H215" s="83">
        <v>43413</v>
      </c>
      <c r="I215" s="84">
        <f t="shared" si="3"/>
        <v>43777</v>
      </c>
      <c r="J215" s="31" t="s">
        <v>2173</v>
      </c>
      <c r="K215" s="35"/>
      <c r="L215" s="35"/>
      <c r="M215" s="35"/>
      <c r="N215" s="28">
        <v>21200</v>
      </c>
      <c r="O215" s="100"/>
    </row>
    <row r="216" spans="1:15">
      <c r="A216" s="31" t="s">
        <v>2178</v>
      </c>
      <c r="B216" s="35" t="s">
        <v>1998</v>
      </c>
      <c r="C216" s="39" t="s">
        <v>2179</v>
      </c>
      <c r="D216" s="39" t="s">
        <v>2005</v>
      </c>
      <c r="E216" s="38" t="s">
        <v>2180</v>
      </c>
      <c r="F216" s="31" t="s">
        <v>2181</v>
      </c>
      <c r="G216" s="33" t="s">
        <v>39</v>
      </c>
      <c r="H216" s="83">
        <v>43413</v>
      </c>
      <c r="I216" s="84">
        <f t="shared" si="3"/>
        <v>43777</v>
      </c>
      <c r="J216" s="31" t="s">
        <v>2173</v>
      </c>
      <c r="K216" s="35"/>
      <c r="L216" s="35"/>
      <c r="M216" s="35"/>
      <c r="N216" s="28">
        <v>21200</v>
      </c>
      <c r="O216" s="100"/>
    </row>
    <row r="217" spans="1:15">
      <c r="A217" s="31" t="s">
        <v>2182</v>
      </c>
      <c r="B217" s="35" t="s">
        <v>1998</v>
      </c>
      <c r="C217" s="39" t="s">
        <v>2183</v>
      </c>
      <c r="D217" s="39" t="s">
        <v>2005</v>
      </c>
      <c r="E217" s="38" t="s">
        <v>2171</v>
      </c>
      <c r="F217" s="31" t="s">
        <v>2172</v>
      </c>
      <c r="G217" s="33" t="s">
        <v>39</v>
      </c>
      <c r="H217" s="83">
        <v>43413</v>
      </c>
      <c r="I217" s="84">
        <f t="shared" si="3"/>
        <v>43777</v>
      </c>
      <c r="J217" s="31" t="s">
        <v>2173</v>
      </c>
      <c r="K217" s="35"/>
      <c r="L217" s="75"/>
      <c r="M217" s="27"/>
      <c r="N217" s="28">
        <v>21200</v>
      </c>
      <c r="O217" s="104"/>
    </row>
    <row r="218" spans="1:15">
      <c r="A218" s="31" t="s">
        <v>2184</v>
      </c>
      <c r="B218" s="35" t="s">
        <v>1998</v>
      </c>
      <c r="C218" s="39" t="s">
        <v>2185</v>
      </c>
      <c r="D218" s="39" t="s">
        <v>2005</v>
      </c>
      <c r="E218" s="38" t="s">
        <v>2176</v>
      </c>
      <c r="F218" s="31" t="s">
        <v>2177</v>
      </c>
      <c r="G218" s="33" t="s">
        <v>39</v>
      </c>
      <c r="H218" s="83">
        <v>43413</v>
      </c>
      <c r="I218" s="84">
        <f t="shared" si="3"/>
        <v>43777</v>
      </c>
      <c r="J218" s="31" t="s">
        <v>2173</v>
      </c>
      <c r="K218" s="35"/>
      <c r="L218" s="75"/>
      <c r="M218" s="27"/>
      <c r="N218" s="28">
        <v>21200</v>
      </c>
      <c r="O218" s="121"/>
    </row>
    <row r="219" spans="1:15">
      <c r="A219" s="31" t="s">
        <v>2186</v>
      </c>
      <c r="B219" s="35" t="s">
        <v>1998</v>
      </c>
      <c r="C219" s="39" t="s">
        <v>2187</v>
      </c>
      <c r="D219" s="39" t="s">
        <v>2188</v>
      </c>
      <c r="E219" s="38" t="s">
        <v>2189</v>
      </c>
      <c r="F219" s="31" t="s">
        <v>2177</v>
      </c>
      <c r="G219" s="33" t="s">
        <v>39</v>
      </c>
      <c r="H219" s="83">
        <v>43413</v>
      </c>
      <c r="I219" s="84">
        <f t="shared" si="3"/>
        <v>43777</v>
      </c>
      <c r="J219" s="31" t="s">
        <v>2173</v>
      </c>
      <c r="K219" s="35"/>
      <c r="L219" s="35"/>
      <c r="M219" s="35"/>
      <c r="N219" s="28">
        <v>21200</v>
      </c>
      <c r="O219" s="100"/>
    </row>
    <row r="220" spans="1:15" s="110" customFormat="1" ht="15.6">
      <c r="A220" s="31" t="s">
        <v>2190</v>
      </c>
      <c r="B220" s="35" t="s">
        <v>1998</v>
      </c>
      <c r="C220" s="39" t="s">
        <v>2191</v>
      </c>
      <c r="D220" s="39" t="s">
        <v>2188</v>
      </c>
      <c r="E220" s="38" t="s">
        <v>2189</v>
      </c>
      <c r="F220" s="31" t="s">
        <v>2177</v>
      </c>
      <c r="G220" s="33" t="s">
        <v>39</v>
      </c>
      <c r="H220" s="83">
        <v>43413</v>
      </c>
      <c r="I220" s="84">
        <f t="shared" si="3"/>
        <v>43777</v>
      </c>
      <c r="J220" s="31" t="s">
        <v>2173</v>
      </c>
      <c r="K220" s="35"/>
      <c r="L220" s="35"/>
      <c r="M220" s="35"/>
      <c r="N220" s="28">
        <v>21200</v>
      </c>
      <c r="O220" s="100"/>
    </row>
    <row r="221" spans="1:15" s="110" customFormat="1" ht="15.6">
      <c r="A221" s="31" t="s">
        <v>2192</v>
      </c>
      <c r="B221" s="35" t="s">
        <v>1998</v>
      </c>
      <c r="C221" s="39" t="s">
        <v>2193</v>
      </c>
      <c r="D221" s="39" t="s">
        <v>2194</v>
      </c>
      <c r="E221" s="38" t="s">
        <v>2195</v>
      </c>
      <c r="F221" s="31" t="s">
        <v>2177</v>
      </c>
      <c r="G221" s="33" t="s">
        <v>39</v>
      </c>
      <c r="H221" s="83">
        <v>43413</v>
      </c>
      <c r="I221" s="84">
        <f t="shared" si="3"/>
        <v>43777</v>
      </c>
      <c r="J221" s="31" t="s">
        <v>2173</v>
      </c>
      <c r="K221" s="35"/>
      <c r="L221" s="27"/>
      <c r="M221" s="27"/>
      <c r="N221" s="28">
        <v>21200</v>
      </c>
      <c r="O221" s="153"/>
    </row>
    <row r="222" spans="1:15" s="110" customFormat="1" ht="15.6">
      <c r="A222" s="25">
        <v>84</v>
      </c>
      <c r="B222" s="25" t="s">
        <v>1049</v>
      </c>
      <c r="C222" s="60" t="s">
        <v>46</v>
      </c>
      <c r="D222" s="30" t="s">
        <v>1094</v>
      </c>
      <c r="E222" s="30" t="s">
        <v>1097</v>
      </c>
      <c r="F222" s="31" t="s">
        <v>3043</v>
      </c>
      <c r="G222" s="25" t="s">
        <v>1</v>
      </c>
      <c r="H222" s="85">
        <v>43279</v>
      </c>
      <c r="I222" s="83">
        <v>44009</v>
      </c>
      <c r="J222" s="26" t="s">
        <v>1048</v>
      </c>
      <c r="K222" s="25"/>
      <c r="L222" s="35"/>
      <c r="M222" s="35"/>
      <c r="N222" s="28"/>
      <c r="O222" s="100"/>
    </row>
    <row r="223" spans="1:15" s="110" customFormat="1" ht="15.6">
      <c r="A223" s="37" t="s">
        <v>299</v>
      </c>
      <c r="B223" s="35" t="s">
        <v>2740</v>
      </c>
      <c r="C223" s="57" t="s">
        <v>2752</v>
      </c>
      <c r="D223" s="38" t="s">
        <v>2709</v>
      </c>
      <c r="E223" s="38" t="s">
        <v>2753</v>
      </c>
      <c r="F223" s="43" t="s">
        <v>2754</v>
      </c>
      <c r="G223" s="78" t="s">
        <v>2002</v>
      </c>
      <c r="H223" s="84">
        <v>43601</v>
      </c>
      <c r="I223" s="86">
        <f>H223+183</f>
        <v>43784</v>
      </c>
      <c r="J223" s="31" t="s">
        <v>2631</v>
      </c>
      <c r="K223" s="35"/>
      <c r="L223" s="27"/>
      <c r="M223" s="27"/>
      <c r="N223" s="27"/>
      <c r="O223" s="153"/>
    </row>
    <row r="224" spans="1:15" s="110" customFormat="1" ht="15.6">
      <c r="A224" s="37" t="s">
        <v>297</v>
      </c>
      <c r="B224" s="35" t="s">
        <v>2740</v>
      </c>
      <c r="C224" s="57" t="s">
        <v>2755</v>
      </c>
      <c r="D224" s="38" t="s">
        <v>2709</v>
      </c>
      <c r="E224" s="38" t="s">
        <v>2756</v>
      </c>
      <c r="F224" s="43" t="s">
        <v>2757</v>
      </c>
      <c r="G224" s="78" t="s">
        <v>2002</v>
      </c>
      <c r="H224" s="84">
        <v>43601</v>
      </c>
      <c r="I224" s="86">
        <f>H224+183</f>
        <v>43784</v>
      </c>
      <c r="J224" s="31" t="s">
        <v>2004</v>
      </c>
      <c r="K224" s="35"/>
      <c r="L224" s="27"/>
      <c r="M224" s="27"/>
      <c r="N224" s="28"/>
      <c r="O224" s="99"/>
    </row>
    <row r="225" spans="1:15" s="110" customFormat="1" ht="15.6">
      <c r="A225" s="31" t="s">
        <v>380</v>
      </c>
      <c r="B225" s="35" t="s">
        <v>2261</v>
      </c>
      <c r="C225" s="39" t="s">
        <v>183</v>
      </c>
      <c r="D225" s="48" t="s">
        <v>2893</v>
      </c>
      <c r="E225" s="42" t="s">
        <v>2675</v>
      </c>
      <c r="F225" s="31" t="s">
        <v>2262</v>
      </c>
      <c r="G225" s="31" t="s">
        <v>2263</v>
      </c>
      <c r="H225" s="83">
        <v>43420</v>
      </c>
      <c r="I225" s="84">
        <f t="shared" ref="I225:I244" si="4">H225+364</f>
        <v>43784</v>
      </c>
      <c r="J225" s="31" t="s">
        <v>2676</v>
      </c>
      <c r="K225" s="35"/>
      <c r="L225" s="35"/>
      <c r="M225" s="35"/>
      <c r="N225" s="28"/>
      <c r="O225" s="100"/>
    </row>
    <row r="226" spans="1:15" s="110" customFormat="1" ht="15.6">
      <c r="A226" s="31" t="s">
        <v>368</v>
      </c>
      <c r="B226" s="35" t="s">
        <v>2261</v>
      </c>
      <c r="C226" s="39" t="s">
        <v>369</v>
      </c>
      <c r="D226" s="48" t="s">
        <v>2893</v>
      </c>
      <c r="E226" s="38" t="s">
        <v>2279</v>
      </c>
      <c r="F226" s="31" t="s">
        <v>2262</v>
      </c>
      <c r="G226" s="31" t="s">
        <v>2263</v>
      </c>
      <c r="H226" s="83">
        <v>43420</v>
      </c>
      <c r="I226" s="84">
        <f t="shared" si="4"/>
        <v>43784</v>
      </c>
      <c r="J226" s="31" t="s">
        <v>2272</v>
      </c>
      <c r="K226" s="35"/>
      <c r="L226" s="35"/>
      <c r="M226" s="35"/>
      <c r="N226" s="28"/>
      <c r="O226" s="100"/>
    </row>
    <row r="227" spans="1:15" s="110" customFormat="1" ht="15.6">
      <c r="A227" s="31" t="s">
        <v>2288</v>
      </c>
      <c r="B227" s="35" t="s">
        <v>2261</v>
      </c>
      <c r="C227" s="39" t="s">
        <v>2289</v>
      </c>
      <c r="D227" s="48" t="s">
        <v>2893</v>
      </c>
      <c r="E227" s="42" t="s">
        <v>2290</v>
      </c>
      <c r="F227" s="31" t="s">
        <v>2291</v>
      </c>
      <c r="G227" s="31" t="s">
        <v>2263</v>
      </c>
      <c r="H227" s="83">
        <v>43420</v>
      </c>
      <c r="I227" s="84">
        <f t="shared" si="4"/>
        <v>43784</v>
      </c>
      <c r="J227" s="31" t="s">
        <v>2292</v>
      </c>
      <c r="K227" s="35"/>
      <c r="L227" s="27"/>
      <c r="M227" s="27"/>
      <c r="N227" s="28"/>
      <c r="O227" s="99"/>
    </row>
    <row r="228" spans="1:15" s="110" customFormat="1" ht="15.6">
      <c r="A228" s="31" t="s">
        <v>590</v>
      </c>
      <c r="B228" s="35" t="s">
        <v>2261</v>
      </c>
      <c r="C228" s="39" t="s">
        <v>2293</v>
      </c>
      <c r="D228" s="48" t="s">
        <v>2893</v>
      </c>
      <c r="E228" s="42" t="s">
        <v>2290</v>
      </c>
      <c r="F228" s="31" t="s">
        <v>2291</v>
      </c>
      <c r="G228" s="31" t="s">
        <v>2263</v>
      </c>
      <c r="H228" s="83">
        <v>43420</v>
      </c>
      <c r="I228" s="84">
        <f t="shared" si="4"/>
        <v>43784</v>
      </c>
      <c r="J228" s="31" t="s">
        <v>2004</v>
      </c>
      <c r="K228" s="35"/>
      <c r="L228" s="75"/>
      <c r="M228" s="27"/>
      <c r="N228" s="28"/>
      <c r="O228" s="104"/>
    </row>
    <row r="229" spans="1:15">
      <c r="A229" s="31" t="s">
        <v>569</v>
      </c>
      <c r="B229" s="35" t="s">
        <v>2261</v>
      </c>
      <c r="C229" s="39" t="s">
        <v>2294</v>
      </c>
      <c r="D229" s="48" t="s">
        <v>2893</v>
      </c>
      <c r="E229" s="42" t="s">
        <v>2295</v>
      </c>
      <c r="F229" s="31" t="s">
        <v>2291</v>
      </c>
      <c r="G229" s="31" t="s">
        <v>2263</v>
      </c>
      <c r="H229" s="83">
        <v>43420</v>
      </c>
      <c r="I229" s="84">
        <f t="shared" si="4"/>
        <v>43784</v>
      </c>
      <c r="J229" s="31" t="s">
        <v>2292</v>
      </c>
      <c r="K229" s="35"/>
      <c r="L229" s="75"/>
      <c r="M229" s="27"/>
      <c r="N229" s="28"/>
      <c r="O229" s="6"/>
    </row>
    <row r="230" spans="1:15" ht="15.6">
      <c r="A230" s="31" t="s">
        <v>2966</v>
      </c>
      <c r="B230" s="35" t="s">
        <v>2261</v>
      </c>
      <c r="C230" s="39" t="s">
        <v>2329</v>
      </c>
      <c r="D230" s="48" t="s">
        <v>2893</v>
      </c>
      <c r="E230" s="38" t="s">
        <v>2322</v>
      </c>
      <c r="F230" s="31" t="s">
        <v>2323</v>
      </c>
      <c r="G230" s="31" t="s">
        <v>2263</v>
      </c>
      <c r="H230" s="161">
        <v>43420</v>
      </c>
      <c r="I230" s="84">
        <f t="shared" si="4"/>
        <v>43784</v>
      </c>
      <c r="J230" s="31" t="s">
        <v>201</v>
      </c>
      <c r="K230" s="35"/>
      <c r="L230" s="45"/>
      <c r="M230" s="45"/>
      <c r="N230" s="128"/>
      <c r="O230" s="149" t="s">
        <v>2009</v>
      </c>
    </row>
    <row r="231" spans="1:15">
      <c r="A231" s="31" t="s">
        <v>594</v>
      </c>
      <c r="B231" s="35" t="s">
        <v>2261</v>
      </c>
      <c r="C231" s="39" t="s">
        <v>2296</v>
      </c>
      <c r="D231" s="48" t="s">
        <v>2893</v>
      </c>
      <c r="E231" s="42" t="s">
        <v>2297</v>
      </c>
      <c r="F231" s="31" t="s">
        <v>2291</v>
      </c>
      <c r="G231" s="31" t="s">
        <v>2263</v>
      </c>
      <c r="H231" s="83">
        <v>43420</v>
      </c>
      <c r="I231" s="84">
        <f t="shared" si="4"/>
        <v>43784</v>
      </c>
      <c r="J231" s="31" t="s">
        <v>2004</v>
      </c>
      <c r="K231" s="35"/>
      <c r="L231" s="31"/>
      <c r="M231" s="31"/>
      <c r="N231" s="31"/>
      <c r="O231" s="105"/>
    </row>
    <row r="232" spans="1:15">
      <c r="A232" s="31" t="s">
        <v>572</v>
      </c>
      <c r="B232" s="35" t="s">
        <v>2261</v>
      </c>
      <c r="C232" s="39" t="s">
        <v>2298</v>
      </c>
      <c r="D232" s="48" t="s">
        <v>2893</v>
      </c>
      <c r="E232" s="42" t="s">
        <v>2297</v>
      </c>
      <c r="F232" s="31" t="s">
        <v>2291</v>
      </c>
      <c r="G232" s="31" t="s">
        <v>2263</v>
      </c>
      <c r="H232" s="83">
        <v>43420</v>
      </c>
      <c r="I232" s="84">
        <f t="shared" si="4"/>
        <v>43784</v>
      </c>
      <c r="J232" s="31" t="s">
        <v>2292</v>
      </c>
      <c r="K232" s="35"/>
      <c r="L232" s="27"/>
      <c r="M232" s="27"/>
      <c r="N232" s="28"/>
      <c r="O232" s="99"/>
    </row>
    <row r="233" spans="1:15">
      <c r="A233" s="31" t="s">
        <v>596</v>
      </c>
      <c r="B233" s="35" t="s">
        <v>2261</v>
      </c>
      <c r="C233" s="39" t="s">
        <v>2299</v>
      </c>
      <c r="D233" s="48" t="s">
        <v>2893</v>
      </c>
      <c r="E233" s="42" t="s">
        <v>2300</v>
      </c>
      <c r="F233" s="31" t="s">
        <v>2291</v>
      </c>
      <c r="G233" s="31" t="s">
        <v>2263</v>
      </c>
      <c r="H233" s="83">
        <v>43420</v>
      </c>
      <c r="I233" s="84">
        <f t="shared" si="4"/>
        <v>43784</v>
      </c>
      <c r="J233" s="31" t="s">
        <v>2004</v>
      </c>
      <c r="K233" s="35"/>
      <c r="L233" s="27"/>
      <c r="M233" s="27"/>
      <c r="N233" s="27"/>
      <c r="O233" s="153"/>
    </row>
    <row r="234" spans="1:15">
      <c r="A234" s="31" t="s">
        <v>575</v>
      </c>
      <c r="B234" s="35" t="s">
        <v>2261</v>
      </c>
      <c r="C234" s="39" t="s">
        <v>2301</v>
      </c>
      <c r="D234" s="48" t="s">
        <v>2893</v>
      </c>
      <c r="E234" s="42" t="s">
        <v>2300</v>
      </c>
      <c r="F234" s="31" t="s">
        <v>2291</v>
      </c>
      <c r="G234" s="31" t="s">
        <v>2263</v>
      </c>
      <c r="H234" s="83">
        <v>43420</v>
      </c>
      <c r="I234" s="84">
        <f t="shared" si="4"/>
        <v>43784</v>
      </c>
      <c r="J234" s="31" t="s">
        <v>2292</v>
      </c>
      <c r="K234" s="35"/>
      <c r="L234" s="27"/>
      <c r="M234" s="27"/>
      <c r="N234" s="27"/>
      <c r="O234" s="153"/>
    </row>
    <row r="235" spans="1:15">
      <c r="A235" s="31" t="s">
        <v>578</v>
      </c>
      <c r="B235" s="35" t="s">
        <v>1998</v>
      </c>
      <c r="C235" s="39" t="s">
        <v>579</v>
      </c>
      <c r="D235" s="48" t="s">
        <v>2893</v>
      </c>
      <c r="E235" s="42" t="s">
        <v>580</v>
      </c>
      <c r="F235" s="31" t="s">
        <v>2070</v>
      </c>
      <c r="G235" s="31" t="s">
        <v>39</v>
      </c>
      <c r="H235" s="83">
        <v>43420</v>
      </c>
      <c r="I235" s="84">
        <f t="shared" si="4"/>
        <v>43784</v>
      </c>
      <c r="J235" s="31" t="s">
        <v>201</v>
      </c>
      <c r="K235" s="35"/>
      <c r="L235" s="27"/>
      <c r="M235" s="27"/>
      <c r="N235" s="27"/>
      <c r="O235" s="153"/>
    </row>
    <row r="236" spans="1:15">
      <c r="A236" s="31" t="s">
        <v>598</v>
      </c>
      <c r="B236" s="35" t="s">
        <v>1998</v>
      </c>
      <c r="C236" s="39" t="s">
        <v>599</v>
      </c>
      <c r="D236" s="48" t="s">
        <v>2893</v>
      </c>
      <c r="E236" s="42" t="s">
        <v>580</v>
      </c>
      <c r="F236" s="31" t="s">
        <v>2070</v>
      </c>
      <c r="G236" s="31" t="s">
        <v>39</v>
      </c>
      <c r="H236" s="83">
        <v>43420</v>
      </c>
      <c r="I236" s="84">
        <f t="shared" si="4"/>
        <v>43784</v>
      </c>
      <c r="J236" s="31" t="s">
        <v>2004</v>
      </c>
      <c r="K236" s="35"/>
      <c r="L236" s="27"/>
      <c r="M236" s="27"/>
      <c r="N236" s="27"/>
      <c r="O236" s="153"/>
    </row>
    <row r="237" spans="1:15">
      <c r="A237" s="31" t="s">
        <v>600</v>
      </c>
      <c r="B237" s="35" t="s">
        <v>1998</v>
      </c>
      <c r="C237" s="39" t="s">
        <v>601</v>
      </c>
      <c r="D237" s="48" t="s">
        <v>2893</v>
      </c>
      <c r="E237" s="42" t="s">
        <v>583</v>
      </c>
      <c r="F237" s="31" t="s">
        <v>2070</v>
      </c>
      <c r="G237" s="31" t="s">
        <v>39</v>
      </c>
      <c r="H237" s="83">
        <v>43420</v>
      </c>
      <c r="I237" s="84">
        <f t="shared" si="4"/>
        <v>43784</v>
      </c>
      <c r="J237" s="31" t="s">
        <v>2004</v>
      </c>
      <c r="K237" s="35"/>
      <c r="L237" s="27"/>
      <c r="M237" s="27"/>
      <c r="N237" s="28"/>
      <c r="O237" s="101"/>
    </row>
    <row r="238" spans="1:15" s="145" customFormat="1">
      <c r="A238" s="31" t="s">
        <v>584</v>
      </c>
      <c r="B238" s="35" t="s">
        <v>1998</v>
      </c>
      <c r="C238" s="39" t="s">
        <v>585</v>
      </c>
      <c r="D238" s="48" t="s">
        <v>2893</v>
      </c>
      <c r="E238" s="42" t="s">
        <v>586</v>
      </c>
      <c r="F238" s="31" t="s">
        <v>2070</v>
      </c>
      <c r="G238" s="31" t="s">
        <v>39</v>
      </c>
      <c r="H238" s="83">
        <v>43420</v>
      </c>
      <c r="I238" s="84">
        <f t="shared" si="4"/>
        <v>43784</v>
      </c>
      <c r="J238" s="31" t="s">
        <v>201</v>
      </c>
      <c r="K238" s="35"/>
      <c r="L238" s="143"/>
      <c r="M238" s="143"/>
      <c r="N238" s="46"/>
      <c r="O238" s="154"/>
    </row>
    <row r="239" spans="1:15" s="145" customFormat="1">
      <c r="A239" s="31" t="s">
        <v>602</v>
      </c>
      <c r="B239" s="35" t="s">
        <v>1998</v>
      </c>
      <c r="C239" s="39" t="s">
        <v>603</v>
      </c>
      <c r="D239" s="48" t="s">
        <v>2893</v>
      </c>
      <c r="E239" s="42" t="s">
        <v>586</v>
      </c>
      <c r="F239" s="31" t="s">
        <v>2070</v>
      </c>
      <c r="G239" s="31" t="s">
        <v>39</v>
      </c>
      <c r="H239" s="83">
        <v>43420</v>
      </c>
      <c r="I239" s="84">
        <f t="shared" si="4"/>
        <v>43784</v>
      </c>
      <c r="J239" s="31" t="s">
        <v>2004</v>
      </c>
      <c r="K239" s="35"/>
      <c r="L239" s="143"/>
      <c r="M239" s="143"/>
      <c r="N239" s="46"/>
      <c r="O239" s="154"/>
    </row>
    <row r="240" spans="1:15">
      <c r="A240" s="31" t="s">
        <v>587</v>
      </c>
      <c r="B240" s="35" t="s">
        <v>1998</v>
      </c>
      <c r="C240" s="39" t="s">
        <v>588</v>
      </c>
      <c r="D240" s="48" t="s">
        <v>2893</v>
      </c>
      <c r="E240" s="42" t="s">
        <v>589</v>
      </c>
      <c r="F240" s="31" t="s">
        <v>2070</v>
      </c>
      <c r="G240" s="31" t="s">
        <v>39</v>
      </c>
      <c r="H240" s="83">
        <v>43420</v>
      </c>
      <c r="I240" s="84">
        <f t="shared" si="4"/>
        <v>43784</v>
      </c>
      <c r="J240" s="31" t="s">
        <v>201</v>
      </c>
      <c r="K240" s="35"/>
      <c r="L240" s="31"/>
      <c r="M240" s="31"/>
      <c r="N240" s="31"/>
      <c r="O240" s="105"/>
    </row>
    <row r="241" spans="1:15">
      <c r="A241" s="31" t="s">
        <v>2965</v>
      </c>
      <c r="B241" s="35" t="s">
        <v>2261</v>
      </c>
      <c r="C241" s="39" t="s">
        <v>2338</v>
      </c>
      <c r="D241" s="48" t="s">
        <v>2893</v>
      </c>
      <c r="E241" s="42" t="s">
        <v>583</v>
      </c>
      <c r="F241" s="31" t="s">
        <v>1197</v>
      </c>
      <c r="G241" s="31" t="s">
        <v>2263</v>
      </c>
      <c r="H241" s="83">
        <v>43420</v>
      </c>
      <c r="I241" s="84">
        <f t="shared" si="4"/>
        <v>43784</v>
      </c>
      <c r="J241" s="31" t="s">
        <v>201</v>
      </c>
      <c r="K241" s="35"/>
      <c r="L241" s="31"/>
      <c r="M241" s="31"/>
      <c r="N241" s="31"/>
      <c r="O241" s="31"/>
    </row>
    <row r="242" spans="1:15">
      <c r="A242" s="31" t="s">
        <v>2319</v>
      </c>
      <c r="B242" s="35" t="s">
        <v>2261</v>
      </c>
      <c r="C242" s="39" t="s">
        <v>2321</v>
      </c>
      <c r="D242" s="48" t="s">
        <v>2893</v>
      </c>
      <c r="E242" s="42" t="s">
        <v>577</v>
      </c>
      <c r="F242" s="31" t="s">
        <v>1197</v>
      </c>
      <c r="G242" s="31" t="s">
        <v>2263</v>
      </c>
      <c r="H242" s="83">
        <v>43420</v>
      </c>
      <c r="I242" s="84">
        <f t="shared" si="4"/>
        <v>43784</v>
      </c>
      <c r="J242" s="31" t="s">
        <v>201</v>
      </c>
      <c r="K242" s="35"/>
      <c r="L242" s="31"/>
      <c r="M242" s="31"/>
      <c r="N242" s="31"/>
      <c r="O242" s="105"/>
    </row>
    <row r="243" spans="1:15">
      <c r="A243" s="31" t="s">
        <v>2196</v>
      </c>
      <c r="B243" s="35" t="s">
        <v>1998</v>
      </c>
      <c r="C243" s="39" t="s">
        <v>2197</v>
      </c>
      <c r="D243" s="48" t="s">
        <v>2893</v>
      </c>
      <c r="E243" s="42" t="s">
        <v>2198</v>
      </c>
      <c r="F243" s="31" t="s">
        <v>2070</v>
      </c>
      <c r="G243" s="31" t="s">
        <v>39</v>
      </c>
      <c r="H243" s="83">
        <v>43420</v>
      </c>
      <c r="I243" s="84">
        <f t="shared" si="4"/>
        <v>43784</v>
      </c>
      <c r="J243" s="31" t="s">
        <v>201</v>
      </c>
      <c r="K243" s="35"/>
      <c r="L243" s="31"/>
      <c r="M243" s="31"/>
      <c r="N243" s="31"/>
      <c r="O243" s="105"/>
    </row>
    <row r="244" spans="1:15">
      <c r="A244" s="31" t="s">
        <v>2199</v>
      </c>
      <c r="B244" s="35" t="s">
        <v>1998</v>
      </c>
      <c r="C244" s="39" t="s">
        <v>2200</v>
      </c>
      <c r="D244" s="48" t="s">
        <v>2893</v>
      </c>
      <c r="E244" s="42" t="s">
        <v>574</v>
      </c>
      <c r="F244" s="31" t="s">
        <v>2070</v>
      </c>
      <c r="G244" s="31" t="s">
        <v>39</v>
      </c>
      <c r="H244" s="83">
        <v>43420</v>
      </c>
      <c r="I244" s="84">
        <f t="shared" si="4"/>
        <v>43784</v>
      </c>
      <c r="J244" s="31" t="s">
        <v>201</v>
      </c>
      <c r="K244" s="35"/>
      <c r="L244" s="27"/>
      <c r="M244" s="27"/>
      <c r="N244" s="28"/>
      <c r="O244" s="122"/>
    </row>
    <row r="245" spans="1:15">
      <c r="A245" s="31" t="s">
        <v>2447</v>
      </c>
      <c r="B245" s="35" t="s">
        <v>2151</v>
      </c>
      <c r="C245" s="42" t="s">
        <v>2448</v>
      </c>
      <c r="D245" s="38" t="s">
        <v>2709</v>
      </c>
      <c r="E245" s="42" t="s">
        <v>2449</v>
      </c>
      <c r="F245" s="31" t="s">
        <v>2450</v>
      </c>
      <c r="G245" s="78" t="s">
        <v>2451</v>
      </c>
      <c r="H245" s="84">
        <v>43601</v>
      </c>
      <c r="I245" s="86">
        <f>H245+183</f>
        <v>43784</v>
      </c>
      <c r="J245" s="31" t="s">
        <v>2156</v>
      </c>
      <c r="K245" s="35"/>
      <c r="L245" s="27"/>
      <c r="M245" s="27"/>
      <c r="N245" s="28"/>
      <c r="O245" s="101"/>
    </row>
    <row r="246" spans="1:15">
      <c r="A246" s="31" t="s">
        <v>2607</v>
      </c>
      <c r="B246" s="35" t="s">
        <v>1573</v>
      </c>
      <c r="C246" s="38" t="s">
        <v>2669</v>
      </c>
      <c r="D246" s="48" t="s">
        <v>2893</v>
      </c>
      <c r="E246" s="42" t="s">
        <v>2670</v>
      </c>
      <c r="F246" s="31" t="s">
        <v>3043</v>
      </c>
      <c r="G246" s="31" t="s">
        <v>39</v>
      </c>
      <c r="H246" s="83">
        <v>43420</v>
      </c>
      <c r="I246" s="84">
        <f>H246+364</f>
        <v>43784</v>
      </c>
      <c r="J246" s="31" t="s">
        <v>1530</v>
      </c>
      <c r="K246" s="35"/>
      <c r="L246" s="27"/>
      <c r="M246" s="27"/>
      <c r="N246" s="28">
        <v>21200</v>
      </c>
      <c r="O246" s="99"/>
    </row>
    <row r="247" spans="1:15">
      <c r="A247" s="31" t="s">
        <v>2667</v>
      </c>
      <c r="B247" s="35" t="s">
        <v>1573</v>
      </c>
      <c r="C247" s="38" t="s">
        <v>2671</v>
      </c>
      <c r="D247" s="48" t="s">
        <v>2893</v>
      </c>
      <c r="E247" s="42" t="s">
        <v>2672</v>
      </c>
      <c r="F247" s="31" t="s">
        <v>3043</v>
      </c>
      <c r="G247" s="31" t="s">
        <v>39</v>
      </c>
      <c r="H247" s="83">
        <v>43420</v>
      </c>
      <c r="I247" s="84">
        <f>H247+364</f>
        <v>43784</v>
      </c>
      <c r="J247" s="31" t="s">
        <v>1530</v>
      </c>
      <c r="K247" s="35"/>
      <c r="L247" s="27"/>
      <c r="M247" s="27"/>
      <c r="N247" s="28">
        <v>21200</v>
      </c>
      <c r="O247" s="99"/>
    </row>
    <row r="248" spans="1:15">
      <c r="A248" s="31" t="s">
        <v>2668</v>
      </c>
      <c r="B248" s="35" t="s">
        <v>1573</v>
      </c>
      <c r="C248" s="38" t="s">
        <v>2673</v>
      </c>
      <c r="D248" s="48" t="s">
        <v>2893</v>
      </c>
      <c r="E248" s="42" t="s">
        <v>2674</v>
      </c>
      <c r="F248" s="31" t="s">
        <v>3043</v>
      </c>
      <c r="G248" s="31" t="s">
        <v>39</v>
      </c>
      <c r="H248" s="83">
        <v>43420</v>
      </c>
      <c r="I248" s="84">
        <f>H248+364</f>
        <v>43784</v>
      </c>
      <c r="J248" s="31" t="s">
        <v>1530</v>
      </c>
      <c r="K248" s="35"/>
      <c r="L248" s="27"/>
      <c r="M248" s="27"/>
      <c r="N248" s="28">
        <v>12340</v>
      </c>
      <c r="O248" s="99"/>
    </row>
    <row r="249" spans="1:15">
      <c r="A249" s="31" t="s">
        <v>2682</v>
      </c>
      <c r="B249" s="35" t="s">
        <v>1152</v>
      </c>
      <c r="C249" s="38" t="s">
        <v>2684</v>
      </c>
      <c r="D249" s="48" t="s">
        <v>2893</v>
      </c>
      <c r="E249" s="42" t="s">
        <v>2300</v>
      </c>
      <c r="F249" s="31" t="s">
        <v>3043</v>
      </c>
      <c r="G249" s="31" t="s">
        <v>39</v>
      </c>
      <c r="H249" s="83">
        <v>43420</v>
      </c>
      <c r="I249" s="84">
        <f>H249+364</f>
        <v>43784</v>
      </c>
      <c r="J249" s="31" t="s">
        <v>2686</v>
      </c>
      <c r="K249" s="35"/>
      <c r="L249" s="27"/>
      <c r="M249" s="27"/>
      <c r="N249" s="28"/>
      <c r="O249" s="99"/>
    </row>
    <row r="250" spans="1:15">
      <c r="A250" s="31" t="s">
        <v>2683</v>
      </c>
      <c r="B250" s="35" t="s">
        <v>1152</v>
      </c>
      <c r="C250" s="38" t="s">
        <v>2685</v>
      </c>
      <c r="D250" s="48" t="s">
        <v>2893</v>
      </c>
      <c r="E250" s="42" t="s">
        <v>2300</v>
      </c>
      <c r="F250" s="31" t="s">
        <v>3043</v>
      </c>
      <c r="G250" s="31" t="s">
        <v>39</v>
      </c>
      <c r="H250" s="83">
        <v>43420</v>
      </c>
      <c r="I250" s="84">
        <v>43784</v>
      </c>
      <c r="J250" s="31" t="s">
        <v>2686</v>
      </c>
      <c r="K250" s="35"/>
      <c r="L250" s="45"/>
      <c r="M250" s="45"/>
      <c r="N250" s="46"/>
      <c r="O250" s="47"/>
    </row>
    <row r="251" spans="1:15">
      <c r="A251" s="31" t="s">
        <v>2967</v>
      </c>
      <c r="B251" s="31" t="s">
        <v>2261</v>
      </c>
      <c r="C251" s="42" t="s">
        <v>2320</v>
      </c>
      <c r="D251" s="42" t="s">
        <v>2302</v>
      </c>
      <c r="E251" s="42" t="s">
        <v>2303</v>
      </c>
      <c r="F251" s="31" t="s">
        <v>2307</v>
      </c>
      <c r="G251" s="31" t="s">
        <v>2263</v>
      </c>
      <c r="H251" s="84">
        <v>43423</v>
      </c>
      <c r="I251" s="84">
        <f>H251+364</f>
        <v>43787</v>
      </c>
      <c r="J251" s="31" t="s">
        <v>2308</v>
      </c>
      <c r="K251" s="31"/>
      <c r="L251" s="27"/>
      <c r="M251" s="27"/>
      <c r="N251" s="28"/>
      <c r="O251" s="99"/>
    </row>
    <row r="252" spans="1:15">
      <c r="A252" s="31" t="s">
        <v>2305</v>
      </c>
      <c r="B252" s="31" t="s">
        <v>2261</v>
      </c>
      <c r="C252" s="42" t="s">
        <v>2306</v>
      </c>
      <c r="D252" s="42" t="s">
        <v>2302</v>
      </c>
      <c r="E252" s="42" t="s">
        <v>2303</v>
      </c>
      <c r="F252" s="31" t="s">
        <v>2307</v>
      </c>
      <c r="G252" s="31" t="s">
        <v>2263</v>
      </c>
      <c r="H252" s="84">
        <v>43423</v>
      </c>
      <c r="I252" s="84">
        <f>H252+364</f>
        <v>43787</v>
      </c>
      <c r="J252" s="31" t="s">
        <v>2308</v>
      </c>
      <c r="K252" s="31"/>
      <c r="L252" s="31"/>
      <c r="M252" s="31"/>
      <c r="N252" s="31"/>
      <c r="O252" s="105"/>
    </row>
    <row r="253" spans="1:15">
      <c r="A253" s="31" t="s">
        <v>2309</v>
      </c>
      <c r="B253" s="31" t="s">
        <v>2261</v>
      </c>
      <c r="C253" s="42" t="s">
        <v>2310</v>
      </c>
      <c r="D253" s="42" t="s">
        <v>2302</v>
      </c>
      <c r="E253" s="42" t="s">
        <v>2303</v>
      </c>
      <c r="F253" s="31" t="s">
        <v>2307</v>
      </c>
      <c r="G253" s="31" t="s">
        <v>2263</v>
      </c>
      <c r="H253" s="84">
        <v>43423</v>
      </c>
      <c r="I253" s="84">
        <f>H253+364</f>
        <v>43787</v>
      </c>
      <c r="J253" s="31" t="s">
        <v>2308</v>
      </c>
      <c r="K253" s="31"/>
      <c r="L253" s="27"/>
      <c r="M253" s="27"/>
      <c r="N253" s="28"/>
      <c r="O253" s="99"/>
    </row>
    <row r="254" spans="1:15">
      <c r="A254" s="31" t="s">
        <v>2311</v>
      </c>
      <c r="B254" s="31" t="s">
        <v>2261</v>
      </c>
      <c r="C254" s="42" t="s">
        <v>2312</v>
      </c>
      <c r="D254" s="42" t="s">
        <v>2302</v>
      </c>
      <c r="E254" s="42" t="s">
        <v>2303</v>
      </c>
      <c r="F254" s="31" t="s">
        <v>2307</v>
      </c>
      <c r="G254" s="31" t="s">
        <v>2263</v>
      </c>
      <c r="H254" s="84">
        <v>43423</v>
      </c>
      <c r="I254" s="84">
        <f>H254+364</f>
        <v>43787</v>
      </c>
      <c r="J254" s="31" t="s">
        <v>2308</v>
      </c>
      <c r="K254" s="31"/>
      <c r="L254" s="27"/>
      <c r="M254" s="27"/>
      <c r="N254" s="28"/>
      <c r="O254" s="99"/>
    </row>
    <row r="255" spans="1:15">
      <c r="A255" s="31" t="s">
        <v>2600</v>
      </c>
      <c r="B255" s="35" t="s">
        <v>1998</v>
      </c>
      <c r="C255" s="42" t="s">
        <v>2601</v>
      </c>
      <c r="D255" s="48" t="s">
        <v>2893</v>
      </c>
      <c r="E255" s="42" t="s">
        <v>2602</v>
      </c>
      <c r="F255" s="31" t="s">
        <v>3043</v>
      </c>
      <c r="G255" s="27" t="s">
        <v>39</v>
      </c>
      <c r="H255" s="83">
        <v>43425</v>
      </c>
      <c r="I255" s="84">
        <f>H255+364</f>
        <v>43789</v>
      </c>
      <c r="J255" s="31" t="s">
        <v>2603</v>
      </c>
      <c r="K255" s="35"/>
      <c r="L255" s="27"/>
      <c r="M255" s="27"/>
      <c r="N255" s="28"/>
      <c r="O255" s="99"/>
    </row>
    <row r="256" spans="1:15" ht="26.4">
      <c r="A256" s="37" t="s">
        <v>362</v>
      </c>
      <c r="B256" s="35" t="s">
        <v>2740</v>
      </c>
      <c r="C256" s="57" t="s">
        <v>2748</v>
      </c>
      <c r="D256" s="38" t="s">
        <v>2709</v>
      </c>
      <c r="E256" s="38" t="s">
        <v>2747</v>
      </c>
      <c r="F256" s="43" t="s">
        <v>2749</v>
      </c>
      <c r="G256" s="78" t="s">
        <v>2002</v>
      </c>
      <c r="H256" s="84">
        <v>43616</v>
      </c>
      <c r="I256" s="86">
        <v>43799</v>
      </c>
      <c r="J256" s="31" t="s">
        <v>2004</v>
      </c>
      <c r="K256" s="26"/>
      <c r="L256" s="27"/>
      <c r="M256" s="27"/>
      <c r="N256" s="28"/>
      <c r="O256" s="99"/>
    </row>
    <row r="257" spans="1:15">
      <c r="A257" s="37" t="s">
        <v>2758</v>
      </c>
      <c r="B257" s="35" t="s">
        <v>2718</v>
      </c>
      <c r="C257" s="57" t="s">
        <v>2759</v>
      </c>
      <c r="D257" s="38" t="s">
        <v>2709</v>
      </c>
      <c r="E257" s="38" t="s">
        <v>2756</v>
      </c>
      <c r="F257" s="43" t="s">
        <v>2757</v>
      </c>
      <c r="G257" s="78" t="s">
        <v>2002</v>
      </c>
      <c r="H257" s="84">
        <v>43616</v>
      </c>
      <c r="I257" s="86">
        <v>43799</v>
      </c>
      <c r="J257" s="31" t="s">
        <v>2004</v>
      </c>
      <c r="K257" s="26"/>
      <c r="L257" s="27"/>
      <c r="M257" s="27"/>
      <c r="N257" s="28"/>
      <c r="O257" s="123"/>
    </row>
    <row r="258" spans="1:15">
      <c r="A258" s="37" t="s">
        <v>2760</v>
      </c>
      <c r="B258" s="35" t="s">
        <v>2714</v>
      </c>
      <c r="C258" s="57" t="s">
        <v>2761</v>
      </c>
      <c r="D258" s="38" t="s">
        <v>2709</v>
      </c>
      <c r="E258" s="38" t="s">
        <v>2762</v>
      </c>
      <c r="F258" s="43" t="s">
        <v>2763</v>
      </c>
      <c r="G258" s="78" t="s">
        <v>2002</v>
      </c>
      <c r="H258" s="84">
        <v>43616</v>
      </c>
      <c r="I258" s="86">
        <v>43799</v>
      </c>
      <c r="J258" s="31" t="s">
        <v>2004</v>
      </c>
      <c r="K258" s="26"/>
      <c r="L258" s="27"/>
      <c r="M258" s="27"/>
      <c r="N258" s="28"/>
      <c r="O258" s="99"/>
    </row>
    <row r="259" spans="1:15">
      <c r="A259" s="37" t="s">
        <v>2869</v>
      </c>
      <c r="B259" s="35" t="s">
        <v>2688</v>
      </c>
      <c r="C259" s="57" t="s">
        <v>2870</v>
      </c>
      <c r="D259" s="38" t="s">
        <v>2709</v>
      </c>
      <c r="E259" s="38" t="s">
        <v>2871</v>
      </c>
      <c r="F259" s="43" t="s">
        <v>2872</v>
      </c>
      <c r="G259" s="78" t="s">
        <v>2002</v>
      </c>
      <c r="H259" s="84">
        <v>43616</v>
      </c>
      <c r="I259" s="86">
        <v>43799</v>
      </c>
      <c r="J259" s="31" t="s">
        <v>2000</v>
      </c>
      <c r="K259" s="26"/>
      <c r="L259" s="27"/>
      <c r="M259" s="27"/>
      <c r="N259" s="28">
        <v>13230</v>
      </c>
      <c r="O259" s="99"/>
    </row>
    <row r="260" spans="1:15">
      <c r="A260" s="31" t="s">
        <v>2209</v>
      </c>
      <c r="B260" s="35" t="s">
        <v>1998</v>
      </c>
      <c r="C260" s="42" t="s">
        <v>2210</v>
      </c>
      <c r="D260" s="38" t="s">
        <v>2709</v>
      </c>
      <c r="E260" s="42" t="s">
        <v>2211</v>
      </c>
      <c r="F260" s="31" t="s">
        <v>2212</v>
      </c>
      <c r="G260" s="78" t="s">
        <v>2002</v>
      </c>
      <c r="H260" s="84">
        <v>43616</v>
      </c>
      <c r="I260" s="86">
        <v>43799</v>
      </c>
      <c r="J260" s="31" t="s">
        <v>486</v>
      </c>
      <c r="K260" s="26"/>
      <c r="L260" s="45"/>
      <c r="M260" s="45"/>
      <c r="N260" s="46"/>
      <c r="O260" s="103"/>
    </row>
    <row r="261" spans="1:15">
      <c r="A261" s="175" t="s">
        <v>2779</v>
      </c>
      <c r="B261" s="65" t="s">
        <v>2718</v>
      </c>
      <c r="C261" s="170" t="s">
        <v>2780</v>
      </c>
      <c r="D261" s="170" t="s">
        <v>2777</v>
      </c>
      <c r="E261" s="170" t="s">
        <v>3070</v>
      </c>
      <c r="F261" s="31" t="s">
        <v>2781</v>
      </c>
      <c r="G261" s="119" t="s">
        <v>39</v>
      </c>
      <c r="H261" s="84">
        <v>43441</v>
      </c>
      <c r="I261" s="84">
        <f t="shared" ref="I261:I284" si="5">H261+364</f>
        <v>43805</v>
      </c>
      <c r="J261" s="119" t="s">
        <v>201</v>
      </c>
      <c r="K261" s="65"/>
      <c r="L261" s="156"/>
      <c r="M261" s="156"/>
      <c r="N261" s="28">
        <v>129800</v>
      </c>
      <c r="O261" s="157"/>
    </row>
    <row r="262" spans="1:15">
      <c r="A262" s="33" t="s">
        <v>2825</v>
      </c>
      <c r="B262" s="35" t="s">
        <v>2707</v>
      </c>
      <c r="C262" s="42" t="s">
        <v>2826</v>
      </c>
      <c r="D262" s="42" t="s">
        <v>2827</v>
      </c>
      <c r="E262" s="36" t="s">
        <v>2828</v>
      </c>
      <c r="F262" s="31" t="s">
        <v>2706</v>
      </c>
      <c r="G262" s="76" t="s">
        <v>39</v>
      </c>
      <c r="H262" s="83">
        <v>43441</v>
      </c>
      <c r="I262" s="84">
        <f t="shared" si="5"/>
        <v>43805</v>
      </c>
      <c r="J262" s="77" t="s">
        <v>2004</v>
      </c>
      <c r="K262" s="35"/>
      <c r="L262" s="35"/>
      <c r="M262" s="35"/>
      <c r="N262" s="28">
        <v>27500</v>
      </c>
      <c r="O262" s="102"/>
    </row>
    <row r="263" spans="1:15">
      <c r="A263" s="37" t="s">
        <v>450</v>
      </c>
      <c r="B263" s="35" t="s">
        <v>2223</v>
      </c>
      <c r="C263" s="50" t="s">
        <v>2224</v>
      </c>
      <c r="D263" s="41" t="s">
        <v>2225</v>
      </c>
      <c r="E263" s="38" t="s">
        <v>2226</v>
      </c>
      <c r="F263" s="31" t="s">
        <v>2227</v>
      </c>
      <c r="G263" s="31" t="s">
        <v>2228</v>
      </c>
      <c r="H263" s="84">
        <v>43441</v>
      </c>
      <c r="I263" s="84">
        <f t="shared" si="5"/>
        <v>43805</v>
      </c>
      <c r="J263" s="31" t="s">
        <v>2229</v>
      </c>
      <c r="K263" s="35"/>
      <c r="L263" s="45"/>
      <c r="M263" s="45"/>
      <c r="N263" s="46">
        <v>14370</v>
      </c>
      <c r="O263" s="103"/>
    </row>
    <row r="264" spans="1:15">
      <c r="A264" s="31" t="s">
        <v>2324</v>
      </c>
      <c r="B264" s="31" t="s">
        <v>2261</v>
      </c>
      <c r="C264" s="42" t="s">
        <v>2325</v>
      </c>
      <c r="D264" s="42" t="s">
        <v>2326</v>
      </c>
      <c r="E264" s="42" t="s">
        <v>2327</v>
      </c>
      <c r="F264" s="31" t="s">
        <v>2328</v>
      </c>
      <c r="G264" s="31" t="s">
        <v>2263</v>
      </c>
      <c r="H264" s="83">
        <v>43441</v>
      </c>
      <c r="I264" s="84">
        <f t="shared" si="5"/>
        <v>43805</v>
      </c>
      <c r="J264" s="31" t="s">
        <v>2004</v>
      </c>
      <c r="K264" s="31"/>
      <c r="L264" s="35"/>
      <c r="M264" s="35"/>
      <c r="N264" s="28">
        <v>14370</v>
      </c>
      <c r="O264" s="102"/>
    </row>
    <row r="265" spans="1:15">
      <c r="A265" s="31" t="s">
        <v>2030</v>
      </c>
      <c r="B265" s="31" t="s">
        <v>1998</v>
      </c>
      <c r="C265" s="42" t="s">
        <v>2031</v>
      </c>
      <c r="D265" s="49" t="s">
        <v>2893</v>
      </c>
      <c r="E265" s="42" t="s">
        <v>2032</v>
      </c>
      <c r="F265" s="31" t="s">
        <v>3043</v>
      </c>
      <c r="G265" s="31" t="s">
        <v>39</v>
      </c>
      <c r="H265" s="83">
        <v>43441</v>
      </c>
      <c r="I265" s="84">
        <f t="shared" si="5"/>
        <v>43805</v>
      </c>
      <c r="J265" s="31" t="s">
        <v>486</v>
      </c>
      <c r="K265" s="31"/>
      <c r="L265" s="27"/>
      <c r="M265" s="27"/>
      <c r="N265" s="28">
        <v>129800</v>
      </c>
      <c r="O265" s="99"/>
    </row>
    <row r="266" spans="1:15">
      <c r="A266" s="31" t="s">
        <v>2037</v>
      </c>
      <c r="B266" s="31" t="s">
        <v>1998</v>
      </c>
      <c r="C266" s="42" t="s">
        <v>2038</v>
      </c>
      <c r="D266" s="49" t="s">
        <v>2893</v>
      </c>
      <c r="E266" s="42" t="s">
        <v>2039</v>
      </c>
      <c r="F266" s="31" t="s">
        <v>3043</v>
      </c>
      <c r="G266" s="31" t="s">
        <v>39</v>
      </c>
      <c r="H266" s="83">
        <v>43441</v>
      </c>
      <c r="I266" s="84">
        <f t="shared" si="5"/>
        <v>43805</v>
      </c>
      <c r="J266" s="31" t="s">
        <v>486</v>
      </c>
      <c r="K266" s="31"/>
      <c r="L266" s="35"/>
      <c r="M266" s="35"/>
      <c r="N266" s="28">
        <v>129800</v>
      </c>
      <c r="O266" s="40"/>
    </row>
    <row r="267" spans="1:15">
      <c r="A267" s="31" t="s">
        <v>2048</v>
      </c>
      <c r="B267" s="31" t="s">
        <v>1998</v>
      </c>
      <c r="C267" s="42" t="s">
        <v>2049</v>
      </c>
      <c r="D267" s="49" t="s">
        <v>2893</v>
      </c>
      <c r="E267" s="42" t="s">
        <v>2050</v>
      </c>
      <c r="F267" s="31" t="s">
        <v>3043</v>
      </c>
      <c r="G267" s="31" t="s">
        <v>39</v>
      </c>
      <c r="H267" s="83">
        <v>43441</v>
      </c>
      <c r="I267" s="84">
        <f t="shared" si="5"/>
        <v>43805</v>
      </c>
      <c r="J267" s="31" t="s">
        <v>486</v>
      </c>
      <c r="K267" s="31"/>
      <c r="L267" s="31"/>
      <c r="M267" s="31"/>
      <c r="N267" s="28">
        <v>21200</v>
      </c>
      <c r="O267" s="105"/>
    </row>
    <row r="268" spans="1:15">
      <c r="A268" s="31" t="s">
        <v>2060</v>
      </c>
      <c r="B268" s="31" t="s">
        <v>1998</v>
      </c>
      <c r="C268" s="42" t="s">
        <v>2061</v>
      </c>
      <c r="D268" s="49" t="s">
        <v>2893</v>
      </c>
      <c r="E268" s="42" t="s">
        <v>2062</v>
      </c>
      <c r="F268" s="31" t="s">
        <v>3043</v>
      </c>
      <c r="G268" s="31" t="s">
        <v>39</v>
      </c>
      <c r="H268" s="83">
        <v>43441</v>
      </c>
      <c r="I268" s="84">
        <f t="shared" si="5"/>
        <v>43805</v>
      </c>
      <c r="J268" s="31" t="s">
        <v>486</v>
      </c>
      <c r="K268" s="31"/>
      <c r="L268" s="35"/>
      <c r="M268" s="35"/>
      <c r="N268" s="28"/>
      <c r="O268" s="102"/>
    </row>
    <row r="269" spans="1:15">
      <c r="A269" s="31" t="s">
        <v>2071</v>
      </c>
      <c r="B269" s="31" t="s">
        <v>1998</v>
      </c>
      <c r="C269" s="42" t="s">
        <v>2072</v>
      </c>
      <c r="D269" s="49" t="s">
        <v>2893</v>
      </c>
      <c r="E269" s="42" t="s">
        <v>2073</v>
      </c>
      <c r="F269" s="31" t="s">
        <v>3043</v>
      </c>
      <c r="G269" s="31" t="s">
        <v>39</v>
      </c>
      <c r="H269" s="83">
        <v>43441</v>
      </c>
      <c r="I269" s="84">
        <f t="shared" si="5"/>
        <v>43805</v>
      </c>
      <c r="J269" s="31" t="s">
        <v>486</v>
      </c>
      <c r="K269" s="31"/>
      <c r="L269" s="31"/>
      <c r="M269" s="31"/>
      <c r="N269" s="31"/>
      <c r="O269" s="105"/>
    </row>
    <row r="270" spans="1:15">
      <c r="A270" s="31" t="s">
        <v>2334</v>
      </c>
      <c r="B270" s="31" t="s">
        <v>2261</v>
      </c>
      <c r="C270" s="42" t="s">
        <v>2335</v>
      </c>
      <c r="D270" s="49" t="s">
        <v>2893</v>
      </c>
      <c r="E270" s="42" t="s">
        <v>2336</v>
      </c>
      <c r="F270" s="31" t="s">
        <v>3043</v>
      </c>
      <c r="G270" s="31" t="s">
        <v>2263</v>
      </c>
      <c r="H270" s="83">
        <v>43441</v>
      </c>
      <c r="I270" s="84">
        <f t="shared" si="5"/>
        <v>43805</v>
      </c>
      <c r="J270" s="31" t="s">
        <v>2287</v>
      </c>
      <c r="K270" s="31"/>
      <c r="L270" s="31"/>
      <c r="M270" s="31"/>
      <c r="N270" s="28">
        <v>21200</v>
      </c>
      <c r="O270" s="105"/>
    </row>
    <row r="271" spans="1:15">
      <c r="A271" s="31" t="s">
        <v>2341</v>
      </c>
      <c r="B271" s="31" t="s">
        <v>2261</v>
      </c>
      <c r="C271" s="42" t="s">
        <v>2342</v>
      </c>
      <c r="D271" s="49" t="s">
        <v>2893</v>
      </c>
      <c r="E271" s="42" t="s">
        <v>2343</v>
      </c>
      <c r="F271" s="31" t="s">
        <v>3043</v>
      </c>
      <c r="G271" s="31" t="s">
        <v>2263</v>
      </c>
      <c r="H271" s="83">
        <v>43441</v>
      </c>
      <c r="I271" s="84">
        <f t="shared" si="5"/>
        <v>43805</v>
      </c>
      <c r="J271" s="31" t="s">
        <v>2287</v>
      </c>
      <c r="K271" s="31"/>
      <c r="L271" s="31"/>
      <c r="M271" s="31"/>
      <c r="N271" s="28">
        <v>21200</v>
      </c>
      <c r="O271" s="105"/>
    </row>
    <row r="272" spans="1:15">
      <c r="A272" s="31" t="s">
        <v>2346</v>
      </c>
      <c r="B272" s="31" t="s">
        <v>2261</v>
      </c>
      <c r="C272" s="42" t="s">
        <v>2347</v>
      </c>
      <c r="D272" s="49" t="s">
        <v>2893</v>
      </c>
      <c r="E272" s="42" t="s">
        <v>2348</v>
      </c>
      <c r="F272" s="31" t="s">
        <v>3043</v>
      </c>
      <c r="G272" s="31" t="s">
        <v>2263</v>
      </c>
      <c r="H272" s="83">
        <v>43441</v>
      </c>
      <c r="I272" s="84">
        <f t="shared" si="5"/>
        <v>43805</v>
      </c>
      <c r="J272" s="31" t="s">
        <v>2287</v>
      </c>
      <c r="K272" s="31"/>
      <c r="L272" s="31"/>
      <c r="M272" s="31"/>
      <c r="N272" s="28">
        <v>21200</v>
      </c>
      <c r="O272" s="105"/>
    </row>
    <row r="273" spans="1:15">
      <c r="A273" s="31" t="s">
        <v>2367</v>
      </c>
      <c r="B273" s="31" t="s">
        <v>2261</v>
      </c>
      <c r="C273" s="42" t="s">
        <v>2368</v>
      </c>
      <c r="D273" s="49" t="s">
        <v>2893</v>
      </c>
      <c r="E273" s="42" t="s">
        <v>2369</v>
      </c>
      <c r="F273" s="31" t="s">
        <v>3043</v>
      </c>
      <c r="G273" s="31" t="s">
        <v>2263</v>
      </c>
      <c r="H273" s="83">
        <v>43441</v>
      </c>
      <c r="I273" s="84">
        <f t="shared" si="5"/>
        <v>43805</v>
      </c>
      <c r="J273" s="31" t="s">
        <v>2287</v>
      </c>
      <c r="K273" s="31"/>
      <c r="L273" s="27"/>
      <c r="M273" s="27"/>
      <c r="N273" s="28">
        <v>21200</v>
      </c>
      <c r="O273" s="99"/>
    </row>
    <row r="274" spans="1:15">
      <c r="A274" s="31" t="s">
        <v>2372</v>
      </c>
      <c r="B274" s="31" t="s">
        <v>2261</v>
      </c>
      <c r="C274" s="42" t="s">
        <v>2373</v>
      </c>
      <c r="D274" s="49" t="s">
        <v>2893</v>
      </c>
      <c r="E274" s="42" t="s">
        <v>2374</v>
      </c>
      <c r="F274" s="31" t="s">
        <v>3043</v>
      </c>
      <c r="G274" s="31" t="s">
        <v>2263</v>
      </c>
      <c r="H274" s="83">
        <v>43441</v>
      </c>
      <c r="I274" s="84">
        <f t="shared" si="5"/>
        <v>43805</v>
      </c>
      <c r="J274" s="31" t="s">
        <v>2287</v>
      </c>
      <c r="K274" s="31"/>
      <c r="L274" s="27"/>
      <c r="M274" s="27"/>
      <c r="N274" s="28">
        <v>21200</v>
      </c>
      <c r="O274" s="99"/>
    </row>
    <row r="275" spans="1:15">
      <c r="A275" s="31" t="s">
        <v>2377</v>
      </c>
      <c r="B275" s="31" t="s">
        <v>2261</v>
      </c>
      <c r="C275" s="42" t="s">
        <v>2378</v>
      </c>
      <c r="D275" s="49" t="s">
        <v>2893</v>
      </c>
      <c r="E275" s="42" t="s">
        <v>2379</v>
      </c>
      <c r="F275" s="31" t="s">
        <v>3043</v>
      </c>
      <c r="G275" s="31" t="s">
        <v>2263</v>
      </c>
      <c r="H275" s="83">
        <v>43441</v>
      </c>
      <c r="I275" s="84">
        <f t="shared" si="5"/>
        <v>43805</v>
      </c>
      <c r="J275" s="31" t="s">
        <v>2287</v>
      </c>
      <c r="K275" s="31"/>
      <c r="L275" s="35"/>
      <c r="M275" s="35"/>
      <c r="N275" s="28">
        <v>21200</v>
      </c>
      <c r="O275" s="102"/>
    </row>
    <row r="276" spans="1:15">
      <c r="A276" s="31" t="s">
        <v>2382</v>
      </c>
      <c r="B276" s="31" t="s">
        <v>2261</v>
      </c>
      <c r="C276" s="42" t="s">
        <v>2383</v>
      </c>
      <c r="D276" s="49" t="s">
        <v>2893</v>
      </c>
      <c r="E276" s="42" t="s">
        <v>2384</v>
      </c>
      <c r="F276" s="31" t="s">
        <v>3043</v>
      </c>
      <c r="G276" s="31" t="s">
        <v>2263</v>
      </c>
      <c r="H276" s="83">
        <v>43441</v>
      </c>
      <c r="I276" s="84">
        <f t="shared" si="5"/>
        <v>43805</v>
      </c>
      <c r="J276" s="31" t="s">
        <v>2287</v>
      </c>
      <c r="K276" s="31"/>
      <c r="L276" s="35"/>
      <c r="M276" s="35"/>
      <c r="N276" s="28">
        <v>21200</v>
      </c>
      <c r="O276" s="102"/>
    </row>
    <row r="277" spans="1:15">
      <c r="A277" s="31" t="s">
        <v>2387</v>
      </c>
      <c r="B277" s="31" t="s">
        <v>2261</v>
      </c>
      <c r="C277" s="42" t="s">
        <v>2388</v>
      </c>
      <c r="D277" s="49" t="s">
        <v>2893</v>
      </c>
      <c r="E277" s="42" t="s">
        <v>2389</v>
      </c>
      <c r="F277" s="31" t="s">
        <v>3043</v>
      </c>
      <c r="G277" s="31" t="s">
        <v>2263</v>
      </c>
      <c r="H277" s="83">
        <v>43441</v>
      </c>
      <c r="I277" s="84">
        <f t="shared" si="5"/>
        <v>43805</v>
      </c>
      <c r="J277" s="31" t="s">
        <v>2287</v>
      </c>
      <c r="K277" s="31"/>
      <c r="L277" s="35"/>
      <c r="M277" s="35"/>
      <c r="N277" s="28">
        <v>21200</v>
      </c>
      <c r="O277" s="102"/>
    </row>
    <row r="278" spans="1:15">
      <c r="A278" s="31" t="s">
        <v>2392</v>
      </c>
      <c r="B278" s="31" t="s">
        <v>2261</v>
      </c>
      <c r="C278" s="42" t="s">
        <v>2393</v>
      </c>
      <c r="D278" s="49" t="s">
        <v>2893</v>
      </c>
      <c r="E278" s="42" t="s">
        <v>2394</v>
      </c>
      <c r="F278" s="31" t="s">
        <v>3043</v>
      </c>
      <c r="G278" s="31" t="s">
        <v>2263</v>
      </c>
      <c r="H278" s="83">
        <v>43441</v>
      </c>
      <c r="I278" s="84">
        <f t="shared" si="5"/>
        <v>43805</v>
      </c>
      <c r="J278" s="31" t="s">
        <v>2287</v>
      </c>
      <c r="K278" s="31"/>
      <c r="L278" s="35"/>
      <c r="M278" s="35"/>
      <c r="N278" s="28">
        <v>21200</v>
      </c>
      <c r="O278" s="102"/>
    </row>
    <row r="279" spans="1:15">
      <c r="A279" s="31" t="s">
        <v>2398</v>
      </c>
      <c r="B279" s="31" t="s">
        <v>2261</v>
      </c>
      <c r="C279" s="42" t="s">
        <v>2399</v>
      </c>
      <c r="D279" s="49" t="s">
        <v>2893</v>
      </c>
      <c r="E279" s="42" t="s">
        <v>2400</v>
      </c>
      <c r="F279" s="31" t="s">
        <v>3043</v>
      </c>
      <c r="G279" s="31" t="s">
        <v>2263</v>
      </c>
      <c r="H279" s="83">
        <v>43441</v>
      </c>
      <c r="I279" s="84">
        <f t="shared" si="5"/>
        <v>43805</v>
      </c>
      <c r="J279" s="31" t="s">
        <v>2287</v>
      </c>
      <c r="K279" s="31"/>
      <c r="L279" s="35"/>
      <c r="M279" s="35"/>
      <c r="N279" s="28">
        <v>21200</v>
      </c>
      <c r="O279" s="102"/>
    </row>
    <row r="280" spans="1:15">
      <c r="A280" s="31" t="s">
        <v>2080</v>
      </c>
      <c r="B280" s="31" t="s">
        <v>1998</v>
      </c>
      <c r="C280" s="42" t="s">
        <v>2081</v>
      </c>
      <c r="D280" s="49" t="s">
        <v>2893</v>
      </c>
      <c r="E280" s="42" t="s">
        <v>2082</v>
      </c>
      <c r="F280" s="31" t="s">
        <v>3043</v>
      </c>
      <c r="G280" s="31" t="s">
        <v>39</v>
      </c>
      <c r="H280" s="83">
        <v>43441</v>
      </c>
      <c r="I280" s="84">
        <f t="shared" si="5"/>
        <v>43805</v>
      </c>
      <c r="J280" s="31" t="s">
        <v>486</v>
      </c>
      <c r="K280" s="31"/>
      <c r="L280" s="35"/>
      <c r="M280" s="35"/>
      <c r="N280" s="28">
        <v>21200</v>
      </c>
      <c r="O280" s="102"/>
    </row>
    <row r="281" spans="1:15">
      <c r="A281" s="31" t="s">
        <v>2697</v>
      </c>
      <c r="B281" s="35" t="s">
        <v>2698</v>
      </c>
      <c r="C281" s="57">
        <v>1512638</v>
      </c>
      <c r="D281" s="38" t="s">
        <v>2699</v>
      </c>
      <c r="E281" s="38" t="s">
        <v>2700</v>
      </c>
      <c r="F281" s="31" t="s">
        <v>2701</v>
      </c>
      <c r="G281" s="31" t="s">
        <v>39</v>
      </c>
      <c r="H281" s="83">
        <v>43444</v>
      </c>
      <c r="I281" s="84">
        <f t="shared" si="5"/>
        <v>43808</v>
      </c>
      <c r="J281" s="31" t="s">
        <v>2004</v>
      </c>
      <c r="K281" s="35"/>
      <c r="L281" s="45"/>
      <c r="M281" s="45"/>
      <c r="N281" s="46"/>
      <c r="O281" s="103"/>
    </row>
    <row r="282" spans="1:15">
      <c r="A282" s="25" t="s">
        <v>2632</v>
      </c>
      <c r="B282" s="25" t="s">
        <v>1998</v>
      </c>
      <c r="C282" s="39" t="s">
        <v>170</v>
      </c>
      <c r="D282" s="38" t="s">
        <v>2699</v>
      </c>
      <c r="E282" s="38" t="s">
        <v>1999</v>
      </c>
      <c r="F282" s="31" t="s">
        <v>267</v>
      </c>
      <c r="G282" s="25" t="s">
        <v>39</v>
      </c>
      <c r="H282" s="83">
        <v>43444</v>
      </c>
      <c r="I282" s="84">
        <f t="shared" si="5"/>
        <v>43808</v>
      </c>
      <c r="J282" s="26" t="s">
        <v>2958</v>
      </c>
      <c r="K282" s="25"/>
      <c r="L282" s="35"/>
      <c r="M282" s="35"/>
      <c r="N282" s="28"/>
      <c r="O282" s="102"/>
    </row>
    <row r="283" spans="1:15" s="110" customFormat="1" ht="15.6">
      <c r="A283" s="33" t="s">
        <v>394</v>
      </c>
      <c r="B283" s="35" t="s">
        <v>1998</v>
      </c>
      <c r="C283" s="50" t="s">
        <v>395</v>
      </c>
      <c r="D283" s="42" t="s">
        <v>1196</v>
      </c>
      <c r="E283" s="42" t="s">
        <v>3098</v>
      </c>
      <c r="F283" s="31" t="s">
        <v>397</v>
      </c>
      <c r="G283" s="31" t="s">
        <v>39</v>
      </c>
      <c r="H283" s="83">
        <v>43444</v>
      </c>
      <c r="I283" s="84">
        <f t="shared" si="5"/>
        <v>43808</v>
      </c>
      <c r="J283" s="31" t="s">
        <v>2004</v>
      </c>
      <c r="K283" s="31"/>
      <c r="L283" s="27"/>
      <c r="M283" s="27"/>
      <c r="N283" s="28">
        <v>23000</v>
      </c>
      <c r="O283" s="99"/>
    </row>
    <row r="284" spans="1:15" s="110" customFormat="1" ht="15.6">
      <c r="A284" s="31" t="s">
        <v>2205</v>
      </c>
      <c r="B284" s="35" t="s">
        <v>1998</v>
      </c>
      <c r="C284" s="42" t="s">
        <v>2206</v>
      </c>
      <c r="D284" s="38" t="s">
        <v>2699</v>
      </c>
      <c r="E284" s="38" t="s">
        <v>1999</v>
      </c>
      <c r="F284" s="31" t="s">
        <v>267</v>
      </c>
      <c r="G284" s="31" t="s">
        <v>39</v>
      </c>
      <c r="H284" s="83">
        <v>43444</v>
      </c>
      <c r="I284" s="84">
        <f t="shared" si="5"/>
        <v>43808</v>
      </c>
      <c r="J284" s="31" t="s">
        <v>2956</v>
      </c>
      <c r="K284" s="35"/>
      <c r="L284" s="27"/>
      <c r="M284" s="27"/>
      <c r="N284" s="28">
        <v>13230</v>
      </c>
      <c r="O284" s="99"/>
    </row>
    <row r="285" spans="1:15" s="110" customFormat="1" ht="15.6">
      <c r="A285" s="31" t="s">
        <v>2970</v>
      </c>
      <c r="B285" s="35" t="s">
        <v>1998</v>
      </c>
      <c r="C285" s="42" t="s">
        <v>2926</v>
      </c>
      <c r="D285" s="42" t="s">
        <v>2908</v>
      </c>
      <c r="E285" s="36" t="s">
        <v>2927</v>
      </c>
      <c r="F285" s="31" t="s">
        <v>443</v>
      </c>
      <c r="G285" s="31" t="s">
        <v>39</v>
      </c>
      <c r="H285" s="83">
        <v>43454</v>
      </c>
      <c r="I285" s="84">
        <v>43818</v>
      </c>
      <c r="J285" s="31" t="s">
        <v>486</v>
      </c>
      <c r="K285" s="35"/>
      <c r="L285" s="27"/>
      <c r="M285" s="27"/>
      <c r="N285" s="28">
        <v>13230</v>
      </c>
      <c r="O285" s="99"/>
    </row>
    <row r="286" spans="1:15" s="110" customFormat="1" ht="15.6">
      <c r="A286" s="33" t="s">
        <v>2912</v>
      </c>
      <c r="B286" s="35" t="s">
        <v>1998</v>
      </c>
      <c r="C286" s="42" t="s">
        <v>2913</v>
      </c>
      <c r="D286" s="42" t="s">
        <v>2914</v>
      </c>
      <c r="E286" s="42" t="s">
        <v>1851</v>
      </c>
      <c r="F286" s="31" t="s">
        <v>443</v>
      </c>
      <c r="G286" s="31" t="s">
        <v>39</v>
      </c>
      <c r="H286" s="83">
        <v>43454</v>
      </c>
      <c r="I286" s="84">
        <f>H286+364</f>
        <v>43818</v>
      </c>
      <c r="J286" s="31" t="s">
        <v>486</v>
      </c>
      <c r="K286" s="35"/>
      <c r="L286" s="35"/>
      <c r="M286" s="35"/>
      <c r="N286" s="28"/>
      <c r="O286" s="102"/>
    </row>
    <row r="287" spans="1:15" s="110" customFormat="1" ht="15.6">
      <c r="A287" s="33" t="s">
        <v>2915</v>
      </c>
      <c r="B287" s="35" t="s">
        <v>1998</v>
      </c>
      <c r="C287" s="42" t="s">
        <v>2916</v>
      </c>
      <c r="D287" s="42" t="s">
        <v>2908</v>
      </c>
      <c r="E287" s="36" t="s">
        <v>2917</v>
      </c>
      <c r="F287" s="31" t="s">
        <v>443</v>
      </c>
      <c r="G287" s="31" t="s">
        <v>39</v>
      </c>
      <c r="H287" s="83">
        <v>43454</v>
      </c>
      <c r="I287" s="84">
        <v>43818</v>
      </c>
      <c r="J287" s="31" t="s">
        <v>486</v>
      </c>
      <c r="K287" s="75"/>
      <c r="L287" s="35"/>
      <c r="M287" s="35"/>
      <c r="N287" s="28"/>
      <c r="O287" s="102"/>
    </row>
    <row r="288" spans="1:15" s="110" customFormat="1" ht="15.6">
      <c r="A288" s="33" t="s">
        <v>2918</v>
      </c>
      <c r="B288" s="35" t="s">
        <v>1998</v>
      </c>
      <c r="C288" s="42" t="s">
        <v>2919</v>
      </c>
      <c r="D288" s="42" t="s">
        <v>2908</v>
      </c>
      <c r="E288" s="36" t="s">
        <v>2920</v>
      </c>
      <c r="F288" s="31" t="s">
        <v>443</v>
      </c>
      <c r="G288" s="31" t="s">
        <v>39</v>
      </c>
      <c r="H288" s="83">
        <v>43454</v>
      </c>
      <c r="I288" s="84">
        <v>43818</v>
      </c>
      <c r="J288" s="31" t="s">
        <v>486</v>
      </c>
      <c r="K288" s="35"/>
      <c r="L288" s="35"/>
      <c r="M288" s="35"/>
      <c r="N288" s="28">
        <v>14370</v>
      </c>
      <c r="O288" s="102"/>
    </row>
    <row r="289" spans="1:15" s="110" customFormat="1" ht="15.6">
      <c r="A289" s="33" t="s">
        <v>2921</v>
      </c>
      <c r="B289" s="35" t="s">
        <v>1998</v>
      </c>
      <c r="C289" s="42" t="s">
        <v>2922</v>
      </c>
      <c r="D289" s="42" t="s">
        <v>2908</v>
      </c>
      <c r="E289" s="36" t="s">
        <v>2920</v>
      </c>
      <c r="F289" s="31" t="s">
        <v>443</v>
      </c>
      <c r="G289" s="31" t="s">
        <v>39</v>
      </c>
      <c r="H289" s="83">
        <v>43454</v>
      </c>
      <c r="I289" s="84">
        <v>43818</v>
      </c>
      <c r="J289" s="31" t="s">
        <v>486</v>
      </c>
      <c r="K289" s="35"/>
      <c r="L289" s="35"/>
      <c r="M289" s="35"/>
      <c r="N289" s="28">
        <v>14370</v>
      </c>
      <c r="O289" s="102"/>
    </row>
    <row r="290" spans="1:15" s="110" customFormat="1" ht="15.6">
      <c r="A290" s="31" t="s">
        <v>2923</v>
      </c>
      <c r="B290" s="35" t="s">
        <v>1998</v>
      </c>
      <c r="C290" s="42" t="s">
        <v>2924</v>
      </c>
      <c r="D290" s="42" t="s">
        <v>2908</v>
      </c>
      <c r="E290" s="36" t="s">
        <v>2925</v>
      </c>
      <c r="F290" s="31" t="s">
        <v>443</v>
      </c>
      <c r="G290" s="31" t="s">
        <v>39</v>
      </c>
      <c r="H290" s="83">
        <v>43454</v>
      </c>
      <c r="I290" s="84">
        <v>43818</v>
      </c>
      <c r="J290" s="31" t="s">
        <v>486</v>
      </c>
      <c r="K290" s="35"/>
      <c r="L290" s="31"/>
      <c r="M290" s="31"/>
      <c r="N290" s="31"/>
      <c r="O290" s="105"/>
    </row>
    <row r="291" spans="1:15" s="110" customFormat="1" ht="15.6">
      <c r="A291" s="33" t="s">
        <v>2928</v>
      </c>
      <c r="B291" s="35" t="s">
        <v>1998</v>
      </c>
      <c r="C291" s="42" t="s">
        <v>2929</v>
      </c>
      <c r="D291" s="42" t="s">
        <v>2908</v>
      </c>
      <c r="E291" s="36" t="s">
        <v>2920</v>
      </c>
      <c r="F291" s="31" t="s">
        <v>443</v>
      </c>
      <c r="G291" s="31" t="s">
        <v>39</v>
      </c>
      <c r="H291" s="83">
        <v>43454</v>
      </c>
      <c r="I291" s="84">
        <v>43818</v>
      </c>
      <c r="J291" s="31" t="s">
        <v>486</v>
      </c>
      <c r="K291" s="35"/>
      <c r="L291" s="35"/>
      <c r="M291" s="35"/>
      <c r="N291" s="28"/>
      <c r="O291" s="100"/>
    </row>
    <row r="292" spans="1:15" s="110" customFormat="1" ht="15.6">
      <c r="A292" s="33" t="s">
        <v>2930</v>
      </c>
      <c r="B292" s="35" t="s">
        <v>1998</v>
      </c>
      <c r="C292" s="42" t="s">
        <v>2931</v>
      </c>
      <c r="D292" s="42" t="s">
        <v>2908</v>
      </c>
      <c r="E292" s="36" t="s">
        <v>2920</v>
      </c>
      <c r="F292" s="31" t="s">
        <v>443</v>
      </c>
      <c r="G292" s="31" t="s">
        <v>39</v>
      </c>
      <c r="H292" s="83">
        <v>43454</v>
      </c>
      <c r="I292" s="84">
        <v>43818</v>
      </c>
      <c r="J292" s="31" t="s">
        <v>486</v>
      </c>
      <c r="K292" s="35"/>
      <c r="L292" s="35"/>
      <c r="M292" s="35"/>
      <c r="N292" s="28"/>
      <c r="O292" s="121"/>
    </row>
    <row r="293" spans="1:15" s="110" customFormat="1" ht="15.6">
      <c r="A293" s="37" t="s">
        <v>301</v>
      </c>
      <c r="B293" s="35" t="s">
        <v>2688</v>
      </c>
      <c r="C293" s="57">
        <v>1512639</v>
      </c>
      <c r="D293" s="38" t="s">
        <v>2699</v>
      </c>
      <c r="E293" s="38" t="s">
        <v>2702</v>
      </c>
      <c r="F293" s="31" t="s">
        <v>2701</v>
      </c>
      <c r="G293" s="31" t="s">
        <v>39</v>
      </c>
      <c r="H293" s="84">
        <v>43455</v>
      </c>
      <c r="I293" s="84">
        <f t="shared" ref="I293:I322" si="6">H293+364</f>
        <v>43819</v>
      </c>
      <c r="J293" s="31" t="s">
        <v>2955</v>
      </c>
      <c r="K293" s="35"/>
      <c r="L293" s="27"/>
      <c r="M293" s="27"/>
      <c r="N293" s="28">
        <v>17050</v>
      </c>
      <c r="O293" s="99"/>
    </row>
    <row r="294" spans="1:15">
      <c r="A294" s="37" t="s">
        <v>467</v>
      </c>
      <c r="B294" s="35" t="s">
        <v>1152</v>
      </c>
      <c r="C294" s="38" t="s">
        <v>468</v>
      </c>
      <c r="D294" s="38" t="s">
        <v>2699</v>
      </c>
      <c r="E294" s="38" t="s">
        <v>1177</v>
      </c>
      <c r="F294" s="31" t="s">
        <v>267</v>
      </c>
      <c r="G294" s="31" t="s">
        <v>39</v>
      </c>
      <c r="H294" s="84">
        <v>43455</v>
      </c>
      <c r="I294" s="84">
        <f t="shared" si="6"/>
        <v>43819</v>
      </c>
      <c r="J294" s="31" t="s">
        <v>2524</v>
      </c>
      <c r="K294" s="31"/>
      <c r="L294" s="31"/>
      <c r="M294" s="31"/>
      <c r="N294" s="31"/>
      <c r="O294" s="105"/>
    </row>
    <row r="295" spans="1:15">
      <c r="A295" s="31" t="s">
        <v>2201</v>
      </c>
      <c r="B295" s="35" t="s">
        <v>1998</v>
      </c>
      <c r="C295" s="42" t="s">
        <v>2202</v>
      </c>
      <c r="D295" s="38" t="s">
        <v>2699</v>
      </c>
      <c r="E295" s="38" t="s">
        <v>1999</v>
      </c>
      <c r="F295" s="31" t="s">
        <v>267</v>
      </c>
      <c r="G295" s="31" t="s">
        <v>39</v>
      </c>
      <c r="H295" s="84">
        <v>43455</v>
      </c>
      <c r="I295" s="84">
        <f t="shared" si="6"/>
        <v>43819</v>
      </c>
      <c r="J295" s="31" t="s">
        <v>2953</v>
      </c>
      <c r="K295" s="35"/>
      <c r="L295" s="27"/>
      <c r="M295" s="27"/>
      <c r="N295" s="28">
        <v>8820</v>
      </c>
      <c r="O295" s="99"/>
    </row>
    <row r="296" spans="1:15">
      <c r="A296" s="33" t="s">
        <v>2355</v>
      </c>
      <c r="B296" s="35" t="s">
        <v>2261</v>
      </c>
      <c r="C296" s="50" t="s">
        <v>2356</v>
      </c>
      <c r="D296" s="42" t="s">
        <v>2352</v>
      </c>
      <c r="E296" s="38" t="s">
        <v>475</v>
      </c>
      <c r="F296" s="31" t="s">
        <v>2354</v>
      </c>
      <c r="G296" s="31" t="s">
        <v>2263</v>
      </c>
      <c r="H296" s="84">
        <v>43458</v>
      </c>
      <c r="I296" s="84">
        <f t="shared" si="6"/>
        <v>43822</v>
      </c>
      <c r="J296" s="76" t="s">
        <v>2287</v>
      </c>
      <c r="K296" s="35"/>
      <c r="L296" s="27"/>
      <c r="M296" s="27"/>
      <c r="N296" s="28">
        <v>8820</v>
      </c>
      <c r="O296" s="99"/>
    </row>
    <row r="297" spans="1:15">
      <c r="A297" s="31" t="s">
        <v>2337</v>
      </c>
      <c r="B297" s="31" t="s">
        <v>2261</v>
      </c>
      <c r="C297" s="42" t="s">
        <v>2357</v>
      </c>
      <c r="D297" s="42" t="s">
        <v>2358</v>
      </c>
      <c r="E297" s="42" t="s">
        <v>2359</v>
      </c>
      <c r="F297" s="31" t="s">
        <v>2360</v>
      </c>
      <c r="G297" s="31" t="s">
        <v>2263</v>
      </c>
      <c r="H297" s="84">
        <v>43458</v>
      </c>
      <c r="I297" s="84">
        <f t="shared" si="6"/>
        <v>43822</v>
      </c>
      <c r="J297" s="31" t="s">
        <v>2287</v>
      </c>
      <c r="K297" s="31"/>
      <c r="L297" s="27"/>
      <c r="M297" s="27"/>
      <c r="N297" s="28">
        <v>8820</v>
      </c>
      <c r="O297" s="99"/>
    </row>
    <row r="298" spans="1:15">
      <c r="A298" s="31" t="s">
        <v>2361</v>
      </c>
      <c r="B298" s="31" t="s">
        <v>2261</v>
      </c>
      <c r="C298" s="42" t="s">
        <v>2362</v>
      </c>
      <c r="D298" s="42" t="s">
        <v>2358</v>
      </c>
      <c r="E298" s="42" t="s">
        <v>2363</v>
      </c>
      <c r="F298" s="31" t="s">
        <v>2360</v>
      </c>
      <c r="G298" s="31" t="s">
        <v>2263</v>
      </c>
      <c r="H298" s="84">
        <v>43458</v>
      </c>
      <c r="I298" s="84">
        <f t="shared" si="6"/>
        <v>43822</v>
      </c>
      <c r="J298" s="31" t="s">
        <v>2287</v>
      </c>
      <c r="K298" s="31"/>
      <c r="L298" s="27"/>
      <c r="M298" s="27"/>
      <c r="N298" s="28">
        <v>8820</v>
      </c>
      <c r="O298" s="99"/>
    </row>
    <row r="299" spans="1:15">
      <c r="A299" s="31" t="s">
        <v>2364</v>
      </c>
      <c r="B299" s="31" t="s">
        <v>2261</v>
      </c>
      <c r="C299" s="42" t="s">
        <v>2365</v>
      </c>
      <c r="D299" s="42" t="s">
        <v>2358</v>
      </c>
      <c r="E299" s="42" t="s">
        <v>2366</v>
      </c>
      <c r="F299" s="31" t="s">
        <v>2360</v>
      </c>
      <c r="G299" s="31" t="s">
        <v>2263</v>
      </c>
      <c r="H299" s="84">
        <v>43458</v>
      </c>
      <c r="I299" s="84">
        <f t="shared" si="6"/>
        <v>43822</v>
      </c>
      <c r="J299" s="31" t="s">
        <v>2287</v>
      </c>
      <c r="K299" s="31"/>
      <c r="L299" s="27"/>
      <c r="M299" s="27"/>
      <c r="N299" s="28">
        <v>8820</v>
      </c>
      <c r="O299" s="99"/>
    </row>
    <row r="300" spans="1:15">
      <c r="A300" s="31" t="s">
        <v>2012</v>
      </c>
      <c r="B300" s="31" t="s">
        <v>1998</v>
      </c>
      <c r="C300" s="42" t="s">
        <v>2013</v>
      </c>
      <c r="D300" s="48" t="s">
        <v>2893</v>
      </c>
      <c r="E300" s="42" t="s">
        <v>2014</v>
      </c>
      <c r="F300" s="31" t="s">
        <v>271</v>
      </c>
      <c r="G300" s="31" t="s">
        <v>39</v>
      </c>
      <c r="H300" s="84">
        <v>43458</v>
      </c>
      <c r="I300" s="84">
        <f t="shared" si="6"/>
        <v>43822</v>
      </c>
      <c r="J300" s="31" t="s">
        <v>486</v>
      </c>
      <c r="K300" s="31"/>
      <c r="L300" s="45"/>
      <c r="M300" s="45"/>
      <c r="N300" s="46">
        <v>14370</v>
      </c>
      <c r="O300" s="103"/>
    </row>
    <row r="301" spans="1:15">
      <c r="A301" s="31" t="s">
        <v>2027</v>
      </c>
      <c r="B301" s="31" t="s">
        <v>1998</v>
      </c>
      <c r="C301" s="42" t="s">
        <v>2028</v>
      </c>
      <c r="D301" s="49" t="s">
        <v>2893</v>
      </c>
      <c r="E301" s="42" t="s">
        <v>2029</v>
      </c>
      <c r="F301" s="31" t="s">
        <v>271</v>
      </c>
      <c r="G301" s="31" t="s">
        <v>39</v>
      </c>
      <c r="H301" s="84">
        <v>43458</v>
      </c>
      <c r="I301" s="84">
        <f t="shared" si="6"/>
        <v>43822</v>
      </c>
      <c r="J301" s="31" t="s">
        <v>486</v>
      </c>
      <c r="K301" s="31"/>
      <c r="L301" s="45"/>
      <c r="M301" s="45"/>
      <c r="N301" s="46">
        <v>14370</v>
      </c>
      <c r="O301" s="103"/>
    </row>
    <row r="302" spans="1:15">
      <c r="A302" s="31" t="s">
        <v>2033</v>
      </c>
      <c r="B302" s="31" t="s">
        <v>1998</v>
      </c>
      <c r="C302" s="42" t="s">
        <v>2034</v>
      </c>
      <c r="D302" s="49" t="s">
        <v>2893</v>
      </c>
      <c r="E302" s="42" t="s">
        <v>2032</v>
      </c>
      <c r="F302" s="31" t="s">
        <v>3043</v>
      </c>
      <c r="G302" s="31" t="s">
        <v>39</v>
      </c>
      <c r="H302" s="84">
        <v>43458</v>
      </c>
      <c r="I302" s="84">
        <f t="shared" si="6"/>
        <v>43822</v>
      </c>
      <c r="J302" s="31" t="s">
        <v>486</v>
      </c>
      <c r="K302" s="31"/>
      <c r="L302" s="45"/>
      <c r="M302" s="45"/>
      <c r="N302" s="46">
        <v>14370</v>
      </c>
      <c r="O302" s="103"/>
    </row>
    <row r="303" spans="1:15">
      <c r="A303" s="31" t="s">
        <v>2044</v>
      </c>
      <c r="B303" s="31" t="s">
        <v>1998</v>
      </c>
      <c r="C303" s="42" t="s">
        <v>2045</v>
      </c>
      <c r="D303" s="49" t="s">
        <v>2893</v>
      </c>
      <c r="E303" s="42" t="s">
        <v>2039</v>
      </c>
      <c r="F303" s="31" t="s">
        <v>3043</v>
      </c>
      <c r="G303" s="31" t="s">
        <v>39</v>
      </c>
      <c r="H303" s="84">
        <v>43458</v>
      </c>
      <c r="I303" s="84">
        <f t="shared" si="6"/>
        <v>43822</v>
      </c>
      <c r="J303" s="31" t="s">
        <v>486</v>
      </c>
      <c r="K303" s="31"/>
      <c r="L303" s="45"/>
      <c r="M303" s="45"/>
      <c r="N303" s="46">
        <v>14370</v>
      </c>
      <c r="O303" s="103"/>
    </row>
    <row r="304" spans="1:15">
      <c r="A304" s="31" t="s">
        <v>2051</v>
      </c>
      <c r="B304" s="31" t="s">
        <v>1998</v>
      </c>
      <c r="C304" s="42" t="s">
        <v>2052</v>
      </c>
      <c r="D304" s="49" t="s">
        <v>2893</v>
      </c>
      <c r="E304" s="42" t="s">
        <v>2050</v>
      </c>
      <c r="F304" s="31" t="s">
        <v>3043</v>
      </c>
      <c r="G304" s="31" t="s">
        <v>39</v>
      </c>
      <c r="H304" s="84">
        <v>43458</v>
      </c>
      <c r="I304" s="84">
        <f t="shared" si="6"/>
        <v>43822</v>
      </c>
      <c r="J304" s="31" t="s">
        <v>486</v>
      </c>
      <c r="K304" s="31"/>
      <c r="L304" s="45"/>
      <c r="M304" s="45"/>
      <c r="N304" s="46">
        <v>14370</v>
      </c>
      <c r="O304" s="103"/>
    </row>
    <row r="305" spans="1:15">
      <c r="A305" s="31" t="s">
        <v>2057</v>
      </c>
      <c r="B305" s="31" t="s">
        <v>1998</v>
      </c>
      <c r="C305" s="42" t="s">
        <v>2058</v>
      </c>
      <c r="D305" s="49" t="s">
        <v>2893</v>
      </c>
      <c r="E305" s="42" t="s">
        <v>2059</v>
      </c>
      <c r="F305" s="31" t="s">
        <v>3043</v>
      </c>
      <c r="G305" s="31" t="s">
        <v>39</v>
      </c>
      <c r="H305" s="84">
        <v>43458</v>
      </c>
      <c r="I305" s="84">
        <f t="shared" si="6"/>
        <v>43822</v>
      </c>
      <c r="J305" s="31" t="s">
        <v>486</v>
      </c>
      <c r="K305" s="31"/>
      <c r="L305" s="35"/>
      <c r="M305" s="35"/>
      <c r="N305" s="28">
        <v>14370</v>
      </c>
      <c r="O305" s="102"/>
    </row>
    <row r="306" spans="1:15">
      <c r="A306" s="31" t="s">
        <v>2284</v>
      </c>
      <c r="B306" s="31" t="s">
        <v>2261</v>
      </c>
      <c r="C306" s="42" t="s">
        <v>2285</v>
      </c>
      <c r="D306" s="49" t="s">
        <v>2893</v>
      </c>
      <c r="E306" s="42" t="s">
        <v>2286</v>
      </c>
      <c r="F306" s="31" t="s">
        <v>3043</v>
      </c>
      <c r="G306" s="31" t="s">
        <v>2263</v>
      </c>
      <c r="H306" s="84">
        <v>43458</v>
      </c>
      <c r="I306" s="84">
        <f t="shared" si="6"/>
        <v>43822</v>
      </c>
      <c r="J306" s="31" t="s">
        <v>2287</v>
      </c>
      <c r="K306" s="31"/>
      <c r="L306" s="45"/>
      <c r="M306" s="45"/>
      <c r="N306" s="46">
        <v>14370</v>
      </c>
      <c r="O306" s="103"/>
    </row>
    <row r="307" spans="1:15">
      <c r="A307" s="31" t="s">
        <v>2074</v>
      </c>
      <c r="B307" s="31" t="s">
        <v>1998</v>
      </c>
      <c r="C307" s="42" t="s">
        <v>2075</v>
      </c>
      <c r="D307" s="49" t="s">
        <v>2893</v>
      </c>
      <c r="E307" s="42" t="s">
        <v>2073</v>
      </c>
      <c r="F307" s="31" t="s">
        <v>3043</v>
      </c>
      <c r="G307" s="31" t="s">
        <v>39</v>
      </c>
      <c r="H307" s="84">
        <v>43458</v>
      </c>
      <c r="I307" s="84">
        <f t="shared" si="6"/>
        <v>43822</v>
      </c>
      <c r="J307" s="31" t="s">
        <v>486</v>
      </c>
      <c r="K307" s="31"/>
      <c r="L307" s="45"/>
      <c r="M307" s="45"/>
      <c r="N307" s="46">
        <v>14370</v>
      </c>
      <c r="O307" s="103"/>
    </row>
    <row r="308" spans="1:15">
      <c r="A308" s="31" t="s">
        <v>2339</v>
      </c>
      <c r="B308" s="31" t="s">
        <v>2261</v>
      </c>
      <c r="C308" s="42" t="s">
        <v>2340</v>
      </c>
      <c r="D308" s="49" t="s">
        <v>2893</v>
      </c>
      <c r="E308" s="42" t="s">
        <v>2336</v>
      </c>
      <c r="F308" s="31" t="s">
        <v>3043</v>
      </c>
      <c r="G308" s="31" t="s">
        <v>2263</v>
      </c>
      <c r="H308" s="84">
        <v>43458</v>
      </c>
      <c r="I308" s="84">
        <f t="shared" si="6"/>
        <v>43822</v>
      </c>
      <c r="J308" s="31" t="s">
        <v>2287</v>
      </c>
      <c r="K308" s="31"/>
      <c r="L308" s="35"/>
      <c r="M308" s="35"/>
      <c r="N308" s="28"/>
      <c r="O308" s="100"/>
    </row>
    <row r="309" spans="1:15">
      <c r="A309" s="31" t="s">
        <v>2344</v>
      </c>
      <c r="B309" s="31" t="s">
        <v>2261</v>
      </c>
      <c r="C309" s="42" t="s">
        <v>2345</v>
      </c>
      <c r="D309" s="49" t="s">
        <v>2893</v>
      </c>
      <c r="E309" s="42" t="s">
        <v>2343</v>
      </c>
      <c r="F309" s="31" t="s">
        <v>3043</v>
      </c>
      <c r="G309" s="31" t="s">
        <v>2263</v>
      </c>
      <c r="H309" s="84">
        <v>43458</v>
      </c>
      <c r="I309" s="84">
        <f t="shared" si="6"/>
        <v>43822</v>
      </c>
      <c r="J309" s="31" t="s">
        <v>2287</v>
      </c>
      <c r="K309" s="31"/>
      <c r="L309" s="35"/>
      <c r="M309" s="35"/>
      <c r="N309" s="28"/>
      <c r="O309" s="100"/>
    </row>
    <row r="310" spans="1:15" s="145" customFormat="1">
      <c r="A310" s="31" t="s">
        <v>2349</v>
      </c>
      <c r="B310" s="31" t="s">
        <v>2261</v>
      </c>
      <c r="C310" s="42" t="s">
        <v>2350</v>
      </c>
      <c r="D310" s="49" t="s">
        <v>2893</v>
      </c>
      <c r="E310" s="42" t="s">
        <v>2348</v>
      </c>
      <c r="F310" s="31" t="s">
        <v>3043</v>
      </c>
      <c r="G310" s="31" t="s">
        <v>2263</v>
      </c>
      <c r="H310" s="84">
        <v>43458</v>
      </c>
      <c r="I310" s="84">
        <f t="shared" si="6"/>
        <v>43822</v>
      </c>
      <c r="J310" s="31" t="s">
        <v>2287</v>
      </c>
      <c r="K310" s="31"/>
      <c r="L310" s="45"/>
      <c r="M310" s="45"/>
      <c r="N310" s="46"/>
      <c r="O310" s="146"/>
    </row>
    <row r="311" spans="1:15">
      <c r="A311" s="31" t="s">
        <v>2375</v>
      </c>
      <c r="B311" s="31" t="s">
        <v>2261</v>
      </c>
      <c r="C311" s="42" t="s">
        <v>2376</v>
      </c>
      <c r="D311" s="49" t="s">
        <v>2893</v>
      </c>
      <c r="E311" s="42" t="s">
        <v>2374</v>
      </c>
      <c r="F311" s="31" t="s">
        <v>3043</v>
      </c>
      <c r="G311" s="31" t="s">
        <v>2263</v>
      </c>
      <c r="H311" s="84">
        <v>43458</v>
      </c>
      <c r="I311" s="84">
        <f t="shared" si="6"/>
        <v>43822</v>
      </c>
      <c r="J311" s="31" t="s">
        <v>2287</v>
      </c>
      <c r="K311" s="31"/>
      <c r="L311" s="35"/>
      <c r="M311" s="35"/>
      <c r="N311" s="28"/>
      <c r="O311" s="123"/>
    </row>
    <row r="312" spans="1:15">
      <c r="A312" s="31" t="s">
        <v>2380</v>
      </c>
      <c r="B312" s="31" t="s">
        <v>2261</v>
      </c>
      <c r="C312" s="42" t="s">
        <v>2381</v>
      </c>
      <c r="D312" s="49" t="s">
        <v>2893</v>
      </c>
      <c r="E312" s="42" t="s">
        <v>2379</v>
      </c>
      <c r="F312" s="31" t="s">
        <v>3043</v>
      </c>
      <c r="G312" s="31" t="s">
        <v>2263</v>
      </c>
      <c r="H312" s="84">
        <v>43458</v>
      </c>
      <c r="I312" s="84">
        <f t="shared" si="6"/>
        <v>43822</v>
      </c>
      <c r="J312" s="31" t="s">
        <v>2287</v>
      </c>
      <c r="K312" s="31"/>
      <c r="L312" s="35"/>
      <c r="M312" s="35"/>
      <c r="N312" s="28"/>
      <c r="O312" s="123"/>
    </row>
    <row r="313" spans="1:15">
      <c r="A313" s="31" t="s">
        <v>2385</v>
      </c>
      <c r="B313" s="31" t="s">
        <v>2261</v>
      </c>
      <c r="C313" s="42" t="s">
        <v>2386</v>
      </c>
      <c r="D313" s="49" t="s">
        <v>2893</v>
      </c>
      <c r="E313" s="42" t="s">
        <v>2384</v>
      </c>
      <c r="F313" s="31" t="s">
        <v>3043</v>
      </c>
      <c r="G313" s="31" t="s">
        <v>2263</v>
      </c>
      <c r="H313" s="84">
        <v>43458</v>
      </c>
      <c r="I313" s="84">
        <f t="shared" si="6"/>
        <v>43822</v>
      </c>
      <c r="J313" s="31" t="s">
        <v>2287</v>
      </c>
      <c r="K313" s="31"/>
      <c r="L313" s="35"/>
      <c r="M313" s="35"/>
      <c r="N313" s="28"/>
      <c r="O313" s="123"/>
    </row>
    <row r="314" spans="1:15">
      <c r="A314" s="31" t="s">
        <v>2390</v>
      </c>
      <c r="B314" s="31" t="s">
        <v>2261</v>
      </c>
      <c r="C314" s="42" t="s">
        <v>2391</v>
      </c>
      <c r="D314" s="49" t="s">
        <v>2893</v>
      </c>
      <c r="E314" s="42" t="s">
        <v>2389</v>
      </c>
      <c r="F314" s="31" t="s">
        <v>3043</v>
      </c>
      <c r="G314" s="31" t="s">
        <v>2263</v>
      </c>
      <c r="H314" s="84">
        <v>43458</v>
      </c>
      <c r="I314" s="84">
        <f t="shared" si="6"/>
        <v>43822</v>
      </c>
      <c r="J314" s="31" t="s">
        <v>2287</v>
      </c>
      <c r="K314" s="31"/>
      <c r="L314" s="35"/>
      <c r="M314" s="35"/>
      <c r="N314" s="28"/>
      <c r="O314" s="123"/>
    </row>
    <row r="315" spans="1:15">
      <c r="A315" s="31" t="s">
        <v>2395</v>
      </c>
      <c r="B315" s="31" t="s">
        <v>2261</v>
      </c>
      <c r="C315" s="42" t="s">
        <v>2396</v>
      </c>
      <c r="D315" s="49" t="s">
        <v>2893</v>
      </c>
      <c r="E315" s="42" t="s">
        <v>2394</v>
      </c>
      <c r="F315" s="31" t="s">
        <v>3043</v>
      </c>
      <c r="G315" s="31" t="s">
        <v>2263</v>
      </c>
      <c r="H315" s="84">
        <v>43458</v>
      </c>
      <c r="I315" s="84">
        <f t="shared" si="6"/>
        <v>43822</v>
      </c>
      <c r="J315" s="31" t="s">
        <v>2287</v>
      </c>
      <c r="K315" s="31"/>
      <c r="L315" s="35"/>
      <c r="M315" s="35"/>
      <c r="N315" s="28"/>
      <c r="O315" s="123"/>
    </row>
    <row r="316" spans="1:15">
      <c r="A316" s="31" t="s">
        <v>2078</v>
      </c>
      <c r="B316" s="31" t="s">
        <v>1998</v>
      </c>
      <c r="C316" s="42" t="s">
        <v>2079</v>
      </c>
      <c r="D316" s="49" t="s">
        <v>2893</v>
      </c>
      <c r="E316" s="42" t="s">
        <v>2077</v>
      </c>
      <c r="F316" s="31" t="s">
        <v>3043</v>
      </c>
      <c r="G316" s="31" t="s">
        <v>39</v>
      </c>
      <c r="H316" s="84">
        <v>43458</v>
      </c>
      <c r="I316" s="84">
        <f t="shared" si="6"/>
        <v>43822</v>
      </c>
      <c r="J316" s="31" t="s">
        <v>486</v>
      </c>
      <c r="K316" s="31"/>
      <c r="L316" s="35"/>
      <c r="M316" s="35"/>
      <c r="N316" s="28"/>
      <c r="O316" s="100"/>
    </row>
    <row r="317" spans="1:15">
      <c r="A317" s="31" t="s">
        <v>2083</v>
      </c>
      <c r="B317" s="31" t="s">
        <v>1998</v>
      </c>
      <c r="C317" s="42" t="s">
        <v>2084</v>
      </c>
      <c r="D317" s="49" t="s">
        <v>2893</v>
      </c>
      <c r="E317" s="42" t="s">
        <v>2082</v>
      </c>
      <c r="F317" s="31" t="s">
        <v>3043</v>
      </c>
      <c r="G317" s="31" t="s">
        <v>39</v>
      </c>
      <c r="H317" s="84">
        <v>43458</v>
      </c>
      <c r="I317" s="84">
        <f t="shared" si="6"/>
        <v>43822</v>
      </c>
      <c r="J317" s="31" t="s">
        <v>486</v>
      </c>
      <c r="K317" s="31"/>
      <c r="L317" s="35"/>
      <c r="M317" s="35"/>
      <c r="N317" s="28"/>
      <c r="O317" s="100"/>
    </row>
    <row r="318" spans="1:15">
      <c r="A318" s="31" t="s">
        <v>2091</v>
      </c>
      <c r="B318" s="31" t="s">
        <v>1998</v>
      </c>
      <c r="C318" s="42" t="s">
        <v>2092</v>
      </c>
      <c r="D318" s="42" t="s">
        <v>2068</v>
      </c>
      <c r="E318" s="42" t="s">
        <v>2093</v>
      </c>
      <c r="F318" s="31" t="s">
        <v>3043</v>
      </c>
      <c r="G318" s="31" t="s">
        <v>39</v>
      </c>
      <c r="H318" s="84">
        <v>43458</v>
      </c>
      <c r="I318" s="84">
        <f t="shared" si="6"/>
        <v>43822</v>
      </c>
      <c r="J318" s="31" t="s">
        <v>486</v>
      </c>
      <c r="K318" s="31"/>
      <c r="L318" s="31"/>
      <c r="M318" s="31"/>
      <c r="N318" s="31"/>
      <c r="O318" s="105"/>
    </row>
    <row r="319" spans="1:15">
      <c r="A319" s="31" t="s">
        <v>2096</v>
      </c>
      <c r="B319" s="31" t="s">
        <v>1998</v>
      </c>
      <c r="C319" s="42" t="s">
        <v>2097</v>
      </c>
      <c r="D319" s="42" t="s">
        <v>2068</v>
      </c>
      <c r="E319" s="42" t="s">
        <v>2098</v>
      </c>
      <c r="F319" s="31" t="s">
        <v>3043</v>
      </c>
      <c r="G319" s="31" t="s">
        <v>39</v>
      </c>
      <c r="H319" s="84">
        <v>43458</v>
      </c>
      <c r="I319" s="84">
        <f t="shared" si="6"/>
        <v>43822</v>
      </c>
      <c r="J319" s="31" t="s">
        <v>486</v>
      </c>
      <c r="K319" s="31"/>
      <c r="L319" s="45"/>
      <c r="M319" s="45"/>
      <c r="N319" s="46">
        <v>14370</v>
      </c>
      <c r="O319" s="103"/>
    </row>
    <row r="320" spans="1:15">
      <c r="A320" s="31" t="s">
        <v>2104</v>
      </c>
      <c r="B320" s="31" t="s">
        <v>1998</v>
      </c>
      <c r="C320" s="42" t="s">
        <v>2105</v>
      </c>
      <c r="D320" s="42" t="s">
        <v>2068</v>
      </c>
      <c r="E320" s="42" t="s">
        <v>2106</v>
      </c>
      <c r="F320" s="31" t="s">
        <v>3043</v>
      </c>
      <c r="G320" s="31" t="s">
        <v>39</v>
      </c>
      <c r="H320" s="84">
        <v>43458</v>
      </c>
      <c r="I320" s="84">
        <f t="shared" si="6"/>
        <v>43822</v>
      </c>
      <c r="J320" s="31" t="s">
        <v>486</v>
      </c>
      <c r="K320" s="31"/>
      <c r="L320" s="27"/>
      <c r="M320" s="27"/>
      <c r="N320" s="28"/>
      <c r="O320" s="101"/>
    </row>
    <row r="321" spans="1:15">
      <c r="A321" s="33" t="s">
        <v>2129</v>
      </c>
      <c r="B321" s="33" t="s">
        <v>1998</v>
      </c>
      <c r="C321" s="42" t="s">
        <v>2130</v>
      </c>
      <c r="D321" s="48" t="s">
        <v>2893</v>
      </c>
      <c r="E321" s="42" t="s">
        <v>2125</v>
      </c>
      <c r="F321" s="31" t="s">
        <v>3043</v>
      </c>
      <c r="G321" s="33" t="s">
        <v>39</v>
      </c>
      <c r="H321" s="84">
        <v>43458</v>
      </c>
      <c r="I321" s="84">
        <f t="shared" si="6"/>
        <v>43822</v>
      </c>
      <c r="J321" s="33" t="s">
        <v>486</v>
      </c>
      <c r="K321" s="33"/>
      <c r="L321" s="31"/>
      <c r="M321" s="31"/>
      <c r="N321" s="31"/>
      <c r="O321" s="105"/>
    </row>
    <row r="322" spans="1:15">
      <c r="A322" s="33" t="s">
        <v>2134</v>
      </c>
      <c r="B322" s="33" t="s">
        <v>1998</v>
      </c>
      <c r="C322" s="42" t="s">
        <v>2135</v>
      </c>
      <c r="D322" s="48" t="s">
        <v>2893</v>
      </c>
      <c r="E322" s="42" t="s">
        <v>2133</v>
      </c>
      <c r="F322" s="31" t="s">
        <v>3043</v>
      </c>
      <c r="G322" s="33" t="s">
        <v>39</v>
      </c>
      <c r="H322" s="84">
        <v>43458</v>
      </c>
      <c r="I322" s="84">
        <f t="shared" si="6"/>
        <v>43822</v>
      </c>
      <c r="J322" s="33" t="s">
        <v>486</v>
      </c>
      <c r="K322" s="33"/>
      <c r="L322" s="27"/>
      <c r="M322" s="27"/>
      <c r="N322" s="28"/>
      <c r="O322" s="101"/>
    </row>
    <row r="323" spans="1:15">
      <c r="A323" s="31" t="s">
        <v>2687</v>
      </c>
      <c r="B323" s="35" t="s">
        <v>1152</v>
      </c>
      <c r="C323" s="38" t="s">
        <v>304</v>
      </c>
      <c r="D323" s="38" t="s">
        <v>2892</v>
      </c>
      <c r="E323" s="38" t="s">
        <v>240</v>
      </c>
      <c r="F323" s="31" t="s">
        <v>2769</v>
      </c>
      <c r="G323" s="31" t="s">
        <v>39</v>
      </c>
      <c r="H323" s="83">
        <v>43481</v>
      </c>
      <c r="I323" s="84">
        <v>43845</v>
      </c>
      <c r="J323" s="31" t="s">
        <v>1755</v>
      </c>
      <c r="K323" s="35"/>
      <c r="L323" s="27"/>
      <c r="M323" s="27"/>
      <c r="N323" s="28"/>
      <c r="O323" s="101"/>
    </row>
    <row r="324" spans="1:15">
      <c r="A324" s="31" t="s">
        <v>473</v>
      </c>
      <c r="B324" s="35" t="s">
        <v>2261</v>
      </c>
      <c r="C324" s="38" t="s">
        <v>2351</v>
      </c>
      <c r="D324" s="39" t="s">
        <v>2352</v>
      </c>
      <c r="E324" s="38" t="s">
        <v>2353</v>
      </c>
      <c r="F324" s="31" t="s">
        <v>2354</v>
      </c>
      <c r="G324" s="31" t="s">
        <v>2263</v>
      </c>
      <c r="H324" s="83">
        <v>43481</v>
      </c>
      <c r="I324" s="84">
        <f t="shared" ref="I324:I345" si="7">H324+364</f>
        <v>43845</v>
      </c>
      <c r="J324" s="31" t="s">
        <v>2603</v>
      </c>
      <c r="K324" s="35"/>
      <c r="L324" s="31"/>
      <c r="M324" s="31"/>
      <c r="N324" s="31"/>
      <c r="O324" s="105"/>
    </row>
    <row r="325" spans="1:15">
      <c r="A325" s="33" t="s">
        <v>479</v>
      </c>
      <c r="B325" s="35" t="s">
        <v>1998</v>
      </c>
      <c r="C325" s="50" t="s">
        <v>480</v>
      </c>
      <c r="D325" s="38" t="s">
        <v>2892</v>
      </c>
      <c r="E325" s="38" t="s">
        <v>240</v>
      </c>
      <c r="F325" s="31" t="s">
        <v>313</v>
      </c>
      <c r="G325" s="31" t="s">
        <v>39</v>
      </c>
      <c r="H325" s="83">
        <v>43481</v>
      </c>
      <c r="I325" s="84">
        <f t="shared" si="7"/>
        <v>43845</v>
      </c>
      <c r="J325" s="31" t="s">
        <v>201</v>
      </c>
      <c r="K325" s="35"/>
      <c r="L325" s="27"/>
      <c r="M325" s="27"/>
      <c r="N325" s="28"/>
      <c r="O325" s="101"/>
    </row>
    <row r="326" spans="1:15">
      <c r="A326" s="33" t="s">
        <v>2109</v>
      </c>
      <c r="B326" s="45" t="s">
        <v>1998</v>
      </c>
      <c r="C326" s="50" t="s">
        <v>2110</v>
      </c>
      <c r="D326" s="38" t="s">
        <v>2892</v>
      </c>
      <c r="E326" s="42" t="s">
        <v>240</v>
      </c>
      <c r="F326" s="33" t="s">
        <v>313</v>
      </c>
      <c r="G326" s="33" t="s">
        <v>39</v>
      </c>
      <c r="H326" s="83">
        <v>43481</v>
      </c>
      <c r="I326" s="84">
        <f t="shared" si="7"/>
        <v>43845</v>
      </c>
      <c r="J326" s="76" t="s">
        <v>486</v>
      </c>
      <c r="K326" s="35"/>
      <c r="L326" s="27"/>
      <c r="M326" s="27"/>
      <c r="N326" s="28"/>
      <c r="O326" s="101"/>
    </row>
    <row r="327" spans="1:15">
      <c r="A327" s="31" t="s">
        <v>2255</v>
      </c>
      <c r="B327" s="35" t="s">
        <v>2246</v>
      </c>
      <c r="C327" s="38" t="s">
        <v>2256</v>
      </c>
      <c r="D327" s="48" t="s">
        <v>2893</v>
      </c>
      <c r="E327" s="38" t="s">
        <v>2939</v>
      </c>
      <c r="F327" s="31" t="s">
        <v>2257</v>
      </c>
      <c r="G327" s="31" t="s">
        <v>2250</v>
      </c>
      <c r="H327" s="83">
        <v>43481</v>
      </c>
      <c r="I327" s="84">
        <f t="shared" si="7"/>
        <v>43845</v>
      </c>
      <c r="J327" s="31" t="s">
        <v>2251</v>
      </c>
      <c r="K327" s="35"/>
      <c r="L327" s="27"/>
      <c r="M327" s="27"/>
      <c r="N327" s="28"/>
      <c r="O327" s="101"/>
    </row>
    <row r="328" spans="1:15">
      <c r="A328" s="31" t="s">
        <v>477</v>
      </c>
      <c r="B328" s="35" t="s">
        <v>2261</v>
      </c>
      <c r="C328" s="38" t="s">
        <v>2264</v>
      </c>
      <c r="D328" s="38" t="s">
        <v>2265</v>
      </c>
      <c r="E328" s="38" t="s">
        <v>2266</v>
      </c>
      <c r="F328" s="31" t="s">
        <v>2267</v>
      </c>
      <c r="G328" s="31" t="s">
        <v>2263</v>
      </c>
      <c r="H328" s="83">
        <v>43481</v>
      </c>
      <c r="I328" s="84">
        <f t="shared" si="7"/>
        <v>43845</v>
      </c>
      <c r="J328" s="31" t="s">
        <v>2268</v>
      </c>
      <c r="K328" s="35"/>
      <c r="L328" s="35"/>
      <c r="M328" s="35"/>
      <c r="N328" s="28"/>
      <c r="O328" s="158"/>
    </row>
    <row r="329" spans="1:15">
      <c r="A329" s="31" t="s">
        <v>452</v>
      </c>
      <c r="B329" s="35" t="s">
        <v>1998</v>
      </c>
      <c r="C329" s="42" t="s">
        <v>453</v>
      </c>
      <c r="D329" s="38" t="s">
        <v>2894</v>
      </c>
      <c r="E329" s="42" t="s">
        <v>454</v>
      </c>
      <c r="F329" s="31" t="s">
        <v>455</v>
      </c>
      <c r="G329" s="31" t="s">
        <v>39</v>
      </c>
      <c r="H329" s="83">
        <v>43481</v>
      </c>
      <c r="I329" s="84">
        <f t="shared" si="7"/>
        <v>43845</v>
      </c>
      <c r="J329" s="31" t="s">
        <v>2603</v>
      </c>
      <c r="K329" s="35"/>
      <c r="L329" s="27"/>
      <c r="M329" s="27"/>
      <c r="N329" s="28"/>
      <c r="O329" s="101"/>
    </row>
    <row r="330" spans="1:15">
      <c r="A330" s="31" t="s">
        <v>458</v>
      </c>
      <c r="B330" s="35" t="s">
        <v>1998</v>
      </c>
      <c r="C330" s="42" t="s">
        <v>459</v>
      </c>
      <c r="D330" s="38" t="s">
        <v>2894</v>
      </c>
      <c r="E330" s="42" t="s">
        <v>454</v>
      </c>
      <c r="F330" s="31" t="s">
        <v>455</v>
      </c>
      <c r="G330" s="31" t="s">
        <v>39</v>
      </c>
      <c r="H330" s="83">
        <v>43481</v>
      </c>
      <c r="I330" s="84">
        <f t="shared" si="7"/>
        <v>43845</v>
      </c>
      <c r="J330" s="31" t="s">
        <v>2603</v>
      </c>
      <c r="K330" s="35"/>
      <c r="L330" s="35"/>
      <c r="M330" s="35"/>
      <c r="N330" s="28"/>
      <c r="O330" s="102"/>
    </row>
    <row r="331" spans="1:15">
      <c r="A331" s="31" t="s">
        <v>2330</v>
      </c>
      <c r="B331" s="31" t="s">
        <v>2261</v>
      </c>
      <c r="C331" s="42" t="s">
        <v>2331</v>
      </c>
      <c r="D331" s="42" t="s">
        <v>2326</v>
      </c>
      <c r="E331" s="42" t="s">
        <v>2327</v>
      </c>
      <c r="F331" s="31" t="s">
        <v>2328</v>
      </c>
      <c r="G331" s="31" t="s">
        <v>2263</v>
      </c>
      <c r="H331" s="84">
        <v>43481</v>
      </c>
      <c r="I331" s="84">
        <f t="shared" si="7"/>
        <v>43845</v>
      </c>
      <c r="J331" s="31" t="s">
        <v>2004</v>
      </c>
      <c r="K331" s="31"/>
      <c r="L331" s="27"/>
      <c r="M331" s="27"/>
      <c r="N331" s="28"/>
      <c r="O331" s="101"/>
    </row>
    <row r="332" spans="1:15">
      <c r="A332" s="31" t="s">
        <v>2107</v>
      </c>
      <c r="B332" s="31" t="s">
        <v>1998</v>
      </c>
      <c r="C332" s="42" t="s">
        <v>2108</v>
      </c>
      <c r="D332" s="49" t="s">
        <v>2893</v>
      </c>
      <c r="E332" s="42" t="s">
        <v>2059</v>
      </c>
      <c r="F332" s="31" t="s">
        <v>3043</v>
      </c>
      <c r="G332" s="31" t="s">
        <v>39</v>
      </c>
      <c r="H332" s="83">
        <v>43481</v>
      </c>
      <c r="I332" s="84">
        <f t="shared" si="7"/>
        <v>43845</v>
      </c>
      <c r="J332" s="31" t="s">
        <v>2603</v>
      </c>
      <c r="K332" s="31"/>
      <c r="L332" s="35"/>
      <c r="M332" s="35"/>
      <c r="N332" s="28"/>
      <c r="O332" s="158"/>
    </row>
    <row r="333" spans="1:15" s="145" customFormat="1">
      <c r="A333" s="31" t="s">
        <v>2370</v>
      </c>
      <c r="B333" s="31" t="s">
        <v>2261</v>
      </c>
      <c r="C333" s="42" t="s">
        <v>2371</v>
      </c>
      <c r="D333" s="49" t="s">
        <v>2893</v>
      </c>
      <c r="E333" s="42" t="s">
        <v>2369</v>
      </c>
      <c r="F333" s="31" t="s">
        <v>3043</v>
      </c>
      <c r="G333" s="31" t="s">
        <v>2263</v>
      </c>
      <c r="H333" s="83">
        <v>43481</v>
      </c>
      <c r="I333" s="84">
        <f t="shared" si="7"/>
        <v>43845</v>
      </c>
      <c r="J333" s="31" t="s">
        <v>2287</v>
      </c>
      <c r="K333" s="31"/>
      <c r="L333" s="143"/>
      <c r="M333" s="143"/>
      <c r="N333" s="46"/>
      <c r="O333" s="154"/>
    </row>
    <row r="334" spans="1:15">
      <c r="A334" s="31" t="s">
        <v>2116</v>
      </c>
      <c r="B334" s="31" t="s">
        <v>1998</v>
      </c>
      <c r="C334" s="38" t="s">
        <v>2117</v>
      </c>
      <c r="D334" s="38" t="s">
        <v>1181</v>
      </c>
      <c r="E334" s="38" t="s">
        <v>2118</v>
      </c>
      <c r="F334" s="31" t="s">
        <v>3043</v>
      </c>
      <c r="G334" s="31" t="s">
        <v>39</v>
      </c>
      <c r="H334" s="83">
        <v>43481</v>
      </c>
      <c r="I334" s="84">
        <f t="shared" si="7"/>
        <v>43845</v>
      </c>
      <c r="J334" s="31" t="s">
        <v>2004</v>
      </c>
      <c r="K334" s="31"/>
      <c r="L334" s="45"/>
      <c r="M334" s="45"/>
      <c r="N334" s="46">
        <v>14370</v>
      </c>
      <c r="O334" s="103"/>
    </row>
    <row r="335" spans="1:15">
      <c r="A335" s="31" t="s">
        <v>2088</v>
      </c>
      <c r="B335" s="31" t="s">
        <v>1998</v>
      </c>
      <c r="C335" s="42" t="s">
        <v>2089</v>
      </c>
      <c r="D335" s="42" t="s">
        <v>2068</v>
      </c>
      <c r="E335" s="42" t="s">
        <v>2090</v>
      </c>
      <c r="F335" s="31" t="s">
        <v>3043</v>
      </c>
      <c r="G335" s="31" t="s">
        <v>39</v>
      </c>
      <c r="H335" s="84">
        <v>43481</v>
      </c>
      <c r="I335" s="84">
        <f t="shared" si="7"/>
        <v>43845</v>
      </c>
      <c r="J335" s="31" t="s">
        <v>486</v>
      </c>
      <c r="K335" s="31"/>
      <c r="L335" s="31"/>
      <c r="M335" s="31"/>
      <c r="N335" s="31"/>
      <c r="O335" s="105"/>
    </row>
    <row r="336" spans="1:15">
      <c r="A336" s="31" t="s">
        <v>2094</v>
      </c>
      <c r="B336" s="31" t="s">
        <v>1998</v>
      </c>
      <c r="C336" s="42" t="s">
        <v>2095</v>
      </c>
      <c r="D336" s="42" t="s">
        <v>2068</v>
      </c>
      <c r="E336" s="42" t="s">
        <v>2093</v>
      </c>
      <c r="F336" s="31" t="s">
        <v>3043</v>
      </c>
      <c r="G336" s="31" t="s">
        <v>39</v>
      </c>
      <c r="H336" s="84">
        <v>43481</v>
      </c>
      <c r="I336" s="84">
        <f t="shared" si="7"/>
        <v>43845</v>
      </c>
      <c r="J336" s="31" t="s">
        <v>486</v>
      </c>
      <c r="K336" s="31"/>
      <c r="L336" s="27"/>
      <c r="M336" s="27"/>
      <c r="N336" s="28"/>
      <c r="O336" s="101"/>
    </row>
    <row r="337" spans="1:15">
      <c r="A337" s="31" t="s">
        <v>2099</v>
      </c>
      <c r="B337" s="31" t="s">
        <v>1998</v>
      </c>
      <c r="C337" s="42" t="s">
        <v>2100</v>
      </c>
      <c r="D337" s="42" t="s">
        <v>2068</v>
      </c>
      <c r="E337" s="42" t="s">
        <v>2098</v>
      </c>
      <c r="F337" s="31" t="s">
        <v>3043</v>
      </c>
      <c r="G337" s="31" t="s">
        <v>39</v>
      </c>
      <c r="H337" s="83">
        <v>43481</v>
      </c>
      <c r="I337" s="84">
        <f t="shared" si="7"/>
        <v>43845</v>
      </c>
      <c r="J337" s="31" t="s">
        <v>486</v>
      </c>
      <c r="K337" s="31"/>
      <c r="L337" s="31"/>
      <c r="M337" s="31"/>
      <c r="N337" s="31"/>
      <c r="O337" s="105"/>
    </row>
    <row r="338" spans="1:15">
      <c r="A338" s="31" t="s">
        <v>2101</v>
      </c>
      <c r="B338" s="31" t="s">
        <v>1998</v>
      </c>
      <c r="C338" s="42" t="s">
        <v>2102</v>
      </c>
      <c r="D338" s="42" t="s">
        <v>2068</v>
      </c>
      <c r="E338" s="42" t="s">
        <v>2103</v>
      </c>
      <c r="F338" s="31" t="s">
        <v>3043</v>
      </c>
      <c r="G338" s="31" t="s">
        <v>39</v>
      </c>
      <c r="H338" s="84">
        <v>43481</v>
      </c>
      <c r="I338" s="84">
        <f t="shared" si="7"/>
        <v>43845</v>
      </c>
      <c r="J338" s="31" t="s">
        <v>486</v>
      </c>
      <c r="K338" s="31"/>
      <c r="L338" s="27"/>
      <c r="M338" s="27"/>
      <c r="N338" s="28">
        <v>28550</v>
      </c>
      <c r="O338" s="99"/>
    </row>
    <row r="339" spans="1:15">
      <c r="A339" s="33" t="s">
        <v>2114</v>
      </c>
      <c r="B339" s="33" t="s">
        <v>1998</v>
      </c>
      <c r="C339" s="42" t="s">
        <v>2115</v>
      </c>
      <c r="D339" s="42" t="s">
        <v>2068</v>
      </c>
      <c r="E339" s="42" t="s">
        <v>2106</v>
      </c>
      <c r="F339" s="31" t="s">
        <v>3043</v>
      </c>
      <c r="G339" s="33" t="s">
        <v>39</v>
      </c>
      <c r="H339" s="83">
        <v>43481</v>
      </c>
      <c r="I339" s="84">
        <f t="shared" si="7"/>
        <v>43845</v>
      </c>
      <c r="J339" s="33" t="s">
        <v>486</v>
      </c>
      <c r="K339" s="31"/>
      <c r="L339" s="27"/>
      <c r="M339" s="27"/>
      <c r="N339" s="28">
        <v>8820</v>
      </c>
      <c r="O339" s="99"/>
    </row>
    <row r="340" spans="1:15">
      <c r="A340" s="33" t="s">
        <v>2119</v>
      </c>
      <c r="B340" s="33" t="s">
        <v>1998</v>
      </c>
      <c r="C340" s="42" t="s">
        <v>2120</v>
      </c>
      <c r="D340" s="42" t="s">
        <v>2076</v>
      </c>
      <c r="E340" s="42" t="s">
        <v>2121</v>
      </c>
      <c r="F340" s="33" t="s">
        <v>2122</v>
      </c>
      <c r="G340" s="33" t="s">
        <v>39</v>
      </c>
      <c r="H340" s="83">
        <v>43481</v>
      </c>
      <c r="I340" s="84">
        <f t="shared" si="7"/>
        <v>43845</v>
      </c>
      <c r="J340" s="31" t="s">
        <v>2004</v>
      </c>
      <c r="K340" s="35"/>
      <c r="L340" s="75"/>
      <c r="M340" s="27"/>
      <c r="N340" s="28">
        <v>13230</v>
      </c>
      <c r="O340" s="104"/>
    </row>
    <row r="341" spans="1:15">
      <c r="A341" s="33" t="s">
        <v>2123</v>
      </c>
      <c r="B341" s="33" t="s">
        <v>1998</v>
      </c>
      <c r="C341" s="42" t="s">
        <v>2124</v>
      </c>
      <c r="D341" s="48" t="s">
        <v>2893</v>
      </c>
      <c r="E341" s="42" t="s">
        <v>2125</v>
      </c>
      <c r="F341" s="31" t="s">
        <v>3043</v>
      </c>
      <c r="G341" s="33" t="s">
        <v>39</v>
      </c>
      <c r="H341" s="83">
        <v>43481</v>
      </c>
      <c r="I341" s="84">
        <f t="shared" si="7"/>
        <v>43845</v>
      </c>
      <c r="J341" s="33" t="s">
        <v>486</v>
      </c>
      <c r="K341" s="31"/>
      <c r="L341" s="75"/>
      <c r="M341" s="27"/>
      <c r="N341" s="28">
        <v>129800</v>
      </c>
      <c r="O341" s="104"/>
    </row>
    <row r="342" spans="1:15">
      <c r="A342" s="33" t="s">
        <v>2131</v>
      </c>
      <c r="B342" s="33" t="s">
        <v>1998</v>
      </c>
      <c r="C342" s="42" t="s">
        <v>2132</v>
      </c>
      <c r="D342" s="48" t="s">
        <v>2893</v>
      </c>
      <c r="E342" s="42" t="s">
        <v>2133</v>
      </c>
      <c r="F342" s="31" t="s">
        <v>3043</v>
      </c>
      <c r="G342" s="33" t="s">
        <v>39</v>
      </c>
      <c r="H342" s="83">
        <v>43481</v>
      </c>
      <c r="I342" s="84">
        <f t="shared" si="7"/>
        <v>43845</v>
      </c>
      <c r="J342" s="33" t="s">
        <v>486</v>
      </c>
      <c r="K342" s="31"/>
      <c r="L342" s="75"/>
      <c r="M342" s="27"/>
      <c r="N342" s="28">
        <v>129800</v>
      </c>
      <c r="O342" s="104"/>
    </row>
    <row r="343" spans="1:15">
      <c r="A343" s="33" t="s">
        <v>2136</v>
      </c>
      <c r="B343" s="33" t="s">
        <v>1998</v>
      </c>
      <c r="C343" s="42" t="s">
        <v>2137</v>
      </c>
      <c r="D343" s="48" t="s">
        <v>2893</v>
      </c>
      <c r="E343" s="42" t="s">
        <v>2138</v>
      </c>
      <c r="F343" s="31" t="s">
        <v>3043</v>
      </c>
      <c r="G343" s="33" t="s">
        <v>39</v>
      </c>
      <c r="H343" s="83">
        <v>43481</v>
      </c>
      <c r="I343" s="84">
        <f t="shared" si="7"/>
        <v>43845</v>
      </c>
      <c r="J343" s="33" t="s">
        <v>2603</v>
      </c>
      <c r="K343" s="31"/>
      <c r="L343" s="27"/>
      <c r="M343" s="27"/>
      <c r="N343" s="28"/>
      <c r="O343" s="99"/>
    </row>
    <row r="344" spans="1:15">
      <c r="A344" s="33" t="s">
        <v>2207</v>
      </c>
      <c r="B344" s="45" t="s">
        <v>1998</v>
      </c>
      <c r="C344" s="50" t="s">
        <v>2208</v>
      </c>
      <c r="D344" s="42" t="s">
        <v>2888</v>
      </c>
      <c r="E344" s="42" t="s">
        <v>402</v>
      </c>
      <c r="F344" s="33" t="s">
        <v>2122</v>
      </c>
      <c r="G344" s="33" t="s">
        <v>39</v>
      </c>
      <c r="H344" s="83">
        <v>43481</v>
      </c>
      <c r="I344" s="84">
        <f t="shared" si="7"/>
        <v>43845</v>
      </c>
      <c r="J344" s="33" t="s">
        <v>201</v>
      </c>
      <c r="K344" s="35"/>
      <c r="L344" s="27"/>
      <c r="M344" s="27"/>
      <c r="N344" s="28"/>
      <c r="O344" s="99"/>
    </row>
    <row r="345" spans="1:15">
      <c r="A345" s="31" t="s">
        <v>2950</v>
      </c>
      <c r="B345" s="35" t="s">
        <v>1573</v>
      </c>
      <c r="C345" s="38" t="s">
        <v>2974</v>
      </c>
      <c r="D345" s="48" t="s">
        <v>2893</v>
      </c>
      <c r="E345" s="42" t="s">
        <v>2975</v>
      </c>
      <c r="F345" s="31" t="s">
        <v>3043</v>
      </c>
      <c r="G345" s="31" t="s">
        <v>39</v>
      </c>
      <c r="H345" s="83">
        <v>43481</v>
      </c>
      <c r="I345" s="84">
        <f t="shared" si="7"/>
        <v>43845</v>
      </c>
      <c r="J345" s="31" t="s">
        <v>2951</v>
      </c>
      <c r="K345" s="35"/>
      <c r="L345" s="27"/>
      <c r="M345" s="27"/>
      <c r="N345" s="28">
        <v>13230</v>
      </c>
      <c r="O345" s="99"/>
    </row>
    <row r="346" spans="1:15">
      <c r="A346" s="25">
        <v>85</v>
      </c>
      <c r="B346" s="25" t="s">
        <v>1049</v>
      </c>
      <c r="C346" s="60" t="s">
        <v>47</v>
      </c>
      <c r="D346" s="30" t="s">
        <v>1094</v>
      </c>
      <c r="E346" s="30" t="s">
        <v>65</v>
      </c>
      <c r="F346" s="31" t="s">
        <v>3043</v>
      </c>
      <c r="G346" s="25" t="s">
        <v>1</v>
      </c>
      <c r="H346" s="85">
        <v>43279</v>
      </c>
      <c r="I346" s="83">
        <v>44009</v>
      </c>
      <c r="J346" s="26" t="s">
        <v>1048</v>
      </c>
      <c r="K346" s="25"/>
      <c r="L346" s="27"/>
      <c r="M346" s="27"/>
      <c r="N346" s="28">
        <v>112200</v>
      </c>
      <c r="O346" s="99"/>
    </row>
    <row r="347" spans="1:15">
      <c r="A347" s="37" t="s">
        <v>2723</v>
      </c>
      <c r="B347" s="35" t="s">
        <v>2718</v>
      </c>
      <c r="C347" s="38" t="s">
        <v>2724</v>
      </c>
      <c r="D347" s="38" t="s">
        <v>2699</v>
      </c>
      <c r="E347" s="38" t="s">
        <v>2725</v>
      </c>
      <c r="F347" s="31" t="s">
        <v>2726</v>
      </c>
      <c r="G347" s="31" t="s">
        <v>39</v>
      </c>
      <c r="H347" s="83">
        <v>43482</v>
      </c>
      <c r="I347" s="84">
        <f t="shared" ref="I347:I364" si="8">H347+364</f>
        <v>43846</v>
      </c>
      <c r="J347" s="31" t="s">
        <v>3042</v>
      </c>
      <c r="K347" s="31"/>
      <c r="L347" s="27"/>
      <c r="M347" s="27"/>
      <c r="N347" s="28">
        <v>8820</v>
      </c>
      <c r="O347" s="99"/>
    </row>
    <row r="348" spans="1:15">
      <c r="A348" s="37" t="s">
        <v>2805</v>
      </c>
      <c r="B348" s="35" t="s">
        <v>2718</v>
      </c>
      <c r="C348" s="38" t="s">
        <v>2806</v>
      </c>
      <c r="D348" s="38" t="s">
        <v>2699</v>
      </c>
      <c r="E348" s="38" t="s">
        <v>2725</v>
      </c>
      <c r="F348" s="31" t="s">
        <v>2726</v>
      </c>
      <c r="G348" s="31" t="s">
        <v>39</v>
      </c>
      <c r="H348" s="83">
        <v>43482</v>
      </c>
      <c r="I348" s="84">
        <f t="shared" si="8"/>
        <v>43846</v>
      </c>
      <c r="J348" s="31" t="s">
        <v>3042</v>
      </c>
      <c r="K348" s="31"/>
      <c r="L348" s="35"/>
      <c r="M348" s="35"/>
      <c r="N348" s="28">
        <v>31120</v>
      </c>
      <c r="O348" s="102"/>
    </row>
    <row r="349" spans="1:15">
      <c r="A349" s="31" t="s">
        <v>326</v>
      </c>
      <c r="B349" s="35" t="s">
        <v>1998</v>
      </c>
      <c r="C349" s="42" t="s">
        <v>2941</v>
      </c>
      <c r="D349" s="38" t="s">
        <v>2043</v>
      </c>
      <c r="E349" s="38" t="s">
        <v>325</v>
      </c>
      <c r="F349" s="31" t="s">
        <v>313</v>
      </c>
      <c r="G349" s="31" t="s">
        <v>39</v>
      </c>
      <c r="H349" s="84">
        <v>43482</v>
      </c>
      <c r="I349" s="84">
        <f t="shared" si="8"/>
        <v>43846</v>
      </c>
      <c r="J349" s="31" t="s">
        <v>2004</v>
      </c>
      <c r="K349" s="31"/>
      <c r="L349" s="35"/>
      <c r="M349" s="35"/>
      <c r="N349" s="28"/>
      <c r="O349" s="102"/>
    </row>
    <row r="350" spans="1:15">
      <c r="A350" s="31" t="s">
        <v>328</v>
      </c>
      <c r="B350" s="35" t="s">
        <v>1998</v>
      </c>
      <c r="C350" s="42" t="s">
        <v>2942</v>
      </c>
      <c r="D350" s="38" t="s">
        <v>2043</v>
      </c>
      <c r="E350" s="38" t="s">
        <v>330</v>
      </c>
      <c r="F350" s="31" t="s">
        <v>313</v>
      </c>
      <c r="G350" s="31" t="s">
        <v>39</v>
      </c>
      <c r="H350" s="84">
        <v>43482</v>
      </c>
      <c r="I350" s="84">
        <f t="shared" si="8"/>
        <v>43846</v>
      </c>
      <c r="J350" s="31" t="s">
        <v>2004</v>
      </c>
      <c r="K350" s="31"/>
      <c r="L350" s="35"/>
      <c r="M350" s="35"/>
      <c r="N350" s="28"/>
      <c r="O350" s="102"/>
    </row>
    <row r="351" spans="1:15">
      <c r="A351" s="33" t="s">
        <v>398</v>
      </c>
      <c r="B351" s="35" t="s">
        <v>1998</v>
      </c>
      <c r="C351" s="50" t="s">
        <v>399</v>
      </c>
      <c r="D351" s="42" t="s">
        <v>2046</v>
      </c>
      <c r="E351" s="42" t="s">
        <v>2047</v>
      </c>
      <c r="F351" s="31" t="s">
        <v>397</v>
      </c>
      <c r="G351" s="31" t="s">
        <v>39</v>
      </c>
      <c r="H351" s="83">
        <v>43482</v>
      </c>
      <c r="I351" s="84">
        <f t="shared" si="8"/>
        <v>43846</v>
      </c>
      <c r="J351" s="31" t="s">
        <v>201</v>
      </c>
      <c r="K351" s="35"/>
      <c r="L351" s="27"/>
      <c r="M351" s="27"/>
      <c r="N351" s="28">
        <v>8820</v>
      </c>
      <c r="O351" s="99"/>
    </row>
    <row r="352" spans="1:15">
      <c r="A352" s="31" t="s">
        <v>2055</v>
      </c>
      <c r="B352" s="31" t="s">
        <v>1998</v>
      </c>
      <c r="C352" s="42" t="s">
        <v>2056</v>
      </c>
      <c r="D352" s="42" t="s">
        <v>2043</v>
      </c>
      <c r="E352" s="42" t="s">
        <v>2053</v>
      </c>
      <c r="F352" s="31" t="s">
        <v>2054</v>
      </c>
      <c r="G352" s="31" t="s">
        <v>39</v>
      </c>
      <c r="H352" s="84">
        <v>43482</v>
      </c>
      <c r="I352" s="84">
        <f t="shared" si="8"/>
        <v>43846</v>
      </c>
      <c r="J352" s="31" t="s">
        <v>2004</v>
      </c>
      <c r="K352" s="31"/>
      <c r="L352" s="27"/>
      <c r="M352" s="27"/>
      <c r="N352" s="28">
        <v>21200</v>
      </c>
      <c r="O352" s="99"/>
    </row>
    <row r="353" spans="1:15">
      <c r="A353" s="31" t="s">
        <v>2203</v>
      </c>
      <c r="B353" s="35" t="s">
        <v>1998</v>
      </c>
      <c r="C353" s="42" t="s">
        <v>2204</v>
      </c>
      <c r="D353" s="38" t="s">
        <v>2699</v>
      </c>
      <c r="E353" s="38" t="s">
        <v>1999</v>
      </c>
      <c r="F353" s="31" t="s">
        <v>267</v>
      </c>
      <c r="G353" s="31" t="s">
        <v>39</v>
      </c>
      <c r="H353" s="83">
        <v>43482</v>
      </c>
      <c r="I353" s="84">
        <f t="shared" si="8"/>
        <v>43846</v>
      </c>
      <c r="J353" s="31" t="s">
        <v>3042</v>
      </c>
      <c r="K353" s="31"/>
      <c r="L353" s="31"/>
      <c r="M353" s="31"/>
      <c r="N353" s="28">
        <v>21200</v>
      </c>
      <c r="O353" s="105"/>
    </row>
    <row r="354" spans="1:15">
      <c r="A354" s="31" t="s">
        <v>2317</v>
      </c>
      <c r="B354" s="35" t="s">
        <v>2261</v>
      </c>
      <c r="C354" s="42" t="s">
        <v>2318</v>
      </c>
      <c r="D354" s="42" t="s">
        <v>2314</v>
      </c>
      <c r="E354" s="36" t="s">
        <v>2315</v>
      </c>
      <c r="F354" s="31" t="s">
        <v>2316</v>
      </c>
      <c r="G354" s="31" t="s">
        <v>2263</v>
      </c>
      <c r="H354" s="83">
        <v>43486</v>
      </c>
      <c r="I354" s="84">
        <f t="shared" si="8"/>
        <v>43850</v>
      </c>
      <c r="J354" s="31" t="s">
        <v>2304</v>
      </c>
      <c r="K354" s="35"/>
      <c r="L354" s="27"/>
      <c r="M354" s="27"/>
      <c r="N354" s="28">
        <v>21200</v>
      </c>
      <c r="O354" s="159"/>
    </row>
    <row r="355" spans="1:15">
      <c r="A355" s="31" t="s">
        <v>2935</v>
      </c>
      <c r="B355" s="35" t="s">
        <v>1573</v>
      </c>
      <c r="C355" s="42" t="s">
        <v>2936</v>
      </c>
      <c r="D355" s="38" t="s">
        <v>2937</v>
      </c>
      <c r="E355" s="38" t="s">
        <v>2940</v>
      </c>
      <c r="F355" s="31" t="s">
        <v>2938</v>
      </c>
      <c r="G355" s="31" t="s">
        <v>39</v>
      </c>
      <c r="H355" s="83">
        <v>43489</v>
      </c>
      <c r="I355" s="84">
        <f t="shared" si="8"/>
        <v>43853</v>
      </c>
      <c r="J355" s="31" t="s">
        <v>2934</v>
      </c>
      <c r="K355" s="31"/>
      <c r="L355" s="31"/>
      <c r="M355" s="31"/>
      <c r="N355" s="28">
        <v>21200</v>
      </c>
      <c r="O355" s="105"/>
    </row>
    <row r="356" spans="1:15">
      <c r="A356" s="37" t="s">
        <v>460</v>
      </c>
      <c r="B356" s="35" t="s">
        <v>2714</v>
      </c>
      <c r="C356" s="38" t="s">
        <v>2715</v>
      </c>
      <c r="D356" s="38" t="s">
        <v>462</v>
      </c>
      <c r="E356" s="38" t="s">
        <v>2716</v>
      </c>
      <c r="F356" s="31" t="s">
        <v>2717</v>
      </c>
      <c r="G356" s="31" t="s">
        <v>39</v>
      </c>
      <c r="H356" s="83">
        <v>43495</v>
      </c>
      <c r="I356" s="84">
        <f t="shared" si="8"/>
        <v>43859</v>
      </c>
      <c r="J356" s="31" t="s">
        <v>2004</v>
      </c>
      <c r="K356" s="31"/>
      <c r="L356" s="27"/>
      <c r="M356" s="27"/>
      <c r="N356" s="28">
        <v>21200</v>
      </c>
      <c r="O356" s="99"/>
    </row>
    <row r="357" spans="1:15">
      <c r="A357" s="37" t="s">
        <v>2982</v>
      </c>
      <c r="B357" s="35" t="s">
        <v>1152</v>
      </c>
      <c r="C357" s="38" t="s">
        <v>485</v>
      </c>
      <c r="D357" s="38" t="s">
        <v>1176</v>
      </c>
      <c r="E357" s="38" t="s">
        <v>1177</v>
      </c>
      <c r="F357" s="31" t="s">
        <v>267</v>
      </c>
      <c r="G357" s="31" t="s">
        <v>39</v>
      </c>
      <c r="H357" s="84">
        <v>43497</v>
      </c>
      <c r="I357" s="84">
        <f t="shared" si="8"/>
        <v>43861</v>
      </c>
      <c r="J357" s="31" t="s">
        <v>2000</v>
      </c>
      <c r="K357" s="31"/>
      <c r="L357" s="27"/>
      <c r="M357" s="27"/>
      <c r="N357" s="28">
        <v>21200</v>
      </c>
      <c r="O357" s="99"/>
    </row>
    <row r="358" spans="1:15">
      <c r="A358" s="37" t="s">
        <v>2807</v>
      </c>
      <c r="B358" s="35" t="s">
        <v>2714</v>
      </c>
      <c r="C358" s="38" t="s">
        <v>2808</v>
      </c>
      <c r="D358" s="38" t="s">
        <v>2699</v>
      </c>
      <c r="E358" s="38" t="s">
        <v>2809</v>
      </c>
      <c r="F358" s="31" t="s">
        <v>2810</v>
      </c>
      <c r="G358" s="31" t="s">
        <v>39</v>
      </c>
      <c r="H358" s="84">
        <v>43497</v>
      </c>
      <c r="I358" s="84">
        <f t="shared" si="8"/>
        <v>43861</v>
      </c>
      <c r="J358" s="31" t="s">
        <v>2000</v>
      </c>
      <c r="K358" s="31"/>
      <c r="L358" s="27"/>
      <c r="M358" s="27"/>
      <c r="N358" s="28"/>
      <c r="O358" s="99"/>
    </row>
    <row r="359" spans="1:15">
      <c r="A359" s="37" t="s">
        <v>2855</v>
      </c>
      <c r="B359" s="35" t="s">
        <v>2688</v>
      </c>
      <c r="C359" s="38" t="s">
        <v>2856</v>
      </c>
      <c r="D359" s="38" t="s">
        <v>2699</v>
      </c>
      <c r="E359" s="38" t="s">
        <v>2702</v>
      </c>
      <c r="F359" s="31" t="s">
        <v>2701</v>
      </c>
      <c r="G359" s="31" t="s">
        <v>39</v>
      </c>
      <c r="H359" s="84">
        <v>43497</v>
      </c>
      <c r="I359" s="84">
        <f t="shared" si="8"/>
        <v>43861</v>
      </c>
      <c r="J359" s="31" t="s">
        <v>2004</v>
      </c>
      <c r="K359" s="31"/>
      <c r="L359" s="27"/>
      <c r="M359" s="27"/>
      <c r="N359" s="28"/>
      <c r="O359" s="99"/>
    </row>
    <row r="360" spans="1:15">
      <c r="A360" s="37" t="s">
        <v>2843</v>
      </c>
      <c r="B360" s="35" t="s">
        <v>1152</v>
      </c>
      <c r="C360" s="38" t="s">
        <v>2983</v>
      </c>
      <c r="D360" s="38" t="s">
        <v>2767</v>
      </c>
      <c r="E360" s="38" t="s">
        <v>270</v>
      </c>
      <c r="F360" s="31" t="s">
        <v>2769</v>
      </c>
      <c r="G360" s="31" t="s">
        <v>39</v>
      </c>
      <c r="H360" s="83">
        <v>43507</v>
      </c>
      <c r="I360" s="84">
        <f t="shared" si="8"/>
        <v>43871</v>
      </c>
      <c r="J360" s="31" t="s">
        <v>2990</v>
      </c>
      <c r="K360" s="35"/>
      <c r="L360" s="31"/>
      <c r="M360" s="31"/>
      <c r="N360" s="28">
        <v>129800</v>
      </c>
      <c r="O360" s="105"/>
    </row>
    <row r="361" spans="1:15">
      <c r="A361" s="31" t="s">
        <v>2086</v>
      </c>
      <c r="B361" s="31" t="s">
        <v>1998</v>
      </c>
      <c r="C361" s="42" t="s">
        <v>2087</v>
      </c>
      <c r="D361" s="42" t="s">
        <v>2068</v>
      </c>
      <c r="E361" s="42" t="s">
        <v>2085</v>
      </c>
      <c r="F361" s="31" t="s">
        <v>3043</v>
      </c>
      <c r="G361" s="31" t="s">
        <v>39</v>
      </c>
      <c r="H361" s="83">
        <v>43507</v>
      </c>
      <c r="I361" s="84">
        <f t="shared" si="8"/>
        <v>43871</v>
      </c>
      <c r="J361" s="31" t="s">
        <v>486</v>
      </c>
      <c r="K361" s="31"/>
      <c r="L361" s="31"/>
      <c r="M361" s="31"/>
      <c r="N361" s="31"/>
      <c r="O361" s="105"/>
    </row>
    <row r="362" spans="1:15">
      <c r="A362" s="31" t="s">
        <v>1629</v>
      </c>
      <c r="B362" s="31" t="s">
        <v>1152</v>
      </c>
      <c r="C362" s="38" t="s">
        <v>1711</v>
      </c>
      <c r="D362" s="38" t="s">
        <v>1181</v>
      </c>
      <c r="E362" s="38" t="s">
        <v>2113</v>
      </c>
      <c r="F362" s="31" t="s">
        <v>3043</v>
      </c>
      <c r="G362" s="31" t="s">
        <v>39</v>
      </c>
      <c r="H362" s="83">
        <v>43507</v>
      </c>
      <c r="I362" s="84">
        <f t="shared" si="8"/>
        <v>43871</v>
      </c>
      <c r="J362" s="31" t="s">
        <v>486</v>
      </c>
      <c r="K362" s="31"/>
      <c r="L362" s="31"/>
      <c r="M362" s="31"/>
      <c r="N362" s="28">
        <v>21200</v>
      </c>
      <c r="O362" s="105"/>
    </row>
    <row r="363" spans="1:15" s="110" customFormat="1" ht="15.6">
      <c r="A363" s="33" t="s">
        <v>2139</v>
      </c>
      <c r="B363" s="33" t="s">
        <v>1998</v>
      </c>
      <c r="C363" s="42" t="s">
        <v>2140</v>
      </c>
      <c r="D363" s="48" t="s">
        <v>2893</v>
      </c>
      <c r="E363" s="42" t="s">
        <v>2138</v>
      </c>
      <c r="F363" s="31" t="s">
        <v>3043</v>
      </c>
      <c r="G363" s="33" t="s">
        <v>39</v>
      </c>
      <c r="H363" s="84">
        <v>43507</v>
      </c>
      <c r="I363" s="84">
        <f t="shared" si="8"/>
        <v>43871</v>
      </c>
      <c r="J363" s="33" t="s">
        <v>486</v>
      </c>
      <c r="K363" s="31"/>
      <c r="L363" s="31"/>
      <c r="M363" s="31"/>
      <c r="N363" s="116">
        <v>30000</v>
      </c>
      <c r="O363" s="105"/>
    </row>
    <row r="364" spans="1:15" s="110" customFormat="1" ht="15.6">
      <c r="A364" s="31" t="s">
        <v>2989</v>
      </c>
      <c r="B364" s="35" t="s">
        <v>2984</v>
      </c>
      <c r="C364" s="38" t="s">
        <v>2985</v>
      </c>
      <c r="D364" s="38" t="s">
        <v>2986</v>
      </c>
      <c r="E364" s="38" t="s">
        <v>2987</v>
      </c>
      <c r="F364" s="31"/>
      <c r="G364" s="31" t="s">
        <v>2988</v>
      </c>
      <c r="H364" s="85">
        <v>43507</v>
      </c>
      <c r="I364" s="84">
        <f t="shared" si="8"/>
        <v>43871</v>
      </c>
      <c r="J364" s="31" t="s">
        <v>2000</v>
      </c>
      <c r="K364" s="166"/>
      <c r="L364" s="31"/>
      <c r="M364" s="31"/>
      <c r="N364" s="31"/>
      <c r="O364" s="105"/>
    </row>
    <row r="365" spans="1:15" s="110" customFormat="1" ht="15.6">
      <c r="A365" s="25">
        <v>86</v>
      </c>
      <c r="B365" s="25" t="s">
        <v>1049</v>
      </c>
      <c r="C365" s="60" t="s">
        <v>48</v>
      </c>
      <c r="D365" s="30" t="s">
        <v>1094</v>
      </c>
      <c r="E365" s="30" t="s">
        <v>1098</v>
      </c>
      <c r="F365" s="31" t="s">
        <v>3043</v>
      </c>
      <c r="G365" s="25" t="s">
        <v>1</v>
      </c>
      <c r="H365" s="85">
        <v>43279</v>
      </c>
      <c r="I365" s="83">
        <v>44009</v>
      </c>
      <c r="J365" s="26" t="s">
        <v>1048</v>
      </c>
      <c r="K365" s="25"/>
      <c r="L365" s="31"/>
      <c r="M365" s="31"/>
      <c r="N365" s="31"/>
      <c r="O365" s="105"/>
    </row>
    <row r="366" spans="1:15" s="110" customFormat="1" ht="15.6">
      <c r="A366" s="25">
        <v>87</v>
      </c>
      <c r="B366" s="25" t="s">
        <v>1049</v>
      </c>
      <c r="C366" s="60" t="s">
        <v>49</v>
      </c>
      <c r="D366" s="30" t="s">
        <v>1094</v>
      </c>
      <c r="E366" s="30" t="s">
        <v>1099</v>
      </c>
      <c r="F366" s="31" t="s">
        <v>3043</v>
      </c>
      <c r="G366" s="25" t="s">
        <v>1</v>
      </c>
      <c r="H366" s="85">
        <v>43279</v>
      </c>
      <c r="I366" s="83">
        <v>44009</v>
      </c>
      <c r="J366" s="26" t="s">
        <v>1048</v>
      </c>
      <c r="K366" s="25"/>
      <c r="L366" s="31"/>
      <c r="M366" s="31"/>
      <c r="N366" s="31"/>
      <c r="O366" s="105"/>
    </row>
    <row r="367" spans="1:15" s="110" customFormat="1" ht="15.6">
      <c r="A367" s="25">
        <v>88</v>
      </c>
      <c r="B367" s="25" t="s">
        <v>1049</v>
      </c>
      <c r="C367" s="39" t="s">
        <v>168</v>
      </c>
      <c r="D367" s="30" t="s">
        <v>1094</v>
      </c>
      <c r="E367" s="30" t="s">
        <v>1100</v>
      </c>
      <c r="F367" s="25" t="s">
        <v>64</v>
      </c>
      <c r="G367" s="25" t="s">
        <v>0</v>
      </c>
      <c r="H367" s="85">
        <v>43642</v>
      </c>
      <c r="I367" s="83">
        <v>44007</v>
      </c>
      <c r="J367" s="26" t="s">
        <v>1048</v>
      </c>
      <c r="K367" s="26"/>
      <c r="L367" s="27"/>
      <c r="M367" s="27"/>
      <c r="N367" s="28">
        <v>23000</v>
      </c>
      <c r="O367" s="99"/>
    </row>
    <row r="368" spans="1:15" s="110" customFormat="1" ht="15.6">
      <c r="A368" s="33" t="s">
        <v>2838</v>
      </c>
      <c r="B368" s="45" t="s">
        <v>2707</v>
      </c>
      <c r="C368" s="42" t="s">
        <v>2839</v>
      </c>
      <c r="D368" s="42" t="s">
        <v>2728</v>
      </c>
      <c r="E368" s="54" t="s">
        <v>2840</v>
      </c>
      <c r="F368" s="31" t="s">
        <v>3043</v>
      </c>
      <c r="G368" s="33" t="s">
        <v>39</v>
      </c>
      <c r="H368" s="83">
        <v>43517</v>
      </c>
      <c r="I368" s="84">
        <f>H368+364</f>
        <v>43881</v>
      </c>
      <c r="J368" s="33" t="s">
        <v>486</v>
      </c>
      <c r="K368" s="45" t="s">
        <v>2007</v>
      </c>
      <c r="L368" s="31"/>
      <c r="M368" s="31"/>
      <c r="N368" s="28">
        <v>129800</v>
      </c>
      <c r="O368" s="105"/>
    </row>
    <row r="369" spans="1:15" s="110" customFormat="1" ht="15.6">
      <c r="A369" s="33" t="s">
        <v>2992</v>
      </c>
      <c r="B369" s="35" t="s">
        <v>1998</v>
      </c>
      <c r="C369" s="42" t="s">
        <v>2994</v>
      </c>
      <c r="D369" s="42" t="s">
        <v>1956</v>
      </c>
      <c r="E369" s="30" t="s">
        <v>3101</v>
      </c>
      <c r="F369" s="31" t="s">
        <v>194</v>
      </c>
      <c r="G369" s="31" t="s">
        <v>39</v>
      </c>
      <c r="H369" s="83">
        <v>43523</v>
      </c>
      <c r="I369" s="84">
        <f>H369+364</f>
        <v>43887</v>
      </c>
      <c r="J369" s="31" t="s">
        <v>2656</v>
      </c>
      <c r="K369" s="35"/>
      <c r="L369" s="31"/>
      <c r="M369" s="31"/>
      <c r="N369" s="31"/>
      <c r="O369" s="105"/>
    </row>
    <row r="370" spans="1:15" s="110" customFormat="1" ht="15.6">
      <c r="A370" s="33" t="s">
        <v>2993</v>
      </c>
      <c r="B370" s="35" t="s">
        <v>1998</v>
      </c>
      <c r="C370" s="42" t="s">
        <v>2995</v>
      </c>
      <c r="D370" s="42" t="s">
        <v>1956</v>
      </c>
      <c r="E370" s="30" t="s">
        <v>3101</v>
      </c>
      <c r="F370" s="31" t="s">
        <v>194</v>
      </c>
      <c r="G370" s="31" t="s">
        <v>39</v>
      </c>
      <c r="H370" s="83">
        <v>43523</v>
      </c>
      <c r="I370" s="84">
        <f>H370+364</f>
        <v>43887</v>
      </c>
      <c r="J370" s="31" t="s">
        <v>2656</v>
      </c>
      <c r="K370" s="35"/>
      <c r="L370" s="31"/>
      <c r="M370" s="31"/>
      <c r="N370" s="31"/>
      <c r="O370" s="105"/>
    </row>
    <row r="371" spans="1:15" s="110" customFormat="1" ht="15.6">
      <c r="A371" s="25">
        <v>89</v>
      </c>
      <c r="B371" s="25" t="s">
        <v>1049</v>
      </c>
      <c r="C371" s="39" t="s">
        <v>169</v>
      </c>
      <c r="D371" s="30" t="s">
        <v>1094</v>
      </c>
      <c r="E371" s="30" t="s">
        <v>1101</v>
      </c>
      <c r="F371" s="31" t="s">
        <v>3043</v>
      </c>
      <c r="G371" s="25" t="s">
        <v>0</v>
      </c>
      <c r="H371" s="85">
        <v>43642</v>
      </c>
      <c r="I371" s="83">
        <v>44007</v>
      </c>
      <c r="J371" s="26" t="s">
        <v>1048</v>
      </c>
      <c r="K371" s="26"/>
      <c r="L371" s="31"/>
      <c r="M371" s="31"/>
      <c r="N371" s="31"/>
      <c r="O371" s="105"/>
    </row>
    <row r="372" spans="1:15" s="110" customFormat="1" ht="15.6">
      <c r="A372" s="25">
        <v>90</v>
      </c>
      <c r="B372" s="25" t="s">
        <v>1049</v>
      </c>
      <c r="C372" s="39" t="s">
        <v>75</v>
      </c>
      <c r="D372" s="30" t="s">
        <v>1094</v>
      </c>
      <c r="E372" s="30" t="s">
        <v>1102</v>
      </c>
      <c r="F372" s="31" t="s">
        <v>3043</v>
      </c>
      <c r="G372" s="25" t="s">
        <v>0</v>
      </c>
      <c r="H372" s="85">
        <v>43642</v>
      </c>
      <c r="I372" s="83">
        <v>44007</v>
      </c>
      <c r="J372" s="26" t="s">
        <v>1048</v>
      </c>
      <c r="K372" s="26"/>
      <c r="L372" s="31"/>
      <c r="M372" s="31"/>
      <c r="N372" s="28">
        <v>129800</v>
      </c>
      <c r="O372" s="105"/>
    </row>
    <row r="373" spans="1:15" s="110" customFormat="1" ht="15.6">
      <c r="A373" s="25">
        <v>91</v>
      </c>
      <c r="B373" s="25" t="s">
        <v>1049</v>
      </c>
      <c r="C373" s="39" t="s">
        <v>33</v>
      </c>
      <c r="D373" s="53" t="s">
        <v>1103</v>
      </c>
      <c r="E373" s="30" t="s">
        <v>1104</v>
      </c>
      <c r="F373" s="25" t="s">
        <v>64</v>
      </c>
      <c r="G373" s="25" t="s">
        <v>1</v>
      </c>
      <c r="H373" s="85">
        <v>43279</v>
      </c>
      <c r="I373" s="83">
        <v>44009</v>
      </c>
      <c r="J373" s="26" t="s">
        <v>1048</v>
      </c>
      <c r="K373" s="25"/>
      <c r="L373" s="31"/>
      <c r="M373" s="31"/>
      <c r="N373" s="31"/>
      <c r="O373" s="105"/>
    </row>
    <row r="374" spans="1:15" s="110" customFormat="1" ht="15.6">
      <c r="A374" s="25">
        <v>92</v>
      </c>
      <c r="B374" s="25" t="s">
        <v>1049</v>
      </c>
      <c r="C374" s="39" t="s">
        <v>1883</v>
      </c>
      <c r="D374" s="53" t="s">
        <v>1103</v>
      </c>
      <c r="E374" s="30" t="s">
        <v>1105</v>
      </c>
      <c r="F374" s="25" t="s">
        <v>50</v>
      </c>
      <c r="G374" s="25" t="s">
        <v>1</v>
      </c>
      <c r="H374" s="85">
        <v>43279</v>
      </c>
      <c r="I374" s="83">
        <v>44009</v>
      </c>
      <c r="J374" s="26" t="s">
        <v>1889</v>
      </c>
      <c r="K374" s="25"/>
      <c r="L374" s="27"/>
      <c r="M374" s="27"/>
      <c r="N374" s="28">
        <v>129800</v>
      </c>
      <c r="O374" s="99"/>
    </row>
    <row r="375" spans="1:15" s="110" customFormat="1" ht="15.6">
      <c r="A375" s="25">
        <v>92</v>
      </c>
      <c r="B375" s="25" t="s">
        <v>1049</v>
      </c>
      <c r="C375" s="39" t="s">
        <v>1884</v>
      </c>
      <c r="D375" s="53" t="s">
        <v>1103</v>
      </c>
      <c r="E375" s="30" t="s">
        <v>1105</v>
      </c>
      <c r="F375" s="25" t="s">
        <v>50</v>
      </c>
      <c r="G375" s="25" t="s">
        <v>1</v>
      </c>
      <c r="H375" s="85">
        <v>43279</v>
      </c>
      <c r="I375" s="83">
        <v>44009</v>
      </c>
      <c r="J375" s="26" t="s">
        <v>1890</v>
      </c>
      <c r="K375" s="25"/>
      <c r="L375" s="31"/>
      <c r="M375" s="31"/>
      <c r="N375" s="31"/>
      <c r="O375" s="105"/>
    </row>
    <row r="376" spans="1:15" s="110" customFormat="1" ht="15.6">
      <c r="A376" s="25">
        <v>92</v>
      </c>
      <c r="B376" s="25" t="s">
        <v>1049</v>
      </c>
      <c r="C376" s="39" t="s">
        <v>1888</v>
      </c>
      <c r="D376" s="53" t="s">
        <v>1103</v>
      </c>
      <c r="E376" s="30" t="s">
        <v>1105</v>
      </c>
      <c r="F376" s="25" t="s">
        <v>133</v>
      </c>
      <c r="G376" s="25" t="s">
        <v>1</v>
      </c>
      <c r="H376" s="85">
        <v>43524</v>
      </c>
      <c r="I376" s="83">
        <v>44254</v>
      </c>
      <c r="J376" s="26" t="s">
        <v>1894</v>
      </c>
      <c r="K376" s="25"/>
      <c r="L376" s="27"/>
      <c r="M376" s="27"/>
      <c r="N376" s="28"/>
      <c r="O376" s="99"/>
    </row>
    <row r="377" spans="1:15" s="110" customFormat="1" ht="15.6">
      <c r="A377" s="25">
        <v>92</v>
      </c>
      <c r="B377" s="25" t="s">
        <v>1049</v>
      </c>
      <c r="C377" s="39" t="s">
        <v>1887</v>
      </c>
      <c r="D377" s="53" t="s">
        <v>1103</v>
      </c>
      <c r="E377" s="30" t="s">
        <v>1105</v>
      </c>
      <c r="F377" s="25" t="s">
        <v>50</v>
      </c>
      <c r="G377" s="25" t="s">
        <v>1</v>
      </c>
      <c r="H377" s="85">
        <v>43524</v>
      </c>
      <c r="I377" s="83">
        <v>44254</v>
      </c>
      <c r="J377" s="26" t="s">
        <v>1893</v>
      </c>
      <c r="K377" s="25"/>
      <c r="L377" s="27"/>
      <c r="M377" s="27"/>
      <c r="N377" s="28"/>
      <c r="O377" s="99"/>
    </row>
    <row r="378" spans="1:15" s="110" customFormat="1" ht="15.6">
      <c r="A378" s="25">
        <v>92</v>
      </c>
      <c r="B378" s="25" t="s">
        <v>1049</v>
      </c>
      <c r="C378" s="39" t="s">
        <v>1886</v>
      </c>
      <c r="D378" s="53" t="s">
        <v>1103</v>
      </c>
      <c r="E378" s="30" t="s">
        <v>1105</v>
      </c>
      <c r="F378" s="25" t="s">
        <v>50</v>
      </c>
      <c r="G378" s="25" t="s">
        <v>1</v>
      </c>
      <c r="H378" s="85">
        <v>43524</v>
      </c>
      <c r="I378" s="83">
        <v>44254</v>
      </c>
      <c r="J378" s="26" t="s">
        <v>1892</v>
      </c>
      <c r="K378" s="25"/>
      <c r="L378" s="27"/>
      <c r="M378" s="27"/>
      <c r="N378" s="28">
        <v>62530</v>
      </c>
      <c r="O378" s="99"/>
    </row>
    <row r="379" spans="1:15" s="110" customFormat="1" ht="15.6">
      <c r="A379" s="25">
        <v>92</v>
      </c>
      <c r="B379" s="25" t="s">
        <v>1049</v>
      </c>
      <c r="C379" s="39" t="s">
        <v>1885</v>
      </c>
      <c r="D379" s="53" t="s">
        <v>1103</v>
      </c>
      <c r="E379" s="30" t="s">
        <v>1105</v>
      </c>
      <c r="F379" s="25" t="s">
        <v>50</v>
      </c>
      <c r="G379" s="25" t="s">
        <v>1</v>
      </c>
      <c r="H379" s="85">
        <v>43524</v>
      </c>
      <c r="I379" s="83">
        <v>44254</v>
      </c>
      <c r="J379" s="26" t="s">
        <v>1891</v>
      </c>
      <c r="K379" s="25"/>
      <c r="L379" s="31"/>
      <c r="M379" s="31"/>
      <c r="N379" s="31"/>
      <c r="O379" s="105"/>
    </row>
    <row r="380" spans="1:15" s="110" customFormat="1" ht="15.6">
      <c r="A380" s="25">
        <v>95</v>
      </c>
      <c r="B380" s="25" t="s">
        <v>1049</v>
      </c>
      <c r="C380" s="39" t="s">
        <v>55</v>
      </c>
      <c r="D380" s="53" t="s">
        <v>1103</v>
      </c>
      <c r="E380" s="30" t="s">
        <v>1106</v>
      </c>
      <c r="F380" s="25" t="s">
        <v>50</v>
      </c>
      <c r="G380" s="25" t="s">
        <v>1</v>
      </c>
      <c r="H380" s="85">
        <v>43279</v>
      </c>
      <c r="I380" s="83">
        <v>44009</v>
      </c>
      <c r="J380" s="26" t="s">
        <v>1048</v>
      </c>
      <c r="K380" s="25"/>
      <c r="L380" s="27"/>
      <c r="M380" s="27"/>
      <c r="N380" s="28">
        <v>38290</v>
      </c>
      <c r="O380" s="99" t="s">
        <v>2397</v>
      </c>
    </row>
    <row r="381" spans="1:15" s="110" customFormat="1" ht="15.6">
      <c r="A381" s="25">
        <v>96</v>
      </c>
      <c r="B381" s="25" t="s">
        <v>1049</v>
      </c>
      <c r="C381" s="50" t="s">
        <v>131</v>
      </c>
      <c r="D381" s="52" t="s">
        <v>1103</v>
      </c>
      <c r="E381" s="51" t="s">
        <v>1107</v>
      </c>
      <c r="F381" s="32" t="s">
        <v>132</v>
      </c>
      <c r="G381" s="32" t="s">
        <v>1</v>
      </c>
      <c r="H381" s="85">
        <v>43279</v>
      </c>
      <c r="I381" s="83">
        <v>44009</v>
      </c>
      <c r="J381" s="34" t="s">
        <v>2981</v>
      </c>
      <c r="K381" s="25"/>
      <c r="L381" s="31"/>
      <c r="M381" s="31"/>
      <c r="N381" s="31"/>
      <c r="O381" s="105"/>
    </row>
    <row r="382" spans="1:15" s="110" customFormat="1" ht="15.6">
      <c r="A382" s="25">
        <v>96</v>
      </c>
      <c r="B382" s="25" t="s">
        <v>1049</v>
      </c>
      <c r="C382" s="39" t="s">
        <v>1882</v>
      </c>
      <c r="D382" s="53" t="s">
        <v>1103</v>
      </c>
      <c r="E382" s="30" t="s">
        <v>1107</v>
      </c>
      <c r="F382" s="25" t="s">
        <v>132</v>
      </c>
      <c r="G382" s="25" t="s">
        <v>1</v>
      </c>
      <c r="H382" s="85">
        <v>43524</v>
      </c>
      <c r="I382" s="83">
        <v>44254</v>
      </c>
      <c r="J382" s="26" t="s">
        <v>1889</v>
      </c>
      <c r="K382" s="25"/>
      <c r="L382" s="27"/>
      <c r="M382" s="27"/>
      <c r="N382" s="28">
        <v>336600</v>
      </c>
      <c r="O382" s="99"/>
    </row>
    <row r="383" spans="1:15" s="110" customFormat="1" ht="15.6">
      <c r="A383" s="25">
        <v>96</v>
      </c>
      <c r="B383" s="25" t="s">
        <v>1049</v>
      </c>
      <c r="C383" s="50" t="s">
        <v>1880</v>
      </c>
      <c r="D383" s="52" t="s">
        <v>1103</v>
      </c>
      <c r="E383" s="51" t="s">
        <v>1107</v>
      </c>
      <c r="F383" s="32" t="s">
        <v>132</v>
      </c>
      <c r="G383" s="32" t="s">
        <v>1</v>
      </c>
      <c r="H383" s="85">
        <v>43524</v>
      </c>
      <c r="I383" s="83">
        <v>44254</v>
      </c>
      <c r="J383" s="34" t="s">
        <v>1890</v>
      </c>
      <c r="K383" s="25"/>
      <c r="L383" s="31"/>
      <c r="M383" s="31"/>
      <c r="N383" s="31"/>
      <c r="O383" s="105"/>
    </row>
    <row r="384" spans="1:15" s="110" customFormat="1" ht="15.6">
      <c r="A384" s="31" t="s">
        <v>2873</v>
      </c>
      <c r="B384" s="35" t="s">
        <v>2688</v>
      </c>
      <c r="C384" s="42" t="s">
        <v>2995</v>
      </c>
      <c r="D384" s="36" t="s">
        <v>2841</v>
      </c>
      <c r="E384" s="30" t="s">
        <v>3100</v>
      </c>
      <c r="F384" s="27" t="s">
        <v>2842</v>
      </c>
      <c r="G384" s="27" t="s">
        <v>39</v>
      </c>
      <c r="H384" s="84">
        <v>43523</v>
      </c>
      <c r="I384" s="84">
        <f>H384+365</f>
        <v>43888</v>
      </c>
      <c r="J384" s="27" t="s">
        <v>486</v>
      </c>
      <c r="K384" s="27"/>
      <c r="L384" s="27"/>
      <c r="M384" s="27"/>
      <c r="N384" s="28">
        <v>9420</v>
      </c>
      <c r="O384" s="99"/>
    </row>
    <row r="385" spans="1:15" s="110" customFormat="1" ht="15.6">
      <c r="A385" s="31" t="s">
        <v>2141</v>
      </c>
      <c r="B385" s="35" t="s">
        <v>1152</v>
      </c>
      <c r="C385" s="42" t="s">
        <v>2994</v>
      </c>
      <c r="D385" s="36" t="s">
        <v>1968</v>
      </c>
      <c r="E385" s="30" t="s">
        <v>3101</v>
      </c>
      <c r="F385" s="27" t="s">
        <v>194</v>
      </c>
      <c r="G385" s="27" t="s">
        <v>39</v>
      </c>
      <c r="H385" s="84">
        <v>43523</v>
      </c>
      <c r="I385" s="84">
        <f>H385+365</f>
        <v>43888</v>
      </c>
      <c r="J385" s="27" t="s">
        <v>486</v>
      </c>
      <c r="K385" s="27"/>
      <c r="L385" s="27"/>
      <c r="M385" s="27"/>
      <c r="N385" s="28">
        <v>21340</v>
      </c>
      <c r="O385" s="99"/>
    </row>
    <row r="386" spans="1:15" s="110" customFormat="1" ht="15.6">
      <c r="A386" s="33" t="s">
        <v>1858</v>
      </c>
      <c r="B386" s="35" t="s">
        <v>1998</v>
      </c>
      <c r="C386" s="42" t="s">
        <v>2015</v>
      </c>
      <c r="D386" s="42" t="s">
        <v>2016</v>
      </c>
      <c r="E386" s="30" t="s">
        <v>1957</v>
      </c>
      <c r="F386" s="31" t="s">
        <v>194</v>
      </c>
      <c r="G386" s="31" t="s">
        <v>39</v>
      </c>
      <c r="H386" s="84">
        <v>43536</v>
      </c>
      <c r="I386" s="84">
        <f t="shared" ref="I386:I407" si="9">H386+366</f>
        <v>43902</v>
      </c>
      <c r="J386" s="31" t="s">
        <v>2004</v>
      </c>
      <c r="K386" s="35"/>
      <c r="L386" s="27"/>
      <c r="M386" s="27"/>
      <c r="N386" s="28">
        <v>9420</v>
      </c>
      <c r="O386" s="99"/>
    </row>
    <row r="387" spans="1:15" s="110" customFormat="1" ht="15.6">
      <c r="A387" s="33" t="s">
        <v>1859</v>
      </c>
      <c r="B387" s="35" t="s">
        <v>1998</v>
      </c>
      <c r="C387" s="42" t="s">
        <v>2017</v>
      </c>
      <c r="D387" s="42" t="s">
        <v>2016</v>
      </c>
      <c r="E387" s="30" t="s">
        <v>1957</v>
      </c>
      <c r="F387" s="31" t="s">
        <v>194</v>
      </c>
      <c r="G387" s="31" t="s">
        <v>39</v>
      </c>
      <c r="H387" s="84">
        <v>43536</v>
      </c>
      <c r="I387" s="84">
        <f t="shared" si="9"/>
        <v>43902</v>
      </c>
      <c r="J387" s="31" t="s">
        <v>2004</v>
      </c>
      <c r="K387" s="35"/>
      <c r="L387" s="31"/>
      <c r="M387" s="31"/>
      <c r="N387" s="31"/>
      <c r="O387" s="105"/>
    </row>
    <row r="388" spans="1:15" s="110" customFormat="1" ht="15.6">
      <c r="A388" s="33" t="s">
        <v>1860</v>
      </c>
      <c r="B388" s="35" t="s">
        <v>1998</v>
      </c>
      <c r="C388" s="42" t="s">
        <v>2018</v>
      </c>
      <c r="D388" s="42" t="s">
        <v>2016</v>
      </c>
      <c r="E388" s="30" t="s">
        <v>1957</v>
      </c>
      <c r="F388" s="31" t="s">
        <v>194</v>
      </c>
      <c r="G388" s="31" t="s">
        <v>39</v>
      </c>
      <c r="H388" s="84">
        <v>43536</v>
      </c>
      <c r="I388" s="84">
        <f t="shared" si="9"/>
        <v>43902</v>
      </c>
      <c r="J388" s="31" t="s">
        <v>2004</v>
      </c>
      <c r="K388" s="35"/>
      <c r="L388" s="27"/>
      <c r="M388" s="27"/>
      <c r="N388" s="28">
        <v>9420</v>
      </c>
      <c r="O388" s="99"/>
    </row>
    <row r="389" spans="1:15" s="110" customFormat="1" ht="15.6">
      <c r="A389" s="33" t="s">
        <v>1861</v>
      </c>
      <c r="B389" s="35" t="s">
        <v>1998</v>
      </c>
      <c r="C389" s="42" t="s">
        <v>2019</v>
      </c>
      <c r="D389" s="42" t="s">
        <v>2016</v>
      </c>
      <c r="E389" s="30" t="s">
        <v>1957</v>
      </c>
      <c r="F389" s="31" t="s">
        <v>194</v>
      </c>
      <c r="G389" s="31" t="s">
        <v>39</v>
      </c>
      <c r="H389" s="84">
        <v>43536</v>
      </c>
      <c r="I389" s="84">
        <f t="shared" si="9"/>
        <v>43902</v>
      </c>
      <c r="J389" s="31" t="s">
        <v>2004</v>
      </c>
      <c r="K389" s="35"/>
      <c r="L389" s="27"/>
      <c r="M389" s="27"/>
      <c r="N389" s="28">
        <v>21340</v>
      </c>
      <c r="O389" s="99"/>
    </row>
    <row r="390" spans="1:15" s="110" customFormat="1" ht="15.6">
      <c r="A390" s="33" t="s">
        <v>1862</v>
      </c>
      <c r="B390" s="35" t="s">
        <v>1998</v>
      </c>
      <c r="C390" s="42" t="s">
        <v>2020</v>
      </c>
      <c r="D390" s="42" t="s">
        <v>2016</v>
      </c>
      <c r="E390" s="30" t="s">
        <v>1957</v>
      </c>
      <c r="F390" s="31" t="s">
        <v>194</v>
      </c>
      <c r="G390" s="31" t="s">
        <v>39</v>
      </c>
      <c r="H390" s="84">
        <v>43536</v>
      </c>
      <c r="I390" s="84">
        <f t="shared" si="9"/>
        <v>43902</v>
      </c>
      <c r="J390" s="31" t="s">
        <v>2004</v>
      </c>
      <c r="K390" s="35"/>
      <c r="L390" s="27"/>
      <c r="M390" s="27"/>
      <c r="N390" s="28">
        <v>31860</v>
      </c>
      <c r="O390" s="99"/>
    </row>
    <row r="391" spans="1:15" s="110" customFormat="1" ht="15.6">
      <c r="A391" s="33" t="s">
        <v>1863</v>
      </c>
      <c r="B391" s="35" t="s">
        <v>1998</v>
      </c>
      <c r="C391" s="42" t="s">
        <v>2021</v>
      </c>
      <c r="D391" s="42" t="s">
        <v>2016</v>
      </c>
      <c r="E391" s="30" t="s">
        <v>1957</v>
      </c>
      <c r="F391" s="31" t="s">
        <v>194</v>
      </c>
      <c r="G391" s="31" t="s">
        <v>39</v>
      </c>
      <c r="H391" s="84">
        <v>43536</v>
      </c>
      <c r="I391" s="84">
        <f t="shared" si="9"/>
        <v>43902</v>
      </c>
      <c r="J391" s="31" t="s">
        <v>2004</v>
      </c>
      <c r="K391" s="35"/>
      <c r="L391" s="31"/>
      <c r="M391" s="31"/>
      <c r="N391" s="31"/>
      <c r="O391" s="105"/>
    </row>
    <row r="392" spans="1:15" s="110" customFormat="1" ht="15.6">
      <c r="A392" s="33" t="s">
        <v>1864</v>
      </c>
      <c r="B392" s="35" t="s">
        <v>1998</v>
      </c>
      <c r="C392" s="42" t="s">
        <v>2022</v>
      </c>
      <c r="D392" s="42" t="s">
        <v>2016</v>
      </c>
      <c r="E392" s="30" t="s">
        <v>1957</v>
      </c>
      <c r="F392" s="31" t="s">
        <v>194</v>
      </c>
      <c r="G392" s="31" t="s">
        <v>39</v>
      </c>
      <c r="H392" s="84">
        <v>43536</v>
      </c>
      <c r="I392" s="84">
        <f t="shared" si="9"/>
        <v>43902</v>
      </c>
      <c r="J392" s="31" t="s">
        <v>2004</v>
      </c>
      <c r="K392" s="35"/>
      <c r="L392" s="27"/>
      <c r="M392" s="27"/>
      <c r="N392" s="28">
        <v>21200</v>
      </c>
      <c r="O392" s="99"/>
    </row>
    <row r="393" spans="1:15" s="110" customFormat="1" ht="15.6">
      <c r="A393" s="33" t="s">
        <v>1865</v>
      </c>
      <c r="B393" s="35" t="s">
        <v>1998</v>
      </c>
      <c r="C393" s="42" t="s">
        <v>2023</v>
      </c>
      <c r="D393" s="42" t="s">
        <v>2016</v>
      </c>
      <c r="E393" s="30" t="s">
        <v>1957</v>
      </c>
      <c r="F393" s="31" t="s">
        <v>194</v>
      </c>
      <c r="G393" s="31" t="s">
        <v>39</v>
      </c>
      <c r="H393" s="84">
        <v>43536</v>
      </c>
      <c r="I393" s="84">
        <f t="shared" si="9"/>
        <v>43902</v>
      </c>
      <c r="J393" s="31" t="s">
        <v>2004</v>
      </c>
      <c r="K393" s="35"/>
      <c r="L393" s="27"/>
      <c r="M393" s="27"/>
      <c r="N393" s="28">
        <v>21200</v>
      </c>
      <c r="O393" s="99"/>
    </row>
    <row r="394" spans="1:15">
      <c r="A394" s="33" t="s">
        <v>1866</v>
      </c>
      <c r="B394" s="35" t="s">
        <v>1998</v>
      </c>
      <c r="C394" s="42" t="s">
        <v>2024</v>
      </c>
      <c r="D394" s="42" t="s">
        <v>2016</v>
      </c>
      <c r="E394" s="30" t="s">
        <v>1957</v>
      </c>
      <c r="F394" s="31" t="s">
        <v>194</v>
      </c>
      <c r="G394" s="31" t="s">
        <v>39</v>
      </c>
      <c r="H394" s="84">
        <v>43536</v>
      </c>
      <c r="I394" s="84">
        <f t="shared" si="9"/>
        <v>43902</v>
      </c>
      <c r="J394" s="31" t="s">
        <v>2004</v>
      </c>
      <c r="K394" s="35"/>
      <c r="L394" s="27"/>
      <c r="M394" s="27"/>
      <c r="N394" s="28">
        <v>21200</v>
      </c>
      <c r="O394" s="99"/>
    </row>
    <row r="395" spans="1:15">
      <c r="A395" s="33" t="s">
        <v>1867</v>
      </c>
      <c r="B395" s="35" t="s">
        <v>1998</v>
      </c>
      <c r="C395" s="42" t="s">
        <v>2025</v>
      </c>
      <c r="D395" s="42" t="s">
        <v>2016</v>
      </c>
      <c r="E395" s="30" t="s">
        <v>1957</v>
      </c>
      <c r="F395" s="31" t="s">
        <v>194</v>
      </c>
      <c r="G395" s="31" t="s">
        <v>39</v>
      </c>
      <c r="H395" s="84">
        <v>43536</v>
      </c>
      <c r="I395" s="84">
        <f t="shared" si="9"/>
        <v>43902</v>
      </c>
      <c r="J395" s="31" t="s">
        <v>2004</v>
      </c>
      <c r="K395" s="35"/>
      <c r="L395" s="27"/>
      <c r="M395" s="27"/>
      <c r="N395" s="28">
        <v>21200</v>
      </c>
      <c r="O395" s="99"/>
    </row>
    <row r="396" spans="1:15">
      <c r="A396" s="31" t="s">
        <v>2879</v>
      </c>
      <c r="B396" s="35" t="s">
        <v>2688</v>
      </c>
      <c r="C396" s="42" t="s">
        <v>2909</v>
      </c>
      <c r="D396" s="36" t="s">
        <v>2908</v>
      </c>
      <c r="E396" s="36" t="s">
        <v>2880</v>
      </c>
      <c r="F396" s="27" t="s">
        <v>2881</v>
      </c>
      <c r="G396" s="27" t="s">
        <v>2263</v>
      </c>
      <c r="H396" s="84">
        <v>43536</v>
      </c>
      <c r="I396" s="84">
        <f t="shared" si="9"/>
        <v>43902</v>
      </c>
      <c r="J396" s="27" t="s">
        <v>2287</v>
      </c>
      <c r="K396" s="27"/>
      <c r="L396" s="27"/>
      <c r="M396" s="27"/>
      <c r="N396" s="28">
        <v>21200</v>
      </c>
      <c r="O396" s="99"/>
    </row>
    <row r="397" spans="1:15">
      <c r="A397" s="31" t="s">
        <v>2964</v>
      </c>
      <c r="B397" s="31" t="s">
        <v>2261</v>
      </c>
      <c r="C397" s="42" t="s">
        <v>2904</v>
      </c>
      <c r="D397" s="42" t="s">
        <v>446</v>
      </c>
      <c r="E397" s="42" t="s">
        <v>1854</v>
      </c>
      <c r="F397" s="31" t="s">
        <v>2403</v>
      </c>
      <c r="G397" s="31" t="s">
        <v>2263</v>
      </c>
      <c r="H397" s="84">
        <v>43536</v>
      </c>
      <c r="I397" s="84">
        <f t="shared" si="9"/>
        <v>43902</v>
      </c>
      <c r="J397" s="31" t="s">
        <v>2287</v>
      </c>
      <c r="K397" s="35"/>
      <c r="L397" s="31"/>
      <c r="M397" s="31"/>
      <c r="N397" s="28">
        <v>21200</v>
      </c>
      <c r="O397" s="105"/>
    </row>
    <row r="398" spans="1:15">
      <c r="A398" s="31" t="s">
        <v>2963</v>
      </c>
      <c r="B398" s="31" t="s">
        <v>2261</v>
      </c>
      <c r="C398" s="42" t="s">
        <v>2902</v>
      </c>
      <c r="D398" s="42" t="s">
        <v>2898</v>
      </c>
      <c r="E398" s="42" t="s">
        <v>2402</v>
      </c>
      <c r="F398" s="31" t="s">
        <v>2403</v>
      </c>
      <c r="G398" s="31" t="s">
        <v>2263</v>
      </c>
      <c r="H398" s="84">
        <v>43536</v>
      </c>
      <c r="I398" s="84">
        <f t="shared" si="9"/>
        <v>43902</v>
      </c>
      <c r="J398" s="31" t="s">
        <v>2287</v>
      </c>
      <c r="K398" s="35"/>
      <c r="L398" s="27"/>
      <c r="M398" s="27"/>
      <c r="N398" s="28">
        <v>21200</v>
      </c>
      <c r="O398" s="99"/>
    </row>
    <row r="399" spans="1:15">
      <c r="A399" s="31" t="s">
        <v>2962</v>
      </c>
      <c r="B399" s="31" t="s">
        <v>1998</v>
      </c>
      <c r="C399" s="42" t="s">
        <v>2900</v>
      </c>
      <c r="D399" s="42" t="s">
        <v>2898</v>
      </c>
      <c r="E399" s="42" t="s">
        <v>2145</v>
      </c>
      <c r="F399" s="31" t="s">
        <v>443</v>
      </c>
      <c r="G399" s="31" t="s">
        <v>39</v>
      </c>
      <c r="H399" s="84">
        <v>43536</v>
      </c>
      <c r="I399" s="84">
        <f t="shared" si="9"/>
        <v>43902</v>
      </c>
      <c r="J399" s="31" t="s">
        <v>486</v>
      </c>
      <c r="K399" s="35"/>
      <c r="L399" s="27"/>
      <c r="M399" s="27"/>
      <c r="N399" s="28">
        <v>21200</v>
      </c>
      <c r="O399" s="99"/>
    </row>
    <row r="400" spans="1:15">
      <c r="A400" s="31" t="s">
        <v>1835</v>
      </c>
      <c r="B400" s="31" t="s">
        <v>1998</v>
      </c>
      <c r="C400" s="42" t="s">
        <v>2897</v>
      </c>
      <c r="D400" s="42" t="s">
        <v>2898</v>
      </c>
      <c r="E400" s="42" t="s">
        <v>2145</v>
      </c>
      <c r="F400" s="31" t="s">
        <v>443</v>
      </c>
      <c r="G400" s="31" t="s">
        <v>39</v>
      </c>
      <c r="H400" s="84">
        <v>43536</v>
      </c>
      <c r="I400" s="84">
        <f t="shared" si="9"/>
        <v>43902</v>
      </c>
      <c r="J400" s="31" t="s">
        <v>486</v>
      </c>
      <c r="K400" s="35"/>
      <c r="L400" s="27"/>
      <c r="M400" s="27"/>
      <c r="N400" s="28">
        <v>21200</v>
      </c>
      <c r="O400" s="99"/>
    </row>
    <row r="401" spans="1:15">
      <c r="A401" s="31" t="s">
        <v>2143</v>
      </c>
      <c r="B401" s="31" t="s">
        <v>1998</v>
      </c>
      <c r="C401" s="42" t="s">
        <v>3004</v>
      </c>
      <c r="D401" s="42" t="s">
        <v>2914</v>
      </c>
      <c r="E401" s="42" t="s">
        <v>1851</v>
      </c>
      <c r="F401" s="31" t="s">
        <v>443</v>
      </c>
      <c r="G401" s="31" t="s">
        <v>39</v>
      </c>
      <c r="H401" s="84">
        <v>43536</v>
      </c>
      <c r="I401" s="84">
        <f t="shared" si="9"/>
        <v>43902</v>
      </c>
      <c r="J401" s="31" t="s">
        <v>486</v>
      </c>
      <c r="K401" s="35"/>
      <c r="L401" s="27"/>
      <c r="M401" s="27"/>
      <c r="N401" s="28">
        <v>21200</v>
      </c>
      <c r="O401" s="99"/>
    </row>
    <row r="402" spans="1:15">
      <c r="A402" s="31" t="s">
        <v>2144</v>
      </c>
      <c r="B402" s="31" t="s">
        <v>1998</v>
      </c>
      <c r="C402" s="42" t="s">
        <v>2895</v>
      </c>
      <c r="D402" s="42" t="s">
        <v>2896</v>
      </c>
      <c r="E402" s="42" t="s">
        <v>2145</v>
      </c>
      <c r="F402" s="31" t="s">
        <v>443</v>
      </c>
      <c r="G402" s="31" t="s">
        <v>39</v>
      </c>
      <c r="H402" s="84">
        <v>43536</v>
      </c>
      <c r="I402" s="84">
        <f t="shared" si="9"/>
        <v>43902</v>
      </c>
      <c r="J402" s="31" t="s">
        <v>486</v>
      </c>
      <c r="K402" s="35"/>
      <c r="L402" s="27"/>
      <c r="M402" s="27"/>
      <c r="N402" s="28">
        <v>21200</v>
      </c>
      <c r="O402" s="99"/>
    </row>
    <row r="403" spans="1:15">
      <c r="A403" s="31" t="s">
        <v>2146</v>
      </c>
      <c r="B403" s="31" t="s">
        <v>1998</v>
      </c>
      <c r="C403" s="42" t="s">
        <v>2899</v>
      </c>
      <c r="D403" s="42" t="s">
        <v>2896</v>
      </c>
      <c r="E403" s="42" t="s">
        <v>2145</v>
      </c>
      <c r="F403" s="31" t="s">
        <v>443</v>
      </c>
      <c r="G403" s="31" t="s">
        <v>39</v>
      </c>
      <c r="H403" s="84">
        <v>43536</v>
      </c>
      <c r="I403" s="84">
        <f t="shared" si="9"/>
        <v>43902</v>
      </c>
      <c r="J403" s="31" t="s">
        <v>486</v>
      </c>
      <c r="K403" s="35"/>
      <c r="L403" s="31"/>
      <c r="M403" s="31"/>
      <c r="N403" s="28">
        <v>21200</v>
      </c>
      <c r="O403" s="105"/>
    </row>
    <row r="404" spans="1:15">
      <c r="A404" s="31" t="s">
        <v>2401</v>
      </c>
      <c r="B404" s="31" t="s">
        <v>2261</v>
      </c>
      <c r="C404" s="42" t="s">
        <v>2901</v>
      </c>
      <c r="D404" s="42" t="s">
        <v>3094</v>
      </c>
      <c r="E404" s="42" t="s">
        <v>1854</v>
      </c>
      <c r="F404" s="31" t="s">
        <v>2403</v>
      </c>
      <c r="G404" s="31" t="s">
        <v>2263</v>
      </c>
      <c r="H404" s="84">
        <v>43536</v>
      </c>
      <c r="I404" s="84">
        <f t="shared" si="9"/>
        <v>43902</v>
      </c>
      <c r="J404" s="31" t="s">
        <v>2287</v>
      </c>
      <c r="K404" s="35"/>
      <c r="L404" s="27"/>
      <c r="M404" s="27"/>
      <c r="N404" s="28">
        <v>21200</v>
      </c>
      <c r="O404" s="99"/>
    </row>
    <row r="405" spans="1:15">
      <c r="A405" s="31" t="s">
        <v>2404</v>
      </c>
      <c r="B405" s="31" t="s">
        <v>2261</v>
      </c>
      <c r="C405" s="42" t="s">
        <v>2903</v>
      </c>
      <c r="D405" s="42" t="s">
        <v>2896</v>
      </c>
      <c r="E405" s="42" t="s">
        <v>2402</v>
      </c>
      <c r="F405" s="31" t="s">
        <v>2403</v>
      </c>
      <c r="G405" s="31" t="s">
        <v>2263</v>
      </c>
      <c r="H405" s="84">
        <v>43536</v>
      </c>
      <c r="I405" s="84">
        <f t="shared" si="9"/>
        <v>43902</v>
      </c>
      <c r="J405" s="31" t="s">
        <v>2287</v>
      </c>
      <c r="K405" s="35"/>
      <c r="L405" s="31"/>
      <c r="M405" s="31"/>
      <c r="N405" s="28">
        <v>21200</v>
      </c>
      <c r="O405" s="105"/>
    </row>
    <row r="406" spans="1:15">
      <c r="A406" s="31" t="s">
        <v>2405</v>
      </c>
      <c r="B406" s="31" t="s">
        <v>2261</v>
      </c>
      <c r="C406" s="42" t="s">
        <v>2906</v>
      </c>
      <c r="D406" s="42" t="s">
        <v>2898</v>
      </c>
      <c r="E406" s="42" t="s">
        <v>2406</v>
      </c>
      <c r="F406" s="31" t="s">
        <v>2403</v>
      </c>
      <c r="G406" s="31" t="s">
        <v>2263</v>
      </c>
      <c r="H406" s="84">
        <v>43536</v>
      </c>
      <c r="I406" s="84">
        <f t="shared" si="9"/>
        <v>43902</v>
      </c>
      <c r="J406" s="31" t="s">
        <v>2287</v>
      </c>
      <c r="K406" s="35"/>
      <c r="L406" s="27"/>
      <c r="M406" s="27"/>
      <c r="N406" s="28">
        <v>21200</v>
      </c>
      <c r="O406" s="99"/>
    </row>
    <row r="407" spans="1:15">
      <c r="A407" s="31" t="s">
        <v>2961</v>
      </c>
      <c r="B407" s="31" t="s">
        <v>2261</v>
      </c>
      <c r="C407" s="42" t="s">
        <v>2905</v>
      </c>
      <c r="D407" s="42" t="s">
        <v>2896</v>
      </c>
      <c r="E407" s="42" t="s">
        <v>2406</v>
      </c>
      <c r="F407" s="31" t="s">
        <v>2403</v>
      </c>
      <c r="G407" s="31" t="s">
        <v>2263</v>
      </c>
      <c r="H407" s="84">
        <v>43536</v>
      </c>
      <c r="I407" s="84">
        <f t="shared" si="9"/>
        <v>43902</v>
      </c>
      <c r="J407" s="31" t="s">
        <v>2287</v>
      </c>
      <c r="K407" s="35"/>
      <c r="L407" s="31"/>
      <c r="M407" s="31"/>
      <c r="N407" s="28">
        <v>21200</v>
      </c>
      <c r="O407" s="105"/>
    </row>
    <row r="408" spans="1:15">
      <c r="A408" s="31" t="s">
        <v>2258</v>
      </c>
      <c r="B408" s="35" t="s">
        <v>2246</v>
      </c>
      <c r="C408" s="38" t="s">
        <v>2259</v>
      </c>
      <c r="D408" s="48" t="s">
        <v>2893</v>
      </c>
      <c r="E408" s="42" t="s">
        <v>3005</v>
      </c>
      <c r="F408" s="31" t="s">
        <v>2257</v>
      </c>
      <c r="G408" s="33" t="s">
        <v>2250</v>
      </c>
      <c r="H408" s="84">
        <v>43542</v>
      </c>
      <c r="I408" s="84">
        <f t="shared" ref="I408:I414" si="10">H408+365</f>
        <v>43907</v>
      </c>
      <c r="J408" s="31" t="s">
        <v>2260</v>
      </c>
      <c r="K408" s="35"/>
      <c r="L408" s="31"/>
      <c r="M408" s="31"/>
      <c r="N408" s="31"/>
      <c r="O408" s="105"/>
    </row>
    <row r="409" spans="1:15">
      <c r="A409" s="31" t="s">
        <v>494</v>
      </c>
      <c r="B409" s="35" t="s">
        <v>2261</v>
      </c>
      <c r="C409" s="39" t="s">
        <v>495</v>
      </c>
      <c r="D409" s="48" t="s">
        <v>2893</v>
      </c>
      <c r="E409" s="42" t="s">
        <v>3006</v>
      </c>
      <c r="F409" s="31" t="s">
        <v>2262</v>
      </c>
      <c r="G409" s="31" t="s">
        <v>2263</v>
      </c>
      <c r="H409" s="84">
        <v>43542</v>
      </c>
      <c r="I409" s="84">
        <f t="shared" si="10"/>
        <v>43907</v>
      </c>
      <c r="J409" s="31" t="s">
        <v>2004</v>
      </c>
      <c r="K409" s="35"/>
      <c r="L409" s="31"/>
      <c r="M409" s="31"/>
      <c r="N409" s="31"/>
      <c r="O409" s="105"/>
    </row>
    <row r="410" spans="1:15">
      <c r="A410" s="31" t="s">
        <v>499</v>
      </c>
      <c r="B410" s="35" t="s">
        <v>2261</v>
      </c>
      <c r="C410" s="39" t="s">
        <v>500</v>
      </c>
      <c r="D410" s="48" t="s">
        <v>2893</v>
      </c>
      <c r="E410" s="42" t="s">
        <v>3007</v>
      </c>
      <c r="F410" s="31" t="s">
        <v>2262</v>
      </c>
      <c r="G410" s="31" t="s">
        <v>2263</v>
      </c>
      <c r="H410" s="84">
        <v>43542</v>
      </c>
      <c r="I410" s="84">
        <f t="shared" si="10"/>
        <v>43907</v>
      </c>
      <c r="J410" s="31" t="s">
        <v>2004</v>
      </c>
      <c r="K410" s="35"/>
      <c r="L410" s="31"/>
      <c r="M410" s="31"/>
      <c r="N410" s="31"/>
      <c r="O410" s="105"/>
    </row>
    <row r="411" spans="1:15">
      <c r="A411" s="31" t="s">
        <v>502</v>
      </c>
      <c r="B411" s="35" t="s">
        <v>2261</v>
      </c>
      <c r="C411" s="39" t="s">
        <v>503</v>
      </c>
      <c r="D411" s="48" t="s">
        <v>2893</v>
      </c>
      <c r="E411" s="42" t="s">
        <v>3007</v>
      </c>
      <c r="F411" s="31" t="s">
        <v>2262</v>
      </c>
      <c r="G411" s="31" t="s">
        <v>2263</v>
      </c>
      <c r="H411" s="84">
        <v>43542</v>
      </c>
      <c r="I411" s="84">
        <f t="shared" si="10"/>
        <v>43907</v>
      </c>
      <c r="J411" s="31" t="s">
        <v>2004</v>
      </c>
      <c r="K411" s="35"/>
      <c r="L411" s="27"/>
      <c r="M411" s="27"/>
      <c r="N411" s="28"/>
      <c r="O411" s="99"/>
    </row>
    <row r="412" spans="1:15">
      <c r="A412" s="31" t="s">
        <v>2147</v>
      </c>
      <c r="B412" s="35" t="s">
        <v>1998</v>
      </c>
      <c r="C412" s="42" t="s">
        <v>2148</v>
      </c>
      <c r="D412" s="38" t="s">
        <v>1070</v>
      </c>
      <c r="E412" s="42" t="s">
        <v>347</v>
      </c>
      <c r="F412" s="31" t="s">
        <v>2149</v>
      </c>
      <c r="G412" s="27" t="s">
        <v>39</v>
      </c>
      <c r="H412" s="84">
        <v>43542</v>
      </c>
      <c r="I412" s="84">
        <f t="shared" si="10"/>
        <v>43907</v>
      </c>
      <c r="J412" s="31" t="s">
        <v>486</v>
      </c>
      <c r="K412" s="35"/>
      <c r="L412" s="31"/>
      <c r="M412" s="31"/>
      <c r="N412" s="31"/>
      <c r="O412" s="105"/>
    </row>
    <row r="413" spans="1:15">
      <c r="A413" s="31" t="s">
        <v>2215</v>
      </c>
      <c r="B413" s="35" t="s">
        <v>1998</v>
      </c>
      <c r="C413" s="42" t="s">
        <v>2216</v>
      </c>
      <c r="D413" s="38" t="s">
        <v>2892</v>
      </c>
      <c r="E413" s="42" t="s">
        <v>240</v>
      </c>
      <c r="F413" s="31" t="s">
        <v>2769</v>
      </c>
      <c r="G413" s="31" t="s">
        <v>39</v>
      </c>
      <c r="H413" s="84">
        <v>43542</v>
      </c>
      <c r="I413" s="84">
        <f t="shared" si="10"/>
        <v>43907</v>
      </c>
      <c r="J413" s="31" t="s">
        <v>486</v>
      </c>
      <c r="K413" s="35"/>
      <c r="L413" s="27"/>
      <c r="M413" s="27"/>
      <c r="N413" s="28"/>
      <c r="O413" s="99"/>
    </row>
    <row r="414" spans="1:15">
      <c r="A414" s="37" t="s">
        <v>2812</v>
      </c>
      <c r="B414" s="35" t="s">
        <v>2718</v>
      </c>
      <c r="C414" s="38">
        <v>260135</v>
      </c>
      <c r="D414" s="38" t="s">
        <v>2699</v>
      </c>
      <c r="E414" s="38" t="s">
        <v>2725</v>
      </c>
      <c r="F414" s="31" t="s">
        <v>2726</v>
      </c>
      <c r="G414" s="27" t="s">
        <v>39</v>
      </c>
      <c r="H414" s="84">
        <v>43543</v>
      </c>
      <c r="I414" s="84">
        <f t="shared" si="10"/>
        <v>43908</v>
      </c>
      <c r="J414" s="31" t="s">
        <v>2932</v>
      </c>
      <c r="K414" s="35"/>
      <c r="L414" s="31"/>
      <c r="M414" s="31"/>
      <c r="N414" s="31"/>
      <c r="O414" s="31"/>
    </row>
    <row r="415" spans="1:15">
      <c r="A415" s="25">
        <v>96</v>
      </c>
      <c r="B415" s="25" t="s">
        <v>1049</v>
      </c>
      <c r="C415" s="50" t="s">
        <v>1878</v>
      </c>
      <c r="D415" s="52" t="s">
        <v>1103</v>
      </c>
      <c r="E415" s="51" t="s">
        <v>1107</v>
      </c>
      <c r="F415" s="32" t="s">
        <v>132</v>
      </c>
      <c r="G415" s="32" t="s">
        <v>1</v>
      </c>
      <c r="H415" s="85">
        <v>43524</v>
      </c>
      <c r="I415" s="83">
        <v>44254</v>
      </c>
      <c r="J415" s="34" t="s">
        <v>1894</v>
      </c>
      <c r="K415" s="25"/>
      <c r="L415" s="31"/>
      <c r="M415" s="31"/>
      <c r="N415" s="31"/>
      <c r="O415" s="105"/>
    </row>
    <row r="416" spans="1:15">
      <c r="A416" s="31" t="s">
        <v>2407</v>
      </c>
      <c r="B416" s="35" t="s">
        <v>2261</v>
      </c>
      <c r="C416" s="42" t="s">
        <v>2408</v>
      </c>
      <c r="D416" s="42" t="s">
        <v>2894</v>
      </c>
      <c r="E416" s="42" t="s">
        <v>2409</v>
      </c>
      <c r="F416" s="31" t="s">
        <v>313</v>
      </c>
      <c r="G416" s="27" t="s">
        <v>1109</v>
      </c>
      <c r="H416" s="84">
        <v>43185</v>
      </c>
      <c r="I416" s="84">
        <f>H416+730</f>
        <v>43915</v>
      </c>
      <c r="J416" s="31" t="s">
        <v>2287</v>
      </c>
      <c r="K416" s="35"/>
      <c r="L416" s="31"/>
      <c r="M416" s="31"/>
      <c r="N416" s="31"/>
      <c r="O416" s="31"/>
    </row>
    <row r="417" spans="1:15">
      <c r="A417" s="31" t="s">
        <v>2410</v>
      </c>
      <c r="B417" s="35" t="s">
        <v>2261</v>
      </c>
      <c r="C417" s="42" t="s">
        <v>2411</v>
      </c>
      <c r="D417" s="42" t="s">
        <v>2894</v>
      </c>
      <c r="E417" s="42" t="s">
        <v>2409</v>
      </c>
      <c r="F417" s="31" t="s">
        <v>313</v>
      </c>
      <c r="G417" s="27" t="s">
        <v>1109</v>
      </c>
      <c r="H417" s="83">
        <v>43185</v>
      </c>
      <c r="I417" s="84">
        <f>H417+730</f>
        <v>43915</v>
      </c>
      <c r="J417" s="31" t="s">
        <v>2287</v>
      </c>
      <c r="K417" s="35"/>
      <c r="L417" s="31"/>
      <c r="M417" s="31"/>
      <c r="N417" s="31"/>
      <c r="O417" s="105"/>
    </row>
    <row r="418" spans="1:15">
      <c r="A418" s="31" t="s">
        <v>2147</v>
      </c>
      <c r="B418" s="35" t="s">
        <v>1152</v>
      </c>
      <c r="C418" s="42" t="s">
        <v>3089</v>
      </c>
      <c r="D418" s="42" t="s">
        <v>2894</v>
      </c>
      <c r="E418" s="42" t="s">
        <v>454</v>
      </c>
      <c r="F418" s="31" t="s">
        <v>313</v>
      </c>
      <c r="G418" s="27" t="s">
        <v>39</v>
      </c>
      <c r="H418" s="83">
        <v>43691</v>
      </c>
      <c r="I418" s="84">
        <v>44056</v>
      </c>
      <c r="J418" s="31" t="s">
        <v>486</v>
      </c>
      <c r="K418" s="35"/>
      <c r="L418" s="31"/>
      <c r="M418" s="31"/>
      <c r="N418" s="31"/>
      <c r="O418" s="105"/>
    </row>
    <row r="419" spans="1:15">
      <c r="A419" s="33" t="s">
        <v>2525</v>
      </c>
      <c r="B419" s="35" t="s">
        <v>1152</v>
      </c>
      <c r="C419" s="36">
        <v>1519975</v>
      </c>
      <c r="D419" s="38" t="s">
        <v>2699</v>
      </c>
      <c r="E419" s="36" t="s">
        <v>1177</v>
      </c>
      <c r="F419" s="31" t="s">
        <v>267</v>
      </c>
      <c r="G419" s="27" t="s">
        <v>39</v>
      </c>
      <c r="H419" s="85">
        <v>43565</v>
      </c>
      <c r="I419" s="85">
        <f t="shared" ref="I419:I453" si="11">H419+365</f>
        <v>43930</v>
      </c>
      <c r="J419" s="31" t="s">
        <v>3010</v>
      </c>
      <c r="K419" s="35"/>
      <c r="L419" s="27"/>
      <c r="M419" s="27"/>
      <c r="N419" s="28"/>
      <c r="O419" s="99"/>
    </row>
    <row r="420" spans="1:15" s="145" customFormat="1">
      <c r="A420" s="31" t="s">
        <v>544</v>
      </c>
      <c r="B420" s="35" t="s">
        <v>1998</v>
      </c>
      <c r="C420" s="38" t="s">
        <v>545</v>
      </c>
      <c r="D420" s="42" t="s">
        <v>2046</v>
      </c>
      <c r="E420" s="42" t="s">
        <v>546</v>
      </c>
      <c r="F420" s="31" t="s">
        <v>397</v>
      </c>
      <c r="G420" s="31" t="s">
        <v>39</v>
      </c>
      <c r="H420" s="85">
        <v>43565</v>
      </c>
      <c r="I420" s="85">
        <f t="shared" si="11"/>
        <v>43930</v>
      </c>
      <c r="J420" s="31" t="s">
        <v>2004</v>
      </c>
      <c r="K420" s="35"/>
      <c r="L420" s="143"/>
      <c r="M420" s="143"/>
      <c r="N420" s="28">
        <v>21200</v>
      </c>
      <c r="O420" s="150"/>
    </row>
    <row r="421" spans="1:15" s="145" customFormat="1">
      <c r="A421" s="31" t="s">
        <v>2421</v>
      </c>
      <c r="B421" s="35" t="s">
        <v>2412</v>
      </c>
      <c r="C421" s="38" t="s">
        <v>2422</v>
      </c>
      <c r="D421" s="42" t="s">
        <v>2423</v>
      </c>
      <c r="E421" s="42" t="s">
        <v>2424</v>
      </c>
      <c r="F421" s="31" t="s">
        <v>2425</v>
      </c>
      <c r="G421" s="31" t="s">
        <v>2415</v>
      </c>
      <c r="H421" s="85">
        <v>43565</v>
      </c>
      <c r="I421" s="85">
        <f t="shared" si="11"/>
        <v>43930</v>
      </c>
      <c r="J421" s="76" t="s">
        <v>2416</v>
      </c>
      <c r="K421" s="31"/>
      <c r="L421" s="143"/>
      <c r="M421" s="143"/>
      <c r="N421" s="28">
        <v>21200</v>
      </c>
      <c r="O421" s="150"/>
    </row>
    <row r="422" spans="1:15">
      <c r="A422" s="31" t="s">
        <v>2066</v>
      </c>
      <c r="B422" s="35" t="s">
        <v>1998</v>
      </c>
      <c r="C422" s="50" t="s">
        <v>2067</v>
      </c>
      <c r="D422" s="42" t="s">
        <v>2046</v>
      </c>
      <c r="E422" s="42" t="s">
        <v>2047</v>
      </c>
      <c r="F422" s="31" t="s">
        <v>2065</v>
      </c>
      <c r="G422" s="31" t="s">
        <v>39</v>
      </c>
      <c r="H422" s="85">
        <v>43565</v>
      </c>
      <c r="I422" s="85">
        <f t="shared" si="11"/>
        <v>43930</v>
      </c>
      <c r="J422" s="31" t="s">
        <v>2004</v>
      </c>
      <c r="K422" s="31"/>
      <c r="L422" s="27"/>
      <c r="M422" s="27"/>
      <c r="N422" s="28">
        <v>21200</v>
      </c>
      <c r="O422" s="101"/>
    </row>
    <row r="423" spans="1:15" s="145" customFormat="1">
      <c r="A423" s="31" t="s">
        <v>2429</v>
      </c>
      <c r="B423" s="31" t="s">
        <v>2412</v>
      </c>
      <c r="C423" s="42" t="s">
        <v>2430</v>
      </c>
      <c r="D423" s="38" t="s">
        <v>2699</v>
      </c>
      <c r="E423" s="38" t="s">
        <v>2431</v>
      </c>
      <c r="F423" s="31" t="s">
        <v>2432</v>
      </c>
      <c r="G423" s="31" t="s">
        <v>2415</v>
      </c>
      <c r="H423" s="85">
        <v>43565</v>
      </c>
      <c r="I423" s="85">
        <f t="shared" si="11"/>
        <v>43930</v>
      </c>
      <c r="J423" s="31" t="s">
        <v>2959</v>
      </c>
      <c r="K423" s="31"/>
      <c r="L423" s="143"/>
      <c r="M423" s="143"/>
      <c r="N423" s="28">
        <v>21200</v>
      </c>
      <c r="O423" s="144"/>
    </row>
    <row r="424" spans="1:15">
      <c r="A424" s="31" t="s">
        <v>2960</v>
      </c>
      <c r="B424" s="35" t="s">
        <v>2608</v>
      </c>
      <c r="C424" s="38" t="s">
        <v>2609</v>
      </c>
      <c r="D424" s="38" t="s">
        <v>2709</v>
      </c>
      <c r="E424" s="38" t="s">
        <v>2214</v>
      </c>
      <c r="F424" s="31" t="s">
        <v>2610</v>
      </c>
      <c r="G424" s="78" t="s">
        <v>1174</v>
      </c>
      <c r="H424" s="85">
        <v>43565</v>
      </c>
      <c r="I424" s="85">
        <f t="shared" si="11"/>
        <v>43930</v>
      </c>
      <c r="J424" s="31" t="s">
        <v>2611</v>
      </c>
      <c r="K424" s="6"/>
      <c r="L424" s="35"/>
      <c r="M424" s="35"/>
      <c r="N424" s="28">
        <v>21200</v>
      </c>
      <c r="O424" s="35"/>
    </row>
    <row r="425" spans="1:15">
      <c r="A425" s="31" t="s">
        <v>532</v>
      </c>
      <c r="B425" s="35" t="s">
        <v>2261</v>
      </c>
      <c r="C425" s="38" t="s">
        <v>3055</v>
      </c>
      <c r="D425" s="50" t="s">
        <v>2269</v>
      </c>
      <c r="E425" s="42" t="s">
        <v>2270</v>
      </c>
      <c r="F425" s="31" t="s">
        <v>2271</v>
      </c>
      <c r="G425" s="31" t="s">
        <v>2263</v>
      </c>
      <c r="H425" s="84">
        <v>43566</v>
      </c>
      <c r="I425" s="84">
        <f t="shared" si="11"/>
        <v>43931</v>
      </c>
      <c r="J425" s="31" t="s">
        <v>2004</v>
      </c>
      <c r="K425" s="35"/>
      <c r="L425" s="27"/>
      <c r="M425" s="27"/>
      <c r="N425" s="28">
        <v>21200</v>
      </c>
      <c r="O425" s="29"/>
    </row>
    <row r="426" spans="1:15" s="110" customFormat="1" ht="15.6">
      <c r="A426" s="31" t="s">
        <v>536</v>
      </c>
      <c r="B426" s="35" t="s">
        <v>2261</v>
      </c>
      <c r="C426" s="39" t="s">
        <v>3056</v>
      </c>
      <c r="D426" s="50" t="s">
        <v>2269</v>
      </c>
      <c r="E426" s="42" t="s">
        <v>2270</v>
      </c>
      <c r="F426" s="31" t="s">
        <v>2271</v>
      </c>
      <c r="G426" s="31" t="s">
        <v>2263</v>
      </c>
      <c r="H426" s="84">
        <v>43566</v>
      </c>
      <c r="I426" s="84">
        <f t="shared" si="11"/>
        <v>43931</v>
      </c>
      <c r="J426" s="31" t="s">
        <v>2004</v>
      </c>
      <c r="K426" s="35"/>
      <c r="L426" s="35"/>
      <c r="M426" s="35"/>
      <c r="N426" s="28">
        <v>21200</v>
      </c>
      <c r="O426" s="102"/>
    </row>
    <row r="427" spans="1:15" s="145" customFormat="1">
      <c r="A427" s="31" t="s">
        <v>538</v>
      </c>
      <c r="B427" s="35" t="s">
        <v>2261</v>
      </c>
      <c r="C427" s="39" t="s">
        <v>3057</v>
      </c>
      <c r="D427" s="50" t="s">
        <v>2269</v>
      </c>
      <c r="E427" s="42" t="s">
        <v>2270</v>
      </c>
      <c r="F427" s="31" t="s">
        <v>2271</v>
      </c>
      <c r="G427" s="31" t="s">
        <v>2263</v>
      </c>
      <c r="H427" s="84">
        <v>43566</v>
      </c>
      <c r="I427" s="84">
        <f t="shared" si="11"/>
        <v>43931</v>
      </c>
      <c r="J427" s="31" t="s">
        <v>2004</v>
      </c>
      <c r="K427" s="35"/>
      <c r="L427" s="143"/>
      <c r="M427" s="143"/>
      <c r="N427" s="28">
        <v>21200</v>
      </c>
      <c r="O427" s="150"/>
    </row>
    <row r="428" spans="1:15">
      <c r="A428" s="31" t="s">
        <v>527</v>
      </c>
      <c r="B428" s="35" t="s">
        <v>2261</v>
      </c>
      <c r="C428" s="39" t="s">
        <v>3058</v>
      </c>
      <c r="D428" s="50" t="s">
        <v>2269</v>
      </c>
      <c r="E428" s="42" t="s">
        <v>2270</v>
      </c>
      <c r="F428" s="31" t="s">
        <v>2271</v>
      </c>
      <c r="G428" s="31" t="s">
        <v>2263</v>
      </c>
      <c r="H428" s="84">
        <v>43566</v>
      </c>
      <c r="I428" s="84">
        <f t="shared" si="11"/>
        <v>43931</v>
      </c>
      <c r="J428" s="31" t="s">
        <v>2272</v>
      </c>
      <c r="K428" s="35"/>
      <c r="L428" s="27"/>
      <c r="M428" s="27"/>
      <c r="N428" s="28">
        <v>21200</v>
      </c>
      <c r="O428" s="101"/>
    </row>
    <row r="429" spans="1:15" s="145" customFormat="1">
      <c r="A429" s="31" t="s">
        <v>534</v>
      </c>
      <c r="B429" s="35" t="s">
        <v>2261</v>
      </c>
      <c r="C429" s="39" t="s">
        <v>3059</v>
      </c>
      <c r="D429" s="50" t="s">
        <v>2273</v>
      </c>
      <c r="E429" s="42" t="s">
        <v>2270</v>
      </c>
      <c r="F429" s="31" t="s">
        <v>2274</v>
      </c>
      <c r="G429" s="31" t="s">
        <v>2263</v>
      </c>
      <c r="H429" s="84">
        <v>43566</v>
      </c>
      <c r="I429" s="84">
        <f t="shared" si="11"/>
        <v>43931</v>
      </c>
      <c r="J429" s="31" t="s">
        <v>2004</v>
      </c>
      <c r="K429" s="35"/>
      <c r="L429" s="27"/>
      <c r="M429" s="143"/>
      <c r="N429" s="28">
        <v>21200</v>
      </c>
      <c r="O429" s="144"/>
    </row>
    <row r="430" spans="1:15">
      <c r="A430" s="31" t="s">
        <v>530</v>
      </c>
      <c r="B430" s="35" t="s">
        <v>2261</v>
      </c>
      <c r="C430" s="39" t="s">
        <v>3060</v>
      </c>
      <c r="D430" s="50" t="s">
        <v>2273</v>
      </c>
      <c r="E430" s="42" t="s">
        <v>2270</v>
      </c>
      <c r="F430" s="31" t="s">
        <v>2274</v>
      </c>
      <c r="G430" s="31" t="s">
        <v>2263</v>
      </c>
      <c r="H430" s="84">
        <v>43566</v>
      </c>
      <c r="I430" s="84">
        <f t="shared" si="11"/>
        <v>43931</v>
      </c>
      <c r="J430" s="31" t="s">
        <v>2272</v>
      </c>
      <c r="K430" s="35"/>
      <c r="L430" s="35"/>
      <c r="M430" s="35"/>
      <c r="N430" s="28">
        <v>21200</v>
      </c>
      <c r="O430" s="148"/>
    </row>
    <row r="431" spans="1:15">
      <c r="A431" s="31" t="s">
        <v>542</v>
      </c>
      <c r="B431" s="35" t="s">
        <v>2261</v>
      </c>
      <c r="C431" s="39" t="s">
        <v>3061</v>
      </c>
      <c r="D431" s="50" t="s">
        <v>2273</v>
      </c>
      <c r="E431" s="42" t="s">
        <v>2270</v>
      </c>
      <c r="F431" s="31" t="s">
        <v>2274</v>
      </c>
      <c r="G431" s="31" t="s">
        <v>2263</v>
      </c>
      <c r="H431" s="84">
        <v>43566</v>
      </c>
      <c r="I431" s="84">
        <f t="shared" si="11"/>
        <v>43931</v>
      </c>
      <c r="J431" s="31" t="s">
        <v>2004</v>
      </c>
      <c r="K431" s="35"/>
      <c r="L431" s="35"/>
      <c r="M431" s="35"/>
      <c r="N431" s="28"/>
      <c r="O431" s="148"/>
    </row>
    <row r="432" spans="1:15">
      <c r="A432" s="31" t="s">
        <v>489</v>
      </c>
      <c r="B432" s="35" t="s">
        <v>2261</v>
      </c>
      <c r="C432" s="39" t="s">
        <v>2282</v>
      </c>
      <c r="D432" s="48" t="s">
        <v>2893</v>
      </c>
      <c r="E432" s="42" t="s">
        <v>3009</v>
      </c>
      <c r="F432" s="31" t="s">
        <v>2262</v>
      </c>
      <c r="G432" s="31" t="s">
        <v>2263</v>
      </c>
      <c r="H432" s="84">
        <v>43566</v>
      </c>
      <c r="I432" s="84">
        <f t="shared" si="11"/>
        <v>43931</v>
      </c>
      <c r="J432" s="31" t="s">
        <v>2283</v>
      </c>
      <c r="K432" s="35"/>
      <c r="L432" s="27"/>
      <c r="M432" s="27"/>
      <c r="N432" s="28">
        <v>21200</v>
      </c>
      <c r="O432" s="29"/>
    </row>
    <row r="433" spans="1:15">
      <c r="A433" s="31" t="s">
        <v>2417</v>
      </c>
      <c r="B433" s="31" t="s">
        <v>2412</v>
      </c>
      <c r="C433" s="42" t="s">
        <v>2418</v>
      </c>
      <c r="D433" s="42" t="s">
        <v>2868</v>
      </c>
      <c r="E433" s="42" t="s">
        <v>2419</v>
      </c>
      <c r="F433" s="25" t="s">
        <v>2420</v>
      </c>
      <c r="G433" s="31" t="s">
        <v>2415</v>
      </c>
      <c r="H433" s="84">
        <v>43566</v>
      </c>
      <c r="I433" s="84">
        <f t="shared" si="11"/>
        <v>43931</v>
      </c>
      <c r="J433" s="31" t="s">
        <v>2416</v>
      </c>
      <c r="K433" s="31"/>
      <c r="L433" s="27"/>
      <c r="M433" s="27"/>
      <c r="N433" s="28">
        <v>21200</v>
      </c>
      <c r="O433" s="99"/>
    </row>
    <row r="434" spans="1:15">
      <c r="A434" s="31" t="s">
        <v>2433</v>
      </c>
      <c r="B434" s="31" t="s">
        <v>2412</v>
      </c>
      <c r="C434" s="42" t="s">
        <v>3011</v>
      </c>
      <c r="D434" s="42" t="s">
        <v>2434</v>
      </c>
      <c r="E434" s="42" t="s">
        <v>2435</v>
      </c>
      <c r="F434" s="25" t="s">
        <v>2420</v>
      </c>
      <c r="G434" s="31" t="s">
        <v>2415</v>
      </c>
      <c r="H434" s="84">
        <v>43566</v>
      </c>
      <c r="I434" s="84">
        <f t="shared" si="11"/>
        <v>43931</v>
      </c>
      <c r="J434" s="31" t="s">
        <v>2004</v>
      </c>
      <c r="K434" s="31"/>
      <c r="L434" s="27"/>
      <c r="M434" s="27"/>
      <c r="N434" s="28">
        <v>21200</v>
      </c>
      <c r="O434" s="29"/>
    </row>
    <row r="435" spans="1:15">
      <c r="A435" s="31" t="s">
        <v>2436</v>
      </c>
      <c r="B435" s="35" t="s">
        <v>2412</v>
      </c>
      <c r="C435" s="38" t="s">
        <v>2437</v>
      </c>
      <c r="D435" s="38" t="s">
        <v>2413</v>
      </c>
      <c r="E435" s="38" t="s">
        <v>2414</v>
      </c>
      <c r="F435" s="31" t="s">
        <v>2438</v>
      </c>
      <c r="G435" s="31" t="s">
        <v>2415</v>
      </c>
      <c r="H435" s="84">
        <v>43566</v>
      </c>
      <c r="I435" s="84">
        <f t="shared" si="11"/>
        <v>43931</v>
      </c>
      <c r="J435" s="31" t="s">
        <v>3008</v>
      </c>
      <c r="K435" s="31"/>
      <c r="L435" s="27"/>
      <c r="M435" s="27"/>
      <c r="N435" s="28">
        <v>21200</v>
      </c>
      <c r="O435" s="126"/>
    </row>
    <row r="436" spans="1:15">
      <c r="A436" s="31" t="s">
        <v>2439</v>
      </c>
      <c r="B436" s="35" t="s">
        <v>2412</v>
      </c>
      <c r="C436" s="38" t="s">
        <v>2440</v>
      </c>
      <c r="D436" s="38" t="s">
        <v>2413</v>
      </c>
      <c r="E436" s="38" t="s">
        <v>2414</v>
      </c>
      <c r="F436" s="31" t="s">
        <v>2438</v>
      </c>
      <c r="G436" s="31" t="s">
        <v>2415</v>
      </c>
      <c r="H436" s="84">
        <v>43566</v>
      </c>
      <c r="I436" s="84">
        <f t="shared" si="11"/>
        <v>43931</v>
      </c>
      <c r="J436" s="31" t="s">
        <v>3008</v>
      </c>
      <c r="K436" s="31"/>
      <c r="L436" s="27"/>
      <c r="M436" s="27"/>
      <c r="N436" s="28"/>
      <c r="O436" s="99"/>
    </row>
    <row r="437" spans="1:15">
      <c r="A437" s="31" t="s">
        <v>2150</v>
      </c>
      <c r="B437" s="35" t="s">
        <v>1998</v>
      </c>
      <c r="C437" s="38" t="s">
        <v>2152</v>
      </c>
      <c r="D437" s="38" t="s">
        <v>2153</v>
      </c>
      <c r="E437" s="38"/>
      <c r="F437" s="31" t="s">
        <v>2154</v>
      </c>
      <c r="G437" s="31" t="s">
        <v>39</v>
      </c>
      <c r="H437" s="84">
        <v>43566</v>
      </c>
      <c r="I437" s="84">
        <f t="shared" si="11"/>
        <v>43931</v>
      </c>
      <c r="J437" s="31" t="s">
        <v>486</v>
      </c>
      <c r="K437" s="31"/>
      <c r="L437" s="27"/>
      <c r="M437" s="27"/>
      <c r="N437" s="28"/>
      <c r="O437" s="99"/>
    </row>
    <row r="438" spans="1:15">
      <c r="A438" s="31" t="s">
        <v>2217</v>
      </c>
      <c r="B438" s="35" t="s">
        <v>1998</v>
      </c>
      <c r="C438" s="38" t="s">
        <v>2218</v>
      </c>
      <c r="D438" s="38" t="s">
        <v>2892</v>
      </c>
      <c r="E438" s="38" t="s">
        <v>240</v>
      </c>
      <c r="F438" s="31" t="s">
        <v>2769</v>
      </c>
      <c r="G438" s="31" t="s">
        <v>39</v>
      </c>
      <c r="H438" s="85">
        <v>43566</v>
      </c>
      <c r="I438" s="85">
        <f t="shared" si="11"/>
        <v>43931</v>
      </c>
      <c r="J438" s="31" t="s">
        <v>486</v>
      </c>
      <c r="K438" s="35"/>
      <c r="L438" s="27"/>
      <c r="M438" s="27"/>
      <c r="N438" s="28">
        <v>17050</v>
      </c>
      <c r="O438" s="99"/>
    </row>
    <row r="439" spans="1:15">
      <c r="A439" s="31" t="s">
        <v>322</v>
      </c>
      <c r="B439" s="35" t="s">
        <v>1998</v>
      </c>
      <c r="C439" s="50" t="s">
        <v>323</v>
      </c>
      <c r="D439" s="38" t="s">
        <v>2043</v>
      </c>
      <c r="E439" s="38" t="s">
        <v>312</v>
      </c>
      <c r="F439" s="31" t="s">
        <v>313</v>
      </c>
      <c r="G439" s="31" t="s">
        <v>39</v>
      </c>
      <c r="H439" s="84">
        <v>43570</v>
      </c>
      <c r="I439" s="84">
        <f t="shared" si="11"/>
        <v>43935</v>
      </c>
      <c r="J439" s="31" t="s">
        <v>2000</v>
      </c>
      <c r="K439" s="35"/>
      <c r="L439" s="27"/>
      <c r="M439" s="27"/>
      <c r="N439" s="28">
        <v>129800</v>
      </c>
      <c r="O439" s="29"/>
    </row>
    <row r="440" spans="1:15">
      <c r="A440" s="31" t="s">
        <v>1821</v>
      </c>
      <c r="B440" s="31" t="s">
        <v>1152</v>
      </c>
      <c r="C440" s="42" t="s">
        <v>1823</v>
      </c>
      <c r="D440" s="42" t="s">
        <v>1144</v>
      </c>
      <c r="E440" s="42" t="s">
        <v>1825</v>
      </c>
      <c r="F440" s="31" t="s">
        <v>1828</v>
      </c>
      <c r="G440" s="31" t="s">
        <v>39</v>
      </c>
      <c r="H440" s="84">
        <v>43570</v>
      </c>
      <c r="I440" s="84">
        <f t="shared" si="11"/>
        <v>43935</v>
      </c>
      <c r="J440" s="31" t="s">
        <v>2000</v>
      </c>
      <c r="K440" s="31"/>
      <c r="L440" s="27"/>
      <c r="M440" s="27"/>
      <c r="N440" s="28">
        <v>129800</v>
      </c>
      <c r="O440" s="29"/>
    </row>
    <row r="441" spans="1:15">
      <c r="A441" s="37" t="s">
        <v>519</v>
      </c>
      <c r="B441" s="35" t="s">
        <v>2718</v>
      </c>
      <c r="C441" s="38" t="s">
        <v>2727</v>
      </c>
      <c r="D441" s="39" t="s">
        <v>2728</v>
      </c>
      <c r="E441" s="38" t="s">
        <v>2729</v>
      </c>
      <c r="F441" s="31" t="s">
        <v>522</v>
      </c>
      <c r="G441" s="31" t="s">
        <v>39</v>
      </c>
      <c r="H441" s="85">
        <v>43578</v>
      </c>
      <c r="I441" s="85">
        <f t="shared" si="11"/>
        <v>43943</v>
      </c>
      <c r="J441" s="31" t="s">
        <v>2006</v>
      </c>
      <c r="K441" s="35" t="s">
        <v>2007</v>
      </c>
      <c r="L441" s="45"/>
      <c r="M441" s="45"/>
      <c r="N441" s="28">
        <v>129800</v>
      </c>
      <c r="O441" s="47"/>
    </row>
    <row r="442" spans="1:15">
      <c r="A442" s="37" t="s">
        <v>523</v>
      </c>
      <c r="B442" s="35" t="s">
        <v>2718</v>
      </c>
      <c r="C442" s="38" t="s">
        <v>2730</v>
      </c>
      <c r="D442" s="38" t="s">
        <v>2731</v>
      </c>
      <c r="E442" s="38" t="s">
        <v>2732</v>
      </c>
      <c r="F442" s="31" t="s">
        <v>2733</v>
      </c>
      <c r="G442" s="31" t="s">
        <v>39</v>
      </c>
      <c r="H442" s="85">
        <v>43578</v>
      </c>
      <c r="I442" s="85">
        <f t="shared" si="11"/>
        <v>43943</v>
      </c>
      <c r="J442" s="31" t="s">
        <v>2006</v>
      </c>
      <c r="K442" s="35" t="s">
        <v>2007</v>
      </c>
      <c r="L442" s="45"/>
      <c r="M442" s="45"/>
      <c r="N442" s="46">
        <v>14370</v>
      </c>
      <c r="O442" s="47"/>
    </row>
    <row r="443" spans="1:15">
      <c r="A443" s="37" t="s">
        <v>2814</v>
      </c>
      <c r="B443" s="35" t="s">
        <v>1152</v>
      </c>
      <c r="C443" s="38">
        <v>15127736</v>
      </c>
      <c r="D443" s="38" t="s">
        <v>2767</v>
      </c>
      <c r="E443" s="38" t="s">
        <v>270</v>
      </c>
      <c r="F443" s="31" t="s">
        <v>271</v>
      </c>
      <c r="G443" s="31" t="s">
        <v>39</v>
      </c>
      <c r="H443" s="85">
        <v>43592</v>
      </c>
      <c r="I443" s="85">
        <f t="shared" si="11"/>
        <v>43957</v>
      </c>
      <c r="J443" s="31" t="s">
        <v>201</v>
      </c>
      <c r="K443" s="35"/>
      <c r="L443" s="27"/>
      <c r="M443" s="27"/>
      <c r="N443" s="28"/>
      <c r="O443" s="29"/>
    </row>
    <row r="444" spans="1:15">
      <c r="A444" s="33" t="s">
        <v>2818</v>
      </c>
      <c r="B444" s="35" t="s">
        <v>2718</v>
      </c>
      <c r="C444" s="42" t="s">
        <v>2819</v>
      </c>
      <c r="D444" s="42" t="s">
        <v>3099</v>
      </c>
      <c r="E444" s="36" t="s">
        <v>1475</v>
      </c>
      <c r="F444" s="31" t="s">
        <v>2820</v>
      </c>
      <c r="G444" s="76" t="s">
        <v>39</v>
      </c>
      <c r="H444" s="83">
        <v>43592</v>
      </c>
      <c r="I444" s="84">
        <f t="shared" si="11"/>
        <v>43957</v>
      </c>
      <c r="J444" s="31" t="s">
        <v>201</v>
      </c>
      <c r="K444" s="35"/>
      <c r="L444" s="35"/>
      <c r="M444" s="35"/>
      <c r="N444" s="28"/>
      <c r="O444" s="40"/>
    </row>
    <row r="445" spans="1:15">
      <c r="A445" s="37" t="s">
        <v>2845</v>
      </c>
      <c r="B445" s="35" t="s">
        <v>1152</v>
      </c>
      <c r="C445" s="38" t="s">
        <v>2157</v>
      </c>
      <c r="D445" s="38" t="s">
        <v>2888</v>
      </c>
      <c r="E445" s="38" t="s">
        <v>2158</v>
      </c>
      <c r="F445" s="31" t="s">
        <v>2769</v>
      </c>
      <c r="G445" s="31" t="s">
        <v>39</v>
      </c>
      <c r="H445" s="83">
        <v>43592</v>
      </c>
      <c r="I445" s="84">
        <f t="shared" si="11"/>
        <v>43957</v>
      </c>
      <c r="J445" s="31" t="s">
        <v>486</v>
      </c>
      <c r="K445" s="35"/>
      <c r="L445" s="31"/>
      <c r="M445" s="31"/>
      <c r="N445" s="31"/>
      <c r="O445" s="105"/>
    </row>
    <row r="446" spans="1:15">
      <c r="A446" s="31" t="s">
        <v>2237</v>
      </c>
      <c r="B446" s="35" t="s">
        <v>2151</v>
      </c>
      <c r="C446" s="38" t="s">
        <v>2238</v>
      </c>
      <c r="D446" s="38" t="s">
        <v>2239</v>
      </c>
      <c r="E446" s="38" t="s">
        <v>2240</v>
      </c>
      <c r="F446" s="31" t="s">
        <v>2241</v>
      </c>
      <c r="G446" s="31" t="s">
        <v>2155</v>
      </c>
      <c r="H446" s="83">
        <v>43592</v>
      </c>
      <c r="I446" s="84">
        <f t="shared" si="11"/>
        <v>43957</v>
      </c>
      <c r="J446" s="31" t="s">
        <v>2004</v>
      </c>
      <c r="K446" s="35"/>
      <c r="L446" s="31"/>
      <c r="M446" s="31"/>
      <c r="N446" s="31"/>
      <c r="O446" s="105"/>
    </row>
    <row r="447" spans="1:15">
      <c r="A447" s="31" t="s">
        <v>556</v>
      </c>
      <c r="B447" s="35" t="s">
        <v>2151</v>
      </c>
      <c r="C447" s="38" t="s">
        <v>2242</v>
      </c>
      <c r="D447" s="48" t="s">
        <v>2893</v>
      </c>
      <c r="E447" s="42" t="s">
        <v>3012</v>
      </c>
      <c r="F447" s="31" t="s">
        <v>3043</v>
      </c>
      <c r="G447" s="31" t="s">
        <v>2155</v>
      </c>
      <c r="H447" s="83">
        <v>43592</v>
      </c>
      <c r="I447" s="84">
        <f t="shared" si="11"/>
        <v>43957</v>
      </c>
      <c r="J447" s="31" t="s">
        <v>2231</v>
      </c>
      <c r="K447" s="35"/>
      <c r="L447" s="31"/>
      <c r="M447" s="31"/>
      <c r="N447" s="31"/>
      <c r="O447" s="105"/>
    </row>
    <row r="448" spans="1:15">
      <c r="A448" s="31" t="s">
        <v>2996</v>
      </c>
      <c r="B448" s="31" t="s">
        <v>1998</v>
      </c>
      <c r="C448" s="42" t="s">
        <v>2999</v>
      </c>
      <c r="D448" s="42" t="s">
        <v>2068</v>
      </c>
      <c r="E448" s="42" t="s">
        <v>2103</v>
      </c>
      <c r="F448" s="31" t="s">
        <v>3043</v>
      </c>
      <c r="G448" s="31" t="s">
        <v>39</v>
      </c>
      <c r="H448" s="83">
        <v>43592</v>
      </c>
      <c r="I448" s="84">
        <f t="shared" si="11"/>
        <v>43957</v>
      </c>
      <c r="J448" s="31" t="s">
        <v>486</v>
      </c>
      <c r="K448" s="31"/>
      <c r="L448" s="31"/>
      <c r="M448" s="31"/>
      <c r="N448" s="31"/>
      <c r="O448" s="105"/>
    </row>
    <row r="449" spans="1:15">
      <c r="A449" s="31" t="s">
        <v>2997</v>
      </c>
      <c r="B449" s="31" t="s">
        <v>1998</v>
      </c>
      <c r="C449" s="42" t="s">
        <v>3000</v>
      </c>
      <c r="D449" s="42" t="s">
        <v>2068</v>
      </c>
      <c r="E449" s="42" t="s">
        <v>2103</v>
      </c>
      <c r="F449" s="31" t="s">
        <v>3043</v>
      </c>
      <c r="G449" s="31" t="s">
        <v>39</v>
      </c>
      <c r="H449" s="83">
        <v>43592</v>
      </c>
      <c r="I449" s="84">
        <f t="shared" si="11"/>
        <v>43957</v>
      </c>
      <c r="J449" s="31" t="s">
        <v>486</v>
      </c>
      <c r="K449" s="31"/>
      <c r="L449" s="31"/>
      <c r="M449" s="31"/>
      <c r="N449" s="31"/>
      <c r="O449" s="105"/>
    </row>
    <row r="450" spans="1:15">
      <c r="A450" s="31" t="s">
        <v>2998</v>
      </c>
      <c r="B450" s="31" t="s">
        <v>1998</v>
      </c>
      <c r="C450" s="42" t="s">
        <v>3001</v>
      </c>
      <c r="D450" s="42" t="s">
        <v>2068</v>
      </c>
      <c r="E450" s="42" t="s">
        <v>2103</v>
      </c>
      <c r="F450" s="31" t="s">
        <v>3043</v>
      </c>
      <c r="G450" s="31" t="s">
        <v>39</v>
      </c>
      <c r="H450" s="83">
        <v>43592</v>
      </c>
      <c r="I450" s="84">
        <f t="shared" si="11"/>
        <v>43957</v>
      </c>
      <c r="J450" s="31" t="s">
        <v>486</v>
      </c>
      <c r="K450" s="31"/>
      <c r="L450" s="31"/>
      <c r="M450" s="31"/>
      <c r="N450" s="31"/>
      <c r="O450" s="105"/>
    </row>
    <row r="451" spans="1:15">
      <c r="A451" s="37" t="s">
        <v>2041</v>
      </c>
      <c r="B451" s="35" t="s">
        <v>1152</v>
      </c>
      <c r="C451" s="38" t="s">
        <v>2042</v>
      </c>
      <c r="D451" s="38" t="s">
        <v>552</v>
      </c>
      <c r="E451" s="38" t="s">
        <v>2889</v>
      </c>
      <c r="F451" s="31" t="s">
        <v>2846</v>
      </c>
      <c r="G451" s="31" t="s">
        <v>39</v>
      </c>
      <c r="H451" s="83">
        <v>43593</v>
      </c>
      <c r="I451" s="84">
        <f t="shared" si="11"/>
        <v>43958</v>
      </c>
      <c r="J451" s="31" t="s">
        <v>2000</v>
      </c>
      <c r="K451" s="35"/>
      <c r="L451" s="31"/>
      <c r="M451" s="31"/>
      <c r="N451" s="31"/>
      <c r="O451" s="105"/>
    </row>
    <row r="452" spans="1:15">
      <c r="A452" s="31" t="s">
        <v>2426</v>
      </c>
      <c r="B452" s="35" t="s">
        <v>2412</v>
      </c>
      <c r="C452" s="50" t="s">
        <v>2427</v>
      </c>
      <c r="D452" s="42" t="s">
        <v>2423</v>
      </c>
      <c r="E452" s="42" t="s">
        <v>2428</v>
      </c>
      <c r="F452" s="31" t="s">
        <v>2425</v>
      </c>
      <c r="G452" s="31" t="s">
        <v>2415</v>
      </c>
      <c r="H452" s="161">
        <v>43593</v>
      </c>
      <c r="I452" s="84">
        <f t="shared" si="11"/>
        <v>43958</v>
      </c>
      <c r="J452" s="76" t="s">
        <v>2416</v>
      </c>
      <c r="K452" s="31"/>
      <c r="L452" s="31"/>
      <c r="M452" s="31"/>
      <c r="N452" s="31"/>
      <c r="O452" s="31"/>
    </row>
    <row r="453" spans="1:15">
      <c r="A453" s="31" t="s">
        <v>2063</v>
      </c>
      <c r="B453" s="35" t="s">
        <v>1998</v>
      </c>
      <c r="C453" s="38" t="s">
        <v>2064</v>
      </c>
      <c r="D453" s="42" t="s">
        <v>2046</v>
      </c>
      <c r="E453" s="42" t="s">
        <v>546</v>
      </c>
      <c r="F453" s="31" t="s">
        <v>2065</v>
      </c>
      <c r="G453" s="31" t="s">
        <v>39</v>
      </c>
      <c r="H453" s="161">
        <v>43593</v>
      </c>
      <c r="I453" s="84">
        <f t="shared" si="11"/>
        <v>43958</v>
      </c>
      <c r="J453" s="31" t="s">
        <v>2004</v>
      </c>
      <c r="K453" s="31"/>
      <c r="L453" s="31"/>
      <c r="M453" s="31"/>
      <c r="N453" s="31"/>
      <c r="O453" s="31"/>
    </row>
    <row r="454" spans="1:15">
      <c r="A454" s="25">
        <v>96</v>
      </c>
      <c r="B454" s="25" t="s">
        <v>1049</v>
      </c>
      <c r="C454" s="50" t="s">
        <v>1881</v>
      </c>
      <c r="D454" s="52" t="s">
        <v>1103</v>
      </c>
      <c r="E454" s="51" t="s">
        <v>1107</v>
      </c>
      <c r="F454" s="32" t="s">
        <v>132</v>
      </c>
      <c r="G454" s="32" t="s">
        <v>1</v>
      </c>
      <c r="H454" s="85">
        <v>43524</v>
      </c>
      <c r="I454" s="83">
        <v>44254</v>
      </c>
      <c r="J454" s="34" t="s">
        <v>1893</v>
      </c>
      <c r="K454" s="25"/>
      <c r="L454" s="31"/>
      <c r="M454" s="31"/>
      <c r="N454" s="31"/>
      <c r="O454" s="31"/>
    </row>
    <row r="455" spans="1:15">
      <c r="A455" s="25">
        <v>96</v>
      </c>
      <c r="B455" s="25" t="s">
        <v>1049</v>
      </c>
      <c r="C455" s="50" t="s">
        <v>1879</v>
      </c>
      <c r="D455" s="52" t="s">
        <v>1103</v>
      </c>
      <c r="E455" s="51" t="s">
        <v>1107</v>
      </c>
      <c r="F455" s="32" t="s">
        <v>132</v>
      </c>
      <c r="G455" s="32" t="s">
        <v>1</v>
      </c>
      <c r="H455" s="85">
        <v>43524</v>
      </c>
      <c r="I455" s="83">
        <v>44254</v>
      </c>
      <c r="J455" s="34" t="s">
        <v>1892</v>
      </c>
      <c r="K455" s="25"/>
      <c r="L455" s="31"/>
      <c r="M455" s="31"/>
      <c r="N455" s="31"/>
      <c r="O455" s="31"/>
    </row>
    <row r="456" spans="1:15">
      <c r="A456" s="25">
        <v>97</v>
      </c>
      <c r="B456" s="25" t="s">
        <v>1049</v>
      </c>
      <c r="C456" s="39" t="s">
        <v>134</v>
      </c>
      <c r="D456" s="53" t="s">
        <v>1103</v>
      </c>
      <c r="E456" s="30" t="s">
        <v>1108</v>
      </c>
      <c r="F456" s="25" t="s">
        <v>133</v>
      </c>
      <c r="G456" s="25" t="s">
        <v>1</v>
      </c>
      <c r="H456" s="85">
        <v>43279</v>
      </c>
      <c r="I456" s="83">
        <v>44009</v>
      </c>
      <c r="J456" s="26" t="s">
        <v>1048</v>
      </c>
      <c r="K456" s="25"/>
      <c r="L456" s="31"/>
      <c r="M456" s="31"/>
      <c r="N456" s="31"/>
      <c r="O456" s="105"/>
    </row>
    <row r="457" spans="1:15">
      <c r="A457" s="25">
        <v>98</v>
      </c>
      <c r="B457" s="25" t="s">
        <v>1049</v>
      </c>
      <c r="C457" s="39" t="s">
        <v>187</v>
      </c>
      <c r="D457" s="53" t="s">
        <v>1103</v>
      </c>
      <c r="E457" s="30" t="s">
        <v>188</v>
      </c>
      <c r="F457" s="25" t="s">
        <v>189</v>
      </c>
      <c r="G457" s="25" t="s">
        <v>1109</v>
      </c>
      <c r="H457" s="85">
        <v>43150</v>
      </c>
      <c r="I457" s="83">
        <v>43879</v>
      </c>
      <c r="J457" s="26" t="s">
        <v>1048</v>
      </c>
      <c r="K457" s="25"/>
      <c r="L457" s="31"/>
      <c r="M457" s="31"/>
      <c r="N457" s="28">
        <v>129800</v>
      </c>
      <c r="O457" s="105"/>
    </row>
    <row r="458" spans="1:15">
      <c r="A458" s="25">
        <v>99</v>
      </c>
      <c r="B458" s="25" t="s">
        <v>1049</v>
      </c>
      <c r="C458" s="39" t="s">
        <v>1896</v>
      </c>
      <c r="D458" s="53" t="s">
        <v>1103</v>
      </c>
      <c r="E458" s="30" t="s">
        <v>190</v>
      </c>
      <c r="F458" s="25" t="s">
        <v>189</v>
      </c>
      <c r="G458" s="25" t="s">
        <v>1109</v>
      </c>
      <c r="H458" s="85">
        <v>43150</v>
      </c>
      <c r="I458" s="83">
        <v>43879</v>
      </c>
      <c r="J458" s="26" t="s">
        <v>1048</v>
      </c>
      <c r="K458" s="25"/>
      <c r="L458" s="31"/>
      <c r="M458" s="31"/>
      <c r="N458" s="31"/>
      <c r="O458" s="105"/>
    </row>
    <row r="459" spans="1:15">
      <c r="A459" s="25">
        <v>100</v>
      </c>
      <c r="B459" s="25" t="s">
        <v>1049</v>
      </c>
      <c r="C459" s="39" t="s">
        <v>30</v>
      </c>
      <c r="D459" s="30" t="s">
        <v>1111</v>
      </c>
      <c r="E459" s="30" t="s">
        <v>1112</v>
      </c>
      <c r="F459" s="25" t="s">
        <v>78</v>
      </c>
      <c r="G459" s="25" t="s">
        <v>1056</v>
      </c>
      <c r="H459" s="83">
        <v>43634</v>
      </c>
      <c r="I459" s="84">
        <v>43999</v>
      </c>
      <c r="J459" s="26" t="s">
        <v>130</v>
      </c>
      <c r="K459" s="26"/>
      <c r="L459" s="31"/>
      <c r="M459" s="31"/>
      <c r="N459" s="28">
        <v>129800</v>
      </c>
      <c r="O459" s="105"/>
    </row>
    <row r="460" spans="1:15">
      <c r="A460" s="25">
        <v>103</v>
      </c>
      <c r="B460" s="25" t="s">
        <v>1049</v>
      </c>
      <c r="C460" s="58" t="s">
        <v>1899</v>
      </c>
      <c r="D460" s="53" t="s">
        <v>1111</v>
      </c>
      <c r="E460" s="30" t="s">
        <v>1113</v>
      </c>
      <c r="F460" s="25" t="s">
        <v>127</v>
      </c>
      <c r="G460" s="25" t="s">
        <v>1056</v>
      </c>
      <c r="H460" s="83">
        <v>43634</v>
      </c>
      <c r="I460" s="84">
        <v>43999</v>
      </c>
      <c r="J460" s="26" t="s">
        <v>1055</v>
      </c>
      <c r="K460" s="26"/>
      <c r="L460" s="31"/>
      <c r="M460" s="31"/>
      <c r="N460" s="31"/>
      <c r="O460" s="105"/>
    </row>
    <row r="461" spans="1:15">
      <c r="A461" s="25">
        <v>104</v>
      </c>
      <c r="B461" s="25" t="s">
        <v>1049</v>
      </c>
      <c r="C461" s="39" t="s">
        <v>128</v>
      </c>
      <c r="D461" s="53" t="s">
        <v>1111</v>
      </c>
      <c r="E461" s="30" t="s">
        <v>1114</v>
      </c>
      <c r="F461" s="25" t="s">
        <v>114</v>
      </c>
      <c r="G461" s="25" t="s">
        <v>1056</v>
      </c>
      <c r="H461" s="83">
        <v>43634</v>
      </c>
      <c r="I461" s="84">
        <v>43999</v>
      </c>
      <c r="J461" s="26" t="s">
        <v>1060</v>
      </c>
      <c r="K461" s="26"/>
      <c r="L461" s="31"/>
      <c r="M461" s="31"/>
      <c r="N461" s="31"/>
      <c r="O461" s="105"/>
    </row>
    <row r="462" spans="1:15">
      <c r="A462" s="25">
        <v>105</v>
      </c>
      <c r="B462" s="25" t="s">
        <v>1049</v>
      </c>
      <c r="C462" s="39" t="s">
        <v>129</v>
      </c>
      <c r="D462" s="30" t="s">
        <v>1111</v>
      </c>
      <c r="E462" s="30" t="s">
        <v>1114</v>
      </c>
      <c r="F462" s="25" t="s">
        <v>114</v>
      </c>
      <c r="G462" s="25" t="s">
        <v>1056</v>
      </c>
      <c r="H462" s="85">
        <v>43642</v>
      </c>
      <c r="I462" s="83">
        <v>44007</v>
      </c>
      <c r="J462" s="26" t="s">
        <v>130</v>
      </c>
      <c r="K462" s="26"/>
      <c r="L462" s="31"/>
      <c r="M462" s="31"/>
      <c r="N462" s="31"/>
      <c r="O462" s="31"/>
    </row>
    <row r="463" spans="1:15">
      <c r="A463" s="25">
        <v>106</v>
      </c>
      <c r="B463" s="35" t="s">
        <v>1937</v>
      </c>
      <c r="C463" s="39" t="s">
        <v>1934</v>
      </c>
      <c r="D463" s="30" t="s">
        <v>1115</v>
      </c>
      <c r="E463" s="30" t="s">
        <v>1116</v>
      </c>
      <c r="F463" s="25" t="s">
        <v>64</v>
      </c>
      <c r="G463" s="25" t="s">
        <v>0</v>
      </c>
      <c r="H463" s="85">
        <v>43524</v>
      </c>
      <c r="I463" s="83">
        <v>43888</v>
      </c>
      <c r="J463" s="26" t="s">
        <v>1048</v>
      </c>
      <c r="K463" s="25"/>
      <c r="L463" s="31"/>
      <c r="M463" s="31"/>
      <c r="N463" s="31"/>
      <c r="O463" s="31"/>
    </row>
    <row r="464" spans="1:15">
      <c r="A464" s="25">
        <v>106</v>
      </c>
      <c r="B464" s="25" t="s">
        <v>1049</v>
      </c>
      <c r="C464" s="39">
        <v>9904864</v>
      </c>
      <c r="D464" s="30" t="s">
        <v>1115</v>
      </c>
      <c r="E464" s="30" t="s">
        <v>1116</v>
      </c>
      <c r="F464" s="25" t="s">
        <v>114</v>
      </c>
      <c r="G464" s="25" t="s">
        <v>0</v>
      </c>
      <c r="H464" s="83">
        <v>43634</v>
      </c>
      <c r="I464" s="84">
        <v>43999</v>
      </c>
      <c r="J464" s="26" t="s">
        <v>116</v>
      </c>
      <c r="K464" s="26"/>
      <c r="L464" s="31"/>
      <c r="M464" s="31"/>
      <c r="N464" s="31"/>
      <c r="O464" s="31"/>
    </row>
    <row r="465" spans="1:15">
      <c r="A465" s="25">
        <v>108</v>
      </c>
      <c r="B465" s="25" t="s">
        <v>1049</v>
      </c>
      <c r="C465" s="38" t="s">
        <v>1897</v>
      </c>
      <c r="D465" s="53" t="s">
        <v>1117</v>
      </c>
      <c r="E465" s="30" t="s">
        <v>163</v>
      </c>
      <c r="F465" s="25" t="s">
        <v>66</v>
      </c>
      <c r="G465" s="25" t="s">
        <v>1109</v>
      </c>
      <c r="H465" s="85">
        <v>43279</v>
      </c>
      <c r="I465" s="83">
        <v>44009</v>
      </c>
      <c r="J465" s="26" t="s">
        <v>1048</v>
      </c>
      <c r="K465" s="25"/>
      <c r="L465" s="31"/>
      <c r="M465" s="31"/>
      <c r="N465" s="31"/>
      <c r="O465" s="31"/>
    </row>
    <row r="466" spans="1:15">
      <c r="A466" s="25">
        <v>109</v>
      </c>
      <c r="B466" s="25" t="s">
        <v>1049</v>
      </c>
      <c r="C466" s="38" t="s">
        <v>41</v>
      </c>
      <c r="D466" s="53" t="s">
        <v>1117</v>
      </c>
      <c r="E466" s="30" t="s">
        <v>3095</v>
      </c>
      <c r="F466" s="25" t="s">
        <v>67</v>
      </c>
      <c r="G466" s="25" t="s">
        <v>0</v>
      </c>
      <c r="H466" s="85">
        <v>43642</v>
      </c>
      <c r="I466" s="83">
        <v>44007</v>
      </c>
      <c r="J466" s="26" t="s">
        <v>1048</v>
      </c>
      <c r="K466" s="26"/>
      <c r="L466" s="31"/>
      <c r="M466" s="31"/>
      <c r="N466" s="31"/>
      <c r="O466" s="31"/>
    </row>
    <row r="467" spans="1:15">
      <c r="A467" s="25">
        <v>110</v>
      </c>
      <c r="B467" s="25" t="s">
        <v>1049</v>
      </c>
      <c r="C467" s="38" t="s">
        <v>42</v>
      </c>
      <c r="D467" s="53" t="s">
        <v>1117</v>
      </c>
      <c r="E467" s="30" t="s">
        <v>164</v>
      </c>
      <c r="F467" s="25" t="s">
        <v>40</v>
      </c>
      <c r="G467" s="25" t="s">
        <v>0</v>
      </c>
      <c r="H467" s="85">
        <v>43642</v>
      </c>
      <c r="I467" s="83">
        <v>44007</v>
      </c>
      <c r="J467" s="26" t="s">
        <v>1048</v>
      </c>
      <c r="K467" s="26"/>
      <c r="L467" s="35"/>
      <c r="M467" s="35"/>
      <c r="N467" s="28"/>
      <c r="O467" s="100"/>
    </row>
    <row r="468" spans="1:15" ht="13.5" customHeight="1">
      <c r="A468" s="25">
        <v>112</v>
      </c>
      <c r="B468" s="25" t="s">
        <v>1049</v>
      </c>
      <c r="C468" s="38" t="s">
        <v>43</v>
      </c>
      <c r="D468" s="53" t="s">
        <v>1117</v>
      </c>
      <c r="E468" s="30" t="s">
        <v>165</v>
      </c>
      <c r="F468" s="25" t="s">
        <v>40</v>
      </c>
      <c r="G468" s="25" t="s">
        <v>0</v>
      </c>
      <c r="H468" s="85">
        <v>43642</v>
      </c>
      <c r="I468" s="83">
        <v>44007</v>
      </c>
      <c r="J468" s="26" t="s">
        <v>1048</v>
      </c>
      <c r="K468" s="26"/>
      <c r="L468" s="27"/>
      <c r="M468" s="27"/>
      <c r="N468" s="28"/>
      <c r="O468" s="99"/>
    </row>
    <row r="469" spans="1:15">
      <c r="A469" s="25">
        <v>113</v>
      </c>
      <c r="B469" s="25" t="s">
        <v>1049</v>
      </c>
      <c r="C469" s="38" t="s">
        <v>44</v>
      </c>
      <c r="D469" s="53" t="s">
        <v>1117</v>
      </c>
      <c r="E469" s="30" t="s">
        <v>166</v>
      </c>
      <c r="F469" s="25" t="s">
        <v>40</v>
      </c>
      <c r="G469" s="25" t="s">
        <v>0</v>
      </c>
      <c r="H469" s="85">
        <v>43642</v>
      </c>
      <c r="I469" s="83">
        <v>44007</v>
      </c>
      <c r="J469" s="26" t="s">
        <v>1048</v>
      </c>
      <c r="K469" s="26"/>
      <c r="L469" s="31"/>
      <c r="M469" s="31"/>
      <c r="N469" s="31"/>
      <c r="O469" s="31"/>
    </row>
    <row r="470" spans="1:15">
      <c r="A470" s="25">
        <v>114</v>
      </c>
      <c r="B470" s="25" t="s">
        <v>1049</v>
      </c>
      <c r="C470" s="38" t="s">
        <v>51</v>
      </c>
      <c r="D470" s="53" t="s">
        <v>1117</v>
      </c>
      <c r="E470" s="30" t="s">
        <v>166</v>
      </c>
      <c r="F470" s="25" t="s">
        <v>40</v>
      </c>
      <c r="G470" s="25" t="s">
        <v>0</v>
      </c>
      <c r="H470" s="85">
        <v>43642</v>
      </c>
      <c r="I470" s="83">
        <v>44007</v>
      </c>
      <c r="J470" s="26" t="s">
        <v>1048</v>
      </c>
      <c r="K470" s="26"/>
      <c r="L470" s="31"/>
      <c r="M470" s="31"/>
      <c r="N470" s="31"/>
      <c r="O470" s="105"/>
    </row>
    <row r="471" spans="1:15">
      <c r="A471" s="25">
        <v>116</v>
      </c>
      <c r="B471" s="25" t="s">
        <v>1049</v>
      </c>
      <c r="C471" s="39" t="s">
        <v>1904</v>
      </c>
      <c r="D471" s="53" t="s">
        <v>1117</v>
      </c>
      <c r="E471" s="30" t="s">
        <v>151</v>
      </c>
      <c r="F471" s="25" t="s">
        <v>60</v>
      </c>
      <c r="G471" s="25" t="s">
        <v>1109</v>
      </c>
      <c r="H471" s="167">
        <v>42908</v>
      </c>
      <c r="I471" s="83">
        <v>43637</v>
      </c>
      <c r="J471" s="26" t="s">
        <v>1048</v>
      </c>
      <c r="K471" s="26" t="s">
        <v>3092</v>
      </c>
      <c r="L471" s="27"/>
      <c r="M471" s="27"/>
      <c r="N471" s="28">
        <v>21340</v>
      </c>
      <c r="O471" s="99"/>
    </row>
    <row r="472" spans="1:15">
      <c r="A472" s="25" t="s">
        <v>2972</v>
      </c>
      <c r="B472" s="25" t="s">
        <v>2688</v>
      </c>
      <c r="C472" s="39" t="s">
        <v>2693</v>
      </c>
      <c r="D472" s="30" t="s">
        <v>2694</v>
      </c>
      <c r="E472" s="30" t="s">
        <v>2695</v>
      </c>
      <c r="F472" s="25" t="s">
        <v>2696</v>
      </c>
      <c r="G472" s="31" t="s">
        <v>39</v>
      </c>
      <c r="H472" s="83">
        <v>43616</v>
      </c>
      <c r="I472" s="84">
        <v>43981</v>
      </c>
      <c r="J472" s="26" t="s">
        <v>486</v>
      </c>
      <c r="K472" s="26"/>
      <c r="L472" s="27"/>
      <c r="M472" s="27"/>
      <c r="N472" s="28">
        <v>21340</v>
      </c>
      <c r="O472" s="99"/>
    </row>
    <row r="473" spans="1:15">
      <c r="A473" s="31" t="s">
        <v>2111</v>
      </c>
      <c r="B473" s="31" t="s">
        <v>1998</v>
      </c>
      <c r="C473" s="38" t="s">
        <v>2112</v>
      </c>
      <c r="D473" s="38" t="s">
        <v>2068</v>
      </c>
      <c r="E473" s="38" t="s">
        <v>2113</v>
      </c>
      <c r="F473" s="31" t="s">
        <v>3043</v>
      </c>
      <c r="G473" s="31" t="s">
        <v>39</v>
      </c>
      <c r="H473" s="85">
        <v>43616</v>
      </c>
      <c r="I473" s="83">
        <v>43981</v>
      </c>
      <c r="J473" s="31" t="s">
        <v>2004</v>
      </c>
      <c r="K473" s="26"/>
      <c r="L473" s="27"/>
      <c r="M473" s="27"/>
      <c r="N473" s="28">
        <v>21340</v>
      </c>
      <c r="O473" s="99"/>
    </row>
    <row r="474" spans="1:15" s="110" customFormat="1" ht="15.6">
      <c r="A474" s="31" t="s">
        <v>2126</v>
      </c>
      <c r="B474" s="31" t="s">
        <v>1998</v>
      </c>
      <c r="C474" s="38" t="s">
        <v>2127</v>
      </c>
      <c r="D474" s="38" t="s">
        <v>2068</v>
      </c>
      <c r="E474" s="38" t="s">
        <v>2128</v>
      </c>
      <c r="F474" s="31" t="s">
        <v>3043</v>
      </c>
      <c r="G474" s="31" t="s">
        <v>39</v>
      </c>
      <c r="H474" s="85">
        <v>43616</v>
      </c>
      <c r="I474" s="83">
        <v>43981</v>
      </c>
      <c r="J474" s="31" t="s">
        <v>2004</v>
      </c>
      <c r="K474" s="26"/>
      <c r="L474" s="27"/>
      <c r="M474" s="27"/>
      <c r="N474" s="28">
        <v>21340</v>
      </c>
      <c r="O474" s="99"/>
    </row>
    <row r="475" spans="1:15" s="110" customFormat="1" ht="15.6">
      <c r="A475" s="31" t="s">
        <v>2441</v>
      </c>
      <c r="B475" s="31" t="s">
        <v>2412</v>
      </c>
      <c r="C475" s="38" t="s">
        <v>2442</v>
      </c>
      <c r="D475" s="38" t="s">
        <v>2443</v>
      </c>
      <c r="E475" s="38" t="s">
        <v>2444</v>
      </c>
      <c r="F475" s="31" t="s">
        <v>3043</v>
      </c>
      <c r="G475" s="31" t="s">
        <v>2415</v>
      </c>
      <c r="H475" s="85">
        <v>43616</v>
      </c>
      <c r="I475" s="83">
        <v>43981</v>
      </c>
      <c r="J475" s="31" t="s">
        <v>2416</v>
      </c>
      <c r="K475" s="26"/>
      <c r="L475" s="27"/>
      <c r="M475" s="27"/>
      <c r="N475" s="28">
        <v>21340</v>
      </c>
      <c r="O475" s="99"/>
    </row>
    <row r="476" spans="1:15" s="110" customFormat="1" ht="15.6">
      <c r="A476" s="31" t="s">
        <v>2159</v>
      </c>
      <c r="B476" s="35" t="s">
        <v>1998</v>
      </c>
      <c r="C476" s="42" t="s">
        <v>2445</v>
      </c>
      <c r="D476" s="38" t="s">
        <v>2704</v>
      </c>
      <c r="E476" s="42" t="s">
        <v>2446</v>
      </c>
      <c r="F476" s="31" t="s">
        <v>285</v>
      </c>
      <c r="G476" s="27" t="s">
        <v>39</v>
      </c>
      <c r="H476" s="84">
        <v>43616</v>
      </c>
      <c r="I476" s="84">
        <v>43981</v>
      </c>
      <c r="J476" s="31" t="s">
        <v>486</v>
      </c>
      <c r="K476" s="26"/>
      <c r="L476" s="27"/>
      <c r="M476" s="27"/>
      <c r="N476" s="28">
        <v>21340</v>
      </c>
      <c r="O476" s="99"/>
    </row>
    <row r="477" spans="1:15" s="110" customFormat="1" ht="15.6">
      <c r="A477" s="25" t="s">
        <v>3013</v>
      </c>
      <c r="B477" s="25" t="s">
        <v>1152</v>
      </c>
      <c r="C477" s="50" t="s">
        <v>3019</v>
      </c>
      <c r="D477" s="52" t="s">
        <v>1181</v>
      </c>
      <c r="E477" s="51" t="s">
        <v>3033</v>
      </c>
      <c r="F477" s="31" t="s">
        <v>3043</v>
      </c>
      <c r="G477" s="32" t="s">
        <v>39</v>
      </c>
      <c r="H477" s="85">
        <v>43616</v>
      </c>
      <c r="I477" s="83">
        <v>43981</v>
      </c>
      <c r="J477" s="34" t="s">
        <v>3027</v>
      </c>
      <c r="K477" s="26"/>
      <c r="L477" s="27"/>
      <c r="M477" s="27"/>
      <c r="N477" s="28">
        <v>21340</v>
      </c>
      <c r="O477" s="99"/>
    </row>
    <row r="478" spans="1:15" s="110" customFormat="1" ht="15.6">
      <c r="A478" s="25" t="s">
        <v>3014</v>
      </c>
      <c r="B478" s="25" t="s">
        <v>1152</v>
      </c>
      <c r="C478" s="50" t="s">
        <v>3020</v>
      </c>
      <c r="D478" s="52" t="s">
        <v>1181</v>
      </c>
      <c r="E478" s="51" t="s">
        <v>3028</v>
      </c>
      <c r="F478" s="31" t="s">
        <v>3043</v>
      </c>
      <c r="G478" s="32" t="s">
        <v>39</v>
      </c>
      <c r="H478" s="85">
        <v>43616</v>
      </c>
      <c r="I478" s="83">
        <v>43981</v>
      </c>
      <c r="J478" s="34" t="s">
        <v>3027</v>
      </c>
      <c r="K478" s="26"/>
      <c r="L478" s="27"/>
      <c r="M478" s="27"/>
      <c r="N478" s="28">
        <v>21340</v>
      </c>
      <c r="O478" s="99"/>
    </row>
    <row r="479" spans="1:15" s="110" customFormat="1" ht="15.6">
      <c r="A479" s="25" t="s">
        <v>3015</v>
      </c>
      <c r="B479" s="25" t="s">
        <v>1152</v>
      </c>
      <c r="C479" s="50" t="s">
        <v>3021</v>
      </c>
      <c r="D479" s="52" t="s">
        <v>1181</v>
      </c>
      <c r="E479" s="51" t="s">
        <v>3029</v>
      </c>
      <c r="F479" s="31" t="s">
        <v>3043</v>
      </c>
      <c r="G479" s="32" t="s">
        <v>39</v>
      </c>
      <c r="H479" s="85">
        <v>43616</v>
      </c>
      <c r="I479" s="83">
        <v>43981</v>
      </c>
      <c r="J479" s="34" t="s">
        <v>3027</v>
      </c>
      <c r="K479" s="26"/>
      <c r="L479" s="27"/>
      <c r="M479" s="27"/>
      <c r="N479" s="28">
        <v>21340</v>
      </c>
      <c r="O479" s="99"/>
    </row>
    <row r="480" spans="1:15" s="110" customFormat="1" ht="15.6">
      <c r="A480" s="25" t="s">
        <v>3016</v>
      </c>
      <c r="B480" s="25" t="s">
        <v>1152</v>
      </c>
      <c r="C480" s="50" t="s">
        <v>3022</v>
      </c>
      <c r="D480" s="52" t="s">
        <v>1181</v>
      </c>
      <c r="E480" s="51" t="s">
        <v>3030</v>
      </c>
      <c r="F480" s="31" t="s">
        <v>3043</v>
      </c>
      <c r="G480" s="32" t="s">
        <v>39</v>
      </c>
      <c r="H480" s="85">
        <v>43616</v>
      </c>
      <c r="I480" s="83">
        <v>43981</v>
      </c>
      <c r="J480" s="34" t="s">
        <v>3027</v>
      </c>
      <c r="K480" s="26"/>
      <c r="L480" s="27"/>
      <c r="M480" s="27"/>
      <c r="N480" s="28">
        <v>21340</v>
      </c>
      <c r="O480" s="99"/>
    </row>
    <row r="481" spans="1:15" s="110" customFormat="1" ht="15.6">
      <c r="A481" s="25" t="s">
        <v>3017</v>
      </c>
      <c r="B481" s="25" t="s">
        <v>1152</v>
      </c>
      <c r="C481" s="50" t="s">
        <v>3023</v>
      </c>
      <c r="D481" s="52" t="s">
        <v>1181</v>
      </c>
      <c r="E481" s="51" t="s">
        <v>3030</v>
      </c>
      <c r="F481" s="31" t="s">
        <v>3043</v>
      </c>
      <c r="G481" s="32" t="s">
        <v>39</v>
      </c>
      <c r="H481" s="85">
        <v>43616</v>
      </c>
      <c r="I481" s="83">
        <v>43981</v>
      </c>
      <c r="J481" s="34" t="s">
        <v>3027</v>
      </c>
      <c r="K481" s="26"/>
      <c r="L481" s="27"/>
      <c r="M481" s="27"/>
      <c r="N481" s="28">
        <v>21340</v>
      </c>
      <c r="O481" s="99"/>
    </row>
    <row r="482" spans="1:15" s="110" customFormat="1" ht="15.6">
      <c r="A482" s="25" t="s">
        <v>3018</v>
      </c>
      <c r="B482" s="25" t="s">
        <v>1152</v>
      </c>
      <c r="C482" s="50" t="s">
        <v>3024</v>
      </c>
      <c r="D482" s="52" t="s">
        <v>1181</v>
      </c>
      <c r="E482" s="51" t="s">
        <v>3031</v>
      </c>
      <c r="F482" s="31" t="s">
        <v>3043</v>
      </c>
      <c r="G482" s="32" t="s">
        <v>39</v>
      </c>
      <c r="H482" s="167">
        <v>43616</v>
      </c>
      <c r="I482" s="83">
        <v>43981</v>
      </c>
      <c r="J482" s="34" t="s">
        <v>3027</v>
      </c>
      <c r="K482" s="26"/>
      <c r="L482" s="27"/>
      <c r="M482" s="27"/>
      <c r="N482" s="28">
        <v>21200</v>
      </c>
      <c r="O482" s="99"/>
    </row>
    <row r="483" spans="1:15" s="110" customFormat="1" ht="15.6">
      <c r="A483" s="25" t="s">
        <v>3025</v>
      </c>
      <c r="B483" s="25" t="s">
        <v>1152</v>
      </c>
      <c r="C483" s="50" t="s">
        <v>3026</v>
      </c>
      <c r="D483" s="52" t="s">
        <v>1181</v>
      </c>
      <c r="E483" s="51" t="s">
        <v>3032</v>
      </c>
      <c r="F483" s="31" t="s">
        <v>3043</v>
      </c>
      <c r="G483" s="32" t="s">
        <v>39</v>
      </c>
      <c r="H483" s="167">
        <v>43616</v>
      </c>
      <c r="I483" s="83">
        <v>43981</v>
      </c>
      <c r="J483" s="34" t="s">
        <v>3027</v>
      </c>
      <c r="K483" s="26"/>
      <c r="L483" s="27"/>
      <c r="M483" s="27"/>
      <c r="N483" s="28">
        <v>21200</v>
      </c>
      <c r="O483" s="99"/>
    </row>
    <row r="484" spans="1:15" s="110" customFormat="1" ht="15.6">
      <c r="A484" s="25">
        <v>117</v>
      </c>
      <c r="B484" s="25" t="s">
        <v>1049</v>
      </c>
      <c r="C484" s="38" t="s">
        <v>1905</v>
      </c>
      <c r="D484" s="53" t="s">
        <v>1117</v>
      </c>
      <c r="E484" s="30" t="s">
        <v>152</v>
      </c>
      <c r="F484" s="25" t="s">
        <v>68</v>
      </c>
      <c r="G484" s="25" t="s">
        <v>1109</v>
      </c>
      <c r="H484" s="167">
        <v>43643</v>
      </c>
      <c r="I484" s="83">
        <v>44373</v>
      </c>
      <c r="J484" s="26" t="s">
        <v>1048</v>
      </c>
      <c r="K484" s="26"/>
      <c r="L484" s="27"/>
      <c r="M484" s="27"/>
      <c r="N484" s="28">
        <v>21200</v>
      </c>
      <c r="O484" s="99"/>
    </row>
    <row r="485" spans="1:15" s="110" customFormat="1" ht="15.6">
      <c r="A485" s="25">
        <v>118</v>
      </c>
      <c r="B485" s="25" t="s">
        <v>1049</v>
      </c>
      <c r="C485" s="39" t="s">
        <v>3090</v>
      </c>
      <c r="D485" s="53" t="s">
        <v>1117</v>
      </c>
      <c r="E485" s="30" t="s">
        <v>70</v>
      </c>
      <c r="F485" s="25" t="s">
        <v>3091</v>
      </c>
      <c r="G485" s="25" t="s">
        <v>1</v>
      </c>
      <c r="H485" s="85">
        <v>43691</v>
      </c>
      <c r="I485" s="83">
        <v>44421</v>
      </c>
      <c r="J485" s="26" t="s">
        <v>1048</v>
      </c>
      <c r="K485" s="26" t="s">
        <v>3093</v>
      </c>
      <c r="L485" s="31"/>
      <c r="M485" s="31"/>
      <c r="N485" s="31"/>
      <c r="O485" s="31"/>
    </row>
    <row r="486" spans="1:15" s="110" customFormat="1" ht="15.6">
      <c r="A486" s="25">
        <v>119</v>
      </c>
      <c r="B486" s="25" t="s">
        <v>1049</v>
      </c>
      <c r="C486" s="39" t="s">
        <v>156</v>
      </c>
      <c r="D486" s="53" t="s">
        <v>1117</v>
      </c>
      <c r="E486" s="30" t="s">
        <v>167</v>
      </c>
      <c r="F486" s="25" t="s">
        <v>157</v>
      </c>
      <c r="G486" s="25" t="s">
        <v>1109</v>
      </c>
      <c r="H486" s="85">
        <v>42985</v>
      </c>
      <c r="I486" s="83">
        <v>43714</v>
      </c>
      <c r="J486" s="26" t="s">
        <v>1048</v>
      </c>
      <c r="K486" s="25"/>
      <c r="L486" s="31"/>
      <c r="M486" s="31"/>
      <c r="N486" s="31"/>
      <c r="O486" s="31"/>
    </row>
    <row r="487" spans="1:15" s="110" customFormat="1" ht="15.6">
      <c r="A487" s="25">
        <v>120</v>
      </c>
      <c r="B487" s="25" t="s">
        <v>1049</v>
      </c>
      <c r="C487" s="39" t="s">
        <v>158</v>
      </c>
      <c r="D487" s="53" t="s">
        <v>1117</v>
      </c>
      <c r="E487" s="30" t="s">
        <v>159</v>
      </c>
      <c r="F487" s="25" t="s">
        <v>157</v>
      </c>
      <c r="G487" s="25" t="s">
        <v>1109</v>
      </c>
      <c r="H487" s="85">
        <v>43668</v>
      </c>
      <c r="I487" s="83">
        <v>44398</v>
      </c>
      <c r="J487" s="26" t="s">
        <v>1048</v>
      </c>
      <c r="K487" s="26"/>
      <c r="L487" s="31"/>
      <c r="M487" s="31"/>
      <c r="N487" s="31"/>
      <c r="O487" s="31"/>
    </row>
    <row r="488" spans="1:15" s="110" customFormat="1" ht="15.6">
      <c r="A488" s="25">
        <v>122</v>
      </c>
      <c r="B488" s="25" t="s">
        <v>1049</v>
      </c>
      <c r="C488" s="39" t="s">
        <v>85</v>
      </c>
      <c r="D488" s="53" t="s">
        <v>1117</v>
      </c>
      <c r="E488" s="30" t="s">
        <v>153</v>
      </c>
      <c r="F488" s="25" t="s">
        <v>86</v>
      </c>
      <c r="G488" s="25" t="s">
        <v>1</v>
      </c>
      <c r="H488" s="85">
        <v>43000</v>
      </c>
      <c r="I488" s="83">
        <v>43729</v>
      </c>
      <c r="J488" s="26" t="s">
        <v>1048</v>
      </c>
      <c r="K488" s="25"/>
      <c r="L488" s="31"/>
      <c r="M488" s="31"/>
      <c r="N488" s="31"/>
      <c r="O488" s="31"/>
    </row>
    <row r="489" spans="1:15" s="110" customFormat="1" ht="15.6">
      <c r="A489" s="25">
        <v>123</v>
      </c>
      <c r="B489" s="25" t="s">
        <v>1049</v>
      </c>
      <c r="C489" s="39" t="s">
        <v>71</v>
      </c>
      <c r="D489" s="53" t="s">
        <v>1118</v>
      </c>
      <c r="E489" s="30" t="s">
        <v>61</v>
      </c>
      <c r="F489" s="25" t="s">
        <v>32</v>
      </c>
      <c r="G489" s="25" t="s">
        <v>1</v>
      </c>
      <c r="H489" s="85">
        <v>43644</v>
      </c>
      <c r="I489" s="83">
        <v>44374</v>
      </c>
      <c r="J489" s="26" t="s">
        <v>1048</v>
      </c>
      <c r="K489" s="26"/>
      <c r="L489" s="31"/>
      <c r="M489" s="31"/>
      <c r="N489" s="31"/>
      <c r="O489" s="31"/>
    </row>
    <row r="490" spans="1:15">
      <c r="A490" s="25">
        <v>124</v>
      </c>
      <c r="B490" s="25" t="s">
        <v>1049</v>
      </c>
      <c r="C490" s="39" t="s">
        <v>179</v>
      </c>
      <c r="D490" s="30" t="s">
        <v>1118</v>
      </c>
      <c r="E490" s="30" t="s">
        <v>38</v>
      </c>
      <c r="F490" s="25" t="s">
        <v>37</v>
      </c>
      <c r="G490" s="25" t="s">
        <v>1</v>
      </c>
      <c r="H490" s="85">
        <v>43283</v>
      </c>
      <c r="I490" s="83">
        <v>44013</v>
      </c>
      <c r="J490" s="26" t="s">
        <v>1048</v>
      </c>
      <c r="K490" s="25"/>
      <c r="L490" s="31"/>
      <c r="M490" s="31"/>
      <c r="N490" s="28">
        <v>129800</v>
      </c>
      <c r="O490" s="31"/>
    </row>
    <row r="491" spans="1:15">
      <c r="A491" s="25">
        <v>125</v>
      </c>
      <c r="B491" s="25" t="s">
        <v>1049</v>
      </c>
      <c r="C491" s="39" t="s">
        <v>56</v>
      </c>
      <c r="D491" s="30" t="s">
        <v>1118</v>
      </c>
      <c r="E491" s="30" t="s">
        <v>74</v>
      </c>
      <c r="F491" s="25" t="s">
        <v>40</v>
      </c>
      <c r="G491" s="25" t="s">
        <v>1109</v>
      </c>
      <c r="H491" s="85">
        <v>42913</v>
      </c>
      <c r="I491" s="83">
        <v>43642</v>
      </c>
      <c r="J491" s="26" t="s">
        <v>1048</v>
      </c>
      <c r="K491" s="26"/>
      <c r="L491" s="31"/>
      <c r="M491" s="31"/>
      <c r="N491" s="28">
        <v>129800</v>
      </c>
      <c r="O491" s="31"/>
    </row>
    <row r="492" spans="1:15">
      <c r="A492" s="25">
        <v>126</v>
      </c>
      <c r="B492" s="25" t="s">
        <v>1049</v>
      </c>
      <c r="C492" s="39" t="s">
        <v>52</v>
      </c>
      <c r="D492" s="30" t="s">
        <v>1118</v>
      </c>
      <c r="E492" s="30" t="s">
        <v>36</v>
      </c>
      <c r="F492" s="25" t="s">
        <v>37</v>
      </c>
      <c r="G492" s="25" t="s">
        <v>1</v>
      </c>
      <c r="H492" s="167">
        <v>43003</v>
      </c>
      <c r="I492" s="83">
        <v>43733</v>
      </c>
      <c r="J492" s="26" t="s">
        <v>1048</v>
      </c>
      <c r="K492" s="25"/>
      <c r="L492" s="31"/>
      <c r="M492" s="31"/>
      <c r="N492" s="28">
        <v>21200</v>
      </c>
      <c r="O492" s="31"/>
    </row>
    <row r="493" spans="1:15">
      <c r="A493" s="25">
        <v>127</v>
      </c>
      <c r="B493" s="25" t="s">
        <v>1049</v>
      </c>
      <c r="C493" s="39" t="s">
        <v>79</v>
      </c>
      <c r="D493" s="53" t="s">
        <v>1118</v>
      </c>
      <c r="E493" s="30" t="s">
        <v>72</v>
      </c>
      <c r="F493" s="25" t="s">
        <v>32</v>
      </c>
      <c r="G493" s="25" t="s">
        <v>1</v>
      </c>
      <c r="H493" s="85">
        <v>43003</v>
      </c>
      <c r="I493" s="83">
        <v>43733</v>
      </c>
      <c r="J493" s="26" t="s">
        <v>1048</v>
      </c>
      <c r="K493" s="25"/>
      <c r="L493" s="31"/>
      <c r="M493" s="31"/>
      <c r="N493" s="31" t="s">
        <v>2681</v>
      </c>
      <c r="O493" s="31"/>
    </row>
    <row r="494" spans="1:15">
      <c r="A494" s="25">
        <v>128</v>
      </c>
      <c r="B494" s="25" t="s">
        <v>1049</v>
      </c>
      <c r="C494" s="39" t="s">
        <v>69</v>
      </c>
      <c r="D494" s="30" t="s">
        <v>1118</v>
      </c>
      <c r="E494" s="30" t="s">
        <v>45</v>
      </c>
      <c r="F494" s="25" t="s">
        <v>32</v>
      </c>
      <c r="G494" s="25" t="s">
        <v>1</v>
      </c>
      <c r="H494" s="85">
        <v>43644</v>
      </c>
      <c r="I494" s="83">
        <v>44374</v>
      </c>
      <c r="J494" s="26" t="s">
        <v>1048</v>
      </c>
      <c r="K494" s="26"/>
      <c r="L494" s="31"/>
      <c r="M494" s="31"/>
      <c r="N494" s="31" t="s">
        <v>2681</v>
      </c>
      <c r="O494" s="31"/>
    </row>
    <row r="495" spans="1:15">
      <c r="A495" s="25">
        <v>129</v>
      </c>
      <c r="B495" s="25" t="s">
        <v>1049</v>
      </c>
      <c r="C495" s="39" t="s">
        <v>73</v>
      </c>
      <c r="D495" s="53" t="s">
        <v>1118</v>
      </c>
      <c r="E495" s="30" t="s">
        <v>62</v>
      </c>
      <c r="F495" s="25" t="s">
        <v>32</v>
      </c>
      <c r="G495" s="25" t="s">
        <v>1</v>
      </c>
      <c r="H495" s="85">
        <v>43644</v>
      </c>
      <c r="I495" s="83">
        <v>44374</v>
      </c>
      <c r="J495" s="26" t="s">
        <v>1048</v>
      </c>
      <c r="K495" s="26"/>
      <c r="L495" s="31"/>
      <c r="M495" s="31"/>
      <c r="N495" s="31"/>
      <c r="O495" s="31"/>
    </row>
    <row r="496" spans="1:15">
      <c r="A496" s="25">
        <v>131</v>
      </c>
      <c r="B496" s="25" t="s">
        <v>1919</v>
      </c>
      <c r="C496" s="39" t="s">
        <v>1920</v>
      </c>
      <c r="D496" s="53" t="s">
        <v>1921</v>
      </c>
      <c r="E496" s="30" t="s">
        <v>1922</v>
      </c>
      <c r="F496" s="31" t="s">
        <v>3043</v>
      </c>
      <c r="G496" s="25" t="s">
        <v>1923</v>
      </c>
      <c r="H496" s="85">
        <v>43000</v>
      </c>
      <c r="I496" s="83">
        <v>43729</v>
      </c>
      <c r="J496" s="26" t="s">
        <v>1924</v>
      </c>
      <c r="K496" s="25"/>
      <c r="L496" s="27"/>
      <c r="M496" s="27"/>
      <c r="N496" s="28">
        <v>25580</v>
      </c>
      <c r="O496" s="99"/>
    </row>
    <row r="497" spans="1:15" s="110" customFormat="1" ht="15.6">
      <c r="A497" s="25">
        <v>132</v>
      </c>
      <c r="B497" s="25" t="s">
        <v>1049</v>
      </c>
      <c r="C497" s="39" t="s">
        <v>160</v>
      </c>
      <c r="D497" s="53" t="s">
        <v>1118</v>
      </c>
      <c r="E497" s="30" t="s">
        <v>161</v>
      </c>
      <c r="F497" s="25" t="s">
        <v>162</v>
      </c>
      <c r="G497" s="25" t="s">
        <v>1109</v>
      </c>
      <c r="H497" s="85">
        <v>43003</v>
      </c>
      <c r="I497" s="83">
        <v>43733</v>
      </c>
      <c r="J497" s="26" t="s">
        <v>1048</v>
      </c>
      <c r="K497" s="25"/>
      <c r="L497" s="27"/>
      <c r="M497" s="27"/>
      <c r="N497" s="28">
        <v>42000</v>
      </c>
      <c r="O497" s="99"/>
    </row>
    <row r="498" spans="1:15">
      <c r="A498" s="25">
        <v>133</v>
      </c>
      <c r="B498" s="25" t="s">
        <v>1049</v>
      </c>
      <c r="C498" s="38" t="s">
        <v>140</v>
      </c>
      <c r="D498" s="30" t="s">
        <v>1120</v>
      </c>
      <c r="E498" s="38" t="s">
        <v>1059</v>
      </c>
      <c r="F498" s="25" t="s">
        <v>94</v>
      </c>
      <c r="G498" s="25" t="s">
        <v>0</v>
      </c>
      <c r="H498" s="83">
        <v>43634</v>
      </c>
      <c r="I498" s="84">
        <v>43999</v>
      </c>
      <c r="J498" s="26" t="s">
        <v>1048</v>
      </c>
      <c r="K498" s="26"/>
      <c r="L498" s="45"/>
      <c r="M498" s="45"/>
      <c r="N498" s="28">
        <v>42000</v>
      </c>
      <c r="O498" s="103"/>
    </row>
    <row r="499" spans="1:15">
      <c r="A499" s="25">
        <v>134</v>
      </c>
      <c r="B499" s="25" t="s">
        <v>1049</v>
      </c>
      <c r="C499" s="57" t="s">
        <v>34</v>
      </c>
      <c r="D499" s="53" t="s">
        <v>1121</v>
      </c>
      <c r="E499" s="30" t="s">
        <v>1122</v>
      </c>
      <c r="F499" s="31" t="s">
        <v>3043</v>
      </c>
      <c r="G499" s="25" t="s">
        <v>1</v>
      </c>
      <c r="H499" s="85">
        <v>43278</v>
      </c>
      <c r="I499" s="83">
        <v>44008</v>
      </c>
      <c r="J499" s="26" t="s">
        <v>1048</v>
      </c>
      <c r="K499" s="25"/>
      <c r="L499" s="45"/>
      <c r="M499" s="45"/>
      <c r="N499" s="28">
        <v>42000</v>
      </c>
      <c r="O499" s="103"/>
    </row>
    <row r="500" spans="1:15">
      <c r="A500" s="25">
        <v>135</v>
      </c>
      <c r="B500" s="25" t="s">
        <v>1049</v>
      </c>
      <c r="C500" s="58" t="s">
        <v>18</v>
      </c>
      <c r="D500" s="30" t="s">
        <v>1273</v>
      </c>
      <c r="E500" s="30" t="s">
        <v>1123</v>
      </c>
      <c r="F500" s="25" t="s">
        <v>19</v>
      </c>
      <c r="G500" s="25" t="s">
        <v>1903</v>
      </c>
      <c r="H500" s="85">
        <v>43642</v>
      </c>
      <c r="I500" s="83">
        <v>44007</v>
      </c>
      <c r="J500" s="26" t="s">
        <v>1048</v>
      </c>
      <c r="K500" s="26"/>
      <c r="L500" s="35"/>
      <c r="M500" s="35"/>
      <c r="N500" s="28">
        <v>42000</v>
      </c>
      <c r="O500" s="121"/>
    </row>
    <row r="501" spans="1:15" s="110" customFormat="1" ht="15.6">
      <c r="A501" s="25">
        <v>136</v>
      </c>
      <c r="B501" s="25" t="s">
        <v>1049</v>
      </c>
      <c r="C501" s="58" t="s">
        <v>20</v>
      </c>
      <c r="D501" s="30" t="s">
        <v>1273</v>
      </c>
      <c r="E501" s="30" t="s">
        <v>1124</v>
      </c>
      <c r="F501" s="25" t="s">
        <v>19</v>
      </c>
      <c r="G501" s="25" t="s">
        <v>1903</v>
      </c>
      <c r="H501" s="85">
        <v>43642</v>
      </c>
      <c r="I501" s="83">
        <v>44007</v>
      </c>
      <c r="J501" s="26" t="s">
        <v>1048</v>
      </c>
      <c r="K501" s="26"/>
      <c r="L501" s="27"/>
      <c r="M501" s="27"/>
      <c r="N501" s="28">
        <v>42000</v>
      </c>
      <c r="O501" s="99"/>
    </row>
    <row r="502" spans="1:15" s="145" customFormat="1">
      <c r="A502" s="25">
        <v>137</v>
      </c>
      <c r="B502" s="25" t="s">
        <v>1049</v>
      </c>
      <c r="C502" s="58" t="s">
        <v>21</v>
      </c>
      <c r="D502" s="30" t="s">
        <v>1273</v>
      </c>
      <c r="E502" s="164" t="s">
        <v>1125</v>
      </c>
      <c r="F502" s="130" t="s">
        <v>19</v>
      </c>
      <c r="G502" s="25" t="s">
        <v>1903</v>
      </c>
      <c r="H502" s="167">
        <v>43642</v>
      </c>
      <c r="I502" s="83">
        <v>44007</v>
      </c>
      <c r="J502" s="26" t="s">
        <v>1048</v>
      </c>
      <c r="K502" s="26"/>
      <c r="L502" s="143"/>
      <c r="M502" s="143"/>
      <c r="N502" s="28">
        <v>21200</v>
      </c>
      <c r="O502" s="150"/>
    </row>
    <row r="503" spans="1:15" s="145" customFormat="1">
      <c r="A503" s="25">
        <v>138</v>
      </c>
      <c r="B503" s="25" t="s">
        <v>1049</v>
      </c>
      <c r="C503" s="58" t="s">
        <v>22</v>
      </c>
      <c r="D503" s="30" t="s">
        <v>1273</v>
      </c>
      <c r="E503" s="164" t="s">
        <v>1126</v>
      </c>
      <c r="F503" s="130" t="s">
        <v>19</v>
      </c>
      <c r="G503" s="25" t="s">
        <v>1903</v>
      </c>
      <c r="H503" s="167">
        <v>43642</v>
      </c>
      <c r="I503" s="83">
        <v>44007</v>
      </c>
      <c r="J503" s="26" t="s">
        <v>1048</v>
      </c>
      <c r="K503" s="26"/>
      <c r="L503" s="143"/>
      <c r="M503" s="143"/>
      <c r="N503" s="46">
        <v>74800</v>
      </c>
      <c r="O503" s="150"/>
    </row>
    <row r="504" spans="1:15" s="145" customFormat="1">
      <c r="A504" s="25">
        <v>139</v>
      </c>
      <c r="B504" s="25" t="s">
        <v>1049</v>
      </c>
      <c r="C504" s="58" t="s">
        <v>23</v>
      </c>
      <c r="D504" s="164" t="s">
        <v>1273</v>
      </c>
      <c r="E504" s="164" t="s">
        <v>1127</v>
      </c>
      <c r="F504" s="130" t="s">
        <v>19</v>
      </c>
      <c r="G504" s="25" t="s">
        <v>1903</v>
      </c>
      <c r="H504" s="167">
        <v>43643</v>
      </c>
      <c r="I504" s="83">
        <v>44008</v>
      </c>
      <c r="J504" s="26" t="s">
        <v>1048</v>
      </c>
      <c r="K504" s="26"/>
      <c r="L504" s="143"/>
      <c r="M504" s="143"/>
      <c r="N504" s="46">
        <v>13240</v>
      </c>
      <c r="O504" s="150"/>
    </row>
    <row r="505" spans="1:15" s="145" customFormat="1">
      <c r="A505" s="25">
        <v>140</v>
      </c>
      <c r="B505" s="25" t="s">
        <v>1049</v>
      </c>
      <c r="C505" s="58" t="s">
        <v>24</v>
      </c>
      <c r="D505" s="164" t="s">
        <v>1273</v>
      </c>
      <c r="E505" s="164" t="s">
        <v>1128</v>
      </c>
      <c r="F505" s="130" t="s">
        <v>19</v>
      </c>
      <c r="G505" s="25" t="s">
        <v>1903</v>
      </c>
      <c r="H505" s="167">
        <v>43643</v>
      </c>
      <c r="I505" s="83">
        <v>44008</v>
      </c>
      <c r="J505" s="26" t="s">
        <v>1048</v>
      </c>
      <c r="K505" s="26"/>
      <c r="L505" s="143"/>
      <c r="M505" s="143"/>
      <c r="N505" s="46">
        <v>13240</v>
      </c>
      <c r="O505" s="150"/>
    </row>
    <row r="506" spans="1:15" s="145" customFormat="1">
      <c r="A506" s="25">
        <v>141</v>
      </c>
      <c r="B506" s="25" t="s">
        <v>1049</v>
      </c>
      <c r="C506" s="58" t="s">
        <v>25</v>
      </c>
      <c r="D506" s="30" t="s">
        <v>1273</v>
      </c>
      <c r="E506" s="164" t="s">
        <v>1129</v>
      </c>
      <c r="F506" s="130" t="s">
        <v>19</v>
      </c>
      <c r="G506" s="25" t="s">
        <v>1903</v>
      </c>
      <c r="H506" s="167">
        <v>43643</v>
      </c>
      <c r="I506" s="83">
        <v>44008</v>
      </c>
      <c r="J506" s="26" t="s">
        <v>1048</v>
      </c>
      <c r="K506" s="26"/>
      <c r="L506" s="143"/>
      <c r="M506" s="143"/>
      <c r="N506" s="28">
        <v>23000</v>
      </c>
      <c r="O506" s="150"/>
    </row>
    <row r="507" spans="1:15" s="145" customFormat="1">
      <c r="A507" s="25">
        <v>142</v>
      </c>
      <c r="B507" s="25" t="s">
        <v>1049</v>
      </c>
      <c r="C507" s="58" t="s">
        <v>26</v>
      </c>
      <c r="D507" s="164" t="s">
        <v>1273</v>
      </c>
      <c r="E507" s="164" t="s">
        <v>1130</v>
      </c>
      <c r="F507" s="130" t="s">
        <v>19</v>
      </c>
      <c r="G507" s="25" t="s">
        <v>1903</v>
      </c>
      <c r="H507" s="167">
        <v>43643</v>
      </c>
      <c r="I507" s="83">
        <v>44008</v>
      </c>
      <c r="J507" s="26" t="s">
        <v>1048</v>
      </c>
      <c r="K507" s="26"/>
      <c r="L507" s="143"/>
      <c r="M507" s="143"/>
      <c r="N507" s="28">
        <v>23000</v>
      </c>
      <c r="O507" s="150"/>
    </row>
    <row r="508" spans="1:15" s="145" customFormat="1">
      <c r="A508" s="25">
        <v>143</v>
      </c>
      <c r="B508" s="25" t="s">
        <v>1049</v>
      </c>
      <c r="C508" s="58" t="s">
        <v>27</v>
      </c>
      <c r="D508" s="164" t="s">
        <v>1273</v>
      </c>
      <c r="E508" s="164" t="s">
        <v>1131</v>
      </c>
      <c r="F508" s="130" t="s">
        <v>19</v>
      </c>
      <c r="G508" s="25" t="s">
        <v>1903</v>
      </c>
      <c r="H508" s="167">
        <v>43643</v>
      </c>
      <c r="I508" s="83">
        <v>44008</v>
      </c>
      <c r="J508" s="26" t="s">
        <v>1994</v>
      </c>
      <c r="K508" s="26"/>
      <c r="L508" s="143"/>
      <c r="M508" s="143"/>
      <c r="N508" s="28">
        <v>23000</v>
      </c>
      <c r="O508" s="150"/>
    </row>
    <row r="509" spans="1:15" s="145" customFormat="1">
      <c r="A509" s="25">
        <v>144</v>
      </c>
      <c r="B509" s="25" t="s">
        <v>1049</v>
      </c>
      <c r="C509" s="58" t="s">
        <v>28</v>
      </c>
      <c r="D509" s="164" t="s">
        <v>1273</v>
      </c>
      <c r="E509" s="164" t="s">
        <v>1132</v>
      </c>
      <c r="F509" s="130" t="s">
        <v>19</v>
      </c>
      <c r="G509" s="25" t="s">
        <v>1903</v>
      </c>
      <c r="H509" s="167">
        <v>43643</v>
      </c>
      <c r="I509" s="83">
        <v>44008</v>
      </c>
      <c r="J509" s="26" t="s">
        <v>1048</v>
      </c>
      <c r="K509" s="26"/>
      <c r="L509" s="143"/>
      <c r="M509" s="143"/>
      <c r="N509" s="46">
        <v>13240</v>
      </c>
      <c r="O509" s="150"/>
    </row>
    <row r="510" spans="1:15" s="145" customFormat="1">
      <c r="A510" s="25">
        <v>145</v>
      </c>
      <c r="B510" s="25" t="s">
        <v>1049</v>
      </c>
      <c r="C510" s="38" t="s">
        <v>117</v>
      </c>
      <c r="D510" s="164" t="s">
        <v>1274</v>
      </c>
      <c r="E510" s="164" t="s">
        <v>1133</v>
      </c>
      <c r="F510" s="130" t="s">
        <v>114</v>
      </c>
      <c r="G510" s="25" t="s">
        <v>0</v>
      </c>
      <c r="H510" s="161">
        <v>43634</v>
      </c>
      <c r="I510" s="84">
        <v>43999</v>
      </c>
      <c r="J510" s="26" t="s">
        <v>1048</v>
      </c>
      <c r="K510" s="26"/>
      <c r="L510" s="143"/>
      <c r="M510" s="143"/>
      <c r="N510" s="46">
        <v>13240</v>
      </c>
      <c r="O510" s="150"/>
    </row>
    <row r="511" spans="1:15" s="145" customFormat="1">
      <c r="A511" s="25">
        <v>146</v>
      </c>
      <c r="B511" s="25" t="s">
        <v>1049</v>
      </c>
      <c r="C511" s="38" t="s">
        <v>118</v>
      </c>
      <c r="D511" s="164" t="s">
        <v>1274</v>
      </c>
      <c r="E511" s="164" t="s">
        <v>1134</v>
      </c>
      <c r="F511" s="130" t="s">
        <v>78</v>
      </c>
      <c r="G511" s="25" t="s">
        <v>0</v>
      </c>
      <c r="H511" s="161">
        <v>43634</v>
      </c>
      <c r="I511" s="84">
        <v>43999</v>
      </c>
      <c r="J511" s="26" t="s">
        <v>1995</v>
      </c>
      <c r="K511" s="26"/>
      <c r="L511" s="143"/>
      <c r="M511" s="143"/>
      <c r="N511" s="46">
        <v>13240</v>
      </c>
      <c r="O511" s="150"/>
    </row>
    <row r="512" spans="1:15" s="145" customFormat="1">
      <c r="A512" s="25">
        <v>147</v>
      </c>
      <c r="B512" s="25" t="s">
        <v>1049</v>
      </c>
      <c r="C512" s="38" t="s">
        <v>29</v>
      </c>
      <c r="D512" s="164" t="s">
        <v>1274</v>
      </c>
      <c r="E512" s="164" t="s">
        <v>1134</v>
      </c>
      <c r="F512" s="130" t="s">
        <v>78</v>
      </c>
      <c r="G512" s="25" t="s">
        <v>0</v>
      </c>
      <c r="H512" s="161">
        <v>43634</v>
      </c>
      <c r="I512" s="84">
        <v>43999</v>
      </c>
      <c r="J512" s="26" t="s">
        <v>116</v>
      </c>
      <c r="K512" s="26"/>
      <c r="L512" s="143"/>
      <c r="M512" s="143"/>
      <c r="N512" s="46">
        <v>13240</v>
      </c>
      <c r="O512" s="150"/>
    </row>
    <row r="513" spans="1:15" s="145" customFormat="1">
      <c r="A513" s="25">
        <v>149</v>
      </c>
      <c r="B513" s="25" t="s">
        <v>1049</v>
      </c>
      <c r="C513" s="39" t="s">
        <v>119</v>
      </c>
      <c r="D513" s="164" t="s">
        <v>1274</v>
      </c>
      <c r="E513" s="164" t="s">
        <v>1134</v>
      </c>
      <c r="F513" s="130" t="s">
        <v>114</v>
      </c>
      <c r="G513" s="25" t="s">
        <v>1056</v>
      </c>
      <c r="H513" s="161">
        <v>43634</v>
      </c>
      <c r="I513" s="84">
        <v>43999</v>
      </c>
      <c r="J513" s="26" t="s">
        <v>1055</v>
      </c>
      <c r="K513" s="26"/>
      <c r="L513" s="143"/>
      <c r="M513" s="143"/>
      <c r="N513" s="46">
        <v>13240</v>
      </c>
      <c r="O513" s="150"/>
    </row>
    <row r="514" spans="1:15" s="145" customFormat="1">
      <c r="A514" s="25">
        <v>150</v>
      </c>
      <c r="B514" s="25" t="s">
        <v>1049</v>
      </c>
      <c r="C514" s="39" t="s">
        <v>120</v>
      </c>
      <c r="D514" s="30" t="s">
        <v>1274</v>
      </c>
      <c r="E514" s="164" t="s">
        <v>1134</v>
      </c>
      <c r="F514" s="130" t="s">
        <v>114</v>
      </c>
      <c r="G514" s="25" t="s">
        <v>0</v>
      </c>
      <c r="H514" s="161">
        <v>43634</v>
      </c>
      <c r="I514" s="84">
        <v>43999</v>
      </c>
      <c r="J514" s="26" t="s">
        <v>1048</v>
      </c>
      <c r="K514" s="26"/>
      <c r="L514" s="143"/>
      <c r="M514" s="143"/>
      <c r="N514" s="28">
        <v>129800</v>
      </c>
      <c r="O514" s="150"/>
    </row>
    <row r="515" spans="1:15" s="145" customFormat="1">
      <c r="A515" s="25">
        <v>151</v>
      </c>
      <c r="B515" s="25" t="s">
        <v>1049</v>
      </c>
      <c r="C515" s="39" t="s">
        <v>121</v>
      </c>
      <c r="D515" s="164" t="s">
        <v>1274</v>
      </c>
      <c r="E515" s="164" t="s">
        <v>1134</v>
      </c>
      <c r="F515" s="130" t="s">
        <v>114</v>
      </c>
      <c r="G515" s="25" t="s">
        <v>0</v>
      </c>
      <c r="H515" s="167">
        <v>43524</v>
      </c>
      <c r="I515" s="83">
        <v>43888</v>
      </c>
      <c r="J515" s="26" t="s">
        <v>1066</v>
      </c>
      <c r="K515" s="25"/>
      <c r="L515" s="143"/>
      <c r="M515" s="143"/>
      <c r="N515" s="28">
        <v>23000</v>
      </c>
      <c r="O515" s="150"/>
    </row>
    <row r="516" spans="1:15" s="145" customFormat="1">
      <c r="A516" s="25">
        <v>152</v>
      </c>
      <c r="B516" s="25" t="s">
        <v>1049</v>
      </c>
      <c r="C516" s="39" t="s">
        <v>122</v>
      </c>
      <c r="D516" s="30" t="s">
        <v>1274</v>
      </c>
      <c r="E516" s="164" t="s">
        <v>1134</v>
      </c>
      <c r="F516" s="130" t="s">
        <v>114</v>
      </c>
      <c r="G516" s="25" t="s">
        <v>0</v>
      </c>
      <c r="H516" s="161">
        <v>43634</v>
      </c>
      <c r="I516" s="84">
        <v>43999</v>
      </c>
      <c r="J516" s="26" t="s">
        <v>1055</v>
      </c>
      <c r="K516" s="26"/>
      <c r="L516" s="143"/>
      <c r="M516" s="143"/>
      <c r="N516" s="28">
        <v>23000</v>
      </c>
      <c r="O516" s="150"/>
    </row>
    <row r="517" spans="1:15" s="145" customFormat="1">
      <c r="A517" s="31" t="s">
        <v>3066</v>
      </c>
      <c r="B517" s="31" t="s">
        <v>1152</v>
      </c>
      <c r="C517" s="38" t="s">
        <v>3067</v>
      </c>
      <c r="D517" s="38" t="s">
        <v>1181</v>
      </c>
      <c r="E517" s="170" t="s">
        <v>2118</v>
      </c>
      <c r="F517" s="119" t="s">
        <v>3043</v>
      </c>
      <c r="G517" s="31" t="s">
        <v>39</v>
      </c>
      <c r="H517" s="161">
        <v>43634</v>
      </c>
      <c r="I517" s="84">
        <v>43999</v>
      </c>
      <c r="J517" s="31" t="s">
        <v>3068</v>
      </c>
      <c r="K517" s="26"/>
      <c r="L517" s="143"/>
      <c r="M517" s="143"/>
      <c r="N517" s="28">
        <v>23000</v>
      </c>
      <c r="O517" s="150"/>
    </row>
    <row r="518" spans="1:15" s="145" customFormat="1">
      <c r="A518" s="25">
        <v>153</v>
      </c>
      <c r="B518" s="25" t="s">
        <v>1049</v>
      </c>
      <c r="C518" s="39" t="s">
        <v>123</v>
      </c>
      <c r="D518" s="30" t="s">
        <v>1274</v>
      </c>
      <c r="E518" s="164" t="s">
        <v>1134</v>
      </c>
      <c r="F518" s="130" t="s">
        <v>78</v>
      </c>
      <c r="G518" s="25" t="s">
        <v>0</v>
      </c>
      <c r="H518" s="161">
        <v>43634</v>
      </c>
      <c r="I518" s="84">
        <v>43999</v>
      </c>
      <c r="J518" s="26" t="s">
        <v>1048</v>
      </c>
      <c r="K518" s="26"/>
      <c r="L518" s="143"/>
      <c r="M518" s="143"/>
      <c r="N518" s="28">
        <v>21200</v>
      </c>
      <c r="O518" s="150"/>
    </row>
    <row r="519" spans="1:15" s="145" customFormat="1">
      <c r="A519" s="25">
        <v>155</v>
      </c>
      <c r="B519" s="25" t="s">
        <v>1049</v>
      </c>
      <c r="C519" s="39" t="s">
        <v>125</v>
      </c>
      <c r="D519" s="30" t="s">
        <v>1274</v>
      </c>
      <c r="E519" s="164" t="s">
        <v>1134</v>
      </c>
      <c r="F519" s="130" t="s">
        <v>126</v>
      </c>
      <c r="G519" s="25" t="s">
        <v>1056</v>
      </c>
      <c r="H519" s="167">
        <v>43524</v>
      </c>
      <c r="I519" s="83">
        <v>43888</v>
      </c>
      <c r="J519" s="26" t="s">
        <v>1067</v>
      </c>
      <c r="K519" s="25"/>
      <c r="L519" s="143"/>
      <c r="M519" s="143"/>
      <c r="N519" s="28">
        <v>21200</v>
      </c>
      <c r="O519" s="150"/>
    </row>
    <row r="520" spans="1:15" s="145" customFormat="1">
      <c r="A520" s="25">
        <v>156</v>
      </c>
      <c r="B520" s="25" t="s">
        <v>1049</v>
      </c>
      <c r="C520" s="39" t="s">
        <v>81</v>
      </c>
      <c r="D520" s="30" t="s">
        <v>1274</v>
      </c>
      <c r="E520" s="164" t="s">
        <v>1134</v>
      </c>
      <c r="F520" s="130" t="s">
        <v>64</v>
      </c>
      <c r="G520" s="25" t="s">
        <v>1056</v>
      </c>
      <c r="H520" s="167">
        <v>43524</v>
      </c>
      <c r="I520" s="83">
        <v>43888</v>
      </c>
      <c r="J520" s="26" t="s">
        <v>2991</v>
      </c>
      <c r="K520" s="25"/>
      <c r="L520" s="143"/>
      <c r="M520" s="143"/>
      <c r="N520" s="28">
        <v>21200</v>
      </c>
      <c r="O520" s="150"/>
    </row>
    <row r="521" spans="1:15" s="145" customFormat="1">
      <c r="A521" s="25">
        <v>161</v>
      </c>
      <c r="B521" s="25" t="s">
        <v>1049</v>
      </c>
      <c r="C521" s="39" t="s">
        <v>138</v>
      </c>
      <c r="D521" s="53" t="s">
        <v>1270</v>
      </c>
      <c r="E521" s="177" t="s">
        <v>1135</v>
      </c>
      <c r="F521" s="130" t="s">
        <v>139</v>
      </c>
      <c r="G521" s="25" t="s">
        <v>1</v>
      </c>
      <c r="H521" s="85">
        <v>43271</v>
      </c>
      <c r="I521" s="83">
        <v>44001</v>
      </c>
      <c r="J521" s="26" t="s">
        <v>116</v>
      </c>
      <c r="K521" s="25"/>
      <c r="L521" s="143"/>
      <c r="M521" s="143"/>
      <c r="N521" s="28">
        <v>21200</v>
      </c>
      <c r="O521" s="150"/>
    </row>
    <row r="522" spans="1:15" s="145" customFormat="1">
      <c r="A522" s="25">
        <v>162</v>
      </c>
      <c r="B522" s="25" t="s">
        <v>1049</v>
      </c>
      <c r="C522" s="39">
        <v>940170</v>
      </c>
      <c r="D522" s="53" t="s">
        <v>1295</v>
      </c>
      <c r="E522" s="177" t="s">
        <v>1136</v>
      </c>
      <c r="F522" s="130" t="s">
        <v>1137</v>
      </c>
      <c r="G522" s="25" t="s">
        <v>1</v>
      </c>
      <c r="H522" s="167">
        <v>43271</v>
      </c>
      <c r="I522" s="83">
        <v>44001</v>
      </c>
      <c r="J522" s="26" t="s">
        <v>1048</v>
      </c>
      <c r="K522" s="25"/>
      <c r="L522" s="143"/>
      <c r="M522" s="143"/>
      <c r="N522" s="28">
        <v>21200</v>
      </c>
      <c r="O522" s="150"/>
    </row>
    <row r="523" spans="1:15" s="145" customFormat="1">
      <c r="A523" s="25">
        <v>163</v>
      </c>
      <c r="B523" s="25" t="s">
        <v>1049</v>
      </c>
      <c r="C523" s="38" t="s">
        <v>53</v>
      </c>
      <c r="D523" s="30" t="s">
        <v>1138</v>
      </c>
      <c r="E523" s="164" t="s">
        <v>1139</v>
      </c>
      <c r="F523" s="130" t="s">
        <v>35</v>
      </c>
      <c r="G523" s="25" t="s">
        <v>1</v>
      </c>
      <c r="H523" s="167">
        <v>43152</v>
      </c>
      <c r="I523" s="83">
        <v>43881</v>
      </c>
      <c r="J523" s="26" t="s">
        <v>1048</v>
      </c>
      <c r="K523" s="25"/>
      <c r="L523" s="143"/>
      <c r="M523" s="143"/>
      <c r="N523" s="28">
        <v>21200</v>
      </c>
      <c r="O523" s="150"/>
    </row>
    <row r="524" spans="1:15" s="145" customFormat="1">
      <c r="A524" s="25">
        <v>164</v>
      </c>
      <c r="B524" s="25" t="s">
        <v>1049</v>
      </c>
      <c r="C524" s="39" t="s">
        <v>76</v>
      </c>
      <c r="D524" s="30" t="s">
        <v>1138</v>
      </c>
      <c r="E524" s="164" t="s">
        <v>1140</v>
      </c>
      <c r="F524" s="130" t="s">
        <v>77</v>
      </c>
      <c r="G524" s="25" t="s">
        <v>1</v>
      </c>
      <c r="H524" s="167">
        <v>43279</v>
      </c>
      <c r="I524" s="83">
        <v>44009</v>
      </c>
      <c r="J524" s="26" t="s">
        <v>1048</v>
      </c>
      <c r="K524" s="25"/>
      <c r="L524" s="143"/>
      <c r="M524" s="143"/>
      <c r="N524" s="28">
        <v>21200</v>
      </c>
      <c r="O524" s="150"/>
    </row>
    <row r="525" spans="1:15" s="145" customFormat="1">
      <c r="A525" s="25">
        <v>165</v>
      </c>
      <c r="B525" s="25" t="s">
        <v>1049</v>
      </c>
      <c r="C525" s="39">
        <v>100071101</v>
      </c>
      <c r="D525" s="53" t="s">
        <v>1141</v>
      </c>
      <c r="E525" s="164" t="s">
        <v>54</v>
      </c>
      <c r="F525" s="130" t="s">
        <v>64</v>
      </c>
      <c r="G525" s="25" t="s">
        <v>39</v>
      </c>
      <c r="H525" s="161">
        <v>43634</v>
      </c>
      <c r="I525" s="84">
        <v>43999</v>
      </c>
      <c r="J525" s="26" t="s">
        <v>1048</v>
      </c>
      <c r="K525" s="26"/>
      <c r="L525" s="143"/>
      <c r="M525" s="143"/>
      <c r="N525" s="28">
        <v>21200</v>
      </c>
      <c r="O525" s="150"/>
    </row>
    <row r="526" spans="1:15">
      <c r="A526" s="25">
        <v>171</v>
      </c>
      <c r="B526" s="25" t="s">
        <v>2976</v>
      </c>
      <c r="C526" s="39" t="s">
        <v>2977</v>
      </c>
      <c r="D526" s="53" t="s">
        <v>2978</v>
      </c>
      <c r="E526" s="53" t="s">
        <v>2979</v>
      </c>
      <c r="F526" s="31" t="s">
        <v>3043</v>
      </c>
      <c r="G526" s="25" t="s">
        <v>2980</v>
      </c>
      <c r="H526" s="167">
        <v>43524</v>
      </c>
      <c r="I526" s="83">
        <v>43888</v>
      </c>
      <c r="J526" s="26" t="s">
        <v>2981</v>
      </c>
      <c r="K526" s="25"/>
      <c r="L526" s="27"/>
      <c r="M526" s="27"/>
      <c r="N526" s="28">
        <v>21200</v>
      </c>
      <c r="O526" s="99"/>
    </row>
    <row r="527" spans="1:15">
      <c r="A527" s="25">
        <v>172</v>
      </c>
      <c r="B527" s="25" t="s">
        <v>1049</v>
      </c>
      <c r="C527" s="39" t="s">
        <v>145</v>
      </c>
      <c r="D527" s="53" t="s">
        <v>1142</v>
      </c>
      <c r="E527" s="53" t="s">
        <v>1143</v>
      </c>
      <c r="F527" s="25" t="s">
        <v>77</v>
      </c>
      <c r="G527" s="25" t="s">
        <v>1109</v>
      </c>
      <c r="H527" s="167">
        <v>43000</v>
      </c>
      <c r="I527" s="83">
        <v>43728</v>
      </c>
      <c r="J527" s="26" t="s">
        <v>1048</v>
      </c>
      <c r="K527" s="25"/>
      <c r="L527" s="27"/>
      <c r="M527" s="27"/>
      <c r="N527" s="28">
        <v>21200</v>
      </c>
      <c r="O527" s="99"/>
    </row>
    <row r="528" spans="1:15" ht="13.5" customHeight="1">
      <c r="A528" s="25">
        <v>173</v>
      </c>
      <c r="B528" s="25" t="s">
        <v>1049</v>
      </c>
      <c r="C528" s="39" t="s">
        <v>142</v>
      </c>
      <c r="D528" s="53" t="s">
        <v>1144</v>
      </c>
      <c r="E528" s="53" t="s">
        <v>1145</v>
      </c>
      <c r="F528" s="25" t="s">
        <v>143</v>
      </c>
      <c r="G528" s="25" t="s">
        <v>1056</v>
      </c>
      <c r="H528" s="85">
        <v>43000</v>
      </c>
      <c r="I528" s="83">
        <v>43730</v>
      </c>
      <c r="J528" s="26" t="s">
        <v>1048</v>
      </c>
      <c r="K528" s="25"/>
      <c r="L528" s="27"/>
      <c r="M528" s="27"/>
      <c r="N528" s="28"/>
      <c r="O528" s="99"/>
    </row>
    <row r="529" spans="1:15" ht="13.5" customHeight="1">
      <c r="A529" s="25">
        <v>174</v>
      </c>
      <c r="B529" s="25" t="s">
        <v>1049</v>
      </c>
      <c r="C529" s="39" t="s">
        <v>144</v>
      </c>
      <c r="D529" s="36" t="s">
        <v>1144</v>
      </c>
      <c r="E529" s="36" t="s">
        <v>1146</v>
      </c>
      <c r="F529" s="25" t="s">
        <v>143</v>
      </c>
      <c r="G529" s="25" t="s">
        <v>1056</v>
      </c>
      <c r="H529" s="85">
        <v>43000</v>
      </c>
      <c r="I529" s="83">
        <v>43730</v>
      </c>
      <c r="J529" s="26" t="s">
        <v>1048</v>
      </c>
      <c r="K529" s="25"/>
      <c r="L529" s="27"/>
      <c r="M529" s="27"/>
      <c r="N529" s="28">
        <v>8820</v>
      </c>
      <c r="O529" s="29"/>
    </row>
    <row r="530" spans="1:15">
      <c r="A530" s="25">
        <v>175</v>
      </c>
      <c r="B530" s="25" t="s">
        <v>1049</v>
      </c>
      <c r="C530" s="50" t="s">
        <v>2614</v>
      </c>
      <c r="D530" s="36" t="s">
        <v>1147</v>
      </c>
      <c r="E530" s="36" t="s">
        <v>148</v>
      </c>
      <c r="F530" s="25" t="s">
        <v>149</v>
      </c>
      <c r="G530" s="25" t="s">
        <v>1056</v>
      </c>
      <c r="H530" s="85">
        <v>43355</v>
      </c>
      <c r="I530" s="83">
        <v>43719</v>
      </c>
      <c r="J530" s="26" t="s">
        <v>1066</v>
      </c>
      <c r="K530" s="25"/>
      <c r="L530" s="27"/>
      <c r="M530" s="27"/>
      <c r="N530" s="28"/>
      <c r="O530" s="29"/>
    </row>
    <row r="531" spans="1:15">
      <c r="A531" s="25">
        <v>176</v>
      </c>
      <c r="B531" s="25" t="s">
        <v>1049</v>
      </c>
      <c r="C531" s="50" t="s">
        <v>2612</v>
      </c>
      <c r="D531" s="54" t="s">
        <v>1147</v>
      </c>
      <c r="E531" s="54" t="s">
        <v>148</v>
      </c>
      <c r="F531" s="25" t="s">
        <v>149</v>
      </c>
      <c r="G531" s="25" t="s">
        <v>1056</v>
      </c>
      <c r="H531" s="85">
        <v>43355</v>
      </c>
      <c r="I531" s="83">
        <v>43719</v>
      </c>
      <c r="J531" s="26" t="s">
        <v>2613</v>
      </c>
      <c r="K531" s="25"/>
      <c r="L531" s="143"/>
      <c r="M531" s="143"/>
      <c r="N531" s="28"/>
      <c r="O531" s="29"/>
    </row>
    <row r="532" spans="1:15">
      <c r="A532" s="25">
        <v>186</v>
      </c>
      <c r="B532" s="25" t="s">
        <v>1049</v>
      </c>
      <c r="C532" s="42" t="s">
        <v>1811</v>
      </c>
      <c r="D532" s="51" t="s">
        <v>98</v>
      </c>
      <c r="E532" s="51" t="s">
        <v>63</v>
      </c>
      <c r="F532" s="32" t="s">
        <v>93</v>
      </c>
      <c r="G532" s="32" t="s">
        <v>0</v>
      </c>
      <c r="H532" s="85">
        <v>43524</v>
      </c>
      <c r="I532" s="83">
        <v>43888</v>
      </c>
      <c r="J532" s="34" t="s">
        <v>1067</v>
      </c>
      <c r="K532" s="25"/>
      <c r="L532" s="143"/>
      <c r="M532" s="143"/>
      <c r="N532" s="28"/>
      <c r="O532" s="29"/>
    </row>
    <row r="533" spans="1:15">
      <c r="A533" s="25">
        <v>187</v>
      </c>
      <c r="B533" s="25" t="s">
        <v>1301</v>
      </c>
      <c r="C533" s="39" t="s">
        <v>1308</v>
      </c>
      <c r="D533" s="30" t="s">
        <v>1309</v>
      </c>
      <c r="E533" s="30" t="s">
        <v>1310</v>
      </c>
      <c r="F533" s="25" t="s">
        <v>1306</v>
      </c>
      <c r="G533" s="25" t="s">
        <v>0</v>
      </c>
      <c r="H533" s="85">
        <v>43616</v>
      </c>
      <c r="I533" s="83">
        <v>43981</v>
      </c>
      <c r="J533" s="26" t="s">
        <v>1307</v>
      </c>
      <c r="K533" s="26"/>
      <c r="L533" s="143"/>
      <c r="M533" s="143"/>
      <c r="N533" s="28"/>
      <c r="O533" s="29"/>
    </row>
    <row r="534" spans="1:15">
      <c r="A534" s="25">
        <v>188</v>
      </c>
      <c r="B534" s="25" t="s">
        <v>1049</v>
      </c>
      <c r="C534" s="39" t="s">
        <v>1302</v>
      </c>
      <c r="D534" s="30" t="s">
        <v>1303</v>
      </c>
      <c r="E534" s="30" t="s">
        <v>1305</v>
      </c>
      <c r="F534" s="25" t="s">
        <v>1306</v>
      </c>
      <c r="G534" s="25" t="s">
        <v>0</v>
      </c>
      <c r="H534" s="85">
        <v>43616</v>
      </c>
      <c r="I534" s="83">
        <v>43981</v>
      </c>
      <c r="J534" s="26" t="s">
        <v>1307</v>
      </c>
      <c r="K534" s="26"/>
      <c r="L534" s="143"/>
      <c r="M534" s="143"/>
      <c r="N534" s="28"/>
      <c r="O534" s="29"/>
    </row>
    <row r="535" spans="1:15">
      <c r="A535" s="25">
        <v>189</v>
      </c>
      <c r="B535" s="25" t="s">
        <v>1947</v>
      </c>
      <c r="C535" s="58" t="s">
        <v>1948</v>
      </c>
      <c r="D535" s="30" t="s">
        <v>1949</v>
      </c>
      <c r="E535" s="30" t="s">
        <v>1950</v>
      </c>
      <c r="F535" s="25" t="s">
        <v>1951</v>
      </c>
      <c r="G535" s="25" t="s">
        <v>1952</v>
      </c>
      <c r="H535" s="85">
        <v>43182</v>
      </c>
      <c r="I535" s="83">
        <v>43912</v>
      </c>
      <c r="J535" s="26" t="s">
        <v>1953</v>
      </c>
      <c r="K535" s="147"/>
      <c r="L535" s="143"/>
      <c r="M535" s="143"/>
      <c r="N535" s="28"/>
      <c r="O535" s="102"/>
    </row>
    <row r="536" spans="1:15">
      <c r="A536" s="25">
        <v>189</v>
      </c>
      <c r="B536" s="25" t="s">
        <v>1301</v>
      </c>
      <c r="C536" s="39" t="s">
        <v>1311</v>
      </c>
      <c r="D536" s="51" t="s">
        <v>1312</v>
      </c>
      <c r="E536" s="51" t="s">
        <v>1313</v>
      </c>
      <c r="F536" s="25" t="s">
        <v>1306</v>
      </c>
      <c r="G536" s="25" t="s">
        <v>0</v>
      </c>
      <c r="H536" s="85">
        <v>43616</v>
      </c>
      <c r="I536" s="83">
        <v>43981</v>
      </c>
      <c r="J536" s="26" t="s">
        <v>1314</v>
      </c>
      <c r="K536" s="6"/>
      <c r="L536" s="35"/>
      <c r="M536" s="35"/>
      <c r="N536" s="28"/>
      <c r="O536" s="102"/>
    </row>
    <row r="537" spans="1:15">
      <c r="A537" s="25">
        <v>190</v>
      </c>
      <c r="B537" s="25" t="s">
        <v>1954</v>
      </c>
      <c r="C537" s="58" t="s">
        <v>1955</v>
      </c>
      <c r="D537" s="30" t="s">
        <v>1956</v>
      </c>
      <c r="E537" s="30" t="s">
        <v>1957</v>
      </c>
      <c r="F537" s="25" t="s">
        <v>1958</v>
      </c>
      <c r="G537" s="25" t="s">
        <v>1959</v>
      </c>
      <c r="H537" s="85">
        <v>43353</v>
      </c>
      <c r="I537" s="83">
        <v>43718</v>
      </c>
      <c r="J537" s="26" t="s">
        <v>1960</v>
      </c>
      <c r="K537" s="147"/>
      <c r="L537" s="35"/>
      <c r="M537" s="35"/>
      <c r="N537" s="28">
        <v>13540</v>
      </c>
      <c r="O537" s="102"/>
    </row>
    <row r="538" spans="1:15">
      <c r="A538" s="25">
        <v>191</v>
      </c>
      <c r="B538" s="25" t="s">
        <v>1954</v>
      </c>
      <c r="C538" s="58" t="s">
        <v>1961</v>
      </c>
      <c r="D538" s="30" t="s">
        <v>1956</v>
      </c>
      <c r="E538" s="30" t="s">
        <v>1957</v>
      </c>
      <c r="F538" s="25" t="s">
        <v>1958</v>
      </c>
      <c r="G538" s="25" t="s">
        <v>1959</v>
      </c>
      <c r="H538" s="85">
        <v>43353</v>
      </c>
      <c r="I538" s="83">
        <v>43718</v>
      </c>
      <c r="J538" s="26" t="s">
        <v>1960</v>
      </c>
      <c r="K538" s="147"/>
      <c r="L538" s="35"/>
      <c r="M538" s="35"/>
      <c r="N538" s="28"/>
      <c r="O538" s="102"/>
    </row>
    <row r="539" spans="1:15" ht="13.5" customHeight="1">
      <c r="A539" s="25">
        <v>192</v>
      </c>
      <c r="B539" s="25" t="s">
        <v>1049</v>
      </c>
      <c r="C539" s="36" t="s">
        <v>1326</v>
      </c>
      <c r="D539" s="51" t="s">
        <v>98</v>
      </c>
      <c r="E539" s="51" t="s">
        <v>63</v>
      </c>
      <c r="F539" s="25" t="s">
        <v>64</v>
      </c>
      <c r="G539" s="25" t="s">
        <v>0</v>
      </c>
      <c r="H539" s="85">
        <v>43350</v>
      </c>
      <c r="I539" s="83">
        <v>43714</v>
      </c>
      <c r="J539" s="26" t="s">
        <v>1893</v>
      </c>
      <c r="K539" s="6"/>
      <c r="L539" s="27"/>
      <c r="M539" s="27"/>
      <c r="N539" s="28"/>
      <c r="O539" s="99"/>
    </row>
    <row r="540" spans="1:15">
      <c r="A540" s="31" t="s">
        <v>2521</v>
      </c>
      <c r="B540" s="35" t="s">
        <v>2151</v>
      </c>
      <c r="C540" s="42" t="s">
        <v>2522</v>
      </c>
      <c r="D540" s="42" t="s">
        <v>2452</v>
      </c>
      <c r="E540" s="42" t="s">
        <v>2523</v>
      </c>
      <c r="F540" s="31" t="s">
        <v>3043</v>
      </c>
      <c r="G540" s="27" t="s">
        <v>2155</v>
      </c>
      <c r="H540" s="167">
        <v>43642</v>
      </c>
      <c r="I540" s="83">
        <v>44007</v>
      </c>
      <c r="J540" s="31" t="s">
        <v>2156</v>
      </c>
      <c r="K540" s="35"/>
      <c r="L540" s="28"/>
      <c r="M540" s="102"/>
      <c r="N540" s="28">
        <v>21200</v>
      </c>
      <c r="O540" s="102"/>
    </row>
    <row r="541" spans="1:15">
      <c r="A541" s="25">
        <v>192</v>
      </c>
      <c r="B541" s="25" t="s">
        <v>1954</v>
      </c>
      <c r="C541" s="58" t="s">
        <v>1962</v>
      </c>
      <c r="D541" s="30" t="s">
        <v>1956</v>
      </c>
      <c r="E541" s="30" t="s">
        <v>1957</v>
      </c>
      <c r="F541" s="25" t="s">
        <v>1958</v>
      </c>
      <c r="G541" s="25" t="s">
        <v>1959</v>
      </c>
      <c r="H541" s="167">
        <v>43353</v>
      </c>
      <c r="I541" s="83">
        <v>43718</v>
      </c>
      <c r="J541" s="26" t="s">
        <v>1960</v>
      </c>
      <c r="K541" s="147"/>
      <c r="L541" s="28"/>
      <c r="M541" s="102"/>
      <c r="N541" s="28">
        <v>21200</v>
      </c>
      <c r="O541" s="102"/>
    </row>
    <row r="542" spans="1:15">
      <c r="A542" s="25">
        <v>193</v>
      </c>
      <c r="B542" s="25" t="s">
        <v>1049</v>
      </c>
      <c r="C542" s="36" t="s">
        <v>1304</v>
      </c>
      <c r="D542" s="51" t="s">
        <v>98</v>
      </c>
      <c r="E542" s="51" t="s">
        <v>63</v>
      </c>
      <c r="F542" s="25" t="s">
        <v>64</v>
      </c>
      <c r="G542" s="25" t="s">
        <v>0</v>
      </c>
      <c r="H542" s="167">
        <v>43350</v>
      </c>
      <c r="I542" s="83">
        <v>43714</v>
      </c>
      <c r="J542" s="26" t="s">
        <v>1048</v>
      </c>
      <c r="K542" s="6"/>
      <c r="L542" s="28"/>
      <c r="M542" s="102"/>
      <c r="N542" s="28">
        <v>21200</v>
      </c>
      <c r="O542" s="102"/>
    </row>
    <row r="543" spans="1:15" ht="13.5" customHeight="1">
      <c r="A543" s="25">
        <v>193</v>
      </c>
      <c r="B543" s="25" t="s">
        <v>1954</v>
      </c>
      <c r="C543" s="58" t="s">
        <v>1963</v>
      </c>
      <c r="D543" s="30" t="s">
        <v>1956</v>
      </c>
      <c r="E543" s="30" t="s">
        <v>1957</v>
      </c>
      <c r="F543" s="25" t="s">
        <v>1958</v>
      </c>
      <c r="G543" s="25" t="s">
        <v>1959</v>
      </c>
      <c r="H543" s="85">
        <v>43353</v>
      </c>
      <c r="I543" s="83">
        <v>43718</v>
      </c>
      <c r="J543" s="26" t="s">
        <v>1960</v>
      </c>
      <c r="K543" s="147"/>
      <c r="L543" s="27"/>
      <c r="M543" s="27"/>
      <c r="N543" s="28">
        <v>65200</v>
      </c>
      <c r="O543" s="99"/>
    </row>
    <row r="544" spans="1:15">
      <c r="A544" s="25">
        <v>194</v>
      </c>
      <c r="B544" s="25" t="s">
        <v>1316</v>
      </c>
      <c r="C544" s="36" t="s">
        <v>1321</v>
      </c>
      <c r="D544" s="51" t="s">
        <v>1322</v>
      </c>
      <c r="E544" s="51" t="s">
        <v>1323</v>
      </c>
      <c r="F544" s="25" t="s">
        <v>1324</v>
      </c>
      <c r="G544" s="25" t="s">
        <v>0</v>
      </c>
      <c r="H544" s="85">
        <v>43350</v>
      </c>
      <c r="I544" s="83">
        <v>43714</v>
      </c>
      <c r="J544" s="26" t="s">
        <v>1325</v>
      </c>
      <c r="K544" s="6"/>
      <c r="L544" s="28"/>
      <c r="M544" s="102"/>
      <c r="N544" s="28"/>
      <c r="O544" s="102"/>
    </row>
    <row r="545" spans="1:15">
      <c r="A545" s="25">
        <v>194</v>
      </c>
      <c r="B545" s="25" t="s">
        <v>1954</v>
      </c>
      <c r="C545" s="58" t="s">
        <v>1964</v>
      </c>
      <c r="D545" s="30" t="s">
        <v>1956</v>
      </c>
      <c r="E545" s="30" t="s">
        <v>1957</v>
      </c>
      <c r="F545" s="25" t="s">
        <v>1958</v>
      </c>
      <c r="G545" s="25" t="s">
        <v>1959</v>
      </c>
      <c r="H545" s="167">
        <v>43353</v>
      </c>
      <c r="I545" s="83">
        <v>43718</v>
      </c>
      <c r="J545" s="26" t="s">
        <v>1960</v>
      </c>
      <c r="K545" s="147"/>
      <c r="L545" s="28"/>
      <c r="M545" s="102"/>
      <c r="N545" s="28">
        <v>132000</v>
      </c>
      <c r="O545" s="102"/>
    </row>
    <row r="546" spans="1:15">
      <c r="A546" s="25">
        <v>195</v>
      </c>
      <c r="B546" s="25" t="s">
        <v>1954</v>
      </c>
      <c r="C546" s="58" t="s">
        <v>1965</v>
      </c>
      <c r="D546" s="30" t="s">
        <v>1956</v>
      </c>
      <c r="E546" s="30" t="s">
        <v>1957</v>
      </c>
      <c r="F546" s="25" t="s">
        <v>1958</v>
      </c>
      <c r="G546" s="25" t="s">
        <v>1959</v>
      </c>
      <c r="H546" s="167">
        <v>43353</v>
      </c>
      <c r="I546" s="83">
        <v>43718</v>
      </c>
      <c r="J546" s="26" t="s">
        <v>1960</v>
      </c>
      <c r="K546" s="178"/>
      <c r="L546" s="28"/>
      <c r="M546" s="102"/>
      <c r="N546" s="28">
        <v>19500</v>
      </c>
      <c r="O546" s="102"/>
    </row>
    <row r="547" spans="1:15">
      <c r="A547" s="25">
        <v>195</v>
      </c>
      <c r="B547" s="25" t="s">
        <v>1316</v>
      </c>
      <c r="C547" s="39" t="s">
        <v>1317</v>
      </c>
      <c r="D547" s="53" t="s">
        <v>1318</v>
      </c>
      <c r="E547" s="30" t="s">
        <v>1319</v>
      </c>
      <c r="F547" s="25" t="s">
        <v>1320</v>
      </c>
      <c r="G547" s="25" t="s">
        <v>1</v>
      </c>
      <c r="H547" s="83">
        <v>43668</v>
      </c>
      <c r="I547" s="84">
        <v>44033</v>
      </c>
      <c r="J547" s="26" t="s">
        <v>1315</v>
      </c>
      <c r="K547" s="26"/>
      <c r="L547" s="143"/>
      <c r="M547" s="143"/>
      <c r="N547" s="28"/>
      <c r="O547" s="40"/>
    </row>
    <row r="548" spans="1:15">
      <c r="A548" s="25">
        <v>196</v>
      </c>
      <c r="B548" s="25" t="s">
        <v>1954</v>
      </c>
      <c r="C548" s="58" t="s">
        <v>1966</v>
      </c>
      <c r="D548" s="30" t="s">
        <v>1956</v>
      </c>
      <c r="E548" s="30" t="s">
        <v>1957</v>
      </c>
      <c r="F548" s="25" t="s">
        <v>1958</v>
      </c>
      <c r="G548" s="25" t="s">
        <v>1959</v>
      </c>
      <c r="H548" s="85">
        <v>43353</v>
      </c>
      <c r="I548" s="83">
        <v>43718</v>
      </c>
      <c r="J548" s="26" t="s">
        <v>1960</v>
      </c>
      <c r="K548" s="147"/>
      <c r="L548" s="35"/>
      <c r="M548" s="35"/>
      <c r="N548" s="28"/>
      <c r="O548" s="40"/>
    </row>
    <row r="549" spans="1:15" ht="15.6">
      <c r="A549" s="33" t="s">
        <v>550</v>
      </c>
      <c r="B549" s="35" t="s">
        <v>2707</v>
      </c>
      <c r="C549" s="50" t="s">
        <v>2710</v>
      </c>
      <c r="D549" s="42" t="s">
        <v>2711</v>
      </c>
      <c r="E549" s="42" t="s">
        <v>2712</v>
      </c>
      <c r="F549" s="31" t="s">
        <v>2713</v>
      </c>
      <c r="G549" s="31" t="s">
        <v>39</v>
      </c>
      <c r="H549" s="85">
        <v>43644</v>
      </c>
      <c r="I549" s="83">
        <v>44009</v>
      </c>
      <c r="J549" s="31" t="s">
        <v>2004</v>
      </c>
      <c r="K549" s="26"/>
      <c r="L549" s="162"/>
      <c r="M549" s="6"/>
      <c r="N549" s="163"/>
      <c r="O549" s="6"/>
    </row>
    <row r="550" spans="1:15">
      <c r="A550" s="25">
        <v>196</v>
      </c>
      <c r="B550" s="25" t="s">
        <v>1049</v>
      </c>
      <c r="C550" s="39" t="s">
        <v>1812</v>
      </c>
      <c r="D550" s="53" t="s">
        <v>1813</v>
      </c>
      <c r="E550" s="30" t="s">
        <v>1814</v>
      </c>
      <c r="F550" s="25" t="s">
        <v>1815</v>
      </c>
      <c r="G550" s="25" t="s">
        <v>1</v>
      </c>
      <c r="H550" s="85">
        <v>43482</v>
      </c>
      <c r="I550" s="83">
        <v>44212</v>
      </c>
      <c r="J550" s="26" t="s">
        <v>1816</v>
      </c>
      <c r="K550" s="25"/>
      <c r="L550" s="143"/>
      <c r="M550" s="143"/>
      <c r="N550" s="28"/>
      <c r="O550" s="6"/>
    </row>
    <row r="551" spans="1:15">
      <c r="A551" s="25">
        <v>197</v>
      </c>
      <c r="B551" s="25" t="s">
        <v>1954</v>
      </c>
      <c r="C551" s="58" t="s">
        <v>1967</v>
      </c>
      <c r="D551" s="30" t="s">
        <v>1968</v>
      </c>
      <c r="E551" s="30" t="s">
        <v>1969</v>
      </c>
      <c r="F551" s="25" t="s">
        <v>1970</v>
      </c>
      <c r="G551" s="25" t="s">
        <v>1971</v>
      </c>
      <c r="H551" s="85">
        <v>43353</v>
      </c>
      <c r="I551" s="83">
        <v>43718</v>
      </c>
      <c r="J551" s="26" t="s">
        <v>1972</v>
      </c>
      <c r="K551" s="147"/>
      <c r="L551" s="35"/>
      <c r="M551" s="35"/>
      <c r="N551" s="28"/>
      <c r="O551" s="6"/>
    </row>
    <row r="552" spans="1:15">
      <c r="A552" s="25">
        <v>198</v>
      </c>
      <c r="B552" s="25" t="s">
        <v>1973</v>
      </c>
      <c r="C552" s="58" t="s">
        <v>1974</v>
      </c>
      <c r="D552" s="30" t="s">
        <v>1968</v>
      </c>
      <c r="E552" s="30" t="s">
        <v>1969</v>
      </c>
      <c r="F552" s="25" t="s">
        <v>1970</v>
      </c>
      <c r="G552" s="25" t="s">
        <v>1971</v>
      </c>
      <c r="H552" s="85">
        <v>43353</v>
      </c>
      <c r="I552" s="83">
        <v>43718</v>
      </c>
      <c r="J552" s="26" t="s">
        <v>1972</v>
      </c>
      <c r="K552" s="147"/>
      <c r="L552" s="143"/>
      <c r="M552" s="143"/>
      <c r="N552" s="28"/>
      <c r="O552" s="6"/>
    </row>
    <row r="553" spans="1:15">
      <c r="A553" s="25">
        <v>199</v>
      </c>
      <c r="B553" s="25" t="s">
        <v>1973</v>
      </c>
      <c r="C553" s="58" t="s">
        <v>1975</v>
      </c>
      <c r="D553" s="30" t="s">
        <v>1968</v>
      </c>
      <c r="E553" s="30" t="s">
        <v>1969</v>
      </c>
      <c r="F553" s="25" t="s">
        <v>1970</v>
      </c>
      <c r="G553" s="25" t="s">
        <v>1971</v>
      </c>
      <c r="H553" s="85">
        <v>43353</v>
      </c>
      <c r="I553" s="83">
        <v>43718</v>
      </c>
      <c r="J553" s="26" t="s">
        <v>1972</v>
      </c>
      <c r="K553" s="147"/>
      <c r="L553" s="143"/>
      <c r="M553" s="143"/>
      <c r="N553" s="28"/>
      <c r="O553" s="6"/>
    </row>
    <row r="554" spans="1:15">
      <c r="A554" s="25">
        <v>199</v>
      </c>
      <c r="B554" s="25" t="s">
        <v>1049</v>
      </c>
      <c r="C554" s="38" t="s">
        <v>1941</v>
      </c>
      <c r="D554" s="30" t="s">
        <v>1938</v>
      </c>
      <c r="E554" s="30" t="s">
        <v>1939</v>
      </c>
      <c r="F554" s="25" t="s">
        <v>64</v>
      </c>
      <c r="G554" s="25" t="s">
        <v>1056</v>
      </c>
      <c r="H554" s="85">
        <v>43524</v>
      </c>
      <c r="I554" s="83">
        <v>43888</v>
      </c>
      <c r="J554" s="26" t="s">
        <v>1048</v>
      </c>
      <c r="K554" s="25"/>
      <c r="L554" s="35"/>
      <c r="M554" s="35"/>
      <c r="N554" s="28"/>
      <c r="O554" s="6"/>
    </row>
    <row r="555" spans="1:15">
      <c r="A555" s="25">
        <v>199</v>
      </c>
      <c r="B555" s="25" t="s">
        <v>1049</v>
      </c>
      <c r="C555" s="39" t="s">
        <v>2618</v>
      </c>
      <c r="D555" s="30" t="s">
        <v>1138</v>
      </c>
      <c r="E555" s="30" t="s">
        <v>2620</v>
      </c>
      <c r="F555" s="25" t="s">
        <v>2619</v>
      </c>
      <c r="G555" s="25" t="s">
        <v>1</v>
      </c>
      <c r="H555" s="85">
        <v>43336</v>
      </c>
      <c r="I555" s="83">
        <v>44066</v>
      </c>
      <c r="J555" s="26" t="s">
        <v>1048</v>
      </c>
      <c r="K555" s="25"/>
      <c r="L555" s="35"/>
      <c r="M555" s="35"/>
      <c r="N555" s="28"/>
      <c r="O555" s="6"/>
    </row>
    <row r="556" spans="1:15">
      <c r="A556" s="25">
        <v>200</v>
      </c>
      <c r="B556" s="25" t="s">
        <v>1973</v>
      </c>
      <c r="C556" s="58" t="s">
        <v>1976</v>
      </c>
      <c r="D556" s="30" t="s">
        <v>1968</v>
      </c>
      <c r="E556" s="30" t="s">
        <v>1969</v>
      </c>
      <c r="F556" s="25" t="s">
        <v>1970</v>
      </c>
      <c r="G556" s="25" t="s">
        <v>1971</v>
      </c>
      <c r="H556" s="85">
        <v>43353</v>
      </c>
      <c r="I556" s="83">
        <v>43718</v>
      </c>
      <c r="J556" s="26" t="s">
        <v>1972</v>
      </c>
      <c r="K556" s="178"/>
      <c r="L556" s="35"/>
      <c r="M556" s="35"/>
      <c r="N556" s="28"/>
      <c r="O556" s="6"/>
    </row>
    <row r="557" spans="1:15">
      <c r="A557" s="25">
        <v>200</v>
      </c>
      <c r="B557" s="25" t="s">
        <v>1049</v>
      </c>
      <c r="C557" s="38" t="s">
        <v>1944</v>
      </c>
      <c r="D557" s="30" t="s">
        <v>1938</v>
      </c>
      <c r="E557" s="30" t="s">
        <v>1940</v>
      </c>
      <c r="F557" s="25" t="s">
        <v>64</v>
      </c>
      <c r="G557" s="25" t="s">
        <v>1056</v>
      </c>
      <c r="H557" s="85">
        <v>43524</v>
      </c>
      <c r="I557" s="83">
        <v>43888</v>
      </c>
      <c r="J557" s="26" t="s">
        <v>1048</v>
      </c>
      <c r="K557" s="174"/>
      <c r="L557" s="35"/>
      <c r="M557" s="35"/>
      <c r="N557" s="28">
        <v>67600</v>
      </c>
      <c r="O557" s="6"/>
    </row>
    <row r="558" spans="1:15" s="110" customFormat="1" ht="15.6">
      <c r="A558" s="25">
        <v>201</v>
      </c>
      <c r="B558" s="25" t="s">
        <v>1973</v>
      </c>
      <c r="C558" s="58" t="s">
        <v>1977</v>
      </c>
      <c r="D558" s="30" t="s">
        <v>1978</v>
      </c>
      <c r="E558" s="30" t="s">
        <v>1979</v>
      </c>
      <c r="F558" s="25" t="s">
        <v>1980</v>
      </c>
      <c r="G558" s="25" t="s">
        <v>1981</v>
      </c>
      <c r="H558" s="167">
        <v>43353</v>
      </c>
      <c r="I558" s="83">
        <v>43718</v>
      </c>
      <c r="J558" s="26" t="s">
        <v>1982</v>
      </c>
      <c r="K558" s="147"/>
      <c r="L558" s="27"/>
      <c r="M558" s="27"/>
      <c r="N558" s="28">
        <v>21200</v>
      </c>
      <c r="O558" s="99"/>
    </row>
    <row r="559" spans="1:15">
      <c r="A559" s="25">
        <v>201</v>
      </c>
      <c r="B559" s="25" t="s">
        <v>1049</v>
      </c>
      <c r="C559" s="38" t="s">
        <v>1945</v>
      </c>
      <c r="D559" s="30" t="s">
        <v>1938</v>
      </c>
      <c r="E559" s="30" t="s">
        <v>1942</v>
      </c>
      <c r="F559" s="25" t="s">
        <v>64</v>
      </c>
      <c r="G559" s="25" t="s">
        <v>1056</v>
      </c>
      <c r="H559" s="85">
        <v>43524</v>
      </c>
      <c r="I559" s="83">
        <v>43888</v>
      </c>
      <c r="J559" s="26" t="s">
        <v>1048</v>
      </c>
      <c r="K559" s="25"/>
      <c r="L559" s="27"/>
      <c r="M559" s="27"/>
      <c r="N559" s="28"/>
      <c r="O559" s="126"/>
    </row>
    <row r="560" spans="1:15">
      <c r="A560" s="25">
        <v>202</v>
      </c>
      <c r="B560" s="25" t="s">
        <v>1983</v>
      </c>
      <c r="C560" s="58" t="s">
        <v>1984</v>
      </c>
      <c r="D560" s="30" t="s">
        <v>1978</v>
      </c>
      <c r="E560" s="30" t="s">
        <v>1979</v>
      </c>
      <c r="F560" s="25" t="s">
        <v>1980</v>
      </c>
      <c r="G560" s="25" t="s">
        <v>1981</v>
      </c>
      <c r="H560" s="85">
        <v>43353</v>
      </c>
      <c r="I560" s="83">
        <v>43718</v>
      </c>
      <c r="J560" s="26" t="s">
        <v>1982</v>
      </c>
      <c r="K560" s="147"/>
      <c r="L560"/>
      <c r="M560"/>
      <c r="N560" s="28"/>
      <c r="O560" s="29"/>
    </row>
    <row r="561" spans="1:15">
      <c r="A561" s="25">
        <v>202</v>
      </c>
      <c r="B561" s="25" t="s">
        <v>1049</v>
      </c>
      <c r="C561" s="38" t="s">
        <v>1946</v>
      </c>
      <c r="D561" s="30" t="s">
        <v>1938</v>
      </c>
      <c r="E561" s="30" t="s">
        <v>1943</v>
      </c>
      <c r="F561" s="25" t="s">
        <v>64</v>
      </c>
      <c r="G561" s="25" t="s">
        <v>1056</v>
      </c>
      <c r="H561" s="85">
        <v>43524</v>
      </c>
      <c r="I561" s="83">
        <v>43888</v>
      </c>
      <c r="J561" s="26" t="s">
        <v>1048</v>
      </c>
      <c r="K561" s="25"/>
      <c r="L561" s="45"/>
      <c r="M561" s="45"/>
      <c r="N561" s="46">
        <v>14370</v>
      </c>
      <c r="O561" s="103"/>
    </row>
    <row r="562" spans="1:15">
      <c r="A562" s="25">
        <v>203</v>
      </c>
      <c r="B562" s="25" t="s">
        <v>1983</v>
      </c>
      <c r="C562" s="58" t="s">
        <v>1985</v>
      </c>
      <c r="D562" s="30" t="s">
        <v>1978</v>
      </c>
      <c r="E562" s="30" t="s">
        <v>1979</v>
      </c>
      <c r="F562" s="25" t="s">
        <v>1980</v>
      </c>
      <c r="G562" s="25" t="s">
        <v>1981</v>
      </c>
      <c r="H562" s="85">
        <v>43353</v>
      </c>
      <c r="I562" s="83">
        <v>43718</v>
      </c>
      <c r="J562" s="26" t="s">
        <v>1982</v>
      </c>
      <c r="K562" s="147"/>
      <c r="L562" s="35"/>
      <c r="M562" s="35"/>
      <c r="N562" s="169">
        <v>14370</v>
      </c>
      <c r="O562" s="102"/>
    </row>
    <row r="563" spans="1:15">
      <c r="A563" s="25">
        <v>204</v>
      </c>
      <c r="B563" s="25" t="s">
        <v>1983</v>
      </c>
      <c r="C563" s="58" t="s">
        <v>1986</v>
      </c>
      <c r="D563" s="30" t="s">
        <v>1978</v>
      </c>
      <c r="E563" s="30" t="s">
        <v>1979</v>
      </c>
      <c r="F563" s="25" t="s">
        <v>1980</v>
      </c>
      <c r="G563" s="25" t="s">
        <v>1981</v>
      </c>
      <c r="H563" s="85">
        <v>43353</v>
      </c>
      <c r="I563" s="83">
        <v>43718</v>
      </c>
      <c r="J563" s="26" t="s">
        <v>1982</v>
      </c>
      <c r="K563" s="147"/>
      <c r="L563" s="27"/>
      <c r="M563" s="27"/>
      <c r="N563" s="28"/>
      <c r="O563" s="29"/>
    </row>
    <row r="564" spans="1:15">
      <c r="A564" s="25">
        <v>205</v>
      </c>
      <c r="B564" s="25" t="s">
        <v>1983</v>
      </c>
      <c r="C564" s="58" t="s">
        <v>1987</v>
      </c>
      <c r="D564" s="30" t="s">
        <v>1978</v>
      </c>
      <c r="E564" s="30" t="s">
        <v>1979</v>
      </c>
      <c r="F564" s="25" t="s">
        <v>1980</v>
      </c>
      <c r="G564" s="25" t="s">
        <v>1981</v>
      </c>
      <c r="H564" s="85">
        <v>43353</v>
      </c>
      <c r="I564" s="83">
        <v>43718</v>
      </c>
      <c r="J564" s="26" t="s">
        <v>1982</v>
      </c>
      <c r="K564" s="147"/>
      <c r="L564" s="27"/>
      <c r="M564" s="27"/>
      <c r="N564" s="28"/>
      <c r="O564" s="29"/>
    </row>
    <row r="565" spans="1:15">
      <c r="A565" s="25">
        <v>206</v>
      </c>
      <c r="B565" s="25" t="s">
        <v>1983</v>
      </c>
      <c r="C565" s="58" t="s">
        <v>1988</v>
      </c>
      <c r="D565" s="30" t="s">
        <v>1978</v>
      </c>
      <c r="E565" s="30" t="s">
        <v>1979</v>
      </c>
      <c r="F565" s="25" t="s">
        <v>1980</v>
      </c>
      <c r="G565" s="25" t="s">
        <v>1981</v>
      </c>
      <c r="H565" s="85">
        <v>43353</v>
      </c>
      <c r="I565" s="83">
        <v>43718</v>
      </c>
      <c r="J565" s="26" t="s">
        <v>1982</v>
      </c>
      <c r="K565" s="147"/>
      <c r="L565" s="27"/>
      <c r="M565" s="27"/>
      <c r="N565" s="28"/>
      <c r="O565" s="29"/>
    </row>
    <row r="566" spans="1:15">
      <c r="A566" s="33" t="s">
        <v>2823</v>
      </c>
      <c r="B566" s="35" t="s">
        <v>2707</v>
      </c>
      <c r="C566" s="42" t="s">
        <v>2824</v>
      </c>
      <c r="D566" s="42" t="s">
        <v>2821</v>
      </c>
      <c r="E566" s="36" t="s">
        <v>2822</v>
      </c>
      <c r="F566" s="31" t="s">
        <v>3043</v>
      </c>
      <c r="G566" s="31" t="s">
        <v>1109</v>
      </c>
      <c r="H566" s="83">
        <v>43482</v>
      </c>
      <c r="I566" s="84">
        <f>H566+364+365</f>
        <v>44211</v>
      </c>
      <c r="J566" s="77" t="s">
        <v>2952</v>
      </c>
      <c r="K566" s="35"/>
      <c r="L566" s="27"/>
      <c r="M566" s="27"/>
      <c r="N566" s="28"/>
      <c r="O566" s="29"/>
    </row>
    <row r="567" spans="1:15">
      <c r="A567" s="25">
        <v>207</v>
      </c>
      <c r="B567" s="25" t="s">
        <v>1983</v>
      </c>
      <c r="C567" s="58" t="s">
        <v>1989</v>
      </c>
      <c r="D567" s="30" t="s">
        <v>1978</v>
      </c>
      <c r="E567" s="30" t="s">
        <v>1979</v>
      </c>
      <c r="F567" s="25" t="s">
        <v>1980</v>
      </c>
      <c r="G567" s="25" t="s">
        <v>1981</v>
      </c>
      <c r="H567" s="85">
        <v>43353</v>
      </c>
      <c r="I567" s="83">
        <v>43718</v>
      </c>
      <c r="J567" s="26" t="s">
        <v>1982</v>
      </c>
      <c r="K567" s="147"/>
      <c r="L567" s="27"/>
      <c r="M567" s="27"/>
      <c r="N567" s="28"/>
      <c r="O567" s="29"/>
    </row>
    <row r="568" spans="1:15">
      <c r="A568" s="25">
        <v>208</v>
      </c>
      <c r="B568" s="25" t="s">
        <v>1983</v>
      </c>
      <c r="C568" s="58" t="s">
        <v>1990</v>
      </c>
      <c r="D568" s="30" t="s">
        <v>1978</v>
      </c>
      <c r="E568" s="30" t="s">
        <v>1979</v>
      </c>
      <c r="F568" s="25" t="s">
        <v>1980</v>
      </c>
      <c r="G568" s="25" t="s">
        <v>1981</v>
      </c>
      <c r="H568" s="85">
        <v>43353</v>
      </c>
      <c r="I568" s="83">
        <v>43718</v>
      </c>
      <c r="J568" s="26" t="s">
        <v>1982</v>
      </c>
      <c r="K568" s="147"/>
      <c r="L568" s="27"/>
      <c r="M568" s="27"/>
      <c r="N568" s="28"/>
      <c r="O568" s="29"/>
    </row>
    <row r="569" spans="1:15">
      <c r="A569" s="25">
        <v>209</v>
      </c>
      <c r="B569" s="25" t="s">
        <v>1983</v>
      </c>
      <c r="C569" s="58" t="s">
        <v>1991</v>
      </c>
      <c r="D569" s="30" t="s">
        <v>1978</v>
      </c>
      <c r="E569" s="30" t="s">
        <v>1979</v>
      </c>
      <c r="F569" s="25" t="s">
        <v>1980</v>
      </c>
      <c r="G569" s="25" t="s">
        <v>1981</v>
      </c>
      <c r="H569" s="85">
        <v>43353</v>
      </c>
      <c r="I569" s="83">
        <v>43718</v>
      </c>
      <c r="J569" s="26" t="s">
        <v>1982</v>
      </c>
      <c r="K569" s="147"/>
      <c r="L569" s="27"/>
      <c r="M569" s="27"/>
      <c r="N569" s="28"/>
      <c r="O569" s="29"/>
    </row>
    <row r="570" spans="1:15">
      <c r="A570" s="25">
        <v>210</v>
      </c>
      <c r="B570" s="25" t="s">
        <v>1983</v>
      </c>
      <c r="C570" s="58" t="s">
        <v>1992</v>
      </c>
      <c r="D570" s="30" t="s">
        <v>1978</v>
      </c>
      <c r="E570" s="30" t="s">
        <v>1979</v>
      </c>
      <c r="F570" s="25" t="s">
        <v>1980</v>
      </c>
      <c r="G570" s="25" t="s">
        <v>1981</v>
      </c>
      <c r="H570" s="85">
        <v>43353</v>
      </c>
      <c r="I570" s="83">
        <v>43718</v>
      </c>
      <c r="J570" s="26" t="s">
        <v>1982</v>
      </c>
      <c r="K570" s="147"/>
      <c r="L570" s="27"/>
      <c r="M570" s="27"/>
      <c r="N570" s="28"/>
      <c r="O570" s="29"/>
    </row>
    <row r="571" spans="1:15">
      <c r="A571" s="25">
        <v>211</v>
      </c>
      <c r="B571" s="25" t="s">
        <v>1983</v>
      </c>
      <c r="C571" s="58" t="s">
        <v>1993</v>
      </c>
      <c r="D571" s="30" t="s">
        <v>1978</v>
      </c>
      <c r="E571" s="30" t="s">
        <v>1979</v>
      </c>
      <c r="F571" s="25" t="s">
        <v>1980</v>
      </c>
      <c r="G571" s="25" t="s">
        <v>1981</v>
      </c>
      <c r="H571" s="85">
        <v>43353</v>
      </c>
      <c r="I571" s="83">
        <v>43718</v>
      </c>
      <c r="J571" s="26" t="s">
        <v>1982</v>
      </c>
      <c r="K571" s="147"/>
      <c r="L571" s="27"/>
      <c r="M571" s="27"/>
      <c r="N571" s="28"/>
      <c r="O571" s="29"/>
    </row>
    <row r="572" spans="1:15">
      <c r="A572" s="31">
        <v>212</v>
      </c>
      <c r="B572" s="25" t="s">
        <v>1049</v>
      </c>
      <c r="C572" s="57" t="s">
        <v>2663</v>
      </c>
      <c r="D572" s="38" t="s">
        <v>2664</v>
      </c>
      <c r="E572" s="38" t="s">
        <v>2665</v>
      </c>
      <c r="F572" s="31" t="s">
        <v>2666</v>
      </c>
      <c r="G572" s="31" t="s">
        <v>1190</v>
      </c>
      <c r="H572" s="85">
        <v>43390</v>
      </c>
      <c r="I572" s="83">
        <v>43754</v>
      </c>
      <c r="J572" s="31" t="s">
        <v>1048</v>
      </c>
      <c r="K572" s="35"/>
      <c r="L572" s="27"/>
      <c r="M572" s="27"/>
      <c r="N572" s="28"/>
      <c r="O572" s="29"/>
    </row>
    <row r="573" spans="1:15">
      <c r="A573" s="31">
        <v>213</v>
      </c>
      <c r="B573" s="25" t="s">
        <v>1049</v>
      </c>
      <c r="C573" s="57" t="s">
        <v>2677</v>
      </c>
      <c r="D573" s="38" t="s">
        <v>1117</v>
      </c>
      <c r="E573" s="38" t="s">
        <v>2678</v>
      </c>
      <c r="F573" s="31" t="s">
        <v>86</v>
      </c>
      <c r="G573" s="31" t="s">
        <v>1109</v>
      </c>
      <c r="H573" s="85">
        <v>43417</v>
      </c>
      <c r="I573" s="83">
        <v>43781</v>
      </c>
      <c r="J573" s="31" t="s">
        <v>1048</v>
      </c>
      <c r="K573" s="35"/>
      <c r="L573" s="27"/>
      <c r="M573" s="27"/>
      <c r="N573" s="28"/>
      <c r="O573" s="29"/>
    </row>
    <row r="574" spans="1:15">
      <c r="A574" s="31">
        <v>214</v>
      </c>
      <c r="B574" s="35" t="s">
        <v>2946</v>
      </c>
      <c r="C574" s="38">
        <v>5055292</v>
      </c>
      <c r="D574" s="38" t="s">
        <v>2945</v>
      </c>
      <c r="E574" s="38" t="s">
        <v>2947</v>
      </c>
      <c r="F574" s="31" t="s">
        <v>2944</v>
      </c>
      <c r="G574" s="31" t="s">
        <v>2948</v>
      </c>
      <c r="H574" s="83">
        <v>43482</v>
      </c>
      <c r="I574" s="84">
        <v>43846</v>
      </c>
      <c r="J574" s="31" t="s">
        <v>2949</v>
      </c>
      <c r="K574" s="35"/>
      <c r="L574" s="27"/>
      <c r="M574" s="27"/>
      <c r="N574" s="28"/>
      <c r="O574" s="29"/>
    </row>
    <row r="575" spans="1:15">
      <c r="A575" s="25">
        <v>215</v>
      </c>
      <c r="B575" s="25" t="s">
        <v>1049</v>
      </c>
      <c r="C575" s="58" t="s">
        <v>3082</v>
      </c>
      <c r="D575" s="30" t="s">
        <v>3083</v>
      </c>
      <c r="E575" s="30" t="s">
        <v>3084</v>
      </c>
      <c r="F575" s="25" t="s">
        <v>3085</v>
      </c>
      <c r="G575" s="25" t="s">
        <v>1109</v>
      </c>
      <c r="H575" s="85">
        <v>43643</v>
      </c>
      <c r="I575" s="83">
        <v>44008</v>
      </c>
      <c r="J575" s="26" t="s">
        <v>1048</v>
      </c>
      <c r="K575" s="25"/>
      <c r="L575" s="27"/>
      <c r="M575" s="27"/>
      <c r="N575" s="28"/>
      <c r="O575" s="29"/>
    </row>
    <row r="576" spans="1:15">
      <c r="A576" s="25">
        <v>216</v>
      </c>
      <c r="B576" s="25" t="s">
        <v>1049</v>
      </c>
      <c r="C576" s="39" t="s">
        <v>3086</v>
      </c>
      <c r="D576" s="30" t="s">
        <v>1274</v>
      </c>
      <c r="E576" s="30" t="s">
        <v>3087</v>
      </c>
      <c r="F576" s="25" t="s">
        <v>64</v>
      </c>
      <c r="G576" s="25" t="s">
        <v>0</v>
      </c>
      <c r="H576" s="83">
        <v>43668</v>
      </c>
      <c r="I576" s="85">
        <v>44033</v>
      </c>
      <c r="J576" s="26" t="s">
        <v>1048</v>
      </c>
      <c r="K576" s="26"/>
      <c r="L576" s="31"/>
      <c r="M576" s="31"/>
      <c r="N576" s="31"/>
      <c r="O576" s="105"/>
    </row>
    <row r="577" spans="1:15">
      <c r="A577" s="31" t="s">
        <v>266</v>
      </c>
      <c r="B577" s="25" t="s">
        <v>1049</v>
      </c>
      <c r="C577" s="57">
        <v>1512638</v>
      </c>
      <c r="D577" s="38" t="s">
        <v>1176</v>
      </c>
      <c r="E577" s="38" t="s">
        <v>1177</v>
      </c>
      <c r="F577" s="31" t="s">
        <v>267</v>
      </c>
      <c r="G577" s="31" t="s">
        <v>1056</v>
      </c>
      <c r="H577" s="85">
        <v>43355</v>
      </c>
      <c r="I577" s="83">
        <v>43719</v>
      </c>
      <c r="J577" s="31" t="s">
        <v>1996</v>
      </c>
      <c r="K577" s="35"/>
      <c r="L577" s="27">
        <v>1</v>
      </c>
      <c r="M577" s="27" t="s">
        <v>1050</v>
      </c>
      <c r="N577" s="169">
        <v>23400</v>
      </c>
      <c r="O577" s="122"/>
    </row>
    <row r="578" spans="1:15">
      <c r="A578" s="31" t="s">
        <v>2615</v>
      </c>
      <c r="B578" s="25" t="s">
        <v>1049</v>
      </c>
      <c r="C578" s="57" t="s">
        <v>2616</v>
      </c>
      <c r="D578" s="38" t="s">
        <v>1176</v>
      </c>
      <c r="E578" s="38" t="s">
        <v>1177</v>
      </c>
      <c r="F578" s="31" t="s">
        <v>267</v>
      </c>
      <c r="G578" s="31" t="s">
        <v>1056</v>
      </c>
      <c r="H578" s="85">
        <v>43355</v>
      </c>
      <c r="I578" s="83">
        <v>43719</v>
      </c>
      <c r="J578" s="31" t="s">
        <v>2617</v>
      </c>
      <c r="K578" s="35"/>
      <c r="L578" s="27">
        <v>1</v>
      </c>
      <c r="M578" s="27" t="s">
        <v>1050</v>
      </c>
      <c r="N578" s="169">
        <v>37700</v>
      </c>
      <c r="O578" s="122"/>
    </row>
    <row r="579" spans="1:15">
      <c r="A579" s="31" t="s">
        <v>3034</v>
      </c>
      <c r="B579" s="25" t="s">
        <v>1049</v>
      </c>
      <c r="C579" s="38">
        <v>1520334</v>
      </c>
      <c r="D579" s="53" t="s">
        <v>3036</v>
      </c>
      <c r="E579" s="38" t="s">
        <v>1177</v>
      </c>
      <c r="F579" s="25" t="s">
        <v>3037</v>
      </c>
      <c r="G579" s="25" t="s">
        <v>0</v>
      </c>
      <c r="H579" s="85">
        <v>43616</v>
      </c>
      <c r="I579" s="83">
        <v>43981</v>
      </c>
      <c r="J579" s="26" t="s">
        <v>1048</v>
      </c>
      <c r="K579" s="26"/>
      <c r="L579" s="28">
        <v>21200</v>
      </c>
      <c r="M579" s="105"/>
      <c r="N579" s="31"/>
      <c r="O579" s="105"/>
    </row>
    <row r="580" spans="1:15">
      <c r="A580" s="31" t="s">
        <v>3035</v>
      </c>
      <c r="B580" s="25" t="s">
        <v>1049</v>
      </c>
      <c r="C580" s="38" t="s">
        <v>3038</v>
      </c>
      <c r="D580" s="53" t="s">
        <v>1142</v>
      </c>
      <c r="E580" s="30" t="s">
        <v>3039</v>
      </c>
      <c r="F580" s="25" t="s">
        <v>2619</v>
      </c>
      <c r="G580" s="25" t="s">
        <v>1109</v>
      </c>
      <c r="H580" s="85">
        <v>43621</v>
      </c>
      <c r="I580" s="83">
        <v>44351</v>
      </c>
      <c r="J580" s="26" t="s">
        <v>1048</v>
      </c>
      <c r="K580" s="26"/>
      <c r="L580" s="169">
        <v>37700</v>
      </c>
      <c r="M580" s="122"/>
      <c r="N580" s="31"/>
      <c r="O580" s="105"/>
    </row>
    <row r="581" spans="1:15">
      <c r="A581" s="25" t="s">
        <v>3040</v>
      </c>
      <c r="B581" s="25" t="s">
        <v>1049</v>
      </c>
      <c r="C581" s="58" t="s">
        <v>1311</v>
      </c>
      <c r="D581" s="30" t="s">
        <v>1058</v>
      </c>
      <c r="E581" s="30" t="s">
        <v>63</v>
      </c>
      <c r="F581" s="25" t="s">
        <v>64</v>
      </c>
      <c r="G581" s="25" t="s">
        <v>0</v>
      </c>
      <c r="H581" s="85">
        <v>43616</v>
      </c>
      <c r="I581" s="83">
        <v>43981</v>
      </c>
      <c r="J581" s="26" t="s">
        <v>1048</v>
      </c>
      <c r="K581" s="26"/>
      <c r="L581" s="169"/>
      <c r="M581" s="102"/>
      <c r="N581" s="169"/>
      <c r="O581" s="102"/>
    </row>
    <row r="582" spans="1:15" ht="15.6">
      <c r="A582" s="25">
        <v>217</v>
      </c>
      <c r="B582" s="25" t="s">
        <v>3103</v>
      </c>
      <c r="C582" s="39" t="s">
        <v>3104</v>
      </c>
      <c r="D582" s="30" t="s">
        <v>3105</v>
      </c>
      <c r="E582" s="30" t="s">
        <v>3106</v>
      </c>
      <c r="F582" s="25" t="s">
        <v>3107</v>
      </c>
      <c r="G582" s="25" t="s">
        <v>3108</v>
      </c>
      <c r="H582" s="83">
        <v>43717</v>
      </c>
      <c r="I582" s="85">
        <v>44083</v>
      </c>
      <c r="J582" s="26" t="s">
        <v>3109</v>
      </c>
      <c r="K582" s="26"/>
      <c r="L582" s="31"/>
      <c r="M582" s="105"/>
      <c r="N582" s="110"/>
    </row>
  </sheetData>
  <autoFilter ref="A6:K582" xr:uid="{00000000-0009-0000-0000-000000000000}">
    <sortState xmlns:xlrd2="http://schemas.microsoft.com/office/spreadsheetml/2017/richdata2" ref="A7:K581">
      <sortCondition ref="A6:A581"/>
    </sortState>
  </autoFilter>
  <mergeCells count="8">
    <mergeCell ref="G1:H1"/>
    <mergeCell ref="G2:H2"/>
    <mergeCell ref="C1:F2"/>
    <mergeCell ref="C3:F4"/>
    <mergeCell ref="J1:K1"/>
    <mergeCell ref="J2:K2"/>
    <mergeCell ref="I3:K3"/>
    <mergeCell ref="I4:K4"/>
  </mergeCells>
  <phoneticPr fontId="22" type="noConversion"/>
  <conditionalFormatting sqref="A7:K542 G543:K543 A543:F546 K544:K545 G544:J546 K547:K548 A547:J557 K550:K555">
    <cfRule type="expression" dxfId="6" priority="345">
      <formula>$I7-$I$2&lt;30</formula>
    </cfRule>
  </conditionalFormatting>
  <conditionalFormatting sqref="A558:K582">
    <cfRule type="expression" dxfId="5" priority="2">
      <formula>$I558-$I$2&lt;30</formula>
    </cfRule>
  </conditionalFormatting>
  <conditionalFormatting sqref="B1:B230">
    <cfRule type="containsText" dxfId="4" priority="97" operator="containsText" text="가공">
      <formula>NOT(ISERROR(SEARCH("가공",B1)))</formula>
    </cfRule>
  </conditionalFormatting>
  <conditionalFormatting sqref="B232:B1048576">
    <cfRule type="containsText" dxfId="3" priority="1" operator="containsText" text="가공">
      <formula>NOT(ISERROR(SEARCH("가공",B232)))</formula>
    </cfRule>
  </conditionalFormatting>
  <printOptions horizontalCentered="1"/>
  <pageMargins left="0.70866141732283461" right="0.70866141732283461" top="0.74803149606299213" bottom="0.74803149606299213" header="0.31496062992125984" footer="0.31496062992125984"/>
  <pageSetup paperSize="9" scale="77" fitToHeight="0" orientation="landscape" r:id="rId1"/>
  <headerFooter alignWithMargins="0"/>
  <colBreaks count="1" manualBreakCount="1">
    <brk id="11" max="76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6"/>
  <sheetViews>
    <sheetView tabSelected="1" workbookViewId="0">
      <selection activeCell="I10" sqref="I10"/>
    </sheetView>
  </sheetViews>
  <sheetFormatPr defaultRowHeight="14.4"/>
  <cols>
    <col min="3" max="3" width="15.796875" customWidth="1"/>
    <col min="4" max="4" width="26.3984375" customWidth="1"/>
    <col min="5" max="5" width="24.09765625" customWidth="1"/>
    <col min="6" max="6" width="15.8984375" bestFit="1" customWidth="1"/>
    <col min="7" max="7" width="14.8984375" customWidth="1"/>
    <col min="8" max="12" width="14.3984375" customWidth="1"/>
    <col min="13" max="13" width="11.8984375" customWidth="1"/>
    <col min="14" max="14" width="8.09765625" bestFit="1" customWidth="1"/>
    <col min="20" max="21" width="0" hidden="1" customWidth="1"/>
  </cols>
  <sheetData>
    <row r="1" spans="1:21" ht="27.6">
      <c r="A1" s="132"/>
      <c r="B1" s="133"/>
      <c r="C1" s="188" t="s">
        <v>1914</v>
      </c>
      <c r="D1" s="189"/>
      <c r="E1" s="189"/>
      <c r="F1" s="190"/>
      <c r="G1" s="179"/>
      <c r="H1" s="179"/>
      <c r="I1" s="179"/>
      <c r="J1" s="179"/>
      <c r="K1" s="179"/>
      <c r="L1" s="179"/>
      <c r="M1" s="179"/>
      <c r="N1" s="179"/>
      <c r="O1" s="206"/>
      <c r="P1" s="206"/>
      <c r="Q1" s="182"/>
      <c r="R1" s="203"/>
      <c r="S1" s="203"/>
      <c r="T1" s="12"/>
      <c r="U1" s="12"/>
    </row>
    <row r="2" spans="1:21" ht="27.6">
      <c r="A2" s="134"/>
      <c r="B2" s="63"/>
      <c r="C2" s="191"/>
      <c r="D2" s="192"/>
      <c r="E2" s="192"/>
      <c r="F2" s="193"/>
      <c r="G2" s="180"/>
      <c r="H2" s="180"/>
      <c r="I2" s="180"/>
      <c r="J2" s="180"/>
      <c r="K2" s="180"/>
      <c r="L2" s="180"/>
      <c r="M2" s="180"/>
      <c r="N2" s="180"/>
      <c r="O2" s="206"/>
      <c r="P2" s="206"/>
      <c r="Q2" s="183"/>
      <c r="R2" s="203"/>
      <c r="S2" s="203"/>
      <c r="T2" s="12"/>
      <c r="U2" s="12"/>
    </row>
    <row r="3" spans="1:21" ht="19.2">
      <c r="A3" s="134"/>
      <c r="B3" s="63"/>
      <c r="C3" s="194" t="s">
        <v>1915</v>
      </c>
      <c r="D3" s="195"/>
      <c r="E3" s="195"/>
      <c r="F3" s="196"/>
      <c r="G3" s="181"/>
      <c r="H3" s="181"/>
      <c r="I3" s="181"/>
      <c r="J3" s="181"/>
      <c r="K3" s="181"/>
      <c r="L3" s="181"/>
      <c r="M3" s="181"/>
      <c r="N3" s="181"/>
      <c r="O3" s="184"/>
      <c r="P3" s="185"/>
      <c r="Q3" s="204"/>
      <c r="R3" s="204"/>
      <c r="S3" s="204"/>
      <c r="T3" s="12"/>
      <c r="U3" s="12"/>
    </row>
    <row r="4" spans="1:21" ht="19.2">
      <c r="A4" s="134"/>
      <c r="B4" s="63"/>
      <c r="C4" s="197"/>
      <c r="D4" s="198"/>
      <c r="E4" s="198"/>
      <c r="F4" s="199"/>
      <c r="G4" s="181"/>
      <c r="H4" s="181"/>
      <c r="I4" s="181"/>
      <c r="J4" s="181"/>
      <c r="K4" s="181"/>
      <c r="L4" s="181"/>
      <c r="M4" s="181"/>
      <c r="N4" s="181"/>
      <c r="O4" s="186"/>
      <c r="P4" s="187"/>
      <c r="Q4" s="205"/>
      <c r="R4" s="205"/>
      <c r="S4" s="205"/>
      <c r="T4" s="12"/>
      <c r="U4" s="12"/>
    </row>
    <row r="5" spans="1:21" ht="21" customHeight="1">
      <c r="A5" s="137"/>
      <c r="B5" s="137"/>
      <c r="C5" s="138" t="s">
        <v>10</v>
      </c>
      <c r="D5" s="139" t="s">
        <v>1279</v>
      </c>
      <c r="E5" s="140" t="s">
        <v>11</v>
      </c>
      <c r="F5" s="139" t="s">
        <v>12</v>
      </c>
      <c r="G5" s="200" t="s">
        <v>3111</v>
      </c>
      <c r="H5" s="201"/>
      <c r="I5" s="201"/>
      <c r="J5" s="201"/>
      <c r="K5" s="201"/>
      <c r="L5" s="201"/>
      <c r="M5" s="202"/>
      <c r="N5" s="139" t="s">
        <v>3112</v>
      </c>
      <c r="O5" s="139" t="s">
        <v>13</v>
      </c>
      <c r="P5" s="139" t="s">
        <v>14</v>
      </c>
      <c r="Q5" s="141" t="s">
        <v>15</v>
      </c>
      <c r="R5" s="141" t="s">
        <v>16</v>
      </c>
      <c r="S5" s="142" t="s">
        <v>17</v>
      </c>
      <c r="T5" s="69" t="s">
        <v>1278</v>
      </c>
      <c r="U5" s="69" t="s">
        <v>1277</v>
      </c>
    </row>
    <row r="6" spans="1:21" ht="35.25" customHeight="1">
      <c r="A6" s="96" t="s">
        <v>1031</v>
      </c>
      <c r="B6" s="96" t="s">
        <v>1276</v>
      </c>
      <c r="C6" s="139" t="s">
        <v>1035</v>
      </c>
      <c r="D6" s="139" t="s">
        <v>1036</v>
      </c>
      <c r="E6" s="140" t="s">
        <v>1037</v>
      </c>
      <c r="F6" s="139" t="s">
        <v>1038</v>
      </c>
      <c r="G6" s="139" t="s">
        <v>3115</v>
      </c>
      <c r="H6" s="138" t="s">
        <v>3118</v>
      </c>
      <c r="I6" s="138" t="s">
        <v>3119</v>
      </c>
      <c r="J6" s="139" t="s">
        <v>3121</v>
      </c>
      <c r="K6" s="139" t="s">
        <v>3116</v>
      </c>
      <c r="L6" s="138" t="s">
        <v>3120</v>
      </c>
      <c r="M6" s="139" t="s">
        <v>3117</v>
      </c>
      <c r="N6" s="139" t="s">
        <v>3113</v>
      </c>
      <c r="O6" s="139" t="s">
        <v>1039</v>
      </c>
      <c r="P6" s="139" t="s">
        <v>1040</v>
      </c>
      <c r="Q6" s="141" t="s">
        <v>1041</v>
      </c>
      <c r="R6" s="141" t="s">
        <v>1042</v>
      </c>
      <c r="S6" s="139" t="s">
        <v>1043</v>
      </c>
      <c r="T6" s="71" t="s">
        <v>1044</v>
      </c>
      <c r="U6" s="71" t="s">
        <v>1045</v>
      </c>
    </row>
    <row r="7" spans="1:21" ht="21" customHeight="1">
      <c r="A7" s="25">
        <v>1</v>
      </c>
      <c r="B7" s="25"/>
      <c r="C7" s="38"/>
      <c r="D7" s="30"/>
      <c r="E7" s="30"/>
      <c r="F7" s="25"/>
      <c r="G7" s="25">
        <v>0.02</v>
      </c>
      <c r="H7" s="25">
        <v>5.0000000000000001E-3</v>
      </c>
      <c r="I7" s="25">
        <v>2</v>
      </c>
      <c r="J7" s="25">
        <f>I7*H7-1*H7</f>
        <v>5.0000000000000001E-3</v>
      </c>
      <c r="K7" s="25">
        <f>G7-J7</f>
        <v>1.4999999999999999E-2</v>
      </c>
      <c r="L7" s="25">
        <v>-1.6E-2</v>
      </c>
      <c r="M7" s="25">
        <f>L7-K7</f>
        <v>-3.1E-2</v>
      </c>
      <c r="N7" s="25" t="e">
        <f>IF L7&gt;K7, input="합"</f>
        <v>#NAME?</v>
      </c>
      <c r="O7" s="25" t="s">
        <v>3122</v>
      </c>
      <c r="P7" s="85">
        <v>46127</v>
      </c>
      <c r="Q7" s="83">
        <v>46492</v>
      </c>
      <c r="R7" s="26"/>
      <c r="S7" s="25"/>
      <c r="T7" s="31"/>
      <c r="U7" s="31"/>
    </row>
    <row r="8" spans="1:21" ht="21" customHeight="1">
      <c r="A8" s="25">
        <v>2</v>
      </c>
      <c r="B8" s="25"/>
      <c r="C8" s="38"/>
      <c r="D8" s="30"/>
      <c r="E8" s="30"/>
      <c r="F8" s="25"/>
      <c r="G8" s="25"/>
      <c r="H8" s="25"/>
      <c r="I8" s="25"/>
      <c r="J8" s="25"/>
      <c r="K8" s="25"/>
      <c r="L8" s="25"/>
      <c r="M8" s="25"/>
      <c r="N8" s="25"/>
      <c r="O8" s="25"/>
      <c r="P8" s="85"/>
      <c r="Q8" s="83"/>
      <c r="R8" s="26"/>
      <c r="S8" s="25"/>
      <c r="T8" s="27"/>
      <c r="U8" s="27"/>
    </row>
    <row r="9" spans="1:21" ht="21" customHeight="1">
      <c r="A9" s="31" t="s">
        <v>287</v>
      </c>
      <c r="B9" s="35"/>
      <c r="C9" s="42"/>
      <c r="D9" s="38"/>
      <c r="E9" s="42"/>
      <c r="F9" s="31"/>
      <c r="G9" s="25"/>
      <c r="H9" s="25"/>
      <c r="I9" s="25"/>
      <c r="J9" s="25"/>
      <c r="K9" s="25"/>
      <c r="L9" s="25"/>
      <c r="M9" s="25"/>
      <c r="N9" s="31"/>
      <c r="O9" s="27"/>
      <c r="P9" s="83"/>
      <c r="Q9" s="84"/>
      <c r="R9" s="31"/>
      <c r="S9" s="26"/>
      <c r="T9" s="27">
        <v>4</v>
      </c>
      <c r="U9" s="27" t="s">
        <v>1119</v>
      </c>
    </row>
    <row r="10" spans="1:21" ht="21" customHeight="1">
      <c r="A10" s="31" t="s">
        <v>3114</v>
      </c>
      <c r="B10" s="35"/>
      <c r="C10" s="42"/>
      <c r="D10" s="38"/>
      <c r="E10" s="38"/>
      <c r="F10" s="31"/>
      <c r="G10" s="25"/>
      <c r="H10" s="25"/>
      <c r="I10" s="25"/>
      <c r="J10" s="25"/>
      <c r="K10" s="25"/>
      <c r="L10" s="25"/>
      <c r="M10" s="25"/>
      <c r="N10" s="31"/>
      <c r="O10" s="31"/>
      <c r="P10" s="83"/>
      <c r="Q10" s="84"/>
      <c r="R10" s="31"/>
      <c r="S10" s="26"/>
      <c r="T10" s="27">
        <v>2</v>
      </c>
      <c r="U10" s="27" t="s">
        <v>1050</v>
      </c>
    </row>
    <row r="11" spans="1:21" ht="21" customHeight="1">
      <c r="A11" s="25">
        <v>3</v>
      </c>
      <c r="B11" s="25"/>
      <c r="C11" s="50"/>
      <c r="D11" s="51"/>
      <c r="E11" s="51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85"/>
      <c r="Q11" s="83"/>
      <c r="R11" s="26"/>
      <c r="S11" s="131"/>
      <c r="T11" s="31"/>
      <c r="U11" s="31"/>
    </row>
    <row r="12" spans="1:21" ht="21" customHeight="1">
      <c r="A12" s="31" t="s">
        <v>614</v>
      </c>
      <c r="B12" s="25"/>
      <c r="C12" s="38"/>
      <c r="D12" s="53"/>
      <c r="E12" s="30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85"/>
      <c r="Q12" s="83"/>
      <c r="R12" s="26"/>
      <c r="S12" s="25"/>
      <c r="T12" s="31"/>
      <c r="U12" s="31"/>
    </row>
    <row r="13" spans="1:21" ht="21" customHeight="1">
      <c r="A13" s="31" t="s">
        <v>615</v>
      </c>
      <c r="B13" s="25"/>
      <c r="C13" s="39"/>
      <c r="D13" s="53"/>
      <c r="E13" s="30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85"/>
      <c r="Q13" s="83"/>
      <c r="R13" s="26"/>
      <c r="S13" s="25"/>
      <c r="T13" s="27"/>
      <c r="U13" s="27"/>
    </row>
    <row r="14" spans="1:21" ht="21" customHeight="1">
      <c r="A14" s="25">
        <v>4</v>
      </c>
      <c r="B14" s="25"/>
      <c r="C14" s="39"/>
      <c r="D14" s="53"/>
      <c r="E14" s="30"/>
      <c r="F14" s="31"/>
      <c r="G14" s="25"/>
      <c r="H14" s="25"/>
      <c r="I14" s="25"/>
      <c r="J14" s="25"/>
      <c r="K14" s="25"/>
      <c r="L14" s="25"/>
      <c r="M14" s="25"/>
      <c r="N14" s="31"/>
      <c r="O14" s="25"/>
      <c r="P14" s="85"/>
      <c r="Q14" s="83"/>
      <c r="R14" s="26"/>
      <c r="S14" s="25"/>
      <c r="T14" s="27"/>
      <c r="U14" s="27"/>
    </row>
    <row r="15" spans="1:21" ht="21" customHeight="1">
      <c r="A15" s="31" t="s">
        <v>616</v>
      </c>
      <c r="B15" s="25"/>
      <c r="C15" s="39"/>
      <c r="D15" s="53"/>
      <c r="E15" s="53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85"/>
      <c r="Q15" s="83"/>
      <c r="R15" s="26"/>
      <c r="S15" s="25"/>
      <c r="T15" s="27"/>
      <c r="U15" s="27"/>
    </row>
    <row r="16" spans="1:21" ht="21" customHeight="1">
      <c r="A16" s="31" t="s">
        <v>617</v>
      </c>
      <c r="B16" s="25"/>
      <c r="C16" s="42"/>
      <c r="D16" s="52"/>
      <c r="E16" s="51"/>
      <c r="F16" s="32"/>
      <c r="G16" s="25"/>
      <c r="H16" s="25"/>
      <c r="I16" s="25"/>
      <c r="J16" s="25"/>
      <c r="K16" s="25"/>
      <c r="L16" s="25"/>
      <c r="M16" s="25"/>
      <c r="N16" s="32"/>
      <c r="O16" s="32"/>
      <c r="P16" s="85"/>
      <c r="Q16" s="83"/>
      <c r="R16" s="34"/>
      <c r="S16" s="25"/>
      <c r="T16" s="27"/>
      <c r="U16" s="27"/>
    </row>
  </sheetData>
  <autoFilter ref="A6:U16" xr:uid="{00000000-0009-0000-0000-000001000000}">
    <sortState xmlns:xlrd2="http://schemas.microsoft.com/office/spreadsheetml/2017/richdata2" ref="A7:V16">
      <sortCondition ref="Q6:Q16"/>
    </sortState>
  </autoFilter>
  <mergeCells count="9">
    <mergeCell ref="C1:F2"/>
    <mergeCell ref="C3:F4"/>
    <mergeCell ref="G5:M5"/>
    <mergeCell ref="R1:S1"/>
    <mergeCell ref="R2:S2"/>
    <mergeCell ref="Q3:S3"/>
    <mergeCell ref="Q4:S4"/>
    <mergeCell ref="O1:P1"/>
    <mergeCell ref="O2:P2"/>
  </mergeCells>
  <phoneticPr fontId="22" type="noConversion"/>
  <conditionalFormatting sqref="A7:S16">
    <cfRule type="expression" dxfId="2" priority="489">
      <formula>$Q7-$Q$2&lt;30</formula>
    </cfRule>
  </conditionalFormatting>
  <conditionalFormatting sqref="B1:B16">
    <cfRule type="containsText" dxfId="1" priority="1" operator="containsText" text="가공">
      <formula>NOT(ISERROR(SEARCH("가공",B1)))</formula>
    </cfRule>
  </conditionalFormatting>
  <pageMargins left="0.23622047244094491" right="0.23622047244094491" top="0.74803149606299213" bottom="0.74803149606299213" header="0.31496062992125984" footer="0.31496062992125984"/>
  <pageSetup paperSize="9" scale="49" orientation="landscape" r:id="rId1"/>
  <headerFooter>
    <oddFooter>&amp;LWA-715 QIF-01 (REV:0)&amp;C(주)우주항공산업&amp;R제/개정일: 2023.06.29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2"/>
  <sheetViews>
    <sheetView zoomScaleNormal="100" zoomScaleSheetLayoutView="100" workbookViewId="0">
      <pane ySplit="6" topLeftCell="A7" activePane="bottomLeft" state="frozen"/>
      <selection activeCell="D24" sqref="D24:D25"/>
      <selection pane="bottomLeft" activeCell="D24" sqref="D24:D25"/>
    </sheetView>
  </sheetViews>
  <sheetFormatPr defaultColWidth="8.8984375" defaultRowHeight="15.6"/>
  <cols>
    <col min="1" max="1" width="6.09765625" bestFit="1" customWidth="1"/>
    <col min="2" max="2" width="6.09765625" customWidth="1"/>
    <col min="3" max="3" width="13.8984375" style="1" customWidth="1"/>
    <col min="4" max="4" width="28.19921875" style="1" bestFit="1" customWidth="1"/>
    <col min="5" max="5" width="17.296875" customWidth="1"/>
    <col min="6" max="6" width="12.69921875" bestFit="1" customWidth="1"/>
    <col min="7" max="7" width="12.19921875" customWidth="1"/>
    <col min="8" max="9" width="7.796875" customWidth="1"/>
    <col min="10" max="10" width="12.3984375" customWidth="1"/>
    <col min="11" max="11" width="9.09765625" customWidth="1"/>
    <col min="12" max="12" width="7.19921875" customWidth="1"/>
    <col min="13" max="13" width="15" customWidth="1"/>
    <col min="14" max="14" width="8" style="7" customWidth="1"/>
    <col min="15" max="15" width="6.3984375" style="7" customWidth="1"/>
    <col min="16" max="16" width="8.19921875" style="8" customWidth="1"/>
    <col min="17" max="17" width="12.59765625" customWidth="1"/>
    <col min="18" max="18" width="10.19921875" style="110" bestFit="1" customWidth="1"/>
  </cols>
  <sheetData>
    <row r="1" spans="1:18" ht="17.399999999999999">
      <c r="A1" s="132"/>
      <c r="B1" s="133"/>
      <c r="C1" s="211" t="s">
        <v>1914</v>
      </c>
      <c r="D1" s="211"/>
      <c r="E1" s="211"/>
      <c r="F1" s="211"/>
      <c r="G1" s="207" t="s">
        <v>2</v>
      </c>
      <c r="H1" s="208"/>
      <c r="I1" s="11" t="s">
        <v>3</v>
      </c>
      <c r="J1" s="214" t="s">
        <v>4</v>
      </c>
      <c r="K1" s="223"/>
      <c r="L1" s="223"/>
      <c r="M1" s="215"/>
      <c r="N1" s="12"/>
      <c r="O1" s="12"/>
      <c r="P1" s="13"/>
      <c r="Q1" s="9"/>
    </row>
    <row r="2" spans="1:18" ht="17.399999999999999">
      <c r="A2" s="134"/>
      <c r="B2" s="63"/>
      <c r="C2" s="212"/>
      <c r="D2" s="212"/>
      <c r="E2" s="212"/>
      <c r="F2" s="212"/>
      <c r="G2" s="209" t="s">
        <v>1033</v>
      </c>
      <c r="H2" s="210"/>
      <c r="I2" s="62">
        <f ca="1">TODAY()</f>
        <v>46127</v>
      </c>
      <c r="J2" s="216" t="s">
        <v>5</v>
      </c>
      <c r="K2" s="224"/>
      <c r="L2" s="224"/>
      <c r="M2" s="217"/>
      <c r="N2" s="12"/>
      <c r="O2" s="12"/>
      <c r="P2" s="13"/>
      <c r="Q2" s="9"/>
    </row>
    <row r="3" spans="1:18" ht="17.399999999999999">
      <c r="A3" s="134"/>
      <c r="B3" s="63"/>
      <c r="C3" s="213" t="s">
        <v>1915</v>
      </c>
      <c r="D3" s="213"/>
      <c r="E3" s="213"/>
      <c r="F3" s="213"/>
      <c r="G3" s="10" t="s">
        <v>7</v>
      </c>
      <c r="H3" s="14"/>
      <c r="I3" s="218" t="s">
        <v>8</v>
      </c>
      <c r="J3" s="219"/>
      <c r="K3" s="219"/>
      <c r="L3" s="219"/>
      <c r="M3" s="220"/>
      <c r="N3" s="12"/>
      <c r="O3" s="12"/>
      <c r="P3" s="13"/>
      <c r="Q3" s="9"/>
    </row>
    <row r="4" spans="1:18" ht="17.399999999999999">
      <c r="A4" s="134"/>
      <c r="B4" s="63"/>
      <c r="C4" s="213"/>
      <c r="D4" s="213"/>
      <c r="E4" s="213"/>
      <c r="F4" s="213"/>
      <c r="G4" s="135" t="s">
        <v>1927</v>
      </c>
      <c r="H4" s="136"/>
      <c r="I4" s="221" t="s">
        <v>1936</v>
      </c>
      <c r="J4" s="204"/>
      <c r="K4" s="204"/>
      <c r="L4" s="204"/>
      <c r="M4" s="222"/>
      <c r="N4" s="12"/>
      <c r="O4" s="12"/>
      <c r="P4" s="13"/>
      <c r="Q4" s="9"/>
    </row>
    <row r="5" spans="1:18" ht="15" customHeight="1">
      <c r="A5" s="137"/>
      <c r="B5" s="137"/>
      <c r="C5" s="138" t="s">
        <v>10</v>
      </c>
      <c r="D5" s="139" t="s">
        <v>1279</v>
      </c>
      <c r="E5" s="140" t="s">
        <v>11</v>
      </c>
      <c r="F5" s="139" t="s">
        <v>12</v>
      </c>
      <c r="G5" s="139" t="s">
        <v>13</v>
      </c>
      <c r="H5" s="139" t="s">
        <v>14</v>
      </c>
      <c r="I5" s="141" t="s">
        <v>15</v>
      </c>
      <c r="J5" s="141" t="s">
        <v>16</v>
      </c>
      <c r="K5" s="139" t="s">
        <v>14</v>
      </c>
      <c r="L5" s="139"/>
      <c r="M5" s="142" t="s">
        <v>17</v>
      </c>
      <c r="N5" s="69" t="s">
        <v>1278</v>
      </c>
      <c r="O5" s="69" t="s">
        <v>1277</v>
      </c>
      <c r="P5" s="69" t="s">
        <v>1034</v>
      </c>
      <c r="Q5" s="97"/>
    </row>
    <row r="6" spans="1:18">
      <c r="A6" s="96" t="s">
        <v>1031</v>
      </c>
      <c r="B6" s="96" t="s">
        <v>1276</v>
      </c>
      <c r="C6" s="139" t="s">
        <v>1035</v>
      </c>
      <c r="D6" s="139" t="s">
        <v>1036</v>
      </c>
      <c r="E6" s="140" t="s">
        <v>1037</v>
      </c>
      <c r="F6" s="139" t="s">
        <v>1038</v>
      </c>
      <c r="G6" s="139" t="s">
        <v>1039</v>
      </c>
      <c r="H6" s="139" t="s">
        <v>1040</v>
      </c>
      <c r="I6" s="141" t="s">
        <v>1041</v>
      </c>
      <c r="J6" s="141" t="s">
        <v>1042</v>
      </c>
      <c r="K6" s="141" t="s">
        <v>1916</v>
      </c>
      <c r="L6" s="141" t="s">
        <v>1917</v>
      </c>
      <c r="M6" s="139" t="s">
        <v>1043</v>
      </c>
      <c r="N6" s="71" t="s">
        <v>1044</v>
      </c>
      <c r="O6" s="71" t="s">
        <v>1045</v>
      </c>
      <c r="P6" s="71" t="s">
        <v>1046</v>
      </c>
      <c r="Q6" s="98" t="s">
        <v>1047</v>
      </c>
      <c r="R6" s="110" t="s">
        <v>1877</v>
      </c>
    </row>
    <row r="7" spans="1:18" s="2" customFormat="1" ht="13.5" customHeight="1">
      <c r="A7" s="35" t="s">
        <v>812</v>
      </c>
      <c r="B7" s="35" t="s">
        <v>1200</v>
      </c>
      <c r="C7" s="60" t="s">
        <v>1013</v>
      </c>
      <c r="D7" s="56" t="s">
        <v>1266</v>
      </c>
      <c r="E7" s="56" t="s">
        <v>1267</v>
      </c>
      <c r="F7" s="29"/>
      <c r="G7" s="27" t="s">
        <v>1280</v>
      </c>
      <c r="H7" s="27" t="s">
        <v>1289</v>
      </c>
      <c r="I7" s="27" t="s">
        <v>1292</v>
      </c>
      <c r="J7" s="29"/>
      <c r="K7" s="29"/>
      <c r="L7" s="29"/>
      <c r="M7" s="35"/>
      <c r="N7" s="35" t="s">
        <v>196</v>
      </c>
      <c r="O7" s="35"/>
      <c r="P7" s="28"/>
      <c r="Q7" s="35" t="s">
        <v>1153</v>
      </c>
    </row>
    <row r="8" spans="1:18" s="6" customFormat="1" ht="13.5" customHeight="1">
      <c r="A8" s="35" t="s">
        <v>637</v>
      </c>
      <c r="B8" s="35" t="s">
        <v>1200</v>
      </c>
      <c r="C8" s="60" t="s">
        <v>843</v>
      </c>
      <c r="D8" s="55" t="s">
        <v>1198</v>
      </c>
      <c r="E8" s="55" t="s">
        <v>1205</v>
      </c>
      <c r="F8" s="29"/>
      <c r="G8" s="27" t="s">
        <v>1280</v>
      </c>
      <c r="H8" s="35" t="s">
        <v>1285</v>
      </c>
      <c r="I8" s="90" t="s">
        <v>1780</v>
      </c>
      <c r="J8" s="29"/>
      <c r="K8" s="29"/>
      <c r="L8" s="29"/>
      <c r="M8" s="35"/>
      <c r="N8" s="35" t="s">
        <v>196</v>
      </c>
      <c r="O8" s="35" t="s">
        <v>1119</v>
      </c>
      <c r="P8" s="28">
        <v>18180</v>
      </c>
      <c r="Q8" s="40"/>
    </row>
    <row r="9" spans="1:18" s="2" customFormat="1" ht="13.5" customHeight="1">
      <c r="A9" s="35" t="s">
        <v>674</v>
      </c>
      <c r="B9" s="35" t="s">
        <v>1200</v>
      </c>
      <c r="C9" s="60" t="s">
        <v>880</v>
      </c>
      <c r="D9" s="55" t="s">
        <v>1214</v>
      </c>
      <c r="E9" s="56" t="s">
        <v>1216</v>
      </c>
      <c r="F9" s="29"/>
      <c r="G9" s="27" t="s">
        <v>1280</v>
      </c>
      <c r="H9" s="35" t="s">
        <v>1285</v>
      </c>
      <c r="I9" s="31" t="s">
        <v>262</v>
      </c>
      <c r="J9" s="29"/>
      <c r="K9" s="29"/>
      <c r="L9" s="29"/>
      <c r="M9" s="35"/>
      <c r="N9" s="27">
        <v>7</v>
      </c>
      <c r="O9" s="27" t="s">
        <v>1184</v>
      </c>
      <c r="P9" s="28">
        <v>83600</v>
      </c>
      <c r="Q9" s="29"/>
    </row>
    <row r="10" spans="1:18" s="3" customFormat="1" ht="13.5" customHeight="1">
      <c r="A10" s="35" t="s">
        <v>669</v>
      </c>
      <c r="B10" s="35" t="s">
        <v>1200</v>
      </c>
      <c r="C10" s="60" t="s">
        <v>875</v>
      </c>
      <c r="D10" s="55" t="s">
        <v>1214</v>
      </c>
      <c r="E10" s="56" t="s">
        <v>1215</v>
      </c>
      <c r="F10" s="29"/>
      <c r="G10" s="27" t="s">
        <v>1280</v>
      </c>
      <c r="H10" s="35" t="s">
        <v>1285</v>
      </c>
      <c r="I10" s="90" t="s">
        <v>1790</v>
      </c>
      <c r="J10" s="29"/>
      <c r="K10" s="29"/>
      <c r="L10" s="29"/>
      <c r="M10" s="35"/>
      <c r="N10" s="27">
        <v>1</v>
      </c>
      <c r="O10" s="27" t="s">
        <v>1050</v>
      </c>
      <c r="P10" s="28">
        <v>7100</v>
      </c>
      <c r="Q10" s="29"/>
    </row>
    <row r="11" spans="1:18" s="6" customFormat="1" ht="13.5" customHeight="1">
      <c r="A11" s="35" t="s">
        <v>678</v>
      </c>
      <c r="B11" s="35" t="s">
        <v>1200</v>
      </c>
      <c r="C11" s="60" t="s">
        <v>884</v>
      </c>
      <c r="D11" s="55" t="s">
        <v>1214</v>
      </c>
      <c r="E11" s="56" t="s">
        <v>1215</v>
      </c>
      <c r="F11" s="29"/>
      <c r="G11" s="27" t="s">
        <v>1280</v>
      </c>
      <c r="H11" s="35" t="s">
        <v>1285</v>
      </c>
      <c r="I11" s="35" t="s">
        <v>1286</v>
      </c>
      <c r="J11" s="29"/>
      <c r="K11" s="29"/>
      <c r="L11" s="29"/>
      <c r="M11" s="35"/>
      <c r="N11" s="35" t="s">
        <v>196</v>
      </c>
      <c r="O11" s="35" t="s">
        <v>1119</v>
      </c>
      <c r="P11" s="28">
        <v>83600</v>
      </c>
      <c r="Q11" s="40"/>
    </row>
    <row r="12" spans="1:18" s="6" customFormat="1" ht="13.5" customHeight="1" thickBot="1">
      <c r="A12" s="35" t="s">
        <v>679</v>
      </c>
      <c r="B12" s="35" t="s">
        <v>1200</v>
      </c>
      <c r="C12" s="60" t="s">
        <v>885</v>
      </c>
      <c r="D12" s="55" t="s">
        <v>1214</v>
      </c>
      <c r="E12" s="56" t="s">
        <v>1215</v>
      </c>
      <c r="F12" s="29"/>
      <c r="G12" s="27" t="s">
        <v>1280</v>
      </c>
      <c r="H12" s="35" t="s">
        <v>1285</v>
      </c>
      <c r="I12" s="66" t="s">
        <v>1286</v>
      </c>
      <c r="J12" s="29"/>
      <c r="K12" s="29"/>
      <c r="L12" s="29"/>
      <c r="M12" s="35"/>
      <c r="N12" s="27">
        <v>1</v>
      </c>
      <c r="O12" s="27" t="s">
        <v>1182</v>
      </c>
      <c r="P12" s="28">
        <v>9430</v>
      </c>
      <c r="Q12" s="29"/>
    </row>
    <row r="13" spans="1:18" s="6" customFormat="1" ht="13.5" customHeight="1" thickTop="1">
      <c r="A13" s="35" t="s">
        <v>680</v>
      </c>
      <c r="B13" s="35" t="s">
        <v>1200</v>
      </c>
      <c r="C13" s="60" t="s">
        <v>886</v>
      </c>
      <c r="D13" s="55" t="s">
        <v>1214</v>
      </c>
      <c r="E13" s="56" t="s">
        <v>1215</v>
      </c>
      <c r="F13" s="29"/>
      <c r="G13" s="27" t="s">
        <v>1280</v>
      </c>
      <c r="H13" s="35" t="s">
        <v>1285</v>
      </c>
      <c r="I13" s="65" t="s">
        <v>1286</v>
      </c>
      <c r="J13" s="29"/>
      <c r="K13" s="29"/>
      <c r="L13" s="29"/>
      <c r="M13" s="35"/>
      <c r="N13" s="27">
        <v>1</v>
      </c>
      <c r="O13" s="27" t="s">
        <v>1182</v>
      </c>
      <c r="P13" s="28">
        <v>9430</v>
      </c>
      <c r="Q13" s="29"/>
    </row>
    <row r="14" spans="1:18" s="6" customFormat="1" ht="13.5" customHeight="1">
      <c r="A14" s="35" t="s">
        <v>681</v>
      </c>
      <c r="B14" s="35" t="s">
        <v>1200</v>
      </c>
      <c r="C14" s="60" t="s">
        <v>887</v>
      </c>
      <c r="D14" s="55" t="s">
        <v>1214</v>
      </c>
      <c r="E14" s="56" t="s">
        <v>1215</v>
      </c>
      <c r="F14" s="29"/>
      <c r="G14" s="27" t="s">
        <v>1280</v>
      </c>
      <c r="H14" s="35" t="s">
        <v>1285</v>
      </c>
      <c r="I14" s="35" t="s">
        <v>1286</v>
      </c>
      <c r="J14" s="29"/>
      <c r="K14" s="29"/>
      <c r="L14" s="29"/>
      <c r="M14" s="35"/>
      <c r="N14" s="27">
        <v>1</v>
      </c>
      <c r="O14" s="27" t="s">
        <v>1182</v>
      </c>
      <c r="P14" s="28">
        <v>9430</v>
      </c>
      <c r="Q14" s="29"/>
    </row>
    <row r="15" spans="1:18" s="2" customFormat="1" ht="13.5" customHeight="1">
      <c r="A15" s="35" t="s">
        <v>682</v>
      </c>
      <c r="B15" s="35" t="s">
        <v>1200</v>
      </c>
      <c r="C15" s="60" t="s">
        <v>888</v>
      </c>
      <c r="D15" s="55" t="s">
        <v>1214</v>
      </c>
      <c r="E15" s="56" t="s">
        <v>1215</v>
      </c>
      <c r="F15" s="29"/>
      <c r="G15" s="27" t="s">
        <v>1280</v>
      </c>
      <c r="H15" s="35" t="s">
        <v>1285</v>
      </c>
      <c r="I15" s="35" t="s">
        <v>1286</v>
      </c>
      <c r="J15" s="29"/>
      <c r="K15" s="29"/>
      <c r="L15" s="29"/>
      <c r="M15" s="35"/>
      <c r="N15" s="27">
        <v>1</v>
      </c>
      <c r="O15" s="27" t="s">
        <v>1182</v>
      </c>
      <c r="P15" s="28">
        <v>9430</v>
      </c>
      <c r="Q15" s="29"/>
    </row>
    <row r="16" spans="1:18" s="2" customFormat="1" ht="13.5" customHeight="1">
      <c r="A16" s="35" t="s">
        <v>683</v>
      </c>
      <c r="B16" s="35" t="s">
        <v>1200</v>
      </c>
      <c r="C16" s="60" t="s">
        <v>889</v>
      </c>
      <c r="D16" s="55" t="s">
        <v>1214</v>
      </c>
      <c r="E16" s="56" t="s">
        <v>1216</v>
      </c>
      <c r="F16" s="29"/>
      <c r="G16" s="27" t="s">
        <v>1280</v>
      </c>
      <c r="H16" s="35" t="s">
        <v>1285</v>
      </c>
      <c r="I16" s="35" t="s">
        <v>1286</v>
      </c>
      <c r="J16" s="29"/>
      <c r="K16" s="29"/>
      <c r="L16" s="29"/>
      <c r="M16" s="35"/>
      <c r="N16" s="27">
        <v>1</v>
      </c>
      <c r="O16" s="27" t="s">
        <v>1182</v>
      </c>
      <c r="P16" s="28">
        <v>11220</v>
      </c>
      <c r="Q16" s="29"/>
    </row>
    <row r="17" spans="1:17" s="2" customFormat="1" ht="13.5" customHeight="1">
      <c r="A17" s="35" t="s">
        <v>684</v>
      </c>
      <c r="B17" s="35" t="s">
        <v>1200</v>
      </c>
      <c r="C17" s="60" t="s">
        <v>890</v>
      </c>
      <c r="D17" s="55" t="s">
        <v>1214</v>
      </c>
      <c r="E17" s="56" t="s">
        <v>1216</v>
      </c>
      <c r="F17" s="29"/>
      <c r="G17" s="27" t="s">
        <v>1280</v>
      </c>
      <c r="H17" s="35" t="s">
        <v>1285</v>
      </c>
      <c r="I17" s="35" t="s">
        <v>1286</v>
      </c>
      <c r="J17" s="29"/>
      <c r="K17" s="29"/>
      <c r="L17" s="29"/>
      <c r="M17" s="35"/>
      <c r="N17" s="27">
        <v>1</v>
      </c>
      <c r="O17" s="27" t="s">
        <v>1182</v>
      </c>
      <c r="P17" s="28">
        <v>9430</v>
      </c>
      <c r="Q17" s="29"/>
    </row>
    <row r="18" spans="1:17" s="3" customFormat="1" ht="13.5" customHeight="1">
      <c r="A18" s="35" t="s">
        <v>685</v>
      </c>
      <c r="B18" s="35" t="s">
        <v>1200</v>
      </c>
      <c r="C18" s="60" t="s">
        <v>891</v>
      </c>
      <c r="D18" s="55" t="s">
        <v>1214</v>
      </c>
      <c r="E18" s="56" t="s">
        <v>1216</v>
      </c>
      <c r="F18" s="29"/>
      <c r="G18" s="27" t="s">
        <v>1280</v>
      </c>
      <c r="H18" s="35" t="s">
        <v>1285</v>
      </c>
      <c r="I18" s="35" t="s">
        <v>1286</v>
      </c>
      <c r="J18" s="29"/>
      <c r="K18" s="29"/>
      <c r="L18" s="29"/>
      <c r="M18" s="35"/>
      <c r="N18" s="27">
        <v>1</v>
      </c>
      <c r="O18" s="27" t="s">
        <v>1182</v>
      </c>
      <c r="P18" s="28">
        <v>9430</v>
      </c>
      <c r="Q18" s="29"/>
    </row>
    <row r="19" spans="1:17" s="3" customFormat="1" ht="13.5" customHeight="1">
      <c r="A19" s="35" t="s">
        <v>686</v>
      </c>
      <c r="B19" s="35" t="s">
        <v>1200</v>
      </c>
      <c r="C19" s="60" t="s">
        <v>892</v>
      </c>
      <c r="D19" s="55" t="s">
        <v>1214</v>
      </c>
      <c r="E19" s="56" t="s">
        <v>1216</v>
      </c>
      <c r="F19" s="29"/>
      <c r="G19" s="27" t="s">
        <v>1280</v>
      </c>
      <c r="H19" s="35" t="s">
        <v>1285</v>
      </c>
      <c r="I19" s="35" t="s">
        <v>1286</v>
      </c>
      <c r="J19" s="29"/>
      <c r="K19" s="29"/>
      <c r="L19" s="29"/>
      <c r="M19" s="35"/>
      <c r="N19" s="27">
        <v>1</v>
      </c>
      <c r="O19" s="27" t="s">
        <v>1182</v>
      </c>
      <c r="P19" s="28">
        <v>11220</v>
      </c>
      <c r="Q19" s="29"/>
    </row>
    <row r="20" spans="1:17" s="4" customFormat="1" ht="13.5" customHeight="1">
      <c r="A20" s="35" t="s">
        <v>687</v>
      </c>
      <c r="B20" s="35" t="s">
        <v>1200</v>
      </c>
      <c r="C20" s="60" t="s">
        <v>893</v>
      </c>
      <c r="D20" s="55" t="s">
        <v>1214</v>
      </c>
      <c r="E20" s="56" t="s">
        <v>1217</v>
      </c>
      <c r="F20" s="29"/>
      <c r="G20" s="27" t="s">
        <v>1280</v>
      </c>
      <c r="H20" s="35" t="s">
        <v>1285</v>
      </c>
      <c r="I20" s="35" t="s">
        <v>1286</v>
      </c>
      <c r="J20" s="29"/>
      <c r="K20" s="29"/>
      <c r="L20" s="29"/>
      <c r="M20" s="35"/>
      <c r="N20" s="27">
        <v>1</v>
      </c>
      <c r="O20" s="27" t="s">
        <v>1182</v>
      </c>
      <c r="P20" s="28">
        <v>9430</v>
      </c>
      <c r="Q20" s="29"/>
    </row>
    <row r="21" spans="1:17" s="6" customFormat="1" ht="13.5" customHeight="1">
      <c r="A21" s="35" t="s">
        <v>688</v>
      </c>
      <c r="B21" s="35" t="s">
        <v>1200</v>
      </c>
      <c r="C21" s="60" t="s">
        <v>894</v>
      </c>
      <c r="D21" s="55" t="s">
        <v>1214</v>
      </c>
      <c r="E21" s="56" t="s">
        <v>1216</v>
      </c>
      <c r="F21" s="29"/>
      <c r="G21" s="27" t="s">
        <v>1280</v>
      </c>
      <c r="H21" s="35" t="s">
        <v>1285</v>
      </c>
      <c r="I21" s="35" t="s">
        <v>1286</v>
      </c>
      <c r="J21" s="29"/>
      <c r="K21" s="29"/>
      <c r="L21" s="29"/>
      <c r="M21" s="35"/>
      <c r="N21" s="27">
        <v>1</v>
      </c>
      <c r="O21" s="27" t="s">
        <v>1182</v>
      </c>
      <c r="P21" s="28">
        <v>9430</v>
      </c>
      <c r="Q21" s="29"/>
    </row>
    <row r="22" spans="1:17" s="3" customFormat="1" ht="13.5" customHeight="1">
      <c r="A22" s="35" t="s">
        <v>689</v>
      </c>
      <c r="B22" s="35" t="s">
        <v>1200</v>
      </c>
      <c r="C22" s="60" t="s">
        <v>895</v>
      </c>
      <c r="D22" s="55" t="s">
        <v>1214</v>
      </c>
      <c r="E22" s="56" t="s">
        <v>1216</v>
      </c>
      <c r="F22" s="29"/>
      <c r="G22" s="27" t="s">
        <v>1280</v>
      </c>
      <c r="H22" s="35" t="s">
        <v>1285</v>
      </c>
      <c r="I22" s="35" t="s">
        <v>1286</v>
      </c>
      <c r="J22" s="29"/>
      <c r="K22" s="29"/>
      <c r="L22" s="29"/>
      <c r="M22" s="35"/>
      <c r="N22" s="27">
        <v>1</v>
      </c>
      <c r="O22" s="27" t="s">
        <v>1182</v>
      </c>
      <c r="P22" s="28">
        <v>9430</v>
      </c>
      <c r="Q22" s="29"/>
    </row>
    <row r="23" spans="1:17" s="4" customFormat="1" ht="13.5" customHeight="1">
      <c r="A23" s="35" t="s">
        <v>690</v>
      </c>
      <c r="B23" s="35" t="s">
        <v>1200</v>
      </c>
      <c r="C23" s="60" t="s">
        <v>896</v>
      </c>
      <c r="D23" s="55" t="s">
        <v>1214</v>
      </c>
      <c r="E23" s="56" t="s">
        <v>1215</v>
      </c>
      <c r="F23" s="29"/>
      <c r="G23" s="27" t="s">
        <v>1280</v>
      </c>
      <c r="H23" s="35" t="s">
        <v>1285</v>
      </c>
      <c r="I23" s="35" t="s">
        <v>1286</v>
      </c>
      <c r="J23" s="29"/>
      <c r="K23" s="29"/>
      <c r="L23" s="29"/>
      <c r="M23" s="35"/>
      <c r="N23" s="27">
        <v>1</v>
      </c>
      <c r="O23" s="27" t="s">
        <v>1182</v>
      </c>
      <c r="P23" s="28">
        <v>9430</v>
      </c>
      <c r="Q23" s="29"/>
    </row>
    <row r="24" spans="1:17" s="4" customFormat="1" ht="13.5" customHeight="1">
      <c r="A24" s="35" t="s">
        <v>691</v>
      </c>
      <c r="B24" s="35" t="s">
        <v>1200</v>
      </c>
      <c r="C24" s="60" t="s">
        <v>897</v>
      </c>
      <c r="D24" s="55" t="s">
        <v>1214</v>
      </c>
      <c r="E24" s="56" t="s">
        <v>1216</v>
      </c>
      <c r="F24" s="29"/>
      <c r="G24" s="27" t="s">
        <v>1280</v>
      </c>
      <c r="H24" s="35" t="s">
        <v>1285</v>
      </c>
      <c r="I24" s="35" t="s">
        <v>1286</v>
      </c>
      <c r="J24" s="29"/>
      <c r="K24" s="29"/>
      <c r="L24" s="29"/>
      <c r="M24" s="35"/>
      <c r="N24" s="27">
        <v>1</v>
      </c>
      <c r="O24" s="27" t="s">
        <v>1182</v>
      </c>
      <c r="P24" s="28">
        <v>11220</v>
      </c>
      <c r="Q24" s="29"/>
    </row>
    <row r="25" spans="1:17" s="4" customFormat="1" ht="13.5" customHeight="1">
      <c r="A25" s="35" t="s">
        <v>692</v>
      </c>
      <c r="B25" s="35" t="s">
        <v>1200</v>
      </c>
      <c r="C25" s="60" t="s">
        <v>898</v>
      </c>
      <c r="D25" s="55" t="s">
        <v>1214</v>
      </c>
      <c r="E25" s="56" t="s">
        <v>1216</v>
      </c>
      <c r="F25" s="29"/>
      <c r="G25" s="27" t="s">
        <v>1280</v>
      </c>
      <c r="H25" s="35" t="s">
        <v>1285</v>
      </c>
      <c r="I25" s="35" t="s">
        <v>1286</v>
      </c>
      <c r="J25" s="29"/>
      <c r="K25" s="29"/>
      <c r="L25" s="29"/>
      <c r="M25" s="35"/>
      <c r="N25" s="27">
        <v>1</v>
      </c>
      <c r="O25" s="27" t="s">
        <v>1182</v>
      </c>
      <c r="P25" s="28">
        <v>11220</v>
      </c>
      <c r="Q25" s="29"/>
    </row>
    <row r="26" spans="1:17" s="6" customFormat="1" ht="13.5" customHeight="1">
      <c r="A26" s="35" t="s">
        <v>693</v>
      </c>
      <c r="B26" s="35" t="s">
        <v>1200</v>
      </c>
      <c r="C26" s="60" t="s">
        <v>899</v>
      </c>
      <c r="D26" s="55" t="s">
        <v>1214</v>
      </c>
      <c r="E26" s="56" t="s">
        <v>1215</v>
      </c>
      <c r="F26" s="29"/>
      <c r="G26" s="27" t="s">
        <v>1280</v>
      </c>
      <c r="H26" s="35" t="s">
        <v>1285</v>
      </c>
      <c r="I26" s="35" t="s">
        <v>1286</v>
      </c>
      <c r="J26" s="29"/>
      <c r="K26" s="29"/>
      <c r="L26" s="29"/>
      <c r="M26" s="35"/>
      <c r="N26" s="27">
        <v>1</v>
      </c>
      <c r="O26" s="27" t="s">
        <v>1182</v>
      </c>
      <c r="P26" s="28">
        <v>11220</v>
      </c>
      <c r="Q26" s="29"/>
    </row>
    <row r="27" spans="1:17" s="6" customFormat="1" ht="13.5" customHeight="1">
      <c r="A27" s="35" t="s">
        <v>694</v>
      </c>
      <c r="B27" s="35" t="s">
        <v>1200</v>
      </c>
      <c r="C27" s="60" t="s">
        <v>900</v>
      </c>
      <c r="D27" s="55" t="s">
        <v>1214</v>
      </c>
      <c r="E27" s="56" t="s">
        <v>1215</v>
      </c>
      <c r="F27" s="29"/>
      <c r="G27" s="27" t="s">
        <v>1280</v>
      </c>
      <c r="H27" s="35" t="s">
        <v>1285</v>
      </c>
      <c r="I27" s="35" t="s">
        <v>1286</v>
      </c>
      <c r="J27" s="29"/>
      <c r="K27" s="29"/>
      <c r="L27" s="29"/>
      <c r="M27" s="35"/>
      <c r="N27" s="27">
        <v>1</v>
      </c>
      <c r="O27" s="27" t="s">
        <v>1182</v>
      </c>
      <c r="P27" s="28">
        <v>11220</v>
      </c>
      <c r="Q27" s="29"/>
    </row>
    <row r="28" spans="1:17" s="6" customFormat="1" ht="13.5" customHeight="1">
      <c r="A28" s="35" t="s">
        <v>695</v>
      </c>
      <c r="B28" s="35" t="s">
        <v>1200</v>
      </c>
      <c r="C28" s="60" t="s">
        <v>901</v>
      </c>
      <c r="D28" s="55" t="s">
        <v>1214</v>
      </c>
      <c r="E28" s="56" t="s">
        <v>1215</v>
      </c>
      <c r="F28" s="29"/>
      <c r="G28" s="27" t="s">
        <v>1280</v>
      </c>
      <c r="H28" s="35" t="s">
        <v>1285</v>
      </c>
      <c r="I28" s="35" t="s">
        <v>1286</v>
      </c>
      <c r="J28" s="29"/>
      <c r="K28" s="29"/>
      <c r="L28" s="29"/>
      <c r="M28" s="35"/>
      <c r="N28" s="27">
        <v>1</v>
      </c>
      <c r="O28" s="27" t="s">
        <v>1182</v>
      </c>
      <c r="P28" s="28">
        <v>11220</v>
      </c>
      <c r="Q28" s="29"/>
    </row>
    <row r="29" spans="1:17" s="3" customFormat="1" ht="13.5" customHeight="1">
      <c r="A29" s="35" t="s">
        <v>696</v>
      </c>
      <c r="B29" s="35" t="s">
        <v>1200</v>
      </c>
      <c r="C29" s="60" t="s">
        <v>902</v>
      </c>
      <c r="D29" s="55" t="s">
        <v>1214</v>
      </c>
      <c r="E29" s="56" t="s">
        <v>1215</v>
      </c>
      <c r="F29" s="29"/>
      <c r="G29" s="27" t="s">
        <v>1280</v>
      </c>
      <c r="H29" s="35" t="s">
        <v>1285</v>
      </c>
      <c r="I29" s="35" t="s">
        <v>1286</v>
      </c>
      <c r="J29" s="29"/>
      <c r="K29" s="29"/>
      <c r="L29" s="29"/>
      <c r="M29" s="35"/>
      <c r="N29" s="27">
        <v>1</v>
      </c>
      <c r="O29" s="27" t="s">
        <v>1182</v>
      </c>
      <c r="P29" s="28">
        <v>9430</v>
      </c>
      <c r="Q29" s="29"/>
    </row>
    <row r="30" spans="1:17" s="4" customFormat="1" ht="13.5" customHeight="1">
      <c r="A30" s="35" t="s">
        <v>697</v>
      </c>
      <c r="B30" s="35" t="s">
        <v>1200</v>
      </c>
      <c r="C30" s="60" t="s">
        <v>903</v>
      </c>
      <c r="D30" s="55" t="s">
        <v>1214</v>
      </c>
      <c r="E30" s="56" t="s">
        <v>1216</v>
      </c>
      <c r="F30" s="29"/>
      <c r="G30" s="27" t="s">
        <v>1280</v>
      </c>
      <c r="H30" s="35" t="s">
        <v>1285</v>
      </c>
      <c r="I30" s="35" t="s">
        <v>1286</v>
      </c>
      <c r="J30" s="29"/>
      <c r="K30" s="29"/>
      <c r="L30" s="29"/>
      <c r="M30" s="35"/>
      <c r="N30" s="27">
        <v>1</v>
      </c>
      <c r="O30" s="27" t="s">
        <v>1182</v>
      </c>
      <c r="P30" s="28">
        <v>11220</v>
      </c>
      <c r="Q30" s="35"/>
    </row>
    <row r="31" spans="1:17" s="4" customFormat="1" ht="13.5" customHeight="1">
      <c r="A31" s="35" t="s">
        <v>698</v>
      </c>
      <c r="B31" s="35" t="s">
        <v>1200</v>
      </c>
      <c r="C31" s="60" t="s">
        <v>904</v>
      </c>
      <c r="D31" s="55" t="s">
        <v>1214</v>
      </c>
      <c r="E31" s="56" t="s">
        <v>1216</v>
      </c>
      <c r="F31" s="29"/>
      <c r="G31" s="27" t="s">
        <v>1280</v>
      </c>
      <c r="H31" s="35" t="s">
        <v>1285</v>
      </c>
      <c r="I31" s="35" t="s">
        <v>1286</v>
      </c>
      <c r="J31" s="29"/>
      <c r="K31" s="29"/>
      <c r="L31" s="29"/>
      <c r="M31" s="35"/>
      <c r="N31" s="27">
        <v>1</v>
      </c>
      <c r="O31" s="27" t="s">
        <v>1182</v>
      </c>
      <c r="P31" s="28">
        <v>11220</v>
      </c>
      <c r="Q31" s="29"/>
    </row>
    <row r="32" spans="1:17" s="4" customFormat="1" ht="13.5" customHeight="1">
      <c r="A32" s="35" t="s">
        <v>699</v>
      </c>
      <c r="B32" s="35" t="s">
        <v>1200</v>
      </c>
      <c r="C32" s="60" t="s">
        <v>905</v>
      </c>
      <c r="D32" s="55" t="s">
        <v>1214</v>
      </c>
      <c r="E32" s="56" t="s">
        <v>1215</v>
      </c>
      <c r="F32" s="29"/>
      <c r="G32" s="27" t="s">
        <v>1280</v>
      </c>
      <c r="H32" s="35" t="s">
        <v>1285</v>
      </c>
      <c r="I32" s="35" t="s">
        <v>1286</v>
      </c>
      <c r="J32" s="29"/>
      <c r="K32" s="29"/>
      <c r="L32" s="29"/>
      <c r="M32" s="35"/>
      <c r="N32" s="27">
        <v>1</v>
      </c>
      <c r="O32" s="27" t="s">
        <v>1182</v>
      </c>
      <c r="P32" s="28">
        <v>9430</v>
      </c>
      <c r="Q32" s="29"/>
    </row>
    <row r="33" spans="1:17" s="3" customFormat="1" ht="13.5" customHeight="1">
      <c r="A33" s="35" t="s">
        <v>700</v>
      </c>
      <c r="B33" s="35" t="s">
        <v>1200</v>
      </c>
      <c r="C33" s="60" t="s">
        <v>906</v>
      </c>
      <c r="D33" s="55" t="s">
        <v>1214</v>
      </c>
      <c r="E33" s="56" t="s">
        <v>1215</v>
      </c>
      <c r="F33" s="29"/>
      <c r="G33" s="27" t="s">
        <v>1280</v>
      </c>
      <c r="H33" s="35" t="s">
        <v>1285</v>
      </c>
      <c r="I33" s="35" t="s">
        <v>1286</v>
      </c>
      <c r="J33" s="29"/>
      <c r="K33" s="29"/>
      <c r="L33" s="29"/>
      <c r="M33" s="35"/>
      <c r="N33" s="27">
        <v>1</v>
      </c>
      <c r="O33" s="27" t="s">
        <v>1182</v>
      </c>
      <c r="P33" s="28">
        <v>11220</v>
      </c>
      <c r="Q33" s="29"/>
    </row>
    <row r="34" spans="1:17" s="3" customFormat="1" ht="13.5" customHeight="1">
      <c r="A34" s="35" t="s">
        <v>701</v>
      </c>
      <c r="B34" s="35" t="s">
        <v>1200</v>
      </c>
      <c r="C34" s="60" t="s">
        <v>907</v>
      </c>
      <c r="D34" s="55" t="s">
        <v>1214</v>
      </c>
      <c r="E34" s="56" t="s">
        <v>1215</v>
      </c>
      <c r="F34" s="29"/>
      <c r="G34" s="27" t="s">
        <v>1280</v>
      </c>
      <c r="H34" s="35" t="s">
        <v>1285</v>
      </c>
      <c r="I34" s="35" t="s">
        <v>1286</v>
      </c>
      <c r="J34" s="29"/>
      <c r="K34" s="29"/>
      <c r="L34" s="29"/>
      <c r="M34" s="35"/>
      <c r="N34" s="27">
        <v>1</v>
      </c>
      <c r="O34" s="27" t="s">
        <v>1182</v>
      </c>
      <c r="P34" s="28">
        <v>11220</v>
      </c>
      <c r="Q34" s="29"/>
    </row>
    <row r="35" spans="1:17" s="3" customFormat="1" ht="13.5" customHeight="1">
      <c r="A35" s="35" t="s">
        <v>702</v>
      </c>
      <c r="B35" s="35" t="s">
        <v>1200</v>
      </c>
      <c r="C35" s="60" t="s">
        <v>908</v>
      </c>
      <c r="D35" s="55" t="s">
        <v>1214</v>
      </c>
      <c r="E35" s="56" t="s">
        <v>1216</v>
      </c>
      <c r="F35" s="29"/>
      <c r="G35" s="27" t="s">
        <v>1280</v>
      </c>
      <c r="H35" s="35" t="s">
        <v>1285</v>
      </c>
      <c r="I35" s="35" t="s">
        <v>1286</v>
      </c>
      <c r="J35" s="29"/>
      <c r="K35" s="29"/>
      <c r="L35" s="29"/>
      <c r="M35" s="35"/>
      <c r="N35" s="27">
        <v>1</v>
      </c>
      <c r="O35" s="27" t="s">
        <v>1182</v>
      </c>
      <c r="P35" s="28">
        <v>11220</v>
      </c>
      <c r="Q35" s="29"/>
    </row>
    <row r="36" spans="1:17" s="3" customFormat="1" ht="13.5" customHeight="1">
      <c r="A36" s="35" t="s">
        <v>703</v>
      </c>
      <c r="B36" s="35" t="s">
        <v>1200</v>
      </c>
      <c r="C36" s="60" t="s">
        <v>909</v>
      </c>
      <c r="D36" s="55" t="s">
        <v>1214</v>
      </c>
      <c r="E36" s="56" t="s">
        <v>1215</v>
      </c>
      <c r="F36" s="29"/>
      <c r="G36" s="27" t="s">
        <v>1280</v>
      </c>
      <c r="H36" s="35" t="s">
        <v>1285</v>
      </c>
      <c r="I36" s="35" t="s">
        <v>1286</v>
      </c>
      <c r="J36" s="29"/>
      <c r="K36" s="29"/>
      <c r="L36" s="29"/>
      <c r="M36" s="35"/>
      <c r="N36" s="27">
        <v>1</v>
      </c>
      <c r="O36" s="27" t="s">
        <v>1182</v>
      </c>
      <c r="P36" s="28">
        <v>11220</v>
      </c>
      <c r="Q36" s="29"/>
    </row>
    <row r="37" spans="1:17" s="3" customFormat="1" ht="13.5" customHeight="1">
      <c r="A37" s="35" t="s">
        <v>704</v>
      </c>
      <c r="B37" s="35" t="s">
        <v>1200</v>
      </c>
      <c r="C37" s="60" t="s">
        <v>910</v>
      </c>
      <c r="D37" s="55" t="s">
        <v>1214</v>
      </c>
      <c r="E37" s="56" t="s">
        <v>1218</v>
      </c>
      <c r="F37" s="29"/>
      <c r="G37" s="27" t="s">
        <v>1280</v>
      </c>
      <c r="H37" s="35" t="s">
        <v>1285</v>
      </c>
      <c r="I37" s="35" t="s">
        <v>1286</v>
      </c>
      <c r="J37" s="29"/>
      <c r="K37" s="29"/>
      <c r="L37" s="29"/>
      <c r="M37" s="35"/>
      <c r="N37" s="27">
        <v>1</v>
      </c>
      <c r="O37" s="27" t="s">
        <v>1182</v>
      </c>
      <c r="P37" s="28">
        <v>11220</v>
      </c>
      <c r="Q37" s="29"/>
    </row>
    <row r="38" spans="1:17" s="3" customFormat="1" ht="13.5" customHeight="1">
      <c r="A38" s="35" t="s">
        <v>705</v>
      </c>
      <c r="B38" s="35" t="s">
        <v>1200</v>
      </c>
      <c r="C38" s="60" t="s">
        <v>911</v>
      </c>
      <c r="D38" s="55" t="s">
        <v>1214</v>
      </c>
      <c r="E38" s="56" t="s">
        <v>1216</v>
      </c>
      <c r="F38" s="29"/>
      <c r="G38" s="27" t="s">
        <v>1280</v>
      </c>
      <c r="H38" s="35" t="s">
        <v>1285</v>
      </c>
      <c r="I38" s="35" t="s">
        <v>1286</v>
      </c>
      <c r="J38" s="29"/>
      <c r="K38" s="29"/>
      <c r="L38" s="29"/>
      <c r="M38" s="35"/>
      <c r="N38" s="27">
        <v>1</v>
      </c>
      <c r="O38" s="27" t="s">
        <v>1182</v>
      </c>
      <c r="P38" s="28">
        <v>11220</v>
      </c>
      <c r="Q38" s="29"/>
    </row>
    <row r="39" spans="1:17" s="2" customFormat="1" ht="13.5" customHeight="1">
      <c r="A39" s="35" t="s">
        <v>706</v>
      </c>
      <c r="B39" s="35" t="s">
        <v>1200</v>
      </c>
      <c r="C39" s="60" t="s">
        <v>912</v>
      </c>
      <c r="D39" s="55" t="s">
        <v>1214</v>
      </c>
      <c r="E39" s="56" t="s">
        <v>1216</v>
      </c>
      <c r="F39" s="29"/>
      <c r="G39" s="27" t="s">
        <v>1280</v>
      </c>
      <c r="H39" s="35" t="s">
        <v>1285</v>
      </c>
      <c r="I39" s="35" t="s">
        <v>1286</v>
      </c>
      <c r="J39" s="29"/>
      <c r="K39" s="29"/>
      <c r="L39" s="29"/>
      <c r="M39" s="35"/>
      <c r="N39" s="27">
        <v>1</v>
      </c>
      <c r="O39" s="27" t="s">
        <v>1182</v>
      </c>
      <c r="P39" s="28">
        <v>11220</v>
      </c>
      <c r="Q39" s="29"/>
    </row>
    <row r="40" spans="1:17" s="2" customFormat="1" ht="13.5" customHeight="1">
      <c r="A40" s="35" t="s">
        <v>707</v>
      </c>
      <c r="B40" s="35" t="s">
        <v>1200</v>
      </c>
      <c r="C40" s="60" t="s">
        <v>913</v>
      </c>
      <c r="D40" s="55" t="s">
        <v>1214</v>
      </c>
      <c r="E40" s="56" t="s">
        <v>1215</v>
      </c>
      <c r="F40" s="29"/>
      <c r="G40" s="27" t="s">
        <v>1280</v>
      </c>
      <c r="H40" s="35" t="s">
        <v>1285</v>
      </c>
      <c r="I40" s="35" t="s">
        <v>1286</v>
      </c>
      <c r="J40" s="29"/>
      <c r="K40" s="29"/>
      <c r="L40" s="29"/>
      <c r="M40" s="35"/>
      <c r="N40" s="27">
        <v>1</v>
      </c>
      <c r="O40" s="27" t="s">
        <v>1182</v>
      </c>
      <c r="P40" s="28">
        <v>11220</v>
      </c>
      <c r="Q40" s="29"/>
    </row>
    <row r="41" spans="1:17" s="6" customFormat="1" ht="13.5" customHeight="1">
      <c r="A41" s="35" t="s">
        <v>708</v>
      </c>
      <c r="B41" s="35" t="s">
        <v>1200</v>
      </c>
      <c r="C41" s="60" t="s">
        <v>914</v>
      </c>
      <c r="D41" s="55" t="s">
        <v>1214</v>
      </c>
      <c r="E41" s="56" t="s">
        <v>1215</v>
      </c>
      <c r="F41" s="29"/>
      <c r="G41" s="27" t="s">
        <v>1280</v>
      </c>
      <c r="H41" s="35" t="s">
        <v>1285</v>
      </c>
      <c r="I41" s="35" t="s">
        <v>1286</v>
      </c>
      <c r="J41" s="29"/>
      <c r="K41" s="29"/>
      <c r="L41" s="29"/>
      <c r="M41" s="35"/>
      <c r="N41" s="27">
        <v>1</v>
      </c>
      <c r="O41" s="27" t="s">
        <v>1182</v>
      </c>
      <c r="P41" s="28">
        <v>11220</v>
      </c>
      <c r="Q41" s="29" t="s">
        <v>1030</v>
      </c>
    </row>
    <row r="42" spans="1:17" s="3" customFormat="1" ht="13.5" customHeight="1">
      <c r="A42" s="35" t="s">
        <v>709</v>
      </c>
      <c r="B42" s="35" t="s">
        <v>1200</v>
      </c>
      <c r="C42" s="60" t="s">
        <v>915</v>
      </c>
      <c r="D42" s="55" t="s">
        <v>1214</v>
      </c>
      <c r="E42" s="56" t="s">
        <v>1216</v>
      </c>
      <c r="F42" s="29"/>
      <c r="G42" s="27" t="s">
        <v>1280</v>
      </c>
      <c r="H42" s="35" t="s">
        <v>1285</v>
      </c>
      <c r="I42" s="35" t="s">
        <v>1286</v>
      </c>
      <c r="J42" s="29"/>
      <c r="K42" s="29"/>
      <c r="L42" s="29"/>
      <c r="M42" s="35"/>
      <c r="N42" s="27">
        <v>1</v>
      </c>
      <c r="O42" s="27" t="s">
        <v>1182</v>
      </c>
      <c r="P42" s="28">
        <v>11220</v>
      </c>
      <c r="Q42" s="29" t="s">
        <v>1030</v>
      </c>
    </row>
    <row r="43" spans="1:17" s="6" customFormat="1" ht="13.5" customHeight="1">
      <c r="A43" s="35" t="s">
        <v>710</v>
      </c>
      <c r="B43" s="35" t="s">
        <v>1200</v>
      </c>
      <c r="C43" s="60" t="s">
        <v>916</v>
      </c>
      <c r="D43" s="55" t="s">
        <v>1214</v>
      </c>
      <c r="E43" s="56" t="s">
        <v>1215</v>
      </c>
      <c r="F43" s="29"/>
      <c r="G43" s="27" t="s">
        <v>1280</v>
      </c>
      <c r="H43" s="35" t="s">
        <v>1285</v>
      </c>
      <c r="I43" s="35" t="s">
        <v>1286</v>
      </c>
      <c r="J43" s="29"/>
      <c r="K43" s="29"/>
      <c r="L43" s="29"/>
      <c r="M43" s="35"/>
      <c r="N43" s="27">
        <v>1</v>
      </c>
      <c r="O43" s="27" t="s">
        <v>1182</v>
      </c>
      <c r="P43" s="28">
        <v>11220</v>
      </c>
      <c r="Q43" s="29" t="s">
        <v>1030</v>
      </c>
    </row>
    <row r="44" spans="1:17" s="3" customFormat="1" ht="13.5" customHeight="1">
      <c r="A44" s="35" t="s">
        <v>711</v>
      </c>
      <c r="B44" s="35" t="s">
        <v>1200</v>
      </c>
      <c r="C44" s="60" t="s">
        <v>917</v>
      </c>
      <c r="D44" s="55" t="s">
        <v>1214</v>
      </c>
      <c r="E44" s="56" t="s">
        <v>1216</v>
      </c>
      <c r="F44" s="29"/>
      <c r="G44" s="27" t="s">
        <v>1280</v>
      </c>
      <c r="H44" s="35" t="s">
        <v>1285</v>
      </c>
      <c r="I44" s="35" t="s">
        <v>1286</v>
      </c>
      <c r="J44" s="29"/>
      <c r="K44" s="29"/>
      <c r="L44" s="29"/>
      <c r="M44" s="35"/>
      <c r="N44" s="27">
        <v>1</v>
      </c>
      <c r="O44" s="27" t="s">
        <v>1182</v>
      </c>
      <c r="P44" s="28">
        <v>11220</v>
      </c>
      <c r="Q44" s="29" t="s">
        <v>1030</v>
      </c>
    </row>
    <row r="45" spans="1:17" s="6" customFormat="1" ht="13.5" customHeight="1">
      <c r="A45" s="35" t="s">
        <v>712</v>
      </c>
      <c r="B45" s="35" t="s">
        <v>1200</v>
      </c>
      <c r="C45" s="60" t="s">
        <v>918</v>
      </c>
      <c r="D45" s="55" t="s">
        <v>1214</v>
      </c>
      <c r="E45" s="56" t="s">
        <v>1215</v>
      </c>
      <c r="F45" s="29"/>
      <c r="G45" s="27" t="s">
        <v>1280</v>
      </c>
      <c r="H45" s="35" t="s">
        <v>1285</v>
      </c>
      <c r="I45" s="35" t="s">
        <v>1286</v>
      </c>
      <c r="J45" s="29"/>
      <c r="K45" s="29"/>
      <c r="L45" s="29"/>
      <c r="M45" s="35"/>
      <c r="N45" s="27">
        <v>1</v>
      </c>
      <c r="O45" s="27" t="s">
        <v>1182</v>
      </c>
      <c r="P45" s="28">
        <v>11220</v>
      </c>
      <c r="Q45" s="29" t="s">
        <v>1030</v>
      </c>
    </row>
    <row r="46" spans="1:17" s="4" customFormat="1" ht="13.5" customHeight="1">
      <c r="A46" s="35" t="s">
        <v>713</v>
      </c>
      <c r="B46" s="35" t="s">
        <v>1200</v>
      </c>
      <c r="C46" s="60" t="s">
        <v>919</v>
      </c>
      <c r="D46" s="55" t="s">
        <v>1219</v>
      </c>
      <c r="E46" s="56" t="s">
        <v>1220</v>
      </c>
      <c r="F46" s="29"/>
      <c r="G46" s="27" t="s">
        <v>1280</v>
      </c>
      <c r="H46" s="35" t="s">
        <v>1285</v>
      </c>
      <c r="I46" s="35" t="s">
        <v>1286</v>
      </c>
      <c r="J46" s="29"/>
      <c r="K46" s="29"/>
      <c r="L46" s="29"/>
      <c r="M46" s="35"/>
      <c r="N46" s="27">
        <v>1</v>
      </c>
      <c r="O46" s="27" t="s">
        <v>1182</v>
      </c>
      <c r="P46" s="28">
        <v>11220</v>
      </c>
      <c r="Q46" s="29" t="s">
        <v>1030</v>
      </c>
    </row>
    <row r="47" spans="1:17" s="6" customFormat="1" ht="13.5" customHeight="1">
      <c r="A47" s="35" t="s">
        <v>714</v>
      </c>
      <c r="B47" s="35" t="s">
        <v>1200</v>
      </c>
      <c r="C47" s="60" t="s">
        <v>920</v>
      </c>
      <c r="D47" s="55" t="s">
        <v>1214</v>
      </c>
      <c r="E47" s="55" t="s">
        <v>1024</v>
      </c>
      <c r="F47" s="29"/>
      <c r="G47" s="27" t="s">
        <v>1280</v>
      </c>
      <c r="H47" s="35" t="s">
        <v>1285</v>
      </c>
      <c r="I47" s="35" t="s">
        <v>1286</v>
      </c>
      <c r="J47" s="29"/>
      <c r="K47" s="29"/>
      <c r="L47" s="29"/>
      <c r="M47" s="35"/>
      <c r="N47" s="27">
        <v>1</v>
      </c>
      <c r="O47" s="27" t="s">
        <v>1182</v>
      </c>
      <c r="P47" s="28">
        <v>11220</v>
      </c>
      <c r="Q47" s="29" t="s">
        <v>1030</v>
      </c>
    </row>
    <row r="48" spans="1:17" s="3" customFormat="1" ht="13.5" customHeight="1">
      <c r="A48" s="35" t="s">
        <v>715</v>
      </c>
      <c r="B48" s="35" t="s">
        <v>1200</v>
      </c>
      <c r="C48" s="60" t="s">
        <v>921</v>
      </c>
      <c r="D48" s="55" t="s">
        <v>1214</v>
      </c>
      <c r="E48" s="55" t="s">
        <v>1024</v>
      </c>
      <c r="F48" s="29"/>
      <c r="G48" s="27" t="s">
        <v>1280</v>
      </c>
      <c r="H48" s="35" t="s">
        <v>1285</v>
      </c>
      <c r="I48" s="35" t="s">
        <v>1286</v>
      </c>
      <c r="J48" s="29"/>
      <c r="K48" s="29"/>
      <c r="L48" s="29"/>
      <c r="M48" s="35"/>
      <c r="N48" s="27">
        <v>1</v>
      </c>
      <c r="O48" s="27" t="s">
        <v>1182</v>
      </c>
      <c r="P48" s="28">
        <v>11220</v>
      </c>
      <c r="Q48" s="29" t="s">
        <v>1030</v>
      </c>
    </row>
    <row r="49" spans="1:17" s="6" customFormat="1" ht="13.5" customHeight="1">
      <c r="A49" s="35" t="s">
        <v>716</v>
      </c>
      <c r="B49" s="35" t="s">
        <v>1200</v>
      </c>
      <c r="C49" s="60" t="s">
        <v>922</v>
      </c>
      <c r="D49" s="55" t="s">
        <v>1214</v>
      </c>
      <c r="E49" s="55" t="s">
        <v>1024</v>
      </c>
      <c r="F49" s="29"/>
      <c r="G49" s="27" t="s">
        <v>1280</v>
      </c>
      <c r="H49" s="35" t="s">
        <v>1285</v>
      </c>
      <c r="I49" s="35" t="s">
        <v>1286</v>
      </c>
      <c r="J49" s="29"/>
      <c r="K49" s="29"/>
      <c r="L49" s="29"/>
      <c r="M49" s="35"/>
      <c r="N49" s="27">
        <v>1</v>
      </c>
      <c r="O49" s="27" t="s">
        <v>1182</v>
      </c>
      <c r="P49" s="28">
        <v>11220</v>
      </c>
      <c r="Q49" s="29" t="s">
        <v>1030</v>
      </c>
    </row>
    <row r="50" spans="1:17" s="3" customFormat="1" ht="13.5" customHeight="1">
      <c r="A50" s="35" t="s">
        <v>717</v>
      </c>
      <c r="B50" s="35" t="s">
        <v>1200</v>
      </c>
      <c r="C50" s="60" t="s">
        <v>923</v>
      </c>
      <c r="D50" s="55" t="s">
        <v>1214</v>
      </c>
      <c r="E50" s="55" t="s">
        <v>1024</v>
      </c>
      <c r="F50" s="29"/>
      <c r="G50" s="27" t="s">
        <v>1280</v>
      </c>
      <c r="H50" s="35" t="s">
        <v>1285</v>
      </c>
      <c r="I50" s="35" t="s">
        <v>1286</v>
      </c>
      <c r="J50" s="29"/>
      <c r="K50" s="29"/>
      <c r="L50" s="29"/>
      <c r="M50" s="35"/>
      <c r="N50" s="27">
        <v>1</v>
      </c>
      <c r="O50" s="27" t="s">
        <v>1182</v>
      </c>
      <c r="P50" s="28">
        <v>11220</v>
      </c>
      <c r="Q50" s="29" t="s">
        <v>1030</v>
      </c>
    </row>
    <row r="51" spans="1:17" s="3" customFormat="1" ht="13.5" customHeight="1">
      <c r="A51" s="35" t="s">
        <v>718</v>
      </c>
      <c r="B51" s="35" t="s">
        <v>1200</v>
      </c>
      <c r="C51" s="60" t="s">
        <v>924</v>
      </c>
      <c r="D51" s="55" t="s">
        <v>1214</v>
      </c>
      <c r="E51" s="55" t="s">
        <v>1024</v>
      </c>
      <c r="F51" s="29"/>
      <c r="G51" s="27" t="s">
        <v>1280</v>
      </c>
      <c r="H51" s="35" t="s">
        <v>1285</v>
      </c>
      <c r="I51" s="35" t="s">
        <v>1286</v>
      </c>
      <c r="J51" s="29"/>
      <c r="K51" s="29"/>
      <c r="L51" s="29"/>
      <c r="M51" s="35"/>
      <c r="N51" s="27">
        <v>1</v>
      </c>
      <c r="O51" s="27" t="s">
        <v>1182</v>
      </c>
      <c r="P51" s="28">
        <v>11220</v>
      </c>
      <c r="Q51" s="29" t="s">
        <v>1030</v>
      </c>
    </row>
    <row r="52" spans="1:17" s="3" customFormat="1" ht="13.5" customHeight="1">
      <c r="A52" s="35" t="s">
        <v>719</v>
      </c>
      <c r="B52" s="35" t="s">
        <v>1200</v>
      </c>
      <c r="C52" s="60" t="s">
        <v>925</v>
      </c>
      <c r="D52" s="55" t="s">
        <v>1214</v>
      </c>
      <c r="E52" s="55" t="s">
        <v>1024</v>
      </c>
      <c r="F52" s="29"/>
      <c r="G52" s="27" t="s">
        <v>1280</v>
      </c>
      <c r="H52" s="35" t="s">
        <v>1285</v>
      </c>
      <c r="I52" s="35" t="s">
        <v>1286</v>
      </c>
      <c r="J52" s="29"/>
      <c r="K52" s="29"/>
      <c r="L52" s="29"/>
      <c r="M52" s="35"/>
      <c r="N52" s="27">
        <v>1</v>
      </c>
      <c r="O52" s="27" t="s">
        <v>1182</v>
      </c>
      <c r="P52" s="28">
        <v>11220</v>
      </c>
      <c r="Q52" s="29" t="s">
        <v>1030</v>
      </c>
    </row>
    <row r="53" spans="1:17" s="3" customFormat="1" ht="13.5" customHeight="1">
      <c r="A53" s="35" t="s">
        <v>720</v>
      </c>
      <c r="B53" s="35" t="s">
        <v>1200</v>
      </c>
      <c r="C53" s="60" t="s">
        <v>926</v>
      </c>
      <c r="D53" s="55" t="s">
        <v>1214</v>
      </c>
      <c r="E53" s="55" t="s">
        <v>1024</v>
      </c>
      <c r="F53" s="29"/>
      <c r="G53" s="27" t="s">
        <v>1280</v>
      </c>
      <c r="H53" s="35" t="s">
        <v>1285</v>
      </c>
      <c r="I53" s="35" t="s">
        <v>1286</v>
      </c>
      <c r="J53" s="29"/>
      <c r="K53" s="29"/>
      <c r="L53" s="29"/>
      <c r="M53" s="35"/>
      <c r="N53" s="27">
        <v>1</v>
      </c>
      <c r="O53" s="27" t="s">
        <v>1182</v>
      </c>
      <c r="P53" s="28">
        <v>11220</v>
      </c>
      <c r="Q53" s="29" t="s">
        <v>1030</v>
      </c>
    </row>
    <row r="54" spans="1:17" s="3" customFormat="1" ht="13.5" customHeight="1">
      <c r="A54" s="35" t="s">
        <v>721</v>
      </c>
      <c r="B54" s="35" t="s">
        <v>1200</v>
      </c>
      <c r="C54" s="60" t="s">
        <v>927</v>
      </c>
      <c r="D54" s="55" t="s">
        <v>1214</v>
      </c>
      <c r="E54" s="55" t="s">
        <v>1024</v>
      </c>
      <c r="F54" s="29"/>
      <c r="G54" s="27" t="s">
        <v>1280</v>
      </c>
      <c r="H54" s="35" t="s">
        <v>1285</v>
      </c>
      <c r="I54" s="35" t="s">
        <v>1286</v>
      </c>
      <c r="J54" s="29"/>
      <c r="K54" s="29"/>
      <c r="L54" s="29"/>
      <c r="M54" s="35"/>
      <c r="N54" s="27">
        <v>1</v>
      </c>
      <c r="O54" s="27" t="s">
        <v>1182</v>
      </c>
      <c r="P54" s="28">
        <v>11220</v>
      </c>
      <c r="Q54" s="29" t="s">
        <v>1030</v>
      </c>
    </row>
    <row r="55" spans="1:17" s="3" customFormat="1" ht="13.5" customHeight="1">
      <c r="A55" s="35" t="s">
        <v>722</v>
      </c>
      <c r="B55" s="35" t="s">
        <v>1200</v>
      </c>
      <c r="C55" s="60" t="s">
        <v>928</v>
      </c>
      <c r="D55" s="55" t="s">
        <v>1214</v>
      </c>
      <c r="E55" s="55" t="s">
        <v>1024</v>
      </c>
      <c r="F55" s="29"/>
      <c r="G55" s="27" t="s">
        <v>1280</v>
      </c>
      <c r="H55" s="35" t="s">
        <v>1285</v>
      </c>
      <c r="I55" s="35" t="s">
        <v>1286</v>
      </c>
      <c r="J55" s="29"/>
      <c r="K55" s="29"/>
      <c r="L55" s="29"/>
      <c r="M55" s="35"/>
      <c r="N55" s="27">
        <v>1</v>
      </c>
      <c r="O55" s="27" t="s">
        <v>1182</v>
      </c>
      <c r="P55" s="28">
        <v>11220</v>
      </c>
      <c r="Q55" s="29" t="s">
        <v>1030</v>
      </c>
    </row>
    <row r="56" spans="1:17" s="3" customFormat="1" ht="13.5" customHeight="1">
      <c r="A56" s="35" t="s">
        <v>723</v>
      </c>
      <c r="B56" s="35" t="s">
        <v>1200</v>
      </c>
      <c r="C56" s="60" t="s">
        <v>929</v>
      </c>
      <c r="D56" s="55" t="s">
        <v>1214</v>
      </c>
      <c r="E56" s="55" t="s">
        <v>1024</v>
      </c>
      <c r="F56" s="29"/>
      <c r="G56" s="27" t="s">
        <v>1280</v>
      </c>
      <c r="H56" s="35" t="s">
        <v>1285</v>
      </c>
      <c r="I56" s="35" t="s">
        <v>1286</v>
      </c>
      <c r="J56" s="29"/>
      <c r="K56" s="29"/>
      <c r="L56" s="29"/>
      <c r="M56" s="35"/>
      <c r="N56" s="27">
        <v>1</v>
      </c>
      <c r="O56" s="27" t="s">
        <v>1182</v>
      </c>
      <c r="P56" s="28">
        <v>11220</v>
      </c>
      <c r="Q56" s="29" t="s">
        <v>1030</v>
      </c>
    </row>
    <row r="57" spans="1:17" s="3" customFormat="1" ht="13.5" customHeight="1">
      <c r="A57" s="35" t="s">
        <v>724</v>
      </c>
      <c r="B57" s="35" t="s">
        <v>1200</v>
      </c>
      <c r="C57" s="60" t="s">
        <v>930</v>
      </c>
      <c r="D57" s="55" t="s">
        <v>1214</v>
      </c>
      <c r="E57" s="55" t="s">
        <v>1024</v>
      </c>
      <c r="F57" s="29"/>
      <c r="G57" s="27" t="s">
        <v>1280</v>
      </c>
      <c r="H57" s="35" t="s">
        <v>1285</v>
      </c>
      <c r="I57" s="35" t="s">
        <v>1286</v>
      </c>
      <c r="J57" s="29"/>
      <c r="K57" s="29"/>
      <c r="L57" s="29"/>
      <c r="M57" s="35"/>
      <c r="N57" s="27">
        <v>1</v>
      </c>
      <c r="O57" s="27" t="s">
        <v>1182</v>
      </c>
      <c r="P57" s="28">
        <v>11220</v>
      </c>
      <c r="Q57" s="29" t="s">
        <v>1030</v>
      </c>
    </row>
    <row r="58" spans="1:17" s="3" customFormat="1" ht="13.5" customHeight="1">
      <c r="A58" s="35" t="s">
        <v>725</v>
      </c>
      <c r="B58" s="35" t="s">
        <v>1200</v>
      </c>
      <c r="C58" s="60" t="s">
        <v>931</v>
      </c>
      <c r="D58" s="55" t="s">
        <v>1214</v>
      </c>
      <c r="E58" s="55" t="s">
        <v>1024</v>
      </c>
      <c r="F58" s="29"/>
      <c r="G58" s="27" t="s">
        <v>1280</v>
      </c>
      <c r="H58" s="35" t="s">
        <v>1285</v>
      </c>
      <c r="I58" s="35" t="s">
        <v>1286</v>
      </c>
      <c r="J58" s="29"/>
      <c r="K58" s="29"/>
      <c r="L58" s="29"/>
      <c r="M58" s="35"/>
      <c r="N58" s="27">
        <v>1</v>
      </c>
      <c r="O58" s="27" t="s">
        <v>1182</v>
      </c>
      <c r="P58" s="28">
        <v>11220</v>
      </c>
      <c r="Q58" s="29" t="s">
        <v>1030</v>
      </c>
    </row>
    <row r="59" spans="1:17" s="3" customFormat="1" ht="13.5" customHeight="1">
      <c r="A59" s="35" t="s">
        <v>726</v>
      </c>
      <c r="B59" s="35" t="s">
        <v>1200</v>
      </c>
      <c r="C59" s="60" t="s">
        <v>932</v>
      </c>
      <c r="D59" s="55" t="s">
        <v>1214</v>
      </c>
      <c r="E59" s="55" t="s">
        <v>1024</v>
      </c>
      <c r="F59" s="29"/>
      <c r="G59" s="27" t="s">
        <v>1280</v>
      </c>
      <c r="H59" s="35" t="s">
        <v>1285</v>
      </c>
      <c r="I59" s="35" t="s">
        <v>1286</v>
      </c>
      <c r="J59" s="29"/>
      <c r="K59" s="29"/>
      <c r="L59" s="29"/>
      <c r="M59" s="35"/>
      <c r="N59" s="27">
        <v>1</v>
      </c>
      <c r="O59" s="27" t="s">
        <v>1182</v>
      </c>
      <c r="P59" s="28">
        <v>11220</v>
      </c>
      <c r="Q59" s="29" t="s">
        <v>1030</v>
      </c>
    </row>
    <row r="60" spans="1:17" s="6" customFormat="1" ht="13.5" customHeight="1">
      <c r="A60" s="35" t="s">
        <v>727</v>
      </c>
      <c r="B60" s="35" t="s">
        <v>1200</v>
      </c>
      <c r="C60" s="60" t="s">
        <v>933</v>
      </c>
      <c r="D60" s="55" t="s">
        <v>1214</v>
      </c>
      <c r="E60" s="55" t="s">
        <v>1024</v>
      </c>
      <c r="F60" s="29"/>
      <c r="G60" s="27" t="s">
        <v>1280</v>
      </c>
      <c r="H60" s="35" t="s">
        <v>1285</v>
      </c>
      <c r="I60" s="35" t="s">
        <v>1286</v>
      </c>
      <c r="J60" s="29"/>
      <c r="K60" s="29"/>
      <c r="L60" s="29"/>
      <c r="M60" s="35"/>
      <c r="N60" s="27">
        <v>1</v>
      </c>
      <c r="O60" s="27" t="s">
        <v>1182</v>
      </c>
      <c r="P60" s="28">
        <v>11220</v>
      </c>
      <c r="Q60" s="29" t="s">
        <v>1030</v>
      </c>
    </row>
    <row r="61" spans="1:17" s="6" customFormat="1" ht="13.5" customHeight="1">
      <c r="A61" s="35" t="s">
        <v>728</v>
      </c>
      <c r="B61" s="35" t="s">
        <v>1200</v>
      </c>
      <c r="C61" s="60" t="s">
        <v>934</v>
      </c>
      <c r="D61" s="55" t="s">
        <v>1214</v>
      </c>
      <c r="E61" s="55" t="s">
        <v>1024</v>
      </c>
      <c r="F61" s="29"/>
      <c r="G61" s="27" t="s">
        <v>1280</v>
      </c>
      <c r="H61" s="35" t="s">
        <v>1285</v>
      </c>
      <c r="I61" s="35" t="s">
        <v>1286</v>
      </c>
      <c r="J61" s="29"/>
      <c r="K61" s="29"/>
      <c r="L61" s="29"/>
      <c r="M61" s="35"/>
      <c r="N61" s="27">
        <v>1</v>
      </c>
      <c r="O61" s="27" t="s">
        <v>1182</v>
      </c>
      <c r="P61" s="28">
        <v>11220</v>
      </c>
      <c r="Q61" s="29" t="s">
        <v>1030</v>
      </c>
    </row>
    <row r="62" spans="1:17" s="3" customFormat="1" ht="13.5" customHeight="1">
      <c r="A62" s="35" t="s">
        <v>729</v>
      </c>
      <c r="B62" s="35" t="s">
        <v>1200</v>
      </c>
      <c r="C62" s="60" t="s">
        <v>935</v>
      </c>
      <c r="D62" s="55" t="s">
        <v>1214</v>
      </c>
      <c r="E62" s="55" t="s">
        <v>1024</v>
      </c>
      <c r="F62" s="29"/>
      <c r="G62" s="27" t="s">
        <v>1280</v>
      </c>
      <c r="H62" s="35" t="s">
        <v>1285</v>
      </c>
      <c r="I62" s="35" t="s">
        <v>1286</v>
      </c>
      <c r="J62" s="29"/>
      <c r="K62" s="29"/>
      <c r="L62" s="29"/>
      <c r="M62" s="35"/>
      <c r="N62" s="27">
        <v>1</v>
      </c>
      <c r="O62" s="27" t="s">
        <v>1182</v>
      </c>
      <c r="P62" s="28">
        <v>11220</v>
      </c>
      <c r="Q62" s="29" t="s">
        <v>1030</v>
      </c>
    </row>
    <row r="63" spans="1:17" s="2" customFormat="1" ht="13.5" customHeight="1">
      <c r="A63" s="35" t="s">
        <v>730</v>
      </c>
      <c r="B63" s="35" t="s">
        <v>1200</v>
      </c>
      <c r="C63" s="60" t="s">
        <v>936</v>
      </c>
      <c r="D63" s="55" t="s">
        <v>1214</v>
      </c>
      <c r="E63" s="55" t="s">
        <v>1024</v>
      </c>
      <c r="F63" s="29"/>
      <c r="G63" s="27" t="s">
        <v>1280</v>
      </c>
      <c r="H63" s="35" t="s">
        <v>1285</v>
      </c>
      <c r="I63" s="35" t="s">
        <v>1286</v>
      </c>
      <c r="J63" s="29"/>
      <c r="K63" s="29"/>
      <c r="L63" s="29"/>
      <c r="M63" s="35"/>
      <c r="N63" s="27">
        <v>1</v>
      </c>
      <c r="O63" s="27" t="s">
        <v>1182</v>
      </c>
      <c r="P63" s="28">
        <v>11220</v>
      </c>
      <c r="Q63" s="29" t="s">
        <v>1030</v>
      </c>
    </row>
    <row r="64" spans="1:17" s="6" customFormat="1" ht="13.5" customHeight="1">
      <c r="A64" s="35" t="s">
        <v>731</v>
      </c>
      <c r="B64" s="35" t="s">
        <v>1200</v>
      </c>
      <c r="C64" s="60" t="s">
        <v>937</v>
      </c>
      <c r="D64" s="55" t="s">
        <v>1214</v>
      </c>
      <c r="E64" s="55" t="s">
        <v>1024</v>
      </c>
      <c r="F64" s="29"/>
      <c r="G64" s="27" t="s">
        <v>1280</v>
      </c>
      <c r="H64" s="35" t="s">
        <v>1285</v>
      </c>
      <c r="I64" s="35" t="s">
        <v>1286</v>
      </c>
      <c r="J64" s="29"/>
      <c r="K64" s="29"/>
      <c r="L64" s="29"/>
      <c r="M64" s="35"/>
      <c r="N64" s="27">
        <v>1</v>
      </c>
      <c r="O64" s="27" t="s">
        <v>1182</v>
      </c>
      <c r="P64" s="28">
        <v>11220</v>
      </c>
      <c r="Q64" s="29" t="s">
        <v>1030</v>
      </c>
    </row>
    <row r="65" spans="1:17" s="2" customFormat="1" ht="13.5" customHeight="1">
      <c r="A65" s="35" t="s">
        <v>732</v>
      </c>
      <c r="B65" s="35" t="s">
        <v>1200</v>
      </c>
      <c r="C65" s="60" t="s">
        <v>938</v>
      </c>
      <c r="D65" s="55" t="s">
        <v>1214</v>
      </c>
      <c r="E65" s="55" t="s">
        <v>1024</v>
      </c>
      <c r="F65" s="29"/>
      <c r="G65" s="27" t="s">
        <v>1280</v>
      </c>
      <c r="H65" s="35" t="s">
        <v>1285</v>
      </c>
      <c r="I65" s="35" t="s">
        <v>1286</v>
      </c>
      <c r="J65" s="29"/>
      <c r="K65" s="29"/>
      <c r="L65" s="29"/>
      <c r="M65" s="35"/>
      <c r="N65" s="27">
        <v>1</v>
      </c>
      <c r="O65" s="27" t="s">
        <v>1182</v>
      </c>
      <c r="P65" s="28">
        <v>11220</v>
      </c>
      <c r="Q65" s="29" t="s">
        <v>1030</v>
      </c>
    </row>
    <row r="66" spans="1:17" s="3" customFormat="1" ht="13.5" customHeight="1">
      <c r="A66" s="35" t="s">
        <v>733</v>
      </c>
      <c r="B66" s="35" t="s">
        <v>1200</v>
      </c>
      <c r="C66" s="60" t="s">
        <v>939</v>
      </c>
      <c r="D66" s="55" t="s">
        <v>1214</v>
      </c>
      <c r="E66" s="55" t="s">
        <v>1024</v>
      </c>
      <c r="F66" s="29"/>
      <c r="G66" s="27" t="s">
        <v>1280</v>
      </c>
      <c r="H66" s="35" t="s">
        <v>1285</v>
      </c>
      <c r="I66" s="35" t="s">
        <v>1286</v>
      </c>
      <c r="J66" s="29"/>
      <c r="K66" s="29"/>
      <c r="L66" s="29"/>
      <c r="M66" s="35"/>
      <c r="N66" s="27">
        <v>1</v>
      </c>
      <c r="O66" s="27" t="s">
        <v>1182</v>
      </c>
      <c r="P66" s="28">
        <v>11220</v>
      </c>
      <c r="Q66" s="29" t="s">
        <v>1030</v>
      </c>
    </row>
    <row r="67" spans="1:17" s="3" customFormat="1" ht="13.5" customHeight="1">
      <c r="A67" s="35" t="s">
        <v>734</v>
      </c>
      <c r="B67" s="35" t="s">
        <v>1200</v>
      </c>
      <c r="C67" s="60" t="s">
        <v>940</v>
      </c>
      <c r="D67" s="55" t="s">
        <v>1214</v>
      </c>
      <c r="E67" s="55" t="s">
        <v>1024</v>
      </c>
      <c r="F67" s="29"/>
      <c r="G67" s="27" t="s">
        <v>1280</v>
      </c>
      <c r="H67" s="35" t="s">
        <v>1285</v>
      </c>
      <c r="I67" s="35" t="s">
        <v>1286</v>
      </c>
      <c r="J67" s="29"/>
      <c r="K67" s="29"/>
      <c r="L67" s="29"/>
      <c r="M67" s="35"/>
      <c r="N67" s="27">
        <v>1</v>
      </c>
      <c r="O67" s="27" t="s">
        <v>1182</v>
      </c>
      <c r="P67" s="28">
        <v>11220</v>
      </c>
      <c r="Q67" s="29" t="s">
        <v>1030</v>
      </c>
    </row>
    <row r="68" spans="1:17" s="3" customFormat="1" ht="13.5" customHeight="1">
      <c r="A68" s="35" t="s">
        <v>735</v>
      </c>
      <c r="B68" s="35" t="s">
        <v>1200</v>
      </c>
      <c r="C68" s="60" t="s">
        <v>941</v>
      </c>
      <c r="D68" s="55" t="s">
        <v>1214</v>
      </c>
      <c r="E68" s="55" t="s">
        <v>1024</v>
      </c>
      <c r="F68" s="29"/>
      <c r="G68" s="27" t="s">
        <v>1280</v>
      </c>
      <c r="H68" s="35" t="s">
        <v>1285</v>
      </c>
      <c r="I68" s="35" t="s">
        <v>1286</v>
      </c>
      <c r="J68" s="29"/>
      <c r="K68" s="29"/>
      <c r="L68" s="29"/>
      <c r="M68" s="35"/>
      <c r="N68" s="27">
        <v>1</v>
      </c>
      <c r="O68" s="27" t="s">
        <v>1182</v>
      </c>
      <c r="P68" s="28">
        <v>11220</v>
      </c>
      <c r="Q68" s="29" t="s">
        <v>1030</v>
      </c>
    </row>
    <row r="69" spans="1:17" s="3" customFormat="1" ht="13.5" customHeight="1">
      <c r="A69" s="35" t="s">
        <v>736</v>
      </c>
      <c r="B69" s="35" t="s">
        <v>1200</v>
      </c>
      <c r="C69" s="60" t="s">
        <v>942</v>
      </c>
      <c r="D69" s="55" t="s">
        <v>1214</v>
      </c>
      <c r="E69" s="55" t="s">
        <v>1024</v>
      </c>
      <c r="F69" s="29"/>
      <c r="G69" s="27" t="s">
        <v>1280</v>
      </c>
      <c r="H69" s="35" t="s">
        <v>1285</v>
      </c>
      <c r="I69" s="35" t="s">
        <v>1286</v>
      </c>
      <c r="J69" s="29"/>
      <c r="K69" s="29"/>
      <c r="L69" s="29"/>
      <c r="M69" s="35"/>
      <c r="N69" s="27">
        <v>1</v>
      </c>
      <c r="O69" s="27" t="s">
        <v>1182</v>
      </c>
      <c r="P69" s="28">
        <v>11220</v>
      </c>
      <c r="Q69" s="29" t="s">
        <v>1030</v>
      </c>
    </row>
    <row r="70" spans="1:17" s="3" customFormat="1" ht="13.5" customHeight="1">
      <c r="A70" s="35" t="s">
        <v>737</v>
      </c>
      <c r="B70" s="35" t="s">
        <v>1200</v>
      </c>
      <c r="C70" s="60" t="s">
        <v>943</v>
      </c>
      <c r="D70" s="55" t="s">
        <v>1214</v>
      </c>
      <c r="E70" s="55" t="s">
        <v>1024</v>
      </c>
      <c r="F70" s="29"/>
      <c r="G70" s="27" t="s">
        <v>1280</v>
      </c>
      <c r="H70" s="35" t="s">
        <v>1285</v>
      </c>
      <c r="I70" s="35" t="s">
        <v>1286</v>
      </c>
      <c r="J70" s="29"/>
      <c r="K70" s="29"/>
      <c r="L70" s="29"/>
      <c r="M70" s="35"/>
      <c r="N70" s="27">
        <v>1</v>
      </c>
      <c r="O70" s="27" t="s">
        <v>1182</v>
      </c>
      <c r="P70" s="28">
        <v>11220</v>
      </c>
      <c r="Q70" s="29" t="s">
        <v>1030</v>
      </c>
    </row>
    <row r="71" spans="1:17" s="6" customFormat="1" ht="13.5" customHeight="1">
      <c r="A71" s="35" t="s">
        <v>738</v>
      </c>
      <c r="B71" s="35" t="s">
        <v>1200</v>
      </c>
      <c r="C71" s="36" t="s">
        <v>944</v>
      </c>
      <c r="D71" s="55" t="s">
        <v>1214</v>
      </c>
      <c r="E71" s="36" t="s">
        <v>1025</v>
      </c>
      <c r="F71" s="29"/>
      <c r="G71" s="27" t="s">
        <v>1280</v>
      </c>
      <c r="H71" s="35" t="s">
        <v>1285</v>
      </c>
      <c r="I71" s="35" t="s">
        <v>1286</v>
      </c>
      <c r="J71" s="29"/>
      <c r="K71" s="29"/>
      <c r="L71" s="29"/>
      <c r="M71" s="35"/>
      <c r="N71" s="27">
        <v>1</v>
      </c>
      <c r="O71" s="27" t="s">
        <v>1182</v>
      </c>
      <c r="P71" s="28">
        <v>15860</v>
      </c>
      <c r="Q71" s="29"/>
    </row>
    <row r="72" spans="1:17" s="6" customFormat="1" ht="13.5" customHeight="1">
      <c r="A72" s="35" t="s">
        <v>739</v>
      </c>
      <c r="B72" s="35" t="s">
        <v>1200</v>
      </c>
      <c r="C72" s="36" t="s">
        <v>945</v>
      </c>
      <c r="D72" s="55" t="s">
        <v>1214</v>
      </c>
      <c r="E72" s="36" t="s">
        <v>1025</v>
      </c>
      <c r="F72" s="29"/>
      <c r="G72" s="27" t="s">
        <v>1280</v>
      </c>
      <c r="H72" s="35" t="s">
        <v>1285</v>
      </c>
      <c r="I72" s="35" t="s">
        <v>1286</v>
      </c>
      <c r="J72" s="29"/>
      <c r="K72" s="29"/>
      <c r="L72" s="29"/>
      <c r="M72" s="35"/>
      <c r="N72" s="27">
        <v>1</v>
      </c>
      <c r="O72" s="27" t="s">
        <v>1182</v>
      </c>
      <c r="P72" s="28">
        <v>14740</v>
      </c>
      <c r="Q72" s="29"/>
    </row>
    <row r="73" spans="1:17" s="6" customFormat="1" ht="13.5" customHeight="1">
      <c r="A73" s="35" t="s">
        <v>740</v>
      </c>
      <c r="B73" s="35" t="s">
        <v>1200</v>
      </c>
      <c r="C73" s="36" t="s">
        <v>946</v>
      </c>
      <c r="D73" s="55" t="s">
        <v>1214</v>
      </c>
      <c r="E73" s="36" t="s">
        <v>1025</v>
      </c>
      <c r="F73" s="29"/>
      <c r="G73" s="27" t="s">
        <v>1280</v>
      </c>
      <c r="H73" s="35" t="s">
        <v>1285</v>
      </c>
      <c r="I73" s="35" t="s">
        <v>1286</v>
      </c>
      <c r="J73" s="29"/>
      <c r="K73" s="29"/>
      <c r="L73" s="29"/>
      <c r="M73" s="35"/>
      <c r="N73" s="27">
        <v>1</v>
      </c>
      <c r="O73" s="27" t="s">
        <v>1182</v>
      </c>
      <c r="P73" s="28">
        <v>14740</v>
      </c>
      <c r="Q73" s="29"/>
    </row>
    <row r="74" spans="1:17" s="3" customFormat="1" ht="13.5" customHeight="1">
      <c r="A74" s="35" t="s">
        <v>741</v>
      </c>
      <c r="B74" s="35" t="s">
        <v>1200</v>
      </c>
      <c r="C74" s="36" t="s">
        <v>947</v>
      </c>
      <c r="D74" s="55" t="s">
        <v>1214</v>
      </c>
      <c r="E74" s="36" t="s">
        <v>1025</v>
      </c>
      <c r="F74" s="29"/>
      <c r="G74" s="27" t="s">
        <v>1280</v>
      </c>
      <c r="H74" s="35" t="s">
        <v>1285</v>
      </c>
      <c r="I74" s="35" t="s">
        <v>1286</v>
      </c>
      <c r="J74" s="29"/>
      <c r="K74" s="29"/>
      <c r="L74" s="29"/>
      <c r="M74" s="35"/>
      <c r="N74" s="27">
        <v>1</v>
      </c>
      <c r="O74" s="27" t="s">
        <v>1182</v>
      </c>
      <c r="P74" s="28">
        <v>15860</v>
      </c>
      <c r="Q74" s="29"/>
    </row>
    <row r="75" spans="1:17" s="3" customFormat="1" ht="13.5" customHeight="1">
      <c r="A75" s="35" t="s">
        <v>742</v>
      </c>
      <c r="B75" s="35" t="s">
        <v>1200</v>
      </c>
      <c r="C75" s="36" t="s">
        <v>948</v>
      </c>
      <c r="D75" s="55" t="s">
        <v>1214</v>
      </c>
      <c r="E75" s="36" t="s">
        <v>1025</v>
      </c>
      <c r="F75" s="29"/>
      <c r="G75" s="27" t="s">
        <v>1280</v>
      </c>
      <c r="H75" s="35" t="s">
        <v>1285</v>
      </c>
      <c r="I75" s="35" t="s">
        <v>1286</v>
      </c>
      <c r="J75" s="29"/>
      <c r="K75" s="29"/>
      <c r="L75" s="29"/>
      <c r="M75" s="35"/>
      <c r="N75" s="27">
        <v>1</v>
      </c>
      <c r="O75" s="27" t="s">
        <v>1182</v>
      </c>
      <c r="P75" s="28">
        <v>15860</v>
      </c>
      <c r="Q75" s="29"/>
    </row>
    <row r="76" spans="1:17" s="2" customFormat="1" ht="13.5" customHeight="1">
      <c r="A76" s="35" t="s">
        <v>743</v>
      </c>
      <c r="B76" s="35" t="s">
        <v>1200</v>
      </c>
      <c r="C76" s="60" t="s">
        <v>949</v>
      </c>
      <c r="D76" s="55" t="s">
        <v>1221</v>
      </c>
      <c r="E76" s="55" t="s">
        <v>1222</v>
      </c>
      <c r="F76" s="29"/>
      <c r="G76" s="27" t="s">
        <v>1280</v>
      </c>
      <c r="H76" s="35" t="s">
        <v>1285</v>
      </c>
      <c r="I76" s="35" t="s">
        <v>1286</v>
      </c>
      <c r="J76" s="29"/>
      <c r="K76" s="29"/>
      <c r="L76" s="29"/>
      <c r="M76" s="35"/>
      <c r="N76" s="27">
        <v>1</v>
      </c>
      <c r="O76" s="27" t="s">
        <v>1182</v>
      </c>
      <c r="P76" s="28">
        <v>14740</v>
      </c>
      <c r="Q76" s="29"/>
    </row>
    <row r="77" spans="1:17" s="3" customFormat="1" ht="13.5" customHeight="1">
      <c r="A77" s="35" t="s">
        <v>744</v>
      </c>
      <c r="B77" s="35" t="s">
        <v>1200</v>
      </c>
      <c r="C77" s="60" t="s">
        <v>950</v>
      </c>
      <c r="D77" s="55" t="s">
        <v>1221</v>
      </c>
      <c r="E77" s="55" t="s">
        <v>1222</v>
      </c>
      <c r="F77" s="29"/>
      <c r="G77" s="27" t="s">
        <v>1280</v>
      </c>
      <c r="H77" s="35" t="s">
        <v>1285</v>
      </c>
      <c r="I77" s="35" t="s">
        <v>1286</v>
      </c>
      <c r="J77" s="29"/>
      <c r="K77" s="29"/>
      <c r="L77" s="29"/>
      <c r="M77" s="35"/>
      <c r="N77" s="27">
        <v>1</v>
      </c>
      <c r="O77" s="27" t="s">
        <v>1182</v>
      </c>
      <c r="P77" s="28">
        <v>14740</v>
      </c>
      <c r="Q77" s="29"/>
    </row>
    <row r="78" spans="1:17" s="2" customFormat="1" ht="13.5" customHeight="1">
      <c r="A78" s="35" t="s">
        <v>745</v>
      </c>
      <c r="B78" s="35" t="s">
        <v>1200</v>
      </c>
      <c r="C78" s="60" t="s">
        <v>951</v>
      </c>
      <c r="D78" s="55" t="s">
        <v>1221</v>
      </c>
      <c r="E78" s="55" t="s">
        <v>1223</v>
      </c>
      <c r="F78" s="29"/>
      <c r="G78" s="27" t="s">
        <v>1280</v>
      </c>
      <c r="H78" s="35" t="s">
        <v>1285</v>
      </c>
      <c r="I78" s="35" t="s">
        <v>1286</v>
      </c>
      <c r="J78" s="29"/>
      <c r="K78" s="29"/>
      <c r="L78" s="29"/>
      <c r="M78" s="35"/>
      <c r="N78" s="27">
        <v>1</v>
      </c>
      <c r="O78" s="27" t="s">
        <v>1182</v>
      </c>
      <c r="P78" s="28">
        <v>14740</v>
      </c>
      <c r="Q78" s="29"/>
    </row>
    <row r="79" spans="1:17" s="2" customFormat="1" ht="13.5" customHeight="1">
      <c r="A79" s="35" t="s">
        <v>746</v>
      </c>
      <c r="B79" s="35" t="s">
        <v>1200</v>
      </c>
      <c r="C79" s="60" t="s">
        <v>952</v>
      </c>
      <c r="D79" s="55" t="s">
        <v>1221</v>
      </c>
      <c r="E79" s="55" t="s">
        <v>1224</v>
      </c>
      <c r="F79" s="29"/>
      <c r="G79" s="27" t="s">
        <v>1280</v>
      </c>
      <c r="H79" s="35" t="s">
        <v>1285</v>
      </c>
      <c r="I79" s="35" t="s">
        <v>1286</v>
      </c>
      <c r="J79" s="29"/>
      <c r="K79" s="29"/>
      <c r="L79" s="29"/>
      <c r="M79" s="35"/>
      <c r="N79" s="27">
        <v>1</v>
      </c>
      <c r="O79" s="27" t="s">
        <v>1182</v>
      </c>
      <c r="P79" s="28">
        <v>14740</v>
      </c>
      <c r="Q79" s="29"/>
    </row>
    <row r="80" spans="1:17" s="2" customFormat="1" ht="13.5" customHeight="1">
      <c r="A80" s="35" t="s">
        <v>747</v>
      </c>
      <c r="B80" s="35" t="s">
        <v>1200</v>
      </c>
      <c r="C80" s="60" t="s">
        <v>953</v>
      </c>
      <c r="D80" s="55" t="s">
        <v>1221</v>
      </c>
      <c r="E80" s="55" t="s">
        <v>1224</v>
      </c>
      <c r="F80" s="29"/>
      <c r="G80" s="27" t="s">
        <v>1280</v>
      </c>
      <c r="H80" s="35" t="s">
        <v>1285</v>
      </c>
      <c r="I80" s="35" t="s">
        <v>1286</v>
      </c>
      <c r="J80" s="29"/>
      <c r="K80" s="29"/>
      <c r="L80" s="29"/>
      <c r="M80" s="35"/>
      <c r="N80" s="27">
        <v>1</v>
      </c>
      <c r="O80" s="27" t="s">
        <v>1182</v>
      </c>
      <c r="P80" s="28">
        <v>15860</v>
      </c>
      <c r="Q80" s="29"/>
    </row>
    <row r="81" spans="1:17" s="2" customFormat="1" ht="13.5" customHeight="1">
      <c r="A81" s="35" t="s">
        <v>748</v>
      </c>
      <c r="B81" s="35" t="s">
        <v>1200</v>
      </c>
      <c r="C81" s="61" t="s">
        <v>954</v>
      </c>
      <c r="D81" s="55" t="s">
        <v>1221</v>
      </c>
      <c r="E81" s="56" t="s">
        <v>1224</v>
      </c>
      <c r="F81" s="29"/>
      <c r="G81" s="27" t="s">
        <v>1280</v>
      </c>
      <c r="H81" s="35" t="s">
        <v>1285</v>
      </c>
      <c r="I81" s="35" t="s">
        <v>1286</v>
      </c>
      <c r="J81" s="29"/>
      <c r="K81" s="29"/>
      <c r="L81" s="29"/>
      <c r="M81" s="35"/>
      <c r="N81" s="27">
        <v>1</v>
      </c>
      <c r="O81" s="27" t="s">
        <v>1182</v>
      </c>
      <c r="P81" s="28">
        <v>15860</v>
      </c>
      <c r="Q81" s="29"/>
    </row>
    <row r="82" spans="1:17" s="2" customFormat="1" ht="13.5" customHeight="1">
      <c r="A82" s="35" t="s">
        <v>749</v>
      </c>
      <c r="B82" s="35" t="s">
        <v>1200</v>
      </c>
      <c r="C82" s="61" t="s">
        <v>955</v>
      </c>
      <c r="D82" s="55" t="s">
        <v>1275</v>
      </c>
      <c r="E82" s="56" t="s">
        <v>1224</v>
      </c>
      <c r="F82" s="29"/>
      <c r="G82" s="27" t="s">
        <v>1280</v>
      </c>
      <c r="H82" s="35" t="s">
        <v>1285</v>
      </c>
      <c r="I82" s="35" t="s">
        <v>1286</v>
      </c>
      <c r="J82" s="29"/>
      <c r="K82" s="29"/>
      <c r="L82" s="29"/>
      <c r="M82" s="35"/>
      <c r="N82" s="27">
        <v>1</v>
      </c>
      <c r="O82" s="27" t="s">
        <v>1182</v>
      </c>
      <c r="P82" s="28">
        <v>15860</v>
      </c>
      <c r="Q82" s="29"/>
    </row>
    <row r="83" spans="1:17" s="6" customFormat="1" ht="13.5" customHeight="1">
      <c r="A83" s="35" t="s">
        <v>750</v>
      </c>
      <c r="B83" s="35" t="s">
        <v>1200</v>
      </c>
      <c r="C83" s="60" t="s">
        <v>956</v>
      </c>
      <c r="D83" s="55" t="s">
        <v>1221</v>
      </c>
      <c r="E83" s="56" t="s">
        <v>1225</v>
      </c>
      <c r="F83" s="29"/>
      <c r="G83" s="27" t="s">
        <v>1280</v>
      </c>
      <c r="H83" s="35" t="s">
        <v>1285</v>
      </c>
      <c r="I83" s="35" t="s">
        <v>1286</v>
      </c>
      <c r="J83" s="29"/>
      <c r="K83" s="29"/>
      <c r="L83" s="29"/>
      <c r="M83" s="35"/>
      <c r="N83" s="27">
        <v>1</v>
      </c>
      <c r="O83" s="27" t="s">
        <v>1182</v>
      </c>
      <c r="P83" s="28">
        <v>15860</v>
      </c>
      <c r="Q83" s="29"/>
    </row>
    <row r="84" spans="1:17" s="6" customFormat="1" ht="13.5" customHeight="1">
      <c r="A84" s="35" t="s">
        <v>751</v>
      </c>
      <c r="B84" s="35" t="s">
        <v>1200</v>
      </c>
      <c r="C84" s="60" t="s">
        <v>957</v>
      </c>
      <c r="D84" s="55" t="s">
        <v>1221</v>
      </c>
      <c r="E84" s="56" t="s">
        <v>1225</v>
      </c>
      <c r="F84" s="29"/>
      <c r="G84" s="27" t="s">
        <v>1280</v>
      </c>
      <c r="H84" s="35" t="s">
        <v>1285</v>
      </c>
      <c r="I84" s="35" t="s">
        <v>1286</v>
      </c>
      <c r="J84" s="29"/>
      <c r="K84" s="29"/>
      <c r="L84" s="29"/>
      <c r="M84" s="35"/>
      <c r="N84" s="27">
        <v>1</v>
      </c>
      <c r="O84" s="27" t="s">
        <v>1182</v>
      </c>
      <c r="P84" s="28">
        <v>15860</v>
      </c>
      <c r="Q84" s="29"/>
    </row>
    <row r="85" spans="1:17" s="3" customFormat="1" ht="13.5" customHeight="1">
      <c r="A85" s="35" t="s">
        <v>752</v>
      </c>
      <c r="B85" s="35" t="s">
        <v>1200</v>
      </c>
      <c r="C85" s="60" t="s">
        <v>958</v>
      </c>
      <c r="D85" s="55" t="s">
        <v>1221</v>
      </c>
      <c r="E85" s="56" t="s">
        <v>1226</v>
      </c>
      <c r="F85" s="29"/>
      <c r="G85" s="27" t="s">
        <v>1280</v>
      </c>
      <c r="H85" s="35" t="s">
        <v>1285</v>
      </c>
      <c r="I85" s="35" t="s">
        <v>1286</v>
      </c>
      <c r="J85" s="29"/>
      <c r="K85" s="29"/>
      <c r="L85" s="29"/>
      <c r="M85" s="35"/>
      <c r="N85" s="27">
        <v>1</v>
      </c>
      <c r="O85" s="27" t="s">
        <v>1182</v>
      </c>
      <c r="P85" s="28">
        <v>14740</v>
      </c>
      <c r="Q85" s="29"/>
    </row>
    <row r="86" spans="1:17" s="4" customFormat="1" ht="13.5" customHeight="1">
      <c r="A86" s="35" t="s">
        <v>753</v>
      </c>
      <c r="B86" s="35" t="s">
        <v>1200</v>
      </c>
      <c r="C86" s="60" t="s">
        <v>959</v>
      </c>
      <c r="D86" s="55" t="s">
        <v>1221</v>
      </c>
      <c r="E86" s="56" t="s">
        <v>1226</v>
      </c>
      <c r="F86" s="29"/>
      <c r="G86" s="27" t="s">
        <v>1280</v>
      </c>
      <c r="H86" s="35" t="s">
        <v>1285</v>
      </c>
      <c r="I86" s="35" t="s">
        <v>1286</v>
      </c>
      <c r="J86" s="29"/>
      <c r="K86" s="29"/>
      <c r="L86" s="29"/>
      <c r="M86" s="35"/>
      <c r="N86" s="27">
        <v>1</v>
      </c>
      <c r="O86" s="27" t="s">
        <v>1182</v>
      </c>
      <c r="P86" s="28">
        <v>14740</v>
      </c>
      <c r="Q86" s="29"/>
    </row>
    <row r="87" spans="1:17" s="6" customFormat="1" ht="13.5" customHeight="1">
      <c r="A87" s="35" t="s">
        <v>754</v>
      </c>
      <c r="B87" s="35" t="s">
        <v>1200</v>
      </c>
      <c r="C87" s="60" t="s">
        <v>960</v>
      </c>
      <c r="D87" s="55" t="s">
        <v>1221</v>
      </c>
      <c r="E87" s="56" t="s">
        <v>1227</v>
      </c>
      <c r="F87" s="29"/>
      <c r="G87" s="27" t="s">
        <v>1280</v>
      </c>
      <c r="H87" s="35" t="s">
        <v>1285</v>
      </c>
      <c r="I87" s="35" t="s">
        <v>1286</v>
      </c>
      <c r="J87" s="29"/>
      <c r="K87" s="29"/>
      <c r="L87" s="29"/>
      <c r="M87" s="35"/>
      <c r="N87" s="27">
        <v>1</v>
      </c>
      <c r="O87" s="27" t="s">
        <v>1182</v>
      </c>
      <c r="P87" s="28">
        <v>14740</v>
      </c>
      <c r="Q87" s="29"/>
    </row>
    <row r="88" spans="1:17" s="6" customFormat="1" ht="13.5" customHeight="1">
      <c r="A88" s="35" t="s">
        <v>755</v>
      </c>
      <c r="B88" s="35" t="s">
        <v>1200</v>
      </c>
      <c r="C88" s="60" t="s">
        <v>961</v>
      </c>
      <c r="D88" s="55" t="s">
        <v>1221</v>
      </c>
      <c r="E88" s="56" t="s">
        <v>1227</v>
      </c>
      <c r="F88" s="29"/>
      <c r="G88" s="27" t="s">
        <v>1280</v>
      </c>
      <c r="H88" s="35" t="s">
        <v>1285</v>
      </c>
      <c r="I88" s="35" t="s">
        <v>1286</v>
      </c>
      <c r="J88" s="29"/>
      <c r="K88" s="29"/>
      <c r="L88" s="29"/>
      <c r="M88" s="35"/>
      <c r="N88" s="27">
        <v>1</v>
      </c>
      <c r="O88" s="27" t="s">
        <v>1182</v>
      </c>
      <c r="P88" s="28">
        <v>14740</v>
      </c>
      <c r="Q88" s="29"/>
    </row>
    <row r="89" spans="1:17" s="6" customFormat="1" ht="13.5" customHeight="1">
      <c r="A89" s="35" t="s">
        <v>756</v>
      </c>
      <c r="B89" s="35" t="s">
        <v>1200</v>
      </c>
      <c r="C89" s="60" t="s">
        <v>962</v>
      </c>
      <c r="D89" s="55" t="s">
        <v>1221</v>
      </c>
      <c r="E89" s="56" t="s">
        <v>1228</v>
      </c>
      <c r="F89" s="29"/>
      <c r="G89" s="27" t="s">
        <v>1280</v>
      </c>
      <c r="H89" s="35" t="s">
        <v>1285</v>
      </c>
      <c r="I89" s="35" t="s">
        <v>1286</v>
      </c>
      <c r="J89" s="29"/>
      <c r="K89" s="29"/>
      <c r="L89" s="29"/>
      <c r="M89" s="35"/>
      <c r="N89" s="27">
        <v>1</v>
      </c>
      <c r="O89" s="27" t="s">
        <v>1182</v>
      </c>
      <c r="P89" s="28">
        <v>14740</v>
      </c>
      <c r="Q89" s="29"/>
    </row>
    <row r="90" spans="1:17" s="6" customFormat="1" ht="13.5" customHeight="1">
      <c r="A90" s="35" t="s">
        <v>757</v>
      </c>
      <c r="B90" s="35" t="s">
        <v>1200</v>
      </c>
      <c r="C90" s="60" t="s">
        <v>963</v>
      </c>
      <c r="D90" s="55" t="s">
        <v>1221</v>
      </c>
      <c r="E90" s="56" t="s">
        <v>1229</v>
      </c>
      <c r="F90" s="29"/>
      <c r="G90" s="27" t="s">
        <v>1280</v>
      </c>
      <c r="H90" s="35" t="s">
        <v>1285</v>
      </c>
      <c r="I90" s="35" t="s">
        <v>1286</v>
      </c>
      <c r="J90" s="29"/>
      <c r="K90" s="29"/>
      <c r="L90" s="29"/>
      <c r="M90" s="35"/>
      <c r="N90" s="27">
        <v>1</v>
      </c>
      <c r="O90" s="27" t="s">
        <v>1182</v>
      </c>
      <c r="P90" s="28">
        <v>14740</v>
      </c>
      <c r="Q90" s="29"/>
    </row>
    <row r="91" spans="1:17" s="6" customFormat="1" ht="13.5" customHeight="1">
      <c r="A91" s="35" t="s">
        <v>758</v>
      </c>
      <c r="B91" s="35" t="s">
        <v>1200</v>
      </c>
      <c r="C91" s="60" t="s">
        <v>964</v>
      </c>
      <c r="D91" s="55" t="s">
        <v>1221</v>
      </c>
      <c r="E91" s="55" t="s">
        <v>1229</v>
      </c>
      <c r="F91" s="29"/>
      <c r="G91" s="27" t="s">
        <v>1280</v>
      </c>
      <c r="H91" s="35" t="s">
        <v>1285</v>
      </c>
      <c r="I91" s="35" t="s">
        <v>1286</v>
      </c>
      <c r="J91" s="29"/>
      <c r="K91" s="29"/>
      <c r="L91" s="29"/>
      <c r="M91" s="35"/>
      <c r="N91" s="27">
        <v>1</v>
      </c>
      <c r="O91" s="27" t="s">
        <v>1182</v>
      </c>
      <c r="P91" s="28">
        <v>14740</v>
      </c>
      <c r="Q91" s="29"/>
    </row>
    <row r="92" spans="1:17" s="6" customFormat="1" ht="13.5" customHeight="1">
      <c r="A92" s="35" t="s">
        <v>759</v>
      </c>
      <c r="B92" s="35" t="s">
        <v>1200</v>
      </c>
      <c r="C92" s="60" t="s">
        <v>965</v>
      </c>
      <c r="D92" s="55" t="s">
        <v>1221</v>
      </c>
      <c r="E92" s="56" t="s">
        <v>1230</v>
      </c>
      <c r="F92" s="29"/>
      <c r="G92" s="27" t="s">
        <v>1280</v>
      </c>
      <c r="H92" s="35" t="s">
        <v>1285</v>
      </c>
      <c r="I92" s="35" t="s">
        <v>1286</v>
      </c>
      <c r="J92" s="29"/>
      <c r="K92" s="29"/>
      <c r="L92" s="29"/>
      <c r="M92" s="35"/>
      <c r="N92" s="27">
        <v>1</v>
      </c>
      <c r="O92" s="27" t="s">
        <v>1182</v>
      </c>
      <c r="P92" s="28">
        <v>15860</v>
      </c>
      <c r="Q92" s="29"/>
    </row>
    <row r="93" spans="1:17" s="6" customFormat="1" ht="13.5" customHeight="1">
      <c r="A93" s="35" t="s">
        <v>760</v>
      </c>
      <c r="B93" s="35" t="s">
        <v>1200</v>
      </c>
      <c r="C93" s="60" t="s">
        <v>966</v>
      </c>
      <c r="D93" s="55" t="s">
        <v>1221</v>
      </c>
      <c r="E93" s="56" t="s">
        <v>1230</v>
      </c>
      <c r="F93" s="29"/>
      <c r="G93" s="27" t="s">
        <v>1280</v>
      </c>
      <c r="H93" s="35" t="s">
        <v>1285</v>
      </c>
      <c r="I93" s="35" t="s">
        <v>1286</v>
      </c>
      <c r="J93" s="29"/>
      <c r="K93" s="29"/>
      <c r="L93" s="29"/>
      <c r="M93" s="35"/>
      <c r="N93" s="27">
        <v>1</v>
      </c>
      <c r="O93" s="27" t="s">
        <v>1182</v>
      </c>
      <c r="P93" s="28">
        <v>14740</v>
      </c>
      <c r="Q93" s="29"/>
    </row>
    <row r="94" spans="1:17" s="6" customFormat="1" ht="13.5" customHeight="1">
      <c r="A94" s="35" t="s">
        <v>761</v>
      </c>
      <c r="B94" s="35" t="s">
        <v>1200</v>
      </c>
      <c r="C94" s="60" t="s">
        <v>967</v>
      </c>
      <c r="D94" s="55" t="s">
        <v>1221</v>
      </c>
      <c r="E94" s="56" t="s">
        <v>1231</v>
      </c>
      <c r="F94" s="29"/>
      <c r="G94" s="27" t="s">
        <v>1280</v>
      </c>
      <c r="H94" s="35" t="s">
        <v>1285</v>
      </c>
      <c r="I94" s="35" t="s">
        <v>1286</v>
      </c>
      <c r="J94" s="29"/>
      <c r="K94" s="29"/>
      <c r="L94" s="29"/>
      <c r="M94" s="35"/>
      <c r="N94" s="27">
        <v>1</v>
      </c>
      <c r="O94" s="27" t="s">
        <v>1182</v>
      </c>
      <c r="P94" s="28">
        <v>14740</v>
      </c>
      <c r="Q94" s="29"/>
    </row>
    <row r="95" spans="1:17" s="6" customFormat="1" ht="13.5" customHeight="1">
      <c r="A95" s="35" t="s">
        <v>762</v>
      </c>
      <c r="B95" s="35" t="s">
        <v>1200</v>
      </c>
      <c r="C95" s="60" t="s">
        <v>968</v>
      </c>
      <c r="D95" s="55" t="s">
        <v>1221</v>
      </c>
      <c r="E95" s="56" t="s">
        <v>1231</v>
      </c>
      <c r="F95" s="29"/>
      <c r="G95" s="27" t="s">
        <v>1280</v>
      </c>
      <c r="H95" s="35" t="s">
        <v>1285</v>
      </c>
      <c r="I95" s="35" t="s">
        <v>1286</v>
      </c>
      <c r="J95" s="29"/>
      <c r="K95" s="29"/>
      <c r="L95" s="29"/>
      <c r="M95" s="35"/>
      <c r="N95" s="27">
        <v>1</v>
      </c>
      <c r="O95" s="27" t="s">
        <v>1182</v>
      </c>
      <c r="P95" s="28">
        <v>15860</v>
      </c>
      <c r="Q95" s="29"/>
    </row>
    <row r="96" spans="1:17" s="6" customFormat="1" ht="13.5" customHeight="1">
      <c r="A96" s="35" t="s">
        <v>763</v>
      </c>
      <c r="B96" s="35" t="s">
        <v>1200</v>
      </c>
      <c r="C96" s="60" t="s">
        <v>969</v>
      </c>
      <c r="D96" s="55" t="s">
        <v>1221</v>
      </c>
      <c r="E96" s="56" t="s">
        <v>1232</v>
      </c>
      <c r="F96" s="29"/>
      <c r="G96" s="27" t="s">
        <v>1280</v>
      </c>
      <c r="H96" s="35" t="s">
        <v>1285</v>
      </c>
      <c r="I96" s="35" t="s">
        <v>1286</v>
      </c>
      <c r="J96" s="29"/>
      <c r="K96" s="29"/>
      <c r="L96" s="29"/>
      <c r="M96" s="35"/>
      <c r="N96" s="27">
        <v>1</v>
      </c>
      <c r="O96" s="27" t="s">
        <v>1182</v>
      </c>
      <c r="P96" s="28">
        <v>15860</v>
      </c>
      <c r="Q96" s="29"/>
    </row>
    <row r="97" spans="1:17" s="6" customFormat="1" ht="13.5" customHeight="1">
      <c r="A97" s="35" t="s">
        <v>764</v>
      </c>
      <c r="B97" s="35" t="s">
        <v>1200</v>
      </c>
      <c r="C97" s="60" t="s">
        <v>970</v>
      </c>
      <c r="D97" s="55" t="s">
        <v>1221</v>
      </c>
      <c r="E97" s="56" t="s">
        <v>1233</v>
      </c>
      <c r="F97" s="29"/>
      <c r="G97" s="27" t="s">
        <v>1280</v>
      </c>
      <c r="H97" s="35" t="s">
        <v>1285</v>
      </c>
      <c r="I97" s="35" t="s">
        <v>1286</v>
      </c>
      <c r="J97" s="29"/>
      <c r="K97" s="29"/>
      <c r="L97" s="29"/>
      <c r="M97" s="35"/>
      <c r="N97" s="27">
        <v>1</v>
      </c>
      <c r="O97" s="27" t="s">
        <v>1182</v>
      </c>
      <c r="P97" s="28">
        <v>15860</v>
      </c>
      <c r="Q97" s="29"/>
    </row>
    <row r="98" spans="1:17" s="6" customFormat="1" ht="13.5" customHeight="1">
      <c r="A98" s="35" t="s">
        <v>765</v>
      </c>
      <c r="B98" s="35" t="s">
        <v>1200</v>
      </c>
      <c r="C98" s="60" t="s">
        <v>971</v>
      </c>
      <c r="D98" s="55" t="s">
        <v>1221</v>
      </c>
      <c r="E98" s="56" t="s">
        <v>1234</v>
      </c>
      <c r="F98" s="29"/>
      <c r="G98" s="27" t="s">
        <v>1280</v>
      </c>
      <c r="H98" s="35" t="s">
        <v>1285</v>
      </c>
      <c r="I98" s="35" t="s">
        <v>1286</v>
      </c>
      <c r="J98" s="29"/>
      <c r="K98" s="29"/>
      <c r="L98" s="29"/>
      <c r="M98" s="35"/>
      <c r="N98" s="27">
        <v>1</v>
      </c>
      <c r="O98" s="27" t="s">
        <v>1182</v>
      </c>
      <c r="P98" s="28">
        <v>15860</v>
      </c>
      <c r="Q98" s="29"/>
    </row>
    <row r="99" spans="1:17" s="6" customFormat="1" ht="13.5" customHeight="1">
      <c r="A99" s="35" t="s">
        <v>766</v>
      </c>
      <c r="B99" s="35" t="s">
        <v>1200</v>
      </c>
      <c r="C99" s="60" t="s">
        <v>972</v>
      </c>
      <c r="D99" s="55" t="s">
        <v>1221</v>
      </c>
      <c r="E99" s="56" t="s">
        <v>1235</v>
      </c>
      <c r="F99" s="29"/>
      <c r="G99" s="27" t="s">
        <v>1280</v>
      </c>
      <c r="H99" s="35" t="s">
        <v>1285</v>
      </c>
      <c r="I99" s="35" t="s">
        <v>1286</v>
      </c>
      <c r="J99" s="29"/>
      <c r="K99" s="29"/>
      <c r="L99" s="29"/>
      <c r="M99" s="35"/>
      <c r="N99" s="27">
        <v>1</v>
      </c>
      <c r="O99" s="27" t="s">
        <v>1182</v>
      </c>
      <c r="P99" s="28">
        <v>14740</v>
      </c>
      <c r="Q99" s="29"/>
    </row>
    <row r="100" spans="1:17" s="6" customFormat="1" ht="13.5" customHeight="1">
      <c r="A100" s="35" t="s">
        <v>767</v>
      </c>
      <c r="B100" s="35" t="s">
        <v>1200</v>
      </c>
      <c r="C100" s="60" t="s">
        <v>973</v>
      </c>
      <c r="D100" s="55" t="s">
        <v>1221</v>
      </c>
      <c r="E100" s="56" t="s">
        <v>1236</v>
      </c>
      <c r="F100" s="29"/>
      <c r="G100" s="27" t="s">
        <v>1280</v>
      </c>
      <c r="H100" s="35" t="s">
        <v>1285</v>
      </c>
      <c r="I100" s="35" t="s">
        <v>1286</v>
      </c>
      <c r="J100" s="29"/>
      <c r="K100" s="29"/>
      <c r="L100" s="29"/>
      <c r="M100" s="35"/>
      <c r="N100" s="27">
        <v>1</v>
      </c>
      <c r="O100" s="27" t="s">
        <v>1182</v>
      </c>
      <c r="P100" s="28">
        <v>14740</v>
      </c>
      <c r="Q100" s="29"/>
    </row>
    <row r="101" spans="1:17" s="4" customFormat="1" ht="13.5" customHeight="1">
      <c r="A101" s="35" t="s">
        <v>768</v>
      </c>
      <c r="B101" s="35" t="s">
        <v>1200</v>
      </c>
      <c r="C101" s="60" t="s">
        <v>974</v>
      </c>
      <c r="D101" s="55" t="s">
        <v>1237</v>
      </c>
      <c r="E101" s="56" t="s">
        <v>1224</v>
      </c>
      <c r="F101" s="29"/>
      <c r="G101" s="27" t="s">
        <v>1280</v>
      </c>
      <c r="H101" s="35" t="s">
        <v>1285</v>
      </c>
      <c r="I101" s="35" t="s">
        <v>1286</v>
      </c>
      <c r="J101" s="29"/>
      <c r="K101" s="29"/>
      <c r="L101" s="29"/>
      <c r="M101" s="35"/>
      <c r="N101" s="27">
        <v>1</v>
      </c>
      <c r="O101" s="27" t="s">
        <v>1182</v>
      </c>
      <c r="P101" s="28">
        <v>15860</v>
      </c>
      <c r="Q101" s="29"/>
    </row>
    <row r="102" spans="1:17" s="4" customFormat="1" ht="13.5" customHeight="1">
      <c r="A102" s="35" t="s">
        <v>769</v>
      </c>
      <c r="B102" s="35" t="s">
        <v>1200</v>
      </c>
      <c r="C102" s="60" t="s">
        <v>975</v>
      </c>
      <c r="D102" s="55" t="s">
        <v>1237</v>
      </c>
      <c r="E102" s="56" t="s">
        <v>1225</v>
      </c>
      <c r="F102" s="29"/>
      <c r="G102" s="27" t="s">
        <v>1280</v>
      </c>
      <c r="H102" s="35" t="s">
        <v>1285</v>
      </c>
      <c r="I102" s="35" t="s">
        <v>1286</v>
      </c>
      <c r="J102" s="29"/>
      <c r="K102" s="29"/>
      <c r="L102" s="29"/>
      <c r="M102" s="35"/>
      <c r="N102" s="27">
        <v>1</v>
      </c>
      <c r="O102" s="27" t="s">
        <v>1182</v>
      </c>
      <c r="P102" s="28">
        <v>15860</v>
      </c>
      <c r="Q102" s="29"/>
    </row>
    <row r="103" spans="1:17" s="6" customFormat="1" ht="13.5" customHeight="1">
      <c r="A103" s="35" t="s">
        <v>770</v>
      </c>
      <c r="B103" s="35" t="s">
        <v>1200</v>
      </c>
      <c r="C103" s="60" t="s">
        <v>976</v>
      </c>
      <c r="D103" s="55" t="s">
        <v>1238</v>
      </c>
      <c r="E103" s="55" t="s">
        <v>1224</v>
      </c>
      <c r="F103" s="29"/>
      <c r="G103" s="27" t="s">
        <v>1280</v>
      </c>
      <c r="H103" s="35" t="s">
        <v>1285</v>
      </c>
      <c r="I103" s="35" t="s">
        <v>1286</v>
      </c>
      <c r="J103" s="29"/>
      <c r="K103" s="29"/>
      <c r="L103" s="29"/>
      <c r="M103" s="35"/>
      <c r="N103" s="27">
        <v>1</v>
      </c>
      <c r="O103" s="27" t="s">
        <v>1182</v>
      </c>
      <c r="P103" s="28">
        <v>15860</v>
      </c>
      <c r="Q103" s="29"/>
    </row>
    <row r="104" spans="1:17" s="6" customFormat="1" ht="13.5" customHeight="1">
      <c r="A104" s="35" t="s">
        <v>771</v>
      </c>
      <c r="B104" s="35" t="s">
        <v>1200</v>
      </c>
      <c r="C104" s="60" t="s">
        <v>977</v>
      </c>
      <c r="D104" s="55" t="s">
        <v>1238</v>
      </c>
      <c r="E104" s="55" t="s">
        <v>1222</v>
      </c>
      <c r="F104" s="29"/>
      <c r="G104" s="27" t="s">
        <v>1280</v>
      </c>
      <c r="H104" s="35" t="s">
        <v>1285</v>
      </c>
      <c r="I104" s="35" t="s">
        <v>1286</v>
      </c>
      <c r="J104" s="29"/>
      <c r="K104" s="29"/>
      <c r="L104" s="29"/>
      <c r="M104" s="35"/>
      <c r="N104" s="27">
        <v>1</v>
      </c>
      <c r="O104" s="27" t="s">
        <v>1182</v>
      </c>
      <c r="P104" s="28">
        <v>14740</v>
      </c>
      <c r="Q104" s="29"/>
    </row>
    <row r="105" spans="1:17" s="6" customFormat="1" ht="13.5" customHeight="1">
      <c r="A105" s="35" t="s">
        <v>772</v>
      </c>
      <c r="B105" s="35" t="s">
        <v>1200</v>
      </c>
      <c r="C105" s="60" t="s">
        <v>978</v>
      </c>
      <c r="D105" s="55" t="s">
        <v>1239</v>
      </c>
      <c r="E105" s="56" t="s">
        <v>1222</v>
      </c>
      <c r="F105" s="29"/>
      <c r="G105" s="27" t="s">
        <v>1280</v>
      </c>
      <c r="H105" s="35" t="s">
        <v>1285</v>
      </c>
      <c r="I105" s="35" t="s">
        <v>1286</v>
      </c>
      <c r="J105" s="29"/>
      <c r="K105" s="29"/>
      <c r="L105" s="29"/>
      <c r="M105" s="35"/>
      <c r="N105" s="27">
        <v>1</v>
      </c>
      <c r="O105" s="27" t="s">
        <v>1182</v>
      </c>
      <c r="P105" s="28">
        <v>15860</v>
      </c>
      <c r="Q105" s="29"/>
    </row>
    <row r="106" spans="1:17" s="6" customFormat="1" ht="13.5" customHeight="1">
      <c r="A106" s="35" t="s">
        <v>773</v>
      </c>
      <c r="B106" s="35" t="s">
        <v>1200</v>
      </c>
      <c r="C106" s="60" t="s">
        <v>979</v>
      </c>
      <c r="D106" s="55" t="s">
        <v>1240</v>
      </c>
      <c r="E106" s="56" t="s">
        <v>1222</v>
      </c>
      <c r="F106" s="29"/>
      <c r="G106" s="27" t="s">
        <v>1280</v>
      </c>
      <c r="H106" s="35" t="s">
        <v>1285</v>
      </c>
      <c r="I106" s="35" t="s">
        <v>1286</v>
      </c>
      <c r="J106" s="29"/>
      <c r="K106" s="29"/>
      <c r="L106" s="29"/>
      <c r="M106" s="35"/>
      <c r="N106" s="27">
        <v>1</v>
      </c>
      <c r="O106" s="27" t="s">
        <v>1182</v>
      </c>
      <c r="P106" s="28">
        <v>15860</v>
      </c>
      <c r="Q106" s="29"/>
    </row>
    <row r="107" spans="1:17" s="4" customFormat="1" ht="13.5" customHeight="1">
      <c r="A107" s="35" t="s">
        <v>774</v>
      </c>
      <c r="B107" s="35" t="s">
        <v>1200</v>
      </c>
      <c r="C107" s="60" t="s">
        <v>980</v>
      </c>
      <c r="D107" s="55" t="s">
        <v>1241</v>
      </c>
      <c r="E107" s="56" t="s">
        <v>1225</v>
      </c>
      <c r="F107" s="29"/>
      <c r="G107" s="27" t="s">
        <v>1280</v>
      </c>
      <c r="H107" s="35" t="s">
        <v>1285</v>
      </c>
      <c r="I107" s="35" t="s">
        <v>1286</v>
      </c>
      <c r="J107" s="29"/>
      <c r="K107" s="29"/>
      <c r="L107" s="29"/>
      <c r="M107" s="35"/>
      <c r="N107" s="27">
        <v>1</v>
      </c>
      <c r="O107" s="27" t="s">
        <v>1182</v>
      </c>
      <c r="P107" s="28">
        <v>14740</v>
      </c>
      <c r="Q107" s="29"/>
    </row>
    <row r="108" spans="1:17" s="4" customFormat="1" ht="13.5" customHeight="1">
      <c r="A108" s="35" t="s">
        <v>775</v>
      </c>
      <c r="B108" s="35" t="s">
        <v>1200</v>
      </c>
      <c r="C108" s="60" t="s">
        <v>981</v>
      </c>
      <c r="D108" s="55" t="s">
        <v>1241</v>
      </c>
      <c r="E108" s="56" t="s">
        <v>1226</v>
      </c>
      <c r="F108" s="29"/>
      <c r="G108" s="27" t="s">
        <v>1280</v>
      </c>
      <c r="H108" s="35" t="s">
        <v>1285</v>
      </c>
      <c r="I108" s="35" t="s">
        <v>1286</v>
      </c>
      <c r="J108" s="29"/>
      <c r="K108" s="29"/>
      <c r="L108" s="29"/>
      <c r="M108" s="35"/>
      <c r="N108" s="27">
        <v>1</v>
      </c>
      <c r="O108" s="27" t="s">
        <v>1182</v>
      </c>
      <c r="P108" s="28">
        <v>14740</v>
      </c>
      <c r="Q108" s="29"/>
    </row>
    <row r="109" spans="1:17" s="4" customFormat="1" ht="13.5" customHeight="1">
      <c r="A109" s="35" t="s">
        <v>776</v>
      </c>
      <c r="B109" s="35" t="s">
        <v>1200</v>
      </c>
      <c r="C109" s="60" t="s">
        <v>982</v>
      </c>
      <c r="D109" s="55" t="s">
        <v>1242</v>
      </c>
      <c r="E109" s="56" t="s">
        <v>1222</v>
      </c>
      <c r="F109" s="29"/>
      <c r="G109" s="27" t="s">
        <v>1280</v>
      </c>
      <c r="H109" s="35" t="s">
        <v>1285</v>
      </c>
      <c r="I109" s="35" t="s">
        <v>1286</v>
      </c>
      <c r="J109" s="29"/>
      <c r="K109" s="29"/>
      <c r="L109" s="29"/>
      <c r="M109" s="35"/>
      <c r="N109" s="27">
        <v>1</v>
      </c>
      <c r="O109" s="27" t="s">
        <v>1182</v>
      </c>
      <c r="P109" s="28">
        <v>15860</v>
      </c>
      <c r="Q109" s="29"/>
    </row>
    <row r="110" spans="1:17" s="4" customFormat="1" ht="13.5" customHeight="1">
      <c r="A110" s="35" t="s">
        <v>777</v>
      </c>
      <c r="B110" s="35" t="s">
        <v>1200</v>
      </c>
      <c r="C110" s="60" t="s">
        <v>983</v>
      </c>
      <c r="D110" s="55" t="s">
        <v>1242</v>
      </c>
      <c r="E110" s="56" t="s">
        <v>1224</v>
      </c>
      <c r="F110" s="29"/>
      <c r="G110" s="27" t="s">
        <v>1280</v>
      </c>
      <c r="H110" s="35" t="s">
        <v>1285</v>
      </c>
      <c r="I110" s="35" t="s">
        <v>1286</v>
      </c>
      <c r="J110" s="29"/>
      <c r="K110" s="29"/>
      <c r="L110" s="29"/>
      <c r="M110" s="35"/>
      <c r="N110" s="27">
        <v>1</v>
      </c>
      <c r="O110" s="27" t="s">
        <v>1182</v>
      </c>
      <c r="P110" s="28">
        <v>15860</v>
      </c>
      <c r="Q110" s="29"/>
    </row>
    <row r="111" spans="1:17" s="6" customFormat="1" ht="13.5" customHeight="1">
      <c r="A111" s="35" t="s">
        <v>778</v>
      </c>
      <c r="B111" s="35" t="s">
        <v>1200</v>
      </c>
      <c r="C111" s="60" t="s">
        <v>984</v>
      </c>
      <c r="D111" s="55" t="s">
        <v>1242</v>
      </c>
      <c r="E111" s="56" t="s">
        <v>1226</v>
      </c>
      <c r="F111" s="29"/>
      <c r="G111" s="27" t="s">
        <v>1280</v>
      </c>
      <c r="H111" s="35" t="s">
        <v>1285</v>
      </c>
      <c r="I111" s="35" t="s">
        <v>1286</v>
      </c>
      <c r="J111" s="29"/>
      <c r="K111" s="29"/>
      <c r="L111" s="29"/>
      <c r="M111" s="35"/>
      <c r="N111" s="27">
        <v>1</v>
      </c>
      <c r="O111" s="27" t="s">
        <v>1182</v>
      </c>
      <c r="P111" s="28">
        <v>14740</v>
      </c>
      <c r="Q111" s="29"/>
    </row>
    <row r="112" spans="1:17" s="4" customFormat="1" ht="13.5" customHeight="1">
      <c r="A112" s="35" t="s">
        <v>779</v>
      </c>
      <c r="B112" s="35" t="s">
        <v>1200</v>
      </c>
      <c r="C112" s="60" t="s">
        <v>985</v>
      </c>
      <c r="D112" s="55" t="s">
        <v>1243</v>
      </c>
      <c r="E112" s="55" t="s">
        <v>1244</v>
      </c>
      <c r="F112" s="29"/>
      <c r="G112" s="27" t="s">
        <v>1280</v>
      </c>
      <c r="H112" s="35" t="s">
        <v>1285</v>
      </c>
      <c r="I112" s="35" t="s">
        <v>1286</v>
      </c>
      <c r="J112" s="29"/>
      <c r="K112" s="29"/>
      <c r="L112" s="29"/>
      <c r="M112" s="35"/>
      <c r="N112" s="27">
        <v>1</v>
      </c>
      <c r="O112" s="27" t="s">
        <v>1182</v>
      </c>
      <c r="P112" s="28">
        <v>15860</v>
      </c>
      <c r="Q112" s="29"/>
    </row>
    <row r="113" spans="1:17" s="4" customFormat="1" ht="13.5" customHeight="1">
      <c r="A113" s="35" t="s">
        <v>780</v>
      </c>
      <c r="B113" s="35" t="s">
        <v>1200</v>
      </c>
      <c r="C113" s="60" t="s">
        <v>986</v>
      </c>
      <c r="D113" s="55" t="s">
        <v>1243</v>
      </c>
      <c r="E113" s="55" t="s">
        <v>1244</v>
      </c>
      <c r="F113" s="29"/>
      <c r="G113" s="27" t="s">
        <v>1280</v>
      </c>
      <c r="H113" s="35" t="s">
        <v>1285</v>
      </c>
      <c r="I113" s="35" t="s">
        <v>1286</v>
      </c>
      <c r="J113" s="29"/>
      <c r="K113" s="29"/>
      <c r="L113" s="29"/>
      <c r="M113" s="35"/>
      <c r="N113" s="27">
        <v>1</v>
      </c>
      <c r="O113" s="27" t="s">
        <v>1182</v>
      </c>
      <c r="P113" s="28">
        <v>14740</v>
      </c>
      <c r="Q113" s="29"/>
    </row>
    <row r="114" spans="1:17" s="4" customFormat="1" ht="13.5" customHeight="1">
      <c r="A114" s="35" t="s">
        <v>781</v>
      </c>
      <c r="B114" s="35" t="s">
        <v>1200</v>
      </c>
      <c r="C114" s="60">
        <v>1166128</v>
      </c>
      <c r="D114" s="55" t="s">
        <v>1221</v>
      </c>
      <c r="E114" s="55" t="s">
        <v>1245</v>
      </c>
      <c r="F114" s="29"/>
      <c r="G114" s="27" t="s">
        <v>1280</v>
      </c>
      <c r="H114" s="35" t="s">
        <v>1285</v>
      </c>
      <c r="I114" s="35" t="s">
        <v>1286</v>
      </c>
      <c r="J114" s="29"/>
      <c r="K114" s="29"/>
      <c r="L114" s="29"/>
      <c r="M114" s="35"/>
      <c r="N114" s="27">
        <v>1</v>
      </c>
      <c r="O114" s="27" t="s">
        <v>1182</v>
      </c>
      <c r="P114" s="28">
        <v>15860</v>
      </c>
      <c r="Q114" s="29"/>
    </row>
    <row r="115" spans="1:17" s="4" customFormat="1" ht="13.5" customHeight="1">
      <c r="A115" s="35" t="s">
        <v>782</v>
      </c>
      <c r="B115" s="35" t="s">
        <v>1200</v>
      </c>
      <c r="C115" s="60">
        <v>5005289</v>
      </c>
      <c r="D115" s="55" t="s">
        <v>1221</v>
      </c>
      <c r="E115" s="55" t="s">
        <v>1246</v>
      </c>
      <c r="F115" s="29"/>
      <c r="G115" s="27" t="s">
        <v>1280</v>
      </c>
      <c r="H115" s="35" t="s">
        <v>1285</v>
      </c>
      <c r="I115" s="35" t="s">
        <v>1286</v>
      </c>
      <c r="J115" s="29"/>
      <c r="K115" s="29"/>
      <c r="L115" s="29"/>
      <c r="M115" s="35"/>
      <c r="N115" s="27">
        <v>1</v>
      </c>
      <c r="O115" s="27" t="s">
        <v>1182</v>
      </c>
      <c r="P115" s="28">
        <v>12350</v>
      </c>
      <c r="Q115" s="29"/>
    </row>
    <row r="116" spans="1:17" s="3" customFormat="1" ht="13.5" customHeight="1">
      <c r="A116" s="35" t="s">
        <v>783</v>
      </c>
      <c r="B116" s="35" t="s">
        <v>1200</v>
      </c>
      <c r="C116" s="60" t="s">
        <v>987</v>
      </c>
      <c r="D116" s="55" t="s">
        <v>1221</v>
      </c>
      <c r="E116" s="55" t="s">
        <v>1247</v>
      </c>
      <c r="F116" s="29"/>
      <c r="G116" s="27" t="s">
        <v>1280</v>
      </c>
      <c r="H116" s="35" t="s">
        <v>1285</v>
      </c>
      <c r="I116" s="35" t="s">
        <v>1286</v>
      </c>
      <c r="J116" s="29"/>
      <c r="K116" s="29"/>
      <c r="L116" s="29"/>
      <c r="M116" s="35"/>
      <c r="N116" s="27">
        <v>1</v>
      </c>
      <c r="O116" s="27" t="s">
        <v>1182</v>
      </c>
      <c r="P116" s="28">
        <v>15860</v>
      </c>
      <c r="Q116" s="29" t="s">
        <v>1030</v>
      </c>
    </row>
    <row r="117" spans="1:17" s="6" customFormat="1" ht="13.5" customHeight="1">
      <c r="A117" s="35" t="s">
        <v>784</v>
      </c>
      <c r="B117" s="35" t="s">
        <v>1200</v>
      </c>
      <c r="C117" s="60">
        <v>106442</v>
      </c>
      <c r="D117" s="55" t="s">
        <v>1221</v>
      </c>
      <c r="E117" s="55" t="s">
        <v>1236</v>
      </c>
      <c r="F117" s="29"/>
      <c r="G117" s="27" t="s">
        <v>1280</v>
      </c>
      <c r="H117" s="35" t="s">
        <v>1285</v>
      </c>
      <c r="I117" s="35" t="s">
        <v>1286</v>
      </c>
      <c r="J117" s="29"/>
      <c r="K117" s="29"/>
      <c r="L117" s="29"/>
      <c r="M117" s="35"/>
      <c r="N117" s="27">
        <v>1</v>
      </c>
      <c r="O117" s="27" t="s">
        <v>1182</v>
      </c>
      <c r="P117" s="28">
        <v>15860</v>
      </c>
      <c r="Q117" s="29" t="s">
        <v>1030</v>
      </c>
    </row>
    <row r="118" spans="1:17" s="6" customFormat="1" ht="13.5" customHeight="1">
      <c r="A118" s="35" t="s">
        <v>785</v>
      </c>
      <c r="B118" s="35" t="s">
        <v>1200</v>
      </c>
      <c r="C118" s="60" t="s">
        <v>988</v>
      </c>
      <c r="D118" s="55" t="s">
        <v>1248</v>
      </c>
      <c r="E118" s="56" t="s">
        <v>1249</v>
      </c>
      <c r="F118" s="29"/>
      <c r="G118" s="27" t="s">
        <v>1280</v>
      </c>
      <c r="H118" s="35" t="s">
        <v>1285</v>
      </c>
      <c r="I118" s="35" t="s">
        <v>1286</v>
      </c>
      <c r="J118" s="29"/>
      <c r="K118" s="29"/>
      <c r="L118" s="29"/>
      <c r="M118" s="35"/>
      <c r="N118" s="27">
        <v>1</v>
      </c>
      <c r="O118" s="27" t="s">
        <v>1182</v>
      </c>
      <c r="P118" s="28">
        <v>15860</v>
      </c>
      <c r="Q118" s="29" t="s">
        <v>1030</v>
      </c>
    </row>
    <row r="119" spans="1:17" s="6" customFormat="1" ht="13.5" customHeight="1">
      <c r="A119" s="35" t="s">
        <v>786</v>
      </c>
      <c r="B119" s="35" t="s">
        <v>1200</v>
      </c>
      <c r="C119" s="60">
        <v>8554299</v>
      </c>
      <c r="D119" s="55" t="s">
        <v>1248</v>
      </c>
      <c r="E119" s="56" t="s">
        <v>1250</v>
      </c>
      <c r="F119" s="29"/>
      <c r="G119" s="27" t="s">
        <v>1280</v>
      </c>
      <c r="H119" s="35" t="s">
        <v>1285</v>
      </c>
      <c r="I119" s="35" t="s">
        <v>1286</v>
      </c>
      <c r="J119" s="29"/>
      <c r="K119" s="29"/>
      <c r="L119" s="29"/>
      <c r="M119" s="35"/>
      <c r="N119" s="27">
        <v>1</v>
      </c>
      <c r="O119" s="27" t="s">
        <v>1182</v>
      </c>
      <c r="P119" s="28">
        <v>15860</v>
      </c>
      <c r="Q119" s="29" t="s">
        <v>1030</v>
      </c>
    </row>
    <row r="120" spans="1:17" s="6" customFormat="1" ht="13.5" customHeight="1">
      <c r="A120" s="35" t="s">
        <v>787</v>
      </c>
      <c r="B120" s="35" t="s">
        <v>1200</v>
      </c>
      <c r="C120" s="60" t="s">
        <v>989</v>
      </c>
      <c r="D120" s="55" t="s">
        <v>1248</v>
      </c>
      <c r="E120" s="56" t="s">
        <v>1250</v>
      </c>
      <c r="F120" s="29"/>
      <c r="G120" s="27" t="s">
        <v>1280</v>
      </c>
      <c r="H120" s="35" t="s">
        <v>1285</v>
      </c>
      <c r="I120" s="35" t="s">
        <v>1286</v>
      </c>
      <c r="J120" s="29"/>
      <c r="K120" s="29"/>
      <c r="L120" s="29"/>
      <c r="M120" s="35"/>
      <c r="N120" s="27">
        <v>1</v>
      </c>
      <c r="O120" s="27" t="s">
        <v>1182</v>
      </c>
      <c r="P120" s="28">
        <v>15860</v>
      </c>
      <c r="Q120" s="29" t="s">
        <v>1030</v>
      </c>
    </row>
    <row r="121" spans="1:17" s="6" customFormat="1" ht="13.5" customHeight="1">
      <c r="A121" s="35" t="s">
        <v>788</v>
      </c>
      <c r="B121" s="35" t="s">
        <v>1200</v>
      </c>
      <c r="C121" s="60" t="s">
        <v>990</v>
      </c>
      <c r="D121" s="55" t="s">
        <v>1248</v>
      </c>
      <c r="E121" s="56" t="s">
        <v>1250</v>
      </c>
      <c r="F121" s="29"/>
      <c r="G121" s="27" t="s">
        <v>1280</v>
      </c>
      <c r="H121" s="35" t="s">
        <v>1285</v>
      </c>
      <c r="I121" s="35" t="s">
        <v>1286</v>
      </c>
      <c r="J121" s="29"/>
      <c r="K121" s="29"/>
      <c r="L121" s="29"/>
      <c r="M121" s="35"/>
      <c r="N121" s="27">
        <v>1</v>
      </c>
      <c r="O121" s="27" t="s">
        <v>1182</v>
      </c>
      <c r="P121" s="28">
        <v>15860</v>
      </c>
      <c r="Q121" s="29" t="s">
        <v>1030</v>
      </c>
    </row>
    <row r="122" spans="1:17" s="6" customFormat="1" ht="13.5" customHeight="1">
      <c r="A122" s="35" t="s">
        <v>789</v>
      </c>
      <c r="B122" s="35" t="s">
        <v>1200</v>
      </c>
      <c r="C122" s="60" t="s">
        <v>991</v>
      </c>
      <c r="D122" s="55" t="s">
        <v>1248</v>
      </c>
      <c r="E122" s="56" t="s">
        <v>1250</v>
      </c>
      <c r="F122" s="29"/>
      <c r="G122" s="27" t="s">
        <v>1280</v>
      </c>
      <c r="H122" s="35" t="s">
        <v>1285</v>
      </c>
      <c r="I122" s="35" t="s">
        <v>1286</v>
      </c>
      <c r="J122" s="29"/>
      <c r="K122" s="29"/>
      <c r="L122" s="29"/>
      <c r="M122" s="35"/>
      <c r="N122" s="27">
        <v>1</v>
      </c>
      <c r="O122" s="27" t="s">
        <v>1182</v>
      </c>
      <c r="P122" s="28">
        <v>15860</v>
      </c>
      <c r="Q122" s="29" t="s">
        <v>1030</v>
      </c>
    </row>
    <row r="123" spans="1:17" s="6" customFormat="1" ht="13.5" customHeight="1">
      <c r="A123" s="35" t="s">
        <v>790</v>
      </c>
      <c r="B123" s="35" t="s">
        <v>1200</v>
      </c>
      <c r="C123" s="60" t="s">
        <v>992</v>
      </c>
      <c r="D123" s="55" t="s">
        <v>1248</v>
      </c>
      <c r="E123" s="56" t="s">
        <v>1251</v>
      </c>
      <c r="F123" s="29"/>
      <c r="G123" s="27" t="s">
        <v>1280</v>
      </c>
      <c r="H123" s="35" t="s">
        <v>1285</v>
      </c>
      <c r="I123" s="35" t="s">
        <v>1286</v>
      </c>
      <c r="J123" s="29"/>
      <c r="K123" s="29"/>
      <c r="L123" s="29"/>
      <c r="M123" s="35"/>
      <c r="N123" s="27">
        <v>1</v>
      </c>
      <c r="O123" s="27" t="s">
        <v>1182</v>
      </c>
      <c r="P123" s="28">
        <v>15860</v>
      </c>
      <c r="Q123" s="29" t="s">
        <v>1030</v>
      </c>
    </row>
    <row r="124" spans="1:17" s="6" customFormat="1" ht="13.5" customHeight="1">
      <c r="A124" s="35" t="s">
        <v>791</v>
      </c>
      <c r="B124" s="35" t="s">
        <v>1200</v>
      </c>
      <c r="C124" s="60" t="s">
        <v>993</v>
      </c>
      <c r="D124" s="55" t="s">
        <v>1248</v>
      </c>
      <c r="E124" s="56" t="s">
        <v>1251</v>
      </c>
      <c r="F124" s="29"/>
      <c r="G124" s="27" t="s">
        <v>1280</v>
      </c>
      <c r="H124" s="35" t="s">
        <v>1285</v>
      </c>
      <c r="I124" s="35" t="s">
        <v>1286</v>
      </c>
      <c r="J124" s="29"/>
      <c r="K124" s="29"/>
      <c r="L124" s="29"/>
      <c r="M124" s="35"/>
      <c r="N124" s="27">
        <v>1</v>
      </c>
      <c r="O124" s="27" t="s">
        <v>1182</v>
      </c>
      <c r="P124" s="28">
        <v>15860</v>
      </c>
      <c r="Q124" s="29" t="s">
        <v>1030</v>
      </c>
    </row>
    <row r="125" spans="1:17" s="6" customFormat="1" ht="13.5" customHeight="1">
      <c r="A125" s="35" t="s">
        <v>792</v>
      </c>
      <c r="B125" s="35" t="s">
        <v>1200</v>
      </c>
      <c r="C125" s="60" t="s">
        <v>994</v>
      </c>
      <c r="D125" s="55" t="s">
        <v>1248</v>
      </c>
      <c r="E125" s="56" t="s">
        <v>1252</v>
      </c>
      <c r="F125" s="29"/>
      <c r="G125" s="27" t="s">
        <v>1280</v>
      </c>
      <c r="H125" s="35" t="s">
        <v>1285</v>
      </c>
      <c r="I125" s="35" t="s">
        <v>1286</v>
      </c>
      <c r="J125" s="29"/>
      <c r="K125" s="29"/>
      <c r="L125" s="29"/>
      <c r="M125" s="35"/>
      <c r="N125" s="27">
        <v>1</v>
      </c>
      <c r="O125" s="27" t="s">
        <v>1182</v>
      </c>
      <c r="P125" s="28">
        <v>15860</v>
      </c>
      <c r="Q125" s="29" t="s">
        <v>1030</v>
      </c>
    </row>
    <row r="126" spans="1:17" s="6" customFormat="1" ht="13.5" customHeight="1">
      <c r="A126" s="35" t="s">
        <v>793</v>
      </c>
      <c r="B126" s="35" t="s">
        <v>1200</v>
      </c>
      <c r="C126" s="60" t="s">
        <v>995</v>
      </c>
      <c r="D126" s="55" t="s">
        <v>1253</v>
      </c>
      <c r="E126" s="55" t="s">
        <v>1254</v>
      </c>
      <c r="F126" s="29"/>
      <c r="G126" s="27" t="s">
        <v>1280</v>
      </c>
      <c r="H126" s="35" t="s">
        <v>1285</v>
      </c>
      <c r="I126" s="35" t="s">
        <v>1286</v>
      </c>
      <c r="J126" s="29"/>
      <c r="K126" s="29"/>
      <c r="L126" s="29"/>
      <c r="M126" s="35"/>
      <c r="N126" s="27">
        <v>1</v>
      </c>
      <c r="O126" s="27" t="s">
        <v>1182</v>
      </c>
      <c r="P126" s="28">
        <v>15860</v>
      </c>
      <c r="Q126" s="29" t="s">
        <v>1030</v>
      </c>
    </row>
    <row r="127" spans="1:17" s="6" customFormat="1" ht="13.5" customHeight="1">
      <c r="A127" s="35" t="s">
        <v>794</v>
      </c>
      <c r="B127" s="35" t="s">
        <v>1200</v>
      </c>
      <c r="C127" s="60" t="s">
        <v>996</v>
      </c>
      <c r="D127" s="55" t="s">
        <v>1253</v>
      </c>
      <c r="E127" s="55" t="s">
        <v>1254</v>
      </c>
      <c r="F127" s="29"/>
      <c r="G127" s="27" t="s">
        <v>1280</v>
      </c>
      <c r="H127" s="35" t="s">
        <v>1285</v>
      </c>
      <c r="I127" s="35" t="s">
        <v>1286</v>
      </c>
      <c r="J127" s="29"/>
      <c r="K127" s="29"/>
      <c r="L127" s="29"/>
      <c r="M127" s="35"/>
      <c r="N127" s="27">
        <v>1</v>
      </c>
      <c r="O127" s="27" t="s">
        <v>1182</v>
      </c>
      <c r="P127" s="28">
        <v>15860</v>
      </c>
      <c r="Q127" s="29" t="s">
        <v>1030</v>
      </c>
    </row>
    <row r="128" spans="1:17" s="3" customFormat="1" ht="13.5" customHeight="1">
      <c r="A128" s="35" t="s">
        <v>795</v>
      </c>
      <c r="B128" s="35" t="s">
        <v>1200</v>
      </c>
      <c r="C128" s="60" t="s">
        <v>997</v>
      </c>
      <c r="D128" s="55" t="s">
        <v>1253</v>
      </c>
      <c r="E128" s="55" t="s">
        <v>1254</v>
      </c>
      <c r="F128" s="29"/>
      <c r="G128" s="27" t="s">
        <v>1280</v>
      </c>
      <c r="H128" s="35" t="s">
        <v>1285</v>
      </c>
      <c r="I128" s="35" t="s">
        <v>1286</v>
      </c>
      <c r="J128" s="29"/>
      <c r="K128" s="29"/>
      <c r="L128" s="29"/>
      <c r="M128" s="35"/>
      <c r="N128" s="27">
        <v>1</v>
      </c>
      <c r="O128" s="27" t="s">
        <v>1182</v>
      </c>
      <c r="P128" s="28">
        <v>15860</v>
      </c>
      <c r="Q128" s="29" t="s">
        <v>1030</v>
      </c>
    </row>
    <row r="129" spans="1:17" s="6" customFormat="1" ht="13.5" customHeight="1">
      <c r="A129" s="35" t="s">
        <v>796</v>
      </c>
      <c r="B129" s="35" t="s">
        <v>1200</v>
      </c>
      <c r="C129" s="60" t="s">
        <v>998</v>
      </c>
      <c r="D129" s="55" t="s">
        <v>1255</v>
      </c>
      <c r="E129" s="56" t="s">
        <v>1254</v>
      </c>
      <c r="F129" s="29"/>
      <c r="G129" s="27" t="s">
        <v>1280</v>
      </c>
      <c r="H129" s="35" t="s">
        <v>1285</v>
      </c>
      <c r="I129" s="35" t="s">
        <v>1286</v>
      </c>
      <c r="J129" s="29"/>
      <c r="K129" s="29"/>
      <c r="L129" s="29"/>
      <c r="M129" s="35"/>
      <c r="N129" s="27">
        <v>1</v>
      </c>
      <c r="O129" s="27" t="s">
        <v>1182</v>
      </c>
      <c r="P129" s="28">
        <v>15860</v>
      </c>
      <c r="Q129" s="29" t="s">
        <v>1030</v>
      </c>
    </row>
    <row r="130" spans="1:17" s="6" customFormat="1" ht="13.5" customHeight="1">
      <c r="A130" s="35" t="s">
        <v>797</v>
      </c>
      <c r="B130" s="35" t="s">
        <v>1200</v>
      </c>
      <c r="C130" s="60" t="s">
        <v>999</v>
      </c>
      <c r="D130" s="55" t="s">
        <v>1255</v>
      </c>
      <c r="E130" s="56" t="s">
        <v>1256</v>
      </c>
      <c r="F130" s="29"/>
      <c r="G130" s="27" t="s">
        <v>1280</v>
      </c>
      <c r="H130" s="35" t="s">
        <v>1285</v>
      </c>
      <c r="I130" s="35" t="s">
        <v>1286</v>
      </c>
      <c r="J130" s="29"/>
      <c r="K130" s="29"/>
      <c r="L130" s="29"/>
      <c r="M130" s="35"/>
      <c r="N130" s="27">
        <v>1</v>
      </c>
      <c r="O130" s="27" t="s">
        <v>1182</v>
      </c>
      <c r="P130" s="28">
        <v>15860</v>
      </c>
      <c r="Q130" s="35" t="s">
        <v>1030</v>
      </c>
    </row>
    <row r="131" spans="1:17" s="6" customFormat="1" ht="13.5" customHeight="1">
      <c r="A131" s="35" t="s">
        <v>798</v>
      </c>
      <c r="B131" s="35" t="s">
        <v>1200</v>
      </c>
      <c r="C131" s="60" t="s">
        <v>1000</v>
      </c>
      <c r="D131" s="55" t="s">
        <v>1255</v>
      </c>
      <c r="E131" s="56" t="s">
        <v>1256</v>
      </c>
      <c r="F131" s="29"/>
      <c r="G131" s="27" t="s">
        <v>1280</v>
      </c>
      <c r="H131" s="35" t="s">
        <v>1285</v>
      </c>
      <c r="I131" s="35" t="s">
        <v>1286</v>
      </c>
      <c r="J131" s="29"/>
      <c r="K131" s="29"/>
      <c r="L131" s="29"/>
      <c r="M131" s="35"/>
      <c r="N131" s="27">
        <v>1</v>
      </c>
      <c r="O131" s="27" t="s">
        <v>1182</v>
      </c>
      <c r="P131" s="28">
        <v>15860</v>
      </c>
      <c r="Q131" s="29" t="s">
        <v>1030</v>
      </c>
    </row>
    <row r="132" spans="1:17" s="6" customFormat="1" ht="13.5" customHeight="1">
      <c r="A132" s="35" t="s">
        <v>799</v>
      </c>
      <c r="B132" s="35" t="s">
        <v>1200</v>
      </c>
      <c r="C132" s="36" t="s">
        <v>1001</v>
      </c>
      <c r="D132" s="36" t="s">
        <v>1016</v>
      </c>
      <c r="E132" s="36" t="s">
        <v>1026</v>
      </c>
      <c r="F132" s="29"/>
      <c r="G132" s="27" t="s">
        <v>1280</v>
      </c>
      <c r="H132" s="35" t="s">
        <v>1285</v>
      </c>
      <c r="I132" s="35" t="s">
        <v>1286</v>
      </c>
      <c r="J132" s="29"/>
      <c r="K132" s="29"/>
      <c r="L132" s="29"/>
      <c r="M132" s="35"/>
      <c r="N132" s="27">
        <v>1</v>
      </c>
      <c r="O132" s="27" t="s">
        <v>1182</v>
      </c>
      <c r="P132" s="28">
        <v>15860</v>
      </c>
      <c r="Q132" s="29" t="s">
        <v>1030</v>
      </c>
    </row>
    <row r="133" spans="1:17" s="6" customFormat="1" ht="13.5" customHeight="1">
      <c r="A133" s="35" t="s">
        <v>800</v>
      </c>
      <c r="B133" s="35" t="s">
        <v>1200</v>
      </c>
      <c r="C133" s="36" t="s">
        <v>1002</v>
      </c>
      <c r="D133" s="36" t="s">
        <v>1016</v>
      </c>
      <c r="E133" s="36" t="s">
        <v>1026</v>
      </c>
      <c r="F133" s="29"/>
      <c r="G133" s="27" t="s">
        <v>1280</v>
      </c>
      <c r="H133" s="35" t="s">
        <v>1285</v>
      </c>
      <c r="I133" s="35" t="s">
        <v>1286</v>
      </c>
      <c r="J133" s="29"/>
      <c r="K133" s="29"/>
      <c r="L133" s="29"/>
      <c r="M133" s="35"/>
      <c r="N133" s="27">
        <v>1</v>
      </c>
      <c r="O133" s="27" t="s">
        <v>1182</v>
      </c>
      <c r="P133" s="28">
        <v>15860</v>
      </c>
      <c r="Q133" s="29" t="s">
        <v>1030</v>
      </c>
    </row>
    <row r="134" spans="1:17" s="6" customFormat="1" ht="13.5" customHeight="1">
      <c r="A134" s="35" t="s">
        <v>801</v>
      </c>
      <c r="B134" s="35" t="s">
        <v>1200</v>
      </c>
      <c r="C134" s="36" t="s">
        <v>1003</v>
      </c>
      <c r="D134" s="36" t="s">
        <v>1016</v>
      </c>
      <c r="E134" s="36" t="s">
        <v>1026</v>
      </c>
      <c r="F134" s="29"/>
      <c r="G134" s="27" t="s">
        <v>1280</v>
      </c>
      <c r="H134" s="35" t="s">
        <v>1285</v>
      </c>
      <c r="I134" s="35" t="s">
        <v>1286</v>
      </c>
      <c r="J134" s="29"/>
      <c r="K134" s="29"/>
      <c r="L134" s="29"/>
      <c r="M134" s="35"/>
      <c r="N134" s="27">
        <v>1</v>
      </c>
      <c r="O134" s="27" t="s">
        <v>1182</v>
      </c>
      <c r="P134" s="28">
        <v>15860</v>
      </c>
      <c r="Q134" s="35" t="s">
        <v>1030</v>
      </c>
    </row>
    <row r="135" spans="1:17" s="3" customFormat="1" ht="13.5" customHeight="1">
      <c r="A135" s="35" t="s">
        <v>802</v>
      </c>
      <c r="B135" s="35" t="s">
        <v>1200</v>
      </c>
      <c r="C135" s="36" t="s">
        <v>1004</v>
      </c>
      <c r="D135" s="36" t="s">
        <v>1016</v>
      </c>
      <c r="E135" s="36" t="s">
        <v>1026</v>
      </c>
      <c r="F135" s="29"/>
      <c r="G135" s="27" t="s">
        <v>1280</v>
      </c>
      <c r="H135" s="35" t="s">
        <v>1285</v>
      </c>
      <c r="I135" s="35" t="s">
        <v>1286</v>
      </c>
      <c r="J135" s="29"/>
      <c r="K135" s="29"/>
      <c r="L135" s="29"/>
      <c r="M135" s="35"/>
      <c r="N135" s="27">
        <v>1</v>
      </c>
      <c r="O135" s="27" t="s">
        <v>1182</v>
      </c>
      <c r="P135" s="28">
        <v>15860</v>
      </c>
      <c r="Q135" s="29" t="s">
        <v>1030</v>
      </c>
    </row>
    <row r="136" spans="1:17" s="4" customFormat="1" ht="13.5" customHeight="1">
      <c r="A136" s="35" t="s">
        <v>803</v>
      </c>
      <c r="B136" s="35" t="s">
        <v>1200</v>
      </c>
      <c r="C136" s="60" t="s">
        <v>1005</v>
      </c>
      <c r="D136" s="55" t="s">
        <v>1257</v>
      </c>
      <c r="E136" s="56" t="s">
        <v>1258</v>
      </c>
      <c r="F136" s="29"/>
      <c r="G136" s="27" t="s">
        <v>1280</v>
      </c>
      <c r="H136" s="35" t="s">
        <v>1285</v>
      </c>
      <c r="I136" s="35" t="s">
        <v>1286</v>
      </c>
      <c r="J136" s="29"/>
      <c r="K136" s="29"/>
      <c r="L136" s="29"/>
      <c r="M136" s="35"/>
      <c r="N136" s="27">
        <v>1</v>
      </c>
      <c r="O136" s="27" t="s">
        <v>1182</v>
      </c>
      <c r="P136" s="28">
        <v>15860</v>
      </c>
      <c r="Q136" s="29" t="s">
        <v>1030</v>
      </c>
    </row>
    <row r="137" spans="1:17" s="6" customFormat="1" ht="13.5" customHeight="1">
      <c r="A137" s="35" t="s">
        <v>804</v>
      </c>
      <c r="B137" s="35" t="s">
        <v>1200</v>
      </c>
      <c r="C137" s="60" t="s">
        <v>1006</v>
      </c>
      <c r="D137" s="55" t="s">
        <v>1257</v>
      </c>
      <c r="E137" s="56" t="s">
        <v>1258</v>
      </c>
      <c r="F137" s="29"/>
      <c r="G137" s="27" t="s">
        <v>1280</v>
      </c>
      <c r="H137" s="35" t="s">
        <v>1285</v>
      </c>
      <c r="I137" s="35" t="s">
        <v>1286</v>
      </c>
      <c r="J137" s="29"/>
      <c r="K137" s="29"/>
      <c r="L137" s="29"/>
      <c r="M137" s="35"/>
      <c r="N137" s="27">
        <v>1</v>
      </c>
      <c r="O137" s="27" t="s">
        <v>1182</v>
      </c>
      <c r="P137" s="28">
        <v>15860</v>
      </c>
      <c r="Q137" s="29" t="s">
        <v>1030</v>
      </c>
    </row>
    <row r="138" spans="1:17" s="6" customFormat="1" ht="13.5" customHeight="1">
      <c r="A138" s="35" t="s">
        <v>805</v>
      </c>
      <c r="B138" s="35" t="s">
        <v>1200</v>
      </c>
      <c r="C138" s="60" t="s">
        <v>1007</v>
      </c>
      <c r="D138" s="55" t="s">
        <v>1259</v>
      </c>
      <c r="E138" s="56" t="s">
        <v>1260</v>
      </c>
      <c r="F138" s="29"/>
      <c r="G138" s="27" t="s">
        <v>1280</v>
      </c>
      <c r="H138" s="35" t="s">
        <v>1285</v>
      </c>
      <c r="I138" s="35" t="s">
        <v>1286</v>
      </c>
      <c r="J138" s="29"/>
      <c r="K138" s="29"/>
      <c r="L138" s="29"/>
      <c r="M138" s="35"/>
      <c r="N138" s="27">
        <v>1</v>
      </c>
      <c r="O138" s="27" t="s">
        <v>1182</v>
      </c>
      <c r="P138" s="28">
        <v>15860</v>
      </c>
      <c r="Q138" s="29" t="s">
        <v>1030</v>
      </c>
    </row>
    <row r="139" spans="1:17" s="6" customFormat="1" ht="13.5" customHeight="1">
      <c r="A139" s="35" t="s">
        <v>806</v>
      </c>
      <c r="B139" s="35" t="s">
        <v>1200</v>
      </c>
      <c r="C139" s="60" t="s">
        <v>1008</v>
      </c>
      <c r="D139" s="55" t="s">
        <v>1259</v>
      </c>
      <c r="E139" s="55" t="s">
        <v>1261</v>
      </c>
      <c r="F139" s="29"/>
      <c r="G139" s="27" t="s">
        <v>1280</v>
      </c>
      <c r="H139" s="35" t="s">
        <v>1285</v>
      </c>
      <c r="I139" s="35" t="s">
        <v>1286</v>
      </c>
      <c r="J139" s="29"/>
      <c r="K139" s="29"/>
      <c r="L139" s="29"/>
      <c r="M139" s="35"/>
      <c r="N139" s="27">
        <v>1</v>
      </c>
      <c r="O139" s="27" t="s">
        <v>1182</v>
      </c>
      <c r="P139" s="28">
        <v>15860</v>
      </c>
      <c r="Q139" s="29" t="s">
        <v>1030</v>
      </c>
    </row>
    <row r="140" spans="1:17" s="6" customFormat="1" ht="13.5" customHeight="1">
      <c r="A140" s="35" t="s">
        <v>807</v>
      </c>
      <c r="B140" s="35" t="s">
        <v>1200</v>
      </c>
      <c r="C140" s="60" t="s">
        <v>1009</v>
      </c>
      <c r="D140" s="55" t="s">
        <v>1259</v>
      </c>
      <c r="E140" s="56" t="s">
        <v>1260</v>
      </c>
      <c r="F140" s="29"/>
      <c r="G140" s="27" t="s">
        <v>1280</v>
      </c>
      <c r="H140" s="35" t="s">
        <v>1285</v>
      </c>
      <c r="I140" s="35" t="s">
        <v>1286</v>
      </c>
      <c r="J140" s="29"/>
      <c r="K140" s="29"/>
      <c r="L140" s="29"/>
      <c r="M140" s="35"/>
      <c r="N140" s="27">
        <v>1</v>
      </c>
      <c r="O140" s="27" t="s">
        <v>1182</v>
      </c>
      <c r="P140" s="28">
        <v>15860</v>
      </c>
      <c r="Q140" s="29"/>
    </row>
    <row r="141" spans="1:17" s="3" customFormat="1" ht="13.5" customHeight="1">
      <c r="A141" s="35" t="s">
        <v>808</v>
      </c>
      <c r="B141" s="35" t="s">
        <v>1200</v>
      </c>
      <c r="C141" s="60" t="s">
        <v>1010</v>
      </c>
      <c r="D141" s="55" t="s">
        <v>1259</v>
      </c>
      <c r="E141" s="56" t="s">
        <v>1260</v>
      </c>
      <c r="F141" s="29"/>
      <c r="G141" s="27" t="s">
        <v>1280</v>
      </c>
      <c r="H141" s="35" t="s">
        <v>1285</v>
      </c>
      <c r="I141" s="35" t="s">
        <v>1286</v>
      </c>
      <c r="J141" s="29"/>
      <c r="K141" s="29"/>
      <c r="L141" s="29"/>
      <c r="M141" s="35"/>
      <c r="N141" s="27">
        <v>1</v>
      </c>
      <c r="O141" s="27" t="s">
        <v>1182</v>
      </c>
      <c r="P141" s="28">
        <v>15860</v>
      </c>
      <c r="Q141" s="29"/>
    </row>
    <row r="142" spans="1:17" s="4" customFormat="1" ht="13.5" customHeight="1">
      <c r="A142" s="35" t="s">
        <v>813</v>
      </c>
      <c r="B142" s="35" t="s">
        <v>1200</v>
      </c>
      <c r="C142" s="60"/>
      <c r="D142" s="56" t="s">
        <v>1268</v>
      </c>
      <c r="E142" s="56" t="s">
        <v>1028</v>
      </c>
      <c r="F142" s="29"/>
      <c r="G142" s="27" t="s">
        <v>1284</v>
      </c>
      <c r="H142" s="27" t="s">
        <v>1290</v>
      </c>
      <c r="I142" s="35" t="s">
        <v>1286</v>
      </c>
      <c r="J142" s="29"/>
      <c r="K142" s="29"/>
      <c r="L142" s="13"/>
      <c r="M142" s="35"/>
      <c r="N142" s="27">
        <v>1</v>
      </c>
      <c r="O142" s="27" t="s">
        <v>1182</v>
      </c>
      <c r="P142" s="28">
        <v>15860</v>
      </c>
      <c r="Q142" s="29"/>
    </row>
    <row r="143" spans="1:17" s="4" customFormat="1" ht="13.5" customHeight="1">
      <c r="A143" s="35" t="s">
        <v>814</v>
      </c>
      <c r="B143" s="35" t="s">
        <v>1200</v>
      </c>
      <c r="C143" s="60" t="s">
        <v>1014</v>
      </c>
      <c r="D143" s="56" t="s">
        <v>1268</v>
      </c>
      <c r="E143" s="56" t="s">
        <v>1028</v>
      </c>
      <c r="F143" s="29"/>
      <c r="G143" s="27" t="s">
        <v>1284</v>
      </c>
      <c r="H143" s="27" t="s">
        <v>1290</v>
      </c>
      <c r="I143" s="35" t="s">
        <v>1286</v>
      </c>
      <c r="J143" s="29"/>
      <c r="K143" s="29"/>
      <c r="L143" s="29"/>
      <c r="M143" s="35"/>
      <c r="N143" s="27">
        <v>1</v>
      </c>
      <c r="O143" s="27" t="s">
        <v>1182</v>
      </c>
      <c r="P143" s="28">
        <v>15860</v>
      </c>
      <c r="Q143" s="29"/>
    </row>
    <row r="144" spans="1:17" s="4" customFormat="1" ht="13.5" customHeight="1">
      <c r="A144" s="35" t="s">
        <v>815</v>
      </c>
      <c r="B144" s="35" t="s">
        <v>1200</v>
      </c>
      <c r="C144" s="60" t="s">
        <v>1015</v>
      </c>
      <c r="D144" s="56" t="s">
        <v>1269</v>
      </c>
      <c r="E144" s="56" t="s">
        <v>1029</v>
      </c>
      <c r="F144" s="29"/>
      <c r="G144" s="27" t="s">
        <v>1284</v>
      </c>
      <c r="H144" s="27" t="s">
        <v>1290</v>
      </c>
      <c r="I144" s="35" t="s">
        <v>1286</v>
      </c>
      <c r="J144" s="29"/>
      <c r="K144" s="29"/>
      <c r="L144" s="29"/>
      <c r="M144" s="35"/>
      <c r="N144" s="27">
        <v>1</v>
      </c>
      <c r="O144" s="27" t="s">
        <v>1182</v>
      </c>
      <c r="P144" s="28">
        <v>15860</v>
      </c>
      <c r="Q144" s="29"/>
    </row>
    <row r="145" spans="1:18" s="6" customFormat="1" ht="13.5" customHeight="1">
      <c r="A145" s="35" t="s">
        <v>809</v>
      </c>
      <c r="B145" s="35" t="s">
        <v>1200</v>
      </c>
      <c r="C145" s="60"/>
      <c r="D145" s="55" t="s">
        <v>1262</v>
      </c>
      <c r="E145" s="56" t="s">
        <v>1263</v>
      </c>
      <c r="F145" s="29"/>
      <c r="G145" s="27" t="s">
        <v>1282</v>
      </c>
      <c r="H145" s="35" t="s">
        <v>1287</v>
      </c>
      <c r="I145" s="35" t="s">
        <v>1291</v>
      </c>
      <c r="J145" s="29"/>
      <c r="K145" s="29"/>
      <c r="L145" s="29"/>
      <c r="M145" s="35"/>
      <c r="N145" s="27">
        <v>1</v>
      </c>
      <c r="O145" s="27" t="s">
        <v>1182</v>
      </c>
      <c r="P145" s="28">
        <v>8830</v>
      </c>
      <c r="Q145" s="29"/>
    </row>
    <row r="146" spans="1:18" s="6" customFormat="1" ht="13.5" customHeight="1">
      <c r="A146" s="35" t="s">
        <v>810</v>
      </c>
      <c r="B146" s="35" t="s">
        <v>1200</v>
      </c>
      <c r="C146" s="60" t="s">
        <v>1011</v>
      </c>
      <c r="D146" s="55" t="s">
        <v>1264</v>
      </c>
      <c r="E146" s="56" t="s">
        <v>1027</v>
      </c>
      <c r="F146" s="29"/>
      <c r="G146" s="27" t="s">
        <v>1283</v>
      </c>
      <c r="H146" s="35" t="s">
        <v>1287</v>
      </c>
      <c r="I146" s="35" t="s">
        <v>1291</v>
      </c>
      <c r="J146" s="29"/>
      <c r="K146" s="29"/>
      <c r="L146" s="29"/>
      <c r="M146" s="35"/>
      <c r="N146" s="27">
        <v>1</v>
      </c>
      <c r="O146" s="27" t="s">
        <v>1182</v>
      </c>
      <c r="P146" s="28">
        <v>8830</v>
      </c>
      <c r="Q146" s="29"/>
    </row>
    <row r="147" spans="1:18" s="6" customFormat="1" ht="13.5" customHeight="1">
      <c r="A147" s="35" t="s">
        <v>621</v>
      </c>
      <c r="B147" s="35" t="s">
        <v>1200</v>
      </c>
      <c r="C147" s="60" t="s">
        <v>827</v>
      </c>
      <c r="D147" s="55" t="s">
        <v>1198</v>
      </c>
      <c r="E147" s="55" t="s">
        <v>1206</v>
      </c>
      <c r="F147" s="29"/>
      <c r="G147" s="27" t="s">
        <v>1280</v>
      </c>
      <c r="H147" s="35" t="s">
        <v>1285</v>
      </c>
      <c r="I147" s="77" t="s">
        <v>1775</v>
      </c>
      <c r="J147" s="29"/>
      <c r="K147" s="29"/>
      <c r="L147" s="29"/>
      <c r="M147" s="35"/>
      <c r="N147" s="27">
        <v>1</v>
      </c>
      <c r="O147" s="27" t="s">
        <v>1182</v>
      </c>
      <c r="P147" s="28">
        <v>8830</v>
      </c>
      <c r="Q147" s="29"/>
    </row>
    <row r="148" spans="1:18" s="6" customFormat="1" ht="13.5" customHeight="1">
      <c r="A148" s="35" t="s">
        <v>643</v>
      </c>
      <c r="B148" s="35" t="s">
        <v>1200</v>
      </c>
      <c r="C148" s="60" t="s">
        <v>849</v>
      </c>
      <c r="D148" s="55" t="s">
        <v>1213</v>
      </c>
      <c r="E148" s="55" t="s">
        <v>1018</v>
      </c>
      <c r="F148" s="29"/>
      <c r="G148" s="27" t="s">
        <v>1280</v>
      </c>
      <c r="H148" s="35" t="s">
        <v>1285</v>
      </c>
      <c r="I148" s="76" t="s">
        <v>1781</v>
      </c>
      <c r="J148" s="29"/>
      <c r="K148" s="29"/>
      <c r="L148" s="29"/>
      <c r="M148" s="35"/>
      <c r="N148" s="27">
        <v>1</v>
      </c>
      <c r="O148" s="27" t="s">
        <v>1182</v>
      </c>
      <c r="P148" s="28">
        <v>8830</v>
      </c>
      <c r="Q148" s="29"/>
    </row>
    <row r="149" spans="1:18" s="6" customFormat="1" ht="13.5" customHeight="1">
      <c r="A149" s="35" t="s">
        <v>644</v>
      </c>
      <c r="B149" s="35" t="s">
        <v>1200</v>
      </c>
      <c r="C149" s="60" t="s">
        <v>850</v>
      </c>
      <c r="D149" s="55" t="s">
        <v>1213</v>
      </c>
      <c r="E149" s="55" t="s">
        <v>1018</v>
      </c>
      <c r="F149" s="29"/>
      <c r="G149" s="27" t="s">
        <v>1280</v>
      </c>
      <c r="H149" s="35" t="s">
        <v>1285</v>
      </c>
      <c r="I149" s="76" t="s">
        <v>1781</v>
      </c>
      <c r="J149" s="29"/>
      <c r="K149" s="29"/>
      <c r="L149" s="29"/>
      <c r="M149" s="35"/>
      <c r="N149" s="27">
        <v>1</v>
      </c>
      <c r="O149" s="27" t="s">
        <v>1182</v>
      </c>
      <c r="P149" s="28">
        <v>8830</v>
      </c>
      <c r="Q149" s="29"/>
    </row>
    <row r="150" spans="1:18" s="6" customFormat="1" ht="13.5" customHeight="1">
      <c r="A150" s="35" t="s">
        <v>645</v>
      </c>
      <c r="B150" s="35" t="s">
        <v>1200</v>
      </c>
      <c r="C150" s="60" t="s">
        <v>851</v>
      </c>
      <c r="D150" s="55" t="s">
        <v>1213</v>
      </c>
      <c r="E150" s="55" t="s">
        <v>1018</v>
      </c>
      <c r="F150" s="29"/>
      <c r="G150" s="27" t="s">
        <v>1280</v>
      </c>
      <c r="H150" s="35" t="s">
        <v>1285</v>
      </c>
      <c r="I150" s="76" t="s">
        <v>1782</v>
      </c>
      <c r="J150" s="29"/>
      <c r="K150" s="29"/>
      <c r="L150" s="29"/>
      <c r="M150" s="35"/>
      <c r="N150" s="27">
        <v>1</v>
      </c>
      <c r="O150" s="27" t="s">
        <v>1182</v>
      </c>
      <c r="P150" s="28">
        <v>8830</v>
      </c>
      <c r="Q150" s="29"/>
    </row>
    <row r="151" spans="1:18" s="6" customFormat="1" ht="13.5" customHeight="1">
      <c r="A151" s="35" t="s">
        <v>646</v>
      </c>
      <c r="B151" s="35" t="s">
        <v>1200</v>
      </c>
      <c r="C151" s="60" t="s">
        <v>852</v>
      </c>
      <c r="D151" s="55" t="s">
        <v>1213</v>
      </c>
      <c r="E151" s="55" t="s">
        <v>1018</v>
      </c>
      <c r="F151" s="29"/>
      <c r="G151" s="27" t="s">
        <v>1280</v>
      </c>
      <c r="H151" s="35" t="s">
        <v>1285</v>
      </c>
      <c r="I151" s="76" t="s">
        <v>1782</v>
      </c>
      <c r="J151" s="29"/>
      <c r="K151" s="29"/>
      <c r="L151" s="29"/>
      <c r="M151" s="35"/>
      <c r="N151" s="27">
        <v>1</v>
      </c>
      <c r="O151" s="27" t="s">
        <v>1182</v>
      </c>
      <c r="P151" s="28">
        <v>8830</v>
      </c>
      <c r="Q151" s="29"/>
    </row>
    <row r="152" spans="1:18" s="4" customFormat="1" ht="13.5" customHeight="1">
      <c r="A152" s="35" t="s">
        <v>622</v>
      </c>
      <c r="B152" s="35" t="s">
        <v>1200</v>
      </c>
      <c r="C152" s="60" t="s">
        <v>828</v>
      </c>
      <c r="D152" s="55" t="s">
        <v>1198</v>
      </c>
      <c r="E152" s="55" t="s">
        <v>1207</v>
      </c>
      <c r="F152" s="29"/>
      <c r="G152" s="27" t="s">
        <v>1280</v>
      </c>
      <c r="H152" s="35" t="s">
        <v>1285</v>
      </c>
      <c r="I152" s="77" t="s">
        <v>1776</v>
      </c>
      <c r="J152" s="29"/>
      <c r="K152" s="29"/>
      <c r="L152" s="29"/>
      <c r="M152" s="35"/>
      <c r="N152" s="27">
        <v>1</v>
      </c>
      <c r="O152" s="27" t="s">
        <v>1182</v>
      </c>
      <c r="P152" s="28">
        <v>8830</v>
      </c>
      <c r="Q152" s="29"/>
    </row>
    <row r="153" spans="1:18" s="4" customFormat="1" ht="13.5" customHeight="1">
      <c r="A153" s="35" t="s">
        <v>625</v>
      </c>
      <c r="B153" s="35" t="s">
        <v>1200</v>
      </c>
      <c r="C153" s="60" t="s">
        <v>831</v>
      </c>
      <c r="D153" s="55" t="s">
        <v>1198</v>
      </c>
      <c r="E153" s="55" t="s">
        <v>1208</v>
      </c>
      <c r="F153" s="29"/>
      <c r="G153" s="27" t="s">
        <v>1280</v>
      </c>
      <c r="H153" s="35" t="s">
        <v>1285</v>
      </c>
      <c r="I153" s="77" t="s">
        <v>1776</v>
      </c>
      <c r="J153" s="29"/>
      <c r="K153" s="29"/>
      <c r="L153" s="29"/>
      <c r="M153" s="35"/>
      <c r="N153" s="27">
        <v>1</v>
      </c>
      <c r="O153" s="27" t="s">
        <v>1182</v>
      </c>
      <c r="P153" s="28">
        <v>10550</v>
      </c>
      <c r="Q153" s="29"/>
    </row>
    <row r="154" spans="1:18" s="4" customFormat="1" ht="13.5" customHeight="1">
      <c r="A154" s="35" t="s">
        <v>626</v>
      </c>
      <c r="B154" s="35" t="s">
        <v>1200</v>
      </c>
      <c r="C154" s="60" t="s">
        <v>832</v>
      </c>
      <c r="D154" s="55" t="s">
        <v>1198</v>
      </c>
      <c r="E154" s="55" t="s">
        <v>1208</v>
      </c>
      <c r="F154" s="29"/>
      <c r="G154" s="27" t="s">
        <v>1280</v>
      </c>
      <c r="H154" s="35" t="s">
        <v>1285</v>
      </c>
      <c r="I154" s="77" t="s">
        <v>1776</v>
      </c>
      <c r="J154" s="29"/>
      <c r="K154" s="29"/>
      <c r="L154" s="29"/>
      <c r="M154" s="35"/>
      <c r="N154" s="27">
        <v>1</v>
      </c>
      <c r="O154" s="27" t="s">
        <v>1182</v>
      </c>
      <c r="P154" s="28">
        <v>10550</v>
      </c>
      <c r="Q154" s="29"/>
    </row>
    <row r="155" spans="1:18" s="106" customFormat="1" ht="13.5" customHeight="1">
      <c r="A155" s="35" t="s">
        <v>627</v>
      </c>
      <c r="B155" s="35" t="s">
        <v>1200</v>
      </c>
      <c r="C155" s="60" t="s">
        <v>833</v>
      </c>
      <c r="D155" s="55" t="s">
        <v>1198</v>
      </c>
      <c r="E155" s="55" t="s">
        <v>1202</v>
      </c>
      <c r="F155" s="29"/>
      <c r="G155" s="27" t="s">
        <v>1280</v>
      </c>
      <c r="H155" s="35" t="s">
        <v>1285</v>
      </c>
      <c r="I155" s="77" t="s">
        <v>1776</v>
      </c>
      <c r="J155" s="29"/>
      <c r="K155" s="29"/>
      <c r="L155" s="29"/>
      <c r="M155" s="35"/>
      <c r="N155" s="27">
        <v>1</v>
      </c>
      <c r="O155" s="27" t="s">
        <v>1182</v>
      </c>
      <c r="P155" s="28">
        <v>10550</v>
      </c>
      <c r="Q155" s="29"/>
    </row>
    <row r="156" spans="1:18" s="112" customFormat="1" ht="13.5" customHeight="1">
      <c r="A156" s="35" t="s">
        <v>647</v>
      </c>
      <c r="B156" s="35" t="s">
        <v>1200</v>
      </c>
      <c r="C156" s="60" t="s">
        <v>853</v>
      </c>
      <c r="D156" s="55" t="s">
        <v>1213</v>
      </c>
      <c r="E156" s="55" t="s">
        <v>1019</v>
      </c>
      <c r="F156" s="29"/>
      <c r="G156" s="27" t="s">
        <v>1280</v>
      </c>
      <c r="H156" s="35" t="s">
        <v>1285</v>
      </c>
      <c r="I156" s="76" t="s">
        <v>1783</v>
      </c>
      <c r="J156" s="29"/>
      <c r="K156" s="29"/>
      <c r="L156" s="29"/>
      <c r="M156" s="35"/>
      <c r="N156" s="27">
        <v>1</v>
      </c>
      <c r="O156" s="27" t="s">
        <v>1182</v>
      </c>
      <c r="P156" s="28">
        <v>10550</v>
      </c>
      <c r="Q156" s="101" t="s">
        <v>1909</v>
      </c>
      <c r="R156" s="111">
        <v>42877</v>
      </c>
    </row>
    <row r="157" spans="1:18" s="109" customFormat="1" ht="13.5" customHeight="1">
      <c r="A157" s="35" t="s">
        <v>648</v>
      </c>
      <c r="B157" s="35" t="s">
        <v>1200</v>
      </c>
      <c r="C157" s="60" t="s">
        <v>854</v>
      </c>
      <c r="D157" s="55" t="s">
        <v>1213</v>
      </c>
      <c r="E157" s="55" t="s">
        <v>1019</v>
      </c>
      <c r="F157" s="29"/>
      <c r="G157" s="27" t="s">
        <v>1280</v>
      </c>
      <c r="H157" s="35" t="s">
        <v>1285</v>
      </c>
      <c r="I157" s="76" t="s">
        <v>1783</v>
      </c>
      <c r="J157" s="29"/>
      <c r="K157" s="29"/>
      <c r="L157" s="29"/>
      <c r="M157" s="35"/>
      <c r="N157" s="27">
        <v>1</v>
      </c>
      <c r="O157" s="27" t="s">
        <v>1182</v>
      </c>
      <c r="P157" s="28">
        <v>10550</v>
      </c>
      <c r="Q157" s="29"/>
    </row>
    <row r="158" spans="1:18" s="106" customFormat="1" ht="13.5" customHeight="1">
      <c r="A158" s="35" t="s">
        <v>650</v>
      </c>
      <c r="B158" s="35" t="s">
        <v>1200</v>
      </c>
      <c r="C158" s="60" t="s">
        <v>856</v>
      </c>
      <c r="D158" s="55" t="s">
        <v>1213</v>
      </c>
      <c r="E158" s="55" t="s">
        <v>1020</v>
      </c>
      <c r="F158" s="29"/>
      <c r="G158" s="27" t="s">
        <v>1280</v>
      </c>
      <c r="H158" s="35" t="s">
        <v>1285</v>
      </c>
      <c r="I158" s="76" t="s">
        <v>1758</v>
      </c>
      <c r="J158" s="29"/>
      <c r="K158" s="29"/>
      <c r="L158" s="29"/>
      <c r="M158" s="35"/>
      <c r="N158" s="27">
        <v>1</v>
      </c>
      <c r="O158" s="27" t="s">
        <v>1182</v>
      </c>
      <c r="P158" s="28">
        <v>10550</v>
      </c>
      <c r="Q158" s="29"/>
    </row>
    <row r="159" spans="1:18" s="112" customFormat="1" ht="13.5" customHeight="1">
      <c r="A159" s="35" t="s">
        <v>651</v>
      </c>
      <c r="B159" s="35" t="s">
        <v>1200</v>
      </c>
      <c r="C159" s="60" t="s">
        <v>857</v>
      </c>
      <c r="D159" s="55" t="s">
        <v>1213</v>
      </c>
      <c r="E159" s="55" t="s">
        <v>1020</v>
      </c>
      <c r="F159" s="29"/>
      <c r="G159" s="27" t="s">
        <v>1280</v>
      </c>
      <c r="H159" s="35" t="s">
        <v>1285</v>
      </c>
      <c r="I159" s="76" t="s">
        <v>1758</v>
      </c>
      <c r="J159" s="29"/>
      <c r="K159" s="29"/>
      <c r="L159" s="29"/>
      <c r="M159" s="35"/>
      <c r="N159" s="27">
        <v>1</v>
      </c>
      <c r="O159" s="27" t="s">
        <v>1182</v>
      </c>
      <c r="P159" s="28">
        <v>10550</v>
      </c>
      <c r="Q159" s="101" t="s">
        <v>1910</v>
      </c>
      <c r="R159" s="111">
        <v>42877</v>
      </c>
    </row>
    <row r="160" spans="1:18" s="113" customFormat="1" ht="13.5" customHeight="1">
      <c r="A160" s="35" t="s">
        <v>618</v>
      </c>
      <c r="B160" s="35" t="s">
        <v>1200</v>
      </c>
      <c r="C160" s="60" t="s">
        <v>824</v>
      </c>
      <c r="D160" s="55" t="s">
        <v>1198</v>
      </c>
      <c r="E160" s="55" t="s">
        <v>1204</v>
      </c>
      <c r="F160" s="29"/>
      <c r="G160" s="27" t="s">
        <v>1280</v>
      </c>
      <c r="H160" s="35" t="s">
        <v>1285</v>
      </c>
      <c r="I160" s="77" t="s">
        <v>1756</v>
      </c>
      <c r="J160" s="29"/>
      <c r="K160" s="29"/>
      <c r="L160" s="29"/>
      <c r="M160" s="35"/>
      <c r="N160" s="27">
        <v>1</v>
      </c>
      <c r="O160" s="27" t="s">
        <v>1182</v>
      </c>
      <c r="P160" s="28">
        <v>10550</v>
      </c>
      <c r="Q160" s="101" t="s">
        <v>1911</v>
      </c>
      <c r="R160" s="111">
        <v>42877</v>
      </c>
    </row>
    <row r="161" spans="1:18" s="113" customFormat="1" ht="13.5" customHeight="1">
      <c r="A161" s="35" t="s">
        <v>619</v>
      </c>
      <c r="B161" s="35" t="s">
        <v>1200</v>
      </c>
      <c r="C161" s="60" t="s">
        <v>825</v>
      </c>
      <c r="D161" s="55" t="s">
        <v>1198</v>
      </c>
      <c r="E161" s="55" t="s">
        <v>1204</v>
      </c>
      <c r="F161" s="29"/>
      <c r="G161" s="27" t="s">
        <v>1280</v>
      </c>
      <c r="H161" s="35" t="s">
        <v>1285</v>
      </c>
      <c r="I161" s="77" t="s">
        <v>1756</v>
      </c>
      <c r="J161" s="29"/>
      <c r="K161" s="29"/>
      <c r="L161" s="29"/>
      <c r="M161" s="35"/>
      <c r="N161" s="27">
        <v>1</v>
      </c>
      <c r="O161" s="27" t="s">
        <v>1182</v>
      </c>
      <c r="P161" s="28">
        <v>10550</v>
      </c>
      <c r="Q161" s="101" t="s">
        <v>1910</v>
      </c>
      <c r="R161" s="111">
        <v>42877</v>
      </c>
    </row>
    <row r="162" spans="1:18" s="112" customFormat="1" ht="13.5" customHeight="1">
      <c r="A162" s="35" t="s">
        <v>620</v>
      </c>
      <c r="B162" s="35" t="s">
        <v>1200</v>
      </c>
      <c r="C162" s="60" t="s">
        <v>826</v>
      </c>
      <c r="D162" s="55" t="s">
        <v>1198</v>
      </c>
      <c r="E162" s="55" t="s">
        <v>1204</v>
      </c>
      <c r="F162" s="29"/>
      <c r="G162" s="27" t="s">
        <v>1280</v>
      </c>
      <c r="H162" s="35" t="s">
        <v>1285</v>
      </c>
      <c r="I162" s="77" t="s">
        <v>1756</v>
      </c>
      <c r="J162" s="29"/>
      <c r="K162" s="29"/>
      <c r="L162" s="29"/>
      <c r="M162" s="35"/>
      <c r="N162" s="27">
        <v>1</v>
      </c>
      <c r="O162" s="27" t="s">
        <v>1182</v>
      </c>
      <c r="P162" s="28">
        <v>10550</v>
      </c>
      <c r="Q162" s="120" t="s">
        <v>1912</v>
      </c>
      <c r="R162" s="111">
        <v>42877</v>
      </c>
    </row>
    <row r="163" spans="1:18" s="109" customFormat="1" ht="13.5" customHeight="1">
      <c r="A163" s="35" t="s">
        <v>636</v>
      </c>
      <c r="B163" s="35" t="s">
        <v>1200</v>
      </c>
      <c r="C163" s="60" t="s">
        <v>842</v>
      </c>
      <c r="D163" s="55" t="s">
        <v>1198</v>
      </c>
      <c r="E163" s="55" t="s">
        <v>1209</v>
      </c>
      <c r="F163" s="29"/>
      <c r="G163" s="27" t="s">
        <v>1280</v>
      </c>
      <c r="H163" s="35" t="s">
        <v>1285</v>
      </c>
      <c r="I163" s="77" t="s">
        <v>1756</v>
      </c>
      <c r="J163" s="29"/>
      <c r="K163" s="29"/>
      <c r="L163" s="29"/>
      <c r="M163" s="35"/>
      <c r="N163" s="27">
        <v>1</v>
      </c>
      <c r="O163" s="27" t="s">
        <v>1182</v>
      </c>
      <c r="P163" s="28">
        <v>10550</v>
      </c>
      <c r="Q163" s="29"/>
    </row>
    <row r="164" spans="1:18" s="106" customFormat="1" ht="13.5" customHeight="1">
      <c r="A164" s="35" t="s">
        <v>638</v>
      </c>
      <c r="B164" s="35" t="s">
        <v>1200</v>
      </c>
      <c r="C164" s="60" t="s">
        <v>844</v>
      </c>
      <c r="D164" s="55" t="s">
        <v>1198</v>
      </c>
      <c r="E164" s="55" t="s">
        <v>1212</v>
      </c>
      <c r="F164" s="29"/>
      <c r="G164" s="27" t="s">
        <v>1280</v>
      </c>
      <c r="H164" s="35" t="s">
        <v>1285</v>
      </c>
      <c r="I164" s="77" t="s">
        <v>1756</v>
      </c>
      <c r="J164" s="29"/>
      <c r="K164" s="29"/>
      <c r="L164" s="29"/>
      <c r="M164" s="35"/>
      <c r="N164" s="27">
        <v>1</v>
      </c>
      <c r="O164" s="27" t="s">
        <v>1182</v>
      </c>
      <c r="P164" s="28">
        <v>14820</v>
      </c>
      <c r="Q164" s="29"/>
    </row>
    <row r="165" spans="1:18" s="112" customFormat="1" ht="13.5" customHeight="1">
      <c r="A165" s="35" t="s">
        <v>639</v>
      </c>
      <c r="B165" s="35" t="s">
        <v>1200</v>
      </c>
      <c r="C165" s="60" t="s">
        <v>845</v>
      </c>
      <c r="D165" s="55" t="s">
        <v>1213</v>
      </c>
      <c r="E165" s="55" t="s">
        <v>1017</v>
      </c>
      <c r="F165" s="29"/>
      <c r="G165" s="27" t="s">
        <v>1280</v>
      </c>
      <c r="H165" s="35" t="s">
        <v>1285</v>
      </c>
      <c r="I165" s="77" t="s">
        <v>1756</v>
      </c>
      <c r="J165" s="29"/>
      <c r="K165" s="29"/>
      <c r="L165" s="29"/>
      <c r="M165" s="35"/>
      <c r="N165" s="27">
        <v>1</v>
      </c>
      <c r="O165" s="27" t="s">
        <v>1182</v>
      </c>
      <c r="P165" s="28">
        <v>19750</v>
      </c>
      <c r="Q165" s="101" t="s">
        <v>1909</v>
      </c>
      <c r="R165" s="111">
        <v>42877</v>
      </c>
    </row>
    <row r="166" spans="1:18" s="112" customFormat="1" ht="13.5" customHeight="1">
      <c r="A166" s="35" t="s">
        <v>640</v>
      </c>
      <c r="B166" s="35" t="s">
        <v>1200</v>
      </c>
      <c r="C166" s="60" t="s">
        <v>846</v>
      </c>
      <c r="D166" s="55" t="s">
        <v>1213</v>
      </c>
      <c r="E166" s="55" t="s">
        <v>1018</v>
      </c>
      <c r="F166" s="29"/>
      <c r="G166" s="27" t="s">
        <v>1280</v>
      </c>
      <c r="H166" s="35" t="s">
        <v>1285</v>
      </c>
      <c r="I166" s="77" t="s">
        <v>1756</v>
      </c>
      <c r="J166" s="29"/>
      <c r="K166" s="29"/>
      <c r="L166" s="29"/>
      <c r="M166" s="35"/>
      <c r="N166" s="27">
        <v>1</v>
      </c>
      <c r="O166" s="27" t="s">
        <v>1182</v>
      </c>
      <c r="P166" s="28">
        <v>24690</v>
      </c>
      <c r="Q166" s="99"/>
      <c r="R166" s="111">
        <v>42877</v>
      </c>
    </row>
    <row r="167" spans="1:18" s="109" customFormat="1" ht="13.5" customHeight="1">
      <c r="A167" s="35" t="s">
        <v>652</v>
      </c>
      <c r="B167" s="35" t="s">
        <v>1200</v>
      </c>
      <c r="C167" s="60" t="s">
        <v>858</v>
      </c>
      <c r="D167" s="55" t="s">
        <v>1213</v>
      </c>
      <c r="E167" s="55" t="s">
        <v>1020</v>
      </c>
      <c r="F167" s="29"/>
      <c r="G167" s="27" t="s">
        <v>1280</v>
      </c>
      <c r="H167" s="35" t="s">
        <v>1285</v>
      </c>
      <c r="I167" s="77" t="s">
        <v>1756</v>
      </c>
      <c r="J167" s="29"/>
      <c r="K167" s="29"/>
      <c r="L167" s="29"/>
      <c r="M167" s="35"/>
      <c r="N167" s="27">
        <v>1</v>
      </c>
      <c r="O167" s="27" t="s">
        <v>1182</v>
      </c>
      <c r="P167" s="28">
        <v>9430</v>
      </c>
      <c r="Q167" s="29"/>
    </row>
    <row r="168" spans="1:18" s="4" customFormat="1" ht="13.5" customHeight="1">
      <c r="A168" s="35" t="s">
        <v>659</v>
      </c>
      <c r="B168" s="35" t="s">
        <v>1200</v>
      </c>
      <c r="C168" s="60" t="s">
        <v>865</v>
      </c>
      <c r="D168" s="55" t="s">
        <v>1213</v>
      </c>
      <c r="E168" s="55" t="s">
        <v>1021</v>
      </c>
      <c r="F168" s="29"/>
      <c r="G168" s="27" t="s">
        <v>1280</v>
      </c>
      <c r="H168" s="35" t="s">
        <v>1285</v>
      </c>
      <c r="I168" s="77" t="s">
        <v>1788</v>
      </c>
      <c r="J168" s="29"/>
      <c r="K168" s="29"/>
      <c r="L168" s="29"/>
      <c r="M168" s="35"/>
      <c r="N168" s="27">
        <v>1</v>
      </c>
      <c r="O168" s="27" t="s">
        <v>1182</v>
      </c>
      <c r="P168" s="28">
        <v>10550</v>
      </c>
      <c r="Q168" s="29"/>
    </row>
    <row r="169" spans="1:18" s="4" customFormat="1" ht="13.5" customHeight="1">
      <c r="A169" s="35" t="s">
        <v>660</v>
      </c>
      <c r="B169" s="35" t="s">
        <v>1200</v>
      </c>
      <c r="C169" s="60" t="s">
        <v>866</v>
      </c>
      <c r="D169" s="55" t="s">
        <v>1213</v>
      </c>
      <c r="E169" s="55" t="s">
        <v>1021</v>
      </c>
      <c r="F169" s="29"/>
      <c r="G169" s="27" t="s">
        <v>1280</v>
      </c>
      <c r="H169" s="35" t="s">
        <v>1285</v>
      </c>
      <c r="I169" s="77" t="s">
        <v>1788</v>
      </c>
      <c r="J169" s="29"/>
      <c r="K169" s="29"/>
      <c r="L169" s="29"/>
      <c r="M169" s="35"/>
      <c r="N169" s="27">
        <v>1</v>
      </c>
      <c r="O169" s="27" t="s">
        <v>1182</v>
      </c>
      <c r="P169" s="28">
        <v>23790</v>
      </c>
      <c r="Q169" s="29"/>
    </row>
    <row r="170" spans="1:18" s="4" customFormat="1" ht="13.5" customHeight="1">
      <c r="A170" s="35" t="s">
        <v>615</v>
      </c>
      <c r="B170" s="35" t="s">
        <v>1200</v>
      </c>
      <c r="C170" s="60" t="s">
        <v>821</v>
      </c>
      <c r="D170" s="55" t="s">
        <v>1198</v>
      </c>
      <c r="E170" s="55" t="s">
        <v>1204</v>
      </c>
      <c r="F170" s="29"/>
      <c r="G170" s="27" t="s">
        <v>1280</v>
      </c>
      <c r="H170" s="35" t="s">
        <v>1285</v>
      </c>
      <c r="I170" s="77" t="s">
        <v>1773</v>
      </c>
      <c r="J170" s="29"/>
      <c r="K170" s="29"/>
      <c r="L170" s="29"/>
      <c r="M170" s="35"/>
      <c r="N170" s="27">
        <v>1</v>
      </c>
      <c r="O170" s="27" t="s">
        <v>1182</v>
      </c>
      <c r="P170" s="28">
        <v>18560</v>
      </c>
      <c r="Q170" s="29"/>
    </row>
    <row r="171" spans="1:18" s="4" customFormat="1" ht="13.5" customHeight="1">
      <c r="A171" s="35" t="s">
        <v>616</v>
      </c>
      <c r="B171" s="35" t="s">
        <v>1200</v>
      </c>
      <c r="C171" s="60" t="s">
        <v>822</v>
      </c>
      <c r="D171" s="55" t="s">
        <v>1198</v>
      </c>
      <c r="E171" s="55" t="s">
        <v>1204</v>
      </c>
      <c r="F171" s="29"/>
      <c r="G171" s="27" t="s">
        <v>1280</v>
      </c>
      <c r="H171" s="35" t="s">
        <v>1285</v>
      </c>
      <c r="I171" s="77" t="s">
        <v>1773</v>
      </c>
      <c r="J171" s="29"/>
      <c r="K171" s="29"/>
      <c r="L171" s="29"/>
      <c r="M171" s="35"/>
      <c r="N171" s="27">
        <v>1</v>
      </c>
      <c r="O171" s="27" t="s">
        <v>1182</v>
      </c>
      <c r="P171" s="28">
        <v>8830</v>
      </c>
      <c r="Q171" s="29"/>
    </row>
    <row r="172" spans="1:18" s="4" customFormat="1" ht="13.5" customHeight="1">
      <c r="A172" s="35" t="s">
        <v>675</v>
      </c>
      <c r="B172" s="35" t="s">
        <v>1200</v>
      </c>
      <c r="C172" s="60" t="s">
        <v>881</v>
      </c>
      <c r="D172" s="55" t="s">
        <v>1214</v>
      </c>
      <c r="E172" s="56" t="s">
        <v>1216</v>
      </c>
      <c r="F172" s="29"/>
      <c r="G172" s="27" t="s">
        <v>1280</v>
      </c>
      <c r="H172" s="35" t="s">
        <v>1285</v>
      </c>
      <c r="I172" s="31" t="s">
        <v>1792</v>
      </c>
      <c r="J172" s="29"/>
      <c r="K172" s="29"/>
      <c r="L172" s="29"/>
      <c r="M172" s="35"/>
      <c r="N172" s="27">
        <v>1</v>
      </c>
      <c r="O172" s="27" t="s">
        <v>1182</v>
      </c>
      <c r="P172" s="28">
        <v>8830</v>
      </c>
      <c r="Q172" s="29"/>
    </row>
    <row r="173" spans="1:18" s="5" customFormat="1" ht="13.5" customHeight="1">
      <c r="A173" s="35" t="s">
        <v>623</v>
      </c>
      <c r="B173" s="35" t="s">
        <v>1200</v>
      </c>
      <c r="C173" s="60" t="s">
        <v>829</v>
      </c>
      <c r="D173" s="55" t="s">
        <v>1198</v>
      </c>
      <c r="E173" s="55" t="s">
        <v>1207</v>
      </c>
      <c r="F173" s="29"/>
      <c r="G173" s="27" t="s">
        <v>1280</v>
      </c>
      <c r="H173" s="35" t="s">
        <v>1285</v>
      </c>
      <c r="I173" s="77" t="s">
        <v>1777</v>
      </c>
      <c r="J173" s="29"/>
      <c r="K173" s="29"/>
      <c r="L173" s="29"/>
      <c r="M173" s="35"/>
      <c r="N173" s="27">
        <v>1</v>
      </c>
      <c r="O173" s="27" t="s">
        <v>1182</v>
      </c>
      <c r="P173" s="28">
        <v>8830</v>
      </c>
      <c r="Q173" s="29"/>
    </row>
    <row r="174" spans="1:18" s="107" customFormat="1" ht="13.5" customHeight="1">
      <c r="A174" s="35" t="s">
        <v>628</v>
      </c>
      <c r="B174" s="35" t="s">
        <v>1200</v>
      </c>
      <c r="C174" s="60" t="s">
        <v>834</v>
      </c>
      <c r="D174" s="55" t="s">
        <v>1198</v>
      </c>
      <c r="E174" s="55" t="s">
        <v>1209</v>
      </c>
      <c r="F174" s="29"/>
      <c r="G174" s="27" t="s">
        <v>1280</v>
      </c>
      <c r="H174" s="35" t="s">
        <v>1285</v>
      </c>
      <c r="I174" s="77" t="s">
        <v>1777</v>
      </c>
      <c r="J174" s="29"/>
      <c r="K174" s="29"/>
      <c r="L174" s="29"/>
      <c r="M174" s="35"/>
      <c r="N174" s="27">
        <v>1</v>
      </c>
      <c r="O174" s="27" t="s">
        <v>1182</v>
      </c>
      <c r="P174" s="28">
        <v>8830</v>
      </c>
      <c r="Q174" s="29"/>
    </row>
    <row r="175" spans="1:18" s="113" customFormat="1" ht="13.5" customHeight="1">
      <c r="A175" s="35" t="s">
        <v>629</v>
      </c>
      <c r="B175" s="35" t="s">
        <v>1200</v>
      </c>
      <c r="C175" s="60" t="s">
        <v>835</v>
      </c>
      <c r="D175" s="55" t="s">
        <v>1198</v>
      </c>
      <c r="E175" s="55" t="s">
        <v>1209</v>
      </c>
      <c r="F175" s="29"/>
      <c r="G175" s="27" t="s">
        <v>1280</v>
      </c>
      <c r="H175" s="35" t="s">
        <v>1285</v>
      </c>
      <c r="I175" s="77" t="s">
        <v>1777</v>
      </c>
      <c r="J175" s="29"/>
      <c r="K175" s="29"/>
      <c r="L175" s="29"/>
      <c r="M175" s="35"/>
      <c r="N175" s="27">
        <v>1</v>
      </c>
      <c r="O175" s="27" t="s">
        <v>1182</v>
      </c>
      <c r="P175" s="28">
        <v>8830</v>
      </c>
      <c r="Q175" s="100"/>
      <c r="R175" s="111">
        <v>42877</v>
      </c>
    </row>
    <row r="176" spans="1:18" ht="13.5" customHeight="1">
      <c r="A176" s="35" t="s">
        <v>617</v>
      </c>
      <c r="B176" s="35" t="s">
        <v>1200</v>
      </c>
      <c r="C176" s="60" t="s">
        <v>823</v>
      </c>
      <c r="D176" s="55" t="s">
        <v>1198</v>
      </c>
      <c r="E176" s="55" t="s">
        <v>1205</v>
      </c>
      <c r="F176" s="29"/>
      <c r="G176" s="27" t="s">
        <v>1280</v>
      </c>
      <c r="H176" s="35" t="s">
        <v>1285</v>
      </c>
      <c r="I176" s="77" t="s">
        <v>1774</v>
      </c>
      <c r="J176" s="29"/>
      <c r="K176" s="29"/>
      <c r="L176" s="29"/>
      <c r="M176" s="35"/>
      <c r="N176" s="27">
        <v>1</v>
      </c>
      <c r="O176" s="27" t="s">
        <v>1182</v>
      </c>
      <c r="P176" s="28">
        <v>8830</v>
      </c>
      <c r="Q176" s="100"/>
      <c r="R176" s="111">
        <v>42877</v>
      </c>
    </row>
    <row r="177" spans="1:18" s="114" customFormat="1" ht="13.5" customHeight="1">
      <c r="A177" s="35" t="s">
        <v>624</v>
      </c>
      <c r="B177" s="35" t="s">
        <v>1200</v>
      </c>
      <c r="C177" s="60" t="s">
        <v>830</v>
      </c>
      <c r="D177" s="55" t="s">
        <v>1198</v>
      </c>
      <c r="E177" s="55" t="s">
        <v>1208</v>
      </c>
      <c r="F177" s="29"/>
      <c r="G177" s="27" t="s">
        <v>1280</v>
      </c>
      <c r="H177" s="35" t="s">
        <v>1285</v>
      </c>
      <c r="I177" s="77" t="s">
        <v>1774</v>
      </c>
      <c r="J177" s="29"/>
      <c r="K177" s="29"/>
      <c r="L177" s="29"/>
      <c r="M177" s="35"/>
      <c r="N177" s="27">
        <v>1</v>
      </c>
      <c r="O177" s="27" t="s">
        <v>1182</v>
      </c>
      <c r="P177" s="28">
        <v>8830</v>
      </c>
      <c r="Q177" s="99"/>
      <c r="R177" s="111"/>
    </row>
    <row r="178" spans="1:18" ht="13.5" customHeight="1">
      <c r="A178" s="35" t="s">
        <v>649</v>
      </c>
      <c r="B178" s="35" t="s">
        <v>1200</v>
      </c>
      <c r="C178" s="60" t="s">
        <v>855</v>
      </c>
      <c r="D178" s="55" t="s">
        <v>1213</v>
      </c>
      <c r="E178" s="55" t="s">
        <v>1019</v>
      </c>
      <c r="F178" s="29"/>
      <c r="G178" s="27" t="s">
        <v>1280</v>
      </c>
      <c r="H178" s="35" t="s">
        <v>1285</v>
      </c>
      <c r="I178" s="76" t="s">
        <v>1774</v>
      </c>
      <c r="J178" s="29"/>
      <c r="K178" s="29"/>
      <c r="L178" s="29"/>
      <c r="M178" s="35"/>
      <c r="N178" s="27">
        <v>1</v>
      </c>
      <c r="O178" s="27" t="s">
        <v>1182</v>
      </c>
      <c r="P178" s="28">
        <v>14740</v>
      </c>
      <c r="Q178" s="99"/>
      <c r="R178" s="111"/>
    </row>
    <row r="179" spans="1:18">
      <c r="A179" s="35" t="s">
        <v>653</v>
      </c>
      <c r="B179" s="35" t="s">
        <v>1200</v>
      </c>
      <c r="C179" s="60" t="s">
        <v>859</v>
      </c>
      <c r="D179" s="55" t="s">
        <v>1213</v>
      </c>
      <c r="E179" s="55" t="s">
        <v>1020</v>
      </c>
      <c r="F179" s="29"/>
      <c r="G179" s="27" t="s">
        <v>1280</v>
      </c>
      <c r="H179" s="35" t="s">
        <v>1285</v>
      </c>
      <c r="I179" s="77" t="s">
        <v>1784</v>
      </c>
      <c r="J179" s="29"/>
      <c r="K179" s="29"/>
      <c r="L179" s="29"/>
      <c r="M179" s="35"/>
      <c r="N179" s="27">
        <v>1</v>
      </c>
      <c r="O179" s="27" t="s">
        <v>1182</v>
      </c>
      <c r="P179" s="28">
        <v>14820</v>
      </c>
      <c r="Q179" s="101" t="s">
        <v>1876</v>
      </c>
      <c r="R179" s="111">
        <v>42877</v>
      </c>
    </row>
    <row r="180" spans="1:18" s="108" customFormat="1" ht="14.4">
      <c r="A180" s="35" t="s">
        <v>811</v>
      </c>
      <c r="B180" s="35" t="s">
        <v>1200</v>
      </c>
      <c r="C180" s="60" t="s">
        <v>1012</v>
      </c>
      <c r="D180" s="56" t="s">
        <v>1265</v>
      </c>
      <c r="E180" s="56"/>
      <c r="F180" s="29"/>
      <c r="G180" s="27" t="s">
        <v>1280</v>
      </c>
      <c r="H180" s="27" t="s">
        <v>1288</v>
      </c>
      <c r="I180" s="35" t="s">
        <v>1293</v>
      </c>
      <c r="J180" s="29"/>
      <c r="K180" s="29"/>
      <c r="L180" s="29"/>
      <c r="M180" s="35"/>
      <c r="N180" s="27">
        <v>1</v>
      </c>
      <c r="O180" s="27" t="s">
        <v>1182</v>
      </c>
      <c r="P180" s="28">
        <v>8830</v>
      </c>
      <c r="Q180" s="29"/>
    </row>
    <row r="181" spans="1:18" ht="13.5" customHeight="1">
      <c r="A181" s="35" t="s">
        <v>612</v>
      </c>
      <c r="B181" s="35" t="s">
        <v>1200</v>
      </c>
      <c r="C181" s="60" t="s">
        <v>818</v>
      </c>
      <c r="D181" s="55" t="s">
        <v>1198</v>
      </c>
      <c r="E181" s="55" t="s">
        <v>1201</v>
      </c>
      <c r="F181" s="29"/>
      <c r="G181" s="27" t="s">
        <v>1280</v>
      </c>
      <c r="H181" s="35" t="s">
        <v>1285</v>
      </c>
      <c r="I181" s="77" t="s">
        <v>1772</v>
      </c>
      <c r="J181" s="29"/>
      <c r="K181" s="29"/>
      <c r="L181" s="29"/>
      <c r="M181" s="35"/>
      <c r="N181" s="27">
        <v>1</v>
      </c>
      <c r="O181" s="27" t="s">
        <v>1050</v>
      </c>
      <c r="P181" s="28">
        <v>13240</v>
      </c>
      <c r="Q181" s="99"/>
      <c r="R181" s="110">
        <v>42877</v>
      </c>
    </row>
    <row r="182" spans="1:18" ht="13.5" customHeight="1">
      <c r="A182" s="35" t="s">
        <v>673</v>
      </c>
      <c r="B182" s="35" t="s">
        <v>1200</v>
      </c>
      <c r="C182" s="60" t="s">
        <v>879</v>
      </c>
      <c r="D182" s="55" t="s">
        <v>1214</v>
      </c>
      <c r="E182" s="56" t="s">
        <v>1215</v>
      </c>
      <c r="F182" s="29"/>
      <c r="G182" s="27" t="s">
        <v>1280</v>
      </c>
      <c r="H182" s="35" t="s">
        <v>1285</v>
      </c>
      <c r="I182" s="31" t="s">
        <v>1793</v>
      </c>
      <c r="J182" s="29"/>
      <c r="K182" s="29"/>
      <c r="L182" s="29"/>
      <c r="M182" s="35"/>
      <c r="N182" s="27">
        <v>1</v>
      </c>
      <c r="O182" s="27" t="s">
        <v>1182</v>
      </c>
      <c r="P182" s="28">
        <v>7110</v>
      </c>
      <c r="Q182" s="99"/>
    </row>
    <row r="183" spans="1:18" ht="13.5" customHeight="1">
      <c r="A183" s="35" t="s">
        <v>235</v>
      </c>
      <c r="B183" s="35" t="s">
        <v>1200</v>
      </c>
      <c r="C183" s="60" t="s">
        <v>817</v>
      </c>
      <c r="D183" s="55" t="s">
        <v>1198</v>
      </c>
      <c r="E183" s="55" t="s">
        <v>1201</v>
      </c>
      <c r="F183" s="29"/>
      <c r="G183" s="27" t="s">
        <v>1280</v>
      </c>
      <c r="H183" s="35" t="s">
        <v>1285</v>
      </c>
      <c r="I183" s="31" t="s">
        <v>1771</v>
      </c>
      <c r="J183" s="29"/>
      <c r="K183" s="29"/>
      <c r="L183" s="29"/>
      <c r="M183" s="35"/>
      <c r="N183" s="35" t="s">
        <v>196</v>
      </c>
      <c r="O183" s="35" t="s">
        <v>1119</v>
      </c>
      <c r="P183" s="28">
        <v>22660</v>
      </c>
      <c r="Q183" s="102"/>
    </row>
    <row r="184" spans="1:18" ht="13.5" customHeight="1">
      <c r="A184" s="35" t="s">
        <v>630</v>
      </c>
      <c r="B184" s="35" t="s">
        <v>1200</v>
      </c>
      <c r="C184" s="60" t="s">
        <v>836</v>
      </c>
      <c r="D184" s="55" t="s">
        <v>1198</v>
      </c>
      <c r="E184" s="55" t="s">
        <v>1210</v>
      </c>
      <c r="F184" s="29"/>
      <c r="G184" s="27" t="s">
        <v>1280</v>
      </c>
      <c r="H184" s="35" t="s">
        <v>1285</v>
      </c>
      <c r="I184" s="76" t="s">
        <v>1765</v>
      </c>
      <c r="J184" s="29"/>
      <c r="K184" s="29"/>
      <c r="L184" s="29"/>
      <c r="M184" s="35"/>
      <c r="N184" s="35" t="s">
        <v>241</v>
      </c>
      <c r="O184" s="35" t="s">
        <v>1184</v>
      </c>
      <c r="P184" s="28">
        <v>38280</v>
      </c>
      <c r="Q184" s="102"/>
    </row>
    <row r="185" spans="1:18" ht="13.5" customHeight="1">
      <c r="A185" s="35" t="s">
        <v>631</v>
      </c>
      <c r="B185" s="35" t="s">
        <v>1200</v>
      </c>
      <c r="C185" s="60" t="s">
        <v>837</v>
      </c>
      <c r="D185" s="55" t="s">
        <v>1198</v>
      </c>
      <c r="E185" s="55" t="s">
        <v>1209</v>
      </c>
      <c r="F185" s="29"/>
      <c r="G185" s="27" t="s">
        <v>1280</v>
      </c>
      <c r="H185" s="35" t="s">
        <v>1285</v>
      </c>
      <c r="I185" s="76" t="s">
        <v>1778</v>
      </c>
      <c r="J185" s="29"/>
      <c r="K185" s="29"/>
      <c r="L185" s="29"/>
      <c r="M185" s="35"/>
      <c r="N185" s="35" t="s">
        <v>196</v>
      </c>
      <c r="O185" s="45" t="s">
        <v>1184</v>
      </c>
      <c r="P185" s="28">
        <v>83600</v>
      </c>
      <c r="Q185" s="103"/>
    </row>
    <row r="186" spans="1:18" ht="13.5" customHeight="1">
      <c r="A186" s="35" t="s">
        <v>634</v>
      </c>
      <c r="B186" s="35" t="s">
        <v>1200</v>
      </c>
      <c r="C186" s="60" t="s">
        <v>840</v>
      </c>
      <c r="D186" s="55" t="s">
        <v>1198</v>
      </c>
      <c r="E186" s="55" t="s">
        <v>1208</v>
      </c>
      <c r="F186" s="29"/>
      <c r="G186" s="27" t="s">
        <v>1280</v>
      </c>
      <c r="H186" s="35" t="s">
        <v>1285</v>
      </c>
      <c r="I186" s="76" t="s">
        <v>1779</v>
      </c>
      <c r="J186" s="29"/>
      <c r="K186" s="29"/>
      <c r="L186" s="29"/>
      <c r="M186" s="35"/>
      <c r="N186" s="35"/>
      <c r="O186" s="35"/>
      <c r="P186" s="28"/>
      <c r="Q186" s="100"/>
    </row>
    <row r="187" spans="1:18" ht="13.5" customHeight="1">
      <c r="A187" s="35" t="s">
        <v>635</v>
      </c>
      <c r="B187" s="35" t="s">
        <v>1200</v>
      </c>
      <c r="C187" s="60" t="s">
        <v>841</v>
      </c>
      <c r="D187" s="55" t="s">
        <v>1198</v>
      </c>
      <c r="E187" s="55" t="s">
        <v>1208</v>
      </c>
      <c r="F187" s="29"/>
      <c r="G187" s="27" t="s">
        <v>1280</v>
      </c>
      <c r="H187" s="35" t="s">
        <v>1285</v>
      </c>
      <c r="I187" s="76" t="s">
        <v>1779</v>
      </c>
      <c r="J187" s="29"/>
      <c r="K187" s="29"/>
      <c r="L187" s="29"/>
      <c r="M187" s="35"/>
      <c r="N187" s="35"/>
      <c r="O187" s="35"/>
      <c r="P187" s="28"/>
      <c r="Q187" s="100"/>
    </row>
    <row r="188" spans="1:18" ht="13.5" customHeight="1">
      <c r="A188" s="35" t="s">
        <v>661</v>
      </c>
      <c r="B188" s="35" t="s">
        <v>1200</v>
      </c>
      <c r="C188" s="60" t="s">
        <v>867</v>
      </c>
      <c r="D188" s="55" t="s">
        <v>1213</v>
      </c>
      <c r="E188" s="55" t="s">
        <v>1021</v>
      </c>
      <c r="F188" s="29"/>
      <c r="G188" s="27" t="s">
        <v>1280</v>
      </c>
      <c r="H188" s="35" t="s">
        <v>1285</v>
      </c>
      <c r="I188" s="77" t="s">
        <v>1779</v>
      </c>
      <c r="J188" s="29"/>
      <c r="K188" s="29"/>
      <c r="L188" s="29"/>
      <c r="M188" s="35"/>
      <c r="N188" s="35"/>
      <c r="O188" s="35"/>
      <c r="P188" s="28"/>
      <c r="Q188" s="100"/>
    </row>
    <row r="189" spans="1:18" ht="13.5" customHeight="1">
      <c r="A189" s="35" t="s">
        <v>663</v>
      </c>
      <c r="B189" s="35" t="s">
        <v>1200</v>
      </c>
      <c r="C189" s="60" t="s">
        <v>869</v>
      </c>
      <c r="D189" s="55" t="s">
        <v>1213</v>
      </c>
      <c r="E189" s="55" t="s">
        <v>1021</v>
      </c>
      <c r="F189" s="29"/>
      <c r="G189" s="27" t="s">
        <v>1280</v>
      </c>
      <c r="H189" s="35" t="s">
        <v>1285</v>
      </c>
      <c r="I189" s="77" t="s">
        <v>1766</v>
      </c>
      <c r="J189" s="29"/>
      <c r="K189" s="29"/>
      <c r="L189" s="29"/>
      <c r="M189" s="35"/>
      <c r="N189" s="35"/>
      <c r="O189" s="35"/>
      <c r="P189" s="28"/>
      <c r="Q189" s="121" t="s">
        <v>1913</v>
      </c>
    </row>
    <row r="190" spans="1:18" ht="13.5" customHeight="1">
      <c r="A190" s="35" t="s">
        <v>664</v>
      </c>
      <c r="B190" s="35" t="s">
        <v>1200</v>
      </c>
      <c r="C190" s="36" t="s">
        <v>870</v>
      </c>
      <c r="D190" s="55" t="s">
        <v>1213</v>
      </c>
      <c r="E190" s="36" t="s">
        <v>1022</v>
      </c>
      <c r="F190" s="29"/>
      <c r="G190" s="27" t="s">
        <v>1280</v>
      </c>
      <c r="H190" s="35" t="s">
        <v>1285</v>
      </c>
      <c r="I190" s="77" t="s">
        <v>1766</v>
      </c>
      <c r="J190" s="29"/>
      <c r="K190" s="29"/>
      <c r="L190" s="29"/>
      <c r="M190" s="35"/>
      <c r="N190" s="35"/>
      <c r="O190" s="35"/>
      <c r="P190" s="28"/>
      <c r="Q190" s="100"/>
    </row>
    <row r="191" spans="1:18" ht="13.5" customHeight="1">
      <c r="A191" s="35" t="s">
        <v>665</v>
      </c>
      <c r="B191" s="35" t="s">
        <v>1200</v>
      </c>
      <c r="C191" s="36" t="s">
        <v>871</v>
      </c>
      <c r="D191" s="55" t="s">
        <v>1213</v>
      </c>
      <c r="E191" s="36" t="s">
        <v>1022</v>
      </c>
      <c r="F191" s="29"/>
      <c r="G191" s="27" t="s">
        <v>1280</v>
      </c>
      <c r="H191" s="35" t="s">
        <v>1285</v>
      </c>
      <c r="I191" s="77" t="s">
        <v>1766</v>
      </c>
      <c r="J191" s="29"/>
      <c r="K191" s="29"/>
      <c r="L191" s="29"/>
      <c r="M191" s="35"/>
      <c r="N191" s="35"/>
      <c r="O191" s="35"/>
      <c r="P191" s="28"/>
      <c r="Q191" s="100"/>
    </row>
    <row r="192" spans="1:18" ht="13.5" customHeight="1">
      <c r="A192" s="35" t="s">
        <v>666</v>
      </c>
      <c r="B192" s="35" t="s">
        <v>1200</v>
      </c>
      <c r="C192" s="36" t="s">
        <v>872</v>
      </c>
      <c r="D192" s="55" t="s">
        <v>1213</v>
      </c>
      <c r="E192" s="36" t="s">
        <v>1023</v>
      </c>
      <c r="F192" s="29"/>
      <c r="G192" s="27" t="s">
        <v>1280</v>
      </c>
      <c r="H192" s="35" t="s">
        <v>1285</v>
      </c>
      <c r="I192" s="77" t="s">
        <v>1766</v>
      </c>
      <c r="J192" s="29"/>
      <c r="K192" s="29"/>
      <c r="L192" s="29"/>
      <c r="M192" s="35"/>
      <c r="N192" s="35"/>
      <c r="O192" s="35"/>
      <c r="P192" s="28"/>
      <c r="Q192" s="100"/>
    </row>
    <row r="193" spans="1:18" ht="13.5" customHeight="1">
      <c r="A193" s="35" t="s">
        <v>667</v>
      </c>
      <c r="B193" s="35" t="s">
        <v>1200</v>
      </c>
      <c r="C193" s="36" t="s">
        <v>873</v>
      </c>
      <c r="D193" s="55" t="s">
        <v>1213</v>
      </c>
      <c r="E193" s="36" t="s">
        <v>1023</v>
      </c>
      <c r="F193" s="29"/>
      <c r="G193" s="27" t="s">
        <v>1280</v>
      </c>
      <c r="H193" s="35" t="s">
        <v>1285</v>
      </c>
      <c r="I193" s="77" t="s">
        <v>1766</v>
      </c>
      <c r="J193" s="29"/>
      <c r="K193" s="29"/>
      <c r="L193" s="29"/>
      <c r="M193" s="35"/>
      <c r="N193" s="35"/>
      <c r="O193" s="35"/>
      <c r="P193" s="28"/>
      <c r="Q193" s="100"/>
    </row>
    <row r="194" spans="1:18" ht="13.5" customHeight="1">
      <c r="A194" s="35" t="s">
        <v>668</v>
      </c>
      <c r="B194" s="35" t="s">
        <v>1200</v>
      </c>
      <c r="C194" s="36" t="s">
        <v>874</v>
      </c>
      <c r="D194" s="55" t="s">
        <v>1213</v>
      </c>
      <c r="E194" s="36" t="s">
        <v>1023</v>
      </c>
      <c r="F194" s="29"/>
      <c r="G194" s="27" t="s">
        <v>1280</v>
      </c>
      <c r="H194" s="35" t="s">
        <v>1285</v>
      </c>
      <c r="I194" s="77" t="s">
        <v>1766</v>
      </c>
      <c r="J194" s="29"/>
      <c r="K194" s="29"/>
      <c r="L194" s="29"/>
      <c r="M194" s="35"/>
      <c r="N194" s="35"/>
      <c r="O194" s="35"/>
      <c r="P194" s="28"/>
      <c r="Q194" s="100"/>
    </row>
    <row r="195" spans="1:18" ht="13.5" customHeight="1">
      <c r="A195" s="35" t="s">
        <v>670</v>
      </c>
      <c r="B195" s="35" t="s">
        <v>1200</v>
      </c>
      <c r="C195" s="60" t="s">
        <v>876</v>
      </c>
      <c r="D195" s="55" t="s">
        <v>1214</v>
      </c>
      <c r="E195" s="56" t="s">
        <v>1216</v>
      </c>
      <c r="F195" s="29"/>
      <c r="G195" s="27" t="s">
        <v>1280</v>
      </c>
      <c r="H195" s="35" t="s">
        <v>1285</v>
      </c>
      <c r="I195" s="77" t="s">
        <v>1766</v>
      </c>
      <c r="J195" s="29"/>
      <c r="K195" s="29"/>
      <c r="L195" s="29"/>
      <c r="M195" s="35"/>
      <c r="N195" s="35"/>
      <c r="O195" s="35"/>
      <c r="P195" s="28"/>
      <c r="Q195" s="100"/>
    </row>
    <row r="196" spans="1:18" ht="13.5" customHeight="1">
      <c r="A196" s="35" t="s">
        <v>671</v>
      </c>
      <c r="B196" s="35" t="s">
        <v>1200</v>
      </c>
      <c r="C196" s="60" t="s">
        <v>877</v>
      </c>
      <c r="D196" s="55" t="s">
        <v>1214</v>
      </c>
      <c r="E196" s="56" t="s">
        <v>1216</v>
      </c>
      <c r="F196" s="29"/>
      <c r="G196" s="27" t="s">
        <v>1280</v>
      </c>
      <c r="H196" s="35" t="s">
        <v>1285</v>
      </c>
      <c r="I196" s="77" t="s">
        <v>1766</v>
      </c>
      <c r="J196" s="29"/>
      <c r="K196" s="29"/>
      <c r="L196" s="29"/>
      <c r="M196" s="35"/>
      <c r="N196" s="35"/>
      <c r="O196" s="35"/>
      <c r="P196" s="28"/>
      <c r="Q196" s="100"/>
    </row>
    <row r="197" spans="1:18" ht="13.5" customHeight="1">
      <c r="A197" s="35" t="s">
        <v>632</v>
      </c>
      <c r="B197" s="35" t="s">
        <v>1200</v>
      </c>
      <c r="C197" s="60" t="s">
        <v>838</v>
      </c>
      <c r="D197" s="55" t="s">
        <v>1198</v>
      </c>
      <c r="E197" s="55" t="s">
        <v>1209</v>
      </c>
      <c r="F197" s="29"/>
      <c r="G197" s="27" t="s">
        <v>1280</v>
      </c>
      <c r="H197" s="35" t="s">
        <v>1285</v>
      </c>
      <c r="I197" s="76" t="s">
        <v>1763</v>
      </c>
      <c r="J197" s="29"/>
      <c r="K197" s="29"/>
      <c r="L197" s="29"/>
      <c r="M197" s="35"/>
      <c r="N197" s="35"/>
      <c r="O197" s="35"/>
      <c r="P197" s="28"/>
      <c r="Q197" s="100"/>
    </row>
    <row r="198" spans="1:18" ht="13.5" customHeight="1">
      <c r="A198" s="35" t="s">
        <v>633</v>
      </c>
      <c r="B198" s="35" t="s">
        <v>1200</v>
      </c>
      <c r="C198" s="60" t="s">
        <v>839</v>
      </c>
      <c r="D198" s="55" t="s">
        <v>1198</v>
      </c>
      <c r="E198" s="55" t="s">
        <v>1211</v>
      </c>
      <c r="F198" s="29"/>
      <c r="G198" s="27" t="s">
        <v>1280</v>
      </c>
      <c r="H198" s="35" t="s">
        <v>1285</v>
      </c>
      <c r="I198" s="76" t="s">
        <v>1763</v>
      </c>
      <c r="J198" s="29"/>
      <c r="K198" s="29"/>
      <c r="L198" s="29"/>
      <c r="M198" s="35"/>
      <c r="N198" s="35"/>
      <c r="O198" s="35"/>
      <c r="P198" s="28"/>
      <c r="Q198" s="100"/>
    </row>
    <row r="199" spans="1:18" ht="13.5" customHeight="1">
      <c r="A199" s="35" t="s">
        <v>677</v>
      </c>
      <c r="B199" s="35" t="s">
        <v>1200</v>
      </c>
      <c r="C199" s="60" t="s">
        <v>883</v>
      </c>
      <c r="D199" s="55" t="s">
        <v>1214</v>
      </c>
      <c r="E199" s="56" t="s">
        <v>1216</v>
      </c>
      <c r="F199" s="29"/>
      <c r="G199" s="27" t="s">
        <v>1280</v>
      </c>
      <c r="H199" s="35" t="s">
        <v>1285</v>
      </c>
      <c r="I199" s="76" t="s">
        <v>1763</v>
      </c>
      <c r="J199" s="29"/>
      <c r="K199" s="29"/>
      <c r="L199" s="29"/>
      <c r="M199" s="35"/>
      <c r="N199" s="35"/>
      <c r="O199" s="35"/>
      <c r="P199" s="28"/>
      <c r="Q199" s="100"/>
    </row>
    <row r="200" spans="1:18" ht="13.5" customHeight="1">
      <c r="A200" s="35" t="s">
        <v>657</v>
      </c>
      <c r="B200" s="35" t="s">
        <v>1200</v>
      </c>
      <c r="C200" s="60" t="s">
        <v>863</v>
      </c>
      <c r="D200" s="55" t="s">
        <v>1213</v>
      </c>
      <c r="E200" s="55" t="s">
        <v>1021</v>
      </c>
      <c r="F200" s="29"/>
      <c r="G200" s="27" t="s">
        <v>1280</v>
      </c>
      <c r="H200" s="35" t="s">
        <v>1285</v>
      </c>
      <c r="I200" s="77" t="s">
        <v>1787</v>
      </c>
      <c r="J200" s="29"/>
      <c r="K200" s="29"/>
      <c r="L200" s="29"/>
      <c r="M200" s="35"/>
      <c r="N200" s="35"/>
      <c r="O200" s="35"/>
      <c r="P200" s="28"/>
      <c r="Q200" s="100"/>
    </row>
    <row r="201" spans="1:18" ht="13.5" customHeight="1">
      <c r="A201" s="35" t="s">
        <v>658</v>
      </c>
      <c r="B201" s="35" t="s">
        <v>1200</v>
      </c>
      <c r="C201" s="60" t="s">
        <v>864</v>
      </c>
      <c r="D201" s="55" t="s">
        <v>1213</v>
      </c>
      <c r="E201" s="55" t="s">
        <v>1021</v>
      </c>
      <c r="F201" s="29"/>
      <c r="G201" s="27" t="s">
        <v>1280</v>
      </c>
      <c r="H201" s="35" t="s">
        <v>1285</v>
      </c>
      <c r="I201" s="77" t="s">
        <v>1787</v>
      </c>
      <c r="J201" s="29"/>
      <c r="K201" s="29"/>
      <c r="L201" s="29"/>
      <c r="M201" s="35"/>
      <c r="N201" s="35"/>
      <c r="O201" s="35"/>
      <c r="P201" s="28"/>
      <c r="Q201" s="121" t="s">
        <v>1913</v>
      </c>
    </row>
    <row r="202" spans="1:18" ht="13.5" customHeight="1">
      <c r="A202" s="35" t="s">
        <v>662</v>
      </c>
      <c r="B202" s="35" t="s">
        <v>1200</v>
      </c>
      <c r="C202" s="60" t="s">
        <v>868</v>
      </c>
      <c r="D202" s="55" t="s">
        <v>1213</v>
      </c>
      <c r="E202" s="55" t="s">
        <v>1021</v>
      </c>
      <c r="F202" s="29"/>
      <c r="G202" s="27" t="s">
        <v>1280</v>
      </c>
      <c r="H202" s="35" t="s">
        <v>1285</v>
      </c>
      <c r="I202" s="76" t="s">
        <v>1789</v>
      </c>
      <c r="J202" s="29"/>
      <c r="K202" s="29"/>
      <c r="L202" s="29"/>
      <c r="M202" s="35"/>
      <c r="N202" s="35"/>
      <c r="O202" s="35"/>
      <c r="P202" s="28"/>
      <c r="Q202" s="100"/>
    </row>
    <row r="203" spans="1:18" ht="13.5" customHeight="1">
      <c r="A203" s="35" t="s">
        <v>672</v>
      </c>
      <c r="B203" s="35" t="s">
        <v>1200</v>
      </c>
      <c r="C203" s="60" t="s">
        <v>878</v>
      </c>
      <c r="D203" s="55" t="s">
        <v>1214</v>
      </c>
      <c r="E203" s="56" t="s">
        <v>1215</v>
      </c>
      <c r="F203" s="29"/>
      <c r="G203" s="27" t="s">
        <v>1280</v>
      </c>
      <c r="H203" s="35" t="s">
        <v>1285</v>
      </c>
      <c r="I203" s="77" t="s">
        <v>1791</v>
      </c>
      <c r="J203" s="29"/>
      <c r="K203" s="29"/>
      <c r="L203" s="29"/>
      <c r="M203" s="35"/>
      <c r="N203" s="27">
        <v>1</v>
      </c>
      <c r="O203" s="27" t="s">
        <v>1050</v>
      </c>
      <c r="P203" s="28">
        <v>13230</v>
      </c>
      <c r="Q203" s="99"/>
    </row>
    <row r="204" spans="1:18" ht="13.5" customHeight="1">
      <c r="A204" s="35" t="s">
        <v>611</v>
      </c>
      <c r="B204" s="35" t="s">
        <v>1200</v>
      </c>
      <c r="C204" s="60" t="s">
        <v>816</v>
      </c>
      <c r="D204" s="55" t="s">
        <v>1198</v>
      </c>
      <c r="E204" s="55" t="s">
        <v>1199</v>
      </c>
      <c r="F204" s="29"/>
      <c r="G204" s="27" t="s">
        <v>1281</v>
      </c>
      <c r="H204" s="35" t="s">
        <v>1285</v>
      </c>
      <c r="I204" s="31" t="s">
        <v>1770</v>
      </c>
      <c r="J204" s="29"/>
      <c r="K204" s="29"/>
      <c r="L204" s="29"/>
      <c r="M204" s="35"/>
      <c r="N204" s="27">
        <v>1</v>
      </c>
      <c r="O204" s="27" t="s">
        <v>1050</v>
      </c>
      <c r="P204" s="28">
        <v>8820</v>
      </c>
      <c r="Q204" s="99"/>
    </row>
    <row r="205" spans="1:18" ht="13.5" customHeight="1">
      <c r="A205" s="35" t="s">
        <v>613</v>
      </c>
      <c r="B205" s="35" t="s">
        <v>1200</v>
      </c>
      <c r="C205" s="60" t="s">
        <v>819</v>
      </c>
      <c r="D205" s="55" t="s">
        <v>1198</v>
      </c>
      <c r="E205" s="55" t="s">
        <v>1202</v>
      </c>
      <c r="F205" s="29"/>
      <c r="G205" s="27" t="s">
        <v>1280</v>
      </c>
      <c r="H205" s="35" t="s">
        <v>1285</v>
      </c>
      <c r="I205" s="77" t="s">
        <v>1762</v>
      </c>
      <c r="J205" s="29"/>
      <c r="K205" s="29"/>
      <c r="L205" s="29"/>
      <c r="M205" s="35"/>
      <c r="N205" s="27">
        <v>1</v>
      </c>
      <c r="O205" s="27" t="s">
        <v>1050</v>
      </c>
      <c r="P205" s="28">
        <v>8820</v>
      </c>
      <c r="Q205" s="121" t="s">
        <v>1913</v>
      </c>
    </row>
    <row r="206" spans="1:18" ht="13.5" customHeight="1">
      <c r="A206" s="35" t="s">
        <v>614</v>
      </c>
      <c r="B206" s="35" t="s">
        <v>1200</v>
      </c>
      <c r="C206" s="60" t="s">
        <v>820</v>
      </c>
      <c r="D206" s="55" t="s">
        <v>1198</v>
      </c>
      <c r="E206" s="55" t="s">
        <v>1203</v>
      </c>
      <c r="F206" s="29"/>
      <c r="G206" s="27" t="s">
        <v>1280</v>
      </c>
      <c r="H206" s="35" t="s">
        <v>1285</v>
      </c>
      <c r="I206" s="77" t="s">
        <v>1762</v>
      </c>
      <c r="J206" s="29"/>
      <c r="K206" s="29"/>
      <c r="L206" s="29"/>
      <c r="M206" s="35"/>
      <c r="N206" s="27">
        <v>1</v>
      </c>
      <c r="O206" s="27" t="s">
        <v>1050</v>
      </c>
      <c r="P206" s="28">
        <v>10540</v>
      </c>
      <c r="Q206" s="99"/>
    </row>
    <row r="207" spans="1:18" ht="13.5" customHeight="1">
      <c r="A207" s="35" t="s">
        <v>641</v>
      </c>
      <c r="B207" s="35" t="s">
        <v>1200</v>
      </c>
      <c r="C207" s="60" t="s">
        <v>847</v>
      </c>
      <c r="D207" s="55" t="s">
        <v>1213</v>
      </c>
      <c r="E207" s="55" t="s">
        <v>1018</v>
      </c>
      <c r="F207" s="29"/>
      <c r="G207" s="27" t="s">
        <v>1280</v>
      </c>
      <c r="H207" s="35" t="s">
        <v>1285</v>
      </c>
      <c r="I207" s="77" t="s">
        <v>1762</v>
      </c>
      <c r="J207" s="29"/>
      <c r="K207" s="29"/>
      <c r="L207" s="29"/>
      <c r="M207" s="35"/>
      <c r="N207" s="27">
        <v>1</v>
      </c>
      <c r="O207" s="27" t="s">
        <v>1050</v>
      </c>
      <c r="P207" s="28">
        <v>10540</v>
      </c>
      <c r="Q207" s="99"/>
    </row>
    <row r="208" spans="1:18" ht="13.5" customHeight="1">
      <c r="A208" s="35" t="s">
        <v>642</v>
      </c>
      <c r="B208" s="35" t="s">
        <v>1200</v>
      </c>
      <c r="C208" s="60" t="s">
        <v>848</v>
      </c>
      <c r="D208" s="55" t="s">
        <v>1213</v>
      </c>
      <c r="E208" s="55" t="s">
        <v>1018</v>
      </c>
      <c r="F208" s="29"/>
      <c r="G208" s="27" t="s">
        <v>1280</v>
      </c>
      <c r="H208" s="35" t="s">
        <v>1285</v>
      </c>
      <c r="I208" s="77" t="s">
        <v>1762</v>
      </c>
      <c r="J208" s="29"/>
      <c r="K208" s="29"/>
      <c r="L208" s="29"/>
      <c r="M208" s="35"/>
      <c r="N208" s="27">
        <v>1</v>
      </c>
      <c r="O208" s="27" t="s">
        <v>1050</v>
      </c>
      <c r="P208" s="28">
        <v>8820</v>
      </c>
      <c r="Q208" s="29"/>
      <c r="R208"/>
    </row>
    <row r="209" spans="1:17" ht="13.5" customHeight="1">
      <c r="A209" s="35" t="s">
        <v>676</v>
      </c>
      <c r="B209" s="35" t="s">
        <v>1200</v>
      </c>
      <c r="C209" s="60" t="s">
        <v>882</v>
      </c>
      <c r="D209" s="55" t="s">
        <v>1214</v>
      </c>
      <c r="E209" s="56" t="s">
        <v>1216</v>
      </c>
      <c r="F209" s="29"/>
      <c r="G209" s="27" t="s">
        <v>1280</v>
      </c>
      <c r="H209" s="35" t="s">
        <v>1285</v>
      </c>
      <c r="I209" s="76" t="s">
        <v>1762</v>
      </c>
      <c r="J209" s="29"/>
      <c r="K209" s="29"/>
      <c r="L209" s="29"/>
      <c r="M209" s="35"/>
      <c r="N209" s="27">
        <v>1</v>
      </c>
      <c r="O209" s="27" t="s">
        <v>1050</v>
      </c>
      <c r="P209" s="28">
        <v>8820</v>
      </c>
      <c r="Q209" s="99"/>
    </row>
    <row r="210" spans="1:17" ht="13.5" customHeight="1">
      <c r="A210" s="35" t="s">
        <v>654</v>
      </c>
      <c r="B210" s="35" t="s">
        <v>1200</v>
      </c>
      <c r="C210" s="60" t="s">
        <v>860</v>
      </c>
      <c r="D210" s="55" t="s">
        <v>1213</v>
      </c>
      <c r="E210" s="55" t="s">
        <v>1021</v>
      </c>
      <c r="F210" s="29"/>
      <c r="G210" s="27" t="s">
        <v>1280</v>
      </c>
      <c r="H210" s="35" t="s">
        <v>1285</v>
      </c>
      <c r="I210" s="77" t="s">
        <v>1785</v>
      </c>
      <c r="J210" s="29"/>
      <c r="K210" s="29"/>
      <c r="L210" s="29"/>
      <c r="M210" s="35"/>
      <c r="N210" s="31"/>
      <c r="O210" s="31"/>
      <c r="P210" s="31"/>
      <c r="Q210" s="105"/>
    </row>
    <row r="211" spans="1:17" ht="13.5" customHeight="1">
      <c r="A211" s="35" t="s">
        <v>655</v>
      </c>
      <c r="B211" s="35" t="s">
        <v>1200</v>
      </c>
      <c r="C211" s="60" t="s">
        <v>861</v>
      </c>
      <c r="D211" s="55" t="s">
        <v>1213</v>
      </c>
      <c r="E211" s="55" t="s">
        <v>1021</v>
      </c>
      <c r="F211" s="29"/>
      <c r="G211" s="27" t="s">
        <v>1280</v>
      </c>
      <c r="H211" s="35" t="s">
        <v>1285</v>
      </c>
      <c r="I211" s="77" t="s">
        <v>1786</v>
      </c>
      <c r="J211" s="29"/>
      <c r="K211" s="29"/>
      <c r="L211" s="29"/>
      <c r="M211" s="35"/>
      <c r="N211" s="75">
        <v>1</v>
      </c>
      <c r="O211" s="27" t="s">
        <v>1050</v>
      </c>
      <c r="P211" s="28">
        <v>40000</v>
      </c>
      <c r="Q211" s="104"/>
    </row>
    <row r="212" spans="1:17" ht="13.5" customHeight="1">
      <c r="A212" s="35" t="s">
        <v>656</v>
      </c>
      <c r="B212" s="35" t="s">
        <v>1200</v>
      </c>
      <c r="C212" s="60" t="s">
        <v>862</v>
      </c>
      <c r="D212" s="55" t="s">
        <v>1213</v>
      </c>
      <c r="E212" s="55" t="s">
        <v>1021</v>
      </c>
      <c r="F212" s="29"/>
      <c r="G212" s="27" t="s">
        <v>1280</v>
      </c>
      <c r="H212" s="35" t="s">
        <v>1285</v>
      </c>
      <c r="I212" s="77"/>
      <c r="J212" s="29"/>
      <c r="K212" s="29"/>
      <c r="L212" s="29"/>
      <c r="M212" s="35"/>
      <c r="N212" s="31"/>
      <c r="O212" s="31"/>
      <c r="P212" s="31"/>
      <c r="Q212" s="105"/>
    </row>
  </sheetData>
  <autoFilter ref="A6:M212" xr:uid="{00000000-0009-0000-0000-000002000000}">
    <sortState xmlns:xlrd2="http://schemas.microsoft.com/office/spreadsheetml/2017/richdata2" ref="A182:M733">
      <sortCondition ref="I6:I734"/>
    </sortState>
  </autoFilter>
  <mergeCells count="8">
    <mergeCell ref="C3:F4"/>
    <mergeCell ref="I3:M3"/>
    <mergeCell ref="I4:M4"/>
    <mergeCell ref="C1:F2"/>
    <mergeCell ref="G1:H1"/>
    <mergeCell ref="J1:M1"/>
    <mergeCell ref="G2:H2"/>
    <mergeCell ref="J2:M2"/>
  </mergeCells>
  <phoneticPr fontId="22" type="noConversion"/>
  <conditionalFormatting sqref="B1:B1048576">
    <cfRule type="containsText" dxfId="0" priority="55" operator="containsText" text="가공">
      <formula>NOT(ISERROR(SEARCH("가공",B1)))</formula>
    </cfRule>
  </conditionalFormatting>
  <printOptions horizontalCentered="1"/>
  <pageMargins left="0.23622047244094491" right="0.15748031496062992" top="0.70866141732283472" bottom="0.59055118110236227" header="0.51181102362204722" footer="0.27559055118110237"/>
  <pageSetup paperSize="9" scale="57" orientation="portrait" r:id="rId1"/>
  <headerFooter alignWithMargins="0"/>
  <rowBreaks count="2" manualBreakCount="2">
    <brk id="57" max="12" man="1"/>
    <brk id="122" max="12" man="1"/>
  </rowBreaks>
  <colBreaks count="1" manualBreakCount="1">
    <brk id="13" max="76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showGridLines="0" workbookViewId="0">
      <selection activeCell="D24" sqref="D24:D25"/>
    </sheetView>
  </sheetViews>
  <sheetFormatPr defaultRowHeight="14.4"/>
  <cols>
    <col min="1" max="1" width="5.796875" customWidth="1"/>
    <col min="2" max="2" width="6.69921875" hidden="1" customWidth="1"/>
    <col min="4" max="4" width="18.796875" bestFit="1" customWidth="1"/>
    <col min="5" max="5" width="11.19921875" bestFit="1" customWidth="1"/>
  </cols>
  <sheetData>
    <row r="1" spans="1:9" ht="26.4">
      <c r="A1" s="225" t="s">
        <v>1031</v>
      </c>
      <c r="B1" s="63"/>
      <c r="C1" s="17" t="s">
        <v>10</v>
      </c>
      <c r="D1" s="18" t="s">
        <v>1279</v>
      </c>
      <c r="E1" s="19" t="s">
        <v>11</v>
      </c>
      <c r="F1" s="18" t="s">
        <v>12</v>
      </c>
      <c r="G1" s="18" t="s">
        <v>13</v>
      </c>
      <c r="H1" s="18" t="s">
        <v>14</v>
      </c>
      <c r="I1" s="20" t="s">
        <v>15</v>
      </c>
    </row>
    <row r="2" spans="1:9">
      <c r="A2" s="226"/>
      <c r="B2" s="64" t="s">
        <v>1276</v>
      </c>
      <c r="C2" s="22" t="s">
        <v>1035</v>
      </c>
      <c r="D2" s="22" t="s">
        <v>1036</v>
      </c>
      <c r="E2" s="23" t="s">
        <v>1037</v>
      </c>
      <c r="F2" s="22" t="s">
        <v>1038</v>
      </c>
      <c r="G2" s="22" t="s">
        <v>1039</v>
      </c>
      <c r="H2" s="22" t="s">
        <v>1040</v>
      </c>
      <c r="I2" s="24" t="s">
        <v>1041</v>
      </c>
    </row>
    <row r="3" spans="1:9">
      <c r="A3" s="33" t="s">
        <v>216</v>
      </c>
      <c r="B3" s="35" t="s">
        <v>1152</v>
      </c>
      <c r="C3" s="42" t="s">
        <v>1898</v>
      </c>
      <c r="D3" s="36" t="s">
        <v>1162</v>
      </c>
      <c r="E3" s="36" t="s">
        <v>218</v>
      </c>
      <c r="F3" s="31" t="s">
        <v>194</v>
      </c>
      <c r="G3" s="80" t="s">
        <v>195</v>
      </c>
      <c r="H3" s="77" t="s">
        <v>1868</v>
      </c>
      <c r="I3" s="77" t="s">
        <v>1869</v>
      </c>
    </row>
    <row r="4" spans="1:9" ht="15.6">
      <c r="A4" s="33" t="s">
        <v>1459</v>
      </c>
      <c r="B4" s="35" t="s">
        <v>1152</v>
      </c>
      <c r="C4" s="42" t="s">
        <v>1474</v>
      </c>
      <c r="D4" s="42" t="s">
        <v>1465</v>
      </c>
      <c r="E4" s="36" t="s">
        <v>193</v>
      </c>
      <c r="F4" s="31" t="s">
        <v>194</v>
      </c>
      <c r="G4" s="94" t="s">
        <v>1158</v>
      </c>
      <c r="H4" s="77" t="s">
        <v>1868</v>
      </c>
      <c r="I4" s="77" t="s">
        <v>1869</v>
      </c>
    </row>
    <row r="5" spans="1:9" ht="15.6">
      <c r="A5" s="33" t="s">
        <v>1871</v>
      </c>
      <c r="B5" s="35" t="s">
        <v>1152</v>
      </c>
      <c r="C5" s="42" t="s">
        <v>1870</v>
      </c>
      <c r="D5" s="42" t="s">
        <v>1872</v>
      </c>
      <c r="E5" s="36" t="s">
        <v>1873</v>
      </c>
      <c r="F5" s="31" t="s">
        <v>1874</v>
      </c>
      <c r="G5" s="115" t="s">
        <v>1158</v>
      </c>
      <c r="H5" s="77" t="s">
        <v>1868</v>
      </c>
      <c r="I5" s="77" t="s">
        <v>1869</v>
      </c>
    </row>
    <row r="6" spans="1:9">
      <c r="A6" s="33" t="s">
        <v>227</v>
      </c>
      <c r="B6" s="35" t="s">
        <v>1152</v>
      </c>
      <c r="C6" s="42" t="s">
        <v>228</v>
      </c>
      <c r="D6" s="36" t="s">
        <v>1166</v>
      </c>
      <c r="E6" s="36" t="s">
        <v>218</v>
      </c>
      <c r="F6" s="31" t="s">
        <v>194</v>
      </c>
      <c r="G6" s="80" t="s">
        <v>195</v>
      </c>
      <c r="H6" s="77" t="s">
        <v>1868</v>
      </c>
      <c r="I6" s="77" t="s">
        <v>1869</v>
      </c>
    </row>
    <row r="7" spans="1:9">
      <c r="A7" s="33" t="s">
        <v>225</v>
      </c>
      <c r="B7" s="35" t="s">
        <v>1152</v>
      </c>
      <c r="C7" s="42" t="s">
        <v>226</v>
      </c>
      <c r="D7" s="36" t="s">
        <v>1165</v>
      </c>
      <c r="E7" s="36" t="s">
        <v>221</v>
      </c>
      <c r="F7" s="31" t="s">
        <v>194</v>
      </c>
      <c r="G7" s="80" t="s">
        <v>195</v>
      </c>
      <c r="H7" s="77" t="s">
        <v>1868</v>
      </c>
      <c r="I7" s="77" t="s">
        <v>1869</v>
      </c>
    </row>
    <row r="8" spans="1:9">
      <c r="A8" s="33" t="s">
        <v>223</v>
      </c>
      <c r="B8" s="35" t="s">
        <v>1152</v>
      </c>
      <c r="C8" s="42" t="s">
        <v>224</v>
      </c>
      <c r="D8" s="36" t="s">
        <v>1164</v>
      </c>
      <c r="E8" s="36" t="s">
        <v>221</v>
      </c>
      <c r="F8" s="31" t="s">
        <v>194</v>
      </c>
      <c r="G8" s="80" t="s">
        <v>195</v>
      </c>
      <c r="H8" s="77" t="s">
        <v>1868</v>
      </c>
      <c r="I8" s="77" t="s">
        <v>1869</v>
      </c>
    </row>
    <row r="9" spans="1:9">
      <c r="A9" s="33" t="s">
        <v>204</v>
      </c>
      <c r="B9" s="35" t="s">
        <v>1152</v>
      </c>
      <c r="C9" s="42" t="s">
        <v>205</v>
      </c>
      <c r="D9" s="36" t="s">
        <v>206</v>
      </c>
      <c r="E9" s="36" t="s">
        <v>193</v>
      </c>
      <c r="F9" s="31" t="s">
        <v>194</v>
      </c>
      <c r="G9" s="80" t="s">
        <v>195</v>
      </c>
      <c r="H9" s="77" t="s">
        <v>1868</v>
      </c>
      <c r="I9" s="77" t="s">
        <v>1869</v>
      </c>
    </row>
    <row r="10" spans="1:9">
      <c r="A10" s="37" t="s">
        <v>207</v>
      </c>
      <c r="B10" s="35" t="s">
        <v>1152</v>
      </c>
      <c r="C10" s="57" t="s">
        <v>208</v>
      </c>
      <c r="D10" s="38" t="s">
        <v>1157</v>
      </c>
      <c r="E10" s="38" t="s">
        <v>209</v>
      </c>
      <c r="F10" s="31" t="s">
        <v>194</v>
      </c>
      <c r="G10" s="79" t="s">
        <v>1158</v>
      </c>
      <c r="H10" s="77" t="s">
        <v>1868</v>
      </c>
      <c r="I10" s="77" t="s">
        <v>1869</v>
      </c>
    </row>
    <row r="11" spans="1:9">
      <c r="A11" s="37" t="s">
        <v>210</v>
      </c>
      <c r="B11" s="35" t="s">
        <v>1152</v>
      </c>
      <c r="C11" s="57" t="s">
        <v>211</v>
      </c>
      <c r="D11" s="38" t="s">
        <v>1160</v>
      </c>
      <c r="E11" s="38" t="s">
        <v>212</v>
      </c>
      <c r="F11" s="31" t="s">
        <v>194</v>
      </c>
      <c r="G11" s="79" t="s">
        <v>1158</v>
      </c>
      <c r="H11" s="77" t="s">
        <v>1868</v>
      </c>
      <c r="I11" s="77" t="s">
        <v>1869</v>
      </c>
    </row>
    <row r="12" spans="1:9">
      <c r="A12" s="37" t="s">
        <v>213</v>
      </c>
      <c r="B12" s="35" t="s">
        <v>1152</v>
      </c>
      <c r="C12" s="57" t="s">
        <v>214</v>
      </c>
      <c r="D12" s="38" t="s">
        <v>1161</v>
      </c>
      <c r="E12" s="38" t="s">
        <v>215</v>
      </c>
      <c r="F12" s="31" t="s">
        <v>194</v>
      </c>
      <c r="G12" s="79" t="s">
        <v>1158</v>
      </c>
      <c r="H12" s="77" t="s">
        <v>1868</v>
      </c>
      <c r="I12" s="77" t="s">
        <v>1869</v>
      </c>
    </row>
  </sheetData>
  <mergeCells count="1">
    <mergeCell ref="A1:A2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R263"/>
  <sheetViews>
    <sheetView zoomScaleNormal="100" zoomScaleSheetLayoutView="115" workbookViewId="0">
      <pane ySplit="6" topLeftCell="A37" activePane="bottomLeft" state="frozen"/>
      <selection activeCell="D24" sqref="D24:D25"/>
      <selection pane="bottomLeft" activeCell="D24" sqref="D24:D25"/>
    </sheetView>
  </sheetViews>
  <sheetFormatPr defaultRowHeight="14.4"/>
  <cols>
    <col min="1" max="1" width="6.09765625" bestFit="1" customWidth="1"/>
    <col min="2" max="2" width="6.09765625" customWidth="1"/>
    <col min="3" max="3" width="6.59765625" bestFit="1" customWidth="1"/>
    <col min="4" max="4" width="19.69921875" style="1" bestFit="1" customWidth="1"/>
    <col min="5" max="5" width="26.3984375" style="1" bestFit="1" customWidth="1"/>
    <col min="6" max="6" width="19.59765625" bestFit="1" customWidth="1"/>
    <col min="7" max="7" width="12.69921875" bestFit="1" customWidth="1"/>
    <col min="8" max="8" width="12.19921875" customWidth="1"/>
    <col min="9" max="10" width="7.796875" customWidth="1"/>
    <col min="11" max="11" width="12.3984375" bestFit="1" customWidth="1"/>
    <col min="12" max="13" width="12.3984375" customWidth="1"/>
    <col min="14" max="14" width="6.19921875" customWidth="1"/>
    <col min="15" max="15" width="9.8984375" style="7" bestFit="1" customWidth="1"/>
    <col min="16" max="16" width="6.3984375" style="7" bestFit="1" customWidth="1"/>
    <col min="17" max="17" width="10.09765625" style="8" bestFit="1" customWidth="1"/>
  </cols>
  <sheetData>
    <row r="1" spans="1:18" ht="17.399999999999999">
      <c r="A1" s="95"/>
      <c r="B1" s="95"/>
      <c r="C1" s="211" t="s">
        <v>1032</v>
      </c>
      <c r="D1" s="211"/>
      <c r="E1" s="211"/>
      <c r="F1" s="211"/>
      <c r="G1" s="211"/>
      <c r="H1" s="207" t="s">
        <v>2</v>
      </c>
      <c r="I1" s="208"/>
      <c r="J1" s="11" t="s">
        <v>3</v>
      </c>
      <c r="K1" s="214" t="s">
        <v>4</v>
      </c>
      <c r="L1" s="223"/>
      <c r="M1" s="223"/>
      <c r="N1" s="215"/>
      <c r="O1" s="12"/>
      <c r="P1" s="12"/>
      <c r="Q1" s="13"/>
      <c r="R1" s="9"/>
    </row>
    <row r="2" spans="1:18" ht="17.399999999999999">
      <c r="A2" s="95"/>
      <c r="B2" s="95"/>
      <c r="C2" s="212"/>
      <c r="D2" s="212"/>
      <c r="E2" s="212"/>
      <c r="F2" s="212"/>
      <c r="G2" s="212"/>
      <c r="H2" s="209" t="s">
        <v>1033</v>
      </c>
      <c r="I2" s="210"/>
      <c r="J2" s="62">
        <f ca="1">TODAY()</f>
        <v>46127</v>
      </c>
      <c r="K2" s="216" t="s">
        <v>5</v>
      </c>
      <c r="L2" s="224"/>
      <c r="M2" s="224"/>
      <c r="N2" s="217"/>
      <c r="O2" s="12"/>
      <c r="P2" s="12"/>
      <c r="Q2" s="13"/>
      <c r="R2" s="9"/>
    </row>
    <row r="3" spans="1:18" ht="17.399999999999999">
      <c r="A3" s="95"/>
      <c r="B3" s="95"/>
      <c r="C3" s="213" t="s">
        <v>6</v>
      </c>
      <c r="D3" s="213"/>
      <c r="E3" s="213"/>
      <c r="F3" s="213"/>
      <c r="G3" s="213"/>
      <c r="H3" s="10" t="s">
        <v>7</v>
      </c>
      <c r="I3" s="14"/>
      <c r="J3" s="218" t="s">
        <v>8</v>
      </c>
      <c r="K3" s="219"/>
      <c r="L3" s="219"/>
      <c r="M3" s="219"/>
      <c r="N3" s="220"/>
      <c r="O3" s="12"/>
      <c r="P3" s="12"/>
      <c r="Q3" s="13"/>
      <c r="R3" s="9"/>
    </row>
    <row r="4" spans="1:18" ht="17.399999999999999">
      <c r="A4" s="95"/>
      <c r="B4" s="95"/>
      <c r="C4" s="227"/>
      <c r="D4" s="227"/>
      <c r="E4" s="227"/>
      <c r="F4" s="227"/>
      <c r="G4" s="227"/>
      <c r="H4" s="15" t="s">
        <v>1328</v>
      </c>
      <c r="I4" s="16"/>
      <c r="J4" s="228" t="s">
        <v>1875</v>
      </c>
      <c r="K4" s="205"/>
      <c r="L4" s="205"/>
      <c r="M4" s="205"/>
      <c r="N4" s="229"/>
      <c r="O4" s="12"/>
      <c r="P4" s="12"/>
      <c r="Q4" s="13"/>
      <c r="R4" s="9"/>
    </row>
    <row r="5" spans="1:18" ht="15" customHeight="1">
      <c r="A5" s="95"/>
      <c r="B5" s="95"/>
      <c r="C5" s="18" t="s">
        <v>9</v>
      </c>
      <c r="D5" s="17" t="s">
        <v>10</v>
      </c>
      <c r="E5" s="18" t="s">
        <v>1279</v>
      </c>
      <c r="F5" s="19" t="s">
        <v>11</v>
      </c>
      <c r="G5" s="18" t="s">
        <v>12</v>
      </c>
      <c r="H5" s="18" t="s">
        <v>13</v>
      </c>
      <c r="I5" s="18" t="s">
        <v>14</v>
      </c>
      <c r="J5" s="20" t="s">
        <v>15</v>
      </c>
      <c r="K5" s="20" t="s">
        <v>16</v>
      </c>
      <c r="L5" s="18" t="s">
        <v>14</v>
      </c>
      <c r="M5" s="18"/>
      <c r="N5" s="21" t="s">
        <v>17</v>
      </c>
      <c r="O5" s="69" t="s">
        <v>1278</v>
      </c>
      <c r="P5" s="69" t="s">
        <v>1277</v>
      </c>
      <c r="Q5" s="69" t="s">
        <v>1034</v>
      </c>
      <c r="R5" s="70"/>
    </row>
    <row r="6" spans="1:18">
      <c r="A6" s="96" t="s">
        <v>1031</v>
      </c>
      <c r="B6" s="96" t="s">
        <v>1276</v>
      </c>
      <c r="C6" s="73" t="s">
        <v>1294</v>
      </c>
      <c r="D6" s="22" t="s">
        <v>1035</v>
      </c>
      <c r="E6" s="22" t="s">
        <v>1036</v>
      </c>
      <c r="F6" s="23" t="s">
        <v>1037</v>
      </c>
      <c r="G6" s="22" t="s">
        <v>1038</v>
      </c>
      <c r="H6" s="22" t="s">
        <v>1039</v>
      </c>
      <c r="I6" s="22" t="s">
        <v>1040</v>
      </c>
      <c r="J6" s="24" t="s">
        <v>1041</v>
      </c>
      <c r="K6" s="24" t="s">
        <v>1042</v>
      </c>
      <c r="L6" s="24" t="s">
        <v>1330</v>
      </c>
      <c r="M6" s="24" t="s">
        <v>1331</v>
      </c>
      <c r="N6" s="22" t="s">
        <v>1043</v>
      </c>
      <c r="O6" s="71" t="s">
        <v>1044</v>
      </c>
      <c r="P6" s="71" t="s">
        <v>1045</v>
      </c>
      <c r="Q6" s="71" t="s">
        <v>1046</v>
      </c>
      <c r="R6" s="72" t="s">
        <v>1047</v>
      </c>
    </row>
    <row r="7" spans="1:18" s="3" customFormat="1" ht="13.5" hidden="1" customHeight="1">
      <c r="A7" s="25">
        <v>22</v>
      </c>
      <c r="B7" s="25" t="s">
        <v>1049</v>
      </c>
      <c r="C7" s="25">
        <v>22</v>
      </c>
      <c r="D7" s="59" t="s">
        <v>105</v>
      </c>
      <c r="E7" s="51" t="s">
        <v>1062</v>
      </c>
      <c r="F7" s="51" t="s">
        <v>1059</v>
      </c>
      <c r="G7" s="25" t="s">
        <v>94</v>
      </c>
      <c r="H7" s="25" t="s">
        <v>0</v>
      </c>
      <c r="I7" s="67" t="s">
        <v>154</v>
      </c>
      <c r="J7" s="74" t="s">
        <v>155</v>
      </c>
      <c r="K7" s="26" t="s">
        <v>1048</v>
      </c>
      <c r="L7" s="26"/>
      <c r="M7" s="26"/>
      <c r="N7" s="35" t="s">
        <v>1761</v>
      </c>
      <c r="O7" s="27">
        <v>1</v>
      </c>
      <c r="P7" s="27" t="s">
        <v>1050</v>
      </c>
      <c r="Q7" s="28">
        <v>13230</v>
      </c>
      <c r="R7" s="29"/>
    </row>
    <row r="8" spans="1:18" s="2" customFormat="1" ht="13.5" hidden="1" customHeight="1">
      <c r="A8" s="25">
        <v>24</v>
      </c>
      <c r="B8" s="25" t="s">
        <v>1049</v>
      </c>
      <c r="C8" s="25">
        <v>24</v>
      </c>
      <c r="D8" s="42" t="s">
        <v>107</v>
      </c>
      <c r="E8" s="51" t="s">
        <v>1062</v>
      </c>
      <c r="F8" s="51" t="s">
        <v>1059</v>
      </c>
      <c r="G8" s="25" t="s">
        <v>94</v>
      </c>
      <c r="H8" s="25" t="s">
        <v>39</v>
      </c>
      <c r="I8" s="67" t="s">
        <v>154</v>
      </c>
      <c r="J8" s="74" t="s">
        <v>1298</v>
      </c>
      <c r="K8" s="26" t="s">
        <v>1048</v>
      </c>
      <c r="L8" s="26"/>
      <c r="M8" s="26"/>
      <c r="N8" s="35" t="s">
        <v>1856</v>
      </c>
      <c r="O8" s="27">
        <v>1</v>
      </c>
      <c r="P8" s="27" t="s">
        <v>1050</v>
      </c>
      <c r="Q8" s="28">
        <v>13230</v>
      </c>
      <c r="R8" s="29"/>
    </row>
    <row r="9" spans="1:18" s="2" customFormat="1" ht="13.5" hidden="1" customHeight="1">
      <c r="A9" s="25">
        <v>25</v>
      </c>
      <c r="B9" s="25" t="s">
        <v>1049</v>
      </c>
      <c r="C9" s="25">
        <v>25</v>
      </c>
      <c r="D9" s="42" t="s">
        <v>108</v>
      </c>
      <c r="E9" s="51" t="s">
        <v>1062</v>
      </c>
      <c r="F9" s="51" t="s">
        <v>1059</v>
      </c>
      <c r="G9" s="32" t="s">
        <v>94</v>
      </c>
      <c r="H9" s="32" t="s">
        <v>0</v>
      </c>
      <c r="I9" s="68" t="s">
        <v>154</v>
      </c>
      <c r="J9" s="74" t="s">
        <v>155</v>
      </c>
      <c r="K9" s="34" t="s">
        <v>1067</v>
      </c>
      <c r="L9" s="34"/>
      <c r="M9" s="34"/>
      <c r="N9" s="35" t="s">
        <v>1761</v>
      </c>
      <c r="O9" s="27">
        <v>1</v>
      </c>
      <c r="P9" s="27" t="s">
        <v>1050</v>
      </c>
      <c r="Q9" s="28">
        <v>13230</v>
      </c>
      <c r="R9" s="29"/>
    </row>
    <row r="10" spans="1:18" s="2" customFormat="1" ht="13.5" hidden="1" customHeight="1">
      <c r="A10" s="25">
        <v>37</v>
      </c>
      <c r="B10" s="25" t="s">
        <v>1049</v>
      </c>
      <c r="C10" s="25">
        <v>37</v>
      </c>
      <c r="D10" s="42">
        <v>5688967</v>
      </c>
      <c r="E10" s="52" t="s">
        <v>1074</v>
      </c>
      <c r="F10" s="51" t="s">
        <v>1073</v>
      </c>
      <c r="G10" s="32" t="s">
        <v>94</v>
      </c>
      <c r="H10" s="32" t="s">
        <v>0</v>
      </c>
      <c r="I10" s="68" t="s">
        <v>154</v>
      </c>
      <c r="J10" s="74" t="s">
        <v>155</v>
      </c>
      <c r="K10" s="34" t="s">
        <v>1055</v>
      </c>
      <c r="L10" s="34"/>
      <c r="M10" s="34"/>
      <c r="N10" s="35" t="s">
        <v>1761</v>
      </c>
      <c r="O10" s="27">
        <v>1</v>
      </c>
      <c r="P10" s="27" t="s">
        <v>1050</v>
      </c>
      <c r="Q10" s="28">
        <v>8820</v>
      </c>
      <c r="R10" s="29"/>
    </row>
    <row r="11" spans="1:18" s="6" customFormat="1" ht="13.5" hidden="1" customHeight="1">
      <c r="A11" s="25">
        <v>55</v>
      </c>
      <c r="B11" s="25" t="s">
        <v>1049</v>
      </c>
      <c r="C11" s="25">
        <v>55</v>
      </c>
      <c r="D11" s="50">
        <v>16019560</v>
      </c>
      <c r="E11" s="52" t="s">
        <v>1078</v>
      </c>
      <c r="F11" s="51" t="s">
        <v>1073</v>
      </c>
      <c r="G11" s="32" t="s">
        <v>93</v>
      </c>
      <c r="H11" s="32" t="s">
        <v>0</v>
      </c>
      <c r="I11" s="68" t="s">
        <v>154</v>
      </c>
      <c r="J11" s="74" t="s">
        <v>155</v>
      </c>
      <c r="K11" s="34" t="s">
        <v>130</v>
      </c>
      <c r="L11" s="34"/>
      <c r="M11" s="34"/>
      <c r="N11" s="35" t="s">
        <v>1761</v>
      </c>
      <c r="O11" s="27">
        <v>1</v>
      </c>
      <c r="P11" s="27" t="s">
        <v>1050</v>
      </c>
      <c r="Q11" s="28">
        <v>8820</v>
      </c>
      <c r="R11" s="29"/>
    </row>
    <row r="12" spans="1:18" s="6" customFormat="1" ht="13.5" hidden="1" customHeight="1">
      <c r="A12" s="25">
        <v>63</v>
      </c>
      <c r="B12" s="25" t="s">
        <v>1049</v>
      </c>
      <c r="C12" s="25">
        <v>63</v>
      </c>
      <c r="D12" s="38" t="s">
        <v>115</v>
      </c>
      <c r="E12" s="30" t="s">
        <v>1272</v>
      </c>
      <c r="F12" s="30" t="s">
        <v>1081</v>
      </c>
      <c r="G12" s="25" t="s">
        <v>78</v>
      </c>
      <c r="H12" s="25" t="s">
        <v>0</v>
      </c>
      <c r="I12" s="67" t="s">
        <v>154</v>
      </c>
      <c r="J12" s="74" t="s">
        <v>155</v>
      </c>
      <c r="K12" s="26" t="s">
        <v>1048</v>
      </c>
      <c r="L12" s="26"/>
      <c r="M12" s="26"/>
      <c r="N12" s="35" t="s">
        <v>1856</v>
      </c>
      <c r="O12" s="27">
        <v>1</v>
      </c>
      <c r="P12" s="27" t="s">
        <v>1050</v>
      </c>
      <c r="Q12" s="28">
        <v>25580</v>
      </c>
      <c r="R12" s="29"/>
    </row>
    <row r="13" spans="1:18" s="2" customFormat="1" ht="13.5" hidden="1" customHeight="1">
      <c r="A13" s="33" t="s">
        <v>219</v>
      </c>
      <c r="B13" s="35" t="s">
        <v>1152</v>
      </c>
      <c r="C13" s="25">
        <v>195</v>
      </c>
      <c r="D13" s="91" t="s">
        <v>220</v>
      </c>
      <c r="E13" s="91" t="s">
        <v>1163</v>
      </c>
      <c r="F13" s="91" t="s">
        <v>215</v>
      </c>
      <c r="G13" s="90" t="s">
        <v>194</v>
      </c>
      <c r="H13" s="90" t="s">
        <v>1158</v>
      </c>
      <c r="I13" s="90" t="s">
        <v>1450</v>
      </c>
      <c r="J13" s="90" t="s">
        <v>1451</v>
      </c>
      <c r="K13" s="90" t="s">
        <v>1498</v>
      </c>
      <c r="L13" s="85" t="s">
        <v>1452</v>
      </c>
      <c r="M13" s="85" t="s">
        <v>1334</v>
      </c>
      <c r="N13" s="35" t="s">
        <v>1761</v>
      </c>
      <c r="O13" s="35" t="s">
        <v>196</v>
      </c>
      <c r="P13" s="35"/>
      <c r="Q13" s="28"/>
      <c r="R13" s="35" t="s">
        <v>1153</v>
      </c>
    </row>
    <row r="14" spans="1:18" s="2" customFormat="1" ht="13.5" hidden="1" customHeight="1">
      <c r="A14" s="31" t="s">
        <v>259</v>
      </c>
      <c r="B14" s="35" t="s">
        <v>1152</v>
      </c>
      <c r="C14" s="25">
        <v>208</v>
      </c>
      <c r="D14" s="38" t="s">
        <v>260</v>
      </c>
      <c r="E14" s="38" t="s">
        <v>1168</v>
      </c>
      <c r="F14" s="38" t="s">
        <v>240</v>
      </c>
      <c r="G14" s="31" t="s">
        <v>1169</v>
      </c>
      <c r="H14" s="31" t="s">
        <v>39</v>
      </c>
      <c r="I14" s="31" t="s">
        <v>261</v>
      </c>
      <c r="J14" s="31" t="s">
        <v>262</v>
      </c>
      <c r="K14" s="31" t="s">
        <v>201</v>
      </c>
      <c r="L14" s="31" t="s">
        <v>1425</v>
      </c>
      <c r="M14" s="31" t="s">
        <v>1406</v>
      </c>
      <c r="N14" s="35" t="s">
        <v>1761</v>
      </c>
      <c r="O14" s="35" t="s">
        <v>241</v>
      </c>
      <c r="P14" s="35" t="s">
        <v>1050</v>
      </c>
      <c r="Q14" s="28">
        <v>13240</v>
      </c>
      <c r="R14" s="40"/>
    </row>
    <row r="15" spans="1:18" s="6" customFormat="1" ht="13.5" hidden="1" customHeight="1">
      <c r="A15" s="31" t="s">
        <v>324</v>
      </c>
      <c r="B15" s="35" t="s">
        <v>1152</v>
      </c>
      <c r="C15" s="25">
        <v>232</v>
      </c>
      <c r="D15" s="91" t="s">
        <v>1493</v>
      </c>
      <c r="E15" s="91" t="s">
        <v>1494</v>
      </c>
      <c r="F15" s="91" t="s">
        <v>1495</v>
      </c>
      <c r="G15" s="90" t="s">
        <v>1496</v>
      </c>
      <c r="H15" s="90" t="s">
        <v>1497</v>
      </c>
      <c r="I15" s="90" t="s">
        <v>302</v>
      </c>
      <c r="J15" s="90" t="s">
        <v>1499</v>
      </c>
      <c r="K15" s="90" t="s">
        <v>1170</v>
      </c>
      <c r="L15" s="31"/>
      <c r="M15" s="31"/>
      <c r="N15" s="35" t="s">
        <v>1761</v>
      </c>
      <c r="O15" s="35" t="s">
        <v>196</v>
      </c>
      <c r="P15" s="35" t="s">
        <v>1119</v>
      </c>
      <c r="Q15" s="28">
        <v>18180</v>
      </c>
      <c r="R15" s="40"/>
    </row>
    <row r="16" spans="1:18" s="2" customFormat="1" ht="13.5" hidden="1" customHeight="1">
      <c r="A16" s="31" t="s">
        <v>346</v>
      </c>
      <c r="B16" s="35" t="s">
        <v>1152</v>
      </c>
      <c r="C16" s="25">
        <v>240</v>
      </c>
      <c r="D16" s="91" t="s">
        <v>1510</v>
      </c>
      <c r="E16" s="91" t="s">
        <v>1511</v>
      </c>
      <c r="F16" s="91" t="s">
        <v>1512</v>
      </c>
      <c r="G16" s="90" t="s">
        <v>1513</v>
      </c>
      <c r="H16" s="90" t="s">
        <v>1497</v>
      </c>
      <c r="I16" s="90" t="s">
        <v>302</v>
      </c>
      <c r="J16" s="90" t="s">
        <v>1499</v>
      </c>
      <c r="K16" s="90" t="s">
        <v>1170</v>
      </c>
      <c r="L16" s="31"/>
      <c r="M16" s="31"/>
      <c r="N16" s="35" t="s">
        <v>1761</v>
      </c>
      <c r="O16" s="35" t="s">
        <v>235</v>
      </c>
      <c r="P16" s="35" t="s">
        <v>1182</v>
      </c>
      <c r="Q16" s="28">
        <v>31120</v>
      </c>
      <c r="R16" s="40" t="s">
        <v>349</v>
      </c>
    </row>
    <row r="17" spans="1:18" s="2" customFormat="1" ht="13.5" hidden="1" customHeight="1">
      <c r="A17" s="31" t="s">
        <v>379</v>
      </c>
      <c r="B17" s="35" t="s">
        <v>1152</v>
      </c>
      <c r="C17" s="25">
        <v>251</v>
      </c>
      <c r="D17" s="91" t="s">
        <v>1537</v>
      </c>
      <c r="E17" s="91" t="s">
        <v>1538</v>
      </c>
      <c r="F17" s="91" t="s">
        <v>1539</v>
      </c>
      <c r="G17" s="90" t="s">
        <v>1540</v>
      </c>
      <c r="H17" s="90" t="s">
        <v>1541</v>
      </c>
      <c r="I17" s="90" t="s">
        <v>1543</v>
      </c>
      <c r="J17" s="90" t="s">
        <v>1544</v>
      </c>
      <c r="K17" s="90" t="s">
        <v>1542</v>
      </c>
      <c r="L17" s="31"/>
      <c r="M17" s="31"/>
      <c r="N17" s="35" t="s">
        <v>1761</v>
      </c>
      <c r="O17" s="35" t="s">
        <v>235</v>
      </c>
      <c r="P17" s="35" t="s">
        <v>1182</v>
      </c>
      <c r="Q17" s="28">
        <v>14370</v>
      </c>
      <c r="R17" s="40"/>
    </row>
    <row r="18" spans="1:18" s="2" customFormat="1" ht="13.5" hidden="1" customHeight="1">
      <c r="A18" s="25">
        <v>11</v>
      </c>
      <c r="B18" s="25" t="s">
        <v>1049</v>
      </c>
      <c r="C18" s="25">
        <v>11</v>
      </c>
      <c r="D18" s="50" t="s">
        <v>146</v>
      </c>
      <c r="E18" s="51" t="s">
        <v>1058</v>
      </c>
      <c r="F18" s="51" t="s">
        <v>63</v>
      </c>
      <c r="G18" s="25" t="s">
        <v>64</v>
      </c>
      <c r="H18" s="25" t="s">
        <v>0</v>
      </c>
      <c r="I18" s="67" t="s">
        <v>175</v>
      </c>
      <c r="J18" s="67" t="s">
        <v>177</v>
      </c>
      <c r="K18" s="26" t="s">
        <v>1048</v>
      </c>
      <c r="L18" s="26"/>
      <c r="M18" s="26"/>
      <c r="N18" s="35" t="s">
        <v>1761</v>
      </c>
      <c r="O18" s="27">
        <v>1</v>
      </c>
      <c r="P18" s="27" t="s">
        <v>1050</v>
      </c>
      <c r="Q18" s="28">
        <v>13230</v>
      </c>
      <c r="R18" s="29"/>
    </row>
    <row r="19" spans="1:18" s="3" customFormat="1" ht="13.5" hidden="1" customHeight="1">
      <c r="A19" s="25">
        <v>154</v>
      </c>
      <c r="B19" s="25" t="s">
        <v>1049</v>
      </c>
      <c r="C19" s="25">
        <v>154</v>
      </c>
      <c r="D19" s="50" t="s">
        <v>124</v>
      </c>
      <c r="E19" s="30" t="s">
        <v>1274</v>
      </c>
      <c r="F19" s="51" t="s">
        <v>1134</v>
      </c>
      <c r="G19" s="25" t="s">
        <v>78</v>
      </c>
      <c r="H19" s="25" t="s">
        <v>39</v>
      </c>
      <c r="I19" s="67" t="s">
        <v>176</v>
      </c>
      <c r="J19" s="67" t="s">
        <v>177</v>
      </c>
      <c r="K19" s="26" t="s">
        <v>130</v>
      </c>
      <c r="L19" s="26"/>
      <c r="M19" s="26"/>
      <c r="N19" s="35" t="s">
        <v>1761</v>
      </c>
      <c r="O19" s="27">
        <v>1</v>
      </c>
      <c r="P19" s="27" t="s">
        <v>1050</v>
      </c>
      <c r="Q19" s="28">
        <v>7100</v>
      </c>
      <c r="R19" s="29"/>
    </row>
    <row r="20" spans="1:18" s="2" customFormat="1" ht="13.5" hidden="1" customHeight="1">
      <c r="A20" s="25">
        <v>177</v>
      </c>
      <c r="B20" s="25" t="s">
        <v>1049</v>
      </c>
      <c r="C20" s="25">
        <v>177</v>
      </c>
      <c r="D20" s="39" t="s">
        <v>180</v>
      </c>
      <c r="E20" s="36" t="s">
        <v>1148</v>
      </c>
      <c r="F20" s="36" t="s">
        <v>172</v>
      </c>
      <c r="G20" s="25" t="s">
        <v>173</v>
      </c>
      <c r="H20" s="25" t="s">
        <v>1109</v>
      </c>
      <c r="I20" s="67" t="s">
        <v>174</v>
      </c>
      <c r="J20" s="67" t="s">
        <v>178</v>
      </c>
      <c r="K20" s="26" t="s">
        <v>1048</v>
      </c>
      <c r="L20" s="26"/>
      <c r="M20" s="26"/>
      <c r="N20" s="35" t="s">
        <v>1761</v>
      </c>
      <c r="O20" s="27">
        <v>7</v>
      </c>
      <c r="P20" s="27" t="s">
        <v>1119</v>
      </c>
      <c r="Q20" s="28">
        <v>19800</v>
      </c>
      <c r="R20" s="29"/>
    </row>
    <row r="21" spans="1:18" s="6" customFormat="1" ht="13.5" customHeight="1">
      <c r="A21" s="31" t="s">
        <v>1533</v>
      </c>
      <c r="B21" s="35" t="s">
        <v>1152</v>
      </c>
      <c r="C21" s="25">
        <v>557</v>
      </c>
      <c r="D21" s="38" t="s">
        <v>1534</v>
      </c>
      <c r="E21" s="38" t="s">
        <v>407</v>
      </c>
      <c r="F21" s="38" t="s">
        <v>1535</v>
      </c>
      <c r="G21" s="31" t="s">
        <v>371</v>
      </c>
      <c r="H21" s="81" t="s">
        <v>233</v>
      </c>
      <c r="I21" s="31" t="s">
        <v>1536</v>
      </c>
      <c r="J21" s="31" t="s">
        <v>1349</v>
      </c>
      <c r="K21" s="31" t="s">
        <v>1171</v>
      </c>
      <c r="L21" s="83"/>
      <c r="M21" s="83"/>
      <c r="N21" s="35"/>
      <c r="O21" s="35"/>
      <c r="P21" s="35"/>
      <c r="Q21" s="28"/>
      <c r="R21" s="40"/>
    </row>
    <row r="22" spans="1:18">
      <c r="A22" s="33" t="s">
        <v>487</v>
      </c>
      <c r="B22" s="35" t="s">
        <v>1152</v>
      </c>
      <c r="C22" s="25">
        <v>290</v>
      </c>
      <c r="D22" s="36">
        <v>260135</v>
      </c>
      <c r="E22" s="36" t="s">
        <v>1176</v>
      </c>
      <c r="F22" s="36" t="s">
        <v>1177</v>
      </c>
      <c r="G22" s="31" t="s">
        <v>267</v>
      </c>
      <c r="H22" s="27" t="s">
        <v>1190</v>
      </c>
      <c r="I22" s="76" t="s">
        <v>253</v>
      </c>
      <c r="J22" s="76" t="s">
        <v>1368</v>
      </c>
      <c r="K22" s="31" t="s">
        <v>286</v>
      </c>
      <c r="L22" s="86" t="s">
        <v>1417</v>
      </c>
      <c r="M22" s="45" t="s">
        <v>1334</v>
      </c>
      <c r="N22" s="35"/>
      <c r="O22" s="35" t="s">
        <v>196</v>
      </c>
      <c r="P22" s="35" t="s">
        <v>1119</v>
      </c>
      <c r="Q22" s="28">
        <v>83600</v>
      </c>
      <c r="R22" s="40"/>
    </row>
    <row r="23" spans="1:18">
      <c r="A23" s="33" t="s">
        <v>488</v>
      </c>
      <c r="B23" s="35" t="s">
        <v>1152</v>
      </c>
      <c r="C23" s="25">
        <v>291</v>
      </c>
      <c r="D23" s="36">
        <v>260136</v>
      </c>
      <c r="E23" s="36" t="s">
        <v>1176</v>
      </c>
      <c r="F23" s="36" t="s">
        <v>1177</v>
      </c>
      <c r="G23" s="31" t="s">
        <v>267</v>
      </c>
      <c r="H23" s="27" t="s">
        <v>1190</v>
      </c>
      <c r="I23" s="76" t="s">
        <v>253</v>
      </c>
      <c r="J23" s="76" t="s">
        <v>1368</v>
      </c>
      <c r="K23" s="31" t="s">
        <v>1754</v>
      </c>
      <c r="L23" s="86" t="s">
        <v>1422</v>
      </c>
      <c r="M23" s="45" t="s">
        <v>1334</v>
      </c>
      <c r="N23" s="35"/>
      <c r="O23" s="35" t="s">
        <v>196</v>
      </c>
      <c r="P23" s="35" t="s">
        <v>1119</v>
      </c>
      <c r="Q23" s="28">
        <v>83600</v>
      </c>
      <c r="R23" s="40"/>
    </row>
    <row r="24" spans="1:18">
      <c r="A24" s="37" t="s">
        <v>250</v>
      </c>
      <c r="B24" s="35" t="s">
        <v>1152</v>
      </c>
      <c r="C24" s="25">
        <v>206</v>
      </c>
      <c r="D24" s="38" t="s">
        <v>251</v>
      </c>
      <c r="E24" s="38" t="s">
        <v>1172</v>
      </c>
      <c r="F24" s="38" t="s">
        <v>1173</v>
      </c>
      <c r="G24" s="31" t="s">
        <v>252</v>
      </c>
      <c r="H24" s="78" t="s">
        <v>1174</v>
      </c>
      <c r="I24" s="31" t="s">
        <v>1341</v>
      </c>
      <c r="J24" s="31" t="s">
        <v>1768</v>
      </c>
      <c r="K24" s="31" t="s">
        <v>1159</v>
      </c>
      <c r="L24" s="31" t="s">
        <v>1340</v>
      </c>
      <c r="M24" s="31" t="s">
        <v>1334</v>
      </c>
      <c r="N24" s="35"/>
      <c r="O24" s="35" t="s">
        <v>196</v>
      </c>
      <c r="P24" s="35" t="s">
        <v>1119</v>
      </c>
      <c r="Q24" s="28">
        <v>22660</v>
      </c>
      <c r="R24" s="40"/>
    </row>
    <row r="25" spans="1:18">
      <c r="A25" s="37" t="s">
        <v>254</v>
      </c>
      <c r="B25" s="35" t="s">
        <v>1152</v>
      </c>
      <c r="C25" s="25">
        <v>207</v>
      </c>
      <c r="D25" s="57" t="s">
        <v>255</v>
      </c>
      <c r="E25" s="38" t="s">
        <v>256</v>
      </c>
      <c r="F25" s="38" t="s">
        <v>257</v>
      </c>
      <c r="G25" s="31" t="s">
        <v>258</v>
      </c>
      <c r="H25" s="78" t="s">
        <v>1174</v>
      </c>
      <c r="I25" s="77" t="s">
        <v>1341</v>
      </c>
      <c r="J25" s="77" t="s">
        <v>1748</v>
      </c>
      <c r="K25" s="31" t="s">
        <v>1170</v>
      </c>
      <c r="L25" s="31"/>
      <c r="M25" s="31"/>
      <c r="N25" s="35"/>
      <c r="O25" s="35" t="s">
        <v>196</v>
      </c>
      <c r="P25" s="35" t="s">
        <v>1119</v>
      </c>
      <c r="Q25" s="28">
        <v>22660</v>
      </c>
      <c r="R25" s="40"/>
    </row>
    <row r="26" spans="1:18">
      <c r="A26" s="33" t="s">
        <v>199</v>
      </c>
      <c r="B26" s="35" t="s">
        <v>1152</v>
      </c>
      <c r="C26" s="25">
        <v>188</v>
      </c>
      <c r="D26" s="42" t="s">
        <v>200</v>
      </c>
      <c r="E26" s="36" t="s">
        <v>1155</v>
      </c>
      <c r="F26" s="36" t="s">
        <v>193</v>
      </c>
      <c r="G26" s="31" t="s">
        <v>194</v>
      </c>
      <c r="H26" s="80" t="s">
        <v>195</v>
      </c>
      <c r="I26" s="76" t="s">
        <v>1370</v>
      </c>
      <c r="J26" s="76" t="s">
        <v>1757</v>
      </c>
      <c r="K26" s="31" t="s">
        <v>201</v>
      </c>
      <c r="L26" s="88" t="s">
        <v>1760</v>
      </c>
      <c r="M26" s="45" t="s">
        <v>1398</v>
      </c>
      <c r="N26" s="35"/>
      <c r="O26" s="35" t="s">
        <v>196</v>
      </c>
      <c r="P26" s="35"/>
      <c r="Q26" s="28"/>
      <c r="R26" s="35" t="s">
        <v>1153</v>
      </c>
    </row>
    <row r="27" spans="1:18">
      <c r="A27" s="33" t="s">
        <v>202</v>
      </c>
      <c r="B27" s="35" t="s">
        <v>1152</v>
      </c>
      <c r="C27" s="25">
        <v>189</v>
      </c>
      <c r="D27" s="42" t="s">
        <v>203</v>
      </c>
      <c r="E27" s="36" t="s">
        <v>1156</v>
      </c>
      <c r="F27" s="36" t="s">
        <v>193</v>
      </c>
      <c r="G27" s="31" t="s">
        <v>194</v>
      </c>
      <c r="H27" s="80" t="s">
        <v>195</v>
      </c>
      <c r="I27" s="76" t="s">
        <v>1370</v>
      </c>
      <c r="J27" s="76" t="s">
        <v>1758</v>
      </c>
      <c r="K27" s="31"/>
      <c r="L27" s="31"/>
      <c r="M27" s="31"/>
      <c r="N27" s="35"/>
      <c r="O27" s="35" t="s">
        <v>196</v>
      </c>
      <c r="P27" s="35"/>
      <c r="Q27" s="28"/>
      <c r="R27" s="35" t="s">
        <v>1153</v>
      </c>
    </row>
    <row r="28" spans="1:18">
      <c r="A28" s="33" t="s">
        <v>216</v>
      </c>
      <c r="B28" s="35" t="s">
        <v>1152</v>
      </c>
      <c r="C28" s="25">
        <v>194</v>
      </c>
      <c r="D28" s="42" t="s">
        <v>217</v>
      </c>
      <c r="E28" s="36" t="s">
        <v>1162</v>
      </c>
      <c r="F28" s="36" t="s">
        <v>218</v>
      </c>
      <c r="G28" s="31" t="s">
        <v>194</v>
      </c>
      <c r="H28" s="80" t="s">
        <v>195</v>
      </c>
      <c r="I28" s="77" t="s">
        <v>1347</v>
      </c>
      <c r="J28" s="77" t="s">
        <v>1756</v>
      </c>
      <c r="K28" s="31" t="s">
        <v>201</v>
      </c>
      <c r="L28" s="85" t="s">
        <v>1752</v>
      </c>
      <c r="M28" s="45" t="s">
        <v>1398</v>
      </c>
      <c r="N28" s="35"/>
      <c r="O28" s="35" t="s">
        <v>196</v>
      </c>
      <c r="P28" s="35"/>
      <c r="Q28" s="28"/>
      <c r="R28" s="35" t="s">
        <v>1153</v>
      </c>
    </row>
    <row r="29" spans="1:18" hidden="1">
      <c r="A29" s="37" t="s">
        <v>471</v>
      </c>
      <c r="B29" s="35" t="s">
        <v>1152</v>
      </c>
      <c r="C29" s="25">
        <v>284</v>
      </c>
      <c r="D29" s="39" t="s">
        <v>472</v>
      </c>
      <c r="E29" s="38" t="s">
        <v>1176</v>
      </c>
      <c r="F29" s="38" t="s">
        <v>1177</v>
      </c>
      <c r="G29" s="31" t="s">
        <v>267</v>
      </c>
      <c r="H29" s="31" t="s">
        <v>39</v>
      </c>
      <c r="I29" s="77" t="s">
        <v>1342</v>
      </c>
      <c r="J29" s="77" t="s">
        <v>1762</v>
      </c>
      <c r="K29" s="31" t="s">
        <v>286</v>
      </c>
      <c r="L29" s="84" t="s">
        <v>1392</v>
      </c>
      <c r="M29" s="45" t="s">
        <v>1393</v>
      </c>
      <c r="N29" s="35" t="s">
        <v>1746</v>
      </c>
      <c r="O29" s="35" t="s">
        <v>196</v>
      </c>
      <c r="P29" s="35" t="s">
        <v>1119</v>
      </c>
      <c r="Q29" s="28">
        <v>83600</v>
      </c>
      <c r="R29" s="40"/>
    </row>
    <row r="30" spans="1:18" hidden="1">
      <c r="A30" s="37" t="s">
        <v>465</v>
      </c>
      <c r="B30" s="35" t="s">
        <v>1152</v>
      </c>
      <c r="C30" s="25">
        <v>281</v>
      </c>
      <c r="D30" s="39" t="s">
        <v>466</v>
      </c>
      <c r="E30" s="38" t="s">
        <v>1176</v>
      </c>
      <c r="F30" s="38" t="s">
        <v>1177</v>
      </c>
      <c r="G30" s="31" t="s">
        <v>267</v>
      </c>
      <c r="H30" s="31" t="s">
        <v>39</v>
      </c>
      <c r="I30" s="77" t="s">
        <v>1342</v>
      </c>
      <c r="J30" s="77" t="s">
        <v>1762</v>
      </c>
      <c r="K30" s="31" t="s">
        <v>201</v>
      </c>
      <c r="L30" s="84" t="s">
        <v>1392</v>
      </c>
      <c r="M30" s="45" t="s">
        <v>1334</v>
      </c>
      <c r="N30" s="35" t="s">
        <v>1747</v>
      </c>
      <c r="O30" s="35" t="s">
        <v>196</v>
      </c>
      <c r="P30" s="35" t="s">
        <v>1119</v>
      </c>
      <c r="Q30" s="28">
        <v>83600</v>
      </c>
      <c r="R30" s="40"/>
    </row>
    <row r="31" spans="1:18" hidden="1">
      <c r="A31" s="37" t="s">
        <v>519</v>
      </c>
      <c r="B31" s="35" t="s">
        <v>1152</v>
      </c>
      <c r="C31" s="25">
        <v>302</v>
      </c>
      <c r="D31" s="38" t="s">
        <v>520</v>
      </c>
      <c r="E31" s="39" t="s">
        <v>1192</v>
      </c>
      <c r="F31" s="38" t="s">
        <v>521</v>
      </c>
      <c r="G31" s="31" t="s">
        <v>522</v>
      </c>
      <c r="H31" s="31" t="s">
        <v>39</v>
      </c>
      <c r="I31" s="77" t="s">
        <v>1355</v>
      </c>
      <c r="J31" s="77" t="s">
        <v>1356</v>
      </c>
      <c r="K31" s="31" t="s">
        <v>1751</v>
      </c>
      <c r="L31" s="31"/>
      <c r="M31" s="31"/>
      <c r="N31" s="35" t="s">
        <v>1745</v>
      </c>
      <c r="O31" s="35" t="s">
        <v>241</v>
      </c>
      <c r="P31" s="35" t="s">
        <v>1119</v>
      </c>
      <c r="Q31" s="28">
        <v>38280</v>
      </c>
      <c r="R31" s="40"/>
    </row>
    <row r="32" spans="1:18" hidden="1">
      <c r="A32" s="37" t="s">
        <v>523</v>
      </c>
      <c r="B32" s="35" t="s">
        <v>1152</v>
      </c>
      <c r="C32" s="25">
        <v>303</v>
      </c>
      <c r="D32" s="38" t="s">
        <v>524</v>
      </c>
      <c r="E32" s="38" t="s">
        <v>1193</v>
      </c>
      <c r="F32" s="38" t="s">
        <v>525</v>
      </c>
      <c r="G32" s="31" t="s">
        <v>526</v>
      </c>
      <c r="H32" s="31" t="s">
        <v>39</v>
      </c>
      <c r="I32" s="77" t="s">
        <v>1355</v>
      </c>
      <c r="J32" s="77" t="s">
        <v>1356</v>
      </c>
      <c r="K32" s="31" t="s">
        <v>1751</v>
      </c>
      <c r="L32" s="31"/>
      <c r="M32" s="31"/>
      <c r="N32" s="35" t="s">
        <v>1744</v>
      </c>
      <c r="O32" s="45" t="s">
        <v>241</v>
      </c>
      <c r="P32" s="45" t="s">
        <v>1119</v>
      </c>
      <c r="Q32" s="46">
        <v>38280</v>
      </c>
      <c r="R32" s="47"/>
    </row>
    <row r="33" spans="1:18">
      <c r="A33" s="33" t="s">
        <v>223</v>
      </c>
      <c r="B33" s="35" t="s">
        <v>1152</v>
      </c>
      <c r="C33" s="25">
        <v>196</v>
      </c>
      <c r="D33" s="42" t="s">
        <v>224</v>
      </c>
      <c r="E33" s="36" t="s">
        <v>1164</v>
      </c>
      <c r="F33" s="36" t="s">
        <v>221</v>
      </c>
      <c r="G33" s="31" t="s">
        <v>194</v>
      </c>
      <c r="H33" s="80" t="s">
        <v>195</v>
      </c>
      <c r="I33" s="77" t="s">
        <v>1347</v>
      </c>
      <c r="J33" s="77" t="s">
        <v>1756</v>
      </c>
      <c r="K33" s="31" t="s">
        <v>201</v>
      </c>
      <c r="L33" s="85" t="s">
        <v>1752</v>
      </c>
      <c r="M33" s="45" t="s">
        <v>1398</v>
      </c>
      <c r="N33" s="35"/>
      <c r="O33" s="35" t="s">
        <v>196</v>
      </c>
      <c r="P33" s="35"/>
      <c r="Q33" s="28"/>
      <c r="R33" s="35" t="s">
        <v>1153</v>
      </c>
    </row>
    <row r="34" spans="1:18" hidden="1">
      <c r="A34" s="37" t="s">
        <v>207</v>
      </c>
      <c r="B34" s="35" t="s">
        <v>1152</v>
      </c>
      <c r="C34" s="25">
        <v>191</v>
      </c>
      <c r="D34" s="57" t="s">
        <v>208</v>
      </c>
      <c r="E34" s="38" t="s">
        <v>1157</v>
      </c>
      <c r="F34" s="38" t="s">
        <v>209</v>
      </c>
      <c r="G34" s="31" t="s">
        <v>194</v>
      </c>
      <c r="H34" s="79" t="s">
        <v>1158</v>
      </c>
      <c r="I34" s="77" t="s">
        <v>1347</v>
      </c>
      <c r="J34" s="77" t="s">
        <v>1756</v>
      </c>
      <c r="K34" s="31" t="s">
        <v>1159</v>
      </c>
      <c r="L34" s="85" t="s">
        <v>1752</v>
      </c>
      <c r="M34" s="35" t="s">
        <v>1393</v>
      </c>
      <c r="N34" s="35" t="s">
        <v>1746</v>
      </c>
      <c r="O34" s="35" t="s">
        <v>196</v>
      </c>
      <c r="P34" s="35"/>
      <c r="Q34" s="28"/>
      <c r="R34" s="35" t="s">
        <v>1153</v>
      </c>
    </row>
    <row r="35" spans="1:18" hidden="1">
      <c r="A35" s="37" t="s">
        <v>210</v>
      </c>
      <c r="B35" s="35" t="s">
        <v>1152</v>
      </c>
      <c r="C35" s="25">
        <v>192</v>
      </c>
      <c r="D35" s="57" t="s">
        <v>211</v>
      </c>
      <c r="E35" s="38" t="s">
        <v>1160</v>
      </c>
      <c r="F35" s="38" t="s">
        <v>212</v>
      </c>
      <c r="G35" s="31" t="s">
        <v>194</v>
      </c>
      <c r="H35" s="79" t="s">
        <v>1158</v>
      </c>
      <c r="I35" s="77" t="s">
        <v>1347</v>
      </c>
      <c r="J35" s="77" t="s">
        <v>1756</v>
      </c>
      <c r="K35" s="31" t="s">
        <v>1159</v>
      </c>
      <c r="L35" s="85" t="s">
        <v>1752</v>
      </c>
      <c r="M35" s="35" t="s">
        <v>1394</v>
      </c>
      <c r="N35" s="35" t="s">
        <v>1746</v>
      </c>
      <c r="O35" s="35" t="s">
        <v>196</v>
      </c>
      <c r="P35" s="35"/>
      <c r="Q35" s="28"/>
      <c r="R35" s="35" t="s">
        <v>1153</v>
      </c>
    </row>
    <row r="36" spans="1:18" hidden="1">
      <c r="A36" s="37" t="s">
        <v>213</v>
      </c>
      <c r="B36" s="35" t="s">
        <v>1152</v>
      </c>
      <c r="C36" s="25">
        <v>193</v>
      </c>
      <c r="D36" s="57" t="s">
        <v>214</v>
      </c>
      <c r="E36" s="38" t="s">
        <v>1161</v>
      </c>
      <c r="F36" s="38" t="s">
        <v>215</v>
      </c>
      <c r="G36" s="31" t="s">
        <v>194</v>
      </c>
      <c r="H36" s="79" t="s">
        <v>1158</v>
      </c>
      <c r="I36" s="77" t="s">
        <v>1347</v>
      </c>
      <c r="J36" s="77" t="s">
        <v>1756</v>
      </c>
      <c r="K36" s="31" t="s">
        <v>1159</v>
      </c>
      <c r="L36" s="85" t="s">
        <v>1752</v>
      </c>
      <c r="M36" s="35" t="s">
        <v>1393</v>
      </c>
      <c r="N36" s="35" t="s">
        <v>1746</v>
      </c>
      <c r="O36" s="35" t="s">
        <v>196</v>
      </c>
      <c r="P36" s="35"/>
      <c r="Q36" s="28"/>
      <c r="R36" s="35" t="s">
        <v>1153</v>
      </c>
    </row>
    <row r="37" spans="1:18">
      <c r="A37" s="33" t="s">
        <v>225</v>
      </c>
      <c r="B37" s="35" t="s">
        <v>1152</v>
      </c>
      <c r="C37" s="25">
        <v>197</v>
      </c>
      <c r="D37" s="42" t="s">
        <v>226</v>
      </c>
      <c r="E37" s="36" t="s">
        <v>1165</v>
      </c>
      <c r="F37" s="36" t="s">
        <v>221</v>
      </c>
      <c r="G37" s="31" t="s">
        <v>194</v>
      </c>
      <c r="H37" s="80" t="s">
        <v>195</v>
      </c>
      <c r="I37" s="77" t="s">
        <v>1367</v>
      </c>
      <c r="J37" s="77" t="s">
        <v>1756</v>
      </c>
      <c r="K37" s="31" t="s">
        <v>201</v>
      </c>
      <c r="L37" s="85" t="s">
        <v>1752</v>
      </c>
      <c r="M37" s="45" t="s">
        <v>1398</v>
      </c>
      <c r="N37" s="35"/>
      <c r="O37" s="35" t="s">
        <v>196</v>
      </c>
      <c r="P37" s="35"/>
      <c r="Q37" s="28"/>
      <c r="R37" s="35" t="s">
        <v>1153</v>
      </c>
    </row>
    <row r="38" spans="1:18">
      <c r="A38" s="33" t="s">
        <v>227</v>
      </c>
      <c r="B38" s="35" t="s">
        <v>1152</v>
      </c>
      <c r="C38" s="25">
        <v>198</v>
      </c>
      <c r="D38" s="42" t="s">
        <v>228</v>
      </c>
      <c r="E38" s="36" t="s">
        <v>1166</v>
      </c>
      <c r="F38" s="36" t="s">
        <v>218</v>
      </c>
      <c r="G38" s="31" t="s">
        <v>194</v>
      </c>
      <c r="H38" s="80" t="s">
        <v>195</v>
      </c>
      <c r="I38" s="77" t="s">
        <v>1367</v>
      </c>
      <c r="J38" s="77" t="s">
        <v>1756</v>
      </c>
      <c r="K38" s="31" t="s">
        <v>201</v>
      </c>
      <c r="L38" s="85" t="s">
        <v>1752</v>
      </c>
      <c r="M38" s="45" t="s">
        <v>1398</v>
      </c>
      <c r="N38" s="35"/>
      <c r="O38" s="35" t="s">
        <v>196</v>
      </c>
      <c r="P38" s="35"/>
      <c r="Q38" s="28"/>
      <c r="R38" s="35" t="s">
        <v>1153</v>
      </c>
    </row>
    <row r="39" spans="1:18">
      <c r="A39" s="33" t="s">
        <v>204</v>
      </c>
      <c r="B39" s="35" t="s">
        <v>1152</v>
      </c>
      <c r="C39" s="25">
        <v>190</v>
      </c>
      <c r="D39" s="42" t="s">
        <v>205</v>
      </c>
      <c r="E39" s="36" t="s">
        <v>206</v>
      </c>
      <c r="F39" s="36" t="s">
        <v>193</v>
      </c>
      <c r="G39" s="31" t="s">
        <v>194</v>
      </c>
      <c r="H39" s="80" t="s">
        <v>195</v>
      </c>
      <c r="I39" s="77" t="s">
        <v>1347</v>
      </c>
      <c r="J39" s="77" t="s">
        <v>1759</v>
      </c>
      <c r="K39" s="31"/>
      <c r="L39" s="31"/>
      <c r="M39" s="31"/>
      <c r="N39" s="35"/>
      <c r="O39" s="35" t="s">
        <v>196</v>
      </c>
      <c r="P39" s="35"/>
      <c r="Q39" s="28"/>
      <c r="R39" s="35" t="s">
        <v>1153</v>
      </c>
    </row>
    <row r="40" spans="1:18" ht="15.6">
      <c r="A40" s="33" t="s">
        <v>1459</v>
      </c>
      <c r="B40" s="35" t="s">
        <v>1152</v>
      </c>
      <c r="C40" s="25">
        <v>551</v>
      </c>
      <c r="D40" s="42" t="s">
        <v>1474</v>
      </c>
      <c r="E40" s="42" t="s">
        <v>1465</v>
      </c>
      <c r="F40" s="36" t="s">
        <v>193</v>
      </c>
      <c r="G40" s="31" t="s">
        <v>194</v>
      </c>
      <c r="H40" s="94" t="s">
        <v>1158</v>
      </c>
      <c r="I40" s="77" t="s">
        <v>1483</v>
      </c>
      <c r="J40" s="77" t="s">
        <v>1484</v>
      </c>
      <c r="K40" s="31"/>
      <c r="L40" s="31"/>
      <c r="M40" s="31"/>
      <c r="N40" s="35"/>
      <c r="O40" s="35"/>
      <c r="P40" s="35"/>
      <c r="Q40" s="28"/>
      <c r="R40" s="35"/>
    </row>
    <row r="41" spans="1:18" ht="15.6">
      <c r="A41" s="33" t="s">
        <v>1460</v>
      </c>
      <c r="B41" s="35" t="s">
        <v>1152</v>
      </c>
      <c r="C41" s="25">
        <v>552</v>
      </c>
      <c r="D41" s="42" t="s">
        <v>1467</v>
      </c>
      <c r="E41" s="42" t="s">
        <v>1466</v>
      </c>
      <c r="F41" s="36" t="s">
        <v>193</v>
      </c>
      <c r="G41" s="31" t="s">
        <v>194</v>
      </c>
      <c r="H41" s="94" t="s">
        <v>1158</v>
      </c>
      <c r="I41" s="77" t="s">
        <v>1483</v>
      </c>
      <c r="J41" s="77" t="s">
        <v>1484</v>
      </c>
      <c r="K41" s="31"/>
      <c r="L41" s="31"/>
      <c r="M41" s="31"/>
      <c r="N41" s="35"/>
      <c r="O41" s="35"/>
      <c r="P41" s="35"/>
      <c r="Q41" s="28"/>
      <c r="R41" s="35"/>
    </row>
    <row r="42" spans="1:18">
      <c r="A42" s="31" t="s">
        <v>489</v>
      </c>
      <c r="B42" s="35" t="s">
        <v>1152</v>
      </c>
      <c r="C42" s="25">
        <v>292</v>
      </c>
      <c r="D42" s="39" t="s">
        <v>490</v>
      </c>
      <c r="E42" s="48" t="s">
        <v>1191</v>
      </c>
      <c r="F42" s="38" t="s">
        <v>491</v>
      </c>
      <c r="G42" s="31" t="s">
        <v>371</v>
      </c>
      <c r="H42" s="81" t="s">
        <v>1109</v>
      </c>
      <c r="I42" s="77" t="s">
        <v>492</v>
      </c>
      <c r="J42" s="77" t="s">
        <v>493</v>
      </c>
      <c r="K42" s="31" t="s">
        <v>1171</v>
      </c>
      <c r="L42" s="83" t="s">
        <v>1449</v>
      </c>
      <c r="M42" s="35" t="s">
        <v>1435</v>
      </c>
      <c r="N42" s="35"/>
      <c r="O42" s="35" t="s">
        <v>235</v>
      </c>
      <c r="P42" s="35" t="s">
        <v>1182</v>
      </c>
      <c r="Q42" s="28">
        <v>14370</v>
      </c>
      <c r="R42" s="40"/>
    </row>
    <row r="43" spans="1:18">
      <c r="A43" s="31" t="s">
        <v>494</v>
      </c>
      <c r="B43" s="35" t="s">
        <v>1152</v>
      </c>
      <c r="C43" s="25">
        <v>293</v>
      </c>
      <c r="D43" s="39" t="s">
        <v>495</v>
      </c>
      <c r="E43" s="48" t="s">
        <v>1191</v>
      </c>
      <c r="F43" s="38" t="s">
        <v>491</v>
      </c>
      <c r="G43" s="31" t="s">
        <v>371</v>
      </c>
      <c r="H43" s="81" t="s">
        <v>1109</v>
      </c>
      <c r="I43" s="31" t="s">
        <v>492</v>
      </c>
      <c r="J43" s="31" t="s">
        <v>493</v>
      </c>
      <c r="K43" s="31" t="s">
        <v>1171</v>
      </c>
      <c r="L43" s="31"/>
      <c r="M43" s="31"/>
      <c r="N43" s="35"/>
      <c r="O43" s="35" t="s">
        <v>235</v>
      </c>
      <c r="P43" s="35" t="s">
        <v>1182</v>
      </c>
      <c r="Q43" s="28">
        <v>14370</v>
      </c>
      <c r="R43" s="40"/>
    </row>
    <row r="44" spans="1:18">
      <c r="A44" s="31" t="s">
        <v>496</v>
      </c>
      <c r="B44" s="35" t="s">
        <v>1152</v>
      </c>
      <c r="C44" s="25">
        <v>294</v>
      </c>
      <c r="D44" s="39" t="s">
        <v>497</v>
      </c>
      <c r="E44" s="48" t="s">
        <v>1191</v>
      </c>
      <c r="F44" s="38" t="s">
        <v>498</v>
      </c>
      <c r="G44" s="31" t="s">
        <v>371</v>
      </c>
      <c r="H44" s="81" t="s">
        <v>1109</v>
      </c>
      <c r="I44" s="31" t="s">
        <v>492</v>
      </c>
      <c r="J44" s="31" t="s">
        <v>493</v>
      </c>
      <c r="K44" s="31" t="s">
        <v>1171</v>
      </c>
      <c r="L44" s="31"/>
      <c r="M44" s="31"/>
      <c r="N44" s="35"/>
      <c r="O44" s="35" t="s">
        <v>235</v>
      </c>
      <c r="P44" s="35" t="s">
        <v>1182</v>
      </c>
      <c r="Q44" s="28">
        <v>14370</v>
      </c>
      <c r="R44" s="40"/>
    </row>
    <row r="45" spans="1:18">
      <c r="A45" s="31" t="s">
        <v>499</v>
      </c>
      <c r="B45" s="35" t="s">
        <v>1152</v>
      </c>
      <c r="C45" s="25">
        <v>295</v>
      </c>
      <c r="D45" s="39" t="s">
        <v>500</v>
      </c>
      <c r="E45" s="48" t="s">
        <v>1191</v>
      </c>
      <c r="F45" s="38" t="s">
        <v>501</v>
      </c>
      <c r="G45" s="31" t="s">
        <v>371</v>
      </c>
      <c r="H45" s="81" t="s">
        <v>1109</v>
      </c>
      <c r="I45" s="31" t="s">
        <v>492</v>
      </c>
      <c r="J45" s="31" t="s">
        <v>493</v>
      </c>
      <c r="K45" s="31" t="s">
        <v>1171</v>
      </c>
      <c r="L45" s="31"/>
      <c r="M45" s="31"/>
      <c r="N45" s="35"/>
      <c r="O45" s="35" t="s">
        <v>235</v>
      </c>
      <c r="P45" s="35" t="s">
        <v>1182</v>
      </c>
      <c r="Q45" s="28">
        <v>14370</v>
      </c>
      <c r="R45" s="40"/>
    </row>
    <row r="46" spans="1:18">
      <c r="A46" s="31" t="s">
        <v>502</v>
      </c>
      <c r="B46" s="35" t="s">
        <v>1152</v>
      </c>
      <c r="C46" s="25">
        <v>296</v>
      </c>
      <c r="D46" s="39" t="s">
        <v>503</v>
      </c>
      <c r="E46" s="48" t="s">
        <v>1191</v>
      </c>
      <c r="F46" s="38" t="s">
        <v>501</v>
      </c>
      <c r="G46" s="31" t="s">
        <v>371</v>
      </c>
      <c r="H46" s="81" t="s">
        <v>1109</v>
      </c>
      <c r="I46" s="31" t="s">
        <v>492</v>
      </c>
      <c r="J46" s="31" t="s">
        <v>493</v>
      </c>
      <c r="K46" s="31" t="s">
        <v>1171</v>
      </c>
      <c r="L46" s="31"/>
      <c r="M46" s="31"/>
      <c r="N46" s="35"/>
      <c r="O46" s="35" t="s">
        <v>235</v>
      </c>
      <c r="P46" s="35" t="s">
        <v>1182</v>
      </c>
      <c r="Q46" s="28">
        <v>14370</v>
      </c>
      <c r="R46" s="40"/>
    </row>
    <row r="47" spans="1:18">
      <c r="A47" s="31" t="s">
        <v>504</v>
      </c>
      <c r="B47" s="35" t="s">
        <v>1152</v>
      </c>
      <c r="C47" s="25">
        <v>297</v>
      </c>
      <c r="D47" s="39" t="s">
        <v>505</v>
      </c>
      <c r="E47" s="48" t="s">
        <v>1191</v>
      </c>
      <c r="F47" s="38" t="s">
        <v>506</v>
      </c>
      <c r="G47" s="31" t="s">
        <v>371</v>
      </c>
      <c r="H47" s="81" t="s">
        <v>1109</v>
      </c>
      <c r="I47" s="31" t="s">
        <v>492</v>
      </c>
      <c r="J47" s="31" t="s">
        <v>493</v>
      </c>
      <c r="K47" s="31" t="s">
        <v>1171</v>
      </c>
      <c r="L47" s="31"/>
      <c r="M47" s="31"/>
      <c r="N47" s="35"/>
      <c r="O47" s="35" t="s">
        <v>235</v>
      </c>
      <c r="P47" s="35" t="s">
        <v>1182</v>
      </c>
      <c r="Q47" s="28">
        <v>14370</v>
      </c>
      <c r="R47" s="40"/>
    </row>
    <row r="48" spans="1:18">
      <c r="A48" s="31" t="s">
        <v>507</v>
      </c>
      <c r="B48" s="35" t="s">
        <v>1152</v>
      </c>
      <c r="C48" s="25">
        <v>298</v>
      </c>
      <c r="D48" s="39" t="s">
        <v>508</v>
      </c>
      <c r="E48" s="48" t="s">
        <v>1191</v>
      </c>
      <c r="F48" s="38" t="s">
        <v>506</v>
      </c>
      <c r="G48" s="31" t="s">
        <v>371</v>
      </c>
      <c r="H48" s="81" t="s">
        <v>1109</v>
      </c>
      <c r="I48" s="31" t="s">
        <v>492</v>
      </c>
      <c r="J48" s="31" t="s">
        <v>493</v>
      </c>
      <c r="K48" s="31" t="s">
        <v>1171</v>
      </c>
      <c r="L48" s="31"/>
      <c r="M48" s="31"/>
      <c r="N48" s="35"/>
      <c r="O48" s="35" t="s">
        <v>235</v>
      </c>
      <c r="P48" s="35" t="s">
        <v>1182</v>
      </c>
      <c r="Q48" s="28">
        <v>14370</v>
      </c>
      <c r="R48" s="40"/>
    </row>
    <row r="49" spans="1:18">
      <c r="A49" s="31" t="s">
        <v>509</v>
      </c>
      <c r="B49" s="35" t="s">
        <v>1152</v>
      </c>
      <c r="C49" s="25">
        <v>299</v>
      </c>
      <c r="D49" s="39" t="s">
        <v>510</v>
      </c>
      <c r="E49" s="48" t="s">
        <v>1191</v>
      </c>
      <c r="F49" s="38" t="s">
        <v>511</v>
      </c>
      <c r="G49" s="31" t="s">
        <v>371</v>
      </c>
      <c r="H49" s="81" t="s">
        <v>1109</v>
      </c>
      <c r="I49" s="31" t="s">
        <v>492</v>
      </c>
      <c r="J49" s="31" t="s">
        <v>493</v>
      </c>
      <c r="K49" s="31" t="s">
        <v>1171</v>
      </c>
      <c r="L49" s="31"/>
      <c r="M49" s="31"/>
      <c r="N49" s="35"/>
      <c r="O49" s="35" t="s">
        <v>235</v>
      </c>
      <c r="P49" s="35" t="s">
        <v>1182</v>
      </c>
      <c r="Q49" s="28">
        <v>14370</v>
      </c>
      <c r="R49" s="40"/>
    </row>
    <row r="50" spans="1:18">
      <c r="A50" s="31" t="s">
        <v>512</v>
      </c>
      <c r="B50" s="35" t="s">
        <v>1152</v>
      </c>
      <c r="C50" s="25">
        <v>300</v>
      </c>
      <c r="D50" s="39" t="s">
        <v>513</v>
      </c>
      <c r="E50" s="48" t="s">
        <v>1191</v>
      </c>
      <c r="F50" s="38" t="s">
        <v>511</v>
      </c>
      <c r="G50" s="31" t="s">
        <v>371</v>
      </c>
      <c r="H50" s="81" t="s">
        <v>1109</v>
      </c>
      <c r="I50" s="31" t="s">
        <v>492</v>
      </c>
      <c r="J50" s="31" t="s">
        <v>493</v>
      </c>
      <c r="K50" s="31" t="s">
        <v>1171</v>
      </c>
      <c r="L50" s="31"/>
      <c r="M50" s="31"/>
      <c r="N50" s="35"/>
      <c r="O50" s="35" t="s">
        <v>235</v>
      </c>
      <c r="P50" s="35" t="s">
        <v>1182</v>
      </c>
      <c r="Q50" s="28">
        <v>14370</v>
      </c>
      <c r="R50" s="40"/>
    </row>
    <row r="51" spans="1:18">
      <c r="A51" s="37" t="s">
        <v>514</v>
      </c>
      <c r="B51" s="35" t="s">
        <v>1152</v>
      </c>
      <c r="C51" s="25">
        <v>301</v>
      </c>
      <c r="D51" s="39" t="s">
        <v>515</v>
      </c>
      <c r="E51" s="41" t="s">
        <v>516</v>
      </c>
      <c r="F51" s="42" t="s">
        <v>517</v>
      </c>
      <c r="G51" s="31" t="s">
        <v>518</v>
      </c>
      <c r="H51" s="81" t="s">
        <v>1109</v>
      </c>
      <c r="I51" s="31" t="s">
        <v>492</v>
      </c>
      <c r="J51" s="31" t="s">
        <v>493</v>
      </c>
      <c r="K51" s="31" t="s">
        <v>1171</v>
      </c>
      <c r="L51" s="31"/>
      <c r="M51" s="31"/>
      <c r="N51" s="35"/>
      <c r="O51" s="35" t="s">
        <v>235</v>
      </c>
      <c r="P51" s="35" t="s">
        <v>1182</v>
      </c>
      <c r="Q51" s="28">
        <v>14370</v>
      </c>
      <c r="R51" s="40"/>
    </row>
    <row r="52" spans="1:18" ht="26.4">
      <c r="A52" s="37" t="s">
        <v>288</v>
      </c>
      <c r="B52" s="35" t="s">
        <v>1152</v>
      </c>
      <c r="C52" s="25">
        <v>218</v>
      </c>
      <c r="D52" s="57" t="s">
        <v>289</v>
      </c>
      <c r="E52" s="38" t="s">
        <v>256</v>
      </c>
      <c r="F52" s="38" t="s">
        <v>290</v>
      </c>
      <c r="G52" s="43" t="s">
        <v>291</v>
      </c>
      <c r="H52" s="78" t="s">
        <v>1174</v>
      </c>
      <c r="I52" s="77" t="s">
        <v>1357</v>
      </c>
      <c r="J52" s="77" t="s">
        <v>1749</v>
      </c>
      <c r="K52" s="31" t="s">
        <v>201</v>
      </c>
      <c r="L52" s="85" t="s">
        <v>1420</v>
      </c>
      <c r="M52" s="35" t="s">
        <v>1395</v>
      </c>
      <c r="N52" s="35"/>
      <c r="O52" s="35" t="s">
        <v>196</v>
      </c>
      <c r="P52" s="35" t="s">
        <v>1119</v>
      </c>
      <c r="Q52" s="28">
        <v>22660</v>
      </c>
      <c r="R52" s="40"/>
    </row>
    <row r="53" spans="1:18">
      <c r="A53" s="37" t="s">
        <v>299</v>
      </c>
      <c r="B53" s="35" t="s">
        <v>1152</v>
      </c>
      <c r="C53" s="25">
        <v>221</v>
      </c>
      <c r="D53" s="57" t="s">
        <v>300</v>
      </c>
      <c r="E53" s="38" t="s">
        <v>256</v>
      </c>
      <c r="F53" s="38" t="s">
        <v>295</v>
      </c>
      <c r="G53" s="43" t="s">
        <v>296</v>
      </c>
      <c r="H53" s="78" t="s">
        <v>1174</v>
      </c>
      <c r="I53" s="77" t="s">
        <v>1348</v>
      </c>
      <c r="J53" s="77" t="s">
        <v>1750</v>
      </c>
      <c r="K53" s="31" t="s">
        <v>1171</v>
      </c>
      <c r="L53" s="31"/>
      <c r="M53" s="31"/>
      <c r="N53" s="35"/>
      <c r="O53" s="35" t="s">
        <v>196</v>
      </c>
      <c r="P53" s="35" t="s">
        <v>1119</v>
      </c>
      <c r="Q53" s="28">
        <v>22660</v>
      </c>
      <c r="R53" s="40"/>
    </row>
    <row r="54" spans="1:18">
      <c r="A54" s="37" t="s">
        <v>297</v>
      </c>
      <c r="B54" s="35" t="s">
        <v>1152</v>
      </c>
      <c r="C54" s="25">
        <v>220</v>
      </c>
      <c r="D54" s="57" t="s">
        <v>298</v>
      </c>
      <c r="E54" s="38" t="s">
        <v>256</v>
      </c>
      <c r="F54" s="38" t="s">
        <v>295</v>
      </c>
      <c r="G54" s="43" t="s">
        <v>296</v>
      </c>
      <c r="H54" s="78" t="s">
        <v>1174</v>
      </c>
      <c r="I54" s="77" t="s">
        <v>1357</v>
      </c>
      <c r="J54" s="77" t="s">
        <v>1750</v>
      </c>
      <c r="K54" s="31" t="s">
        <v>1170</v>
      </c>
      <c r="L54" s="31"/>
      <c r="M54" s="31"/>
      <c r="N54" s="35"/>
      <c r="O54" s="35" t="s">
        <v>196</v>
      </c>
      <c r="P54" s="35" t="s">
        <v>1119</v>
      </c>
      <c r="Q54" s="28">
        <v>22660</v>
      </c>
      <c r="R54" s="40"/>
    </row>
    <row r="55" spans="1:18">
      <c r="A55" s="37" t="s">
        <v>293</v>
      </c>
      <c r="B55" s="35" t="s">
        <v>1152</v>
      </c>
      <c r="C55" s="25">
        <v>219</v>
      </c>
      <c r="D55" s="57" t="s">
        <v>294</v>
      </c>
      <c r="E55" s="38" t="s">
        <v>256</v>
      </c>
      <c r="F55" s="38" t="s">
        <v>295</v>
      </c>
      <c r="G55" s="43" t="s">
        <v>296</v>
      </c>
      <c r="H55" s="78" t="s">
        <v>1174</v>
      </c>
      <c r="I55" s="77" t="s">
        <v>1357</v>
      </c>
      <c r="J55" s="77" t="s">
        <v>1750</v>
      </c>
      <c r="K55" s="31" t="s">
        <v>201</v>
      </c>
      <c r="L55" s="85" t="s">
        <v>1420</v>
      </c>
      <c r="M55" s="35" t="s">
        <v>1395</v>
      </c>
      <c r="N55" s="35"/>
      <c r="O55" s="35" t="s">
        <v>196</v>
      </c>
      <c r="P55" s="35" t="s">
        <v>1119</v>
      </c>
      <c r="Q55" s="28">
        <v>22660</v>
      </c>
      <c r="R55" s="40"/>
    </row>
    <row r="56" spans="1:18">
      <c r="A56" s="31" t="s">
        <v>532</v>
      </c>
      <c r="B56" s="35" t="s">
        <v>1152</v>
      </c>
      <c r="C56" s="25">
        <v>306</v>
      </c>
      <c r="D56" s="38" t="s">
        <v>533</v>
      </c>
      <c r="E56" s="50" t="s">
        <v>1194</v>
      </c>
      <c r="F56" s="42" t="s">
        <v>231</v>
      </c>
      <c r="G56" s="31" t="s">
        <v>232</v>
      </c>
      <c r="H56" s="31" t="s">
        <v>39</v>
      </c>
      <c r="I56" s="76" t="s">
        <v>1385</v>
      </c>
      <c r="J56" s="77" t="s">
        <v>529</v>
      </c>
      <c r="K56" s="31" t="s">
        <v>1170</v>
      </c>
      <c r="L56" s="31"/>
      <c r="M56" s="31"/>
      <c r="N56" s="35"/>
      <c r="O56" s="45" t="s">
        <v>235</v>
      </c>
      <c r="P56" s="45" t="s">
        <v>1182</v>
      </c>
      <c r="Q56" s="46">
        <v>28430</v>
      </c>
      <c r="R56" s="47"/>
    </row>
    <row r="57" spans="1:18">
      <c r="A57" s="31" t="s">
        <v>536</v>
      </c>
      <c r="B57" s="35" t="s">
        <v>1152</v>
      </c>
      <c r="C57" s="25">
        <v>308</v>
      </c>
      <c r="D57" s="39" t="s">
        <v>537</v>
      </c>
      <c r="E57" s="50" t="s">
        <v>1194</v>
      </c>
      <c r="F57" s="42" t="s">
        <v>231</v>
      </c>
      <c r="G57" s="31" t="s">
        <v>232</v>
      </c>
      <c r="H57" s="31" t="s">
        <v>39</v>
      </c>
      <c r="I57" s="76" t="s">
        <v>1385</v>
      </c>
      <c r="J57" s="77" t="s">
        <v>1386</v>
      </c>
      <c r="K57" s="31" t="s">
        <v>1171</v>
      </c>
      <c r="L57" s="31"/>
      <c r="M57" s="31"/>
      <c r="N57" s="35"/>
      <c r="O57" s="45" t="s">
        <v>235</v>
      </c>
      <c r="P57" s="45" t="s">
        <v>1182</v>
      </c>
      <c r="Q57" s="46">
        <v>28430</v>
      </c>
      <c r="R57" s="47"/>
    </row>
    <row r="58" spans="1:18">
      <c r="A58" s="31" t="s">
        <v>538</v>
      </c>
      <c r="B58" s="35" t="s">
        <v>1152</v>
      </c>
      <c r="C58" s="25">
        <v>309</v>
      </c>
      <c r="D58" s="39" t="s">
        <v>539</v>
      </c>
      <c r="E58" s="50" t="s">
        <v>1194</v>
      </c>
      <c r="F58" s="42" t="s">
        <v>231</v>
      </c>
      <c r="G58" s="31" t="s">
        <v>232</v>
      </c>
      <c r="H58" s="31" t="s">
        <v>39</v>
      </c>
      <c r="I58" s="31" t="s">
        <v>292</v>
      </c>
      <c r="J58" s="31" t="s">
        <v>529</v>
      </c>
      <c r="K58" s="31" t="s">
        <v>1171</v>
      </c>
      <c r="L58" s="31"/>
      <c r="M58" s="31"/>
      <c r="N58" s="35"/>
      <c r="O58" s="45" t="s">
        <v>235</v>
      </c>
      <c r="P58" s="45" t="s">
        <v>1182</v>
      </c>
      <c r="Q58" s="46">
        <v>28430</v>
      </c>
      <c r="R58" s="47"/>
    </row>
    <row r="59" spans="1:18">
      <c r="A59" s="31" t="s">
        <v>527</v>
      </c>
      <c r="B59" s="35" t="s">
        <v>1152</v>
      </c>
      <c r="C59" s="25">
        <v>304</v>
      </c>
      <c r="D59" s="39" t="s">
        <v>528</v>
      </c>
      <c r="E59" s="50" t="s">
        <v>1194</v>
      </c>
      <c r="F59" s="42" t="s">
        <v>231</v>
      </c>
      <c r="G59" s="31" t="s">
        <v>232</v>
      </c>
      <c r="H59" s="31" t="s">
        <v>39</v>
      </c>
      <c r="I59" s="31" t="s">
        <v>292</v>
      </c>
      <c r="J59" s="31" t="s">
        <v>529</v>
      </c>
      <c r="K59" s="31" t="s">
        <v>1159</v>
      </c>
      <c r="L59" s="83" t="s">
        <v>1430</v>
      </c>
      <c r="M59" s="45" t="s">
        <v>1393</v>
      </c>
      <c r="N59" s="35"/>
      <c r="O59" s="45" t="s">
        <v>235</v>
      </c>
      <c r="P59" s="45" t="s">
        <v>1182</v>
      </c>
      <c r="Q59" s="46">
        <v>28430</v>
      </c>
      <c r="R59" s="47"/>
    </row>
    <row r="60" spans="1:18">
      <c r="A60" s="31" t="s">
        <v>534</v>
      </c>
      <c r="B60" s="35" t="s">
        <v>1152</v>
      </c>
      <c r="C60" s="25">
        <v>307</v>
      </c>
      <c r="D60" s="39" t="s">
        <v>535</v>
      </c>
      <c r="E60" s="50" t="s">
        <v>1195</v>
      </c>
      <c r="F60" s="42" t="s">
        <v>231</v>
      </c>
      <c r="G60" s="31" t="s">
        <v>265</v>
      </c>
      <c r="H60" s="31" t="s">
        <v>39</v>
      </c>
      <c r="I60" s="31" t="s">
        <v>292</v>
      </c>
      <c r="J60" s="31" t="s">
        <v>529</v>
      </c>
      <c r="K60" s="31" t="s">
        <v>1170</v>
      </c>
      <c r="L60" s="31"/>
      <c r="M60" s="31"/>
      <c r="N60" s="35"/>
      <c r="O60" s="45" t="s">
        <v>235</v>
      </c>
      <c r="P60" s="45" t="s">
        <v>1182</v>
      </c>
      <c r="Q60" s="46">
        <v>28430</v>
      </c>
      <c r="R60" s="47"/>
    </row>
    <row r="61" spans="1:18">
      <c r="A61" s="31" t="s">
        <v>540</v>
      </c>
      <c r="B61" s="35" t="s">
        <v>1152</v>
      </c>
      <c r="C61" s="25">
        <v>310</v>
      </c>
      <c r="D61" s="39" t="s">
        <v>541</v>
      </c>
      <c r="E61" s="50" t="s">
        <v>1195</v>
      </c>
      <c r="F61" s="42" t="s">
        <v>231</v>
      </c>
      <c r="G61" s="31" t="s">
        <v>265</v>
      </c>
      <c r="H61" s="31" t="s">
        <v>39</v>
      </c>
      <c r="I61" s="31" t="s">
        <v>292</v>
      </c>
      <c r="J61" s="31" t="s">
        <v>529</v>
      </c>
      <c r="K61" s="31" t="s">
        <v>1171</v>
      </c>
      <c r="L61" s="31"/>
      <c r="M61" s="31"/>
      <c r="N61" s="35"/>
      <c r="O61" s="45" t="s">
        <v>235</v>
      </c>
      <c r="P61" s="45" t="s">
        <v>1182</v>
      </c>
      <c r="Q61" s="46">
        <v>28430</v>
      </c>
      <c r="R61" s="47"/>
    </row>
    <row r="62" spans="1:18">
      <c r="A62" s="31" t="s">
        <v>530</v>
      </c>
      <c r="B62" s="35" t="s">
        <v>1152</v>
      </c>
      <c r="C62" s="25">
        <v>305</v>
      </c>
      <c r="D62" s="39" t="s">
        <v>531</v>
      </c>
      <c r="E62" s="50" t="s">
        <v>1195</v>
      </c>
      <c r="F62" s="42" t="s">
        <v>231</v>
      </c>
      <c r="G62" s="31" t="s">
        <v>265</v>
      </c>
      <c r="H62" s="31" t="s">
        <v>39</v>
      </c>
      <c r="I62" s="31" t="s">
        <v>292</v>
      </c>
      <c r="J62" s="31" t="s">
        <v>529</v>
      </c>
      <c r="K62" s="31" t="s">
        <v>1159</v>
      </c>
      <c r="L62" s="83" t="s">
        <v>1431</v>
      </c>
      <c r="M62" s="45" t="s">
        <v>1432</v>
      </c>
      <c r="N62" s="35"/>
      <c r="O62" s="45" t="s">
        <v>235</v>
      </c>
      <c r="P62" s="45" t="s">
        <v>1182</v>
      </c>
      <c r="Q62" s="46">
        <v>28430</v>
      </c>
      <c r="R62" s="47"/>
    </row>
    <row r="63" spans="1:18">
      <c r="A63" s="31" t="s">
        <v>542</v>
      </c>
      <c r="B63" s="35" t="s">
        <v>1152</v>
      </c>
      <c r="C63" s="25">
        <v>311</v>
      </c>
      <c r="D63" s="39" t="s">
        <v>543</v>
      </c>
      <c r="E63" s="50" t="s">
        <v>1195</v>
      </c>
      <c r="F63" s="42" t="s">
        <v>231</v>
      </c>
      <c r="G63" s="31" t="s">
        <v>265</v>
      </c>
      <c r="H63" s="31" t="s">
        <v>39</v>
      </c>
      <c r="I63" s="31" t="s">
        <v>292</v>
      </c>
      <c r="J63" s="31" t="s">
        <v>529</v>
      </c>
      <c r="K63" s="31" t="s">
        <v>1171</v>
      </c>
      <c r="L63" s="31"/>
      <c r="M63" s="31"/>
      <c r="N63" s="35"/>
      <c r="O63" s="45" t="s">
        <v>235</v>
      </c>
      <c r="P63" s="45" t="s">
        <v>1182</v>
      </c>
      <c r="Q63" s="46">
        <v>28430</v>
      </c>
      <c r="R63" s="47"/>
    </row>
    <row r="64" spans="1:18">
      <c r="A64" s="31" t="s">
        <v>544</v>
      </c>
      <c r="B64" s="35" t="s">
        <v>1152</v>
      </c>
      <c r="C64" s="25">
        <v>312</v>
      </c>
      <c r="D64" s="38" t="s">
        <v>545</v>
      </c>
      <c r="E64" s="42" t="s">
        <v>1196</v>
      </c>
      <c r="F64" s="42" t="s">
        <v>546</v>
      </c>
      <c r="G64" s="31" t="s">
        <v>397</v>
      </c>
      <c r="H64" s="31" t="s">
        <v>39</v>
      </c>
      <c r="I64" s="31" t="s">
        <v>547</v>
      </c>
      <c r="J64" s="31" t="s">
        <v>548</v>
      </c>
      <c r="K64" s="31" t="s">
        <v>1170</v>
      </c>
      <c r="L64" s="31"/>
      <c r="M64" s="31"/>
      <c r="N64" s="35"/>
      <c r="O64" s="45" t="s">
        <v>196</v>
      </c>
      <c r="P64" s="45" t="s">
        <v>1119</v>
      </c>
      <c r="Q64" s="46">
        <v>66000</v>
      </c>
      <c r="R64" s="47"/>
    </row>
    <row r="65" spans="1:18">
      <c r="A65" s="33" t="s">
        <v>191</v>
      </c>
      <c r="B65" s="35" t="s">
        <v>1152</v>
      </c>
      <c r="C65" s="25">
        <v>186</v>
      </c>
      <c r="D65" s="36" t="s">
        <v>192</v>
      </c>
      <c r="E65" s="36" t="s">
        <v>1151</v>
      </c>
      <c r="F65" s="36" t="s">
        <v>193</v>
      </c>
      <c r="G65" s="31" t="s">
        <v>194</v>
      </c>
      <c r="H65" s="80" t="s">
        <v>195</v>
      </c>
      <c r="I65" s="76" t="s">
        <v>1830</v>
      </c>
      <c r="J65" s="76" t="s">
        <v>1831</v>
      </c>
      <c r="K65" s="31"/>
      <c r="L65" s="31"/>
      <c r="M65" s="31"/>
      <c r="N65" s="35"/>
      <c r="O65" s="35" t="s">
        <v>196</v>
      </c>
      <c r="P65" s="35"/>
      <c r="Q65" s="28"/>
      <c r="R65" s="27" t="s">
        <v>1153</v>
      </c>
    </row>
    <row r="66" spans="1:18">
      <c r="A66" s="33" t="s">
        <v>197</v>
      </c>
      <c r="B66" s="35" t="s">
        <v>1152</v>
      </c>
      <c r="C66" s="25">
        <v>187</v>
      </c>
      <c r="D66" s="36" t="s">
        <v>198</v>
      </c>
      <c r="E66" s="36" t="s">
        <v>1154</v>
      </c>
      <c r="F66" s="36" t="s">
        <v>193</v>
      </c>
      <c r="G66" s="31" t="s">
        <v>194</v>
      </c>
      <c r="H66" s="80" t="s">
        <v>195</v>
      </c>
      <c r="I66" s="76" t="s">
        <v>1830</v>
      </c>
      <c r="J66" s="76" t="s">
        <v>1831</v>
      </c>
      <c r="K66" s="31"/>
      <c r="L66" s="31"/>
      <c r="M66" s="31"/>
      <c r="N66" s="35"/>
      <c r="O66" s="35" t="s">
        <v>196</v>
      </c>
      <c r="P66" s="35"/>
      <c r="Q66" s="28"/>
      <c r="R66" s="35" t="s">
        <v>1153</v>
      </c>
    </row>
    <row r="67" spans="1:18" ht="26.4">
      <c r="A67" s="37" t="s">
        <v>362</v>
      </c>
      <c r="B67" s="35" t="s">
        <v>1152</v>
      </c>
      <c r="C67" s="25">
        <v>245</v>
      </c>
      <c r="D67" s="57" t="s">
        <v>363</v>
      </c>
      <c r="E67" s="38" t="s">
        <v>256</v>
      </c>
      <c r="F67" s="38" t="s">
        <v>290</v>
      </c>
      <c r="G67" s="43" t="s">
        <v>291</v>
      </c>
      <c r="H67" s="78" t="s">
        <v>1174</v>
      </c>
      <c r="I67" s="77" t="s">
        <v>1358</v>
      </c>
      <c r="J67" s="77" t="s">
        <v>1351</v>
      </c>
      <c r="K67" s="31" t="s">
        <v>1171</v>
      </c>
      <c r="L67" s="31"/>
      <c r="M67" s="31"/>
      <c r="N67" s="35"/>
      <c r="O67" s="35" t="s">
        <v>196</v>
      </c>
      <c r="P67" s="35" t="s">
        <v>1119</v>
      </c>
      <c r="Q67" s="28">
        <v>22660</v>
      </c>
      <c r="R67" s="40"/>
    </row>
    <row r="68" spans="1:18">
      <c r="A68" s="37" t="s">
        <v>364</v>
      </c>
      <c r="B68" s="35" t="s">
        <v>1152</v>
      </c>
      <c r="C68" s="25">
        <v>246</v>
      </c>
      <c r="D68" s="57" t="s">
        <v>365</v>
      </c>
      <c r="E68" s="38" t="s">
        <v>256</v>
      </c>
      <c r="F68" s="38" t="s">
        <v>295</v>
      </c>
      <c r="G68" s="43" t="s">
        <v>296</v>
      </c>
      <c r="H68" s="78" t="s">
        <v>1174</v>
      </c>
      <c r="I68" s="77" t="s">
        <v>1350</v>
      </c>
      <c r="J68" s="77" t="s">
        <v>1351</v>
      </c>
      <c r="K68" s="31" t="s">
        <v>1171</v>
      </c>
      <c r="L68" s="31"/>
      <c r="M68" s="31"/>
      <c r="N68" s="35"/>
      <c r="O68" s="35" t="s">
        <v>196</v>
      </c>
      <c r="P68" s="35" t="s">
        <v>1119</v>
      </c>
      <c r="Q68" s="28">
        <v>22660</v>
      </c>
      <c r="R68" s="40"/>
    </row>
    <row r="69" spans="1:18">
      <c r="A69" s="37" t="s">
        <v>366</v>
      </c>
      <c r="B69" s="35" t="s">
        <v>1152</v>
      </c>
      <c r="C69" s="25">
        <v>247</v>
      </c>
      <c r="D69" s="57" t="s">
        <v>367</v>
      </c>
      <c r="E69" s="38" t="s">
        <v>256</v>
      </c>
      <c r="F69" s="38" t="s">
        <v>295</v>
      </c>
      <c r="G69" s="43" t="s">
        <v>296</v>
      </c>
      <c r="H69" s="78" t="s">
        <v>1174</v>
      </c>
      <c r="I69" s="77" t="s">
        <v>1359</v>
      </c>
      <c r="J69" s="77" t="s">
        <v>1360</v>
      </c>
      <c r="K69" s="31" t="s">
        <v>1171</v>
      </c>
      <c r="L69" s="31"/>
      <c r="M69" s="31"/>
      <c r="N69" s="35"/>
      <c r="O69" s="35" t="s">
        <v>196</v>
      </c>
      <c r="P69" s="35" t="s">
        <v>1119</v>
      </c>
      <c r="Q69" s="28">
        <v>22660</v>
      </c>
      <c r="R69" s="40"/>
    </row>
    <row r="70" spans="1:18">
      <c r="A70" s="37" t="s">
        <v>355</v>
      </c>
      <c r="B70" s="35" t="s">
        <v>1152</v>
      </c>
      <c r="C70" s="25">
        <v>243</v>
      </c>
      <c r="D70" s="57" t="s">
        <v>356</v>
      </c>
      <c r="E70" s="38" t="s">
        <v>1172</v>
      </c>
      <c r="F70" s="38" t="s">
        <v>357</v>
      </c>
      <c r="G70" s="31" t="s">
        <v>358</v>
      </c>
      <c r="H70" s="78" t="s">
        <v>1174</v>
      </c>
      <c r="I70" s="77" t="s">
        <v>1335</v>
      </c>
      <c r="J70" s="77" t="s">
        <v>1774</v>
      </c>
      <c r="K70" s="31" t="s">
        <v>1159</v>
      </c>
      <c r="L70" s="83" t="s">
        <v>1339</v>
      </c>
      <c r="M70" s="35" t="s">
        <v>1338</v>
      </c>
      <c r="N70" s="35"/>
      <c r="O70" s="35" t="s">
        <v>196</v>
      </c>
      <c r="P70" s="35" t="s">
        <v>1119</v>
      </c>
      <c r="Q70" s="28">
        <v>22660</v>
      </c>
      <c r="R70" s="40"/>
    </row>
    <row r="71" spans="1:18" ht="26.4">
      <c r="A71" s="37" t="s">
        <v>359</v>
      </c>
      <c r="B71" s="35" t="s">
        <v>1152</v>
      </c>
      <c r="C71" s="25">
        <v>244</v>
      </c>
      <c r="D71" s="57" t="s">
        <v>360</v>
      </c>
      <c r="E71" s="38" t="s">
        <v>256</v>
      </c>
      <c r="F71" s="38" t="s">
        <v>361</v>
      </c>
      <c r="G71" s="43" t="s">
        <v>291</v>
      </c>
      <c r="H71" s="78" t="s">
        <v>1174</v>
      </c>
      <c r="I71" s="77" t="s">
        <v>1352</v>
      </c>
      <c r="J71" s="77" t="s">
        <v>1346</v>
      </c>
      <c r="K71" s="31" t="s">
        <v>1159</v>
      </c>
      <c r="L71" s="83" t="s">
        <v>1421</v>
      </c>
      <c r="M71" s="35" t="s">
        <v>1338</v>
      </c>
      <c r="N71" s="35"/>
      <c r="O71" s="35" t="s">
        <v>196</v>
      </c>
      <c r="P71" s="35" t="s">
        <v>1119</v>
      </c>
      <c r="Q71" s="28">
        <v>22660</v>
      </c>
      <c r="R71" s="40"/>
    </row>
    <row r="72" spans="1:18" ht="26.4">
      <c r="A72" s="33" t="s">
        <v>549</v>
      </c>
      <c r="B72" s="35" t="s">
        <v>1152</v>
      </c>
      <c r="C72" s="25">
        <v>313</v>
      </c>
      <c r="D72" s="36">
        <v>15127736</v>
      </c>
      <c r="E72" s="41" t="s">
        <v>1178</v>
      </c>
      <c r="F72" s="42" t="s">
        <v>270</v>
      </c>
      <c r="G72" s="31" t="s">
        <v>271</v>
      </c>
      <c r="H72" s="31" t="s">
        <v>39</v>
      </c>
      <c r="I72" s="76" t="s">
        <v>1369</v>
      </c>
      <c r="J72" s="76" t="s">
        <v>1346</v>
      </c>
      <c r="K72" s="31" t="s">
        <v>1755</v>
      </c>
      <c r="L72" s="88" t="s">
        <v>1423</v>
      </c>
      <c r="M72" s="45" t="s">
        <v>1400</v>
      </c>
      <c r="N72" s="35"/>
      <c r="O72" s="45" t="s">
        <v>241</v>
      </c>
      <c r="P72" s="45" t="s">
        <v>1182</v>
      </c>
      <c r="Q72" s="46">
        <v>17690</v>
      </c>
      <c r="R72" s="47"/>
    </row>
    <row r="73" spans="1:18">
      <c r="A73" s="31" t="s">
        <v>1514</v>
      </c>
      <c r="B73" s="35" t="s">
        <v>1152</v>
      </c>
      <c r="C73" s="25">
        <v>555</v>
      </c>
      <c r="D73" s="38" t="s">
        <v>1515</v>
      </c>
      <c r="E73" s="38" t="s">
        <v>1516</v>
      </c>
      <c r="F73" s="38" t="s">
        <v>1517</v>
      </c>
      <c r="G73" s="31" t="s">
        <v>1518</v>
      </c>
      <c r="H73" s="31" t="s">
        <v>1519</v>
      </c>
      <c r="I73" s="31" t="s">
        <v>1520</v>
      </c>
      <c r="J73" s="31" t="s">
        <v>1521</v>
      </c>
      <c r="K73" s="31" t="s">
        <v>1522</v>
      </c>
      <c r="L73" s="83"/>
      <c r="M73" s="35"/>
      <c r="N73" s="35"/>
      <c r="O73" s="35"/>
      <c r="P73" s="35"/>
      <c r="Q73" s="28"/>
      <c r="R73" s="40"/>
    </row>
    <row r="74" spans="1:18">
      <c r="A74" s="33" t="s">
        <v>550</v>
      </c>
      <c r="B74" s="35" t="s">
        <v>1152</v>
      </c>
      <c r="C74" s="25">
        <v>314</v>
      </c>
      <c r="D74" s="50" t="s">
        <v>551</v>
      </c>
      <c r="E74" s="42" t="s">
        <v>552</v>
      </c>
      <c r="F74" s="42" t="s">
        <v>553</v>
      </c>
      <c r="G74" s="31" t="s">
        <v>554</v>
      </c>
      <c r="H74" s="31" t="s">
        <v>39</v>
      </c>
      <c r="I74" s="31" t="s">
        <v>555</v>
      </c>
      <c r="J74" s="31" t="s">
        <v>1769</v>
      </c>
      <c r="K74" s="31" t="s">
        <v>342</v>
      </c>
      <c r="L74" s="31"/>
      <c r="M74" s="31"/>
      <c r="N74" s="35"/>
      <c r="O74" s="45" t="s">
        <v>196</v>
      </c>
      <c r="P74" s="45" t="s">
        <v>1119</v>
      </c>
      <c r="Q74" s="46">
        <v>49540</v>
      </c>
      <c r="R74" s="47"/>
    </row>
    <row r="75" spans="1:18" ht="26.4">
      <c r="A75" s="31" t="s">
        <v>556</v>
      </c>
      <c r="B75" s="35" t="s">
        <v>1152</v>
      </c>
      <c r="C75" s="25">
        <v>315</v>
      </c>
      <c r="D75" s="38" t="s">
        <v>557</v>
      </c>
      <c r="E75" s="48" t="s">
        <v>407</v>
      </c>
      <c r="F75" s="38" t="s">
        <v>558</v>
      </c>
      <c r="G75" s="31" t="s">
        <v>409</v>
      </c>
      <c r="H75" s="82" t="s">
        <v>1109</v>
      </c>
      <c r="I75" s="77" t="s">
        <v>559</v>
      </c>
      <c r="J75" s="77" t="s">
        <v>560</v>
      </c>
      <c r="K75" s="31" t="s">
        <v>1159</v>
      </c>
      <c r="L75" s="85" t="s">
        <v>1412</v>
      </c>
      <c r="M75" s="35" t="s">
        <v>1334</v>
      </c>
      <c r="N75" s="35"/>
      <c r="O75" s="45" t="s">
        <v>235</v>
      </c>
      <c r="P75" s="45" t="s">
        <v>1182</v>
      </c>
      <c r="Q75" s="46">
        <v>14370</v>
      </c>
      <c r="R75" s="47"/>
    </row>
    <row r="76" spans="1:18">
      <c r="A76" s="33" t="s">
        <v>1453</v>
      </c>
      <c r="B76" s="35" t="s">
        <v>1152</v>
      </c>
      <c r="C76" s="25">
        <v>545</v>
      </c>
      <c r="D76" s="42" t="s">
        <v>1468</v>
      </c>
      <c r="E76" s="42" t="s">
        <v>1461</v>
      </c>
      <c r="F76" s="36" t="s">
        <v>1475</v>
      </c>
      <c r="G76" s="31" t="s">
        <v>1478</v>
      </c>
      <c r="H76" s="76" t="s">
        <v>39</v>
      </c>
      <c r="I76" s="77" t="s">
        <v>1481</v>
      </c>
      <c r="J76" s="77" t="s">
        <v>1482</v>
      </c>
      <c r="K76" s="31"/>
      <c r="L76" s="88"/>
      <c r="M76" s="88"/>
      <c r="N76" s="35"/>
      <c r="O76" s="35"/>
      <c r="P76" s="35"/>
      <c r="Q76" s="28"/>
      <c r="R76" s="35"/>
    </row>
    <row r="77" spans="1:18">
      <c r="A77" s="31" t="s">
        <v>609</v>
      </c>
      <c r="B77" s="35" t="s">
        <v>1152</v>
      </c>
      <c r="C77" s="25">
        <v>334</v>
      </c>
      <c r="D77" s="38" t="s">
        <v>610</v>
      </c>
      <c r="E77" s="42" t="s">
        <v>552</v>
      </c>
      <c r="F77" s="42" t="s">
        <v>553</v>
      </c>
      <c r="G77" s="31" t="s">
        <v>554</v>
      </c>
      <c r="H77" s="31" t="s">
        <v>233</v>
      </c>
      <c r="I77" s="76" t="s">
        <v>1353</v>
      </c>
      <c r="J77" s="77" t="s">
        <v>1354</v>
      </c>
      <c r="K77" s="31" t="s">
        <v>1170</v>
      </c>
      <c r="L77" s="31"/>
      <c r="M77" s="31"/>
      <c r="N77" s="35"/>
      <c r="O77" s="45" t="s">
        <v>196</v>
      </c>
      <c r="P77" s="45" t="s">
        <v>1119</v>
      </c>
      <c r="Q77" s="46">
        <v>49540</v>
      </c>
      <c r="R77" s="47"/>
    </row>
    <row r="78" spans="1:18">
      <c r="A78" s="31" t="s">
        <v>238</v>
      </c>
      <c r="B78" s="35" t="s">
        <v>1152</v>
      </c>
      <c r="C78" s="25">
        <v>201</v>
      </c>
      <c r="D78" s="38" t="s">
        <v>239</v>
      </c>
      <c r="E78" s="38" t="s">
        <v>1168</v>
      </c>
      <c r="F78" s="38" t="s">
        <v>240</v>
      </c>
      <c r="G78" s="31" t="s">
        <v>1169</v>
      </c>
      <c r="H78" s="31" t="s">
        <v>39</v>
      </c>
      <c r="I78" s="31" t="s">
        <v>1376</v>
      </c>
      <c r="J78" s="31" t="s">
        <v>1296</v>
      </c>
      <c r="K78" s="31" t="s">
        <v>1170</v>
      </c>
      <c r="L78" s="31" t="s">
        <v>1424</v>
      </c>
      <c r="M78" s="31" t="s">
        <v>1393</v>
      </c>
      <c r="N78" s="35"/>
      <c r="O78" s="35" t="s">
        <v>241</v>
      </c>
      <c r="P78" s="35" t="s">
        <v>1050</v>
      </c>
      <c r="Q78" s="28">
        <v>13240</v>
      </c>
      <c r="R78" s="40"/>
    </row>
    <row r="79" spans="1:18">
      <c r="A79" s="31" t="s">
        <v>236</v>
      </c>
      <c r="B79" s="35" t="s">
        <v>1152</v>
      </c>
      <c r="C79" s="25">
        <v>200</v>
      </c>
      <c r="D79" s="38" t="s">
        <v>237</v>
      </c>
      <c r="E79" s="39" t="s">
        <v>1167</v>
      </c>
      <c r="F79" s="38" t="s">
        <v>231</v>
      </c>
      <c r="G79" s="31" t="s">
        <v>232</v>
      </c>
      <c r="H79" s="31" t="s">
        <v>39</v>
      </c>
      <c r="I79" s="77" t="s">
        <v>1376</v>
      </c>
      <c r="J79" s="77" t="s">
        <v>1296</v>
      </c>
      <c r="K79" s="31" t="s">
        <v>1159</v>
      </c>
      <c r="L79" s="86" t="s">
        <v>1413</v>
      </c>
      <c r="M79" s="35" t="s">
        <v>1334</v>
      </c>
      <c r="N79" s="35"/>
      <c r="O79" s="35" t="s">
        <v>235</v>
      </c>
      <c r="P79" s="35" t="s">
        <v>1050</v>
      </c>
      <c r="Q79" s="28">
        <v>28430</v>
      </c>
      <c r="R79" s="40"/>
    </row>
    <row r="80" spans="1:18">
      <c r="A80" s="31" t="s">
        <v>242</v>
      </c>
      <c r="B80" s="35" t="s">
        <v>1152</v>
      </c>
      <c r="C80" s="25">
        <v>202</v>
      </c>
      <c r="D80" s="38" t="s">
        <v>243</v>
      </c>
      <c r="E80" s="39" t="s">
        <v>1167</v>
      </c>
      <c r="F80" s="38" t="s">
        <v>231</v>
      </c>
      <c r="G80" s="31" t="s">
        <v>232</v>
      </c>
      <c r="H80" s="31" t="s">
        <v>39</v>
      </c>
      <c r="I80" s="77" t="s">
        <v>1376</v>
      </c>
      <c r="J80" s="77" t="s">
        <v>1296</v>
      </c>
      <c r="K80" s="31" t="s">
        <v>1170</v>
      </c>
      <c r="L80" s="31"/>
      <c r="M80" s="31"/>
      <c r="N80" s="35"/>
      <c r="O80" s="35" t="s">
        <v>235</v>
      </c>
      <c r="P80" s="35" t="s">
        <v>1050</v>
      </c>
      <c r="Q80" s="28">
        <v>28430</v>
      </c>
      <c r="R80" s="40"/>
    </row>
    <row r="81" spans="1:18">
      <c r="A81" s="31" t="s">
        <v>246</v>
      </c>
      <c r="B81" s="35" t="s">
        <v>1152</v>
      </c>
      <c r="C81" s="25">
        <v>204</v>
      </c>
      <c r="D81" s="38" t="s">
        <v>247</v>
      </c>
      <c r="E81" s="39" t="s">
        <v>1167</v>
      </c>
      <c r="F81" s="38" t="s">
        <v>231</v>
      </c>
      <c r="G81" s="31" t="s">
        <v>232</v>
      </c>
      <c r="H81" s="31" t="s">
        <v>39</v>
      </c>
      <c r="I81" s="77" t="s">
        <v>1376</v>
      </c>
      <c r="J81" s="77" t="s">
        <v>1296</v>
      </c>
      <c r="K81" s="31" t="s">
        <v>1171</v>
      </c>
      <c r="L81" s="31"/>
      <c r="M81" s="31"/>
      <c r="N81" s="35"/>
      <c r="O81" s="35" t="s">
        <v>235</v>
      </c>
      <c r="P81" s="35" t="s">
        <v>1050</v>
      </c>
      <c r="Q81" s="28">
        <v>28430</v>
      </c>
      <c r="R81" s="40"/>
    </row>
    <row r="82" spans="1:18">
      <c r="A82" s="31" t="s">
        <v>248</v>
      </c>
      <c r="B82" s="35" t="s">
        <v>1152</v>
      </c>
      <c r="C82" s="25">
        <v>205</v>
      </c>
      <c r="D82" s="38" t="s">
        <v>249</v>
      </c>
      <c r="E82" s="39" t="s">
        <v>1167</v>
      </c>
      <c r="F82" s="38" t="s">
        <v>231</v>
      </c>
      <c r="G82" s="31" t="s">
        <v>232</v>
      </c>
      <c r="H82" s="31" t="s">
        <v>39</v>
      </c>
      <c r="I82" s="77" t="s">
        <v>1376</v>
      </c>
      <c r="J82" s="77" t="s">
        <v>1296</v>
      </c>
      <c r="K82" s="31" t="s">
        <v>1171</v>
      </c>
      <c r="L82" s="31"/>
      <c r="M82" s="31"/>
      <c r="N82" s="35"/>
      <c r="O82" s="35" t="s">
        <v>235</v>
      </c>
      <c r="P82" s="35" t="s">
        <v>1050</v>
      </c>
      <c r="Q82" s="28">
        <v>28430</v>
      </c>
      <c r="R82" s="40"/>
    </row>
    <row r="83" spans="1:18">
      <c r="A83" s="31" t="s">
        <v>244</v>
      </c>
      <c r="B83" s="35" t="s">
        <v>1152</v>
      </c>
      <c r="C83" s="25">
        <v>203</v>
      </c>
      <c r="D83" s="38" t="s">
        <v>245</v>
      </c>
      <c r="E83" s="39" t="s">
        <v>1167</v>
      </c>
      <c r="F83" s="38" t="s">
        <v>231</v>
      </c>
      <c r="G83" s="31" t="s">
        <v>232</v>
      </c>
      <c r="H83" s="31" t="s">
        <v>39</v>
      </c>
      <c r="I83" s="77" t="s">
        <v>1376</v>
      </c>
      <c r="J83" s="77" t="s">
        <v>1296</v>
      </c>
      <c r="K83" s="31" t="s">
        <v>1170</v>
      </c>
      <c r="L83" s="31"/>
      <c r="M83" s="31"/>
      <c r="N83" s="35"/>
      <c r="O83" s="35" t="s">
        <v>235</v>
      </c>
      <c r="P83" s="35" t="s">
        <v>1050</v>
      </c>
      <c r="Q83" s="28">
        <v>28430</v>
      </c>
      <c r="R83" s="40"/>
    </row>
    <row r="84" spans="1:18">
      <c r="A84" s="31" t="s">
        <v>229</v>
      </c>
      <c r="B84" s="35" t="s">
        <v>1152</v>
      </c>
      <c r="C84" s="25">
        <v>199</v>
      </c>
      <c r="D84" s="38" t="s">
        <v>230</v>
      </c>
      <c r="E84" s="39" t="s">
        <v>1167</v>
      </c>
      <c r="F84" s="38" t="s">
        <v>231</v>
      </c>
      <c r="G84" s="31" t="s">
        <v>232</v>
      </c>
      <c r="H84" s="31" t="s">
        <v>39</v>
      </c>
      <c r="I84" s="77" t="s">
        <v>1376</v>
      </c>
      <c r="J84" s="77" t="s">
        <v>1296</v>
      </c>
      <c r="K84" s="31" t="s">
        <v>234</v>
      </c>
      <c r="L84" s="86" t="s">
        <v>1426</v>
      </c>
      <c r="M84" s="89" t="s">
        <v>1427</v>
      </c>
      <c r="N84" s="35"/>
      <c r="O84" s="35" t="s">
        <v>235</v>
      </c>
      <c r="P84" s="35" t="s">
        <v>1050</v>
      </c>
      <c r="Q84" s="28">
        <v>28430</v>
      </c>
      <c r="R84" s="40"/>
    </row>
    <row r="85" spans="1:18">
      <c r="A85" s="31" t="s">
        <v>282</v>
      </c>
      <c r="B85" s="35" t="s">
        <v>1152</v>
      </c>
      <c r="C85" s="25">
        <v>217</v>
      </c>
      <c r="D85" s="38" t="s">
        <v>283</v>
      </c>
      <c r="E85" s="38" t="s">
        <v>1179</v>
      </c>
      <c r="F85" s="38" t="s">
        <v>284</v>
      </c>
      <c r="G85" s="31" t="s">
        <v>285</v>
      </c>
      <c r="H85" s="31" t="s">
        <v>39</v>
      </c>
      <c r="I85" s="31" t="s">
        <v>1344</v>
      </c>
      <c r="J85" s="31" t="s">
        <v>1345</v>
      </c>
      <c r="K85" s="31" t="s">
        <v>286</v>
      </c>
      <c r="L85" s="83" t="s">
        <v>1391</v>
      </c>
      <c r="M85" s="35" t="s">
        <v>1334</v>
      </c>
      <c r="N85" s="35"/>
      <c r="O85" s="35" t="s">
        <v>287</v>
      </c>
      <c r="P85" s="35" t="s">
        <v>1119</v>
      </c>
      <c r="Q85" s="28">
        <v>66880</v>
      </c>
      <c r="R85" s="40"/>
    </row>
    <row r="86" spans="1:18">
      <c r="A86" s="31" t="s">
        <v>266</v>
      </c>
      <c r="B86" s="35" t="s">
        <v>1152</v>
      </c>
      <c r="C86" s="25">
        <v>210</v>
      </c>
      <c r="D86" s="57">
        <v>1512638</v>
      </c>
      <c r="E86" s="38" t="s">
        <v>1176</v>
      </c>
      <c r="F86" s="38" t="s">
        <v>1177</v>
      </c>
      <c r="G86" s="31" t="s">
        <v>267</v>
      </c>
      <c r="H86" s="31" t="s">
        <v>39</v>
      </c>
      <c r="I86" s="31" t="s">
        <v>1332</v>
      </c>
      <c r="J86" s="31" t="s">
        <v>1765</v>
      </c>
      <c r="K86" s="31" t="s">
        <v>1159</v>
      </c>
      <c r="L86" s="31" t="s">
        <v>1333</v>
      </c>
      <c r="M86" s="31" t="s">
        <v>1334</v>
      </c>
      <c r="N86" s="35"/>
      <c r="O86" s="35" t="s">
        <v>196</v>
      </c>
      <c r="P86" s="35" t="s">
        <v>1119</v>
      </c>
      <c r="Q86" s="28">
        <v>83600</v>
      </c>
      <c r="R86" s="40"/>
    </row>
    <row r="87" spans="1:18" ht="26.4">
      <c r="A87" s="33" t="s">
        <v>274</v>
      </c>
      <c r="B87" s="35" t="s">
        <v>1152</v>
      </c>
      <c r="C87" s="25">
        <v>213</v>
      </c>
      <c r="D87" s="50" t="s">
        <v>275</v>
      </c>
      <c r="E87" s="41" t="s">
        <v>1178</v>
      </c>
      <c r="F87" s="42" t="s">
        <v>270</v>
      </c>
      <c r="G87" s="31" t="s">
        <v>271</v>
      </c>
      <c r="H87" s="31" t="s">
        <v>39</v>
      </c>
      <c r="I87" s="76" t="s">
        <v>1332</v>
      </c>
      <c r="J87" s="76" t="s">
        <v>1297</v>
      </c>
      <c r="K87" s="31" t="s">
        <v>1170</v>
      </c>
      <c r="L87" s="31"/>
      <c r="M87" s="31"/>
      <c r="N87" s="35"/>
      <c r="O87" s="35" t="s">
        <v>241</v>
      </c>
      <c r="P87" s="35" t="s">
        <v>1050</v>
      </c>
      <c r="Q87" s="28">
        <v>17690</v>
      </c>
      <c r="R87" s="40"/>
    </row>
    <row r="88" spans="1:18">
      <c r="A88" s="31" t="s">
        <v>272</v>
      </c>
      <c r="B88" s="35" t="s">
        <v>1152</v>
      </c>
      <c r="C88" s="25">
        <v>212</v>
      </c>
      <c r="D88" s="38" t="s">
        <v>273</v>
      </c>
      <c r="E88" s="39" t="s">
        <v>1175</v>
      </c>
      <c r="F88" s="38" t="s">
        <v>231</v>
      </c>
      <c r="G88" s="31" t="s">
        <v>265</v>
      </c>
      <c r="H88" s="31" t="s">
        <v>39</v>
      </c>
      <c r="I88" s="77" t="s">
        <v>1332</v>
      </c>
      <c r="J88" s="77" t="s">
        <v>1297</v>
      </c>
      <c r="K88" s="31" t="s">
        <v>1159</v>
      </c>
      <c r="L88" s="86" t="s">
        <v>1428</v>
      </c>
      <c r="M88" s="35" t="s">
        <v>1334</v>
      </c>
      <c r="N88" s="35"/>
      <c r="O88" s="35" t="s">
        <v>235</v>
      </c>
      <c r="P88" s="35" t="s">
        <v>1050</v>
      </c>
      <c r="Q88" s="28">
        <v>28430</v>
      </c>
      <c r="R88" s="40"/>
    </row>
    <row r="89" spans="1:18">
      <c r="A89" s="31" t="s">
        <v>263</v>
      </c>
      <c r="B89" s="35" t="s">
        <v>1152</v>
      </c>
      <c r="C89" s="25">
        <v>209</v>
      </c>
      <c r="D89" s="38" t="s">
        <v>264</v>
      </c>
      <c r="E89" s="39" t="s">
        <v>1175</v>
      </c>
      <c r="F89" s="38" t="s">
        <v>231</v>
      </c>
      <c r="G89" s="31" t="s">
        <v>265</v>
      </c>
      <c r="H89" s="31" t="s">
        <v>39</v>
      </c>
      <c r="I89" s="77" t="s">
        <v>1332</v>
      </c>
      <c r="J89" s="77" t="s">
        <v>1297</v>
      </c>
      <c r="K89" s="31" t="s">
        <v>234</v>
      </c>
      <c r="L89" s="83" t="s">
        <v>1423</v>
      </c>
      <c r="M89" s="35" t="s">
        <v>1399</v>
      </c>
      <c r="N89" s="35"/>
      <c r="O89" s="35" t="s">
        <v>235</v>
      </c>
      <c r="P89" s="35" t="s">
        <v>1050</v>
      </c>
      <c r="Q89" s="28">
        <v>28430</v>
      </c>
      <c r="R89" s="40"/>
    </row>
    <row r="90" spans="1:18">
      <c r="A90" s="31" t="s">
        <v>276</v>
      </c>
      <c r="B90" s="35" t="s">
        <v>1152</v>
      </c>
      <c r="C90" s="25">
        <v>214</v>
      </c>
      <c r="D90" s="38" t="s">
        <v>277</v>
      </c>
      <c r="E90" s="39" t="s">
        <v>1175</v>
      </c>
      <c r="F90" s="38" t="s">
        <v>231</v>
      </c>
      <c r="G90" s="31" t="s">
        <v>265</v>
      </c>
      <c r="H90" s="31" t="s">
        <v>39</v>
      </c>
      <c r="I90" s="77" t="s">
        <v>1332</v>
      </c>
      <c r="J90" s="77" t="s">
        <v>1297</v>
      </c>
      <c r="K90" s="31" t="s">
        <v>1170</v>
      </c>
      <c r="L90" s="31"/>
      <c r="M90" s="31"/>
      <c r="N90" s="35"/>
      <c r="O90" s="35" t="s">
        <v>235</v>
      </c>
      <c r="P90" s="35" t="s">
        <v>1050</v>
      </c>
      <c r="Q90" s="28">
        <v>28430</v>
      </c>
      <c r="R90" s="40"/>
    </row>
    <row r="91" spans="1:18">
      <c r="A91" s="31" t="s">
        <v>278</v>
      </c>
      <c r="B91" s="35" t="s">
        <v>1152</v>
      </c>
      <c r="C91" s="25">
        <v>215</v>
      </c>
      <c r="D91" s="38" t="s">
        <v>279</v>
      </c>
      <c r="E91" s="39" t="s">
        <v>1175</v>
      </c>
      <c r="F91" s="38" t="s">
        <v>231</v>
      </c>
      <c r="G91" s="31" t="s">
        <v>265</v>
      </c>
      <c r="H91" s="31" t="s">
        <v>39</v>
      </c>
      <c r="I91" s="77" t="s">
        <v>1332</v>
      </c>
      <c r="J91" s="77" t="s">
        <v>1297</v>
      </c>
      <c r="K91" s="31" t="s">
        <v>1171</v>
      </c>
      <c r="L91" s="31"/>
      <c r="M91" s="31"/>
      <c r="N91" s="35"/>
      <c r="O91" s="35" t="s">
        <v>235</v>
      </c>
      <c r="P91" s="35" t="s">
        <v>1050</v>
      </c>
      <c r="Q91" s="28">
        <v>28430</v>
      </c>
      <c r="R91" s="40"/>
    </row>
    <row r="92" spans="1:18">
      <c r="A92" s="31" t="s">
        <v>280</v>
      </c>
      <c r="B92" s="35" t="s">
        <v>1152</v>
      </c>
      <c r="C92" s="25">
        <v>216</v>
      </c>
      <c r="D92" s="38" t="s">
        <v>281</v>
      </c>
      <c r="E92" s="39" t="s">
        <v>1175</v>
      </c>
      <c r="F92" s="38" t="s">
        <v>231</v>
      </c>
      <c r="G92" s="31" t="s">
        <v>265</v>
      </c>
      <c r="H92" s="31" t="s">
        <v>39</v>
      </c>
      <c r="I92" s="77" t="s">
        <v>1332</v>
      </c>
      <c r="J92" s="77" t="s">
        <v>1297</v>
      </c>
      <c r="K92" s="31" t="s">
        <v>1171</v>
      </c>
      <c r="L92" s="31"/>
      <c r="M92" s="31"/>
      <c r="N92" s="35"/>
      <c r="O92" s="35" t="s">
        <v>235</v>
      </c>
      <c r="P92" s="35" t="s">
        <v>1050</v>
      </c>
      <c r="Q92" s="28">
        <v>28430</v>
      </c>
      <c r="R92" s="40"/>
    </row>
    <row r="93" spans="1:18" ht="26.4">
      <c r="A93" s="33" t="s">
        <v>268</v>
      </c>
      <c r="B93" s="35" t="s">
        <v>1152</v>
      </c>
      <c r="C93" s="25">
        <v>211</v>
      </c>
      <c r="D93" s="50" t="s">
        <v>269</v>
      </c>
      <c r="E93" s="41" t="s">
        <v>1178</v>
      </c>
      <c r="F93" s="42" t="s">
        <v>270</v>
      </c>
      <c r="G93" s="31" t="s">
        <v>271</v>
      </c>
      <c r="H93" s="31" t="s">
        <v>39</v>
      </c>
      <c r="I93" s="76" t="s">
        <v>1361</v>
      </c>
      <c r="J93" s="76" t="s">
        <v>1362</v>
      </c>
      <c r="K93" s="31" t="s">
        <v>1159</v>
      </c>
      <c r="L93" s="86" t="s">
        <v>1414</v>
      </c>
      <c r="M93" s="45" t="s">
        <v>1393</v>
      </c>
      <c r="N93" s="35"/>
      <c r="O93" s="35" t="s">
        <v>241</v>
      </c>
      <c r="P93" s="35" t="s">
        <v>1050</v>
      </c>
      <c r="Q93" s="28">
        <v>17690</v>
      </c>
      <c r="R93" s="40"/>
    </row>
    <row r="94" spans="1:18" ht="26.4">
      <c r="A94" s="31" t="s">
        <v>561</v>
      </c>
      <c r="B94" s="35" t="s">
        <v>1152</v>
      </c>
      <c r="C94" s="25">
        <v>316</v>
      </c>
      <c r="D94" s="39" t="s">
        <v>562</v>
      </c>
      <c r="E94" s="49" t="s">
        <v>407</v>
      </c>
      <c r="F94" s="38" t="s">
        <v>563</v>
      </c>
      <c r="G94" s="31" t="s">
        <v>371</v>
      </c>
      <c r="H94" s="81" t="s">
        <v>1109</v>
      </c>
      <c r="I94" s="77" t="s">
        <v>302</v>
      </c>
      <c r="J94" s="77" t="s">
        <v>1382</v>
      </c>
      <c r="K94" s="31" t="s">
        <v>1171</v>
      </c>
      <c r="L94" s="31"/>
      <c r="M94" s="35" t="s">
        <v>1429</v>
      </c>
      <c r="N94" s="35"/>
      <c r="O94" s="45" t="s">
        <v>235</v>
      </c>
      <c r="P94" s="45" t="s">
        <v>1182</v>
      </c>
      <c r="Q94" s="46">
        <v>14370</v>
      </c>
      <c r="R94" s="47"/>
    </row>
    <row r="95" spans="1:18" ht="26.4">
      <c r="A95" s="31" t="s">
        <v>564</v>
      </c>
      <c r="B95" s="35" t="s">
        <v>1152</v>
      </c>
      <c r="C95" s="25">
        <v>317</v>
      </c>
      <c r="D95" s="39" t="s">
        <v>565</v>
      </c>
      <c r="E95" s="49" t="s">
        <v>407</v>
      </c>
      <c r="F95" s="42" t="s">
        <v>566</v>
      </c>
      <c r="G95" s="31" t="s">
        <v>1197</v>
      </c>
      <c r="H95" s="81" t="s">
        <v>1109</v>
      </c>
      <c r="I95" s="76" t="s">
        <v>1388</v>
      </c>
      <c r="J95" s="77" t="s">
        <v>568</v>
      </c>
      <c r="K95" s="31" t="s">
        <v>201</v>
      </c>
      <c r="L95" s="83" t="s">
        <v>1437</v>
      </c>
      <c r="M95" s="45" t="s">
        <v>1438</v>
      </c>
      <c r="N95" s="35"/>
      <c r="O95" s="45" t="s">
        <v>235</v>
      </c>
      <c r="P95" s="45" t="s">
        <v>1182</v>
      </c>
      <c r="Q95" s="46">
        <v>14370</v>
      </c>
      <c r="R95" s="47"/>
    </row>
    <row r="96" spans="1:18" ht="26.4">
      <c r="A96" s="31" t="s">
        <v>590</v>
      </c>
      <c r="B96" s="35" t="s">
        <v>1152</v>
      </c>
      <c r="C96" s="25">
        <v>325</v>
      </c>
      <c r="D96" s="39" t="s">
        <v>591</v>
      </c>
      <c r="E96" s="49" t="s">
        <v>407</v>
      </c>
      <c r="F96" s="42" t="s">
        <v>566</v>
      </c>
      <c r="G96" s="31" t="s">
        <v>1197</v>
      </c>
      <c r="H96" s="81" t="s">
        <v>1109</v>
      </c>
      <c r="I96" s="31" t="s">
        <v>567</v>
      </c>
      <c r="J96" s="31" t="s">
        <v>568</v>
      </c>
      <c r="K96" s="31" t="s">
        <v>1170</v>
      </c>
      <c r="L96" s="31"/>
      <c r="M96" s="31"/>
      <c r="N96" s="35"/>
      <c r="O96" s="45" t="s">
        <v>235</v>
      </c>
      <c r="P96" s="45" t="s">
        <v>1182</v>
      </c>
      <c r="Q96" s="46">
        <v>14370</v>
      </c>
      <c r="R96" s="47"/>
    </row>
    <row r="97" spans="1:18" ht="26.4">
      <c r="A97" s="31" t="s">
        <v>569</v>
      </c>
      <c r="B97" s="35" t="s">
        <v>1152</v>
      </c>
      <c r="C97" s="25">
        <v>318</v>
      </c>
      <c r="D97" s="39" t="s">
        <v>570</v>
      </c>
      <c r="E97" s="49" t="s">
        <v>407</v>
      </c>
      <c r="F97" s="42" t="s">
        <v>571</v>
      </c>
      <c r="G97" s="31" t="s">
        <v>1197</v>
      </c>
      <c r="H97" s="81" t="s">
        <v>1109</v>
      </c>
      <c r="I97" s="31" t="s">
        <v>567</v>
      </c>
      <c r="J97" s="31" t="s">
        <v>568</v>
      </c>
      <c r="K97" s="31" t="s">
        <v>201</v>
      </c>
      <c r="L97" s="83" t="s">
        <v>1437</v>
      </c>
      <c r="M97" s="45" t="s">
        <v>1438</v>
      </c>
      <c r="N97" s="35"/>
      <c r="O97" s="45" t="s">
        <v>235</v>
      </c>
      <c r="P97" s="45" t="s">
        <v>1182</v>
      </c>
      <c r="Q97" s="46">
        <v>14370</v>
      </c>
      <c r="R97" s="47"/>
    </row>
    <row r="98" spans="1:18" ht="26.4">
      <c r="A98" s="31" t="s">
        <v>592</v>
      </c>
      <c r="B98" s="35" t="s">
        <v>1152</v>
      </c>
      <c r="C98" s="25">
        <v>326</v>
      </c>
      <c r="D98" s="39" t="s">
        <v>593</v>
      </c>
      <c r="E98" s="49" t="s">
        <v>407</v>
      </c>
      <c r="F98" s="42" t="s">
        <v>571</v>
      </c>
      <c r="G98" s="31" t="s">
        <v>1197</v>
      </c>
      <c r="H98" s="81" t="s">
        <v>1109</v>
      </c>
      <c r="I98" s="31" t="s">
        <v>567</v>
      </c>
      <c r="J98" s="31" t="s">
        <v>568</v>
      </c>
      <c r="K98" s="31" t="s">
        <v>1170</v>
      </c>
      <c r="L98" s="83" t="s">
        <v>1439</v>
      </c>
      <c r="M98" s="45" t="s">
        <v>1440</v>
      </c>
      <c r="N98" s="35"/>
      <c r="O98" s="45" t="s">
        <v>235</v>
      </c>
      <c r="P98" s="45" t="s">
        <v>1182</v>
      </c>
      <c r="Q98" s="46">
        <v>14370</v>
      </c>
      <c r="R98" s="47"/>
    </row>
    <row r="99" spans="1:18" ht="26.4">
      <c r="A99" s="31" t="s">
        <v>594</v>
      </c>
      <c r="B99" s="35" t="s">
        <v>1152</v>
      </c>
      <c r="C99" s="25">
        <v>327</v>
      </c>
      <c r="D99" s="39" t="s">
        <v>595</v>
      </c>
      <c r="E99" s="49" t="s">
        <v>407</v>
      </c>
      <c r="F99" s="42" t="s">
        <v>574</v>
      </c>
      <c r="G99" s="31" t="s">
        <v>1197</v>
      </c>
      <c r="H99" s="81" t="s">
        <v>1109</v>
      </c>
      <c r="I99" s="31" t="s">
        <v>567</v>
      </c>
      <c r="J99" s="31" t="s">
        <v>568</v>
      </c>
      <c r="K99" s="31" t="s">
        <v>1170</v>
      </c>
      <c r="L99" s="83" t="s">
        <v>1425</v>
      </c>
      <c r="M99" s="45" t="s">
        <v>1400</v>
      </c>
      <c r="N99" s="35"/>
      <c r="O99" s="45" t="s">
        <v>235</v>
      </c>
      <c r="P99" s="45" t="s">
        <v>1182</v>
      </c>
      <c r="Q99" s="46">
        <v>14370</v>
      </c>
      <c r="R99" s="47"/>
    </row>
    <row r="100" spans="1:18" ht="26.4">
      <c r="A100" s="31" t="s">
        <v>572</v>
      </c>
      <c r="B100" s="35" t="s">
        <v>1152</v>
      </c>
      <c r="C100" s="25">
        <v>319</v>
      </c>
      <c r="D100" s="39" t="s">
        <v>573</v>
      </c>
      <c r="E100" s="49" t="s">
        <v>407</v>
      </c>
      <c r="F100" s="42" t="s">
        <v>574</v>
      </c>
      <c r="G100" s="31" t="s">
        <v>1197</v>
      </c>
      <c r="H100" s="81" t="s">
        <v>1109</v>
      </c>
      <c r="I100" s="31" t="s">
        <v>567</v>
      </c>
      <c r="J100" s="31" t="s">
        <v>568</v>
      </c>
      <c r="K100" s="31" t="s">
        <v>201</v>
      </c>
      <c r="L100" s="83" t="s">
        <v>1441</v>
      </c>
      <c r="M100" s="45" t="s">
        <v>1442</v>
      </c>
      <c r="N100" s="35"/>
      <c r="O100" s="45" t="s">
        <v>235</v>
      </c>
      <c r="P100" s="45" t="s">
        <v>1182</v>
      </c>
      <c r="Q100" s="46">
        <v>14370</v>
      </c>
      <c r="R100" s="47"/>
    </row>
    <row r="101" spans="1:18" ht="26.4">
      <c r="A101" s="31" t="s">
        <v>596</v>
      </c>
      <c r="B101" s="35" t="s">
        <v>1152</v>
      </c>
      <c r="C101" s="25">
        <v>328</v>
      </c>
      <c r="D101" s="39" t="s">
        <v>597</v>
      </c>
      <c r="E101" s="49" t="s">
        <v>407</v>
      </c>
      <c r="F101" s="42" t="s">
        <v>577</v>
      </c>
      <c r="G101" s="31" t="s">
        <v>1197</v>
      </c>
      <c r="H101" s="81" t="s">
        <v>1109</v>
      </c>
      <c r="I101" s="31" t="s">
        <v>567</v>
      </c>
      <c r="J101" s="31" t="s">
        <v>568</v>
      </c>
      <c r="K101" s="31" t="s">
        <v>1170</v>
      </c>
      <c r="L101" s="31"/>
      <c r="M101" s="31"/>
      <c r="N101" s="35"/>
      <c r="O101" s="45" t="s">
        <v>235</v>
      </c>
      <c r="P101" s="45" t="s">
        <v>1182</v>
      </c>
      <c r="Q101" s="46">
        <v>14370</v>
      </c>
      <c r="R101" s="47"/>
    </row>
    <row r="102" spans="1:18" ht="26.4">
      <c r="A102" s="31" t="s">
        <v>575</v>
      </c>
      <c r="B102" s="35" t="s">
        <v>1152</v>
      </c>
      <c r="C102" s="25">
        <v>320</v>
      </c>
      <c r="D102" s="39" t="s">
        <v>576</v>
      </c>
      <c r="E102" s="49" t="s">
        <v>407</v>
      </c>
      <c r="F102" s="42" t="s">
        <v>577</v>
      </c>
      <c r="G102" s="31" t="s">
        <v>1197</v>
      </c>
      <c r="H102" s="81" t="s">
        <v>1109</v>
      </c>
      <c r="I102" s="31" t="s">
        <v>567</v>
      </c>
      <c r="J102" s="31" t="s">
        <v>568</v>
      </c>
      <c r="K102" s="31" t="s">
        <v>201</v>
      </c>
      <c r="L102" s="83" t="s">
        <v>1437</v>
      </c>
      <c r="M102" s="45" t="s">
        <v>1438</v>
      </c>
      <c r="N102" s="35"/>
      <c r="O102" s="45" t="s">
        <v>235</v>
      </c>
      <c r="P102" s="45" t="s">
        <v>1182</v>
      </c>
      <c r="Q102" s="46">
        <v>14370</v>
      </c>
      <c r="R102" s="47"/>
    </row>
    <row r="103" spans="1:18" ht="26.4">
      <c r="A103" s="31" t="s">
        <v>578</v>
      </c>
      <c r="B103" s="35" t="s">
        <v>1152</v>
      </c>
      <c r="C103" s="25">
        <v>321</v>
      </c>
      <c r="D103" s="39" t="s">
        <v>579</v>
      </c>
      <c r="E103" s="49" t="s">
        <v>407</v>
      </c>
      <c r="F103" s="42" t="s">
        <v>580</v>
      </c>
      <c r="G103" s="31" t="s">
        <v>1197</v>
      </c>
      <c r="H103" s="81" t="s">
        <v>1109</v>
      </c>
      <c r="I103" s="31" t="s">
        <v>567</v>
      </c>
      <c r="J103" s="31" t="s">
        <v>568</v>
      </c>
      <c r="K103" s="31" t="s">
        <v>201</v>
      </c>
      <c r="L103" s="83" t="s">
        <v>1443</v>
      </c>
      <c r="M103" s="45" t="s">
        <v>1444</v>
      </c>
      <c r="N103" s="35"/>
      <c r="O103" s="45" t="s">
        <v>235</v>
      </c>
      <c r="P103" s="45" t="s">
        <v>1182</v>
      </c>
      <c r="Q103" s="46">
        <v>14370</v>
      </c>
      <c r="R103" s="47"/>
    </row>
    <row r="104" spans="1:18" ht="26.4">
      <c r="A104" s="31" t="s">
        <v>598</v>
      </c>
      <c r="B104" s="35" t="s">
        <v>1152</v>
      </c>
      <c r="C104" s="25">
        <v>329</v>
      </c>
      <c r="D104" s="39" t="s">
        <v>599</v>
      </c>
      <c r="E104" s="49" t="s">
        <v>407</v>
      </c>
      <c r="F104" s="42" t="s">
        <v>580</v>
      </c>
      <c r="G104" s="31" t="s">
        <v>1197</v>
      </c>
      <c r="H104" s="81" t="s">
        <v>1109</v>
      </c>
      <c r="I104" s="31" t="s">
        <v>567</v>
      </c>
      <c r="J104" s="31" t="s">
        <v>568</v>
      </c>
      <c r="K104" s="31" t="s">
        <v>1170</v>
      </c>
      <c r="L104" s="31"/>
      <c r="M104" s="31"/>
      <c r="N104" s="35"/>
      <c r="O104" s="45" t="s">
        <v>235</v>
      </c>
      <c r="P104" s="45" t="s">
        <v>1182</v>
      </c>
      <c r="Q104" s="46">
        <v>14370</v>
      </c>
      <c r="R104" s="47"/>
    </row>
    <row r="105" spans="1:18" ht="26.4">
      <c r="A105" s="31" t="s">
        <v>600</v>
      </c>
      <c r="B105" s="35" t="s">
        <v>1152</v>
      </c>
      <c r="C105" s="25">
        <v>330</v>
      </c>
      <c r="D105" s="39" t="s">
        <v>601</v>
      </c>
      <c r="E105" s="49" t="s">
        <v>407</v>
      </c>
      <c r="F105" s="42" t="s">
        <v>583</v>
      </c>
      <c r="G105" s="31" t="s">
        <v>1197</v>
      </c>
      <c r="H105" s="81" t="s">
        <v>1109</v>
      </c>
      <c r="I105" s="31" t="s">
        <v>567</v>
      </c>
      <c r="J105" s="31" t="s">
        <v>568</v>
      </c>
      <c r="K105" s="31" t="s">
        <v>1170</v>
      </c>
      <c r="L105" s="83" t="s">
        <v>1445</v>
      </c>
      <c r="M105" s="45" t="s">
        <v>1446</v>
      </c>
      <c r="N105" s="35"/>
      <c r="O105" s="45" t="s">
        <v>235</v>
      </c>
      <c r="P105" s="45" t="s">
        <v>1182</v>
      </c>
      <c r="Q105" s="46">
        <v>14370</v>
      </c>
      <c r="R105" s="47"/>
    </row>
    <row r="106" spans="1:18" ht="26.4">
      <c r="A106" s="31" t="s">
        <v>581</v>
      </c>
      <c r="B106" s="35" t="s">
        <v>1152</v>
      </c>
      <c r="C106" s="25">
        <v>322</v>
      </c>
      <c r="D106" s="39" t="s">
        <v>582</v>
      </c>
      <c r="E106" s="49" t="s">
        <v>407</v>
      </c>
      <c r="F106" s="42" t="s">
        <v>583</v>
      </c>
      <c r="G106" s="31" t="s">
        <v>1197</v>
      </c>
      <c r="H106" s="81" t="s">
        <v>1109</v>
      </c>
      <c r="I106" s="31" t="s">
        <v>567</v>
      </c>
      <c r="J106" s="31" t="s">
        <v>568</v>
      </c>
      <c r="K106" s="31" t="s">
        <v>201</v>
      </c>
      <c r="L106" s="83" t="s">
        <v>1441</v>
      </c>
      <c r="M106" s="45" t="s">
        <v>1442</v>
      </c>
      <c r="N106" s="35"/>
      <c r="O106" s="45" t="s">
        <v>235</v>
      </c>
      <c r="P106" s="45" t="s">
        <v>1182</v>
      </c>
      <c r="Q106" s="46">
        <v>14370</v>
      </c>
      <c r="R106" s="47"/>
    </row>
    <row r="107" spans="1:18" ht="26.4">
      <c r="A107" s="31" t="s">
        <v>584</v>
      </c>
      <c r="B107" s="35" t="s">
        <v>1152</v>
      </c>
      <c r="C107" s="25">
        <v>323</v>
      </c>
      <c r="D107" s="39" t="s">
        <v>585</v>
      </c>
      <c r="E107" s="49" t="s">
        <v>407</v>
      </c>
      <c r="F107" s="42" t="s">
        <v>586</v>
      </c>
      <c r="G107" s="31" t="s">
        <v>1197</v>
      </c>
      <c r="H107" s="81" t="s">
        <v>1109</v>
      </c>
      <c r="I107" s="31" t="s">
        <v>567</v>
      </c>
      <c r="J107" s="31" t="s">
        <v>568</v>
      </c>
      <c r="K107" s="31" t="s">
        <v>201</v>
      </c>
      <c r="L107" s="83" t="s">
        <v>1437</v>
      </c>
      <c r="M107" s="45" t="s">
        <v>1438</v>
      </c>
      <c r="N107" s="35"/>
      <c r="O107" s="45" t="s">
        <v>235</v>
      </c>
      <c r="P107" s="45" t="s">
        <v>1182</v>
      </c>
      <c r="Q107" s="46">
        <v>14370</v>
      </c>
      <c r="R107" s="47"/>
    </row>
    <row r="108" spans="1:18" ht="26.4">
      <c r="A108" s="31" t="s">
        <v>602</v>
      </c>
      <c r="B108" s="35" t="s">
        <v>1152</v>
      </c>
      <c r="C108" s="25">
        <v>331</v>
      </c>
      <c r="D108" s="39" t="s">
        <v>603</v>
      </c>
      <c r="E108" s="49" t="s">
        <v>407</v>
      </c>
      <c r="F108" s="42" t="s">
        <v>586</v>
      </c>
      <c r="G108" s="31" t="s">
        <v>1197</v>
      </c>
      <c r="H108" s="81" t="s">
        <v>1109</v>
      </c>
      <c r="I108" s="31" t="s">
        <v>567</v>
      </c>
      <c r="J108" s="31" t="s">
        <v>568</v>
      </c>
      <c r="K108" s="31" t="s">
        <v>1170</v>
      </c>
      <c r="L108" s="31"/>
      <c r="M108" s="31"/>
      <c r="N108" s="35"/>
      <c r="O108" s="45" t="s">
        <v>235</v>
      </c>
      <c r="P108" s="45" t="s">
        <v>1182</v>
      </c>
      <c r="Q108" s="46">
        <v>14370</v>
      </c>
      <c r="R108" s="47"/>
    </row>
    <row r="109" spans="1:18" ht="26.4">
      <c r="A109" s="31" t="s">
        <v>604</v>
      </c>
      <c r="B109" s="35" t="s">
        <v>1152</v>
      </c>
      <c r="C109" s="25">
        <v>332</v>
      </c>
      <c r="D109" s="39" t="s">
        <v>605</v>
      </c>
      <c r="E109" s="49" t="s">
        <v>407</v>
      </c>
      <c r="F109" s="42" t="s">
        <v>589</v>
      </c>
      <c r="G109" s="31" t="s">
        <v>1197</v>
      </c>
      <c r="H109" s="81" t="s">
        <v>1109</v>
      </c>
      <c r="I109" s="31" t="s">
        <v>567</v>
      </c>
      <c r="J109" s="31" t="s">
        <v>568</v>
      </c>
      <c r="K109" s="31" t="s">
        <v>1170</v>
      </c>
      <c r="L109" s="31"/>
      <c r="M109" s="31"/>
      <c r="N109" s="35"/>
      <c r="O109" s="45" t="s">
        <v>235</v>
      </c>
      <c r="P109" s="45" t="s">
        <v>1182</v>
      </c>
      <c r="Q109" s="46">
        <v>14370</v>
      </c>
      <c r="R109" s="47"/>
    </row>
    <row r="110" spans="1:18" ht="26.4">
      <c r="A110" s="31" t="s">
        <v>587</v>
      </c>
      <c r="B110" s="35" t="s">
        <v>1152</v>
      </c>
      <c r="C110" s="25">
        <v>324</v>
      </c>
      <c r="D110" s="39" t="s">
        <v>588</v>
      </c>
      <c r="E110" s="49" t="s">
        <v>407</v>
      </c>
      <c r="F110" s="42" t="s">
        <v>589</v>
      </c>
      <c r="G110" s="31" t="s">
        <v>1197</v>
      </c>
      <c r="H110" s="81" t="s">
        <v>1109</v>
      </c>
      <c r="I110" s="31" t="s">
        <v>567</v>
      </c>
      <c r="J110" s="31" t="s">
        <v>568</v>
      </c>
      <c r="K110" s="31" t="s">
        <v>201</v>
      </c>
      <c r="L110" s="83" t="s">
        <v>1447</v>
      </c>
      <c r="M110" s="45" t="s">
        <v>1448</v>
      </c>
      <c r="N110" s="35"/>
      <c r="O110" s="45" t="s">
        <v>235</v>
      </c>
      <c r="P110" s="45" t="s">
        <v>1182</v>
      </c>
      <c r="Q110" s="46">
        <v>14370</v>
      </c>
      <c r="R110" s="47"/>
    </row>
    <row r="111" spans="1:18">
      <c r="A111" s="37" t="s">
        <v>350</v>
      </c>
      <c r="B111" s="35" t="s">
        <v>1152</v>
      </c>
      <c r="C111" s="25">
        <v>241</v>
      </c>
      <c r="D111" s="38" t="s">
        <v>351</v>
      </c>
      <c r="E111" s="38" t="s">
        <v>1070</v>
      </c>
      <c r="F111" s="38" t="s">
        <v>347</v>
      </c>
      <c r="G111" s="31" t="s">
        <v>348</v>
      </c>
      <c r="H111" s="31" t="s">
        <v>39</v>
      </c>
      <c r="I111" s="77" t="s">
        <v>1378</v>
      </c>
      <c r="J111" s="77" t="s">
        <v>1753</v>
      </c>
      <c r="K111" s="31" t="s">
        <v>1170</v>
      </c>
      <c r="L111" s="31"/>
      <c r="M111" s="31"/>
      <c r="N111" s="35"/>
      <c r="O111" s="35" t="s">
        <v>235</v>
      </c>
      <c r="P111" s="35" t="s">
        <v>1182</v>
      </c>
      <c r="Q111" s="28">
        <v>31120</v>
      </c>
      <c r="R111" s="40" t="s">
        <v>349</v>
      </c>
    </row>
    <row r="112" spans="1:18" ht="26.4">
      <c r="A112" s="33" t="s">
        <v>403</v>
      </c>
      <c r="B112" s="35" t="s">
        <v>1152</v>
      </c>
      <c r="C112" s="25">
        <v>261</v>
      </c>
      <c r="D112" s="50" t="s">
        <v>404</v>
      </c>
      <c r="E112" s="41" t="s">
        <v>1178</v>
      </c>
      <c r="F112" s="42" t="s">
        <v>402</v>
      </c>
      <c r="G112" s="31" t="s">
        <v>271</v>
      </c>
      <c r="H112" s="31" t="s">
        <v>39</v>
      </c>
      <c r="I112" s="76" t="s">
        <v>1365</v>
      </c>
      <c r="J112" s="76" t="s">
        <v>1372</v>
      </c>
      <c r="K112" s="31" t="s">
        <v>1170</v>
      </c>
      <c r="L112" s="31"/>
      <c r="M112" s="31"/>
      <c r="N112" s="35"/>
      <c r="O112" s="45" t="s">
        <v>241</v>
      </c>
      <c r="P112" s="45" t="s">
        <v>1182</v>
      </c>
      <c r="Q112" s="46">
        <v>20630</v>
      </c>
      <c r="R112" s="47"/>
    </row>
    <row r="113" spans="1:18" ht="26.4">
      <c r="A113" s="33" t="s">
        <v>400</v>
      </c>
      <c r="B113" s="35" t="s">
        <v>1152</v>
      </c>
      <c r="C113" s="25">
        <v>260</v>
      </c>
      <c r="D113" s="50" t="s">
        <v>401</v>
      </c>
      <c r="E113" s="41" t="s">
        <v>1178</v>
      </c>
      <c r="F113" s="42" t="s">
        <v>402</v>
      </c>
      <c r="G113" s="31" t="s">
        <v>271</v>
      </c>
      <c r="H113" s="31" t="s">
        <v>39</v>
      </c>
      <c r="I113" s="76" t="s">
        <v>1366</v>
      </c>
      <c r="J113" s="76" t="s">
        <v>1372</v>
      </c>
      <c r="K113" s="31" t="s">
        <v>201</v>
      </c>
      <c r="L113" s="31"/>
      <c r="M113" s="31"/>
      <c r="N113" s="35"/>
      <c r="O113" s="45" t="s">
        <v>241</v>
      </c>
      <c r="P113" s="45" t="s">
        <v>1182</v>
      </c>
      <c r="Q113" s="46">
        <v>20630</v>
      </c>
      <c r="R113" s="47"/>
    </row>
    <row r="114" spans="1:18">
      <c r="A114" s="31" t="s">
        <v>303</v>
      </c>
      <c r="B114" s="35" t="s">
        <v>1152</v>
      </c>
      <c r="C114" s="25">
        <v>223</v>
      </c>
      <c r="D114" s="38" t="s">
        <v>304</v>
      </c>
      <c r="E114" s="38" t="s">
        <v>1168</v>
      </c>
      <c r="F114" s="38" t="s">
        <v>240</v>
      </c>
      <c r="G114" s="31" t="s">
        <v>1169</v>
      </c>
      <c r="H114" s="31" t="s">
        <v>39</v>
      </c>
      <c r="I114" s="77" t="s">
        <v>1371</v>
      </c>
      <c r="J114" s="77" t="s">
        <v>1779</v>
      </c>
      <c r="K114" s="31" t="s">
        <v>1159</v>
      </c>
      <c r="L114" s="83" t="s">
        <v>1402</v>
      </c>
      <c r="M114" s="35" t="s">
        <v>1393</v>
      </c>
      <c r="N114" s="35"/>
      <c r="O114" s="35" t="s">
        <v>241</v>
      </c>
      <c r="P114" s="35" t="s">
        <v>1050</v>
      </c>
      <c r="Q114" s="28">
        <v>13240</v>
      </c>
      <c r="R114" s="40"/>
    </row>
    <row r="115" spans="1:18">
      <c r="A115" s="31" t="s">
        <v>331</v>
      </c>
      <c r="B115" s="35" t="s">
        <v>1152</v>
      </c>
      <c r="C115" s="25">
        <v>235</v>
      </c>
      <c r="D115" s="38" t="s">
        <v>332</v>
      </c>
      <c r="E115" s="39" t="s">
        <v>1181</v>
      </c>
      <c r="F115" s="38" t="s">
        <v>333</v>
      </c>
      <c r="G115" s="31" t="s">
        <v>334</v>
      </c>
      <c r="H115" s="31" t="s">
        <v>39</v>
      </c>
      <c r="I115" s="77" t="s">
        <v>1378</v>
      </c>
      <c r="J115" s="77" t="s">
        <v>1779</v>
      </c>
      <c r="K115" s="31" t="s">
        <v>1170</v>
      </c>
      <c r="L115" s="83"/>
      <c r="M115" s="45"/>
      <c r="N115" s="35"/>
      <c r="O115" s="35" t="s">
        <v>235</v>
      </c>
      <c r="P115" s="35" t="s">
        <v>1050</v>
      </c>
      <c r="Q115" s="28">
        <v>18700</v>
      </c>
      <c r="R115" s="40"/>
    </row>
    <row r="116" spans="1:18">
      <c r="A116" s="31" t="s">
        <v>335</v>
      </c>
      <c r="B116" s="35" t="s">
        <v>1152</v>
      </c>
      <c r="C116" s="25">
        <v>236</v>
      </c>
      <c r="D116" s="38" t="s">
        <v>336</v>
      </c>
      <c r="E116" s="38" t="s">
        <v>1181</v>
      </c>
      <c r="F116" s="38" t="s">
        <v>333</v>
      </c>
      <c r="G116" s="31" t="s">
        <v>334</v>
      </c>
      <c r="H116" s="31" t="s">
        <v>39</v>
      </c>
      <c r="I116" s="77" t="s">
        <v>1371</v>
      </c>
      <c r="J116" s="77" t="s">
        <v>1779</v>
      </c>
      <c r="K116" s="31" t="s">
        <v>1170</v>
      </c>
      <c r="L116" s="31"/>
      <c r="M116" s="31"/>
      <c r="N116" s="35"/>
      <c r="O116" s="35" t="s">
        <v>235</v>
      </c>
      <c r="P116" s="35" t="s">
        <v>1050</v>
      </c>
      <c r="Q116" s="28">
        <v>18700</v>
      </c>
      <c r="R116" s="40"/>
    </row>
    <row r="117" spans="1:18">
      <c r="A117" s="31" t="s">
        <v>337</v>
      </c>
      <c r="B117" s="35" t="s">
        <v>1152</v>
      </c>
      <c r="C117" s="25">
        <v>237</v>
      </c>
      <c r="D117" s="38" t="s">
        <v>338</v>
      </c>
      <c r="E117" s="38" t="s">
        <v>1181</v>
      </c>
      <c r="F117" s="38" t="s">
        <v>333</v>
      </c>
      <c r="G117" s="31" t="s">
        <v>334</v>
      </c>
      <c r="H117" s="31" t="s">
        <v>39</v>
      </c>
      <c r="I117" s="77" t="s">
        <v>1378</v>
      </c>
      <c r="J117" s="77" t="s">
        <v>1779</v>
      </c>
      <c r="K117" s="31" t="s">
        <v>1170</v>
      </c>
      <c r="L117" s="31"/>
      <c r="M117" s="31"/>
      <c r="N117" s="35"/>
      <c r="O117" s="35" t="s">
        <v>235</v>
      </c>
      <c r="P117" s="35" t="s">
        <v>1050</v>
      </c>
      <c r="Q117" s="28">
        <v>18700</v>
      </c>
      <c r="R117" s="40"/>
    </row>
    <row r="118" spans="1:18">
      <c r="A118" s="31" t="s">
        <v>339</v>
      </c>
      <c r="B118" s="35" t="s">
        <v>1152</v>
      </c>
      <c r="C118" s="25">
        <v>238</v>
      </c>
      <c r="D118" s="38" t="s">
        <v>340</v>
      </c>
      <c r="E118" s="38" t="s">
        <v>1111</v>
      </c>
      <c r="F118" s="38" t="s">
        <v>341</v>
      </c>
      <c r="G118" s="31" t="s">
        <v>313</v>
      </c>
      <c r="H118" s="31" t="s">
        <v>39</v>
      </c>
      <c r="I118" s="76" t="s">
        <v>1371</v>
      </c>
      <c r="J118" s="77" t="s">
        <v>1779</v>
      </c>
      <c r="K118" s="31" t="s">
        <v>342</v>
      </c>
      <c r="L118" s="83" t="s">
        <v>1402</v>
      </c>
      <c r="M118" s="35" t="s">
        <v>1409</v>
      </c>
      <c r="N118" s="35"/>
      <c r="O118" s="35" t="s">
        <v>241</v>
      </c>
      <c r="P118" s="35" t="s">
        <v>1182</v>
      </c>
      <c r="Q118" s="28">
        <v>13540</v>
      </c>
      <c r="R118" s="40"/>
    </row>
    <row r="119" spans="1:18">
      <c r="A119" s="31" t="s">
        <v>376</v>
      </c>
      <c r="B119" s="35" t="s">
        <v>1152</v>
      </c>
      <c r="C119" s="25">
        <v>250</v>
      </c>
      <c r="D119" s="39" t="s">
        <v>377</v>
      </c>
      <c r="E119" s="39" t="s">
        <v>1186</v>
      </c>
      <c r="F119" s="38" t="s">
        <v>378</v>
      </c>
      <c r="G119" s="31" t="s">
        <v>371</v>
      </c>
      <c r="H119" s="31" t="s">
        <v>233</v>
      </c>
      <c r="I119" s="77" t="s">
        <v>1371</v>
      </c>
      <c r="J119" s="77" t="s">
        <v>1372</v>
      </c>
      <c r="K119" s="31" t="s">
        <v>1171</v>
      </c>
      <c r="L119" s="83" t="s">
        <v>1449</v>
      </c>
      <c r="M119" s="35" t="s">
        <v>1433</v>
      </c>
      <c r="N119" s="35"/>
      <c r="O119" s="35" t="s">
        <v>235</v>
      </c>
      <c r="P119" s="35" t="s">
        <v>1182</v>
      </c>
      <c r="Q119" s="28">
        <v>14370</v>
      </c>
      <c r="R119" s="40"/>
    </row>
    <row r="120" spans="1:18">
      <c r="A120" s="31" t="s">
        <v>380</v>
      </c>
      <c r="B120" s="35" t="s">
        <v>1152</v>
      </c>
      <c r="C120" s="25">
        <v>252</v>
      </c>
      <c r="D120" s="39" t="s">
        <v>183</v>
      </c>
      <c r="E120" s="39" t="s">
        <v>1186</v>
      </c>
      <c r="F120" s="38" t="s">
        <v>381</v>
      </c>
      <c r="G120" s="31" t="s">
        <v>371</v>
      </c>
      <c r="H120" s="31" t="s">
        <v>233</v>
      </c>
      <c r="I120" s="77" t="s">
        <v>1378</v>
      </c>
      <c r="J120" s="77" t="s">
        <v>1387</v>
      </c>
      <c r="K120" s="31" t="s">
        <v>1171</v>
      </c>
      <c r="L120" s="83" t="s">
        <v>1449</v>
      </c>
      <c r="M120" s="35" t="s">
        <v>1409</v>
      </c>
      <c r="N120" s="35"/>
      <c r="O120" s="35" t="s">
        <v>235</v>
      </c>
      <c r="P120" s="35" t="s">
        <v>1182</v>
      </c>
      <c r="Q120" s="28">
        <v>14370</v>
      </c>
      <c r="R120" s="40"/>
    </row>
    <row r="121" spans="1:18">
      <c r="A121" s="31" t="s">
        <v>382</v>
      </c>
      <c r="B121" s="35" t="s">
        <v>1152</v>
      </c>
      <c r="C121" s="25">
        <v>253</v>
      </c>
      <c r="D121" s="39" t="s">
        <v>184</v>
      </c>
      <c r="E121" s="39" t="s">
        <v>1186</v>
      </c>
      <c r="F121" s="38" t="s">
        <v>383</v>
      </c>
      <c r="G121" s="31" t="s">
        <v>371</v>
      </c>
      <c r="H121" s="31" t="s">
        <v>233</v>
      </c>
      <c r="I121" s="77" t="s">
        <v>1371</v>
      </c>
      <c r="J121" s="77" t="s">
        <v>1372</v>
      </c>
      <c r="K121" s="31" t="s">
        <v>1171</v>
      </c>
      <c r="L121" s="31"/>
      <c r="M121" s="31"/>
      <c r="N121" s="35"/>
      <c r="O121" s="35" t="s">
        <v>235</v>
      </c>
      <c r="P121" s="35" t="s">
        <v>1182</v>
      </c>
      <c r="Q121" s="28">
        <v>14370</v>
      </c>
      <c r="R121" s="40"/>
    </row>
    <row r="122" spans="1:18">
      <c r="A122" s="31" t="s">
        <v>384</v>
      </c>
      <c r="B122" s="35" t="s">
        <v>1152</v>
      </c>
      <c r="C122" s="25">
        <v>254</v>
      </c>
      <c r="D122" s="39" t="s">
        <v>185</v>
      </c>
      <c r="E122" s="39" t="s">
        <v>1186</v>
      </c>
      <c r="F122" s="38" t="s">
        <v>385</v>
      </c>
      <c r="G122" s="31" t="s">
        <v>371</v>
      </c>
      <c r="H122" s="31" t="s">
        <v>233</v>
      </c>
      <c r="I122" s="77" t="s">
        <v>1371</v>
      </c>
      <c r="J122" s="77" t="s">
        <v>1372</v>
      </c>
      <c r="K122" s="31" t="s">
        <v>1171</v>
      </c>
      <c r="L122" s="31"/>
      <c r="M122" s="31"/>
      <c r="N122" s="35"/>
      <c r="O122" s="35" t="s">
        <v>235</v>
      </c>
      <c r="P122" s="35" t="s">
        <v>1182</v>
      </c>
      <c r="Q122" s="28">
        <v>14370</v>
      </c>
      <c r="R122" s="40"/>
    </row>
    <row r="123" spans="1:18">
      <c r="A123" s="31" t="s">
        <v>386</v>
      </c>
      <c r="B123" s="35" t="s">
        <v>1152</v>
      </c>
      <c r="C123" s="25">
        <v>255</v>
      </c>
      <c r="D123" s="39" t="s">
        <v>186</v>
      </c>
      <c r="E123" s="39" t="s">
        <v>1186</v>
      </c>
      <c r="F123" s="38" t="s">
        <v>387</v>
      </c>
      <c r="G123" s="31" t="s">
        <v>371</v>
      </c>
      <c r="H123" s="31" t="s">
        <v>233</v>
      </c>
      <c r="I123" s="77" t="s">
        <v>1371</v>
      </c>
      <c r="J123" s="77" t="s">
        <v>1372</v>
      </c>
      <c r="K123" s="31" t="s">
        <v>1171</v>
      </c>
      <c r="L123" s="83" t="s">
        <v>1449</v>
      </c>
      <c r="M123" s="35" t="s">
        <v>1399</v>
      </c>
      <c r="N123" s="35"/>
      <c r="O123" s="35" t="s">
        <v>235</v>
      </c>
      <c r="P123" s="35" t="s">
        <v>1182</v>
      </c>
      <c r="Q123" s="28">
        <v>14370</v>
      </c>
      <c r="R123" s="40"/>
    </row>
    <row r="124" spans="1:18">
      <c r="A124" s="31" t="s">
        <v>368</v>
      </c>
      <c r="B124" s="35" t="s">
        <v>1152</v>
      </c>
      <c r="C124" s="25">
        <v>248</v>
      </c>
      <c r="D124" s="39" t="s">
        <v>369</v>
      </c>
      <c r="E124" s="39" t="s">
        <v>1186</v>
      </c>
      <c r="F124" s="38" t="s">
        <v>370</v>
      </c>
      <c r="G124" s="31" t="s">
        <v>371</v>
      </c>
      <c r="H124" s="31" t="s">
        <v>233</v>
      </c>
      <c r="I124" s="77" t="s">
        <v>1371</v>
      </c>
      <c r="J124" s="77" t="s">
        <v>1372</v>
      </c>
      <c r="K124" s="31" t="s">
        <v>1159</v>
      </c>
      <c r="L124" s="83" t="s">
        <v>1402</v>
      </c>
      <c r="M124" s="35" t="s">
        <v>1434</v>
      </c>
      <c r="N124" s="35"/>
      <c r="O124" s="35" t="s">
        <v>235</v>
      </c>
      <c r="P124" s="35" t="s">
        <v>1182</v>
      </c>
      <c r="Q124" s="28">
        <v>14370</v>
      </c>
      <c r="R124" s="40"/>
    </row>
    <row r="125" spans="1:18">
      <c r="A125" s="31" t="s">
        <v>388</v>
      </c>
      <c r="B125" s="35" t="s">
        <v>1152</v>
      </c>
      <c r="C125" s="25">
        <v>256</v>
      </c>
      <c r="D125" s="39" t="s">
        <v>389</v>
      </c>
      <c r="E125" s="39" t="s">
        <v>1186</v>
      </c>
      <c r="F125" s="38" t="s">
        <v>390</v>
      </c>
      <c r="G125" s="31" t="s">
        <v>371</v>
      </c>
      <c r="H125" s="31" t="s">
        <v>233</v>
      </c>
      <c r="I125" s="77" t="s">
        <v>1371</v>
      </c>
      <c r="J125" s="77" t="s">
        <v>1372</v>
      </c>
      <c r="K125" s="31" t="s">
        <v>1171</v>
      </c>
      <c r="L125" s="31"/>
      <c r="M125" s="31"/>
      <c r="N125" s="35"/>
      <c r="O125" s="45" t="s">
        <v>235</v>
      </c>
      <c r="P125" s="45" t="s">
        <v>1182</v>
      </c>
      <c r="Q125" s="46">
        <v>14370</v>
      </c>
      <c r="R125" s="47"/>
    </row>
    <row r="126" spans="1:18">
      <c r="A126" s="31" t="s">
        <v>391</v>
      </c>
      <c r="B126" s="35" t="s">
        <v>1152</v>
      </c>
      <c r="C126" s="25">
        <v>257</v>
      </c>
      <c r="D126" s="39" t="s">
        <v>392</v>
      </c>
      <c r="E126" s="39" t="s">
        <v>1186</v>
      </c>
      <c r="F126" s="38" t="s">
        <v>393</v>
      </c>
      <c r="G126" s="31" t="s">
        <v>371</v>
      </c>
      <c r="H126" s="31" t="s">
        <v>233</v>
      </c>
      <c r="I126" s="77" t="s">
        <v>1371</v>
      </c>
      <c r="J126" s="77" t="s">
        <v>1372</v>
      </c>
      <c r="K126" s="31" t="s">
        <v>1171</v>
      </c>
      <c r="L126" s="31"/>
      <c r="M126" s="31"/>
      <c r="N126" s="35"/>
      <c r="O126" s="45" t="s">
        <v>235</v>
      </c>
      <c r="P126" s="45" t="s">
        <v>1182</v>
      </c>
      <c r="Q126" s="46">
        <v>14370</v>
      </c>
      <c r="R126" s="47"/>
    </row>
    <row r="127" spans="1:18">
      <c r="A127" s="37" t="s">
        <v>301</v>
      </c>
      <c r="B127" s="35" t="s">
        <v>1152</v>
      </c>
      <c r="C127" s="25">
        <v>222</v>
      </c>
      <c r="D127" s="57">
        <v>1512639</v>
      </c>
      <c r="E127" s="38" t="s">
        <v>1176</v>
      </c>
      <c r="F127" s="38" t="s">
        <v>1177</v>
      </c>
      <c r="G127" s="31" t="s">
        <v>267</v>
      </c>
      <c r="H127" s="31" t="s">
        <v>39</v>
      </c>
      <c r="I127" s="31" t="s">
        <v>1299</v>
      </c>
      <c r="J127" s="31" t="s">
        <v>1766</v>
      </c>
      <c r="K127" s="31" t="s">
        <v>1159</v>
      </c>
      <c r="L127" s="31" t="s">
        <v>1336</v>
      </c>
      <c r="M127" s="31" t="s">
        <v>1337</v>
      </c>
      <c r="N127" s="35"/>
      <c r="O127" s="35" t="s">
        <v>196</v>
      </c>
      <c r="P127" s="35" t="s">
        <v>1119</v>
      </c>
      <c r="Q127" s="28">
        <v>83600</v>
      </c>
      <c r="R127" s="40"/>
    </row>
    <row r="128" spans="1:18">
      <c r="A128" s="31" t="s">
        <v>310</v>
      </c>
      <c r="B128" s="35" t="s">
        <v>1152</v>
      </c>
      <c r="C128" s="25">
        <v>226</v>
      </c>
      <c r="D128" s="38" t="s">
        <v>311</v>
      </c>
      <c r="E128" s="38" t="s">
        <v>1144</v>
      </c>
      <c r="F128" s="38" t="s">
        <v>312</v>
      </c>
      <c r="G128" s="31" t="s">
        <v>313</v>
      </c>
      <c r="H128" s="31" t="s">
        <v>39</v>
      </c>
      <c r="I128" s="77" t="s">
        <v>1299</v>
      </c>
      <c r="J128" s="77" t="s">
        <v>1300</v>
      </c>
      <c r="K128" s="31" t="s">
        <v>1170</v>
      </c>
      <c r="L128" s="83" t="s">
        <v>1418</v>
      </c>
      <c r="M128" s="35" t="s">
        <v>1400</v>
      </c>
      <c r="N128" s="35"/>
      <c r="O128" s="35" t="s">
        <v>196</v>
      </c>
      <c r="P128" s="35" t="s">
        <v>1119</v>
      </c>
      <c r="Q128" s="28">
        <v>12980</v>
      </c>
      <c r="R128" s="40"/>
    </row>
    <row r="129" spans="1:18">
      <c r="A129" s="31" t="s">
        <v>314</v>
      </c>
      <c r="B129" s="35" t="s">
        <v>1152</v>
      </c>
      <c r="C129" s="25">
        <v>227</v>
      </c>
      <c r="D129" s="39" t="s">
        <v>315</v>
      </c>
      <c r="E129" s="38" t="s">
        <v>1144</v>
      </c>
      <c r="F129" s="38" t="s">
        <v>312</v>
      </c>
      <c r="G129" s="31" t="s">
        <v>313</v>
      </c>
      <c r="H129" s="31" t="s">
        <v>39</v>
      </c>
      <c r="I129" s="77" t="s">
        <v>1299</v>
      </c>
      <c r="J129" s="77" t="s">
        <v>1300</v>
      </c>
      <c r="K129" s="31" t="s">
        <v>1170</v>
      </c>
      <c r="L129" s="31"/>
      <c r="M129" s="31"/>
      <c r="N129" s="35"/>
      <c r="O129" s="35" t="s">
        <v>196</v>
      </c>
      <c r="P129" s="35" t="s">
        <v>1119</v>
      </c>
      <c r="Q129" s="28">
        <v>12980</v>
      </c>
      <c r="R129" s="40"/>
    </row>
    <row r="130" spans="1:18">
      <c r="A130" s="31" t="s">
        <v>316</v>
      </c>
      <c r="B130" s="35" t="s">
        <v>1152</v>
      </c>
      <c r="C130" s="25">
        <v>228</v>
      </c>
      <c r="D130" s="39" t="s">
        <v>317</v>
      </c>
      <c r="E130" s="38" t="s">
        <v>1144</v>
      </c>
      <c r="F130" s="38" t="s">
        <v>312</v>
      </c>
      <c r="G130" s="31" t="s">
        <v>313</v>
      </c>
      <c r="H130" s="31" t="s">
        <v>39</v>
      </c>
      <c r="I130" s="77" t="s">
        <v>1299</v>
      </c>
      <c r="J130" s="77" t="s">
        <v>1300</v>
      </c>
      <c r="K130" s="31" t="s">
        <v>1170</v>
      </c>
      <c r="L130" s="31"/>
      <c r="M130" s="31"/>
      <c r="N130" s="35"/>
      <c r="O130" s="35" t="s">
        <v>196</v>
      </c>
      <c r="P130" s="35" t="s">
        <v>1119</v>
      </c>
      <c r="Q130" s="28">
        <v>12980</v>
      </c>
      <c r="R130" s="40"/>
    </row>
    <row r="131" spans="1:18">
      <c r="A131" s="31" t="s">
        <v>318</v>
      </c>
      <c r="B131" s="35" t="s">
        <v>1152</v>
      </c>
      <c r="C131" s="25">
        <v>229</v>
      </c>
      <c r="D131" s="39" t="s">
        <v>319</v>
      </c>
      <c r="E131" s="38" t="s">
        <v>1144</v>
      </c>
      <c r="F131" s="38" t="s">
        <v>312</v>
      </c>
      <c r="G131" s="31" t="s">
        <v>313</v>
      </c>
      <c r="H131" s="31" t="s">
        <v>39</v>
      </c>
      <c r="I131" s="77" t="s">
        <v>1299</v>
      </c>
      <c r="J131" s="77" t="s">
        <v>1300</v>
      </c>
      <c r="K131" s="31" t="s">
        <v>1170</v>
      </c>
      <c r="L131" s="83" t="s">
        <v>1403</v>
      </c>
      <c r="M131" s="35" t="s">
        <v>1404</v>
      </c>
      <c r="N131" s="35"/>
      <c r="O131" s="35" t="s">
        <v>196</v>
      </c>
      <c r="P131" s="35" t="s">
        <v>1119</v>
      </c>
      <c r="Q131" s="28">
        <v>12980</v>
      </c>
      <c r="R131" s="40"/>
    </row>
    <row r="132" spans="1:18">
      <c r="A132" s="31" t="s">
        <v>320</v>
      </c>
      <c r="B132" s="35" t="s">
        <v>1152</v>
      </c>
      <c r="C132" s="25">
        <v>230</v>
      </c>
      <c r="D132" s="39" t="s">
        <v>321</v>
      </c>
      <c r="E132" s="38" t="s">
        <v>1144</v>
      </c>
      <c r="F132" s="38" t="s">
        <v>312</v>
      </c>
      <c r="G132" s="31" t="s">
        <v>313</v>
      </c>
      <c r="H132" s="31" t="s">
        <v>39</v>
      </c>
      <c r="I132" s="77" t="s">
        <v>1299</v>
      </c>
      <c r="J132" s="77" t="s">
        <v>1300</v>
      </c>
      <c r="K132" s="31" t="s">
        <v>1170</v>
      </c>
      <c r="L132" s="83" t="s">
        <v>1419</v>
      </c>
      <c r="M132" s="35" t="s">
        <v>1405</v>
      </c>
      <c r="N132" s="35"/>
      <c r="O132" s="35" t="s">
        <v>196</v>
      </c>
      <c r="P132" s="35" t="s">
        <v>1119</v>
      </c>
      <c r="Q132" s="28">
        <v>12980</v>
      </c>
      <c r="R132" s="40"/>
    </row>
    <row r="133" spans="1:18">
      <c r="A133" s="31" t="s">
        <v>322</v>
      </c>
      <c r="B133" s="35" t="s">
        <v>1152</v>
      </c>
      <c r="C133" s="25">
        <v>231</v>
      </c>
      <c r="D133" s="39" t="s">
        <v>323</v>
      </c>
      <c r="E133" s="38" t="s">
        <v>1144</v>
      </c>
      <c r="F133" s="38" t="s">
        <v>312</v>
      </c>
      <c r="G133" s="31" t="s">
        <v>313</v>
      </c>
      <c r="H133" s="31" t="s">
        <v>39</v>
      </c>
      <c r="I133" s="77" t="s">
        <v>1299</v>
      </c>
      <c r="J133" s="77" t="s">
        <v>1300</v>
      </c>
      <c r="K133" s="31" t="s">
        <v>1170</v>
      </c>
      <c r="L133" s="83" t="s">
        <v>1396</v>
      </c>
      <c r="M133" s="35" t="s">
        <v>1397</v>
      </c>
      <c r="N133" s="35"/>
      <c r="O133" s="35" t="s">
        <v>196</v>
      </c>
      <c r="P133" s="35" t="s">
        <v>1119</v>
      </c>
      <c r="Q133" s="28">
        <v>12980</v>
      </c>
      <c r="R133" s="40"/>
    </row>
    <row r="134" spans="1:18">
      <c r="A134" s="31" t="s">
        <v>326</v>
      </c>
      <c r="B134" s="35" t="s">
        <v>1152</v>
      </c>
      <c r="C134" s="25">
        <v>233</v>
      </c>
      <c r="D134" s="38" t="s">
        <v>327</v>
      </c>
      <c r="E134" s="38" t="s">
        <v>1144</v>
      </c>
      <c r="F134" s="38" t="s">
        <v>325</v>
      </c>
      <c r="G134" s="31" t="s">
        <v>313</v>
      </c>
      <c r="H134" s="31" t="s">
        <v>39</v>
      </c>
      <c r="I134" s="77" t="s">
        <v>1299</v>
      </c>
      <c r="J134" s="77" t="s">
        <v>1300</v>
      </c>
      <c r="K134" s="31" t="s">
        <v>1170</v>
      </c>
      <c r="L134" s="31"/>
      <c r="M134" s="31"/>
      <c r="N134" s="35"/>
      <c r="O134" s="35" t="s">
        <v>196</v>
      </c>
      <c r="P134" s="35" t="s">
        <v>1119</v>
      </c>
      <c r="Q134" s="28">
        <v>18180</v>
      </c>
      <c r="R134" s="40"/>
    </row>
    <row r="135" spans="1:18">
      <c r="A135" s="31" t="s">
        <v>328</v>
      </c>
      <c r="B135" s="35" t="s">
        <v>1152</v>
      </c>
      <c r="C135" s="25">
        <v>234</v>
      </c>
      <c r="D135" s="38" t="s">
        <v>329</v>
      </c>
      <c r="E135" s="38" t="s">
        <v>1144</v>
      </c>
      <c r="F135" s="38" t="s">
        <v>330</v>
      </c>
      <c r="G135" s="31" t="s">
        <v>313</v>
      </c>
      <c r="H135" s="31" t="s">
        <v>39</v>
      </c>
      <c r="I135" s="77" t="s">
        <v>1299</v>
      </c>
      <c r="J135" s="77" t="s">
        <v>1300</v>
      </c>
      <c r="K135" s="31" t="s">
        <v>1170</v>
      </c>
      <c r="L135" s="31"/>
      <c r="M135" s="31"/>
      <c r="N135" s="35"/>
      <c r="O135" s="35" t="s">
        <v>196</v>
      </c>
      <c r="P135" s="35" t="s">
        <v>1119</v>
      </c>
      <c r="Q135" s="28">
        <v>46730</v>
      </c>
      <c r="R135" s="40"/>
    </row>
    <row r="136" spans="1:18">
      <c r="A136" s="31" t="s">
        <v>343</v>
      </c>
      <c r="B136" s="35" t="s">
        <v>1152</v>
      </c>
      <c r="C136" s="25">
        <v>239</v>
      </c>
      <c r="D136" s="39" t="s">
        <v>344</v>
      </c>
      <c r="E136" s="38" t="s">
        <v>1183</v>
      </c>
      <c r="F136" s="38" t="s">
        <v>345</v>
      </c>
      <c r="G136" s="31" t="s">
        <v>313</v>
      </c>
      <c r="H136" s="31" t="s">
        <v>39</v>
      </c>
      <c r="I136" s="77" t="s">
        <v>1299</v>
      </c>
      <c r="J136" s="77" t="s">
        <v>1300</v>
      </c>
      <c r="K136" s="31" t="s">
        <v>342</v>
      </c>
      <c r="L136" s="31"/>
      <c r="M136" s="31"/>
      <c r="N136" s="35"/>
      <c r="O136" s="35" t="s">
        <v>196</v>
      </c>
      <c r="P136" s="35" t="s">
        <v>1119</v>
      </c>
      <c r="Q136" s="28">
        <v>27500</v>
      </c>
      <c r="R136" s="40"/>
    </row>
    <row r="137" spans="1:18">
      <c r="A137" s="25">
        <v>179</v>
      </c>
      <c r="B137" s="25" t="s">
        <v>1049</v>
      </c>
      <c r="C137" s="25">
        <v>179</v>
      </c>
      <c r="D137" s="39" t="s">
        <v>170</v>
      </c>
      <c r="E137" s="36" t="s">
        <v>1149</v>
      </c>
      <c r="F137" s="36" t="s">
        <v>1150</v>
      </c>
      <c r="G137" s="25" t="s">
        <v>171</v>
      </c>
      <c r="H137" s="25" t="s">
        <v>39</v>
      </c>
      <c r="I137" s="67" t="s">
        <v>1299</v>
      </c>
      <c r="J137" s="74" t="s">
        <v>1300</v>
      </c>
      <c r="K137" s="26" t="s">
        <v>1048</v>
      </c>
      <c r="L137" s="26"/>
      <c r="M137" s="26"/>
      <c r="N137" s="25"/>
      <c r="O137" s="27">
        <v>7</v>
      </c>
      <c r="P137" s="27" t="s">
        <v>1119</v>
      </c>
      <c r="Q137" s="28">
        <v>83600</v>
      </c>
      <c r="R137" s="29"/>
    </row>
    <row r="138" spans="1:18" ht="26.4">
      <c r="A138" s="33" t="s">
        <v>305</v>
      </c>
      <c r="B138" s="35" t="s">
        <v>1152</v>
      </c>
      <c r="C138" s="25">
        <v>224</v>
      </c>
      <c r="D138" s="50" t="s">
        <v>306</v>
      </c>
      <c r="E138" s="44" t="s">
        <v>1180</v>
      </c>
      <c r="F138" s="42"/>
      <c r="G138" s="31" t="s">
        <v>307</v>
      </c>
      <c r="H138" s="31" t="s">
        <v>39</v>
      </c>
      <c r="I138" s="76" t="s">
        <v>1363</v>
      </c>
      <c r="J138" s="76" t="s">
        <v>1364</v>
      </c>
      <c r="K138" s="31" t="s">
        <v>1170</v>
      </c>
      <c r="L138" s="86" t="s">
        <v>1415</v>
      </c>
      <c r="M138" s="45" t="s">
        <v>1397</v>
      </c>
      <c r="N138" s="35"/>
      <c r="O138" s="35" t="s">
        <v>196</v>
      </c>
      <c r="P138" s="35" t="s">
        <v>1119</v>
      </c>
      <c r="Q138" s="28">
        <v>78430</v>
      </c>
      <c r="R138" s="40"/>
    </row>
    <row r="139" spans="1:18" ht="26.4">
      <c r="A139" s="33" t="s">
        <v>308</v>
      </c>
      <c r="B139" s="35" t="s">
        <v>1152</v>
      </c>
      <c r="C139" s="25">
        <v>225</v>
      </c>
      <c r="D139" s="50" t="s">
        <v>309</v>
      </c>
      <c r="E139" s="44" t="s">
        <v>1180</v>
      </c>
      <c r="F139" s="41"/>
      <c r="G139" s="31" t="s">
        <v>307</v>
      </c>
      <c r="H139" s="31" t="s">
        <v>39</v>
      </c>
      <c r="I139" s="76" t="s">
        <v>1363</v>
      </c>
      <c r="J139" s="76" t="s">
        <v>1364</v>
      </c>
      <c r="K139" s="31" t="s">
        <v>1170</v>
      </c>
      <c r="L139" s="31"/>
      <c r="M139" s="31"/>
      <c r="N139" s="35"/>
      <c r="O139" s="35" t="s">
        <v>196</v>
      </c>
      <c r="P139" s="35" t="s">
        <v>1119</v>
      </c>
      <c r="Q139" s="28">
        <v>78430</v>
      </c>
      <c r="R139" s="40"/>
    </row>
    <row r="140" spans="1:18">
      <c r="A140" s="33" t="s">
        <v>394</v>
      </c>
      <c r="B140" s="35" t="s">
        <v>1152</v>
      </c>
      <c r="C140" s="25">
        <v>258</v>
      </c>
      <c r="D140" s="50" t="s">
        <v>395</v>
      </c>
      <c r="E140" s="42" t="s">
        <v>1187</v>
      </c>
      <c r="F140" s="42" t="s">
        <v>396</v>
      </c>
      <c r="G140" s="31" t="s">
        <v>397</v>
      </c>
      <c r="H140" s="31" t="s">
        <v>39</v>
      </c>
      <c r="I140" s="76" t="s">
        <v>1299</v>
      </c>
      <c r="J140" s="76" t="s">
        <v>1763</v>
      </c>
      <c r="K140" s="31" t="s">
        <v>1170</v>
      </c>
      <c r="L140" s="31"/>
      <c r="M140" s="31"/>
      <c r="N140" s="35"/>
      <c r="O140" s="45" t="s">
        <v>196</v>
      </c>
      <c r="P140" s="45" t="s">
        <v>1119</v>
      </c>
      <c r="Q140" s="46">
        <v>66000</v>
      </c>
      <c r="R140" s="47"/>
    </row>
    <row r="141" spans="1:18">
      <c r="A141" s="33" t="s">
        <v>1457</v>
      </c>
      <c r="B141" s="35" t="s">
        <v>1152</v>
      </c>
      <c r="C141" s="25">
        <v>549</v>
      </c>
      <c r="D141" s="42" t="s">
        <v>1472</v>
      </c>
      <c r="E141" s="42" t="s">
        <v>1464</v>
      </c>
      <c r="F141" s="36" t="s">
        <v>1477</v>
      </c>
      <c r="G141" s="31" t="s">
        <v>285</v>
      </c>
      <c r="H141" s="76" t="s">
        <v>233</v>
      </c>
      <c r="I141" s="77" t="s">
        <v>1488</v>
      </c>
      <c r="J141" s="77" t="s">
        <v>1764</v>
      </c>
      <c r="K141" s="77" t="s">
        <v>1170</v>
      </c>
      <c r="L141" s="88"/>
      <c r="M141" s="88"/>
      <c r="N141" s="35"/>
      <c r="O141" s="35"/>
      <c r="P141" s="35"/>
      <c r="Q141" s="28"/>
      <c r="R141" s="35"/>
    </row>
    <row r="142" spans="1:18">
      <c r="A142" s="33" t="s">
        <v>1458</v>
      </c>
      <c r="B142" s="35" t="s">
        <v>1152</v>
      </c>
      <c r="C142" s="25">
        <v>550</v>
      </c>
      <c r="D142" s="42" t="s">
        <v>1473</v>
      </c>
      <c r="E142" s="42" t="s">
        <v>1464</v>
      </c>
      <c r="F142" s="36" t="s">
        <v>1477</v>
      </c>
      <c r="G142" s="31" t="s">
        <v>285</v>
      </c>
      <c r="H142" s="76" t="s">
        <v>233</v>
      </c>
      <c r="I142" s="77" t="s">
        <v>1488</v>
      </c>
      <c r="J142" s="77" t="s">
        <v>1787</v>
      </c>
      <c r="K142" s="77" t="s">
        <v>1170</v>
      </c>
      <c r="L142" s="88"/>
      <c r="M142" s="88"/>
      <c r="N142" s="35"/>
      <c r="O142" s="35"/>
      <c r="P142" s="35"/>
      <c r="Q142" s="28"/>
      <c r="R142" s="35"/>
    </row>
    <row r="143" spans="1:18">
      <c r="A143" s="31" t="s">
        <v>437</v>
      </c>
      <c r="B143" s="35" t="s">
        <v>1152</v>
      </c>
      <c r="C143" s="25">
        <v>272</v>
      </c>
      <c r="D143" s="38" t="s">
        <v>438</v>
      </c>
      <c r="E143" s="38" t="s">
        <v>1168</v>
      </c>
      <c r="F143" s="38" t="s">
        <v>240</v>
      </c>
      <c r="G143" s="31" t="s">
        <v>1169</v>
      </c>
      <c r="H143" s="31" t="s">
        <v>39</v>
      </c>
      <c r="I143" s="76" t="s">
        <v>1373</v>
      </c>
      <c r="J143" s="76" t="s">
        <v>1374</v>
      </c>
      <c r="K143" s="31" t="s">
        <v>234</v>
      </c>
      <c r="L143" s="83" t="s">
        <v>1401</v>
      </c>
      <c r="M143" s="35" t="s">
        <v>1399</v>
      </c>
      <c r="N143" s="35"/>
      <c r="O143" s="35" t="s">
        <v>241</v>
      </c>
      <c r="P143" s="35" t="s">
        <v>1182</v>
      </c>
      <c r="Q143" s="28">
        <v>13240</v>
      </c>
      <c r="R143" s="40"/>
    </row>
    <row r="144" spans="1:18" ht="26.4">
      <c r="A144" s="31" t="s">
        <v>444</v>
      </c>
      <c r="B144" s="35" t="s">
        <v>1152</v>
      </c>
      <c r="C144" s="25">
        <v>274</v>
      </c>
      <c r="D144" s="38" t="s">
        <v>445</v>
      </c>
      <c r="E144" s="38" t="s">
        <v>446</v>
      </c>
      <c r="F144" s="49" t="s">
        <v>1188</v>
      </c>
      <c r="G144" s="31" t="s">
        <v>443</v>
      </c>
      <c r="H144" s="31" t="s">
        <v>39</v>
      </c>
      <c r="I144" s="77" t="s">
        <v>1373</v>
      </c>
      <c r="J144" s="77" t="s">
        <v>1374</v>
      </c>
      <c r="K144" s="31" t="s">
        <v>1170</v>
      </c>
      <c r="L144" s="31"/>
      <c r="M144" s="31"/>
      <c r="N144" s="35"/>
      <c r="O144" s="35" t="s">
        <v>235</v>
      </c>
      <c r="P144" s="35" t="s">
        <v>1182</v>
      </c>
      <c r="Q144" s="28">
        <v>33660</v>
      </c>
      <c r="R144" s="40"/>
    </row>
    <row r="145" spans="1:18" ht="26.4">
      <c r="A145" s="31" t="s">
        <v>405</v>
      </c>
      <c r="B145" s="35" t="s">
        <v>1152</v>
      </c>
      <c r="C145" s="25">
        <v>262</v>
      </c>
      <c r="D145" s="38" t="s">
        <v>406</v>
      </c>
      <c r="E145" s="48" t="s">
        <v>407</v>
      </c>
      <c r="F145" s="38" t="s">
        <v>408</v>
      </c>
      <c r="G145" s="31" t="s">
        <v>409</v>
      </c>
      <c r="H145" s="31" t="s">
        <v>233</v>
      </c>
      <c r="I145" s="77" t="s">
        <v>177</v>
      </c>
      <c r="J145" s="77" t="s">
        <v>1374</v>
      </c>
      <c r="K145" s="31" t="s">
        <v>1159</v>
      </c>
      <c r="L145" s="83" t="s">
        <v>1401</v>
      </c>
      <c r="M145" s="35" t="s">
        <v>1393</v>
      </c>
      <c r="N145" s="35"/>
      <c r="O145" s="45" t="s">
        <v>235</v>
      </c>
      <c r="P145" s="45" t="s">
        <v>1182</v>
      </c>
      <c r="Q145" s="46">
        <v>14370</v>
      </c>
      <c r="R145" s="47"/>
    </row>
    <row r="146" spans="1:18" ht="26.4">
      <c r="A146" s="31" t="s">
        <v>410</v>
      </c>
      <c r="B146" s="35" t="s">
        <v>1152</v>
      </c>
      <c r="C146" s="25">
        <v>263</v>
      </c>
      <c r="D146" s="38" t="s">
        <v>411</v>
      </c>
      <c r="E146" s="48" t="s">
        <v>407</v>
      </c>
      <c r="F146" s="38" t="s">
        <v>412</v>
      </c>
      <c r="G146" s="31" t="s">
        <v>409</v>
      </c>
      <c r="H146" s="76" t="s">
        <v>233</v>
      </c>
      <c r="I146" s="77" t="s">
        <v>177</v>
      </c>
      <c r="J146" s="77" t="s">
        <v>1374</v>
      </c>
      <c r="K146" s="31" t="s">
        <v>1159</v>
      </c>
      <c r="L146" s="83" t="s">
        <v>1401</v>
      </c>
      <c r="M146" s="35" t="s">
        <v>1393</v>
      </c>
      <c r="N146" s="35"/>
      <c r="O146" s="45" t="s">
        <v>235</v>
      </c>
      <c r="P146" s="45" t="s">
        <v>1182</v>
      </c>
      <c r="Q146" s="46">
        <v>14370</v>
      </c>
      <c r="R146" s="47"/>
    </row>
    <row r="147" spans="1:18" ht="26.4">
      <c r="A147" s="31" t="s">
        <v>413</v>
      </c>
      <c r="B147" s="35" t="s">
        <v>1152</v>
      </c>
      <c r="C147" s="25">
        <v>264</v>
      </c>
      <c r="D147" s="38" t="s">
        <v>414</v>
      </c>
      <c r="E147" s="48" t="s">
        <v>407</v>
      </c>
      <c r="F147" s="38" t="s">
        <v>415</v>
      </c>
      <c r="G147" s="31" t="s">
        <v>409</v>
      </c>
      <c r="H147" s="76" t="s">
        <v>233</v>
      </c>
      <c r="I147" s="77" t="s">
        <v>1373</v>
      </c>
      <c r="J147" s="77" t="s">
        <v>1374</v>
      </c>
      <c r="K147" s="31" t="s">
        <v>1159</v>
      </c>
      <c r="L147" s="83" t="s">
        <v>1401</v>
      </c>
      <c r="M147" s="35" t="s">
        <v>1393</v>
      </c>
      <c r="N147" s="35"/>
      <c r="O147" s="35" t="s">
        <v>235</v>
      </c>
      <c r="P147" s="35" t="s">
        <v>1182</v>
      </c>
      <c r="Q147" s="28">
        <v>14370</v>
      </c>
      <c r="R147" s="40"/>
    </row>
    <row r="148" spans="1:18" ht="26.4">
      <c r="A148" s="31" t="s">
        <v>416</v>
      </c>
      <c r="B148" s="35" t="s">
        <v>1152</v>
      </c>
      <c r="C148" s="25">
        <v>265</v>
      </c>
      <c r="D148" s="38" t="s">
        <v>417</v>
      </c>
      <c r="E148" s="48" t="s">
        <v>407</v>
      </c>
      <c r="F148" s="38" t="s">
        <v>418</v>
      </c>
      <c r="G148" s="31" t="s">
        <v>409</v>
      </c>
      <c r="H148" s="76" t="s">
        <v>233</v>
      </c>
      <c r="I148" s="77" t="s">
        <v>1373</v>
      </c>
      <c r="J148" s="77" t="s">
        <v>1374</v>
      </c>
      <c r="K148" s="31" t="s">
        <v>1159</v>
      </c>
      <c r="L148" s="83" t="s">
        <v>1401</v>
      </c>
      <c r="M148" s="35" t="s">
        <v>1410</v>
      </c>
      <c r="N148" s="35"/>
      <c r="O148" s="35" t="s">
        <v>235</v>
      </c>
      <c r="P148" s="35" t="s">
        <v>1182</v>
      </c>
      <c r="Q148" s="28">
        <v>14370</v>
      </c>
      <c r="R148" s="40"/>
    </row>
    <row r="149" spans="1:18" ht="26.4">
      <c r="A149" s="31" t="s">
        <v>419</v>
      </c>
      <c r="B149" s="35" t="s">
        <v>1152</v>
      </c>
      <c r="C149" s="25">
        <v>266</v>
      </c>
      <c r="D149" s="38" t="s">
        <v>420</v>
      </c>
      <c r="E149" s="48" t="s">
        <v>407</v>
      </c>
      <c r="F149" s="38" t="s">
        <v>421</v>
      </c>
      <c r="G149" s="31" t="s">
        <v>409</v>
      </c>
      <c r="H149" s="76" t="s">
        <v>233</v>
      </c>
      <c r="I149" s="77" t="s">
        <v>1373</v>
      </c>
      <c r="J149" s="77" t="s">
        <v>1374</v>
      </c>
      <c r="K149" s="31" t="s">
        <v>1159</v>
      </c>
      <c r="L149" s="83" t="s">
        <v>1401</v>
      </c>
      <c r="M149" s="35" t="s">
        <v>1393</v>
      </c>
      <c r="N149" s="35"/>
      <c r="O149" s="35" t="s">
        <v>235</v>
      </c>
      <c r="P149" s="35" t="s">
        <v>1182</v>
      </c>
      <c r="Q149" s="28">
        <v>14370</v>
      </c>
      <c r="R149" s="40"/>
    </row>
    <row r="150" spans="1:18" ht="26.4">
      <c r="A150" s="31" t="s">
        <v>422</v>
      </c>
      <c r="B150" s="35" t="s">
        <v>1152</v>
      </c>
      <c r="C150" s="25">
        <v>267</v>
      </c>
      <c r="D150" s="38" t="s">
        <v>423</v>
      </c>
      <c r="E150" s="48" t="s">
        <v>407</v>
      </c>
      <c r="F150" s="38" t="s">
        <v>424</v>
      </c>
      <c r="G150" s="31" t="s">
        <v>409</v>
      </c>
      <c r="H150" s="76" t="s">
        <v>233</v>
      </c>
      <c r="I150" s="77" t="s">
        <v>177</v>
      </c>
      <c r="J150" s="77" t="s">
        <v>1374</v>
      </c>
      <c r="K150" s="31" t="s">
        <v>1159</v>
      </c>
      <c r="L150" s="83" t="s">
        <v>1401</v>
      </c>
      <c r="M150" s="35" t="s">
        <v>1393</v>
      </c>
      <c r="N150" s="35"/>
      <c r="O150" s="35" t="s">
        <v>235</v>
      </c>
      <c r="P150" s="35" t="s">
        <v>1182</v>
      </c>
      <c r="Q150" s="28">
        <v>14370</v>
      </c>
      <c r="R150" s="40"/>
    </row>
    <row r="151" spans="1:18" ht="26.4">
      <c r="A151" s="31" t="s">
        <v>425</v>
      </c>
      <c r="B151" s="35" t="s">
        <v>1152</v>
      </c>
      <c r="C151" s="25">
        <v>268</v>
      </c>
      <c r="D151" s="38" t="s">
        <v>426</v>
      </c>
      <c r="E151" s="48" t="s">
        <v>407</v>
      </c>
      <c r="F151" s="38" t="s">
        <v>427</v>
      </c>
      <c r="G151" s="31" t="s">
        <v>409</v>
      </c>
      <c r="H151" s="76" t="s">
        <v>233</v>
      </c>
      <c r="I151" s="77" t="s">
        <v>177</v>
      </c>
      <c r="J151" s="77" t="s">
        <v>1374</v>
      </c>
      <c r="K151" s="31" t="s">
        <v>1159</v>
      </c>
      <c r="L151" s="83" t="s">
        <v>1401</v>
      </c>
      <c r="M151" s="35" t="s">
        <v>1393</v>
      </c>
      <c r="N151" s="35"/>
      <c r="O151" s="35" t="s">
        <v>235</v>
      </c>
      <c r="P151" s="35" t="s">
        <v>1182</v>
      </c>
      <c r="Q151" s="28">
        <v>14370</v>
      </c>
      <c r="R151" s="40"/>
    </row>
    <row r="152" spans="1:18" ht="26.4">
      <c r="A152" s="31" t="s">
        <v>428</v>
      </c>
      <c r="B152" s="35" t="s">
        <v>1152</v>
      </c>
      <c r="C152" s="25">
        <v>269</v>
      </c>
      <c r="D152" s="38" t="s">
        <v>429</v>
      </c>
      <c r="E152" s="48" t="s">
        <v>407</v>
      </c>
      <c r="F152" s="38" t="s">
        <v>430</v>
      </c>
      <c r="G152" s="31" t="s">
        <v>409</v>
      </c>
      <c r="H152" s="76" t="s">
        <v>233</v>
      </c>
      <c r="I152" s="77" t="s">
        <v>1373</v>
      </c>
      <c r="J152" s="77" t="s">
        <v>1374</v>
      </c>
      <c r="K152" s="31" t="s">
        <v>1159</v>
      </c>
      <c r="L152" s="83" t="s">
        <v>1401</v>
      </c>
      <c r="M152" s="35" t="s">
        <v>1393</v>
      </c>
      <c r="N152" s="35"/>
      <c r="O152" s="35" t="s">
        <v>235</v>
      </c>
      <c r="P152" s="35" t="s">
        <v>1182</v>
      </c>
      <c r="Q152" s="28">
        <v>14370</v>
      </c>
      <c r="R152" s="40"/>
    </row>
    <row r="153" spans="1:18" ht="26.4">
      <c r="A153" s="31" t="s">
        <v>431</v>
      </c>
      <c r="B153" s="35" t="s">
        <v>1152</v>
      </c>
      <c r="C153" s="25">
        <v>270</v>
      </c>
      <c r="D153" s="38" t="s">
        <v>432</v>
      </c>
      <c r="E153" s="48" t="s">
        <v>407</v>
      </c>
      <c r="F153" s="38" t="s">
        <v>433</v>
      </c>
      <c r="G153" s="31" t="s">
        <v>409</v>
      </c>
      <c r="H153" s="76" t="s">
        <v>233</v>
      </c>
      <c r="I153" s="77" t="s">
        <v>1373</v>
      </c>
      <c r="J153" s="77" t="s">
        <v>1374</v>
      </c>
      <c r="K153" s="31" t="s">
        <v>1159</v>
      </c>
      <c r="L153" s="83" t="s">
        <v>1401</v>
      </c>
      <c r="M153" s="35" t="s">
        <v>1393</v>
      </c>
      <c r="N153" s="35"/>
      <c r="O153" s="35" t="s">
        <v>235</v>
      </c>
      <c r="P153" s="35" t="s">
        <v>1182</v>
      </c>
      <c r="Q153" s="28">
        <v>14370</v>
      </c>
      <c r="R153" s="40"/>
    </row>
    <row r="154" spans="1:18" ht="26.4">
      <c r="A154" s="31" t="s">
        <v>434</v>
      </c>
      <c r="B154" s="35" t="s">
        <v>1152</v>
      </c>
      <c r="C154" s="25">
        <v>271</v>
      </c>
      <c r="D154" s="38" t="s">
        <v>435</v>
      </c>
      <c r="E154" s="48" t="s">
        <v>407</v>
      </c>
      <c r="F154" s="38" t="s">
        <v>436</v>
      </c>
      <c r="G154" s="31" t="s">
        <v>409</v>
      </c>
      <c r="H154" s="76" t="s">
        <v>233</v>
      </c>
      <c r="I154" s="77" t="s">
        <v>1373</v>
      </c>
      <c r="J154" s="77" t="s">
        <v>1374</v>
      </c>
      <c r="K154" s="31" t="s">
        <v>1159</v>
      </c>
      <c r="L154" s="83" t="s">
        <v>1401</v>
      </c>
      <c r="M154" s="35" t="s">
        <v>1411</v>
      </c>
      <c r="N154" s="35"/>
      <c r="O154" s="35" t="s">
        <v>235</v>
      </c>
      <c r="P154" s="35" t="s">
        <v>1182</v>
      </c>
      <c r="Q154" s="28">
        <v>14370</v>
      </c>
      <c r="R154" s="40"/>
    </row>
    <row r="155" spans="1:18">
      <c r="A155" s="31" t="s">
        <v>447</v>
      </c>
      <c r="B155" s="35" t="s">
        <v>1152</v>
      </c>
      <c r="C155" s="25">
        <v>275</v>
      </c>
      <c r="D155" s="50" t="s">
        <v>448</v>
      </c>
      <c r="E155" s="41" t="s">
        <v>1070</v>
      </c>
      <c r="F155" s="38" t="s">
        <v>347</v>
      </c>
      <c r="G155" s="31" t="s">
        <v>449</v>
      </c>
      <c r="H155" s="31" t="s">
        <v>39</v>
      </c>
      <c r="I155" s="76" t="s">
        <v>1373</v>
      </c>
      <c r="J155" s="76" t="s">
        <v>1374</v>
      </c>
      <c r="K155" s="31" t="s">
        <v>1170</v>
      </c>
      <c r="L155" s="86" t="s">
        <v>1401</v>
      </c>
      <c r="M155" s="45" t="s">
        <v>1436</v>
      </c>
      <c r="N155" s="35"/>
      <c r="O155" s="35" t="s">
        <v>235</v>
      </c>
      <c r="P155" s="35" t="s">
        <v>1182</v>
      </c>
      <c r="Q155" s="28">
        <v>31120</v>
      </c>
      <c r="R155" s="40"/>
    </row>
    <row r="156" spans="1:18">
      <c r="A156" s="37" t="s">
        <v>450</v>
      </c>
      <c r="B156" s="35" t="s">
        <v>1152</v>
      </c>
      <c r="C156" s="25">
        <v>276</v>
      </c>
      <c r="D156" s="50" t="s">
        <v>451</v>
      </c>
      <c r="E156" s="41" t="s">
        <v>1070</v>
      </c>
      <c r="F156" s="38" t="s">
        <v>347</v>
      </c>
      <c r="G156" s="31" t="s">
        <v>449</v>
      </c>
      <c r="H156" s="31" t="s">
        <v>39</v>
      </c>
      <c r="I156" s="76" t="s">
        <v>1373</v>
      </c>
      <c r="J156" s="76" t="s">
        <v>1374</v>
      </c>
      <c r="K156" s="31" t="s">
        <v>1170</v>
      </c>
      <c r="L156" s="31"/>
      <c r="M156" s="31"/>
      <c r="N156" s="35"/>
      <c r="O156" s="35" t="s">
        <v>235</v>
      </c>
      <c r="P156" s="35" t="s">
        <v>1182</v>
      </c>
      <c r="Q156" s="28">
        <v>31120</v>
      </c>
      <c r="R156" s="40"/>
    </row>
    <row r="157" spans="1:18">
      <c r="A157" s="37" t="s">
        <v>352</v>
      </c>
      <c r="B157" s="35" t="s">
        <v>1152</v>
      </c>
      <c r="C157" s="25">
        <v>242</v>
      </c>
      <c r="D157" s="38" t="s">
        <v>353</v>
      </c>
      <c r="E157" s="38" t="s">
        <v>1185</v>
      </c>
      <c r="F157" s="38" t="s">
        <v>354</v>
      </c>
      <c r="G157" s="31" t="s">
        <v>285</v>
      </c>
      <c r="H157" s="31" t="s">
        <v>39</v>
      </c>
      <c r="I157" s="31" t="s">
        <v>1335</v>
      </c>
      <c r="J157" s="31" t="s">
        <v>1767</v>
      </c>
      <c r="K157" s="31" t="s">
        <v>286</v>
      </c>
      <c r="L157" s="31" t="s">
        <v>1339</v>
      </c>
      <c r="M157" s="31" t="s">
        <v>1338</v>
      </c>
      <c r="N157" s="35"/>
      <c r="O157" s="35" t="s">
        <v>196</v>
      </c>
      <c r="P157" s="35" t="s">
        <v>1119</v>
      </c>
      <c r="Q157" s="28">
        <v>66880</v>
      </c>
      <c r="R157" s="40"/>
    </row>
    <row r="158" spans="1:18">
      <c r="A158" s="31" t="s">
        <v>1583</v>
      </c>
      <c r="B158" s="31" t="s">
        <v>1573</v>
      </c>
      <c r="C158" s="25">
        <v>571</v>
      </c>
      <c r="D158" s="42" t="s">
        <v>1649</v>
      </c>
      <c r="E158" s="42" t="s">
        <v>1650</v>
      </c>
      <c r="F158" s="42" t="s">
        <v>1651</v>
      </c>
      <c r="G158" s="31" t="s">
        <v>1737</v>
      </c>
      <c r="H158" s="31" t="s">
        <v>1497</v>
      </c>
      <c r="I158" s="31" t="s">
        <v>1738</v>
      </c>
      <c r="J158" s="31" t="s">
        <v>1569</v>
      </c>
      <c r="K158" s="31" t="s">
        <v>1170</v>
      </c>
      <c r="L158" s="31"/>
      <c r="M158" s="31"/>
      <c r="N158" s="31"/>
      <c r="O158" s="31"/>
      <c r="P158" s="31"/>
      <c r="Q158" s="31"/>
      <c r="R158" s="31"/>
    </row>
    <row r="159" spans="1:18">
      <c r="A159" s="31" t="s">
        <v>1584</v>
      </c>
      <c r="B159" s="31" t="s">
        <v>1573</v>
      </c>
      <c r="C159" s="25">
        <v>572</v>
      </c>
      <c r="D159" s="42" t="s">
        <v>1652</v>
      </c>
      <c r="E159" s="42" t="s">
        <v>1650</v>
      </c>
      <c r="F159" s="42" t="s">
        <v>1651</v>
      </c>
      <c r="G159" s="31" t="s">
        <v>1737</v>
      </c>
      <c r="H159" s="31" t="s">
        <v>1497</v>
      </c>
      <c r="I159" s="31" t="s">
        <v>1738</v>
      </c>
      <c r="J159" s="31" t="s">
        <v>1569</v>
      </c>
      <c r="K159" s="31" t="s">
        <v>1170</v>
      </c>
      <c r="L159" s="31"/>
      <c r="M159" s="31"/>
      <c r="N159" s="31"/>
      <c r="O159" s="31"/>
      <c r="P159" s="31"/>
      <c r="Q159" s="31"/>
      <c r="R159" s="31"/>
    </row>
    <row r="160" spans="1:18">
      <c r="A160" s="31" t="s">
        <v>473</v>
      </c>
      <c r="B160" s="35" t="s">
        <v>1152</v>
      </c>
      <c r="C160" s="25">
        <v>285</v>
      </c>
      <c r="D160" s="38" t="s">
        <v>474</v>
      </c>
      <c r="E160" s="39" t="s">
        <v>1074</v>
      </c>
      <c r="F160" s="38" t="s">
        <v>475</v>
      </c>
      <c r="G160" s="31" t="s">
        <v>313</v>
      </c>
      <c r="H160" s="31" t="s">
        <v>39</v>
      </c>
      <c r="I160" s="77" t="s">
        <v>1375</v>
      </c>
      <c r="J160" s="77" t="s">
        <v>1384</v>
      </c>
      <c r="K160" s="31" t="s">
        <v>1170</v>
      </c>
      <c r="L160" s="31"/>
      <c r="M160" s="31"/>
      <c r="N160" s="35"/>
      <c r="O160" s="35" t="s">
        <v>241</v>
      </c>
      <c r="P160" s="35" t="s">
        <v>1182</v>
      </c>
      <c r="Q160" s="28">
        <v>8830</v>
      </c>
      <c r="R160" s="40"/>
    </row>
    <row r="161" spans="1:18">
      <c r="A161" s="33" t="s">
        <v>479</v>
      </c>
      <c r="B161" s="35" t="s">
        <v>1152</v>
      </c>
      <c r="C161" s="25">
        <v>287</v>
      </c>
      <c r="D161" s="50" t="s">
        <v>480</v>
      </c>
      <c r="E161" s="42" t="s">
        <v>1189</v>
      </c>
      <c r="F161" s="38" t="s">
        <v>240</v>
      </c>
      <c r="G161" s="31" t="s">
        <v>313</v>
      </c>
      <c r="H161" s="31" t="s">
        <v>1190</v>
      </c>
      <c r="I161" s="77" t="s">
        <v>476</v>
      </c>
      <c r="J161" s="77" t="s">
        <v>1794</v>
      </c>
      <c r="K161" s="31" t="s">
        <v>201</v>
      </c>
      <c r="L161" s="86" t="s">
        <v>1407</v>
      </c>
      <c r="M161" s="45" t="s">
        <v>1408</v>
      </c>
      <c r="N161" s="35"/>
      <c r="O161" s="35" t="s">
        <v>241</v>
      </c>
      <c r="P161" s="35" t="s">
        <v>1182</v>
      </c>
      <c r="Q161" s="28">
        <v>13240</v>
      </c>
      <c r="R161" s="40"/>
    </row>
    <row r="162" spans="1:18">
      <c r="A162" s="31" t="s">
        <v>477</v>
      </c>
      <c r="B162" s="35" t="s">
        <v>1152</v>
      </c>
      <c r="C162" s="25">
        <v>286</v>
      </c>
      <c r="D162" s="38" t="s">
        <v>478</v>
      </c>
      <c r="E162" s="38" t="s">
        <v>1070</v>
      </c>
      <c r="F162" s="38" t="s">
        <v>347</v>
      </c>
      <c r="G162" s="31" t="s">
        <v>348</v>
      </c>
      <c r="H162" s="31" t="s">
        <v>39</v>
      </c>
      <c r="I162" s="77" t="s">
        <v>1383</v>
      </c>
      <c r="J162" s="77" t="s">
        <v>1384</v>
      </c>
      <c r="K162" s="31" t="s">
        <v>1170</v>
      </c>
      <c r="L162" s="31"/>
      <c r="M162" s="31"/>
      <c r="N162" s="35"/>
      <c r="O162" s="35" t="s">
        <v>235</v>
      </c>
      <c r="P162" s="35" t="s">
        <v>1182</v>
      </c>
      <c r="Q162" s="28">
        <v>31120</v>
      </c>
      <c r="R162" s="40"/>
    </row>
    <row r="163" spans="1:18">
      <c r="A163" s="37" t="s">
        <v>460</v>
      </c>
      <c r="B163" s="35" t="s">
        <v>1152</v>
      </c>
      <c r="C163" s="25">
        <v>280</v>
      </c>
      <c r="D163" s="38" t="s">
        <v>461</v>
      </c>
      <c r="E163" s="38" t="s">
        <v>462</v>
      </c>
      <c r="F163" s="38" t="s">
        <v>463</v>
      </c>
      <c r="G163" s="31" t="s">
        <v>464</v>
      </c>
      <c r="H163" s="31" t="s">
        <v>39</v>
      </c>
      <c r="I163" s="31" t="s">
        <v>1342</v>
      </c>
      <c r="J163" s="31" t="s">
        <v>1343</v>
      </c>
      <c r="K163" s="31" t="s">
        <v>1170</v>
      </c>
      <c r="L163" s="31"/>
      <c r="M163" s="31"/>
      <c r="N163" s="35"/>
      <c r="O163" s="35" t="s">
        <v>196</v>
      </c>
      <c r="P163" s="35" t="s">
        <v>1119</v>
      </c>
      <c r="Q163" s="28">
        <v>78430</v>
      </c>
      <c r="R163" s="40"/>
    </row>
    <row r="164" spans="1:18">
      <c r="A164" s="33" t="s">
        <v>467</v>
      </c>
      <c r="B164" s="35" t="s">
        <v>1152</v>
      </c>
      <c r="C164" s="25">
        <v>282</v>
      </c>
      <c r="D164" s="42" t="s">
        <v>468</v>
      </c>
      <c r="E164" s="38" t="s">
        <v>1176</v>
      </c>
      <c r="F164" s="38" t="s">
        <v>1177</v>
      </c>
      <c r="G164" s="31" t="s">
        <v>267</v>
      </c>
      <c r="H164" s="31" t="s">
        <v>39</v>
      </c>
      <c r="I164" s="77" t="s">
        <v>1342</v>
      </c>
      <c r="J164" s="77" t="s">
        <v>1762</v>
      </c>
      <c r="K164" s="31" t="s">
        <v>222</v>
      </c>
      <c r="L164" s="84" t="s">
        <v>1392</v>
      </c>
      <c r="M164" s="45" t="s">
        <v>1334</v>
      </c>
      <c r="N164" s="35"/>
      <c r="O164" s="35" t="s">
        <v>196</v>
      </c>
      <c r="P164" s="35" t="s">
        <v>1119</v>
      </c>
      <c r="Q164" s="28">
        <v>83600</v>
      </c>
      <c r="R164" s="40"/>
    </row>
    <row r="165" spans="1:18">
      <c r="A165" s="33" t="s">
        <v>469</v>
      </c>
      <c r="B165" s="35" t="s">
        <v>1152</v>
      </c>
      <c r="C165" s="25">
        <v>283</v>
      </c>
      <c r="D165" s="50" t="s">
        <v>470</v>
      </c>
      <c r="E165" s="38" t="s">
        <v>1176</v>
      </c>
      <c r="F165" s="38" t="s">
        <v>1177</v>
      </c>
      <c r="G165" s="31" t="s">
        <v>267</v>
      </c>
      <c r="H165" s="31" t="s">
        <v>39</v>
      </c>
      <c r="I165" s="77" t="s">
        <v>1342</v>
      </c>
      <c r="J165" s="77" t="s">
        <v>1762</v>
      </c>
      <c r="K165" s="31" t="s">
        <v>234</v>
      </c>
      <c r="L165" s="84" t="s">
        <v>1392</v>
      </c>
      <c r="M165" s="45" t="s">
        <v>1399</v>
      </c>
      <c r="N165" s="35"/>
      <c r="O165" s="35" t="s">
        <v>196</v>
      </c>
      <c r="P165" s="35" t="s">
        <v>1119</v>
      </c>
      <c r="Q165" s="28">
        <v>83600</v>
      </c>
      <c r="R165" s="40"/>
    </row>
    <row r="166" spans="1:18">
      <c r="A166" s="33" t="s">
        <v>398</v>
      </c>
      <c r="B166" s="35" t="s">
        <v>1152</v>
      </c>
      <c r="C166" s="25">
        <v>259</v>
      </c>
      <c r="D166" s="50" t="s">
        <v>399</v>
      </c>
      <c r="E166" s="42" t="s">
        <v>1187</v>
      </c>
      <c r="F166" s="42" t="s">
        <v>396</v>
      </c>
      <c r="G166" s="31" t="s">
        <v>397</v>
      </c>
      <c r="H166" s="31" t="s">
        <v>39</v>
      </c>
      <c r="I166" s="76" t="s">
        <v>1377</v>
      </c>
      <c r="J166" s="76" t="s">
        <v>1762</v>
      </c>
      <c r="K166" s="31" t="s">
        <v>1170</v>
      </c>
      <c r="L166" s="31"/>
      <c r="M166" s="31"/>
      <c r="N166" s="35"/>
      <c r="O166" s="45" t="s">
        <v>196</v>
      </c>
      <c r="P166" s="45" t="s">
        <v>1119</v>
      </c>
      <c r="Q166" s="46">
        <v>66000</v>
      </c>
      <c r="R166" s="47"/>
    </row>
    <row r="167" spans="1:18">
      <c r="A167" s="31" t="s">
        <v>452</v>
      </c>
      <c r="B167" s="35" t="s">
        <v>1152</v>
      </c>
      <c r="C167" s="25">
        <v>277</v>
      </c>
      <c r="D167" s="42" t="s">
        <v>453</v>
      </c>
      <c r="E167" s="38" t="s">
        <v>1183</v>
      </c>
      <c r="F167" s="42" t="s">
        <v>454</v>
      </c>
      <c r="G167" s="31" t="s">
        <v>455</v>
      </c>
      <c r="H167" s="31" t="s">
        <v>39</v>
      </c>
      <c r="I167" s="76" t="s">
        <v>1389</v>
      </c>
      <c r="J167" s="76" t="s">
        <v>1390</v>
      </c>
      <c r="K167" s="31" t="s">
        <v>342</v>
      </c>
      <c r="L167" s="31"/>
      <c r="M167" s="31"/>
      <c r="N167" s="35"/>
      <c r="O167" s="35" t="s">
        <v>196</v>
      </c>
      <c r="P167" s="35" t="s">
        <v>1119</v>
      </c>
      <c r="Q167" s="28">
        <v>27500</v>
      </c>
      <c r="R167" s="40"/>
    </row>
    <row r="168" spans="1:18">
      <c r="A168" s="31" t="s">
        <v>456</v>
      </c>
      <c r="B168" s="35" t="s">
        <v>1152</v>
      </c>
      <c r="C168" s="25">
        <v>278</v>
      </c>
      <c r="D168" s="42" t="s">
        <v>457</v>
      </c>
      <c r="E168" s="38" t="s">
        <v>1183</v>
      </c>
      <c r="F168" s="42" t="s">
        <v>454</v>
      </c>
      <c r="G168" s="31" t="s">
        <v>455</v>
      </c>
      <c r="H168" s="31" t="s">
        <v>39</v>
      </c>
      <c r="I168" s="76" t="s">
        <v>1389</v>
      </c>
      <c r="J168" s="76" t="s">
        <v>1390</v>
      </c>
      <c r="K168" s="31" t="s">
        <v>1170</v>
      </c>
      <c r="L168" s="31"/>
      <c r="M168" s="31"/>
      <c r="N168" s="35"/>
      <c r="O168" s="35" t="s">
        <v>196</v>
      </c>
      <c r="P168" s="35" t="s">
        <v>1119</v>
      </c>
      <c r="Q168" s="28">
        <v>27500</v>
      </c>
      <c r="R168" s="40"/>
    </row>
    <row r="169" spans="1:18">
      <c r="A169" s="31" t="s">
        <v>458</v>
      </c>
      <c r="B169" s="35" t="s">
        <v>1152</v>
      </c>
      <c r="C169" s="25">
        <v>279</v>
      </c>
      <c r="D169" s="42" t="s">
        <v>459</v>
      </c>
      <c r="E169" s="38" t="s">
        <v>1183</v>
      </c>
      <c r="F169" s="42" t="s">
        <v>454</v>
      </c>
      <c r="G169" s="31" t="s">
        <v>455</v>
      </c>
      <c r="H169" s="31" t="s">
        <v>39</v>
      </c>
      <c r="I169" s="76" t="s">
        <v>1389</v>
      </c>
      <c r="J169" s="76" t="s">
        <v>1390</v>
      </c>
      <c r="K169" s="31" t="s">
        <v>1170</v>
      </c>
      <c r="L169" s="31"/>
      <c r="M169" s="31"/>
      <c r="N169" s="35"/>
      <c r="O169" s="35" t="s">
        <v>196</v>
      </c>
      <c r="P169" s="35" t="s">
        <v>1119</v>
      </c>
      <c r="Q169" s="28">
        <v>27500</v>
      </c>
      <c r="R169" s="40"/>
    </row>
    <row r="170" spans="1:18">
      <c r="A170" s="33" t="s">
        <v>1500</v>
      </c>
      <c r="B170" s="35" t="s">
        <v>1152</v>
      </c>
      <c r="C170" s="25">
        <v>553</v>
      </c>
      <c r="D170" s="50" t="s">
        <v>1502</v>
      </c>
      <c r="E170" s="42" t="s">
        <v>1504</v>
      </c>
      <c r="F170" s="38" t="s">
        <v>240</v>
      </c>
      <c r="G170" s="31" t="s">
        <v>313</v>
      </c>
      <c r="H170" s="31" t="s">
        <v>233</v>
      </c>
      <c r="I170" s="31" t="s">
        <v>1506</v>
      </c>
      <c r="J170" s="31" t="s">
        <v>1570</v>
      </c>
      <c r="K170" s="76" t="s">
        <v>486</v>
      </c>
      <c r="L170" s="76" t="s">
        <v>1508</v>
      </c>
      <c r="M170" s="76" t="s">
        <v>1509</v>
      </c>
      <c r="N170" s="35"/>
      <c r="O170" s="35"/>
      <c r="P170" s="35"/>
      <c r="Q170" s="28"/>
      <c r="R170" s="40"/>
    </row>
    <row r="171" spans="1:18">
      <c r="A171" s="33" t="s">
        <v>1501</v>
      </c>
      <c r="B171" s="35" t="s">
        <v>1152</v>
      </c>
      <c r="C171" s="25">
        <v>554</v>
      </c>
      <c r="D171" s="50" t="s">
        <v>1503</v>
      </c>
      <c r="E171" s="42" t="s">
        <v>1505</v>
      </c>
      <c r="F171" s="92"/>
      <c r="G171" s="31" t="s">
        <v>313</v>
      </c>
      <c r="H171" s="31" t="s">
        <v>233</v>
      </c>
      <c r="I171" s="31" t="s">
        <v>1506</v>
      </c>
      <c r="J171" s="31" t="s">
        <v>1570</v>
      </c>
      <c r="K171" s="76" t="s">
        <v>486</v>
      </c>
      <c r="L171" s="76" t="s">
        <v>1508</v>
      </c>
      <c r="M171" s="76" t="s">
        <v>1509</v>
      </c>
      <c r="N171" s="35"/>
      <c r="O171" s="35"/>
      <c r="P171" s="35"/>
      <c r="Q171" s="28"/>
      <c r="R171" s="40"/>
    </row>
    <row r="172" spans="1:18">
      <c r="A172" s="31" t="s">
        <v>1585</v>
      </c>
      <c r="B172" s="31" t="s">
        <v>1573</v>
      </c>
      <c r="C172" s="25">
        <v>573</v>
      </c>
      <c r="D172" s="42" t="s">
        <v>1653</v>
      </c>
      <c r="E172" s="42" t="s">
        <v>1654</v>
      </c>
      <c r="F172" s="42" t="s">
        <v>1553</v>
      </c>
      <c r="G172" s="31" t="s">
        <v>1564</v>
      </c>
      <c r="H172" s="31" t="s">
        <v>1497</v>
      </c>
      <c r="I172" s="31" t="s">
        <v>1739</v>
      </c>
      <c r="J172" s="31" t="s">
        <v>1570</v>
      </c>
      <c r="K172" s="31" t="s">
        <v>1170</v>
      </c>
      <c r="L172" s="31"/>
      <c r="M172" s="31"/>
      <c r="N172" s="31"/>
      <c r="O172" s="31"/>
      <c r="P172" s="31"/>
      <c r="Q172" s="31"/>
      <c r="R172" s="31"/>
    </row>
    <row r="173" spans="1:18">
      <c r="A173" s="31" t="s">
        <v>1586</v>
      </c>
      <c r="B173" s="31" t="s">
        <v>1573</v>
      </c>
      <c r="C173" s="25">
        <v>574</v>
      </c>
      <c r="D173" s="42" t="s">
        <v>1655</v>
      </c>
      <c r="E173" s="42" t="s">
        <v>1654</v>
      </c>
      <c r="F173" s="42" t="s">
        <v>1554</v>
      </c>
      <c r="G173" s="31" t="s">
        <v>1564</v>
      </c>
      <c r="H173" s="31" t="s">
        <v>1497</v>
      </c>
      <c r="I173" s="31" t="s">
        <v>1739</v>
      </c>
      <c r="J173" s="31" t="s">
        <v>1570</v>
      </c>
      <c r="K173" s="31" t="s">
        <v>1170</v>
      </c>
      <c r="L173" s="31"/>
      <c r="M173" s="31"/>
      <c r="N173" s="31"/>
      <c r="O173" s="31"/>
      <c r="P173" s="31"/>
      <c r="Q173" s="31"/>
      <c r="R173" s="31"/>
    </row>
    <row r="174" spans="1:18">
      <c r="A174" s="31" t="s">
        <v>1587</v>
      </c>
      <c r="B174" s="31" t="s">
        <v>1573</v>
      </c>
      <c r="C174" s="25">
        <v>575</v>
      </c>
      <c r="D174" s="42" t="s">
        <v>1656</v>
      </c>
      <c r="E174" s="42" t="s">
        <v>1654</v>
      </c>
      <c r="F174" s="42" t="s">
        <v>1555</v>
      </c>
      <c r="G174" s="31" t="s">
        <v>1564</v>
      </c>
      <c r="H174" s="31" t="s">
        <v>1497</v>
      </c>
      <c r="I174" s="31" t="s">
        <v>1739</v>
      </c>
      <c r="J174" s="31" t="s">
        <v>1570</v>
      </c>
      <c r="K174" s="31" t="s">
        <v>1170</v>
      </c>
      <c r="L174" s="31"/>
      <c r="M174" s="31"/>
      <c r="N174" s="31"/>
      <c r="O174" s="31"/>
      <c r="P174" s="31"/>
      <c r="Q174" s="31"/>
      <c r="R174" s="31"/>
    </row>
    <row r="175" spans="1:18">
      <c r="A175" s="31" t="s">
        <v>1588</v>
      </c>
      <c r="B175" s="31" t="s">
        <v>1573</v>
      </c>
      <c r="C175" s="25">
        <v>576</v>
      </c>
      <c r="D175" s="42" t="s">
        <v>1657</v>
      </c>
      <c r="E175" s="42" t="s">
        <v>1658</v>
      </c>
      <c r="F175" s="42" t="s">
        <v>1556</v>
      </c>
      <c r="G175" s="31" t="s">
        <v>1564</v>
      </c>
      <c r="H175" s="31" t="s">
        <v>1497</v>
      </c>
      <c r="I175" s="31" t="s">
        <v>1739</v>
      </c>
      <c r="J175" s="31" t="s">
        <v>1570</v>
      </c>
      <c r="K175" s="31" t="s">
        <v>1170</v>
      </c>
      <c r="L175" s="31"/>
      <c r="M175" s="31"/>
      <c r="N175" s="31"/>
      <c r="O175" s="31"/>
      <c r="P175" s="31"/>
      <c r="Q175" s="31"/>
      <c r="R175" s="31"/>
    </row>
    <row r="176" spans="1:18">
      <c r="A176" s="31" t="s">
        <v>1589</v>
      </c>
      <c r="B176" s="31" t="s">
        <v>1573</v>
      </c>
      <c r="C176" s="25">
        <v>577</v>
      </c>
      <c r="D176" s="42" t="s">
        <v>1659</v>
      </c>
      <c r="E176" s="42" t="s">
        <v>1658</v>
      </c>
      <c r="F176" s="42" t="s">
        <v>1557</v>
      </c>
      <c r="G176" s="31" t="s">
        <v>1564</v>
      </c>
      <c r="H176" s="31" t="s">
        <v>1497</v>
      </c>
      <c r="I176" s="31" t="s">
        <v>1739</v>
      </c>
      <c r="J176" s="31" t="s">
        <v>1570</v>
      </c>
      <c r="K176" s="31" t="s">
        <v>1170</v>
      </c>
      <c r="L176" s="31"/>
      <c r="M176" s="31"/>
      <c r="N176" s="31"/>
      <c r="O176" s="31"/>
      <c r="P176" s="31"/>
      <c r="Q176" s="31"/>
      <c r="R176" s="31"/>
    </row>
    <row r="177" spans="1:18">
      <c r="A177" s="31" t="s">
        <v>1590</v>
      </c>
      <c r="B177" s="31" t="s">
        <v>1573</v>
      </c>
      <c r="C177" s="25">
        <v>578</v>
      </c>
      <c r="D177" s="42" t="s">
        <v>1660</v>
      </c>
      <c r="E177" s="42" t="s">
        <v>1538</v>
      </c>
      <c r="F177" s="42" t="s">
        <v>1558</v>
      </c>
      <c r="G177" s="31"/>
      <c r="H177" s="31" t="s">
        <v>1497</v>
      </c>
      <c r="I177" s="31" t="s">
        <v>1740</v>
      </c>
      <c r="J177" s="31" t="s">
        <v>1571</v>
      </c>
      <c r="K177" s="31" t="s">
        <v>1170</v>
      </c>
      <c r="L177" s="31"/>
      <c r="M177" s="31"/>
      <c r="N177" s="31"/>
      <c r="O177" s="31"/>
      <c r="P177" s="31"/>
      <c r="Q177" s="31"/>
      <c r="R177" s="31"/>
    </row>
    <row r="178" spans="1:18">
      <c r="A178" s="31" t="s">
        <v>1591</v>
      </c>
      <c r="B178" s="31" t="s">
        <v>1573</v>
      </c>
      <c r="C178" s="25">
        <v>579</v>
      </c>
      <c r="D178" s="42" t="s">
        <v>1661</v>
      </c>
      <c r="E178" s="42" t="s">
        <v>1538</v>
      </c>
      <c r="F178" s="42" t="s">
        <v>1558</v>
      </c>
      <c r="G178" s="31"/>
      <c r="H178" s="31" t="s">
        <v>1497</v>
      </c>
      <c r="I178" s="31" t="s">
        <v>1740</v>
      </c>
      <c r="J178" s="31" t="s">
        <v>1571</v>
      </c>
      <c r="K178" s="31" t="s">
        <v>1507</v>
      </c>
      <c r="L178" s="31"/>
      <c r="M178" s="31"/>
      <c r="N178" s="31"/>
      <c r="O178" s="31"/>
      <c r="P178" s="31"/>
      <c r="Q178" s="31"/>
      <c r="R178" s="31"/>
    </row>
    <row r="179" spans="1:18">
      <c r="A179" s="31" t="s">
        <v>1592</v>
      </c>
      <c r="B179" s="31" t="s">
        <v>1573</v>
      </c>
      <c r="C179" s="25">
        <v>580</v>
      </c>
      <c r="D179" s="42" t="s">
        <v>1662</v>
      </c>
      <c r="E179" s="42" t="s">
        <v>1538</v>
      </c>
      <c r="F179" s="42" t="s">
        <v>1559</v>
      </c>
      <c r="G179" s="31"/>
      <c r="H179" s="31" t="s">
        <v>1497</v>
      </c>
      <c r="I179" s="31" t="s">
        <v>1740</v>
      </c>
      <c r="J179" s="31" t="s">
        <v>1571</v>
      </c>
      <c r="K179" s="31" t="s">
        <v>1170</v>
      </c>
      <c r="L179" s="31"/>
      <c r="M179" s="31"/>
      <c r="N179" s="31"/>
      <c r="O179" s="31"/>
      <c r="P179" s="31"/>
      <c r="Q179" s="31"/>
      <c r="R179" s="31"/>
    </row>
    <row r="180" spans="1:18">
      <c r="A180" s="31" t="s">
        <v>1593</v>
      </c>
      <c r="B180" s="31" t="s">
        <v>1573</v>
      </c>
      <c r="C180" s="25">
        <v>581</v>
      </c>
      <c r="D180" s="42" t="s">
        <v>1663</v>
      </c>
      <c r="E180" s="42" t="s">
        <v>1538</v>
      </c>
      <c r="F180" s="42" t="s">
        <v>1559</v>
      </c>
      <c r="G180" s="31"/>
      <c r="H180" s="31" t="s">
        <v>1497</v>
      </c>
      <c r="I180" s="31" t="s">
        <v>1740</v>
      </c>
      <c r="J180" s="31" t="s">
        <v>1571</v>
      </c>
      <c r="K180" s="31" t="s">
        <v>1507</v>
      </c>
      <c r="L180" s="31"/>
      <c r="M180" s="31"/>
      <c r="N180" s="31"/>
      <c r="O180" s="31"/>
      <c r="P180" s="31"/>
      <c r="Q180" s="31"/>
      <c r="R180" s="31"/>
    </row>
    <row r="181" spans="1:18">
      <c r="A181" s="31" t="s">
        <v>1594</v>
      </c>
      <c r="B181" s="31" t="s">
        <v>1573</v>
      </c>
      <c r="C181" s="25">
        <v>582</v>
      </c>
      <c r="D181" s="42" t="s">
        <v>1664</v>
      </c>
      <c r="E181" s="42" t="s">
        <v>1538</v>
      </c>
      <c r="F181" s="42" t="s">
        <v>1560</v>
      </c>
      <c r="G181" s="31"/>
      <c r="H181" s="31" t="s">
        <v>1497</v>
      </c>
      <c r="I181" s="31" t="s">
        <v>1740</v>
      </c>
      <c r="J181" s="31" t="s">
        <v>1571</v>
      </c>
      <c r="K181" s="31" t="s">
        <v>1170</v>
      </c>
      <c r="L181" s="31"/>
      <c r="M181" s="31"/>
      <c r="N181" s="31"/>
      <c r="O181" s="31"/>
      <c r="P181" s="31"/>
      <c r="Q181" s="31"/>
      <c r="R181" s="31"/>
    </row>
    <row r="182" spans="1:18">
      <c r="A182" s="31" t="s">
        <v>1595</v>
      </c>
      <c r="B182" s="31" t="s">
        <v>1152</v>
      </c>
      <c r="C182" s="25">
        <v>583</v>
      </c>
      <c r="D182" s="42" t="s">
        <v>1665</v>
      </c>
      <c r="E182" s="42" t="s">
        <v>1538</v>
      </c>
      <c r="F182" s="42" t="s">
        <v>1560</v>
      </c>
      <c r="G182" s="31"/>
      <c r="H182" s="31" t="s">
        <v>1497</v>
      </c>
      <c r="I182" s="31" t="s">
        <v>1740</v>
      </c>
      <c r="J182" s="31" t="s">
        <v>1571</v>
      </c>
      <c r="K182" s="31" t="s">
        <v>1507</v>
      </c>
      <c r="L182" s="31"/>
      <c r="M182" s="31"/>
      <c r="N182" s="31"/>
      <c r="O182" s="31"/>
      <c r="P182" s="31"/>
      <c r="Q182" s="31"/>
      <c r="R182" s="31"/>
    </row>
    <row r="183" spans="1:18">
      <c r="A183" s="31" t="s">
        <v>1596</v>
      </c>
      <c r="B183" s="31" t="s">
        <v>1152</v>
      </c>
      <c r="C183" s="25">
        <v>584</v>
      </c>
      <c r="D183" s="42" t="s">
        <v>1666</v>
      </c>
      <c r="E183" s="42" t="s">
        <v>1538</v>
      </c>
      <c r="F183" s="42" t="s">
        <v>1561</v>
      </c>
      <c r="G183" s="31"/>
      <c r="H183" s="31" t="s">
        <v>1497</v>
      </c>
      <c r="I183" s="31" t="s">
        <v>1740</v>
      </c>
      <c r="J183" s="31" t="s">
        <v>1571</v>
      </c>
      <c r="K183" s="31" t="s">
        <v>1170</v>
      </c>
      <c r="L183" s="31"/>
      <c r="M183" s="31"/>
      <c r="N183" s="31"/>
      <c r="O183" s="31"/>
      <c r="P183" s="31"/>
      <c r="Q183" s="31"/>
      <c r="R183" s="31"/>
    </row>
    <row r="184" spans="1:18">
      <c r="A184" s="31" t="s">
        <v>1597</v>
      </c>
      <c r="B184" s="31" t="s">
        <v>1152</v>
      </c>
      <c r="C184" s="25">
        <v>585</v>
      </c>
      <c r="D184" s="42" t="s">
        <v>1667</v>
      </c>
      <c r="E184" s="42" t="s">
        <v>1538</v>
      </c>
      <c r="F184" s="42" t="s">
        <v>1561</v>
      </c>
      <c r="G184" s="31"/>
      <c r="H184" s="31" t="s">
        <v>1497</v>
      </c>
      <c r="I184" s="31" t="s">
        <v>1740</v>
      </c>
      <c r="J184" s="31" t="s">
        <v>1571</v>
      </c>
      <c r="K184" s="31" t="s">
        <v>1507</v>
      </c>
      <c r="L184" s="31"/>
      <c r="M184" s="31"/>
      <c r="N184" s="31"/>
      <c r="O184" s="31"/>
      <c r="P184" s="31"/>
      <c r="Q184" s="31"/>
      <c r="R184" s="31"/>
    </row>
    <row r="185" spans="1:18">
      <c r="A185" s="31" t="s">
        <v>1598</v>
      </c>
      <c r="B185" s="31" t="s">
        <v>1152</v>
      </c>
      <c r="C185" s="25">
        <v>586</v>
      </c>
      <c r="D185" s="42" t="s">
        <v>1668</v>
      </c>
      <c r="E185" s="42" t="s">
        <v>1538</v>
      </c>
      <c r="F185" s="42" t="s">
        <v>1562</v>
      </c>
      <c r="G185" s="31"/>
      <c r="H185" s="31" t="s">
        <v>1497</v>
      </c>
      <c r="I185" s="31" t="s">
        <v>1566</v>
      </c>
      <c r="J185" s="31" t="s">
        <v>1741</v>
      </c>
      <c r="K185" s="31" t="s">
        <v>1170</v>
      </c>
      <c r="L185" s="31"/>
      <c r="M185" s="31"/>
      <c r="N185" s="31"/>
      <c r="O185" s="31"/>
      <c r="P185" s="31"/>
      <c r="Q185" s="31"/>
      <c r="R185" s="31"/>
    </row>
    <row r="186" spans="1:18">
      <c r="A186" s="31" t="s">
        <v>1599</v>
      </c>
      <c r="B186" s="31" t="s">
        <v>1152</v>
      </c>
      <c r="C186" s="25">
        <v>587</v>
      </c>
      <c r="D186" s="42" t="s">
        <v>1669</v>
      </c>
      <c r="E186" s="42" t="s">
        <v>1538</v>
      </c>
      <c r="F186" s="42" t="s">
        <v>1562</v>
      </c>
      <c r="G186" s="31"/>
      <c r="H186" s="31" t="s">
        <v>233</v>
      </c>
      <c r="I186" s="31" t="s">
        <v>1566</v>
      </c>
      <c r="J186" s="31" t="s">
        <v>1741</v>
      </c>
      <c r="K186" s="31" t="s">
        <v>486</v>
      </c>
      <c r="L186" s="31"/>
      <c r="M186" s="31"/>
      <c r="N186" s="31"/>
      <c r="O186" s="31"/>
      <c r="P186" s="31"/>
      <c r="Q186" s="31"/>
      <c r="R186" s="31"/>
    </row>
    <row r="187" spans="1:18">
      <c r="A187" s="31" t="s">
        <v>1600</v>
      </c>
      <c r="B187" s="31" t="s">
        <v>1152</v>
      </c>
      <c r="C187" s="25">
        <v>588</v>
      </c>
      <c r="D187" s="42" t="s">
        <v>1670</v>
      </c>
      <c r="E187" s="42" t="s">
        <v>1551</v>
      </c>
      <c r="F187" s="42" t="s">
        <v>1671</v>
      </c>
      <c r="G187" s="31"/>
      <c r="H187" s="31" t="s">
        <v>233</v>
      </c>
      <c r="I187" s="31" t="s">
        <v>1566</v>
      </c>
      <c r="J187" s="31" t="s">
        <v>1741</v>
      </c>
      <c r="K187" s="31" t="s">
        <v>1170</v>
      </c>
      <c r="L187" s="31"/>
      <c r="M187" s="31"/>
      <c r="N187" s="31"/>
      <c r="O187" s="31"/>
      <c r="P187" s="31"/>
      <c r="Q187" s="31"/>
      <c r="R187" s="31"/>
    </row>
    <row r="188" spans="1:18">
      <c r="A188" s="31" t="s">
        <v>1601</v>
      </c>
      <c r="B188" s="31" t="s">
        <v>1152</v>
      </c>
      <c r="C188" s="25">
        <v>589</v>
      </c>
      <c r="D188" s="42" t="s">
        <v>1672</v>
      </c>
      <c r="E188" s="42" t="s">
        <v>1551</v>
      </c>
      <c r="F188" s="42" t="s">
        <v>1671</v>
      </c>
      <c r="G188" s="31"/>
      <c r="H188" s="31" t="s">
        <v>233</v>
      </c>
      <c r="I188" s="31" t="s">
        <v>1566</v>
      </c>
      <c r="J188" s="31" t="s">
        <v>1741</v>
      </c>
      <c r="K188" s="31" t="s">
        <v>486</v>
      </c>
      <c r="L188" s="31"/>
      <c r="M188" s="31"/>
      <c r="N188" s="31"/>
      <c r="O188" s="31"/>
      <c r="P188" s="31"/>
      <c r="Q188" s="31"/>
      <c r="R188" s="31"/>
    </row>
    <row r="189" spans="1:18">
      <c r="A189" s="31" t="s">
        <v>1602</v>
      </c>
      <c r="B189" s="31" t="s">
        <v>1152</v>
      </c>
      <c r="C189" s="25">
        <v>590</v>
      </c>
      <c r="D189" s="42" t="s">
        <v>1673</v>
      </c>
      <c r="E189" s="42" t="s">
        <v>1551</v>
      </c>
      <c r="F189" s="42" t="s">
        <v>1674</v>
      </c>
      <c r="G189" s="31"/>
      <c r="H189" s="31" t="s">
        <v>233</v>
      </c>
      <c r="I189" s="31" t="s">
        <v>1566</v>
      </c>
      <c r="J189" s="31" t="s">
        <v>1741</v>
      </c>
      <c r="K189" s="31" t="s">
        <v>1170</v>
      </c>
      <c r="L189" s="31"/>
      <c r="M189" s="31"/>
      <c r="N189" s="31"/>
      <c r="O189" s="31"/>
      <c r="P189" s="31"/>
      <c r="Q189" s="31"/>
      <c r="R189" s="31"/>
    </row>
    <row r="190" spans="1:18">
      <c r="A190" s="31" t="s">
        <v>1603</v>
      </c>
      <c r="B190" s="31" t="s">
        <v>1152</v>
      </c>
      <c r="C190" s="25">
        <v>591</v>
      </c>
      <c r="D190" s="42" t="s">
        <v>1675</v>
      </c>
      <c r="E190" s="42" t="s">
        <v>1551</v>
      </c>
      <c r="F190" s="42" t="s">
        <v>1674</v>
      </c>
      <c r="G190" s="31"/>
      <c r="H190" s="31" t="s">
        <v>233</v>
      </c>
      <c r="I190" s="31" t="s">
        <v>1566</v>
      </c>
      <c r="J190" s="31" t="s">
        <v>1741</v>
      </c>
      <c r="K190" s="31" t="s">
        <v>486</v>
      </c>
      <c r="L190" s="31"/>
      <c r="M190" s="31"/>
      <c r="N190" s="31"/>
      <c r="O190" s="31"/>
      <c r="P190" s="31"/>
      <c r="Q190" s="31"/>
      <c r="R190" s="31"/>
    </row>
    <row r="191" spans="1:18">
      <c r="A191" s="31" t="s">
        <v>1523</v>
      </c>
      <c r="B191" s="35" t="s">
        <v>1152</v>
      </c>
      <c r="C191" s="25">
        <v>556</v>
      </c>
      <c r="D191" s="38" t="s">
        <v>1529</v>
      </c>
      <c r="E191" s="38" t="s">
        <v>1524</v>
      </c>
      <c r="F191" s="38" t="s">
        <v>1525</v>
      </c>
      <c r="G191" s="31" t="s">
        <v>1526</v>
      </c>
      <c r="H191" s="31" t="s">
        <v>1497</v>
      </c>
      <c r="I191" s="31" t="s">
        <v>1527</v>
      </c>
      <c r="J191" s="31" t="s">
        <v>1528</v>
      </c>
      <c r="K191" s="31" t="s">
        <v>1530</v>
      </c>
      <c r="L191" s="83" t="s">
        <v>1531</v>
      </c>
      <c r="M191" s="83" t="s">
        <v>1532</v>
      </c>
      <c r="N191" s="35"/>
      <c r="O191" s="35"/>
      <c r="P191" s="35"/>
      <c r="Q191" s="28"/>
      <c r="R191" s="40"/>
    </row>
    <row r="192" spans="1:18">
      <c r="A192" s="31" t="s">
        <v>1604</v>
      </c>
      <c r="B192" s="31" t="s">
        <v>1152</v>
      </c>
      <c r="C192" s="25">
        <v>592</v>
      </c>
      <c r="D192" s="42" t="s">
        <v>1676</v>
      </c>
      <c r="E192" s="42" t="s">
        <v>1551</v>
      </c>
      <c r="F192" s="42" t="s">
        <v>1677</v>
      </c>
      <c r="G192" s="31"/>
      <c r="H192" s="31" t="s">
        <v>233</v>
      </c>
      <c r="I192" s="31" t="s">
        <v>1567</v>
      </c>
      <c r="J192" s="31" t="s">
        <v>1327</v>
      </c>
      <c r="K192" s="31" t="s">
        <v>1170</v>
      </c>
      <c r="L192" s="31"/>
      <c r="M192" s="31"/>
      <c r="N192" s="31"/>
      <c r="O192" s="31"/>
      <c r="P192" s="31"/>
      <c r="Q192" s="31"/>
      <c r="R192" s="31"/>
    </row>
    <row r="193" spans="1:18">
      <c r="A193" s="31" t="s">
        <v>1605</v>
      </c>
      <c r="B193" s="31" t="s">
        <v>1152</v>
      </c>
      <c r="C193" s="25">
        <v>593</v>
      </c>
      <c r="D193" s="42" t="s">
        <v>1678</v>
      </c>
      <c r="E193" s="42" t="s">
        <v>1551</v>
      </c>
      <c r="F193" s="42" t="s">
        <v>1677</v>
      </c>
      <c r="G193" s="31"/>
      <c r="H193" s="31" t="s">
        <v>233</v>
      </c>
      <c r="I193" s="31" t="s">
        <v>1567</v>
      </c>
      <c r="J193" s="31" t="s">
        <v>1327</v>
      </c>
      <c r="K193" s="31" t="s">
        <v>486</v>
      </c>
      <c r="L193" s="31"/>
      <c r="M193" s="31"/>
      <c r="N193" s="31"/>
      <c r="O193" s="31"/>
      <c r="P193" s="31"/>
      <c r="Q193" s="31"/>
      <c r="R193" s="31"/>
    </row>
    <row r="194" spans="1:18">
      <c r="A194" s="31" t="s">
        <v>1606</v>
      </c>
      <c r="B194" s="31" t="s">
        <v>1152</v>
      </c>
      <c r="C194" s="25">
        <v>594</v>
      </c>
      <c r="D194" s="42" t="s">
        <v>1679</v>
      </c>
      <c r="E194" s="42" t="s">
        <v>1551</v>
      </c>
      <c r="F194" s="42" t="s">
        <v>1680</v>
      </c>
      <c r="G194" s="31"/>
      <c r="H194" s="31" t="s">
        <v>233</v>
      </c>
      <c r="I194" s="31" t="s">
        <v>1567</v>
      </c>
      <c r="J194" s="31" t="s">
        <v>1327</v>
      </c>
      <c r="K194" s="31" t="s">
        <v>1170</v>
      </c>
      <c r="L194" s="31"/>
      <c r="M194" s="31"/>
      <c r="N194" s="31"/>
      <c r="O194" s="31"/>
      <c r="P194" s="31"/>
      <c r="Q194" s="31"/>
      <c r="R194" s="31"/>
    </row>
    <row r="195" spans="1:18">
      <c r="A195" s="31" t="s">
        <v>1607</v>
      </c>
      <c r="B195" s="31" t="s">
        <v>1152</v>
      </c>
      <c r="C195" s="25">
        <v>595</v>
      </c>
      <c r="D195" s="42" t="s">
        <v>1681</v>
      </c>
      <c r="E195" s="42" t="s">
        <v>1551</v>
      </c>
      <c r="F195" s="42" t="s">
        <v>1680</v>
      </c>
      <c r="G195" s="31"/>
      <c r="H195" s="31" t="s">
        <v>233</v>
      </c>
      <c r="I195" s="31" t="s">
        <v>1567</v>
      </c>
      <c r="J195" s="31" t="s">
        <v>1327</v>
      </c>
      <c r="K195" s="31" t="s">
        <v>486</v>
      </c>
      <c r="L195" s="31"/>
      <c r="M195" s="31"/>
      <c r="N195" s="31"/>
      <c r="O195" s="31"/>
      <c r="P195" s="31"/>
      <c r="Q195" s="31"/>
      <c r="R195" s="31"/>
    </row>
    <row r="196" spans="1:18">
      <c r="A196" s="31" t="s">
        <v>1608</v>
      </c>
      <c r="B196" s="31" t="s">
        <v>1152</v>
      </c>
      <c r="C196" s="25">
        <v>596</v>
      </c>
      <c r="D196" s="42" t="s">
        <v>1682</v>
      </c>
      <c r="E196" s="42" t="s">
        <v>1551</v>
      </c>
      <c r="F196" s="42" t="s">
        <v>1683</v>
      </c>
      <c r="G196" s="31"/>
      <c r="H196" s="31" t="s">
        <v>233</v>
      </c>
      <c r="I196" s="31" t="s">
        <v>1567</v>
      </c>
      <c r="J196" s="31" t="s">
        <v>1327</v>
      </c>
      <c r="K196" s="31" t="s">
        <v>1170</v>
      </c>
      <c r="L196" s="31"/>
      <c r="M196" s="31"/>
      <c r="N196" s="31"/>
      <c r="O196" s="31"/>
      <c r="P196" s="31"/>
      <c r="Q196" s="31"/>
      <c r="R196" s="31"/>
    </row>
    <row r="197" spans="1:18">
      <c r="A197" s="31" t="s">
        <v>1609</v>
      </c>
      <c r="B197" s="31" t="s">
        <v>1152</v>
      </c>
      <c r="C197" s="25">
        <v>597</v>
      </c>
      <c r="D197" s="42" t="s">
        <v>1684</v>
      </c>
      <c r="E197" s="42" t="s">
        <v>1551</v>
      </c>
      <c r="F197" s="42" t="s">
        <v>1683</v>
      </c>
      <c r="G197" s="31"/>
      <c r="H197" s="31" t="s">
        <v>233</v>
      </c>
      <c r="I197" s="31" t="s">
        <v>1567</v>
      </c>
      <c r="J197" s="31" t="s">
        <v>1327</v>
      </c>
      <c r="K197" s="31" t="s">
        <v>486</v>
      </c>
      <c r="L197" s="31"/>
      <c r="M197" s="31"/>
      <c r="N197" s="31"/>
      <c r="O197" s="31"/>
      <c r="P197" s="31"/>
      <c r="Q197" s="31"/>
      <c r="R197" s="31"/>
    </row>
    <row r="198" spans="1:18">
      <c r="A198" s="31" t="s">
        <v>1610</v>
      </c>
      <c r="B198" s="31" t="s">
        <v>1152</v>
      </c>
      <c r="C198" s="25">
        <v>598</v>
      </c>
      <c r="D198" s="42" t="s">
        <v>1685</v>
      </c>
      <c r="E198" s="42" t="s">
        <v>1551</v>
      </c>
      <c r="F198" s="42" t="s">
        <v>1686</v>
      </c>
      <c r="G198" s="31"/>
      <c r="H198" s="31" t="s">
        <v>233</v>
      </c>
      <c r="I198" s="31" t="s">
        <v>1567</v>
      </c>
      <c r="J198" s="31" t="s">
        <v>1327</v>
      </c>
      <c r="K198" s="31" t="s">
        <v>1170</v>
      </c>
      <c r="L198" s="31"/>
      <c r="M198" s="31"/>
      <c r="N198" s="31"/>
      <c r="O198" s="31"/>
      <c r="P198" s="31"/>
      <c r="Q198" s="31"/>
      <c r="R198" s="31"/>
    </row>
    <row r="199" spans="1:18">
      <c r="A199" s="31" t="s">
        <v>1611</v>
      </c>
      <c r="B199" s="31" t="s">
        <v>1152</v>
      </c>
      <c r="C199" s="25">
        <v>599</v>
      </c>
      <c r="D199" s="42" t="s">
        <v>1687</v>
      </c>
      <c r="E199" s="42" t="s">
        <v>1551</v>
      </c>
      <c r="F199" s="42" t="s">
        <v>1686</v>
      </c>
      <c r="G199" s="31"/>
      <c r="H199" s="31" t="s">
        <v>233</v>
      </c>
      <c r="I199" s="31" t="s">
        <v>1567</v>
      </c>
      <c r="J199" s="31" t="s">
        <v>1327</v>
      </c>
      <c r="K199" s="31" t="s">
        <v>486</v>
      </c>
      <c r="L199" s="31"/>
      <c r="M199" s="31"/>
      <c r="N199" s="31"/>
      <c r="O199" s="31"/>
      <c r="P199" s="31"/>
      <c r="Q199" s="31"/>
      <c r="R199" s="31"/>
    </row>
    <row r="200" spans="1:18">
      <c r="A200" s="31" t="s">
        <v>1612</v>
      </c>
      <c r="B200" s="31" t="s">
        <v>1152</v>
      </c>
      <c r="C200" s="25">
        <v>600</v>
      </c>
      <c r="D200" s="42" t="s">
        <v>1688</v>
      </c>
      <c r="E200" s="42" t="s">
        <v>1551</v>
      </c>
      <c r="F200" s="42" t="s">
        <v>1689</v>
      </c>
      <c r="G200" s="31"/>
      <c r="H200" s="31" t="s">
        <v>233</v>
      </c>
      <c r="I200" s="31" t="s">
        <v>1567</v>
      </c>
      <c r="J200" s="31" t="s">
        <v>1327</v>
      </c>
      <c r="K200" s="31" t="s">
        <v>1170</v>
      </c>
      <c r="L200" s="31"/>
      <c r="M200" s="31"/>
      <c r="N200" s="31"/>
      <c r="O200" s="31"/>
      <c r="P200" s="31"/>
      <c r="Q200" s="31"/>
      <c r="R200" s="31"/>
    </row>
    <row r="201" spans="1:18">
      <c r="A201" s="31" t="s">
        <v>1613</v>
      </c>
      <c r="B201" s="31" t="s">
        <v>1152</v>
      </c>
      <c r="C201" s="25">
        <v>601</v>
      </c>
      <c r="D201" s="42" t="s">
        <v>1690</v>
      </c>
      <c r="E201" s="42" t="s">
        <v>1551</v>
      </c>
      <c r="F201" s="42" t="s">
        <v>1689</v>
      </c>
      <c r="G201" s="31"/>
      <c r="H201" s="31" t="s">
        <v>233</v>
      </c>
      <c r="I201" s="31" t="s">
        <v>1567</v>
      </c>
      <c r="J201" s="31" t="s">
        <v>1327</v>
      </c>
      <c r="K201" s="31" t="s">
        <v>486</v>
      </c>
      <c r="L201" s="31"/>
      <c r="M201" s="31"/>
      <c r="N201" s="31"/>
      <c r="O201" s="31"/>
      <c r="P201" s="31"/>
      <c r="Q201" s="31"/>
      <c r="R201" s="31"/>
    </row>
    <row r="202" spans="1:18">
      <c r="A202" s="31" t="s">
        <v>1614</v>
      </c>
      <c r="B202" s="31" t="s">
        <v>1152</v>
      </c>
      <c r="C202" s="25">
        <v>602</v>
      </c>
      <c r="D202" s="42" t="s">
        <v>1691</v>
      </c>
      <c r="E202" s="42" t="s">
        <v>1551</v>
      </c>
      <c r="F202" s="42" t="s">
        <v>1692</v>
      </c>
      <c r="G202" s="31"/>
      <c r="H202" s="31" t="s">
        <v>233</v>
      </c>
      <c r="I202" s="31" t="s">
        <v>1567</v>
      </c>
      <c r="J202" s="31" t="s">
        <v>1327</v>
      </c>
      <c r="K202" s="31" t="s">
        <v>1170</v>
      </c>
      <c r="L202" s="31"/>
      <c r="M202" s="31"/>
      <c r="N202" s="31"/>
      <c r="O202" s="31"/>
      <c r="P202" s="31"/>
      <c r="Q202" s="31"/>
      <c r="R202" s="31"/>
    </row>
    <row r="203" spans="1:18">
      <c r="A203" s="31" t="s">
        <v>1615</v>
      </c>
      <c r="B203" s="31" t="s">
        <v>1152</v>
      </c>
      <c r="C203" s="25">
        <v>603</v>
      </c>
      <c r="D203" s="42" t="s">
        <v>1693</v>
      </c>
      <c r="E203" s="42" t="s">
        <v>1551</v>
      </c>
      <c r="F203" s="42" t="s">
        <v>1692</v>
      </c>
      <c r="G203" s="31"/>
      <c r="H203" s="31" t="s">
        <v>233</v>
      </c>
      <c r="I203" s="31" t="s">
        <v>1567</v>
      </c>
      <c r="J203" s="31" t="s">
        <v>1327</v>
      </c>
      <c r="K203" s="31" t="s">
        <v>486</v>
      </c>
      <c r="L203" s="31"/>
      <c r="M203" s="31"/>
      <c r="N203" s="31"/>
      <c r="O203" s="31"/>
      <c r="P203" s="31"/>
      <c r="Q203" s="31"/>
      <c r="R203" s="31"/>
    </row>
    <row r="204" spans="1:18">
      <c r="A204" s="31" t="s">
        <v>1616</v>
      </c>
      <c r="B204" s="31" t="s">
        <v>1152</v>
      </c>
      <c r="C204" s="25">
        <v>604</v>
      </c>
      <c r="D204" s="42" t="s">
        <v>1694</v>
      </c>
      <c r="E204" s="42" t="s">
        <v>1551</v>
      </c>
      <c r="F204" s="42" t="s">
        <v>1695</v>
      </c>
      <c r="G204" s="31"/>
      <c r="H204" s="31" t="s">
        <v>233</v>
      </c>
      <c r="I204" s="31" t="s">
        <v>1567</v>
      </c>
      <c r="J204" s="31" t="s">
        <v>1327</v>
      </c>
      <c r="K204" s="31" t="s">
        <v>1170</v>
      </c>
      <c r="L204" s="31"/>
      <c r="M204" s="31"/>
      <c r="N204" s="31"/>
      <c r="O204" s="31"/>
      <c r="P204" s="31"/>
      <c r="Q204" s="31"/>
      <c r="R204" s="31"/>
    </row>
    <row r="205" spans="1:18">
      <c r="A205" s="31" t="s">
        <v>1617</v>
      </c>
      <c r="B205" s="31" t="s">
        <v>1152</v>
      </c>
      <c r="C205" s="25">
        <v>605</v>
      </c>
      <c r="D205" s="42" t="s">
        <v>1696</v>
      </c>
      <c r="E205" s="42" t="s">
        <v>1551</v>
      </c>
      <c r="F205" s="42" t="s">
        <v>1695</v>
      </c>
      <c r="G205" s="31"/>
      <c r="H205" s="31" t="s">
        <v>233</v>
      </c>
      <c r="I205" s="31" t="s">
        <v>1567</v>
      </c>
      <c r="J205" s="31" t="s">
        <v>1327</v>
      </c>
      <c r="K205" s="31" t="s">
        <v>486</v>
      </c>
      <c r="L205" s="31"/>
      <c r="M205" s="31"/>
      <c r="N205" s="31"/>
      <c r="O205" s="31"/>
      <c r="P205" s="31"/>
      <c r="Q205" s="31"/>
      <c r="R205" s="31"/>
    </row>
    <row r="206" spans="1:18">
      <c r="A206" s="31" t="s">
        <v>1618</v>
      </c>
      <c r="B206" s="31" t="s">
        <v>1152</v>
      </c>
      <c r="C206" s="25">
        <v>606</v>
      </c>
      <c r="D206" s="42" t="s">
        <v>1697</v>
      </c>
      <c r="E206" s="42" t="s">
        <v>1551</v>
      </c>
      <c r="F206" s="42" t="s">
        <v>1698</v>
      </c>
      <c r="G206" s="31"/>
      <c r="H206" s="31" t="s">
        <v>233</v>
      </c>
      <c r="I206" s="31" t="s">
        <v>1567</v>
      </c>
      <c r="J206" s="31" t="s">
        <v>1327</v>
      </c>
      <c r="K206" s="31" t="s">
        <v>1170</v>
      </c>
      <c r="L206" s="31"/>
      <c r="M206" s="31"/>
      <c r="N206" s="31"/>
      <c r="O206" s="31"/>
      <c r="P206" s="31"/>
      <c r="Q206" s="31"/>
      <c r="R206" s="31"/>
    </row>
    <row r="207" spans="1:18">
      <c r="A207" s="31" t="s">
        <v>1619</v>
      </c>
      <c r="B207" s="31" t="s">
        <v>1152</v>
      </c>
      <c r="C207" s="25">
        <v>607</v>
      </c>
      <c r="D207" s="42" t="s">
        <v>1699</v>
      </c>
      <c r="E207" s="42" t="s">
        <v>1551</v>
      </c>
      <c r="F207" s="42" t="s">
        <v>1698</v>
      </c>
      <c r="G207" s="31"/>
      <c r="H207" s="31" t="s">
        <v>233</v>
      </c>
      <c r="I207" s="31" t="s">
        <v>1567</v>
      </c>
      <c r="J207" s="31" t="s">
        <v>1327</v>
      </c>
      <c r="K207" s="31" t="s">
        <v>486</v>
      </c>
      <c r="L207" s="31"/>
      <c r="M207" s="31"/>
      <c r="N207" s="31"/>
      <c r="O207" s="31"/>
      <c r="P207" s="31"/>
      <c r="Q207" s="31"/>
      <c r="R207" s="31"/>
    </row>
    <row r="208" spans="1:18">
      <c r="A208" s="31" t="s">
        <v>1620</v>
      </c>
      <c r="B208" s="31" t="s">
        <v>1152</v>
      </c>
      <c r="C208" s="25">
        <v>608</v>
      </c>
      <c r="D208" s="42" t="s">
        <v>1700</v>
      </c>
      <c r="E208" s="42" t="s">
        <v>1551</v>
      </c>
      <c r="F208" s="42" t="s">
        <v>1701</v>
      </c>
      <c r="G208" s="31"/>
      <c r="H208" s="31" t="s">
        <v>233</v>
      </c>
      <c r="I208" s="31" t="s">
        <v>1567</v>
      </c>
      <c r="J208" s="31" t="s">
        <v>1327</v>
      </c>
      <c r="K208" s="31" t="s">
        <v>1170</v>
      </c>
      <c r="L208" s="31"/>
      <c r="M208" s="31"/>
      <c r="N208" s="31"/>
      <c r="O208" s="31"/>
      <c r="P208" s="31"/>
      <c r="Q208" s="31"/>
      <c r="R208" s="31"/>
    </row>
    <row r="209" spans="1:18">
      <c r="A209" s="31" t="s">
        <v>1621</v>
      </c>
      <c r="B209" s="31" t="s">
        <v>1152</v>
      </c>
      <c r="C209" s="25">
        <v>609</v>
      </c>
      <c r="D209" s="42" t="s">
        <v>1702</v>
      </c>
      <c r="E209" s="42" t="s">
        <v>1551</v>
      </c>
      <c r="F209" s="42" t="s">
        <v>1701</v>
      </c>
      <c r="G209" s="31"/>
      <c r="H209" s="31" t="s">
        <v>233</v>
      </c>
      <c r="I209" s="31" t="s">
        <v>1567</v>
      </c>
      <c r="J209" s="31" t="s">
        <v>1327</v>
      </c>
      <c r="K209" s="31" t="s">
        <v>486</v>
      </c>
      <c r="L209" s="31"/>
      <c r="M209" s="31"/>
      <c r="N209" s="31"/>
      <c r="O209" s="31"/>
      <c r="P209" s="31"/>
      <c r="Q209" s="31"/>
      <c r="R209" s="31"/>
    </row>
    <row r="210" spans="1:18">
      <c r="A210" s="31" t="s">
        <v>1622</v>
      </c>
      <c r="B210" s="31" t="s">
        <v>1152</v>
      </c>
      <c r="C210" s="25">
        <v>610</v>
      </c>
      <c r="D210" s="42" t="s">
        <v>1703</v>
      </c>
      <c r="E210" s="42" t="s">
        <v>1551</v>
      </c>
      <c r="F210" s="42" t="s">
        <v>1704</v>
      </c>
      <c r="G210" s="31"/>
      <c r="H210" s="31" t="s">
        <v>233</v>
      </c>
      <c r="I210" s="31" t="s">
        <v>1567</v>
      </c>
      <c r="J210" s="31" t="s">
        <v>1327</v>
      </c>
      <c r="K210" s="31" t="s">
        <v>1170</v>
      </c>
      <c r="L210" s="31"/>
      <c r="M210" s="31"/>
      <c r="N210" s="31"/>
      <c r="O210" s="31"/>
      <c r="P210" s="31"/>
      <c r="Q210" s="31"/>
      <c r="R210" s="31"/>
    </row>
    <row r="211" spans="1:18">
      <c r="A211" s="31" t="s">
        <v>1623</v>
      </c>
      <c r="B211" s="31" t="s">
        <v>1152</v>
      </c>
      <c r="C211" s="25">
        <v>611</v>
      </c>
      <c r="D211" s="42" t="s">
        <v>1705</v>
      </c>
      <c r="E211" s="42" t="s">
        <v>1551</v>
      </c>
      <c r="F211" s="42" t="s">
        <v>1704</v>
      </c>
      <c r="G211" s="31"/>
      <c r="H211" s="31" t="s">
        <v>233</v>
      </c>
      <c r="I211" s="31" t="s">
        <v>1567</v>
      </c>
      <c r="J211" s="31" t="s">
        <v>1327</v>
      </c>
      <c r="K211" s="31" t="s">
        <v>486</v>
      </c>
      <c r="L211" s="31"/>
      <c r="M211" s="31"/>
      <c r="N211" s="31"/>
      <c r="O211" s="31"/>
      <c r="P211" s="31"/>
      <c r="Q211" s="31"/>
      <c r="R211" s="31"/>
    </row>
    <row r="212" spans="1:18">
      <c r="A212" s="31" t="s">
        <v>1624</v>
      </c>
      <c r="B212" s="31" t="s">
        <v>1152</v>
      </c>
      <c r="C212" s="25">
        <v>612</v>
      </c>
      <c r="D212" s="42" t="s">
        <v>1706</v>
      </c>
      <c r="E212" s="42" t="s">
        <v>1181</v>
      </c>
      <c r="F212" s="42" t="s">
        <v>1707</v>
      </c>
      <c r="G212" s="31"/>
      <c r="H212" s="31" t="s">
        <v>233</v>
      </c>
      <c r="I212" s="31" t="s">
        <v>1567</v>
      </c>
      <c r="J212" s="31" t="s">
        <v>1327</v>
      </c>
      <c r="K212" s="31" t="s">
        <v>1170</v>
      </c>
      <c r="L212" s="31"/>
      <c r="M212" s="31"/>
      <c r="N212" s="31"/>
      <c r="O212" s="31"/>
      <c r="P212" s="31"/>
      <c r="Q212" s="31"/>
      <c r="R212" s="31"/>
    </row>
    <row r="213" spans="1:18">
      <c r="A213" s="31" t="s">
        <v>1625</v>
      </c>
      <c r="B213" s="31" t="s">
        <v>1152</v>
      </c>
      <c r="C213" s="25">
        <v>613</v>
      </c>
      <c r="D213" s="42" t="s">
        <v>1708</v>
      </c>
      <c r="E213" s="42" t="s">
        <v>1181</v>
      </c>
      <c r="F213" s="42" t="s">
        <v>1707</v>
      </c>
      <c r="G213" s="31"/>
      <c r="H213" s="31" t="s">
        <v>233</v>
      </c>
      <c r="I213" s="31" t="s">
        <v>1567</v>
      </c>
      <c r="J213" s="31" t="s">
        <v>1327</v>
      </c>
      <c r="K213" s="31" t="s">
        <v>486</v>
      </c>
      <c r="L213" s="31"/>
      <c r="M213" s="31"/>
      <c r="N213" s="31"/>
      <c r="O213" s="31"/>
      <c r="P213" s="31"/>
      <c r="Q213" s="31"/>
      <c r="R213" s="31"/>
    </row>
    <row r="214" spans="1:18">
      <c r="A214" s="31" t="s">
        <v>1626</v>
      </c>
      <c r="B214" s="31" t="s">
        <v>1152</v>
      </c>
      <c r="C214" s="25">
        <v>614</v>
      </c>
      <c r="D214" s="42" t="s">
        <v>1709</v>
      </c>
      <c r="E214" s="42" t="s">
        <v>1181</v>
      </c>
      <c r="F214" s="42" t="s">
        <v>1710</v>
      </c>
      <c r="G214" s="31"/>
      <c r="H214" s="31" t="s">
        <v>233</v>
      </c>
      <c r="I214" s="31" t="s">
        <v>1567</v>
      </c>
      <c r="J214" s="31" t="s">
        <v>1327</v>
      </c>
      <c r="K214" s="31" t="s">
        <v>1170</v>
      </c>
      <c r="L214" s="31"/>
      <c r="M214" s="31"/>
      <c r="N214" s="31"/>
      <c r="O214" s="31"/>
      <c r="P214" s="31"/>
      <c r="Q214" s="31"/>
      <c r="R214" s="31"/>
    </row>
    <row r="215" spans="1:18">
      <c r="A215" s="31" t="s">
        <v>1627</v>
      </c>
      <c r="B215" s="31" t="s">
        <v>1152</v>
      </c>
      <c r="C215" s="25">
        <v>615</v>
      </c>
      <c r="D215" s="42" t="s">
        <v>1711</v>
      </c>
      <c r="E215" s="42" t="s">
        <v>1181</v>
      </c>
      <c r="F215" s="42" t="s">
        <v>1710</v>
      </c>
      <c r="G215" s="31"/>
      <c r="H215" s="31" t="s">
        <v>233</v>
      </c>
      <c r="I215" s="31" t="s">
        <v>1567</v>
      </c>
      <c r="J215" s="31" t="s">
        <v>1327</v>
      </c>
      <c r="K215" s="31" t="s">
        <v>486</v>
      </c>
      <c r="L215" s="31"/>
      <c r="M215" s="31"/>
      <c r="N215" s="31"/>
      <c r="O215" s="31"/>
      <c r="P215" s="31"/>
      <c r="Q215" s="31"/>
      <c r="R215" s="31"/>
    </row>
    <row r="216" spans="1:18">
      <c r="A216" s="31" t="s">
        <v>1628</v>
      </c>
      <c r="B216" s="31" t="s">
        <v>1152</v>
      </c>
      <c r="C216" s="25">
        <v>616</v>
      </c>
      <c r="D216" s="42" t="s">
        <v>1712</v>
      </c>
      <c r="E216" s="42" t="s">
        <v>1181</v>
      </c>
      <c r="F216" s="42" t="s">
        <v>1713</v>
      </c>
      <c r="G216" s="31"/>
      <c r="H216" s="31" t="s">
        <v>233</v>
      </c>
      <c r="I216" s="31" t="s">
        <v>1567</v>
      </c>
      <c r="J216" s="31" t="s">
        <v>1327</v>
      </c>
      <c r="K216" s="31" t="s">
        <v>1170</v>
      </c>
      <c r="L216" s="31"/>
      <c r="M216" s="31"/>
      <c r="N216" s="31"/>
      <c r="O216" s="31"/>
      <c r="P216" s="31"/>
      <c r="Q216" s="31"/>
      <c r="R216" s="31"/>
    </row>
    <row r="217" spans="1:18">
      <c r="A217" s="31" t="s">
        <v>1629</v>
      </c>
      <c r="B217" s="31" t="s">
        <v>1152</v>
      </c>
      <c r="C217" s="25">
        <v>617</v>
      </c>
      <c r="D217" s="42" t="s">
        <v>1714</v>
      </c>
      <c r="E217" s="42" t="s">
        <v>1181</v>
      </c>
      <c r="F217" s="42" t="s">
        <v>1713</v>
      </c>
      <c r="G217" s="31"/>
      <c r="H217" s="31" t="s">
        <v>233</v>
      </c>
      <c r="I217" s="31" t="s">
        <v>1567</v>
      </c>
      <c r="J217" s="31" t="s">
        <v>1327</v>
      </c>
      <c r="K217" s="31" t="s">
        <v>486</v>
      </c>
      <c r="L217" s="31"/>
      <c r="M217" s="31"/>
      <c r="N217" s="31"/>
      <c r="O217" s="31"/>
      <c r="P217" s="31"/>
      <c r="Q217" s="31"/>
      <c r="R217" s="31"/>
    </row>
    <row r="218" spans="1:18">
      <c r="A218" s="31" t="s">
        <v>1630</v>
      </c>
      <c r="B218" s="31" t="s">
        <v>1152</v>
      </c>
      <c r="C218" s="25">
        <v>618</v>
      </c>
      <c r="D218" s="42" t="s">
        <v>1715</v>
      </c>
      <c r="E218" s="42" t="s">
        <v>1181</v>
      </c>
      <c r="F218" s="42" t="s">
        <v>1716</v>
      </c>
      <c r="G218" s="31"/>
      <c r="H218" s="31" t="s">
        <v>233</v>
      </c>
      <c r="I218" s="31" t="s">
        <v>1567</v>
      </c>
      <c r="J218" s="31" t="s">
        <v>1327</v>
      </c>
      <c r="K218" s="31" t="s">
        <v>1170</v>
      </c>
      <c r="L218" s="31"/>
      <c r="M218" s="31"/>
      <c r="N218" s="31"/>
      <c r="O218" s="31"/>
      <c r="P218" s="31"/>
      <c r="Q218" s="31"/>
      <c r="R218" s="31"/>
    </row>
    <row r="219" spans="1:18">
      <c r="A219" s="31" t="s">
        <v>1631</v>
      </c>
      <c r="B219" s="31" t="s">
        <v>1152</v>
      </c>
      <c r="C219" s="25">
        <v>619</v>
      </c>
      <c r="D219" s="42" t="s">
        <v>1717</v>
      </c>
      <c r="E219" s="42" t="s">
        <v>1181</v>
      </c>
      <c r="F219" s="42" t="s">
        <v>1716</v>
      </c>
      <c r="G219" s="31"/>
      <c r="H219" s="31" t="s">
        <v>233</v>
      </c>
      <c r="I219" s="31" t="s">
        <v>1567</v>
      </c>
      <c r="J219" s="31" t="s">
        <v>1327</v>
      </c>
      <c r="K219" s="31" t="s">
        <v>486</v>
      </c>
      <c r="L219" s="31"/>
      <c r="M219" s="31"/>
      <c r="N219" s="31"/>
      <c r="O219" s="31"/>
      <c r="P219" s="31"/>
      <c r="Q219" s="31"/>
      <c r="R219" s="31"/>
    </row>
    <row r="220" spans="1:18">
      <c r="A220" s="31" t="s">
        <v>1632</v>
      </c>
      <c r="B220" s="31" t="s">
        <v>1152</v>
      </c>
      <c r="C220" s="25">
        <v>620</v>
      </c>
      <c r="D220" s="42" t="s">
        <v>1718</v>
      </c>
      <c r="E220" s="42" t="s">
        <v>1181</v>
      </c>
      <c r="F220" s="42" t="s">
        <v>1719</v>
      </c>
      <c r="G220" s="31"/>
      <c r="H220" s="31" t="s">
        <v>233</v>
      </c>
      <c r="I220" s="31" t="s">
        <v>1567</v>
      </c>
      <c r="J220" s="31" t="s">
        <v>1327</v>
      </c>
      <c r="K220" s="31" t="s">
        <v>1170</v>
      </c>
      <c r="L220" s="31"/>
      <c r="M220" s="31"/>
      <c r="N220" s="31"/>
      <c r="O220" s="31"/>
      <c r="P220" s="31"/>
      <c r="Q220" s="31"/>
      <c r="R220" s="31"/>
    </row>
    <row r="221" spans="1:18">
      <c r="A221" s="31" t="s">
        <v>1633</v>
      </c>
      <c r="B221" s="31" t="s">
        <v>1152</v>
      </c>
      <c r="C221" s="25">
        <v>621</v>
      </c>
      <c r="D221" s="42" t="s">
        <v>1720</v>
      </c>
      <c r="E221" s="42" t="s">
        <v>1181</v>
      </c>
      <c r="F221" s="42" t="s">
        <v>1719</v>
      </c>
      <c r="G221" s="31"/>
      <c r="H221" s="31" t="s">
        <v>233</v>
      </c>
      <c r="I221" s="31" t="s">
        <v>1567</v>
      </c>
      <c r="J221" s="31" t="s">
        <v>1327</v>
      </c>
      <c r="K221" s="31" t="s">
        <v>486</v>
      </c>
      <c r="L221" s="31"/>
      <c r="M221" s="31"/>
      <c r="N221" s="31"/>
      <c r="O221" s="31"/>
      <c r="P221" s="31"/>
      <c r="Q221" s="31"/>
      <c r="R221" s="31"/>
    </row>
    <row r="222" spans="1:18">
      <c r="A222" s="31" t="s">
        <v>1634</v>
      </c>
      <c r="B222" s="31" t="s">
        <v>1152</v>
      </c>
      <c r="C222" s="25">
        <v>622</v>
      </c>
      <c r="D222" s="42" t="s">
        <v>1721</v>
      </c>
      <c r="E222" s="42" t="s">
        <v>1181</v>
      </c>
      <c r="F222" s="42" t="s">
        <v>1722</v>
      </c>
      <c r="G222" s="31"/>
      <c r="H222" s="31" t="s">
        <v>233</v>
      </c>
      <c r="I222" s="31" t="s">
        <v>1567</v>
      </c>
      <c r="J222" s="31" t="s">
        <v>1327</v>
      </c>
      <c r="K222" s="31" t="s">
        <v>1170</v>
      </c>
      <c r="L222" s="31"/>
      <c r="M222" s="31"/>
      <c r="N222" s="31"/>
      <c r="O222" s="31"/>
      <c r="P222" s="31"/>
      <c r="Q222" s="31"/>
      <c r="R222" s="31"/>
    </row>
    <row r="223" spans="1:18">
      <c r="A223" s="31" t="s">
        <v>1635</v>
      </c>
      <c r="B223" s="31" t="s">
        <v>1152</v>
      </c>
      <c r="C223" s="25">
        <v>623</v>
      </c>
      <c r="D223" s="42" t="s">
        <v>1723</v>
      </c>
      <c r="E223" s="42" t="s">
        <v>1181</v>
      </c>
      <c r="F223" s="42" t="s">
        <v>1722</v>
      </c>
      <c r="G223" s="31"/>
      <c r="H223" s="31" t="s">
        <v>233</v>
      </c>
      <c r="I223" s="31" t="s">
        <v>1567</v>
      </c>
      <c r="J223" s="31" t="s">
        <v>1327</v>
      </c>
      <c r="K223" s="31" t="s">
        <v>486</v>
      </c>
      <c r="L223" s="31"/>
      <c r="M223" s="31"/>
      <c r="N223" s="31"/>
      <c r="O223" s="31"/>
      <c r="P223" s="31"/>
      <c r="Q223" s="31"/>
      <c r="R223" s="31"/>
    </row>
    <row r="224" spans="1:18">
      <c r="A224" s="31" t="s">
        <v>1636</v>
      </c>
      <c r="B224" s="31" t="s">
        <v>1152</v>
      </c>
      <c r="C224" s="25">
        <v>624</v>
      </c>
      <c r="D224" s="42" t="s">
        <v>1724</v>
      </c>
      <c r="E224" s="42" t="s">
        <v>1181</v>
      </c>
      <c r="F224" s="42" t="s">
        <v>1725</v>
      </c>
      <c r="G224" s="31"/>
      <c r="H224" s="31" t="s">
        <v>233</v>
      </c>
      <c r="I224" s="31" t="s">
        <v>1567</v>
      </c>
      <c r="J224" s="31" t="s">
        <v>1327</v>
      </c>
      <c r="K224" s="31" t="s">
        <v>1170</v>
      </c>
      <c r="L224" s="31"/>
      <c r="M224" s="31"/>
      <c r="N224" s="31"/>
      <c r="O224" s="31"/>
      <c r="P224" s="31"/>
      <c r="Q224" s="31"/>
      <c r="R224" s="31"/>
    </row>
    <row r="225" spans="1:18">
      <c r="A225" s="31" t="s">
        <v>1637</v>
      </c>
      <c r="B225" s="31" t="s">
        <v>1152</v>
      </c>
      <c r="C225" s="25">
        <v>625</v>
      </c>
      <c r="D225" s="42" t="s">
        <v>1726</v>
      </c>
      <c r="E225" s="42" t="s">
        <v>1181</v>
      </c>
      <c r="F225" s="42" t="s">
        <v>1725</v>
      </c>
      <c r="G225" s="31"/>
      <c r="H225" s="31" t="s">
        <v>233</v>
      </c>
      <c r="I225" s="31" t="s">
        <v>1567</v>
      </c>
      <c r="J225" s="31" t="s">
        <v>1327</v>
      </c>
      <c r="K225" s="31" t="s">
        <v>486</v>
      </c>
      <c r="L225" s="31"/>
      <c r="M225" s="31"/>
      <c r="N225" s="31"/>
      <c r="O225" s="31"/>
      <c r="P225" s="31"/>
      <c r="Q225" s="31"/>
      <c r="R225" s="31"/>
    </row>
    <row r="226" spans="1:18">
      <c r="A226" s="31" t="s">
        <v>1638</v>
      </c>
      <c r="B226" s="31" t="s">
        <v>1152</v>
      </c>
      <c r="C226" s="25">
        <v>626</v>
      </c>
      <c r="D226" s="42" t="s">
        <v>1727</v>
      </c>
      <c r="E226" s="42" t="s">
        <v>1181</v>
      </c>
      <c r="F226" s="42" t="s">
        <v>1728</v>
      </c>
      <c r="G226" s="31"/>
      <c r="H226" s="31" t="s">
        <v>233</v>
      </c>
      <c r="I226" s="31" t="s">
        <v>1567</v>
      </c>
      <c r="J226" s="31" t="s">
        <v>1327</v>
      </c>
      <c r="K226" s="31" t="s">
        <v>1170</v>
      </c>
      <c r="L226" s="31"/>
      <c r="M226" s="31"/>
      <c r="N226" s="31"/>
      <c r="O226" s="31"/>
      <c r="P226" s="31"/>
      <c r="Q226" s="31"/>
      <c r="R226" s="31"/>
    </row>
    <row r="227" spans="1:18">
      <c r="A227" s="31" t="s">
        <v>1639</v>
      </c>
      <c r="B227" s="31" t="s">
        <v>1152</v>
      </c>
      <c r="C227" s="25">
        <v>627</v>
      </c>
      <c r="D227" s="42" t="s">
        <v>1729</v>
      </c>
      <c r="E227" s="42" t="s">
        <v>1181</v>
      </c>
      <c r="F227" s="42" t="s">
        <v>1728</v>
      </c>
      <c r="G227" s="31"/>
      <c r="H227" s="31" t="s">
        <v>233</v>
      </c>
      <c r="I227" s="31" t="s">
        <v>1567</v>
      </c>
      <c r="J227" s="31" t="s">
        <v>1327</v>
      </c>
      <c r="K227" s="31" t="s">
        <v>486</v>
      </c>
      <c r="L227" s="31"/>
      <c r="M227" s="31"/>
      <c r="N227" s="31"/>
      <c r="O227" s="31"/>
      <c r="P227" s="31"/>
      <c r="Q227" s="31"/>
      <c r="R227" s="31"/>
    </row>
    <row r="228" spans="1:18">
      <c r="A228" s="31" t="s">
        <v>1640</v>
      </c>
      <c r="B228" s="31" t="s">
        <v>1152</v>
      </c>
      <c r="C228" s="25">
        <v>628</v>
      </c>
      <c r="D228" s="42" t="s">
        <v>1730</v>
      </c>
      <c r="E228" s="42" t="s">
        <v>1181</v>
      </c>
      <c r="F228" s="42" t="s">
        <v>1731</v>
      </c>
      <c r="G228" s="31"/>
      <c r="H228" s="31" t="s">
        <v>233</v>
      </c>
      <c r="I228" s="31" t="s">
        <v>1567</v>
      </c>
      <c r="J228" s="31" t="s">
        <v>1327</v>
      </c>
      <c r="K228" s="31" t="s">
        <v>1170</v>
      </c>
      <c r="L228" s="31"/>
      <c r="M228" s="31"/>
      <c r="N228" s="31"/>
      <c r="O228" s="31"/>
      <c r="P228" s="31"/>
      <c r="Q228" s="31"/>
      <c r="R228" s="31"/>
    </row>
    <row r="229" spans="1:18">
      <c r="A229" s="31" t="s">
        <v>1641</v>
      </c>
      <c r="B229" s="31" t="s">
        <v>1152</v>
      </c>
      <c r="C229" s="25">
        <v>629</v>
      </c>
      <c r="D229" s="42" t="s">
        <v>1732</v>
      </c>
      <c r="E229" s="42" t="s">
        <v>1181</v>
      </c>
      <c r="F229" s="42" t="s">
        <v>1731</v>
      </c>
      <c r="G229" s="31"/>
      <c r="H229" s="31" t="s">
        <v>233</v>
      </c>
      <c r="I229" s="31" t="s">
        <v>1567</v>
      </c>
      <c r="J229" s="31" t="s">
        <v>1327</v>
      </c>
      <c r="K229" s="31" t="s">
        <v>486</v>
      </c>
      <c r="L229" s="31"/>
      <c r="M229" s="31"/>
      <c r="N229" s="31"/>
      <c r="O229" s="31"/>
      <c r="P229" s="31"/>
      <c r="Q229" s="31"/>
      <c r="R229" s="31"/>
    </row>
    <row r="230" spans="1:18">
      <c r="A230" s="31" t="s">
        <v>1642</v>
      </c>
      <c r="B230" s="31" t="s">
        <v>1152</v>
      </c>
      <c r="C230" s="25">
        <v>630</v>
      </c>
      <c r="D230" s="42" t="s">
        <v>1733</v>
      </c>
      <c r="E230" s="42" t="s">
        <v>1550</v>
      </c>
      <c r="F230" s="42" t="s">
        <v>1734</v>
      </c>
      <c r="G230" s="31" t="s">
        <v>1742</v>
      </c>
      <c r="H230" s="31" t="s">
        <v>233</v>
      </c>
      <c r="I230" s="31" t="s">
        <v>1568</v>
      </c>
      <c r="J230" s="31" t="s">
        <v>1743</v>
      </c>
      <c r="K230" s="31" t="s">
        <v>1170</v>
      </c>
      <c r="L230" s="31"/>
      <c r="M230" s="31"/>
      <c r="N230" s="31"/>
      <c r="O230" s="31"/>
      <c r="P230" s="31"/>
      <c r="Q230" s="31"/>
      <c r="R230" s="31"/>
    </row>
    <row r="231" spans="1:18">
      <c r="A231" s="31" t="s">
        <v>1836</v>
      </c>
      <c r="B231" s="31" t="s">
        <v>1152</v>
      </c>
      <c r="C231" s="25">
        <v>632</v>
      </c>
      <c r="D231" s="42" t="s">
        <v>1843</v>
      </c>
      <c r="E231" s="42" t="s">
        <v>1841</v>
      </c>
      <c r="F231" s="42" t="s">
        <v>1851</v>
      </c>
      <c r="G231" s="31" t="s">
        <v>1850</v>
      </c>
      <c r="H231" s="31" t="s">
        <v>39</v>
      </c>
      <c r="I231" s="31" t="s">
        <v>1853</v>
      </c>
      <c r="J231" s="31" t="s">
        <v>1857</v>
      </c>
      <c r="K231" s="31" t="s">
        <v>486</v>
      </c>
      <c r="L231" s="31"/>
      <c r="M231" s="31"/>
      <c r="N231" s="31"/>
      <c r="O231" s="31"/>
      <c r="P231" s="31"/>
      <c r="Q231" s="31"/>
      <c r="R231" s="31"/>
    </row>
    <row r="232" spans="1:18">
      <c r="A232" s="31" t="s">
        <v>1837</v>
      </c>
      <c r="B232" s="31" t="s">
        <v>1152</v>
      </c>
      <c r="C232" s="25">
        <v>633</v>
      </c>
      <c r="D232" s="42" t="s">
        <v>1844</v>
      </c>
      <c r="E232" s="42" t="s">
        <v>1842</v>
      </c>
      <c r="F232" s="42" t="s">
        <v>1852</v>
      </c>
      <c r="G232" s="31" t="s">
        <v>1850</v>
      </c>
      <c r="H232" s="31" t="s">
        <v>39</v>
      </c>
      <c r="I232" s="31" t="s">
        <v>1853</v>
      </c>
      <c r="J232" s="31" t="s">
        <v>1857</v>
      </c>
      <c r="K232" s="31" t="s">
        <v>486</v>
      </c>
      <c r="L232" s="31"/>
      <c r="M232" s="31"/>
      <c r="N232" s="31"/>
      <c r="O232" s="31"/>
      <c r="P232" s="31"/>
      <c r="Q232" s="31"/>
      <c r="R232" s="31"/>
    </row>
    <row r="233" spans="1:18">
      <c r="A233" s="31" t="s">
        <v>1849</v>
      </c>
      <c r="B233" s="31" t="s">
        <v>1152</v>
      </c>
      <c r="C233" s="25">
        <v>634</v>
      </c>
      <c r="D233" s="42" t="s">
        <v>1845</v>
      </c>
      <c r="E233" s="42" t="s">
        <v>1842</v>
      </c>
      <c r="F233" s="42" t="s">
        <v>1852</v>
      </c>
      <c r="G233" s="31" t="s">
        <v>1850</v>
      </c>
      <c r="H233" s="31" t="s">
        <v>39</v>
      </c>
      <c r="I233" s="31" t="s">
        <v>1853</v>
      </c>
      <c r="J233" s="31" t="s">
        <v>1857</v>
      </c>
      <c r="K233" s="31" t="s">
        <v>486</v>
      </c>
      <c r="L233" s="31"/>
      <c r="M233" s="31"/>
      <c r="N233" s="31"/>
      <c r="O233" s="31"/>
      <c r="P233" s="31"/>
      <c r="Q233" s="31"/>
      <c r="R233" s="31"/>
    </row>
    <row r="234" spans="1:18">
      <c r="A234" s="31" t="s">
        <v>1838</v>
      </c>
      <c r="B234" s="31" t="s">
        <v>1152</v>
      </c>
      <c r="C234" s="25">
        <v>635</v>
      </c>
      <c r="D234" s="42" t="s">
        <v>1846</v>
      </c>
      <c r="E234" s="42" t="s">
        <v>1842</v>
      </c>
      <c r="F234" s="42" t="s">
        <v>1854</v>
      </c>
      <c r="G234" s="31" t="s">
        <v>1850</v>
      </c>
      <c r="H234" s="31" t="s">
        <v>39</v>
      </c>
      <c r="I234" s="31" t="s">
        <v>1853</v>
      </c>
      <c r="J234" s="31" t="s">
        <v>1857</v>
      </c>
      <c r="K234" s="31" t="s">
        <v>486</v>
      </c>
      <c r="L234" s="31"/>
      <c r="M234" s="31"/>
      <c r="N234" s="31"/>
      <c r="O234" s="31"/>
      <c r="P234" s="31"/>
      <c r="Q234" s="31"/>
      <c r="R234" s="31"/>
    </row>
    <row r="235" spans="1:18">
      <c r="A235" s="31" t="s">
        <v>1840</v>
      </c>
      <c r="B235" s="31" t="s">
        <v>1152</v>
      </c>
      <c r="C235" s="25">
        <v>636</v>
      </c>
      <c r="D235" s="42" t="s">
        <v>1847</v>
      </c>
      <c r="E235" s="42" t="s">
        <v>1842</v>
      </c>
      <c r="F235" s="42" t="s">
        <v>1854</v>
      </c>
      <c r="G235" s="31" t="s">
        <v>1850</v>
      </c>
      <c r="H235" s="31" t="s">
        <v>39</v>
      </c>
      <c r="I235" s="31" t="s">
        <v>1853</v>
      </c>
      <c r="J235" s="31" t="s">
        <v>1857</v>
      </c>
      <c r="K235" s="31" t="s">
        <v>486</v>
      </c>
      <c r="L235" s="31"/>
      <c r="M235" s="31"/>
      <c r="N235" s="31"/>
      <c r="O235" s="31"/>
      <c r="P235" s="31"/>
      <c r="Q235" s="31"/>
      <c r="R235" s="31"/>
    </row>
    <row r="236" spans="1:18">
      <c r="A236" s="31" t="s">
        <v>1839</v>
      </c>
      <c r="B236" s="31" t="s">
        <v>1152</v>
      </c>
      <c r="C236" s="25">
        <v>636</v>
      </c>
      <c r="D236" s="42" t="s">
        <v>1848</v>
      </c>
      <c r="E236" s="42" t="s">
        <v>1842</v>
      </c>
      <c r="F236" s="42" t="s">
        <v>1855</v>
      </c>
      <c r="G236" s="31" t="s">
        <v>1850</v>
      </c>
      <c r="H236" s="31" t="s">
        <v>39</v>
      </c>
      <c r="I236" s="31" t="s">
        <v>1853</v>
      </c>
      <c r="J236" s="31" t="s">
        <v>1857</v>
      </c>
      <c r="K236" s="31" t="s">
        <v>486</v>
      </c>
      <c r="L236" s="31"/>
      <c r="M236" s="31"/>
      <c r="N236" s="31"/>
      <c r="O236" s="31"/>
      <c r="P236" s="31"/>
      <c r="Q236" s="31"/>
      <c r="R236" s="31"/>
    </row>
    <row r="237" spans="1:18" ht="15.6">
      <c r="A237" s="33" t="s">
        <v>484</v>
      </c>
      <c r="B237" s="35" t="s">
        <v>1152</v>
      </c>
      <c r="C237" s="25">
        <v>289</v>
      </c>
      <c r="D237" s="42" t="s">
        <v>485</v>
      </c>
      <c r="E237" s="38" t="s">
        <v>1176</v>
      </c>
      <c r="F237" s="38" t="s">
        <v>1177</v>
      </c>
      <c r="G237" s="31" t="s">
        <v>267</v>
      </c>
      <c r="H237" s="31" t="s">
        <v>39</v>
      </c>
      <c r="I237" s="76" t="s">
        <v>1832</v>
      </c>
      <c r="J237" s="76" t="s">
        <v>1833</v>
      </c>
      <c r="K237" s="31" t="s">
        <v>1834</v>
      </c>
      <c r="L237" s="87" t="s">
        <v>1416</v>
      </c>
      <c r="M237" s="45" t="s">
        <v>1334</v>
      </c>
      <c r="N237" s="35"/>
      <c r="O237" s="35" t="s">
        <v>196</v>
      </c>
      <c r="P237" s="35" t="s">
        <v>1119</v>
      </c>
      <c r="Q237" s="28">
        <v>83600</v>
      </c>
      <c r="R237" s="40"/>
    </row>
    <row r="238" spans="1:18" ht="15.6">
      <c r="A238" s="33" t="s">
        <v>481</v>
      </c>
      <c r="B238" s="35" t="s">
        <v>1152</v>
      </c>
      <c r="C238" s="25">
        <v>288</v>
      </c>
      <c r="D238" s="42" t="s">
        <v>482</v>
      </c>
      <c r="E238" s="38" t="s">
        <v>1176</v>
      </c>
      <c r="F238" s="38" t="s">
        <v>1177</v>
      </c>
      <c r="G238" s="31" t="s">
        <v>267</v>
      </c>
      <c r="H238" s="31" t="s">
        <v>39</v>
      </c>
      <c r="I238" s="76" t="s">
        <v>1832</v>
      </c>
      <c r="J238" s="76" t="s">
        <v>1833</v>
      </c>
      <c r="K238" s="31" t="s">
        <v>483</v>
      </c>
      <c r="L238" s="87" t="s">
        <v>1416</v>
      </c>
      <c r="M238" s="45" t="s">
        <v>1334</v>
      </c>
      <c r="N238" s="35"/>
      <c r="O238" s="35" t="s">
        <v>196</v>
      </c>
      <c r="P238" s="35" t="s">
        <v>1119</v>
      </c>
      <c r="Q238" s="28">
        <v>83600</v>
      </c>
      <c r="R238" s="40"/>
    </row>
    <row r="239" spans="1:18" ht="26.4">
      <c r="A239" s="31" t="s">
        <v>606</v>
      </c>
      <c r="B239" s="35" t="s">
        <v>1152</v>
      </c>
      <c r="C239" s="25">
        <v>333</v>
      </c>
      <c r="D239" s="39" t="s">
        <v>607</v>
      </c>
      <c r="E239" s="49" t="s">
        <v>407</v>
      </c>
      <c r="F239" s="38" t="s">
        <v>608</v>
      </c>
      <c r="G239" s="31" t="s">
        <v>371</v>
      </c>
      <c r="H239" s="81" t="s">
        <v>1109</v>
      </c>
      <c r="I239" s="77" t="s">
        <v>1380</v>
      </c>
      <c r="J239" s="76" t="s">
        <v>1381</v>
      </c>
      <c r="K239" s="31" t="s">
        <v>1170</v>
      </c>
      <c r="L239" s="31"/>
      <c r="M239" s="31"/>
      <c r="N239" s="35"/>
      <c r="O239" s="45" t="s">
        <v>235</v>
      </c>
      <c r="P239" s="45" t="s">
        <v>1182</v>
      </c>
      <c r="Q239" s="46">
        <v>14370</v>
      </c>
      <c r="R239" s="47"/>
    </row>
    <row r="240" spans="1:18">
      <c r="A240" s="31" t="s">
        <v>372</v>
      </c>
      <c r="B240" s="35" t="s">
        <v>1152</v>
      </c>
      <c r="C240" s="25">
        <v>249</v>
      </c>
      <c r="D240" s="38" t="s">
        <v>373</v>
      </c>
      <c r="E240" s="38" t="s">
        <v>1103</v>
      </c>
      <c r="F240" s="38" t="s">
        <v>374</v>
      </c>
      <c r="G240" s="31" t="s">
        <v>313</v>
      </c>
      <c r="H240" s="81" t="s">
        <v>1109</v>
      </c>
      <c r="I240" s="76" t="s">
        <v>1379</v>
      </c>
      <c r="J240" s="77" t="s">
        <v>1795</v>
      </c>
      <c r="K240" s="31" t="s">
        <v>1170</v>
      </c>
      <c r="L240" s="31"/>
      <c r="M240" s="31"/>
      <c r="N240" s="35"/>
      <c r="O240" s="35" t="s">
        <v>235</v>
      </c>
      <c r="P240" s="35" t="s">
        <v>1182</v>
      </c>
      <c r="Q240" s="28">
        <v>67030</v>
      </c>
      <c r="R240" s="40" t="s">
        <v>375</v>
      </c>
    </row>
    <row r="241" spans="1:18">
      <c r="A241" s="33" t="s">
        <v>1454</v>
      </c>
      <c r="B241" s="35" t="s">
        <v>1152</v>
      </c>
      <c r="C241" s="25">
        <v>546</v>
      </c>
      <c r="D241" s="42" t="s">
        <v>1469</v>
      </c>
      <c r="E241" s="42" t="s">
        <v>1462</v>
      </c>
      <c r="F241" s="36" t="s">
        <v>1476</v>
      </c>
      <c r="G241" s="31" t="s">
        <v>409</v>
      </c>
      <c r="H241" s="93" t="s">
        <v>1109</v>
      </c>
      <c r="I241" s="77" t="s">
        <v>1485</v>
      </c>
      <c r="J241" s="77" t="s">
        <v>1486</v>
      </c>
      <c r="K241" s="77" t="s">
        <v>1489</v>
      </c>
      <c r="L241" s="88" t="s">
        <v>1491</v>
      </c>
      <c r="M241" s="88" t="s">
        <v>1490</v>
      </c>
      <c r="N241" s="35"/>
      <c r="O241" s="35"/>
      <c r="P241" s="35"/>
      <c r="Q241" s="28"/>
      <c r="R241" s="35"/>
    </row>
    <row r="242" spans="1:18">
      <c r="A242" s="33" t="s">
        <v>1455</v>
      </c>
      <c r="B242" s="35" t="s">
        <v>1152</v>
      </c>
      <c r="C242" s="25">
        <v>547</v>
      </c>
      <c r="D242" s="42" t="s">
        <v>1470</v>
      </c>
      <c r="E242" s="42" t="s">
        <v>1462</v>
      </c>
      <c r="F242" s="36" t="s">
        <v>1476</v>
      </c>
      <c r="G242" s="31" t="s">
        <v>409</v>
      </c>
      <c r="H242" s="93" t="s">
        <v>1109</v>
      </c>
      <c r="I242" s="77" t="s">
        <v>177</v>
      </c>
      <c r="J242" s="77" t="s">
        <v>1487</v>
      </c>
      <c r="K242" s="77" t="s">
        <v>1170</v>
      </c>
      <c r="L242" s="88"/>
      <c r="M242" s="88"/>
      <c r="N242" s="35"/>
      <c r="O242" s="35"/>
      <c r="P242" s="35"/>
      <c r="Q242" s="28"/>
      <c r="R242" s="35"/>
    </row>
    <row r="243" spans="1:18">
      <c r="A243" s="31" t="s">
        <v>1821</v>
      </c>
      <c r="B243" s="31" t="s">
        <v>1152</v>
      </c>
      <c r="C243" s="25">
        <v>636</v>
      </c>
      <c r="D243" s="42" t="s">
        <v>1823</v>
      </c>
      <c r="E243" s="42" t="s">
        <v>1144</v>
      </c>
      <c r="F243" s="42" t="s">
        <v>1825</v>
      </c>
      <c r="G243" s="31" t="s">
        <v>1828</v>
      </c>
      <c r="H243" s="31" t="s">
        <v>1109</v>
      </c>
      <c r="I243" s="31" t="s">
        <v>1826</v>
      </c>
      <c r="J243" s="31" t="s">
        <v>1827</v>
      </c>
      <c r="K243" s="31" t="s">
        <v>486</v>
      </c>
      <c r="L243" s="31"/>
      <c r="M243" s="31"/>
      <c r="N243" s="31"/>
      <c r="O243" s="31"/>
      <c r="P243" s="31"/>
      <c r="Q243" s="31"/>
      <c r="R243" s="31"/>
    </row>
    <row r="244" spans="1:18">
      <c r="A244" s="31" t="s">
        <v>1822</v>
      </c>
      <c r="B244" s="31" t="s">
        <v>1152</v>
      </c>
      <c r="C244" s="25">
        <v>636</v>
      </c>
      <c r="D244" s="42" t="s">
        <v>1824</v>
      </c>
      <c r="E244" s="42" t="s">
        <v>1144</v>
      </c>
      <c r="F244" s="42" t="s">
        <v>1825</v>
      </c>
      <c r="G244" s="31" t="s">
        <v>1829</v>
      </c>
      <c r="H244" s="31" t="s">
        <v>1109</v>
      </c>
      <c r="I244" s="31" t="s">
        <v>1826</v>
      </c>
      <c r="J244" s="31" t="s">
        <v>1827</v>
      </c>
      <c r="K244" s="31" t="s">
        <v>486</v>
      </c>
      <c r="L244" s="31"/>
      <c r="M244" s="31"/>
      <c r="N244" s="31"/>
      <c r="O244" s="31"/>
      <c r="P244" s="31"/>
      <c r="Q244" s="31"/>
      <c r="R244" s="31"/>
    </row>
    <row r="245" spans="1:18">
      <c r="A245" s="31" t="s">
        <v>1835</v>
      </c>
      <c r="B245" s="31" t="s">
        <v>1152</v>
      </c>
      <c r="C245" s="25">
        <v>636</v>
      </c>
      <c r="D245" s="42" t="s">
        <v>1817</v>
      </c>
      <c r="E245" s="42" t="s">
        <v>1117</v>
      </c>
      <c r="F245" s="42" t="s">
        <v>1818</v>
      </c>
      <c r="G245" s="31"/>
      <c r="H245" s="31" t="s">
        <v>1109</v>
      </c>
      <c r="I245" s="31" t="s">
        <v>1819</v>
      </c>
      <c r="J245" s="31" t="s">
        <v>1820</v>
      </c>
      <c r="K245" s="31" t="s">
        <v>486</v>
      </c>
      <c r="L245" s="31"/>
      <c r="M245" s="31"/>
      <c r="N245" s="31"/>
      <c r="O245" s="31"/>
      <c r="P245" s="31"/>
      <c r="Q245" s="31"/>
      <c r="R245" s="31"/>
    </row>
    <row r="246" spans="1:18">
      <c r="A246" s="33" t="s">
        <v>1456</v>
      </c>
      <c r="B246" s="35" t="s">
        <v>1152</v>
      </c>
      <c r="C246" s="25">
        <v>548</v>
      </c>
      <c r="D246" s="42" t="s">
        <v>1471</v>
      </c>
      <c r="E246" s="42" t="s">
        <v>1463</v>
      </c>
      <c r="F246" s="36" t="s">
        <v>1476</v>
      </c>
      <c r="G246" s="31" t="s">
        <v>1479</v>
      </c>
      <c r="H246" s="45" t="s">
        <v>1480</v>
      </c>
      <c r="I246" s="77" t="s">
        <v>1299</v>
      </c>
      <c r="J246" s="77"/>
      <c r="K246" s="77" t="s">
        <v>1489</v>
      </c>
      <c r="L246" s="88" t="s">
        <v>1336</v>
      </c>
      <c r="M246" s="88" t="s">
        <v>1492</v>
      </c>
      <c r="N246" s="35"/>
      <c r="O246" s="35"/>
      <c r="P246" s="35"/>
      <c r="Q246" s="28"/>
      <c r="R246" s="35"/>
    </row>
    <row r="247" spans="1:18" ht="26.4">
      <c r="A247" s="31" t="s">
        <v>439</v>
      </c>
      <c r="B247" s="35" t="s">
        <v>1152</v>
      </c>
      <c r="C247" s="25">
        <v>273</v>
      </c>
      <c r="D247" s="38" t="s">
        <v>440</v>
      </c>
      <c r="E247" s="38" t="s">
        <v>441</v>
      </c>
      <c r="F247" s="49" t="s">
        <v>442</v>
      </c>
      <c r="G247" s="31" t="s">
        <v>443</v>
      </c>
      <c r="H247" s="31" t="s">
        <v>39</v>
      </c>
      <c r="I247" s="31"/>
      <c r="J247" s="31"/>
      <c r="K247" s="31" t="s">
        <v>1170</v>
      </c>
      <c r="L247" s="31"/>
      <c r="M247" s="31"/>
      <c r="N247" s="35"/>
      <c r="O247" s="35" t="s">
        <v>241</v>
      </c>
      <c r="P247" s="35" t="s">
        <v>1182</v>
      </c>
      <c r="Q247" s="28">
        <v>33660</v>
      </c>
      <c r="R247" s="40"/>
    </row>
    <row r="248" spans="1:18">
      <c r="A248" s="31" t="s">
        <v>1572</v>
      </c>
      <c r="B248" s="31" t="s">
        <v>1573</v>
      </c>
      <c r="C248" s="25">
        <v>561</v>
      </c>
      <c r="D248" s="42" t="s">
        <v>1545</v>
      </c>
      <c r="E248" s="42" t="s">
        <v>1549</v>
      </c>
      <c r="F248" s="42" t="s">
        <v>1552</v>
      </c>
      <c r="G248" s="31" t="s">
        <v>1563</v>
      </c>
      <c r="H248" s="31" t="s">
        <v>1565</v>
      </c>
      <c r="I248" s="31" t="s">
        <v>1735</v>
      </c>
      <c r="J248" s="31"/>
      <c r="K248" s="31" t="s">
        <v>1489</v>
      </c>
      <c r="L248" s="31" t="s">
        <v>1336</v>
      </c>
      <c r="M248" s="31" t="s">
        <v>1490</v>
      </c>
      <c r="N248" s="31"/>
      <c r="O248" s="31"/>
      <c r="P248" s="31"/>
      <c r="Q248" s="31"/>
      <c r="R248" s="31"/>
    </row>
    <row r="249" spans="1:18">
      <c r="A249" s="31" t="s">
        <v>1574</v>
      </c>
      <c r="B249" s="31" t="s">
        <v>1573</v>
      </c>
      <c r="C249" s="25">
        <v>562</v>
      </c>
      <c r="D249" s="42" t="s">
        <v>1643</v>
      </c>
      <c r="E249" s="42" t="s">
        <v>1549</v>
      </c>
      <c r="F249" s="42" t="s">
        <v>1552</v>
      </c>
      <c r="G249" s="31" t="s">
        <v>1563</v>
      </c>
      <c r="H249" s="31" t="s">
        <v>1565</v>
      </c>
      <c r="I249" s="31" t="s">
        <v>1735</v>
      </c>
      <c r="J249" s="31"/>
      <c r="K249" s="31" t="s">
        <v>1489</v>
      </c>
      <c r="L249" s="31" t="s">
        <v>1336</v>
      </c>
      <c r="M249" s="31" t="s">
        <v>1490</v>
      </c>
      <c r="N249" s="31"/>
      <c r="O249" s="31"/>
      <c r="P249" s="31"/>
      <c r="Q249" s="31"/>
      <c r="R249" s="31"/>
    </row>
    <row r="250" spans="1:18">
      <c r="A250" s="31" t="s">
        <v>1575</v>
      </c>
      <c r="B250" s="31" t="s">
        <v>1573</v>
      </c>
      <c r="C250" s="25">
        <v>563</v>
      </c>
      <c r="D250" s="42" t="s">
        <v>1644</v>
      </c>
      <c r="E250" s="42" t="s">
        <v>1549</v>
      </c>
      <c r="F250" s="42" t="s">
        <v>1552</v>
      </c>
      <c r="G250" s="31" t="s">
        <v>1563</v>
      </c>
      <c r="H250" s="31" t="s">
        <v>1565</v>
      </c>
      <c r="I250" s="31" t="s">
        <v>1735</v>
      </c>
      <c r="J250" s="31"/>
      <c r="K250" s="31" t="s">
        <v>1489</v>
      </c>
      <c r="L250" s="31" t="s">
        <v>1336</v>
      </c>
      <c r="M250" s="31" t="s">
        <v>1490</v>
      </c>
      <c r="N250" s="31"/>
      <c r="O250" s="31"/>
      <c r="P250" s="31"/>
      <c r="Q250" s="31"/>
      <c r="R250" s="31"/>
    </row>
    <row r="251" spans="1:18">
      <c r="A251" s="31" t="s">
        <v>1576</v>
      </c>
      <c r="B251" s="31" t="s">
        <v>1573</v>
      </c>
      <c r="C251" s="25">
        <v>564</v>
      </c>
      <c r="D251" s="42" t="s">
        <v>1645</v>
      </c>
      <c r="E251" s="42" t="s">
        <v>1549</v>
      </c>
      <c r="F251" s="42" t="s">
        <v>1552</v>
      </c>
      <c r="G251" s="31" t="s">
        <v>1563</v>
      </c>
      <c r="H251" s="31" t="s">
        <v>1565</v>
      </c>
      <c r="I251" s="31" t="s">
        <v>1735</v>
      </c>
      <c r="J251" s="31"/>
      <c r="K251" s="31" t="s">
        <v>1489</v>
      </c>
      <c r="L251" s="31" t="s">
        <v>1336</v>
      </c>
      <c r="M251" s="31" t="s">
        <v>1490</v>
      </c>
      <c r="N251" s="31"/>
      <c r="O251" s="31"/>
      <c r="P251" s="31"/>
      <c r="Q251" s="31"/>
      <c r="R251" s="31"/>
    </row>
    <row r="252" spans="1:18">
      <c r="A252" s="31" t="s">
        <v>1577</v>
      </c>
      <c r="B252" s="31" t="s">
        <v>1573</v>
      </c>
      <c r="C252" s="25">
        <v>565</v>
      </c>
      <c r="D252" s="42" t="s">
        <v>1646</v>
      </c>
      <c r="E252" s="42" t="s">
        <v>1549</v>
      </c>
      <c r="F252" s="42" t="s">
        <v>1552</v>
      </c>
      <c r="G252" s="31" t="s">
        <v>1563</v>
      </c>
      <c r="H252" s="31" t="s">
        <v>1565</v>
      </c>
      <c r="I252" s="31" t="s">
        <v>1735</v>
      </c>
      <c r="J252" s="31"/>
      <c r="K252" s="31" t="s">
        <v>1489</v>
      </c>
      <c r="L252" s="31" t="s">
        <v>1336</v>
      </c>
      <c r="M252" s="31" t="s">
        <v>1490</v>
      </c>
      <c r="N252" s="31"/>
      <c r="O252" s="31"/>
      <c r="P252" s="31"/>
      <c r="Q252" s="31"/>
      <c r="R252" s="31"/>
    </row>
    <row r="253" spans="1:18">
      <c r="A253" s="31" t="s">
        <v>1578</v>
      </c>
      <c r="B253" s="31" t="s">
        <v>1573</v>
      </c>
      <c r="C253" s="25">
        <v>566</v>
      </c>
      <c r="D253" s="42" t="s">
        <v>1546</v>
      </c>
      <c r="E253" s="42" t="s">
        <v>1549</v>
      </c>
      <c r="F253" s="42" t="s">
        <v>1552</v>
      </c>
      <c r="G253" s="31" t="s">
        <v>1736</v>
      </c>
      <c r="H253" s="31" t="s">
        <v>1565</v>
      </c>
      <c r="I253" s="31" t="s">
        <v>1735</v>
      </c>
      <c r="J253" s="31"/>
      <c r="K253" s="31" t="s">
        <v>1489</v>
      </c>
      <c r="L253" s="31" t="s">
        <v>1336</v>
      </c>
      <c r="M253" s="31" t="s">
        <v>1490</v>
      </c>
      <c r="N253" s="31"/>
      <c r="O253" s="31"/>
      <c r="P253" s="31"/>
      <c r="Q253" s="31"/>
      <c r="R253" s="31"/>
    </row>
    <row r="254" spans="1:18">
      <c r="A254" s="31" t="s">
        <v>1579</v>
      </c>
      <c r="B254" s="31" t="s">
        <v>1573</v>
      </c>
      <c r="C254" s="25">
        <v>567</v>
      </c>
      <c r="D254" s="42" t="s">
        <v>1547</v>
      </c>
      <c r="E254" s="42" t="s">
        <v>1549</v>
      </c>
      <c r="F254" s="42" t="s">
        <v>1552</v>
      </c>
      <c r="G254" s="31" t="s">
        <v>1736</v>
      </c>
      <c r="H254" s="31" t="s">
        <v>1565</v>
      </c>
      <c r="I254" s="31" t="s">
        <v>1735</v>
      </c>
      <c r="J254" s="31"/>
      <c r="K254" s="31" t="s">
        <v>1489</v>
      </c>
      <c r="L254" s="31" t="s">
        <v>1336</v>
      </c>
      <c r="M254" s="31" t="s">
        <v>1490</v>
      </c>
      <c r="N254" s="31"/>
      <c r="O254" s="31"/>
      <c r="P254" s="31"/>
      <c r="Q254" s="31"/>
      <c r="R254" s="31"/>
    </row>
    <row r="255" spans="1:18">
      <c r="A255" s="31" t="s">
        <v>1580</v>
      </c>
      <c r="B255" s="31" t="s">
        <v>1573</v>
      </c>
      <c r="C255" s="25">
        <v>568</v>
      </c>
      <c r="D255" s="42" t="s">
        <v>1548</v>
      </c>
      <c r="E255" s="42" t="s">
        <v>1549</v>
      </c>
      <c r="F255" s="42" t="s">
        <v>1552</v>
      </c>
      <c r="G255" s="31" t="s">
        <v>1736</v>
      </c>
      <c r="H255" s="31" t="s">
        <v>1565</v>
      </c>
      <c r="I255" s="31" t="s">
        <v>1735</v>
      </c>
      <c r="J255" s="31"/>
      <c r="K255" s="31" t="s">
        <v>1489</v>
      </c>
      <c r="L255" s="31" t="s">
        <v>1336</v>
      </c>
      <c r="M255" s="31" t="s">
        <v>1490</v>
      </c>
      <c r="N255" s="31"/>
      <c r="O255" s="31"/>
      <c r="P255" s="31"/>
      <c r="Q255" s="31"/>
      <c r="R255" s="31"/>
    </row>
    <row r="256" spans="1:18">
      <c r="A256" s="31" t="s">
        <v>1581</v>
      </c>
      <c r="B256" s="31" t="s">
        <v>1573</v>
      </c>
      <c r="C256" s="25">
        <v>569</v>
      </c>
      <c r="D256" s="42" t="s">
        <v>1647</v>
      </c>
      <c r="E256" s="42" t="s">
        <v>1549</v>
      </c>
      <c r="F256" s="42" t="s">
        <v>1552</v>
      </c>
      <c r="G256" s="31" t="s">
        <v>1736</v>
      </c>
      <c r="H256" s="31" t="s">
        <v>1565</v>
      </c>
      <c r="I256" s="31" t="s">
        <v>1735</v>
      </c>
      <c r="J256" s="31"/>
      <c r="K256" s="31" t="s">
        <v>1489</v>
      </c>
      <c r="L256" s="31" t="s">
        <v>1336</v>
      </c>
      <c r="M256" s="31" t="s">
        <v>1490</v>
      </c>
      <c r="N256" s="31"/>
      <c r="O256" s="31"/>
      <c r="P256" s="31"/>
      <c r="Q256" s="31"/>
      <c r="R256" s="31"/>
    </row>
    <row r="257" spans="1:18">
      <c r="A257" s="31" t="s">
        <v>1582</v>
      </c>
      <c r="B257" s="31" t="s">
        <v>1573</v>
      </c>
      <c r="C257" s="25">
        <v>570</v>
      </c>
      <c r="D257" s="42" t="s">
        <v>1648</v>
      </c>
      <c r="E257" s="42" t="s">
        <v>1549</v>
      </c>
      <c r="F257" s="42" t="s">
        <v>1552</v>
      </c>
      <c r="G257" s="31" t="s">
        <v>1736</v>
      </c>
      <c r="H257" s="31" t="s">
        <v>1565</v>
      </c>
      <c r="I257" s="31" t="s">
        <v>1735</v>
      </c>
      <c r="J257" s="31"/>
      <c r="K257" s="31" t="s">
        <v>1489</v>
      </c>
      <c r="L257" s="31" t="s">
        <v>1336</v>
      </c>
      <c r="M257" s="31" t="s">
        <v>1490</v>
      </c>
      <c r="N257" s="31"/>
      <c r="O257" s="31"/>
      <c r="P257" s="31"/>
      <c r="Q257" s="31"/>
      <c r="R257" s="31"/>
    </row>
    <row r="258" spans="1:18">
      <c r="A258" s="31" t="s">
        <v>1796</v>
      </c>
      <c r="B258" s="31" t="s">
        <v>1152</v>
      </c>
      <c r="C258" s="25">
        <v>631</v>
      </c>
      <c r="D258" s="42" t="s">
        <v>1802</v>
      </c>
      <c r="E258" s="42" t="s">
        <v>1186</v>
      </c>
      <c r="F258" s="42" t="s">
        <v>1808</v>
      </c>
      <c r="G258" s="31"/>
      <c r="H258" s="31" t="s">
        <v>39</v>
      </c>
      <c r="I258" s="31"/>
      <c r="J258" s="31"/>
      <c r="K258" s="31" t="s">
        <v>1170</v>
      </c>
      <c r="L258" s="31"/>
      <c r="M258" s="31"/>
      <c r="N258" s="31"/>
      <c r="O258" s="31"/>
      <c r="P258" s="31"/>
      <c r="Q258" s="31"/>
      <c r="R258" s="31"/>
    </row>
    <row r="259" spans="1:18">
      <c r="A259" s="31" t="s">
        <v>1797</v>
      </c>
      <c r="B259" s="31" t="s">
        <v>1152</v>
      </c>
      <c r="C259" s="25">
        <v>632</v>
      </c>
      <c r="D259" s="42" t="s">
        <v>1803</v>
      </c>
      <c r="E259" s="42" t="s">
        <v>1186</v>
      </c>
      <c r="F259" s="42" t="s">
        <v>1808</v>
      </c>
      <c r="G259" s="31"/>
      <c r="H259" s="31" t="s">
        <v>39</v>
      </c>
      <c r="I259" s="31"/>
      <c r="J259" s="31"/>
      <c r="K259" s="31" t="s">
        <v>486</v>
      </c>
      <c r="L259" s="31"/>
      <c r="M259" s="31"/>
      <c r="N259" s="31"/>
      <c r="O259" s="31"/>
      <c r="P259" s="31"/>
      <c r="Q259" s="31"/>
      <c r="R259" s="31"/>
    </row>
    <row r="260" spans="1:18">
      <c r="A260" s="31" t="s">
        <v>1798</v>
      </c>
      <c r="B260" s="31" t="s">
        <v>1152</v>
      </c>
      <c r="C260" s="25">
        <v>633</v>
      </c>
      <c r="D260" s="42" t="s">
        <v>1804</v>
      </c>
      <c r="E260" s="42" t="s">
        <v>1186</v>
      </c>
      <c r="F260" s="42" t="s">
        <v>1809</v>
      </c>
      <c r="G260" s="31"/>
      <c r="H260" s="31" t="s">
        <v>39</v>
      </c>
      <c r="I260" s="31"/>
      <c r="J260" s="31"/>
      <c r="K260" s="31" t="s">
        <v>1170</v>
      </c>
      <c r="L260" s="31"/>
      <c r="M260" s="31"/>
      <c r="N260" s="31"/>
      <c r="O260" s="31"/>
      <c r="P260" s="31"/>
      <c r="Q260" s="31"/>
      <c r="R260" s="31"/>
    </row>
    <row r="261" spans="1:18">
      <c r="A261" s="31" t="s">
        <v>1799</v>
      </c>
      <c r="B261" s="31" t="s">
        <v>1152</v>
      </c>
      <c r="C261" s="25">
        <v>634</v>
      </c>
      <c r="D261" s="42" t="s">
        <v>1805</v>
      </c>
      <c r="E261" s="42" t="s">
        <v>1186</v>
      </c>
      <c r="F261" s="42" t="s">
        <v>1809</v>
      </c>
      <c r="G261" s="31"/>
      <c r="H261" s="31" t="s">
        <v>39</v>
      </c>
      <c r="I261" s="31"/>
      <c r="J261" s="31"/>
      <c r="K261" s="31" t="s">
        <v>486</v>
      </c>
      <c r="L261" s="31"/>
      <c r="M261" s="31"/>
      <c r="N261" s="31"/>
      <c r="O261" s="31"/>
      <c r="P261" s="31"/>
      <c r="Q261" s="31"/>
      <c r="R261" s="31"/>
    </row>
    <row r="262" spans="1:18">
      <c r="A262" s="31" t="s">
        <v>1800</v>
      </c>
      <c r="B262" s="31" t="s">
        <v>1152</v>
      </c>
      <c r="C262" s="25">
        <v>635</v>
      </c>
      <c r="D262" s="42" t="s">
        <v>1806</v>
      </c>
      <c r="E262" s="42" t="s">
        <v>1186</v>
      </c>
      <c r="F262" s="42" t="s">
        <v>1810</v>
      </c>
      <c r="G262" s="31"/>
      <c r="H262" s="31" t="s">
        <v>39</v>
      </c>
      <c r="I262" s="31"/>
      <c r="J262" s="31"/>
      <c r="K262" s="31" t="s">
        <v>1170</v>
      </c>
      <c r="L262" s="31"/>
      <c r="M262" s="31"/>
      <c r="N262" s="31"/>
      <c r="O262" s="31"/>
      <c r="P262" s="31"/>
      <c r="Q262" s="31"/>
      <c r="R262" s="31"/>
    </row>
    <row r="263" spans="1:18">
      <c r="A263" s="31" t="s">
        <v>1801</v>
      </c>
      <c r="B263" s="31" t="s">
        <v>1152</v>
      </c>
      <c r="C263" s="25">
        <v>636</v>
      </c>
      <c r="D263" s="42" t="s">
        <v>1807</v>
      </c>
      <c r="E263" s="42" t="s">
        <v>1186</v>
      </c>
      <c r="F263" s="42" t="s">
        <v>1810</v>
      </c>
      <c r="G263" s="31"/>
      <c r="H263" s="31" t="s">
        <v>39</v>
      </c>
      <c r="I263" s="31"/>
      <c r="J263" s="31"/>
      <c r="K263" s="31" t="s">
        <v>486</v>
      </c>
      <c r="L263" s="31"/>
      <c r="M263" s="31"/>
      <c r="N263" s="31"/>
      <c r="O263" s="31"/>
      <c r="P263" s="31"/>
      <c r="Q263" s="31"/>
      <c r="R263" s="31"/>
    </row>
  </sheetData>
  <autoFilter ref="A6:R263" xr:uid="{00000000-0009-0000-0000-000004000000}">
    <filterColumn colId="13">
      <filters blank="1"/>
    </filterColumn>
    <sortState xmlns:xlrd2="http://schemas.microsoft.com/office/spreadsheetml/2017/richdata2" ref="A21:R263">
      <sortCondition ref="J6:J263"/>
    </sortState>
  </autoFilter>
  <mergeCells count="8">
    <mergeCell ref="C3:G4"/>
    <mergeCell ref="J3:N3"/>
    <mergeCell ref="J4:N4"/>
    <mergeCell ref="C1:G2"/>
    <mergeCell ref="H1:I1"/>
    <mergeCell ref="K1:N1"/>
    <mergeCell ref="H2:I2"/>
    <mergeCell ref="K2:N2"/>
  </mergeCells>
  <phoneticPr fontId="22" type="noConversion"/>
  <printOptions horizontalCentered="1"/>
  <pageMargins left="0.23" right="0.15748031496062992" top="0.70866141732283472" bottom="0.59055118110236227" header="0.51181102362204722" footer="0.27559055118110237"/>
  <pageSetup paperSize="9" scale="77" orientation="landscape" r:id="rId1"/>
  <headerFooter alignWithMargins="0">
    <oddFooter>&amp;L&amp;"바탕체,보통"&amp;10NDT-QP-07-01(REV:0)&amp;C&amp;"바탕체,보통"&amp;10엔디티 엔지니어링(주)&amp;R&amp;"바탕체,보통"&amp;10제/개정일:2007.03.02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6</vt:i4>
      </vt:variant>
    </vt:vector>
  </HeadingPairs>
  <TitlesOfParts>
    <vt:vector size="11" baseType="lpstr">
      <vt:lpstr>관리대장1</vt:lpstr>
      <vt:lpstr>관리대장</vt:lpstr>
      <vt:lpstr>자동차</vt:lpstr>
      <vt:lpstr>CBU</vt:lpstr>
      <vt:lpstr>조립</vt:lpstr>
      <vt:lpstr>관리대장1!Print_Area</vt:lpstr>
      <vt:lpstr>자동차!Print_Area</vt:lpstr>
      <vt:lpstr>조립!Print_Area</vt:lpstr>
      <vt:lpstr>관리대장1!Print_Titles</vt:lpstr>
      <vt:lpstr>자동차!Print_Titles</vt:lpstr>
      <vt:lpstr>조립!Print_Titles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정효 강</cp:lastModifiedBy>
  <cp:lastPrinted>2026-02-24T02:25:27Z</cp:lastPrinted>
  <dcterms:created xsi:type="dcterms:W3CDTF">2009-11-14T01:09:53Z</dcterms:created>
  <dcterms:modified xsi:type="dcterms:W3CDTF">2026-04-15T04:18:59Z</dcterms:modified>
</cp:coreProperties>
</file>