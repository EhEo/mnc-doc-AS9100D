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9.Quy trình truy vết\"/>
    </mc:Choice>
  </mc:AlternateContent>
  <xr:revisionPtr revIDLastSave="0" documentId="8_{409C99A0-7E7E-4724-A46A-899D52FB1C11}" xr6:coauthVersionLast="47" xr6:coauthVersionMax="47" xr10:uidLastSave="{00000000-0000-0000-0000-000000000000}"/>
  <bookViews>
    <workbookView xWindow="31665" yWindow="2340" windowWidth="21600" windowHeight="10935" xr2:uid="{3DCEAEE3-56D7-4C17-8B21-AA90B4A855E7}"/>
  </bookViews>
  <sheets>
    <sheet name="Sheet1" sheetId="1" r:id="rId1"/>
    <sheet name="Sheet2" sheetId="2" r:id="rId2"/>
  </sheets>
  <definedNames>
    <definedName name="_xlnm._FilterDatabase" localSheetId="0" hidden="1">Sheet1!$A$20:$J$31</definedName>
    <definedName name="_xlnm.Print_Titles" localSheetId="0">Sheet1!$18:$20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C32" i="1"/>
</calcChain>
</file>

<file path=xl/sharedStrings.xml><?xml version="1.0" encoding="utf-8"?>
<sst xmlns="http://schemas.openxmlformats.org/spreadsheetml/2006/main" count="69" uniqueCount="62">
  <si>
    <t>Stt</t>
  </si>
  <si>
    <t xml:space="preserve">I. </t>
  </si>
  <si>
    <t xml:space="preserve">II. </t>
  </si>
  <si>
    <t>III.</t>
  </si>
  <si>
    <t>IV.</t>
  </si>
  <si>
    <t>V.</t>
  </si>
  <si>
    <t>VI.</t>
  </si>
  <si>
    <t>VII.</t>
  </si>
  <si>
    <t xml:space="preserve">Ngày thực hiện truy vết: </t>
  </si>
  <si>
    <t>Thành viên tham gia truy vết:</t>
  </si>
  <si>
    <t>+   Số lượng</t>
  </si>
  <si>
    <t>+   Code</t>
  </si>
  <si>
    <t>+   Lot ERP</t>
  </si>
  <si>
    <t>Kết quả truy vết:</t>
  </si>
  <si>
    <t>Số liệu do kho cung cấp</t>
  </si>
  <si>
    <t>Số phiếu chuyển kho</t>
  </si>
  <si>
    <t>SL theo phiếu c.kho (kg)</t>
  </si>
  <si>
    <t>Lô sản xuất</t>
  </si>
  <si>
    <t>Số lượng sử dụng (kg)</t>
  </si>
  <si>
    <t>Sản phẩm sản xuất</t>
  </si>
  <si>
    <t>Tổng cộng</t>
  </si>
  <si>
    <t>Nhận xét:</t>
  </si>
  <si>
    <t>Kết luận:</t>
  </si>
  <si>
    <t>+   Mã NVL</t>
  </si>
  <si>
    <t>+   Lot</t>
  </si>
  <si>
    <t>15/05/2020</t>
  </si>
  <si>
    <t>1. Khúc Thị Hậu - Chất lượng</t>
  </si>
  <si>
    <t xml:space="preserve">2. Nguyễn Bá Duy - Kho </t>
  </si>
  <si>
    <t>3. Phạm Văn Học - Đúc nhựa</t>
  </si>
  <si>
    <t>4. Đào Văn Tân - Chất lượng</t>
  </si>
  <si>
    <t xml:space="preserve">5. Nguyễn Văn Quyết - Kho thành phẩm </t>
  </si>
  <si>
    <r>
      <t>Nguyên vật liệu cần truy vết:</t>
    </r>
    <r>
      <rPr>
        <sz val="11"/>
        <rFont val="Times New Roman"/>
        <family val="1"/>
      </rPr>
      <t xml:space="preserve"> Nhựa Resyn </t>
    </r>
  </si>
  <si>
    <t>: 500 kg</t>
  </si>
  <si>
    <t>: 1002HUSBLK01</t>
  </si>
  <si>
    <t>: 9C6046G</t>
  </si>
  <si>
    <t>Phiếu kiểm soát của QC</t>
  </si>
  <si>
    <t>+  Phiếu kiểm tra số 20200228</t>
  </si>
  <si>
    <t>Số liệu do bộ phận đúc nhựa cung cấp cung cấp</t>
  </si>
  <si>
    <t>Ngày sản xuất</t>
  </si>
  <si>
    <t xml:space="preserve">Số lượng </t>
  </si>
  <si>
    <t>14/4/2020</t>
  </si>
  <si>
    <t>16/4/2020</t>
  </si>
  <si>
    <t>13/5/2020</t>
  </si>
  <si>
    <t>14/5/2020</t>
  </si>
  <si>
    <t>3MON01028A</t>
  </si>
  <si>
    <t>Mã sản phẩm</t>
  </si>
  <si>
    <t>3MON01026A</t>
  </si>
  <si>
    <t>3MON01027A</t>
  </si>
  <si>
    <t>04&amp;05/2020</t>
  </si>
  <si>
    <t>18/4/2020</t>
  </si>
  <si>
    <t xml:space="preserve">Tổng số lượng nhựa xuất kho :375 kg </t>
  </si>
  <si>
    <t>Tổng số lượng nhựa nhập kho :500</t>
  </si>
  <si>
    <t>Tổng số lượng nhựa tồn kho  :125 kg</t>
  </si>
  <si>
    <t>Tổng số lượng nhựa còn tồn tại khu vực sản xuất :13 kg</t>
  </si>
  <si>
    <t>Tổng số lượng nhựa đã sản xuất : 362 kg</t>
  </si>
  <si>
    <t>Kết quả truy vết xuôi đạt hiệu quả, các bộ phận tuân thủ theo quy trình truy vết</t>
  </si>
  <si>
    <t xml:space="preserve">Thiết Lập </t>
  </si>
  <si>
    <t>Xem Xét</t>
  </si>
  <si>
    <t>Phê Duyệt</t>
  </si>
  <si>
    <t xml:space="preserve">Khúc Thị Hậu </t>
  </si>
  <si>
    <t>Kim Byoung Kwan</t>
  </si>
  <si>
    <t>Joung Ui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</si>
</sst>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3" formatCode="_(* #,##0.00_);_(* \(#,##0.00\);_(* &quot;-&quot;??_);_(@_)"/>
    <numFmt numFmtId="189" formatCode="[$-101042A]d\ mmm\ yy;@"/>
  </numFmts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83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 indent="2"/>
    </xf>
    <xf numFmtId="0" fontId="3" fillId="0" borderId="0" xfId="0" applyFont="1" applyAlignment="1"/>
    <xf numFmtId="0" fontId="3" fillId="0" borderId="0" xfId="0" quotePrefix="1" applyFont="1" applyAlignme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3" fontId="3" fillId="0" borderId="1" xfId="0" applyNumberFormat="1" applyFont="1" applyBorder="1"/>
    <xf numFmtId="0" fontId="3" fillId="0" borderId="4" xfId="0" applyFont="1" applyBorder="1"/>
    <xf numFmtId="0" fontId="3" fillId="0" borderId="1" xfId="0" applyFont="1" applyBorder="1"/>
    <xf numFmtId="3" fontId="3" fillId="0" borderId="0" xfId="0" applyNumberFormat="1" applyFont="1"/>
    <xf numFmtId="3" fontId="3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6" fontId="8" fillId="0" borderId="1" xfId="0" quotePrefix="1" applyNumberFormat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89" fontId="3" fillId="0" borderId="1" xfId="0" applyNumberFormat="1" applyFont="1" applyBorder="1"/>
    <xf numFmtId="14" fontId="8" fillId="0" borderId="1" xfId="0" quotePrefix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2">
    <cellStyle name="쉼표" xfId="1" builtinId="3"/>
    <cellStyle name="표준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0</xdr:row>
      <xdr:rowOff>76200</xdr:rowOff>
    </xdr:from>
    <xdr:to>
      <xdr:col>8</xdr:col>
      <xdr:colOff>752475</xdr:colOff>
      <xdr:row>2</xdr:row>
      <xdr:rowOff>152400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FF3D21C2-8B28-7601-43A0-A05FEB1E756F}"/>
            </a:ext>
          </a:extLst>
        </xdr:cNvPr>
        <xdr:cNvSpPr txBox="1">
          <a:spLocks noChangeArrowheads="1"/>
        </xdr:cNvSpPr>
      </xdr:nvSpPr>
      <xdr:spPr bwMode="auto">
        <a:xfrm>
          <a:off x="733425" y="704850"/>
          <a:ext cx="48958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VNI-Times"/>
            </a:rPr>
            <a:t>BIÊN BẢN THỰC HIỆN TRUY VẾT XUÔI</a:t>
          </a:r>
        </a:p>
      </xdr:txBody>
    </xdr:sp>
    <xdr:clientData/>
  </xdr:twoCellAnchor>
  <xdr:twoCellAnchor>
    <xdr:from>
      <xdr:col>7</xdr:col>
      <xdr:colOff>85725</xdr:colOff>
      <xdr:row>43</xdr:row>
      <xdr:rowOff>66675</xdr:rowOff>
    </xdr:from>
    <xdr:to>
      <xdr:col>7</xdr:col>
      <xdr:colOff>838200</xdr:colOff>
      <xdr:row>45</xdr:row>
      <xdr:rowOff>85725</xdr:rowOff>
    </xdr:to>
    <xdr:pic>
      <xdr:nvPicPr>
        <xdr:cNvPr id="1075" name="Picture 8">
          <a:extLst>
            <a:ext uri="{FF2B5EF4-FFF2-40B4-BE49-F238E27FC236}">
              <a16:creationId xmlns:a16="http://schemas.microsoft.com/office/drawing/2014/main" id="{0C148FD8-C40C-7362-F633-682F55228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9058275"/>
          <a:ext cx="752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28575</xdr:colOff>
      <xdr:row>43</xdr:row>
      <xdr:rowOff>19050</xdr:rowOff>
    </xdr:from>
    <xdr:to>
      <xdr:col>8</xdr:col>
      <xdr:colOff>828675</xdr:colOff>
      <xdr:row>45</xdr:row>
      <xdr:rowOff>142875</xdr:rowOff>
    </xdr:to>
    <xdr:pic>
      <xdr:nvPicPr>
        <xdr:cNvPr id="1076" name="Picture 9">
          <a:extLst>
            <a:ext uri="{FF2B5EF4-FFF2-40B4-BE49-F238E27FC236}">
              <a16:creationId xmlns:a16="http://schemas.microsoft.com/office/drawing/2014/main" id="{68520B02-60CB-C3FB-CCA8-0F0DD1846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9010650"/>
          <a:ext cx="8001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66675</xdr:colOff>
      <xdr:row>43</xdr:row>
      <xdr:rowOff>85725</xdr:rowOff>
    </xdr:from>
    <xdr:to>
      <xdr:col>6</xdr:col>
      <xdr:colOff>695325</xdr:colOff>
      <xdr:row>45</xdr:row>
      <xdr:rowOff>133350</xdr:rowOff>
    </xdr:to>
    <xdr:pic>
      <xdr:nvPicPr>
        <xdr:cNvPr id="1077" name="Picture 10">
          <a:extLst>
            <a:ext uri="{FF2B5EF4-FFF2-40B4-BE49-F238E27FC236}">
              <a16:creationId xmlns:a16="http://schemas.microsoft.com/office/drawing/2014/main" id="{C5440826-90E8-5312-EBE6-4274B2EDE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9077325"/>
          <a:ext cx="6286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65D4-EB91-48B6-A03B-51808B62B3C0}">
  <dimension ref="A4:K47"/>
  <sheetViews>
    <sheetView tabSelected="1" topLeftCell="A38" zoomScale="120" zoomScaleNormal="120" workbookViewId="0">
      <selection activeCell="J47" sqref="J47"/>
    </sheetView>
  </sheetViews>
  <sheetFormatPr defaultRowHeight="15" x14ac:dyDescent="0.25"/>
  <cols>
    <col min="1" max="1" width="4" style="1" customWidth="1"/>
    <col min="2" max="2" width="14.5703125" style="1" customWidth="1"/>
    <col min="3" max="3" width="17.42578125" style="1" customWidth="1"/>
    <col min="4" max="4" width="8.42578125" style="1" customWidth="1"/>
    <col min="5" max="5" width="7.140625" style="1" customWidth="1"/>
    <col min="6" max="6" width="3.42578125" style="1" customWidth="1"/>
    <col min="7" max="7" width="11.7109375" style="1" customWidth="1"/>
    <col min="8" max="8" width="13.42578125" style="1" customWidth="1"/>
    <col min="9" max="9" width="13.28515625" style="1" bestFit="1" customWidth="1"/>
    <col min="10" max="10" width="14.85546875" style="1" customWidth="1"/>
    <col min="11" max="16384" width="9.140625" style="1"/>
  </cols>
  <sheetData>
    <row r="4" spans="1:4" x14ac:dyDescent="0.25">
      <c r="A4" s="2" t="s">
        <v>1</v>
      </c>
      <c r="B4" s="3" t="s">
        <v>8</v>
      </c>
      <c r="D4" s="1" t="s">
        <v>25</v>
      </c>
    </row>
    <row r="5" spans="1:4" x14ac:dyDescent="0.25">
      <c r="A5" s="2" t="s">
        <v>2</v>
      </c>
      <c r="B5" s="3" t="s">
        <v>9</v>
      </c>
    </row>
    <row r="6" spans="1:4" x14ac:dyDescent="0.25">
      <c r="B6" s="1" t="s">
        <v>26</v>
      </c>
    </row>
    <row r="7" spans="1:4" x14ac:dyDescent="0.25">
      <c r="B7" s="1" t="s">
        <v>27</v>
      </c>
    </row>
    <row r="8" spans="1:4" x14ac:dyDescent="0.25">
      <c r="B8" s="1" t="s">
        <v>28</v>
      </c>
    </row>
    <row r="9" spans="1:4" x14ac:dyDescent="0.25">
      <c r="B9" s="1" t="s">
        <v>29</v>
      </c>
    </row>
    <row r="10" spans="1:4" x14ac:dyDescent="0.25">
      <c r="B10" s="1" t="s">
        <v>30</v>
      </c>
    </row>
    <row r="11" spans="1:4" x14ac:dyDescent="0.25">
      <c r="A11" s="2" t="s">
        <v>3</v>
      </c>
      <c r="B11" s="3" t="s">
        <v>31</v>
      </c>
      <c r="C11" s="4"/>
      <c r="D11" s="4"/>
    </row>
    <row r="12" spans="1:4" x14ac:dyDescent="0.25">
      <c r="A12" s="5" t="s">
        <v>10</v>
      </c>
      <c r="B12" s="6" t="s">
        <v>10</v>
      </c>
      <c r="C12" s="1" t="s">
        <v>32</v>
      </c>
      <c r="D12" s="5"/>
    </row>
    <row r="13" spans="1:4" x14ac:dyDescent="0.25">
      <c r="A13" s="5" t="s">
        <v>11</v>
      </c>
      <c r="B13" s="7" t="s">
        <v>23</v>
      </c>
      <c r="C13" s="1" t="s">
        <v>33</v>
      </c>
      <c r="D13" s="5"/>
    </row>
    <row r="14" spans="1:4" x14ac:dyDescent="0.25">
      <c r="A14" s="5" t="s">
        <v>12</v>
      </c>
      <c r="B14" s="7" t="s">
        <v>24</v>
      </c>
      <c r="C14" s="1" t="s">
        <v>34</v>
      </c>
      <c r="D14" s="5"/>
    </row>
    <row r="15" spans="1:4" x14ac:dyDescent="0.25">
      <c r="A15" s="2" t="s">
        <v>4</v>
      </c>
      <c r="B15" s="3" t="s">
        <v>35</v>
      </c>
    </row>
    <row r="16" spans="1:4" x14ac:dyDescent="0.25">
      <c r="A16" s="5"/>
      <c r="B16" s="7" t="s">
        <v>36</v>
      </c>
    </row>
    <row r="17" spans="1:11" x14ac:dyDescent="0.25">
      <c r="A17" s="2" t="s">
        <v>5</v>
      </c>
      <c r="B17" s="3" t="s">
        <v>13</v>
      </c>
    </row>
    <row r="18" spans="1:11" x14ac:dyDescent="0.25">
      <c r="A18" s="8" t="s">
        <v>0</v>
      </c>
      <c r="B18" s="26" t="s">
        <v>14</v>
      </c>
      <c r="C18" s="27"/>
      <c r="D18" s="26" t="s">
        <v>37</v>
      </c>
      <c r="E18" s="28"/>
      <c r="F18" s="28"/>
      <c r="G18" s="28"/>
      <c r="H18" s="28"/>
      <c r="I18" s="28"/>
      <c r="J18" s="27"/>
    </row>
    <row r="19" spans="1:11" ht="30" x14ac:dyDescent="0.25">
      <c r="A19" s="8"/>
      <c r="B19" s="8" t="s">
        <v>15</v>
      </c>
      <c r="C19" s="8" t="s">
        <v>16</v>
      </c>
      <c r="D19" s="29" t="s">
        <v>17</v>
      </c>
      <c r="E19" s="30"/>
      <c r="F19" s="31"/>
      <c r="G19" s="38" t="s">
        <v>18</v>
      </c>
      <c r="H19" s="35" t="s">
        <v>19</v>
      </c>
      <c r="I19" s="36"/>
      <c r="J19" s="37"/>
    </row>
    <row r="20" spans="1:11" x14ac:dyDescent="0.25">
      <c r="A20" s="8"/>
      <c r="B20" s="8"/>
      <c r="C20" s="8"/>
      <c r="D20" s="32"/>
      <c r="E20" s="33"/>
      <c r="F20" s="34"/>
      <c r="G20" s="39"/>
      <c r="H20" s="9" t="s">
        <v>45</v>
      </c>
      <c r="I20" s="9" t="s">
        <v>38</v>
      </c>
      <c r="J20" s="9" t="s">
        <v>39</v>
      </c>
    </row>
    <row r="21" spans="1:11" ht="20.100000000000001" customHeight="1" x14ac:dyDescent="0.25">
      <c r="A21" s="14">
        <v>1</v>
      </c>
      <c r="B21" s="9">
        <v>20200330</v>
      </c>
      <c r="C21" s="16">
        <v>50</v>
      </c>
      <c r="D21" s="24">
        <v>20200330</v>
      </c>
      <c r="E21" s="24"/>
      <c r="F21" s="24"/>
      <c r="G21" s="16">
        <v>50</v>
      </c>
      <c r="H21" s="17" t="s">
        <v>44</v>
      </c>
      <c r="I21" s="18" t="s">
        <v>40</v>
      </c>
      <c r="J21" s="17">
        <v>4316</v>
      </c>
    </row>
    <row r="22" spans="1:11" ht="20.100000000000001" customHeight="1" x14ac:dyDescent="0.25">
      <c r="A22" s="14">
        <v>2</v>
      </c>
      <c r="B22" s="9">
        <v>20200414</v>
      </c>
      <c r="C22" s="16">
        <v>50</v>
      </c>
      <c r="D22" s="24">
        <v>20200414</v>
      </c>
      <c r="E22" s="24"/>
      <c r="F22" s="24"/>
      <c r="G22" s="16">
        <v>50</v>
      </c>
      <c r="H22" s="17" t="s">
        <v>44</v>
      </c>
      <c r="I22" s="20" t="s">
        <v>41</v>
      </c>
      <c r="J22" s="19">
        <v>4922</v>
      </c>
    </row>
    <row r="23" spans="1:11" ht="20.100000000000001" customHeight="1" x14ac:dyDescent="0.25">
      <c r="A23" s="14">
        <v>3</v>
      </c>
      <c r="B23" s="9">
        <v>20200416</v>
      </c>
      <c r="C23" s="16">
        <v>50</v>
      </c>
      <c r="D23" s="24">
        <v>20200416</v>
      </c>
      <c r="E23" s="24"/>
      <c r="F23" s="24"/>
      <c r="G23" s="16">
        <v>50</v>
      </c>
      <c r="H23" s="17" t="s">
        <v>44</v>
      </c>
      <c r="I23" s="20" t="s">
        <v>42</v>
      </c>
      <c r="J23" s="19">
        <v>4899</v>
      </c>
    </row>
    <row r="24" spans="1:11" ht="20.100000000000001" customHeight="1" x14ac:dyDescent="0.25">
      <c r="A24" s="14">
        <v>4</v>
      </c>
      <c r="B24" s="9">
        <v>20200428</v>
      </c>
      <c r="C24" s="16">
        <v>50</v>
      </c>
      <c r="D24" s="24">
        <v>20200428</v>
      </c>
      <c r="E24" s="24"/>
      <c r="F24" s="24"/>
      <c r="G24" s="16">
        <v>25</v>
      </c>
      <c r="H24" s="17" t="s">
        <v>44</v>
      </c>
      <c r="I24" s="18" t="s">
        <v>43</v>
      </c>
      <c r="J24" s="19">
        <v>2537</v>
      </c>
    </row>
    <row r="25" spans="1:11" ht="20.100000000000001" customHeight="1" x14ac:dyDescent="0.25">
      <c r="A25" s="14">
        <v>5</v>
      </c>
      <c r="B25" s="9">
        <v>20200512</v>
      </c>
      <c r="C25" s="16">
        <v>50</v>
      </c>
      <c r="D25" s="24">
        <v>20200513</v>
      </c>
      <c r="E25" s="24"/>
      <c r="F25" s="24"/>
      <c r="G25" s="16">
        <v>30</v>
      </c>
      <c r="H25" s="17" t="s">
        <v>44</v>
      </c>
      <c r="I25" s="20">
        <v>43836</v>
      </c>
      <c r="J25" s="19">
        <v>3188</v>
      </c>
    </row>
    <row r="26" spans="1:11" ht="20.100000000000001" customHeight="1" x14ac:dyDescent="0.25">
      <c r="A26" s="14">
        <v>6</v>
      </c>
      <c r="B26" s="9">
        <v>20200518</v>
      </c>
      <c r="C26" s="16">
        <v>25</v>
      </c>
      <c r="D26" s="24">
        <v>20200518</v>
      </c>
      <c r="E26" s="24"/>
      <c r="F26" s="24"/>
      <c r="G26" s="16">
        <v>30</v>
      </c>
      <c r="H26" s="20" t="s">
        <v>44</v>
      </c>
      <c r="I26" s="20">
        <v>43867</v>
      </c>
      <c r="J26" s="19">
        <v>3126</v>
      </c>
    </row>
    <row r="27" spans="1:11" ht="20.100000000000001" customHeight="1" x14ac:dyDescent="0.25">
      <c r="A27" s="14">
        <v>7</v>
      </c>
      <c r="B27" s="9">
        <v>20200519</v>
      </c>
      <c r="C27" s="16">
        <v>25</v>
      </c>
      <c r="D27" s="24">
        <v>20200519</v>
      </c>
      <c r="E27" s="24"/>
      <c r="F27" s="24"/>
      <c r="G27" s="16">
        <v>15</v>
      </c>
      <c r="H27" s="17" t="s">
        <v>44</v>
      </c>
      <c r="I27" s="20">
        <v>43896</v>
      </c>
      <c r="J27" s="19">
        <v>2455</v>
      </c>
    </row>
    <row r="28" spans="1:11" ht="20.100000000000001" customHeight="1" x14ac:dyDescent="0.25">
      <c r="A28" s="14">
        <v>8</v>
      </c>
      <c r="B28" s="9">
        <v>20200528</v>
      </c>
      <c r="C28" s="16">
        <v>50</v>
      </c>
      <c r="D28" s="24">
        <v>20200601</v>
      </c>
      <c r="E28" s="24"/>
      <c r="F28" s="24"/>
      <c r="G28" s="16">
        <v>110</v>
      </c>
      <c r="H28" s="17" t="s">
        <v>46</v>
      </c>
      <c r="I28" s="22" t="s">
        <v>48</v>
      </c>
      <c r="J28" s="9">
        <v>18812</v>
      </c>
    </row>
    <row r="29" spans="1:11" ht="20.100000000000001" customHeight="1" x14ac:dyDescent="0.25">
      <c r="A29" s="14">
        <v>9</v>
      </c>
      <c r="B29" s="9">
        <v>20200601</v>
      </c>
      <c r="C29" s="16">
        <v>25</v>
      </c>
      <c r="D29" s="24">
        <v>20200602</v>
      </c>
      <c r="E29" s="24"/>
      <c r="F29" s="24"/>
      <c r="G29" s="16">
        <v>2</v>
      </c>
      <c r="H29" s="17" t="s">
        <v>47</v>
      </c>
      <c r="I29" s="20" t="s">
        <v>49</v>
      </c>
      <c r="J29" s="9">
        <v>303</v>
      </c>
    </row>
    <row r="30" spans="1:11" ht="20.100000000000001" customHeight="1" x14ac:dyDescent="0.25">
      <c r="A30" s="14">
        <v>10</v>
      </c>
      <c r="B30" s="9"/>
      <c r="C30" s="16"/>
      <c r="D30" s="24"/>
      <c r="E30" s="24"/>
      <c r="F30" s="24"/>
      <c r="G30" s="12"/>
      <c r="H30" s="14"/>
      <c r="I30" s="21"/>
      <c r="J30" s="21"/>
    </row>
    <row r="31" spans="1:11" ht="20.100000000000001" customHeight="1" x14ac:dyDescent="0.25">
      <c r="A31" s="14">
        <v>11</v>
      </c>
      <c r="B31" s="9"/>
      <c r="C31" s="16"/>
      <c r="D31" s="24"/>
      <c r="E31" s="24"/>
      <c r="F31" s="24"/>
      <c r="G31" s="12"/>
      <c r="H31" s="14"/>
      <c r="I31" s="21"/>
      <c r="J31" s="21"/>
    </row>
    <row r="32" spans="1:11" ht="20.100000000000001" customHeight="1" x14ac:dyDescent="0.25">
      <c r="A32" s="10" t="s">
        <v>20</v>
      </c>
      <c r="B32" s="11"/>
      <c r="C32" s="12">
        <f>SUM(C21:C29)</f>
        <v>375</v>
      </c>
      <c r="D32" s="10"/>
      <c r="E32" s="13"/>
      <c r="F32" s="11"/>
      <c r="G32" s="12">
        <f>SUM(G21:G29)</f>
        <v>362</v>
      </c>
      <c r="H32" s="14"/>
      <c r="I32" s="14"/>
      <c r="J32" s="14"/>
      <c r="K32" s="15"/>
    </row>
    <row r="33" spans="1:9" ht="8.25" customHeight="1" x14ac:dyDescent="0.25"/>
    <row r="34" spans="1:9" x14ac:dyDescent="0.25">
      <c r="A34" s="2" t="s">
        <v>6</v>
      </c>
      <c r="B34" s="3" t="s">
        <v>21</v>
      </c>
    </row>
    <row r="35" spans="1:9" x14ac:dyDescent="0.25">
      <c r="A35" s="2"/>
      <c r="B35" s="1" t="s">
        <v>51</v>
      </c>
    </row>
    <row r="36" spans="1:9" x14ac:dyDescent="0.25">
      <c r="B36" s="1" t="s">
        <v>50</v>
      </c>
    </row>
    <row r="37" spans="1:9" x14ac:dyDescent="0.25">
      <c r="B37" s="1" t="s">
        <v>52</v>
      </c>
    </row>
    <row r="38" spans="1:9" x14ac:dyDescent="0.25">
      <c r="B38" s="1" t="s">
        <v>54</v>
      </c>
    </row>
    <row r="39" spans="1:9" x14ac:dyDescent="0.25">
      <c r="B39" s="1" t="s">
        <v>53</v>
      </c>
    </row>
    <row r="40" spans="1:9" x14ac:dyDescent="0.25">
      <c r="A40" s="2" t="s">
        <v>7</v>
      </c>
      <c r="B40" s="3" t="s">
        <v>22</v>
      </c>
    </row>
    <row r="41" spans="1:9" x14ac:dyDescent="0.25">
      <c r="B41" s="1" t="s">
        <v>55</v>
      </c>
    </row>
    <row r="43" spans="1:9" ht="15.75" x14ac:dyDescent="0.25">
      <c r="G43" s="23" t="s">
        <v>56</v>
      </c>
      <c r="H43" s="23" t="s">
        <v>57</v>
      </c>
      <c r="I43" s="23" t="s">
        <v>58</v>
      </c>
    </row>
    <row r="44" spans="1:9" ht="15.75" customHeight="1" x14ac:dyDescent="0.25">
      <c r="G44" s="25"/>
      <c r="H44" s="25"/>
      <c r="I44" s="25"/>
    </row>
    <row r="45" spans="1:9" ht="15.75" customHeight="1" x14ac:dyDescent="0.25">
      <c r="G45" s="25"/>
      <c r="H45" s="25"/>
      <c r="I45" s="25"/>
    </row>
    <row r="46" spans="1:9" ht="15.75" customHeight="1" x14ac:dyDescent="0.25">
      <c r="G46" s="25"/>
      <c r="H46" s="25"/>
      <c r="I46" s="25"/>
    </row>
    <row r="47" spans="1:9" ht="31.5" x14ac:dyDescent="0.25">
      <c r="G47" s="23" t="s">
        <v>59</v>
      </c>
      <c r="H47" s="23" t="s">
        <v>60</v>
      </c>
      <c r="I47" s="23" t="s">
        <v>61</v>
      </c>
    </row>
  </sheetData>
  <mergeCells count="19">
    <mergeCell ref="B18:C18"/>
    <mergeCell ref="D18:J18"/>
    <mergeCell ref="D19:F20"/>
    <mergeCell ref="H19:J19"/>
    <mergeCell ref="G19:G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I44:I46"/>
    <mergeCell ref="H44:H46"/>
    <mergeCell ref="G44:G46"/>
  </mergeCells>
  <phoneticPr fontId="2" type="noConversion"/>
  <conditionalFormatting sqref="J24:J26">
    <cfRule type="cellIs" dxfId="3" priority="4" operator="equal">
      <formula>0</formula>
    </cfRule>
  </conditionalFormatting>
  <conditionalFormatting sqref="J27">
    <cfRule type="cellIs" dxfId="2" priority="3" operator="equal">
      <formula>0</formula>
    </cfRule>
  </conditionalFormatting>
  <conditionalFormatting sqref="J23">
    <cfRule type="cellIs" dxfId="1" priority="2" operator="equal">
      <formula>0</formula>
    </cfRule>
  </conditionalFormatting>
  <conditionalFormatting sqref="J22">
    <cfRule type="cellIs" dxfId="0" priority="1" operator="equal">
      <formula>0</formula>
    </cfRule>
  </conditionalFormatting>
  <printOptions horizontalCentered="1"/>
  <pageMargins left="0.44" right="0.28999999999999998" top="0.21" bottom="0.33" header="0.17" footer="0.18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DC6F-1466-4189-9ABA-C1B80A7430A1}">
  <dimension ref="A1"/>
  <sheetViews>
    <sheetView workbookViewId="0"/>
  </sheetViews>
  <sheetFormatPr defaultRowHeight="12.75" x14ac:dyDescent="0.2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Company>Vinamilk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ttthuong</dc:creator>
  <cp:lastModifiedBy>임재홍</cp:lastModifiedBy>
  <cp:lastPrinted>2020-06-10T11:20:01Z</cp:lastPrinted>
  <dcterms:created xsi:type="dcterms:W3CDTF">2008-02-27T07:32:17Z</dcterms:created>
  <dcterms:modified xsi:type="dcterms:W3CDTF">2026-04-03T11:30:48Z</dcterms:modified>
</cp:coreProperties>
</file>