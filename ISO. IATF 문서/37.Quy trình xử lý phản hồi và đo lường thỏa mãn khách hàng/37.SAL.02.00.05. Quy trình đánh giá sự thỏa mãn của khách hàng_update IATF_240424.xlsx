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Z:\6. ALL\01. IATF audit (4.2024)\0. FInding và cải tiến\Finding and improvement sent Mr Oh\"/>
    </mc:Choice>
  </mc:AlternateContent>
  <bookViews>
    <workbookView xWindow="0" yWindow="0" windowWidth="25200" windowHeight="13170" activeTab="1"/>
  </bookViews>
  <sheets>
    <sheet name="Quy trìnhđánh giá thỏa mãn kh" sheetId="11" r:id="rId1"/>
    <sheet name="Phiếu điều tra" sheetId="18" r:id="rId2"/>
    <sheet name="Bảng phân tích tổng hợp" sheetId="17" r:id="rId3"/>
    <sheet name="2019" sheetId="13" state="hidden" r:id="rId4"/>
    <sheet name="2020" sheetId="14" state="hidden" r:id="rId5"/>
    <sheet name="2021" sheetId="15" state="hidden" r:id="rId6"/>
    <sheet name="2022" sheetId="16" state="hidden" r:id="rId7"/>
  </sheets>
  <definedNames>
    <definedName name="_xlnm.Print_Area" localSheetId="0">'Quy trìnhđánh giá thỏa mãn kh'!$B$2:$P$31</definedName>
  </definedNames>
  <calcPr calcId="162913"/>
</workbook>
</file>

<file path=xl/calcChain.xml><?xml version="1.0" encoding="utf-8"?>
<calcChain xmlns="http://schemas.openxmlformats.org/spreadsheetml/2006/main">
  <c r="AY15" i="17" l="1"/>
  <c r="AV15" i="17"/>
  <c r="AY16" i="17" l="1"/>
  <c r="AV16" i="17"/>
  <c r="AY14" i="17"/>
  <c r="AV14" i="17"/>
  <c r="AY13" i="17"/>
  <c r="AV13" i="17"/>
  <c r="AY10" i="17"/>
  <c r="AV10" i="17"/>
  <c r="U9" i="17"/>
  <c r="S9" i="17"/>
  <c r="AV9" i="17" s="1"/>
  <c r="AY8" i="17"/>
  <c r="AV8" i="17"/>
  <c r="AY7" i="17"/>
  <c r="AV7" i="17"/>
  <c r="AY6" i="17"/>
  <c r="AV6" i="17"/>
  <c r="AY9" i="17" l="1"/>
  <c r="D16" i="16"/>
  <c r="C16" i="16"/>
  <c r="B16" i="16"/>
  <c r="N15" i="16"/>
  <c r="N14" i="16"/>
  <c r="N13" i="16"/>
  <c r="N12" i="16"/>
  <c r="N11" i="16"/>
  <c r="N10" i="16"/>
  <c r="N9" i="16"/>
  <c r="N8" i="16"/>
  <c r="N7" i="16"/>
  <c r="N6" i="16"/>
  <c r="N5" i="16"/>
  <c r="N4" i="16"/>
  <c r="N3" i="16"/>
  <c r="N16" i="16" s="1"/>
  <c r="M13" i="15"/>
  <c r="L13" i="15"/>
  <c r="K13" i="15"/>
  <c r="J13" i="15"/>
  <c r="I13" i="15"/>
  <c r="H13" i="15"/>
  <c r="G13" i="15"/>
  <c r="F13" i="15"/>
  <c r="E13" i="15"/>
  <c r="D13" i="15"/>
  <c r="C13" i="15"/>
  <c r="C16" i="15" s="1"/>
  <c r="B13" i="15"/>
  <c r="N12" i="15"/>
  <c r="N11" i="15"/>
  <c r="N10" i="15"/>
  <c r="N9" i="15"/>
  <c r="N8" i="15"/>
  <c r="N7" i="15"/>
  <c r="N6" i="15"/>
  <c r="N5" i="15"/>
  <c r="N4" i="15"/>
  <c r="N3" i="15"/>
  <c r="N13" i="15" s="1"/>
  <c r="M13" i="14"/>
  <c r="L13" i="14"/>
  <c r="K13" i="14"/>
  <c r="J13" i="14"/>
  <c r="I13" i="14"/>
  <c r="H13" i="14"/>
  <c r="G13" i="14"/>
  <c r="F13" i="14"/>
  <c r="E13" i="14"/>
  <c r="D13" i="14"/>
  <c r="C13" i="14"/>
  <c r="B13" i="14"/>
  <c r="N12" i="14"/>
  <c r="N11" i="14"/>
  <c r="N10" i="14"/>
  <c r="N9" i="14"/>
  <c r="N8" i="14"/>
  <c r="N7" i="14"/>
  <c r="N6" i="14"/>
  <c r="N5" i="14"/>
  <c r="N4" i="14"/>
  <c r="N3" i="14"/>
  <c r="N13" i="14" s="1"/>
  <c r="N12" i="13"/>
  <c r="M12" i="13"/>
  <c r="L12" i="13"/>
  <c r="K12" i="13"/>
  <c r="J12" i="13"/>
  <c r="I12" i="13"/>
  <c r="H12" i="13"/>
  <c r="G12" i="13"/>
  <c r="F12" i="13"/>
  <c r="E12" i="13"/>
  <c r="D12" i="13"/>
  <c r="C12" i="13"/>
  <c r="B12" i="13"/>
  <c r="N11" i="13"/>
  <c r="N10" i="13"/>
  <c r="N9" i="13"/>
  <c r="N8" i="13"/>
  <c r="N7" i="13"/>
  <c r="N6" i="13"/>
  <c r="N5" i="13"/>
  <c r="N4" i="13"/>
  <c r="N3" i="13"/>
</calcChain>
</file>

<file path=xl/sharedStrings.xml><?xml version="1.0" encoding="utf-8"?>
<sst xmlns="http://schemas.openxmlformats.org/spreadsheetml/2006/main" count="307" uniqueCount="190">
  <si>
    <t>Tên tài liệu</t>
  </si>
  <si>
    <t>Mã số tài liệu</t>
  </si>
  <si>
    <t>Ngày hiệu lực</t>
  </si>
  <si>
    <t>Lần sửa đổi</t>
  </si>
  <si>
    <t>Trách nhiệm</t>
  </si>
  <si>
    <t>Các bước tiến hành</t>
  </si>
  <si>
    <t>Biểu mẫu/Hồ sơ</t>
  </si>
  <si>
    <t xml:space="preserve">Lập </t>
  </si>
  <si>
    <t>Kiểm tra</t>
  </si>
  <si>
    <t>Phê duyệt</t>
  </si>
  <si>
    <t xml:space="preserve">Mô tả </t>
  </si>
  <si>
    <t xml:space="preserve">Nhân viên phòng kinh doanh </t>
  </si>
  <si>
    <t>SAL.02.00.05</t>
  </si>
  <si>
    <t>Các Bộ phận Liên quan</t>
  </si>
  <si>
    <t>Email, văn bản</t>
  </si>
  <si>
    <t>Văn bản, Email…</t>
  </si>
  <si>
    <t>Cần chỉ ra Nguyên nhân khiến cho mức độ hài lòng từ phía khách hàng giảm xuống.
Đưa ra đối sách cải tiến để cải tiện mức độ hài lòng của khách hàng.</t>
  </si>
  <si>
    <t>Theo dõi quá trình thực hiện các đối sách cải tiến.
Những đối sách cải tiến phù hợp cần được duy trì việc thực hiện với các phòng ban liên quan.
Những đối sách không phù hợp cần phải được thay đổi nhanh chóng tránh những phàn nàn từ phía khách hàng.</t>
  </si>
  <si>
    <t>Nhân viên phòng kinh doanh, Trưởng phòng Kinh Doanh, 
Trưởng phòng, quản lý các bộ phận liên quan</t>
  </si>
  <si>
    <t>Lưu hồ sơ; Phiếu điều tra, đối sách cải tiến có phê duyệt từ phía khách hàng
Lưu ý: thời gian lưu hồ sơ theo quy định của từng khách hàng (đối với những khách hàng không quy định về thời gian lưu hồ sơ sẽ áp dụng quy định lưu hồ sơ chung của công ty)</t>
  </si>
  <si>
    <t>Nhân viên Kinh doanh gửi khách hàng phiếu điều tra
Thời gian gửi phiếu điều tra từ ngày 25 đến ngày 30 hàng tháng</t>
  </si>
  <si>
    <t>Thời gian tiếp nhận phiếu đánh giá quy định từ ngày 01 đến ngày 05 của tháng tiếp theo</t>
  </si>
  <si>
    <t>BẢNG THEO DÕI MỨC ĐỘ HÀI LÒNG CỦA KHÁCH HÀNG NĂM 2019</t>
  </si>
  <si>
    <t xml:space="preserve">                         Tháng
Tên khách hàng</t>
  </si>
  <si>
    <t>TB năm</t>
  </si>
  <si>
    <t>Loại</t>
  </si>
  <si>
    <t>SEV</t>
  </si>
  <si>
    <t>A</t>
  </si>
  <si>
    <t>SEVT</t>
  </si>
  <si>
    <t>MOBASE</t>
  </si>
  <si>
    <t>ELENTEC</t>
  </si>
  <si>
    <t>INTOPS</t>
  </si>
  <si>
    <t>ACE</t>
  </si>
  <si>
    <t>HANWA</t>
  </si>
  <si>
    <t>CPRO</t>
  </si>
  <si>
    <t>YongIn</t>
  </si>
  <si>
    <t>TB tháng</t>
  </si>
  <si>
    <t>Xếp loại đánh giá</t>
  </si>
  <si>
    <t>Loại A từ 90 điểm trở lên</t>
  </si>
  <si>
    <t>Loại B từ 75 điểm đến 89 điểm</t>
  </si>
  <si>
    <t>Loại C từ 50 điểm đến 74 điểm</t>
  </si>
  <si>
    <t>Loại D dưới 50 điểm</t>
  </si>
  <si>
    <t>Cần phải cải tiến, khắc phục mọi vấn đề, cần nâng cao sự thỏa mãn của khách hàng</t>
  </si>
  <si>
    <t>BẢNG THEO DÕI MỨC ĐỘ HÀI LÒNG CỦA KHÁCH HÀNG NĂM 2020</t>
  </si>
  <si>
    <t>Musenco</t>
  </si>
  <si>
    <t>LGINT</t>
  </si>
  <si>
    <t>C</t>
  </si>
  <si>
    <t xml:space="preserve">                               Tháng
Tên khách hàng</t>
  </si>
  <si>
    <t>BẢNG THEO DÕI MỨC ĐỘ HÀI LÒNG CỦA KHÁCH HÀNG NĂM 2021</t>
  </si>
  <si>
    <t>LG Innotek</t>
  </si>
  <si>
    <t>B</t>
  </si>
  <si>
    <t>BẢNG THEO DÕI MỨC ĐỘ HÀI LÒNG CỦA KHÁCH HÀNG NĂM 2022</t>
  </si>
  <si>
    <t xml:space="preserve">v                                                                                                                                                         </t>
  </si>
  <si>
    <t>Innorex</t>
  </si>
  <si>
    <t>TTI</t>
  </si>
  <si>
    <t>ZF</t>
  </si>
  <si>
    <t>29/04/2024</t>
  </si>
  <si>
    <t>고객 만족도 분석 실적  Thành tích phân tích sự hài lòng của khách hàng</t>
  </si>
  <si>
    <t>번호</t>
    <phoneticPr fontId="0" type="noConversion"/>
  </si>
  <si>
    <t>고객명
Tên K/H</t>
  </si>
  <si>
    <t>구     분
Phân loại</t>
  </si>
  <si>
    <t>단위
Đơn vị</t>
  </si>
  <si>
    <t>2024년
목 표</t>
    <phoneticPr fontId="0" type="noConversion"/>
  </si>
  <si>
    <t>분 석(월)
phân tích( tháng)</t>
  </si>
  <si>
    <t>년평균
trung bình năm</t>
  </si>
  <si>
    <t>년누적
tích luỹ năm</t>
  </si>
  <si>
    <t>문제점
Điểm vấn đề</t>
  </si>
  <si>
    <t>개선내용
Nội dung cải tiến</t>
  </si>
  <si>
    <t>추진일정
lịch trình xúc tiến</t>
  </si>
  <si>
    <t>비 고
(근거자료)
ghi chú</t>
  </si>
  <si>
    <t>목표
mục tiêu</t>
  </si>
  <si>
    <t>실적
thànnh tích</t>
  </si>
  <si>
    <t>계 획
kế hoạch</t>
  </si>
  <si>
    <t>완료
hoàn thành</t>
  </si>
  <si>
    <t>LGIT YT</t>
    <phoneticPr fontId="0" type="noConversion"/>
  </si>
  <si>
    <t>1. 필드클레임 
field claim</t>
  </si>
  <si>
    <t>천원</t>
    <phoneticPr fontId="0" type="noConversion"/>
  </si>
  <si>
    <t>PPM</t>
    <phoneticPr fontId="0" type="noConversion"/>
  </si>
  <si>
    <t>건수</t>
    <phoneticPr fontId="0" type="noConversion"/>
  </si>
  <si>
    <t>%</t>
    <phoneticPr fontId="0" type="noConversion"/>
  </si>
  <si>
    <t>스타</t>
    <phoneticPr fontId="0" type="noConversion"/>
  </si>
  <si>
    <t>A</t>
    <phoneticPr fontId="0" type="noConversion"/>
  </si>
  <si>
    <t>B</t>
    <phoneticPr fontId="0" type="noConversion"/>
  </si>
  <si>
    <t>D</t>
    <phoneticPr fontId="0" type="noConversion"/>
  </si>
  <si>
    <t>A</t>
    <phoneticPr fontId="0" type="noConversion"/>
  </si>
  <si>
    <t>-</t>
    <phoneticPr fontId="0" type="noConversion"/>
  </si>
  <si>
    <t/>
  </si>
  <si>
    <t>Refer to the Audit reslt by LGIT in Jan, 2024</t>
    <phoneticPr fontId="0" type="noConversion"/>
  </si>
  <si>
    <t>Refer to the Audit findings improvement report in Jan, 2024</t>
    <phoneticPr fontId="0" type="noConversion"/>
  </si>
  <si>
    <t>Feb, 2024</t>
    <phoneticPr fontId="0" type="noConversion"/>
  </si>
  <si>
    <t>Attach the Audit findings improvement report</t>
    <phoneticPr fontId="0" type="noConversion"/>
  </si>
  <si>
    <t>점수</t>
  </si>
  <si>
    <t>건수</t>
    <phoneticPr fontId="0" type="noConversion"/>
  </si>
  <si>
    <t>A4 (210×297)</t>
    <phoneticPr fontId="0" type="noConversion"/>
  </si>
  <si>
    <r>
      <t>Phiếu điều tra độ hài lòng của khách hàng là phiếu thăm dò ý kiển của khách hàng về chất lượng dịch vụ cũng như khả năng đáp ứng của công ty đến khách hàng
'Phiếu điều tra độ hài lòng khách hàng dựa vào các tiêu chí như: chất lượng sản phẩm, dịch vụ chăm sóc trước và sau bán hàng, thái độ của nhân viên công ty.</t>
    </r>
    <r>
      <rPr>
        <u/>
        <sz val="10"/>
        <color rgb="FF092CC3"/>
        <rFont val="Times New Roman"/>
        <family val="1"/>
      </rPr>
      <t xml:space="preserve"> Chú ý kiểm tra lại phiếu điều tra cập nhật đầy đủ các mục yêu cầu theo tiêu chuẩn IATF 16949</t>
    </r>
  </si>
  <si>
    <t>*Lịch sử sửa đổi</t>
  </si>
  <si>
    <t>Mã tài liệu</t>
  </si>
  <si>
    <t>Ver</t>
  </si>
  <si>
    <t>Lập</t>
  </si>
  <si>
    <t>Duyệt</t>
  </si>
  <si>
    <t>Ngày sửa đổi</t>
  </si>
  <si>
    <t>Nội dung sửa đổi</t>
  </si>
  <si>
    <t>04.01.2017</t>
  </si>
  <si>
    <t>29.04.2024</t>
  </si>
  <si>
    <t>Lập mới</t>
  </si>
  <si>
    <t>Ms Tấm</t>
  </si>
  <si>
    <t>Mr Joung</t>
  </si>
  <si>
    <t>Ms Phương</t>
  </si>
  <si>
    <t>Ms Nhung</t>
  </si>
  <si>
    <t>2. 공정반송율
tỷ lệ chuyển trả công đoạn</t>
  </si>
  <si>
    <t>3. 고객LINE STOP횟수
số lần LINE STOP khách hàng</t>
  </si>
  <si>
    <t>4. HMC입고불량
Lỗi nhập kho HMC</t>
  </si>
  <si>
    <t>6. 고객의 평가 (품질5스타)
Đánh giá của khách hàng (A/B/C/D)</t>
  </si>
  <si>
    <t>7. 고객의 평가 (납입5점)
Đánh giá của khách hàng ( xuất nhập 5 điểm)</t>
  </si>
  <si>
    <t>8. 수량착오(납품)
nhầm số lượng ( giao hàng)</t>
  </si>
  <si>
    <t>9. 품번착오(납품)
nhầm số lot no sản phẩm ( giao hàng)</t>
  </si>
  <si>
    <t>10. 리콜 및 품질보증서
thu hồi và giấy đảm bảo chất lượng</t>
  </si>
  <si>
    <t>Mr Lee</t>
  </si>
  <si>
    <t xml:space="preserve">QUY TRÌNH ĐÁNH GIÁ SỰ THỎA MÃN CỦA KHÁCH HÀNG </t>
  </si>
  <si>
    <t>5. 납기준수율(AS)
tỷ lệ tuân thủ giao hàng(AS)</t>
  </si>
  <si>
    <t>Customer:</t>
  </si>
  <si>
    <t>Code: SAL.04.00.06</t>
  </si>
  <si>
    <t>Date:01/04/2017</t>
  </si>
  <si>
    <t>Questionnaire on customer satisfaction</t>
  </si>
  <si>
    <t xml:space="preserve">Dear: </t>
  </si>
  <si>
    <t>Purchase team</t>
  </si>
  <si>
    <t>In order to improve the quality of customer service better and better, we really need your help, please provide the information below.
The support of our company helps us continually improve the process of customer service.</t>
  </si>
  <si>
    <t>1. Customer reviews:</t>
  </si>
  <si>
    <t>Point total</t>
  </si>
  <si>
    <t>Name</t>
  </si>
  <si>
    <t>Satisfied</t>
  </si>
  <si>
    <t>Relatively satisfied</t>
  </si>
  <si>
    <t>Normal</t>
  </si>
  <si>
    <t>Unsatisfied</t>
  </si>
  <si>
    <t>Dissatisfaction</t>
  </si>
  <si>
    <t>Recommendations and points of dissatisfaction</t>
  </si>
  <si>
    <t>5 Point</t>
  </si>
  <si>
    <t>4 Point</t>
  </si>
  <si>
    <t>3 Point</t>
  </si>
  <si>
    <t>2 Point</t>
  </si>
  <si>
    <t>0 Point</t>
  </si>
  <si>
    <t>Technical</t>
  </si>
  <si>
    <t>The speed of exploiting new products</t>
  </si>
  <si>
    <t>Supply materials, technical advice</t>
  </si>
  <si>
    <t>The quality, service attitude of technical support staff</t>
  </si>
  <si>
    <t>Quality</t>
  </si>
  <si>
    <t>Inform customers promptly when errors arise at the factory</t>
  </si>
  <si>
    <t>Product quality (safety, electrical properties, dimensions / packaging)</t>
  </si>
  <si>
    <t>Develop measures to improve timely effective implementation</t>
  </si>
  <si>
    <t>Results of temporary settlement of problems (Timeliness, efficiency)</t>
  </si>
  <si>
    <t>Delivery</t>
  </si>
  <si>
    <t>Delivery time is according to the announced plan</t>
  </si>
  <si>
    <t>Promptly notify customers when the delivery schedule changes</t>
  </si>
  <si>
    <t>Exchange efficiency information</t>
  </si>
  <si>
    <t>Complaint information is received promptly</t>
  </si>
  <si>
    <t>All customer complaints get a prompt response</t>
  </si>
  <si>
    <t>Processing result after feedback is passed</t>
  </si>
  <si>
    <t>Logistics Support</t>
  </si>
  <si>
    <t>Staff</t>
  </si>
  <si>
    <t>Staff professional manner</t>
  </si>
  <si>
    <t>The level of processing feedback from customers</t>
  </si>
  <si>
    <t>Enthusiastic staff to help customers</t>
  </si>
  <si>
    <t>Satisfaction of customer</t>
  </si>
  <si>
    <t>Customers are satisfied with the quality of the product</t>
  </si>
  <si>
    <t>Customers' expectations for product quality have been met</t>
  </si>
  <si>
    <t>Attitude of staff on delivery at the customer</t>
  </si>
  <si>
    <t>Customers will continue to use the products of the supplier</t>
  </si>
  <si>
    <t>Rate rating</t>
  </si>
  <si>
    <t>Rated A</t>
  </si>
  <si>
    <t>From 90 points or more</t>
  </si>
  <si>
    <t>Rated B</t>
  </si>
  <si>
    <t>From 75 points to 89 points</t>
  </si>
  <si>
    <t>Rated C</t>
  </si>
  <si>
    <t>From 50 points to 74 points</t>
  </si>
  <si>
    <t>Rated D</t>
  </si>
  <si>
    <t>Less than 50 points</t>
  </si>
  <si>
    <t>Please send to our company before 03th Feb 2022</t>
  </si>
  <si>
    <t>Thank you.</t>
  </si>
  <si>
    <t>Customer Representative</t>
  </si>
  <si>
    <t>Storage: Sales department</t>
  </si>
  <si>
    <t>Retention period: Year of making + 01 year</t>
  </si>
  <si>
    <t>Save form: Hard copy</t>
  </si>
  <si>
    <t>Ver: 00</t>
  </si>
  <si>
    <t xml:space="preserve">Nhân viên Kinh doanh lập bảng đánh giá sự hài lòng của khách hàng thông qua phiếu điều tra và các mục theo dõi thường xuyên
Theo dõi mức độ hài lòng của khách hàng phân loại và đưa ra đối sách cải tiến đối với những khách hàng có mức độ hài lòng từ loại C trở xuống. </t>
  </si>
  <si>
    <t>Phiếu điều tra (SAL.04.00.06/ ver 00/ ngày ban hành 01/4/2017)</t>
  </si>
  <si>
    <t>Sửa đổi nội dung bảng phân tích điều tra sự thỏa mãn khách hàng theo yêu cầu IATF 16949</t>
  </si>
  <si>
    <t>Email, bảng phân tích đánh giá sự hài lòng khách hàng (SAL 04.00.07/ ver01/ ngày ban hành 29.04.2024)</t>
  </si>
  <si>
    <t>Score</t>
  </si>
  <si>
    <t>11. 리콜 및 품질보증서
Kết quả theo dõi phiếu điều tra từ khách hàng</t>
  </si>
  <si>
    <t>SAL.04.00.07/ ver 01/ ngày ban hành 29/4/2024)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</si>
</sst>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00000"/>
    <numFmt numFmtId="165" formatCode="_-* #,##0_-;\-* #,##0_-;_-* &quot;-&quot;??_-;_-@_-"/>
    <numFmt numFmtId="166" formatCode="0_ "/>
  </numFmts>
  <fonts count="3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Times New Roman"/>
      <family val="1"/>
    </font>
    <font>
      <b/>
      <sz val="10"/>
      <name val="Times New Roman"/>
      <family val="1"/>
    </font>
    <font>
      <sz val="11"/>
      <name val="Times New Roman"/>
      <family val="1"/>
    </font>
    <font>
      <sz val="12"/>
      <name val="Times New Roman"/>
      <family val="1"/>
    </font>
    <font>
      <b/>
      <sz val="9"/>
      <name val="Times New Roman"/>
      <family val="1"/>
    </font>
    <font>
      <sz val="8"/>
      <name val="Times New Roman"/>
      <family val="1"/>
    </font>
    <font>
      <i/>
      <sz val="11"/>
      <name val="Times New Roman"/>
      <family val="1"/>
    </font>
    <font>
      <b/>
      <sz val="12"/>
      <name val="Times New Roman"/>
      <family val="1"/>
    </font>
    <font>
      <b/>
      <sz val="8"/>
      <name val="Times New Roman"/>
      <family val="1"/>
    </font>
    <font>
      <b/>
      <sz val="10"/>
      <color theme="1"/>
      <name val="Times New Roman"/>
      <family val="1"/>
    </font>
    <font>
      <sz val="10"/>
      <color theme="1"/>
      <name val="Times New Roman"/>
      <family val="1"/>
    </font>
    <font>
      <sz val="12"/>
      <color theme="1"/>
      <name val="Times New Roman"/>
      <family val="1"/>
    </font>
    <font>
      <sz val="9"/>
      <name val="Times New Roman"/>
      <family val="1"/>
    </font>
    <font>
      <b/>
      <sz val="12"/>
      <color theme="1"/>
      <name val="Times New Roman"/>
      <family val="1"/>
    </font>
    <font>
      <b/>
      <sz val="11"/>
      <color theme="1"/>
      <name val="Times New Roman"/>
      <family val="1"/>
    </font>
    <font>
      <b/>
      <sz val="14"/>
      <color theme="1"/>
      <name val="Times New Roman"/>
      <family val="1"/>
    </font>
    <font>
      <u/>
      <sz val="10"/>
      <color rgb="FF092CC3"/>
      <name val="Times New Roman"/>
      <family val="1"/>
    </font>
    <font>
      <sz val="10"/>
      <color rgb="FF092CC3"/>
      <name val="Times New Roman"/>
      <family val="1"/>
    </font>
    <font>
      <sz val="10"/>
      <name val="Arial"/>
    </font>
    <font>
      <sz val="24"/>
      <color indexed="12"/>
      <name val="굴림"/>
      <family val="3"/>
      <charset val="129"/>
    </font>
    <font>
      <sz val="10"/>
      <name val="굴림"/>
      <family val="3"/>
      <charset val="129"/>
    </font>
    <font>
      <sz val="9"/>
      <name val="굴림"/>
      <family val="3"/>
      <charset val="129"/>
    </font>
    <font>
      <b/>
      <sz val="16"/>
      <name val="Times New Roman"/>
      <family val="1"/>
    </font>
    <font>
      <b/>
      <sz val="14"/>
      <name val="Times New Roman"/>
      <family val="1"/>
    </font>
    <font>
      <sz val="12"/>
      <name val=".VnTime"/>
      <family val="2"/>
    </font>
    <font>
      <b/>
      <sz val="10"/>
      <name val=".VnTime"/>
      <family val="2"/>
    </font>
    <font>
      <sz val="10"/>
      <name val=".VnTime"/>
      <family val="2"/>
    </font>
    <font>
      <sz val="16"/>
      <name val="Wingdings 2"/>
      <family val="1"/>
      <charset val="2"/>
    </font>
    <font>
      <sz val="8"/>
      <name val=".VnTime"/>
      <family val="2"/>
    </font>
  </fonts>
  <fills count="7">
    <fill>
      <patternFill patternType="none"/>
    </fill>
    <fill>
      <patternFill patternType="gray125"/>
    </fill>
    <fill>
      <patternFill patternType="solid">
        <fgColor theme="9" tint="0.59999389629810485"/>
        <bgColor indexed="64"/>
      </patternFill>
    </fill>
    <fill>
      <patternFill patternType="solid">
        <fgColor indexed="41"/>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FFF00"/>
        <bgColor indexed="64"/>
      </patternFill>
    </fill>
  </fills>
  <borders count="54">
    <border>
      <left/>
      <right/>
      <top/>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bottom style="medium">
        <color indexed="64"/>
      </bottom>
      <diagonal/>
    </border>
  </borders>
  <cellStyleXfs count="8">
    <xf numFmtId="0" fontId="0" fillId="0" borderId="0"/>
    <xf numFmtId="0" fontId="4" fillId="0" borderId="0"/>
    <xf numFmtId="43" fontId="4" fillId="0" borderId="0" applyFont="0" applyFill="0" applyBorder="0" applyAlignment="0" applyProtection="0"/>
    <xf numFmtId="0" fontId="3" fillId="0" borderId="0"/>
    <xf numFmtId="0" fontId="2" fillId="0" borderId="0"/>
    <xf numFmtId="43" fontId="23" fillId="0" borderId="0" applyFont="0" applyFill="0" applyBorder="0" applyAlignment="0" applyProtection="0"/>
    <xf numFmtId="9" fontId="23" fillId="0" borderId="0" applyFont="0" applyFill="0" applyBorder="0" applyAlignment="0" applyProtection="0"/>
    <xf numFmtId="0" fontId="1" fillId="0" borderId="0"/>
  </cellStyleXfs>
  <cellXfs count="350">
    <xf numFmtId="0" fontId="0" fillId="0" borderId="0" xfId="0"/>
    <xf numFmtId="0" fontId="5" fillId="0" borderId="0" xfId="0" applyFont="1" applyFill="1" applyAlignment="1">
      <alignment vertical="center"/>
    </xf>
    <xf numFmtId="0" fontId="6" fillId="0" borderId="0" xfId="0" applyFont="1" applyFill="1" applyAlignment="1">
      <alignment vertical="center"/>
    </xf>
    <xf numFmtId="0" fontId="7" fillId="0" borderId="0" xfId="0" applyFont="1" applyFill="1" applyAlignment="1">
      <alignment horizontal="center" vertical="center"/>
    </xf>
    <xf numFmtId="0" fontId="8" fillId="0" borderId="0" xfId="0" applyFont="1" applyFill="1" applyAlignment="1">
      <alignment vertical="center"/>
    </xf>
    <xf numFmtId="0" fontId="9" fillId="0" borderId="0" xfId="0" applyFont="1" applyFill="1" applyAlignment="1">
      <alignment vertical="center"/>
    </xf>
    <xf numFmtId="49" fontId="11" fillId="0" borderId="0" xfId="0" applyNumberFormat="1" applyFont="1" applyFill="1" applyBorder="1" applyAlignment="1">
      <alignment horizontal="center" vertical="center"/>
    </xf>
    <xf numFmtId="0" fontId="5" fillId="0" borderId="0" xfId="0" applyFont="1" applyFill="1" applyAlignment="1">
      <alignment horizontal="center" vertical="center"/>
    </xf>
    <xf numFmtId="0" fontId="8" fillId="0" borderId="0" xfId="0" applyFont="1" applyFill="1" applyAlignment="1">
      <alignment horizontal="center" vertical="center"/>
    </xf>
    <xf numFmtId="0" fontId="7" fillId="0" borderId="15" xfId="0" applyFont="1" applyFill="1" applyBorder="1" applyAlignment="1">
      <alignment horizontal="center" vertical="center"/>
    </xf>
    <xf numFmtId="0" fontId="7" fillId="0" borderId="16" xfId="0" applyFont="1" applyFill="1" applyBorder="1" applyAlignment="1">
      <alignment horizontal="center" vertical="center"/>
    </xf>
    <xf numFmtId="0" fontId="8" fillId="0" borderId="16" xfId="0" applyFont="1" applyFill="1" applyBorder="1" applyAlignment="1">
      <alignment vertical="center"/>
    </xf>
    <xf numFmtId="0" fontId="5" fillId="0" borderId="16" xfId="0" applyFont="1" applyFill="1" applyBorder="1" applyAlignment="1">
      <alignment vertical="center"/>
    </xf>
    <xf numFmtId="0" fontId="5" fillId="0" borderId="16" xfId="0" applyFont="1" applyFill="1" applyBorder="1" applyAlignment="1">
      <alignment horizontal="center" vertical="center"/>
    </xf>
    <xf numFmtId="0" fontId="8" fillId="0" borderId="17" xfId="0" applyFont="1" applyFill="1" applyBorder="1" applyAlignment="1">
      <alignment horizontal="center" vertical="center"/>
    </xf>
    <xf numFmtId="0" fontId="8" fillId="0" borderId="18" xfId="0" applyFont="1" applyFill="1" applyBorder="1" applyAlignment="1">
      <alignment horizontal="center" vertical="center"/>
    </xf>
    <xf numFmtId="0" fontId="7" fillId="0" borderId="19" xfId="0" applyFont="1" applyFill="1" applyBorder="1" applyAlignment="1">
      <alignment horizontal="center" vertical="center"/>
    </xf>
    <xf numFmtId="0" fontId="7" fillId="0" borderId="0" xfId="0" applyFont="1" applyFill="1" applyBorder="1" applyAlignment="1">
      <alignment horizontal="center" vertical="center"/>
    </xf>
    <xf numFmtId="0" fontId="16" fillId="2" borderId="30" xfId="0" applyFont="1" applyFill="1" applyBorder="1" applyAlignment="1">
      <alignment wrapText="1"/>
    </xf>
    <xf numFmtId="0" fontId="18" fillId="2" borderId="9" xfId="0" applyFont="1" applyFill="1" applyBorder="1" applyAlignment="1">
      <alignment horizontal="center" vertical="center"/>
    </xf>
    <xf numFmtId="0" fontId="18" fillId="2" borderId="12" xfId="0" applyFont="1" applyFill="1" applyBorder="1" applyAlignment="1">
      <alignment horizontal="center" vertical="center"/>
    </xf>
    <xf numFmtId="0" fontId="19" fillId="2" borderId="24" xfId="0" applyFont="1" applyFill="1" applyBorder="1" applyAlignment="1">
      <alignment horizontal="center" vertical="center"/>
    </xf>
    <xf numFmtId="0" fontId="16" fillId="0" borderId="30" xfId="0" applyFont="1" applyBorder="1" applyAlignment="1">
      <alignment horizontal="center" vertical="center"/>
    </xf>
    <xf numFmtId="0" fontId="16" fillId="0" borderId="9" xfId="0" applyFont="1" applyBorder="1" applyAlignment="1">
      <alignment horizontal="center" vertical="center"/>
    </xf>
    <xf numFmtId="1" fontId="18" fillId="0" borderId="12" xfId="0" applyNumberFormat="1" applyFont="1" applyBorder="1"/>
    <xf numFmtId="0" fontId="18" fillId="0" borderId="24" xfId="0" applyFont="1" applyBorder="1" applyAlignment="1">
      <alignment horizontal="center" vertical="center"/>
    </xf>
    <xf numFmtId="0" fontId="18" fillId="0" borderId="37" xfId="0" applyFont="1" applyFill="1" applyBorder="1" applyAlignment="1">
      <alignment horizontal="center" vertical="center"/>
    </xf>
    <xf numFmtId="1" fontId="18" fillId="0" borderId="38" xfId="0" applyNumberFormat="1" applyFont="1" applyBorder="1" applyAlignment="1">
      <alignment horizontal="center" vertical="center"/>
    </xf>
    <xf numFmtId="1" fontId="18" fillId="0" borderId="39" xfId="0" applyNumberFormat="1" applyFont="1" applyBorder="1"/>
    <xf numFmtId="0" fontId="20" fillId="0" borderId="40" xfId="0" applyFont="1" applyBorder="1" applyAlignment="1">
      <alignment horizontal="center" vertical="center"/>
    </xf>
    <xf numFmtId="0" fontId="16" fillId="0" borderId="9" xfId="0" applyFont="1" applyBorder="1" applyAlignment="1">
      <alignment horizontal="center"/>
    </xf>
    <xf numFmtId="0" fontId="16" fillId="0" borderId="9" xfId="0" applyFont="1" applyBorder="1"/>
    <xf numFmtId="0" fontId="18" fillId="0" borderId="12" xfId="0" applyFont="1" applyBorder="1"/>
    <xf numFmtId="0" fontId="16" fillId="0" borderId="41" xfId="0" applyFont="1" applyBorder="1" applyAlignment="1">
      <alignment horizontal="center" vertical="center"/>
    </xf>
    <xf numFmtId="0" fontId="16" fillId="0" borderId="10" xfId="0" applyFont="1" applyBorder="1" applyAlignment="1">
      <alignment horizontal="center" vertical="center"/>
    </xf>
    <xf numFmtId="0" fontId="16" fillId="0" borderId="10" xfId="0" applyFont="1" applyBorder="1" applyAlignment="1">
      <alignment horizontal="center"/>
    </xf>
    <xf numFmtId="0" fontId="16" fillId="0" borderId="10" xfId="0" applyFont="1" applyBorder="1"/>
    <xf numFmtId="0" fontId="18" fillId="0" borderId="3" xfId="0" applyFont="1" applyBorder="1"/>
    <xf numFmtId="0" fontId="18" fillId="0" borderId="20" xfId="0" applyFont="1" applyBorder="1" applyAlignment="1">
      <alignment horizontal="center" vertical="center"/>
    </xf>
    <xf numFmtId="1" fontId="18" fillId="0" borderId="3" xfId="0" applyNumberFormat="1" applyFont="1" applyBorder="1"/>
    <xf numFmtId="1" fontId="0" fillId="0" borderId="0" xfId="0" applyNumberFormat="1"/>
    <xf numFmtId="1" fontId="18" fillId="0" borderId="12" xfId="0" applyNumberFormat="1" applyFont="1" applyBorder="1" applyAlignment="1">
      <alignment horizontal="center"/>
    </xf>
    <xf numFmtId="1" fontId="18" fillId="0" borderId="3" xfId="0" applyNumberFormat="1" applyFont="1" applyBorder="1" applyAlignment="1">
      <alignment horizontal="center"/>
    </xf>
    <xf numFmtId="0" fontId="25" fillId="0" borderId="0" xfId="0" applyFont="1" applyAlignment="1">
      <alignment vertical="center"/>
    </xf>
    <xf numFmtId="0" fontId="25" fillId="3" borderId="38" xfId="0" applyFont="1" applyFill="1" applyBorder="1" applyAlignment="1">
      <alignment horizontal="center" vertical="center" wrapText="1"/>
    </xf>
    <xf numFmtId="0" fontId="25" fillId="4" borderId="48" xfId="0" applyFont="1" applyFill="1" applyBorder="1" applyAlignment="1">
      <alignment horizontal="center" vertical="center"/>
    </xf>
    <xf numFmtId="165" fontId="25" fillId="4" borderId="48" xfId="5" applyNumberFormat="1" applyFont="1" applyFill="1" applyBorder="1" applyAlignment="1">
      <alignment horizontal="center" vertical="center"/>
    </xf>
    <xf numFmtId="0" fontId="25" fillId="4" borderId="14" xfId="0" applyFont="1" applyFill="1" applyBorder="1" applyAlignment="1">
      <alignment horizontal="center" vertical="center"/>
    </xf>
    <xf numFmtId="165" fontId="25" fillId="4" borderId="14" xfId="5" applyNumberFormat="1" applyFont="1" applyFill="1" applyBorder="1" applyAlignment="1">
      <alignment horizontal="center" vertical="center"/>
    </xf>
    <xf numFmtId="3" fontId="25" fillId="4" borderId="14" xfId="0" applyNumberFormat="1" applyFont="1" applyFill="1" applyBorder="1" applyAlignment="1">
      <alignment horizontal="center" vertical="center"/>
    </xf>
    <xf numFmtId="0" fontId="25" fillId="0" borderId="14" xfId="0" applyFont="1" applyBorder="1" applyAlignment="1">
      <alignment horizontal="center" vertical="center"/>
    </xf>
    <xf numFmtId="0" fontId="25" fillId="4" borderId="9" xfId="0" applyFont="1" applyFill="1" applyBorder="1" applyAlignment="1">
      <alignment horizontal="center" vertical="center"/>
    </xf>
    <xf numFmtId="0" fontId="25" fillId="4" borderId="9" xfId="0" quotePrefix="1" applyFont="1" applyFill="1" applyBorder="1" applyAlignment="1">
      <alignment horizontal="center" vertical="center"/>
    </xf>
    <xf numFmtId="0" fontId="25" fillId="5" borderId="9" xfId="0" applyFont="1" applyFill="1" applyBorder="1" applyAlignment="1">
      <alignment horizontal="center" vertical="center"/>
    </xf>
    <xf numFmtId="0" fontId="25" fillId="0" borderId="7" xfId="0" applyFont="1" applyBorder="1" applyAlignment="1">
      <alignment horizontal="center" vertical="center"/>
    </xf>
    <xf numFmtId="0" fontId="26" fillId="0" borderId="0" xfId="0" applyFont="1" applyBorder="1" applyAlignment="1">
      <alignment vertical="center"/>
    </xf>
    <xf numFmtId="0" fontId="26" fillId="0" borderId="0" xfId="0" applyFont="1" applyBorder="1" applyAlignment="1">
      <alignment horizontal="center" vertical="center"/>
    </xf>
    <xf numFmtId="0" fontId="26" fillId="0" borderId="16" xfId="0" applyFont="1" applyBorder="1" applyAlignment="1">
      <alignment vertical="top"/>
    </xf>
    <xf numFmtId="0" fontId="25" fillId="0" borderId="9" xfId="0" applyFont="1" applyBorder="1" applyAlignment="1">
      <alignment horizontal="center" vertical="center"/>
    </xf>
    <xf numFmtId="0" fontId="25" fillId="0" borderId="12" xfId="0" applyFont="1" applyBorder="1" applyAlignment="1">
      <alignment horizontal="left" vertical="center" wrapText="1"/>
    </xf>
    <xf numFmtId="0" fontId="25" fillId="5" borderId="3" xfId="0" applyFont="1" applyFill="1" applyBorder="1" applyAlignment="1">
      <alignment horizontal="left" vertical="center" wrapText="1"/>
    </xf>
    <xf numFmtId="0" fontId="25" fillId="4" borderId="9" xfId="0" applyFont="1" applyFill="1" applyBorder="1" applyAlignment="1">
      <alignment horizontal="center" vertical="center"/>
    </xf>
    <xf numFmtId="0" fontId="25" fillId="4" borderId="3" xfId="0" applyFont="1" applyFill="1" applyBorder="1" applyAlignment="1">
      <alignment horizontal="left" vertical="center" wrapText="1"/>
    </xf>
    <xf numFmtId="0" fontId="25" fillId="4" borderId="12" xfId="0" applyFont="1" applyFill="1" applyBorder="1" applyAlignment="1">
      <alignment horizontal="left" vertical="center" wrapText="1"/>
    </xf>
    <xf numFmtId="0" fontId="25" fillId="4" borderId="14" xfId="0" applyFont="1" applyFill="1" applyBorder="1" applyAlignment="1">
      <alignment horizontal="center" vertical="center"/>
    </xf>
    <xf numFmtId="0" fontId="25" fillId="4" borderId="46" xfId="0" applyFont="1" applyFill="1" applyBorder="1" applyAlignment="1">
      <alignment horizontal="left" vertical="center" wrapText="1"/>
    </xf>
    <xf numFmtId="0" fontId="8" fillId="0" borderId="0" xfId="0" applyFont="1" applyFill="1" applyAlignment="1">
      <alignment horizontal="left" vertical="center"/>
    </xf>
    <xf numFmtId="0" fontId="8" fillId="0" borderId="16" xfId="0" applyFont="1" applyFill="1" applyBorder="1" applyAlignment="1">
      <alignment horizontal="left" vertical="center"/>
    </xf>
    <xf numFmtId="0" fontId="7" fillId="0" borderId="0" xfId="0" applyFont="1" applyFill="1" applyAlignment="1">
      <alignment horizontal="left" vertical="center"/>
    </xf>
    <xf numFmtId="0" fontId="5" fillId="0" borderId="9" xfId="0" applyFont="1" applyFill="1" applyBorder="1" applyAlignment="1">
      <alignment horizontal="center" vertical="center"/>
    </xf>
    <xf numFmtId="0" fontId="8" fillId="0" borderId="9" xfId="0" applyFont="1" applyFill="1" applyBorder="1" applyAlignment="1">
      <alignment horizontal="left" vertical="center"/>
    </xf>
    <xf numFmtId="0" fontId="8" fillId="0" borderId="9" xfId="0" applyFont="1" applyFill="1" applyBorder="1" applyAlignment="1">
      <alignment horizontal="center" vertical="center"/>
    </xf>
    <xf numFmtId="0" fontId="5" fillId="0" borderId="9" xfId="0" applyFont="1" applyFill="1" applyBorder="1" applyAlignment="1">
      <alignment horizontal="left" vertical="center"/>
    </xf>
    <xf numFmtId="0" fontId="5" fillId="0" borderId="12" xfId="0" applyFont="1" applyFill="1" applyBorder="1" applyAlignment="1">
      <alignment horizontal="center" vertical="center"/>
    </xf>
    <xf numFmtId="0" fontId="5" fillId="0" borderId="13" xfId="0" applyFont="1" applyFill="1" applyBorder="1" applyAlignment="1">
      <alignment horizontal="center" vertical="center"/>
    </xf>
    <xf numFmtId="0" fontId="5" fillId="0" borderId="14" xfId="0" applyFont="1" applyFill="1" applyBorder="1" applyAlignment="1">
      <alignment horizontal="center" vertical="center"/>
    </xf>
    <xf numFmtId="0" fontId="7" fillId="0" borderId="12" xfId="0" applyFont="1" applyFill="1" applyBorder="1" applyAlignment="1">
      <alignment horizontal="center" vertical="center"/>
    </xf>
    <xf numFmtId="0" fontId="7" fillId="0" borderId="13" xfId="0" applyFont="1" applyFill="1" applyBorder="1" applyAlignment="1">
      <alignment horizontal="center" vertical="center"/>
    </xf>
    <xf numFmtId="0" fontId="7" fillId="0" borderId="14" xfId="0" applyFont="1" applyFill="1" applyBorder="1" applyAlignment="1">
      <alignment horizontal="center" vertical="center"/>
    </xf>
    <xf numFmtId="0" fontId="13" fillId="0" borderId="23" xfId="0" applyFont="1" applyFill="1" applyBorder="1" applyAlignment="1">
      <alignment horizontal="center" vertical="center" wrapText="1"/>
    </xf>
    <xf numFmtId="0" fontId="10" fillId="0" borderId="13" xfId="0" applyFont="1" applyBorder="1" applyAlignment="1">
      <alignment horizontal="center" vertical="center" wrapText="1"/>
    </xf>
    <xf numFmtId="0" fontId="10" fillId="0" borderId="14" xfId="0" applyFont="1" applyBorder="1" applyAlignment="1">
      <alignment horizontal="center" vertical="center" wrapText="1"/>
    </xf>
    <xf numFmtId="0" fontId="6" fillId="0" borderId="12" xfId="0" applyFont="1" applyFill="1" applyBorder="1" applyAlignment="1">
      <alignment horizontal="center" vertical="center" wrapText="1"/>
    </xf>
    <xf numFmtId="0" fontId="5" fillId="0" borderId="14" xfId="0" applyFont="1" applyBorder="1" applyAlignment="1">
      <alignment horizontal="center" vertical="center" wrapText="1"/>
    </xf>
    <xf numFmtId="14" fontId="14" fillId="0" borderId="12" xfId="0" applyNumberFormat="1" applyFont="1" applyFill="1" applyBorder="1" applyAlignment="1">
      <alignment horizontal="left" vertical="center" wrapText="1"/>
    </xf>
    <xf numFmtId="0" fontId="15" fillId="0" borderId="14" xfId="0" applyFont="1" applyBorder="1" applyAlignment="1">
      <alignment horizontal="left" vertical="center" wrapText="1"/>
    </xf>
    <xf numFmtId="0" fontId="14" fillId="0" borderId="12" xfId="0" quotePrefix="1" applyNumberFormat="1" applyFont="1" applyBorder="1" applyAlignment="1">
      <alignment horizontal="center" vertical="center" wrapText="1"/>
    </xf>
    <xf numFmtId="0" fontId="15" fillId="0" borderId="25" xfId="0" applyNumberFormat="1" applyFont="1" applyBorder="1" applyAlignment="1">
      <alignment horizontal="center" vertical="center" wrapText="1"/>
    </xf>
    <xf numFmtId="49" fontId="9" fillId="0" borderId="27" xfId="0" applyNumberFormat="1" applyFont="1" applyFill="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6" xfId="0" applyFont="1" applyBorder="1" applyAlignment="1">
      <alignment horizontal="center" vertical="center" wrapText="1"/>
    </xf>
    <xf numFmtId="0" fontId="5" fillId="0" borderId="8" xfId="0" applyFont="1" applyBorder="1" applyAlignment="1">
      <alignment horizontal="center" vertical="center" wrapText="1"/>
    </xf>
    <xf numFmtId="0" fontId="5" fillId="0" borderId="7" xfId="0" applyFont="1" applyBorder="1" applyAlignment="1">
      <alignment horizontal="center" vertical="center" wrapText="1"/>
    </xf>
    <xf numFmtId="49" fontId="9" fillId="0" borderId="3" xfId="0" applyNumberFormat="1" applyFont="1" applyFill="1" applyBorder="1" applyAlignment="1">
      <alignment horizontal="center" vertical="center" wrapText="1"/>
    </xf>
    <xf numFmtId="0" fontId="5" fillId="0" borderId="1" xfId="0" applyFont="1" applyBorder="1" applyAlignment="1">
      <alignment horizontal="center" vertical="center" wrapText="1"/>
    </xf>
    <xf numFmtId="49" fontId="9" fillId="0" borderId="3" xfId="0" applyNumberFormat="1" applyFont="1" applyFill="1" applyBorder="1" applyAlignment="1">
      <alignment horizontal="left"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5" fillId="0" borderId="1" xfId="0" applyFont="1" applyBorder="1" applyAlignment="1">
      <alignment horizontal="left" vertical="center" wrapText="1"/>
    </xf>
    <xf numFmtId="0" fontId="5" fillId="0" borderId="8" xfId="0" applyFont="1" applyBorder="1" applyAlignment="1">
      <alignment horizontal="left" vertical="center" wrapText="1"/>
    </xf>
    <xf numFmtId="0" fontId="5" fillId="0" borderId="7" xfId="0" applyFont="1" applyBorder="1" applyAlignment="1">
      <alignment horizontal="left" vertical="center" wrapText="1"/>
    </xf>
    <xf numFmtId="0" fontId="5" fillId="0" borderId="28" xfId="0" applyFont="1" applyBorder="1" applyAlignment="1">
      <alignment horizontal="center" vertical="center" wrapText="1"/>
    </xf>
    <xf numFmtId="0" fontId="5" fillId="0" borderId="29" xfId="0" applyFont="1" applyBorder="1" applyAlignment="1">
      <alignment horizontal="center" vertical="center" wrapText="1"/>
    </xf>
    <xf numFmtId="0" fontId="8" fillId="0" borderId="10" xfId="0" applyFont="1" applyFill="1" applyBorder="1" applyAlignment="1">
      <alignment horizontal="left" vertical="center"/>
    </xf>
    <xf numFmtId="0" fontId="8" fillId="0" borderId="11" xfId="0" applyFont="1" applyFill="1" applyBorder="1" applyAlignment="1">
      <alignment horizontal="left" vertical="center"/>
    </xf>
    <xf numFmtId="0" fontId="8" fillId="0" borderId="10" xfId="0" applyFont="1" applyFill="1" applyBorder="1" applyAlignment="1">
      <alignment horizontal="center" vertical="center"/>
    </xf>
    <xf numFmtId="0" fontId="8" fillId="0" borderId="11" xfId="0" applyFont="1" applyFill="1" applyBorder="1" applyAlignment="1">
      <alignment horizontal="center" vertical="center"/>
    </xf>
    <xf numFmtId="0" fontId="8" fillId="0" borderId="20" xfId="0" applyFont="1" applyFill="1" applyBorder="1" applyAlignment="1">
      <alignment horizontal="center" vertical="center"/>
    </xf>
    <xf numFmtId="0" fontId="8" fillId="0" borderId="21" xfId="0" applyFont="1" applyFill="1" applyBorder="1" applyAlignment="1">
      <alignment horizontal="center" vertical="center"/>
    </xf>
    <xf numFmtId="0" fontId="5" fillId="0" borderId="23" xfId="0" applyFont="1" applyFill="1" applyBorder="1" applyAlignment="1">
      <alignment horizontal="center" vertical="center" wrapText="1"/>
    </xf>
    <xf numFmtId="0" fontId="5" fillId="0" borderId="13" xfId="0" applyFont="1" applyBorder="1" applyAlignment="1">
      <alignment horizontal="center" vertical="center" wrapText="1"/>
    </xf>
    <xf numFmtId="0" fontId="5" fillId="0" borderId="12" xfId="0" applyFont="1" applyFill="1" applyBorder="1" applyAlignment="1">
      <alignment horizontal="center" vertical="center" wrapText="1"/>
    </xf>
    <xf numFmtId="0" fontId="5" fillId="0" borderId="9" xfId="0" applyFont="1" applyFill="1" applyBorder="1" applyAlignment="1">
      <alignment horizontal="left" vertical="center" wrapText="1"/>
    </xf>
    <xf numFmtId="0" fontId="5" fillId="0" borderId="9" xfId="0" applyFont="1" applyBorder="1" applyAlignment="1">
      <alignment horizontal="left" vertical="center" wrapText="1"/>
    </xf>
    <xf numFmtId="0" fontId="5" fillId="0" borderId="9" xfId="0" applyFont="1" applyFill="1" applyBorder="1" applyAlignment="1">
      <alignment horizontal="center" vertical="center" wrapText="1"/>
    </xf>
    <xf numFmtId="0" fontId="5" fillId="0" borderId="24" xfId="0" applyFont="1" applyBorder="1" applyAlignment="1">
      <alignment horizontal="center" vertical="center" wrapText="1"/>
    </xf>
    <xf numFmtId="0" fontId="12" fillId="0" borderId="0" xfId="0" applyFont="1" applyFill="1" applyBorder="1" applyAlignment="1">
      <alignment horizontal="center" vertical="center" wrapText="1"/>
    </xf>
    <xf numFmtId="0" fontId="12" fillId="0" borderId="2" xfId="0" applyFont="1" applyFill="1" applyBorder="1" applyAlignment="1">
      <alignment horizontal="center" vertical="center" wrapText="1"/>
    </xf>
    <xf numFmtId="0" fontId="12" fillId="0" borderId="8" xfId="0" applyFont="1" applyFill="1" applyBorder="1" applyAlignment="1">
      <alignment horizontal="center" vertical="center" wrapText="1"/>
    </xf>
    <xf numFmtId="0" fontId="12" fillId="0" borderId="7" xfId="0" applyFont="1" applyFill="1" applyBorder="1" applyAlignment="1">
      <alignment horizontal="center" vertical="center" wrapText="1"/>
    </xf>
    <xf numFmtId="0" fontId="5" fillId="0" borderId="27" xfId="0" applyNumberFormat="1" applyFont="1" applyFill="1" applyBorder="1" applyAlignment="1">
      <alignment horizontal="center" vertical="center" wrapText="1"/>
    </xf>
    <xf numFmtId="0" fontId="5" fillId="0" borderId="4" xfId="0" applyNumberFormat="1" applyFont="1" applyFill="1" applyBorder="1" applyAlignment="1">
      <alignment horizontal="center" vertical="center" wrapText="1"/>
    </xf>
    <xf numFmtId="0" fontId="5" fillId="0" borderId="5" xfId="0" applyNumberFormat="1" applyFont="1" applyFill="1" applyBorder="1" applyAlignment="1">
      <alignment horizontal="center" vertical="center" wrapText="1"/>
    </xf>
    <xf numFmtId="0" fontId="5" fillId="0" borderId="26" xfId="0" applyNumberFormat="1" applyFont="1" applyFill="1" applyBorder="1" applyAlignment="1">
      <alignment horizontal="center" vertical="center" wrapText="1"/>
    </xf>
    <xf numFmtId="0" fontId="5" fillId="0" borderId="8" xfId="0" applyNumberFormat="1"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49" fontId="5" fillId="0" borderId="9" xfId="0" quotePrefix="1" applyNumberFormat="1" applyFont="1" applyFill="1" applyBorder="1" applyAlignment="1">
      <alignment horizontal="left" vertical="center" wrapText="1"/>
    </xf>
    <xf numFmtId="49" fontId="5" fillId="0" borderId="9" xfId="0" applyNumberFormat="1" applyFont="1" applyFill="1" applyBorder="1" applyAlignment="1">
      <alignment horizontal="left" vertical="center"/>
    </xf>
    <xf numFmtId="0" fontId="5" fillId="0" borderId="19" xfId="0" applyFont="1" applyBorder="1" applyAlignment="1">
      <alignment horizontal="center" vertical="center" wrapText="1"/>
    </xf>
    <xf numFmtId="0" fontId="5" fillId="0" borderId="0"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quotePrefix="1" applyNumberFormat="1" applyFont="1" applyFill="1" applyBorder="1" applyAlignment="1">
      <alignment horizontal="left" vertical="center" wrapText="1"/>
    </xf>
    <xf numFmtId="0" fontId="5" fillId="0" borderId="4" xfId="0" applyNumberFormat="1" applyFont="1" applyFill="1" applyBorder="1" applyAlignment="1">
      <alignment horizontal="left" vertical="center" wrapText="1"/>
    </xf>
    <xf numFmtId="0" fontId="5" fillId="0" borderId="5" xfId="0" applyNumberFormat="1" applyFont="1" applyFill="1" applyBorder="1" applyAlignment="1">
      <alignment horizontal="left" vertical="center" wrapText="1"/>
    </xf>
    <xf numFmtId="0" fontId="5" fillId="0" borderId="6" xfId="0" applyNumberFormat="1" applyFont="1" applyFill="1" applyBorder="1" applyAlignment="1">
      <alignment horizontal="left" vertical="center" wrapText="1"/>
    </xf>
    <xf numFmtId="0" fontId="5" fillId="0" borderId="0" xfId="0" applyNumberFormat="1" applyFont="1" applyFill="1" applyBorder="1" applyAlignment="1">
      <alignment horizontal="left" vertical="center" wrapText="1"/>
    </xf>
    <xf numFmtId="0" fontId="5" fillId="0" borderId="2" xfId="0" applyNumberFormat="1" applyFont="1" applyFill="1" applyBorder="1" applyAlignment="1">
      <alignment horizontal="left" vertical="center" wrapText="1"/>
    </xf>
    <xf numFmtId="0" fontId="5" fillId="0" borderId="1" xfId="0" applyNumberFormat="1" applyFont="1" applyFill="1" applyBorder="1" applyAlignment="1">
      <alignment horizontal="left" vertical="center" wrapText="1"/>
    </xf>
    <xf numFmtId="0" fontId="5" fillId="0" borderId="8" xfId="0" applyNumberFormat="1" applyFont="1" applyFill="1" applyBorder="1" applyAlignment="1">
      <alignment horizontal="left" vertical="center" wrapText="1"/>
    </xf>
    <xf numFmtId="0" fontId="5" fillId="0" borderId="7" xfId="0" applyNumberFormat="1" applyFont="1" applyFill="1" applyBorder="1" applyAlignment="1">
      <alignment horizontal="left" vertical="center" wrapText="1"/>
    </xf>
    <xf numFmtId="49" fontId="22" fillId="0" borderId="3" xfId="0" applyNumberFormat="1" applyFont="1" applyFill="1" applyBorder="1" applyAlignment="1">
      <alignment horizontal="center" vertical="center" wrapText="1"/>
    </xf>
    <xf numFmtId="49" fontId="5" fillId="0" borderId="28" xfId="0" applyNumberFormat="1" applyFont="1" applyFill="1" applyBorder="1" applyAlignment="1">
      <alignment horizontal="center" vertical="center" wrapText="1"/>
    </xf>
    <xf numFmtId="49" fontId="5" fillId="0" borderId="1" xfId="0" applyNumberFormat="1" applyFont="1" applyFill="1" applyBorder="1" applyAlignment="1">
      <alignment horizontal="center" vertical="center" wrapText="1"/>
    </xf>
    <xf numFmtId="49" fontId="5" fillId="0" borderId="29" xfId="0" applyNumberFormat="1"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28"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5" fillId="0" borderId="22"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29" xfId="0" applyFont="1" applyFill="1" applyBorder="1" applyAlignment="1">
      <alignment horizontal="center" vertical="center" wrapText="1"/>
    </xf>
    <xf numFmtId="0" fontId="5" fillId="0" borderId="3" xfId="0" applyNumberFormat="1" applyFont="1" applyFill="1" applyBorder="1" applyAlignment="1">
      <alignment horizontal="left" vertical="center" wrapText="1"/>
    </xf>
    <xf numFmtId="0" fontId="5" fillId="0" borderId="35" xfId="0" applyFont="1" applyBorder="1" applyAlignment="1">
      <alignment horizontal="center" vertical="center" wrapText="1"/>
    </xf>
    <xf numFmtId="0" fontId="5" fillId="0" borderId="31" xfId="0" applyFont="1" applyBorder="1" applyAlignment="1">
      <alignment horizontal="center" vertical="center" wrapText="1"/>
    </xf>
    <xf numFmtId="0" fontId="5" fillId="0" borderId="32" xfId="0" applyFont="1" applyBorder="1" applyAlignment="1">
      <alignment horizontal="center" vertical="center" wrapText="1"/>
    </xf>
    <xf numFmtId="0" fontId="5" fillId="0" borderId="3" xfId="0" applyNumberFormat="1" applyFont="1" applyFill="1" applyBorder="1" applyAlignment="1">
      <alignment horizontal="center" vertical="center" wrapText="1"/>
    </xf>
    <xf numFmtId="0" fontId="5" fillId="0" borderId="6" xfId="0" applyNumberFormat="1" applyFont="1" applyFill="1" applyBorder="1" applyAlignment="1">
      <alignment horizontal="center" vertical="center" wrapText="1"/>
    </xf>
    <xf numFmtId="0" fontId="5" fillId="0" borderId="0" xfId="0" applyNumberFormat="1" applyFont="1" applyFill="1" applyBorder="1" applyAlignment="1">
      <alignment horizontal="center" vertical="center" wrapText="1"/>
    </xf>
    <xf numFmtId="0" fontId="5" fillId="0" borderId="33" xfId="0" applyNumberFormat="1" applyFont="1" applyFill="1" applyBorder="1" applyAlignment="1">
      <alignment horizontal="center" vertical="center" wrapText="1"/>
    </xf>
    <xf numFmtId="0" fontId="5" fillId="0" borderId="31" xfId="0" applyNumberFormat="1" applyFont="1" applyFill="1" applyBorder="1" applyAlignment="1">
      <alignment horizontal="center" vertical="center" wrapText="1"/>
    </xf>
    <xf numFmtId="49" fontId="5" fillId="0" borderId="6" xfId="0" quotePrefix="1" applyNumberFormat="1" applyFont="1" applyFill="1" applyBorder="1" applyAlignment="1">
      <alignment horizontal="left" vertical="center" wrapText="1"/>
    </xf>
    <xf numFmtId="49" fontId="5" fillId="0" borderId="0" xfId="0" applyNumberFormat="1" applyFont="1" applyFill="1" applyBorder="1" applyAlignment="1">
      <alignment horizontal="left" vertical="center" wrapText="1"/>
    </xf>
    <xf numFmtId="49" fontId="5" fillId="0" borderId="2" xfId="0" applyNumberFormat="1" applyFont="1" applyFill="1" applyBorder="1" applyAlignment="1">
      <alignment horizontal="left" vertical="center" wrapText="1"/>
    </xf>
    <xf numFmtId="49" fontId="5" fillId="0" borderId="33" xfId="0" applyNumberFormat="1" applyFont="1" applyFill="1" applyBorder="1" applyAlignment="1">
      <alignment horizontal="left" vertical="center" wrapText="1"/>
    </xf>
    <xf numFmtId="49" fontId="5" fillId="0" borderId="31" xfId="0" applyNumberFormat="1" applyFont="1" applyFill="1" applyBorder="1" applyAlignment="1">
      <alignment horizontal="left" vertical="center" wrapText="1"/>
    </xf>
    <xf numFmtId="49" fontId="5" fillId="0" borderId="32" xfId="0" applyNumberFormat="1" applyFont="1" applyFill="1" applyBorder="1" applyAlignment="1">
      <alignment horizontal="left" vertical="center" wrapText="1"/>
    </xf>
    <xf numFmtId="49" fontId="5" fillId="0" borderId="6" xfId="0" applyNumberFormat="1" applyFont="1" applyFill="1" applyBorder="1" applyAlignment="1">
      <alignment horizontal="center" vertical="center" wrapText="1"/>
    </xf>
    <xf numFmtId="49" fontId="5" fillId="0" borderId="22" xfId="0" applyNumberFormat="1" applyFont="1" applyFill="1" applyBorder="1" applyAlignment="1">
      <alignment horizontal="center" vertical="center" wrapText="1"/>
    </xf>
    <xf numFmtId="49" fontId="5" fillId="0" borderId="33" xfId="0" applyNumberFormat="1" applyFont="1" applyFill="1" applyBorder="1" applyAlignment="1">
      <alignment horizontal="center" vertical="center" wrapText="1"/>
    </xf>
    <xf numFmtId="49" fontId="5" fillId="0" borderId="34" xfId="0" applyNumberFormat="1" applyFont="1" applyFill="1" applyBorder="1" applyAlignment="1">
      <alignment horizontal="center" vertical="center" wrapText="1"/>
    </xf>
    <xf numFmtId="0" fontId="5" fillId="0" borderId="30" xfId="0" applyFont="1" applyBorder="1" applyAlignment="1">
      <alignment horizontal="center" vertical="center" wrapText="1"/>
    </xf>
    <xf numFmtId="0" fontId="5" fillId="0" borderId="9" xfId="0" applyFont="1" applyBorder="1" applyAlignment="1">
      <alignment horizontal="center" vertical="center" wrapText="1"/>
    </xf>
    <xf numFmtId="49" fontId="5" fillId="0" borderId="3" xfId="0" quotePrefix="1" applyNumberFormat="1" applyFont="1" applyFill="1" applyBorder="1" applyAlignment="1">
      <alignment horizontal="left" vertical="center" wrapText="1"/>
    </xf>
    <xf numFmtId="49" fontId="5" fillId="0" borderId="4" xfId="0" applyNumberFormat="1" applyFont="1" applyFill="1" applyBorder="1" applyAlignment="1">
      <alignment horizontal="left" vertical="center" wrapText="1"/>
    </xf>
    <xf numFmtId="49" fontId="5" fillId="0" borderId="5" xfId="0" applyNumberFormat="1" applyFont="1" applyFill="1" applyBorder="1" applyAlignment="1">
      <alignment horizontal="left" vertical="center" wrapText="1"/>
    </xf>
    <xf numFmtId="49" fontId="5" fillId="0" borderId="1" xfId="0" applyNumberFormat="1" applyFont="1" applyFill="1" applyBorder="1" applyAlignment="1">
      <alignment horizontal="left" vertical="center" wrapText="1"/>
    </xf>
    <xf numFmtId="49" fontId="5" fillId="0" borderId="8" xfId="0" applyNumberFormat="1" applyFont="1" applyFill="1" applyBorder="1" applyAlignment="1">
      <alignment horizontal="left" vertical="center" wrapText="1"/>
    </xf>
    <xf numFmtId="49" fontId="5" fillId="0" borderId="7" xfId="0" applyNumberFormat="1" applyFont="1" applyFill="1" applyBorder="1" applyAlignment="1">
      <alignment horizontal="left" vertical="center" wrapText="1"/>
    </xf>
    <xf numFmtId="49" fontId="5" fillId="0" borderId="3" xfId="0" applyNumberFormat="1" applyFont="1" applyFill="1" applyBorder="1" applyAlignment="1">
      <alignment horizontal="center" vertical="center" wrapText="1"/>
    </xf>
    <xf numFmtId="49" fontId="5" fillId="0" borderId="4" xfId="0" applyNumberFormat="1" applyFont="1" applyFill="1" applyBorder="1" applyAlignment="1">
      <alignment horizontal="left" vertical="center"/>
    </xf>
    <xf numFmtId="49" fontId="5" fillId="0" borderId="5" xfId="0" applyNumberFormat="1" applyFont="1" applyFill="1" applyBorder="1" applyAlignment="1">
      <alignment horizontal="left" vertical="center"/>
    </xf>
    <xf numFmtId="49" fontId="5" fillId="0" borderId="1" xfId="0" applyNumberFormat="1" applyFont="1" applyFill="1" applyBorder="1" applyAlignment="1">
      <alignment horizontal="left" vertical="center"/>
    </xf>
    <xf numFmtId="49" fontId="5" fillId="0" borderId="8" xfId="0" applyNumberFormat="1" applyFont="1" applyFill="1" applyBorder="1" applyAlignment="1">
      <alignment horizontal="left" vertical="center"/>
    </xf>
    <xf numFmtId="49" fontId="5" fillId="0" borderId="7" xfId="0" applyNumberFormat="1" applyFont="1" applyFill="1" applyBorder="1" applyAlignment="1">
      <alignment horizontal="left" vertical="center"/>
    </xf>
    <xf numFmtId="164" fontId="5" fillId="0" borderId="3" xfId="0" quotePrefix="1" applyNumberFormat="1" applyFont="1" applyFill="1" applyBorder="1" applyAlignment="1">
      <alignment horizontal="left" vertical="center" wrapText="1"/>
    </xf>
    <xf numFmtId="164" fontId="5" fillId="0" borderId="4" xfId="0" applyNumberFormat="1" applyFont="1" applyFill="1" applyBorder="1" applyAlignment="1">
      <alignment horizontal="left" vertical="center" wrapText="1"/>
    </xf>
    <xf numFmtId="164" fontId="5" fillId="0" borderId="5" xfId="0" applyNumberFormat="1" applyFont="1" applyFill="1" applyBorder="1" applyAlignment="1">
      <alignment horizontal="left" vertical="center" wrapText="1"/>
    </xf>
    <xf numFmtId="164" fontId="5" fillId="0" borderId="6" xfId="0" applyNumberFormat="1" applyFont="1" applyFill="1" applyBorder="1" applyAlignment="1">
      <alignment horizontal="left" vertical="center" wrapText="1"/>
    </xf>
    <xf numFmtId="164" fontId="5" fillId="0" borderId="0" xfId="0" applyNumberFormat="1" applyFont="1" applyFill="1" applyBorder="1" applyAlignment="1">
      <alignment horizontal="left" vertical="center" wrapText="1"/>
    </xf>
    <xf numFmtId="164" fontId="5" fillId="0" borderId="2" xfId="0" applyNumberFormat="1" applyFont="1" applyFill="1" applyBorder="1" applyAlignment="1">
      <alignment horizontal="left" vertical="center" wrapText="1"/>
    </xf>
    <xf numFmtId="0" fontId="25" fillId="3" borderId="17" xfId="0" applyFont="1" applyFill="1" applyBorder="1" applyAlignment="1">
      <alignment horizontal="center" vertical="center" wrapText="1"/>
    </xf>
    <xf numFmtId="0" fontId="25" fillId="3" borderId="17" xfId="0" applyFont="1" applyFill="1" applyBorder="1" applyAlignment="1">
      <alignment horizontal="center" vertical="center"/>
    </xf>
    <xf numFmtId="0" fontId="25" fillId="3" borderId="38" xfId="0" applyFont="1" applyFill="1" applyBorder="1" applyAlignment="1">
      <alignment horizontal="center" vertical="center"/>
    </xf>
    <xf numFmtId="0" fontId="25" fillId="3" borderId="46" xfId="0" applyFont="1" applyFill="1" applyBorder="1" applyAlignment="1">
      <alignment horizontal="center" vertical="center" wrapText="1"/>
    </xf>
    <xf numFmtId="0" fontId="25" fillId="3" borderId="47" xfId="0" applyFont="1" applyFill="1" applyBorder="1" applyAlignment="1">
      <alignment horizontal="center" vertical="center"/>
    </xf>
    <xf numFmtId="0" fontId="25" fillId="3" borderId="48" xfId="0" applyFont="1" applyFill="1" applyBorder="1" applyAlignment="1">
      <alignment horizontal="center" vertical="center"/>
    </xf>
    <xf numFmtId="0" fontId="25" fillId="3" borderId="18" xfId="0" applyFont="1" applyFill="1" applyBorder="1" applyAlignment="1">
      <alignment horizontal="center" vertical="center"/>
    </xf>
    <xf numFmtId="0" fontId="25" fillId="3" borderId="40" xfId="0" applyFont="1" applyFill="1" applyBorder="1" applyAlignment="1">
      <alignment horizontal="center" vertical="center"/>
    </xf>
    <xf numFmtId="0" fontId="25" fillId="3" borderId="39" xfId="0" applyFont="1" applyFill="1" applyBorder="1" applyAlignment="1">
      <alignment horizontal="center" vertical="center" wrapText="1"/>
    </xf>
    <xf numFmtId="0" fontId="25" fillId="3" borderId="50" xfId="0" applyFont="1" applyFill="1" applyBorder="1" applyAlignment="1">
      <alignment horizontal="center" vertical="center"/>
    </xf>
    <xf numFmtId="0" fontId="25" fillId="3" borderId="51" xfId="0" applyFont="1" applyFill="1" applyBorder="1" applyAlignment="1">
      <alignment horizontal="center" vertical="center"/>
    </xf>
    <xf numFmtId="0" fontId="24" fillId="0" borderId="0" xfId="0" applyFont="1" applyAlignment="1">
      <alignment horizontal="center" vertical="center"/>
    </xf>
    <xf numFmtId="0" fontId="25" fillId="3" borderId="42" xfId="0" applyFont="1" applyFill="1" applyBorder="1" applyAlignment="1">
      <alignment horizontal="center" vertical="center"/>
    </xf>
    <xf numFmtId="0" fontId="25" fillId="3" borderId="37" xfId="0" applyFont="1" applyFill="1" applyBorder="1" applyAlignment="1">
      <alignment horizontal="center" vertical="center"/>
    </xf>
    <xf numFmtId="0" fontId="25" fillId="3" borderId="43" xfId="0" applyFont="1" applyFill="1" applyBorder="1" applyAlignment="1">
      <alignment horizontal="center" vertical="center" wrapText="1"/>
    </xf>
    <xf numFmtId="0" fontId="25" fillId="3" borderId="49" xfId="0" applyFont="1" applyFill="1" applyBorder="1" applyAlignment="1">
      <alignment horizontal="center" vertical="center"/>
    </xf>
    <xf numFmtId="0" fontId="25" fillId="3" borderId="44" xfId="0" applyFont="1" applyFill="1" applyBorder="1" applyAlignment="1">
      <alignment horizontal="center" vertical="center" wrapText="1"/>
    </xf>
    <xf numFmtId="0" fontId="25" fillId="3" borderId="45" xfId="0" applyFont="1" applyFill="1" applyBorder="1" applyAlignment="1">
      <alignment horizontal="center" vertical="center" wrapText="1"/>
    </xf>
    <xf numFmtId="0" fontId="25" fillId="0" borderId="15" xfId="0" applyFont="1" applyBorder="1" applyAlignment="1">
      <alignment horizontal="center" vertical="center"/>
    </xf>
    <xf numFmtId="0" fontId="25" fillId="0" borderId="45" xfId="0" applyFont="1" applyBorder="1" applyAlignment="1">
      <alignment horizontal="center" vertical="center"/>
    </xf>
    <xf numFmtId="0" fontId="25" fillId="0" borderId="19" xfId="0" applyFont="1" applyBorder="1" applyAlignment="1">
      <alignment horizontal="center" vertical="center"/>
    </xf>
    <xf numFmtId="0" fontId="25" fillId="0" borderId="2" xfId="0" applyFont="1" applyBorder="1" applyAlignment="1">
      <alignment horizontal="center" vertical="center"/>
    </xf>
    <xf numFmtId="0" fontId="25" fillId="0" borderId="35" xfId="0" applyFont="1" applyBorder="1" applyAlignment="1">
      <alignment horizontal="center" vertical="center"/>
    </xf>
    <xf numFmtId="0" fontId="25" fillId="0" borderId="32" xfId="0" applyFont="1" applyBorder="1" applyAlignment="1">
      <alignment horizontal="center" vertical="center"/>
    </xf>
    <xf numFmtId="0" fontId="25" fillId="0" borderId="16" xfId="0" applyFont="1" applyBorder="1" applyAlignment="1">
      <alignment horizontal="center" vertical="center" shrinkToFit="1"/>
    </xf>
    <xf numFmtId="0" fontId="25" fillId="0" borderId="45" xfId="0" applyFont="1" applyBorder="1" applyAlignment="1">
      <alignment horizontal="center" vertical="center" shrinkToFit="1"/>
    </xf>
    <xf numFmtId="0" fontId="25" fillId="0" borderId="0" xfId="0" applyFont="1" applyBorder="1" applyAlignment="1">
      <alignment horizontal="center" vertical="center" shrinkToFit="1"/>
    </xf>
    <xf numFmtId="0" fontId="25" fillId="0" borderId="2" xfId="0" applyFont="1" applyBorder="1" applyAlignment="1">
      <alignment horizontal="center" vertical="center" shrinkToFit="1"/>
    </xf>
    <xf numFmtId="0" fontId="25" fillId="0" borderId="31" xfId="0" applyFont="1" applyBorder="1" applyAlignment="1">
      <alignment horizontal="center" vertical="center" shrinkToFit="1"/>
    </xf>
    <xf numFmtId="0" fontId="25" fillId="0" borderId="32" xfId="0" applyFont="1" applyBorder="1" applyAlignment="1">
      <alignment horizontal="center" vertical="center" shrinkToFit="1"/>
    </xf>
    <xf numFmtId="0" fontId="25" fillId="4" borderId="17" xfId="0" applyFont="1" applyFill="1" applyBorder="1" applyAlignment="1">
      <alignment horizontal="center" vertical="center"/>
    </xf>
    <xf numFmtId="1" fontId="25" fillId="4" borderId="9" xfId="0" applyNumberFormat="1" applyFont="1" applyFill="1" applyBorder="1" applyAlignment="1">
      <alignment horizontal="center" vertical="center"/>
    </xf>
    <xf numFmtId="0" fontId="25" fillId="4" borderId="18" xfId="0" applyFont="1" applyFill="1" applyBorder="1" applyAlignment="1">
      <alignment horizontal="center" vertical="center"/>
    </xf>
    <xf numFmtId="165" fontId="25" fillId="4" borderId="9" xfId="5" quotePrefix="1" applyNumberFormat="1" applyFont="1" applyFill="1" applyBorder="1" applyAlignment="1">
      <alignment horizontal="center" vertical="center"/>
    </xf>
    <xf numFmtId="165" fontId="25" fillId="4" borderId="9" xfId="5" applyNumberFormat="1" applyFont="1" applyFill="1" applyBorder="1" applyAlignment="1">
      <alignment horizontal="center" vertical="center"/>
    </xf>
    <xf numFmtId="166" fontId="25" fillId="4" borderId="9" xfId="6" quotePrefix="1" applyNumberFormat="1" applyFont="1" applyFill="1" applyBorder="1" applyAlignment="1">
      <alignment horizontal="center" vertical="center"/>
    </xf>
    <xf numFmtId="166" fontId="25" fillId="4" borderId="9" xfId="6" applyNumberFormat="1" applyFont="1" applyFill="1" applyBorder="1" applyAlignment="1">
      <alignment horizontal="center" vertical="center"/>
    </xf>
    <xf numFmtId="0" fontId="26" fillId="4" borderId="12" xfId="0" applyFont="1" applyFill="1" applyBorder="1" applyAlignment="1">
      <alignment horizontal="center" vertical="center" shrinkToFit="1"/>
    </xf>
    <xf numFmtId="0" fontId="26" fillId="4" borderId="13" xfId="0" applyFont="1" applyFill="1" applyBorder="1" applyAlignment="1">
      <alignment horizontal="center" vertical="center" shrinkToFit="1"/>
    </xf>
    <xf numFmtId="0" fontId="26" fillId="4" borderId="14" xfId="0" applyFont="1" applyFill="1" applyBorder="1" applyAlignment="1">
      <alignment horizontal="center" vertical="center" shrinkToFit="1"/>
    </xf>
    <xf numFmtId="0" fontId="0" fillId="4" borderId="12" xfId="0" applyFill="1" applyBorder="1"/>
    <xf numFmtId="0" fontId="0" fillId="4" borderId="13" xfId="0" applyFill="1" applyBorder="1"/>
    <xf numFmtId="0" fontId="0" fillId="4" borderId="25" xfId="0" applyFill="1" applyBorder="1"/>
    <xf numFmtId="0" fontId="25" fillId="4" borderId="12" xfId="0" applyFont="1" applyFill="1" applyBorder="1" applyAlignment="1">
      <alignment horizontal="center" vertical="center"/>
    </xf>
    <xf numFmtId="0" fontId="25" fillId="4" borderId="13" xfId="0" applyFont="1" applyFill="1" applyBorder="1" applyAlignment="1">
      <alignment horizontal="center" vertical="center"/>
    </xf>
    <xf numFmtId="0" fontId="25" fillId="4" borderId="14" xfId="0" applyFont="1" applyFill="1" applyBorder="1" applyAlignment="1">
      <alignment horizontal="center" vertical="center"/>
    </xf>
    <xf numFmtId="0" fontId="25" fillId="4" borderId="9" xfId="0" applyFont="1" applyFill="1" applyBorder="1" applyAlignment="1">
      <alignment horizontal="center" vertical="center"/>
    </xf>
    <xf numFmtId="2" fontId="25" fillId="4" borderId="9" xfId="0" applyNumberFormat="1" applyFont="1" applyFill="1" applyBorder="1" applyAlignment="1">
      <alignment horizontal="center" vertical="center"/>
    </xf>
    <xf numFmtId="0" fontId="25" fillId="4" borderId="9" xfId="0" applyFont="1" applyFill="1" applyBorder="1" applyAlignment="1">
      <alignment horizontal="center" vertical="center" wrapText="1"/>
    </xf>
    <xf numFmtId="0" fontId="25" fillId="4" borderId="24" xfId="0" applyFont="1" applyFill="1" applyBorder="1" applyAlignment="1">
      <alignment horizontal="center" vertical="center"/>
    </xf>
    <xf numFmtId="0" fontId="25" fillId="0" borderId="12" xfId="0" applyFont="1" applyBorder="1" applyAlignment="1">
      <alignment horizontal="center" vertical="center"/>
    </xf>
    <xf numFmtId="0" fontId="25" fillId="0" borderId="13" xfId="0" applyFont="1" applyBorder="1" applyAlignment="1">
      <alignment horizontal="center" vertical="center"/>
    </xf>
    <xf numFmtId="0" fontId="25" fillId="0" borderId="14" xfId="0" applyFont="1" applyBorder="1" applyAlignment="1">
      <alignment horizontal="center" vertical="center"/>
    </xf>
    <xf numFmtId="0" fontId="25" fillId="0" borderId="9" xfId="0" applyFont="1" applyBorder="1" applyAlignment="1">
      <alignment horizontal="center" vertical="center"/>
    </xf>
    <xf numFmtId="0" fontId="25" fillId="0" borderId="24" xfId="0" applyFont="1" applyBorder="1" applyAlignment="1">
      <alignment horizontal="center" vertical="center"/>
    </xf>
    <xf numFmtId="0" fontId="25" fillId="4" borderId="12" xfId="0" quotePrefix="1" applyFont="1" applyFill="1" applyBorder="1" applyAlignment="1">
      <alignment horizontal="center" vertical="center"/>
    </xf>
    <xf numFmtId="0" fontId="25" fillId="4" borderId="13" xfId="0" quotePrefix="1" applyFont="1" applyFill="1" applyBorder="1" applyAlignment="1">
      <alignment horizontal="center" vertical="center"/>
    </xf>
    <xf numFmtId="0" fontId="25" fillId="4" borderId="14" xfId="0" quotePrefix="1" applyFont="1" applyFill="1" applyBorder="1" applyAlignment="1">
      <alignment horizontal="center" vertical="center"/>
    </xf>
    <xf numFmtId="2" fontId="25" fillId="0" borderId="9" xfId="0" applyNumberFormat="1" applyFont="1" applyBorder="1" applyAlignment="1">
      <alignment horizontal="center" vertical="center" shrinkToFit="1"/>
    </xf>
    <xf numFmtId="0" fontId="25" fillId="4" borderId="9" xfId="0" quotePrefix="1" applyFont="1" applyFill="1" applyBorder="1" applyAlignment="1">
      <alignment horizontal="center" vertical="center"/>
    </xf>
    <xf numFmtId="0" fontId="25" fillId="4" borderId="24" xfId="0" applyFont="1" applyFill="1" applyBorder="1" applyAlignment="1">
      <alignment horizontal="center" vertical="center" wrapText="1"/>
    </xf>
    <xf numFmtId="0" fontId="25" fillId="0" borderId="9" xfId="0" applyFont="1" applyBorder="1" applyAlignment="1">
      <alignment horizontal="center" vertical="center" wrapText="1"/>
    </xf>
    <xf numFmtId="0" fontId="26" fillId="0" borderId="0" xfId="0" applyFont="1" applyBorder="1" applyAlignment="1">
      <alignment horizontal="center" vertical="center"/>
    </xf>
    <xf numFmtId="0" fontId="26" fillId="0" borderId="0" xfId="0" applyFont="1" applyBorder="1" applyAlignment="1">
      <alignment horizontal="right" vertical="center"/>
    </xf>
    <xf numFmtId="0" fontId="5" fillId="0" borderId="9" xfId="1" applyFont="1" applyBorder="1" applyAlignment="1">
      <alignment horizontal="center" vertical="center"/>
    </xf>
    <xf numFmtId="0" fontId="17" fillId="0" borderId="12" xfId="1" applyFont="1" applyBorder="1" applyAlignment="1">
      <alignment horizontal="center" vertical="center" wrapText="1"/>
    </xf>
    <xf numFmtId="0" fontId="17" fillId="0" borderId="13" xfId="1" applyFont="1" applyBorder="1" applyAlignment="1">
      <alignment horizontal="center" vertical="center" wrapText="1"/>
    </xf>
    <xf numFmtId="0" fontId="17" fillId="0" borderId="14" xfId="1" applyFont="1" applyBorder="1" applyAlignment="1">
      <alignment horizontal="center" vertical="center" wrapText="1"/>
    </xf>
    <xf numFmtId="0" fontId="18" fillId="0" borderId="15" xfId="0" applyFont="1" applyBorder="1" applyAlignment="1">
      <alignment horizontal="center" vertical="center"/>
    </xf>
    <xf numFmtId="0" fontId="18" fillId="0" borderId="16" xfId="0" applyFont="1" applyBorder="1" applyAlignment="1">
      <alignment horizontal="center" vertical="center"/>
    </xf>
    <xf numFmtId="0" fontId="18" fillId="0" borderId="36" xfId="0" applyFont="1" applyBorder="1" applyAlignment="1">
      <alignment horizontal="center" vertical="center"/>
    </xf>
    <xf numFmtId="0" fontId="25" fillId="3" borderId="52" xfId="0" applyFont="1" applyFill="1" applyBorder="1" applyAlignment="1">
      <alignment horizontal="center" vertical="center"/>
    </xf>
    <xf numFmtId="165" fontId="25" fillId="4" borderId="12" xfId="5" applyNumberFormat="1" applyFont="1" applyFill="1" applyBorder="1" applyAlignment="1">
      <alignment vertical="center"/>
    </xf>
    <xf numFmtId="0" fontId="25" fillId="4" borderId="12" xfId="0" applyFont="1" applyFill="1" applyBorder="1" applyAlignment="1">
      <alignment vertical="center"/>
    </xf>
    <xf numFmtId="1" fontId="25" fillId="4" borderId="12" xfId="0" applyNumberFormat="1" applyFont="1" applyFill="1" applyBorder="1" applyAlignment="1">
      <alignment vertical="center"/>
    </xf>
    <xf numFmtId="0" fontId="25" fillId="0" borderId="12" xfId="0" applyFont="1" applyBorder="1" applyAlignment="1">
      <alignment vertical="center"/>
    </xf>
    <xf numFmtId="0" fontId="25" fillId="4" borderId="12" xfId="0" quotePrefix="1" applyFont="1" applyFill="1" applyBorder="1" applyAlignment="1">
      <alignment vertical="center"/>
    </xf>
    <xf numFmtId="165" fontId="25" fillId="4" borderId="9" xfId="5" applyNumberFormat="1" applyFont="1" applyFill="1" applyBorder="1" applyAlignment="1">
      <alignment vertical="center"/>
    </xf>
    <xf numFmtId="0" fontId="25" fillId="4" borderId="9" xfId="0" applyFont="1" applyFill="1" applyBorder="1" applyAlignment="1">
      <alignment vertical="center"/>
    </xf>
    <xf numFmtId="1" fontId="25" fillId="4" borderId="9" xfId="0" applyNumberFormat="1" applyFont="1" applyFill="1" applyBorder="1" applyAlignment="1">
      <alignment vertical="center"/>
    </xf>
    <xf numFmtId="0" fontId="25" fillId="0" borderId="9" xfId="0" applyFont="1" applyBorder="1" applyAlignment="1">
      <alignment vertical="center"/>
    </xf>
    <xf numFmtId="0" fontId="25" fillId="4" borderId="9" xfId="0" quotePrefix="1" applyFont="1" applyFill="1" applyBorder="1" applyAlignment="1">
      <alignment vertical="center"/>
    </xf>
    <xf numFmtId="0" fontId="25" fillId="4" borderId="1" xfId="0" applyFont="1" applyFill="1" applyBorder="1" applyAlignment="1">
      <alignment vertical="center"/>
    </xf>
    <xf numFmtId="165" fontId="25" fillId="4" borderId="11" xfId="0" applyNumberFormat="1" applyFont="1" applyFill="1" applyBorder="1" applyAlignment="1">
      <alignment vertical="center"/>
    </xf>
    <xf numFmtId="0" fontId="25" fillId="3" borderId="12" xfId="0" applyFont="1" applyFill="1" applyBorder="1" applyAlignment="1">
      <alignment horizontal="center" vertical="center"/>
    </xf>
    <xf numFmtId="0" fontId="25" fillId="3" borderId="14" xfId="0" applyFont="1" applyFill="1" applyBorder="1" applyAlignment="1">
      <alignment horizontal="center" vertical="center"/>
    </xf>
    <xf numFmtId="0" fontId="6" fillId="0" borderId="0" xfId="7" applyFont="1" applyBorder="1" applyAlignment="1">
      <alignment horizontal="left" vertical="center"/>
    </xf>
    <xf numFmtId="0" fontId="5" fillId="0" borderId="0" xfId="7" applyFont="1" applyAlignment="1">
      <alignment vertical="center"/>
    </xf>
    <xf numFmtId="0" fontId="10" fillId="0" borderId="0" xfId="7" applyFont="1" applyBorder="1" applyAlignment="1">
      <alignment horizontal="center" vertical="center" wrapText="1"/>
    </xf>
    <xf numFmtId="0" fontId="10" fillId="0" borderId="0" xfId="7" applyFont="1" applyBorder="1" applyAlignment="1">
      <alignment vertical="center"/>
    </xf>
    <xf numFmtId="0" fontId="13" fillId="0" borderId="0" xfId="7" applyFont="1" applyBorder="1" applyAlignment="1">
      <alignment horizontal="center" vertical="center"/>
    </xf>
    <xf numFmtId="0" fontId="27" fillId="0" borderId="19" xfId="7" applyFont="1" applyBorder="1" applyAlignment="1">
      <alignment horizontal="center" vertical="center" wrapText="1"/>
    </xf>
    <xf numFmtId="0" fontId="27" fillId="0" borderId="0" xfId="7" applyFont="1" applyBorder="1" applyAlignment="1">
      <alignment horizontal="center" vertical="center"/>
    </xf>
    <xf numFmtId="0" fontId="8" fillId="0" borderId="0" xfId="7" applyFont="1" applyAlignment="1">
      <alignment vertical="center"/>
    </xf>
    <xf numFmtId="0" fontId="28" fillId="0" borderId="19" xfId="7" applyFont="1" applyBorder="1" applyAlignment="1">
      <alignment horizontal="left" vertical="center"/>
    </xf>
    <xf numFmtId="0" fontId="28" fillId="0" borderId="0" xfId="7" applyFont="1" applyBorder="1" applyAlignment="1">
      <alignment horizontal="left" vertical="center"/>
    </xf>
    <xf numFmtId="0" fontId="8" fillId="0" borderId="0" xfId="7" applyFont="1" applyBorder="1" applyAlignment="1">
      <alignment horizontal="center" vertical="center"/>
    </xf>
    <xf numFmtId="0" fontId="8" fillId="0" borderId="0" xfId="7" applyFont="1" applyBorder="1" applyAlignment="1">
      <alignment vertical="center"/>
    </xf>
    <xf numFmtId="0" fontId="8" fillId="0" borderId="0" xfId="7" applyFont="1" applyBorder="1" applyAlignment="1">
      <alignment horizontal="left" vertical="center"/>
    </xf>
    <xf numFmtId="0" fontId="29" fillId="0" borderId="0" xfId="7" applyFont="1" applyAlignment="1">
      <alignment vertical="center"/>
    </xf>
    <xf numFmtId="0" fontId="8" fillId="0" borderId="19" xfId="7" applyFont="1" applyBorder="1" applyAlignment="1">
      <alignment horizontal="justify" vertical="center" wrapText="1"/>
    </xf>
    <xf numFmtId="0" fontId="8" fillId="0" borderId="0" xfId="7" applyFont="1" applyBorder="1" applyAlignment="1">
      <alignment horizontal="justify" vertical="center"/>
    </xf>
    <xf numFmtId="0" fontId="8" fillId="0" borderId="19" xfId="7" applyFont="1" applyBorder="1" applyAlignment="1">
      <alignment horizontal="justify" vertical="center"/>
    </xf>
    <xf numFmtId="0" fontId="8" fillId="0" borderId="26" xfId="7" applyFont="1" applyBorder="1" applyAlignment="1">
      <alignment horizontal="left" vertical="center"/>
    </xf>
    <xf numFmtId="0" fontId="29" fillId="0" borderId="8" xfId="7" applyFont="1" applyBorder="1" applyAlignment="1">
      <alignment horizontal="justify" vertical="center"/>
    </xf>
    <xf numFmtId="0" fontId="29" fillId="0" borderId="8" xfId="7" applyFont="1" applyBorder="1" applyAlignment="1">
      <alignment horizontal="center" vertical="center"/>
    </xf>
    <xf numFmtId="0" fontId="29" fillId="0" borderId="0" xfId="7" applyFont="1" applyBorder="1" applyAlignment="1">
      <alignment horizontal="justify" vertical="center"/>
    </xf>
    <xf numFmtId="0" fontId="6" fillId="0" borderId="10" xfId="7" applyFont="1" applyBorder="1" applyAlignment="1">
      <alignment horizontal="center" vertical="center" wrapText="1"/>
    </xf>
    <xf numFmtId="0" fontId="6" fillId="0" borderId="10" xfId="7" applyFont="1" applyBorder="1" applyAlignment="1">
      <alignment horizontal="center" vertical="center"/>
    </xf>
    <xf numFmtId="0" fontId="6" fillId="0" borderId="9" xfId="7" applyFont="1" applyBorder="1" applyAlignment="1">
      <alignment horizontal="center" vertical="center"/>
    </xf>
    <xf numFmtId="0" fontId="6" fillId="0" borderId="9" xfId="7" applyFont="1" applyBorder="1" applyAlignment="1">
      <alignment horizontal="center" vertical="center" wrapText="1"/>
    </xf>
    <xf numFmtId="0" fontId="30" fillId="0" borderId="9" xfId="7" applyFont="1" applyBorder="1" applyAlignment="1">
      <alignment horizontal="center" vertical="center" wrapText="1"/>
    </xf>
    <xf numFmtId="0" fontId="30" fillId="0" borderId="9" xfId="7" applyFont="1" applyBorder="1" applyAlignment="1">
      <alignment horizontal="center" vertical="center"/>
    </xf>
    <xf numFmtId="0" fontId="31" fillId="0" borderId="0" xfId="7" applyFont="1" applyAlignment="1">
      <alignment vertical="center"/>
    </xf>
    <xf numFmtId="0" fontId="6" fillId="0" borderId="11" xfId="7" applyFont="1" applyBorder="1" applyAlignment="1">
      <alignment horizontal="center" vertical="center" wrapText="1"/>
    </xf>
    <xf numFmtId="0" fontId="6" fillId="0" borderId="11" xfId="7" applyFont="1" applyBorder="1" applyAlignment="1">
      <alignment horizontal="center" vertical="center"/>
    </xf>
    <xf numFmtId="0" fontId="5" fillId="0" borderId="9" xfId="7" applyFont="1" applyBorder="1" applyAlignment="1">
      <alignment horizontal="center" vertical="center" wrapText="1"/>
    </xf>
    <xf numFmtId="0" fontId="17" fillId="0" borderId="9" xfId="7" applyFont="1" applyBorder="1" applyAlignment="1">
      <alignment vertical="center" wrapText="1"/>
    </xf>
    <xf numFmtId="0" fontId="17" fillId="0" borderId="9" xfId="7" applyFont="1" applyBorder="1" applyAlignment="1">
      <alignment horizontal="center" vertical="center" wrapText="1"/>
    </xf>
    <xf numFmtId="0" fontId="17" fillId="0" borderId="9" xfId="7" applyFont="1" applyBorder="1" applyAlignment="1">
      <alignment horizontal="center" vertical="center"/>
    </xf>
    <xf numFmtId="0" fontId="32" fillId="0" borderId="9" xfId="7" applyFont="1" applyBorder="1" applyAlignment="1">
      <alignment horizontal="center" vertical="center"/>
    </xf>
    <xf numFmtId="0" fontId="5" fillId="0" borderId="9" xfId="7" applyFont="1" applyBorder="1" applyAlignment="1">
      <alignment horizontal="center" vertical="center"/>
    </xf>
    <xf numFmtId="0" fontId="5" fillId="0" borderId="10" xfId="7" applyFont="1" applyBorder="1" applyAlignment="1">
      <alignment horizontal="center" vertical="center" wrapText="1"/>
    </xf>
    <xf numFmtId="0" fontId="5" fillId="0" borderId="52" xfId="7" applyFont="1" applyBorder="1" applyAlignment="1">
      <alignment horizontal="center" vertical="center"/>
    </xf>
    <xf numFmtId="0" fontId="5" fillId="0" borderId="11" xfId="7" applyFont="1" applyBorder="1" applyAlignment="1">
      <alignment horizontal="center" vertical="center"/>
    </xf>
    <xf numFmtId="0" fontId="17" fillId="0" borderId="0" xfId="7" applyFont="1" applyBorder="1" applyAlignment="1">
      <alignment horizontal="center" vertical="center"/>
    </xf>
    <xf numFmtId="0" fontId="32" fillId="0" borderId="0" xfId="7" applyFont="1" applyBorder="1" applyAlignment="1">
      <alignment horizontal="center" vertical="center"/>
    </xf>
    <xf numFmtId="0" fontId="17" fillId="0" borderId="12" xfId="7" applyFont="1" applyBorder="1" applyAlignment="1">
      <alignment horizontal="center" vertical="center" wrapText="1"/>
    </xf>
    <xf numFmtId="0" fontId="17" fillId="0" borderId="13" xfId="7" applyFont="1" applyBorder="1" applyAlignment="1">
      <alignment horizontal="center" vertical="center" wrapText="1"/>
    </xf>
    <xf numFmtId="0" fontId="17" fillId="0" borderId="14" xfId="7" applyFont="1" applyBorder="1" applyAlignment="1">
      <alignment horizontal="center" vertical="center" wrapText="1"/>
    </xf>
    <xf numFmtId="0" fontId="8" fillId="0" borderId="19" xfId="7" applyFont="1" applyBorder="1" applyAlignment="1">
      <alignment vertical="center"/>
    </xf>
    <xf numFmtId="0" fontId="5" fillId="0" borderId="19" xfId="7" applyFont="1" applyBorder="1" applyAlignment="1">
      <alignment vertical="center"/>
    </xf>
    <xf numFmtId="0" fontId="5" fillId="0" borderId="0" xfId="7" applyFont="1" applyBorder="1" applyAlignment="1">
      <alignment vertical="center"/>
    </xf>
    <xf numFmtId="0" fontId="5" fillId="0" borderId="0" xfId="7" applyFont="1" applyBorder="1" applyAlignment="1">
      <alignment horizontal="center" vertical="center"/>
    </xf>
    <xf numFmtId="0" fontId="10" fillId="0" borderId="0" xfId="7" applyFont="1" applyBorder="1" applyAlignment="1">
      <alignment horizontal="center" vertical="center"/>
    </xf>
    <xf numFmtId="0" fontId="10" fillId="0" borderId="0" xfId="7" applyFont="1" applyAlignment="1">
      <alignment horizontal="center" vertical="center"/>
    </xf>
    <xf numFmtId="0" fontId="10" fillId="0" borderId="0" xfId="7" applyFont="1" applyBorder="1" applyAlignment="1">
      <alignment horizontal="center" vertical="center"/>
    </xf>
    <xf numFmtId="0" fontId="13" fillId="0" borderId="0" xfId="7" applyFont="1" applyBorder="1" applyAlignment="1">
      <alignment vertical="center"/>
    </xf>
    <xf numFmtId="0" fontId="33" fillId="0" borderId="0" xfId="7" applyFont="1" applyAlignment="1">
      <alignment vertical="center"/>
    </xf>
    <xf numFmtId="0" fontId="29" fillId="0" borderId="0" xfId="7" applyFont="1" applyBorder="1" applyAlignment="1">
      <alignment vertical="center"/>
    </xf>
    <xf numFmtId="0" fontId="29" fillId="0" borderId="0" xfId="7" applyFont="1" applyBorder="1" applyAlignment="1">
      <alignment horizontal="center" vertical="center"/>
    </xf>
    <xf numFmtId="0" fontId="29" fillId="0" borderId="0" xfId="7" applyFont="1" applyAlignment="1">
      <alignment horizontal="center" vertical="center"/>
    </xf>
    <xf numFmtId="0" fontId="25" fillId="4" borderId="9" xfId="0" applyFont="1" applyFill="1" applyBorder="1" applyAlignment="1">
      <alignment horizontal="left" vertical="center" wrapText="1"/>
    </xf>
    <xf numFmtId="0" fontId="25" fillId="6" borderId="0" xfId="0" applyFont="1" applyFill="1" applyAlignment="1">
      <alignment vertical="center"/>
    </xf>
    <xf numFmtId="0" fontId="25" fillId="6" borderId="33" xfId="0" applyFont="1" applyFill="1" applyBorder="1" applyAlignment="1">
      <alignment horizontal="left" vertical="center" wrapText="1"/>
    </xf>
    <xf numFmtId="0" fontId="25" fillId="6" borderId="11" xfId="0" applyFont="1" applyFill="1" applyBorder="1" applyAlignment="1">
      <alignment horizontal="center" vertical="center"/>
    </xf>
    <xf numFmtId="0" fontId="25" fillId="6" borderId="7" xfId="0" applyFont="1" applyFill="1" applyBorder="1" applyAlignment="1">
      <alignment horizontal="center" vertical="center"/>
    </xf>
    <xf numFmtId="0" fontId="25" fillId="6" borderId="32" xfId="0" applyFont="1" applyFill="1" applyBorder="1" applyAlignment="1">
      <alignment horizontal="center" vertical="center"/>
    </xf>
    <xf numFmtId="0" fontId="25" fillId="6" borderId="33" xfId="0" applyFont="1" applyFill="1" applyBorder="1" applyAlignment="1">
      <alignment vertical="center"/>
    </xf>
    <xf numFmtId="0" fontId="25" fillId="6" borderId="11" xfId="0" applyFont="1" applyFill="1" applyBorder="1" applyAlignment="1">
      <alignment vertical="center"/>
    </xf>
    <xf numFmtId="0" fontId="25" fillId="6" borderId="49" xfId="0" applyFont="1" applyFill="1" applyBorder="1" applyAlignment="1">
      <alignment horizontal="center" vertical="center"/>
    </xf>
    <xf numFmtId="0" fontId="25" fillId="6" borderId="33" xfId="0" applyFont="1" applyFill="1" applyBorder="1" applyAlignment="1">
      <alignment horizontal="center" vertical="center"/>
    </xf>
    <xf numFmtId="0" fontId="25" fillId="6" borderId="32" xfId="0" applyFont="1" applyFill="1" applyBorder="1" applyAlignment="1">
      <alignment horizontal="center" vertical="center"/>
    </xf>
    <xf numFmtId="0" fontId="25" fillId="6" borderId="53" xfId="0" applyFont="1" applyFill="1" applyBorder="1" applyAlignment="1">
      <alignment horizontal="center" vertical="center"/>
    </xf>
    <xf numFmtId="0" fontId="5" fillId="6" borderId="3" xfId="0" applyFont="1" applyFill="1" applyBorder="1" applyAlignment="1">
      <alignment horizontal="center" vertical="center" wrapText="1"/>
    </xf>
    <xf numFmtId="0" fontId="5" fillId="6" borderId="28"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5" fillId="6" borderId="22"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6" borderId="29" xfId="0" applyFont="1" applyFill="1" applyBorder="1" applyAlignment="1">
      <alignment horizontal="center" vertical="center" wrapText="1"/>
    </xf>
  </cellXfs>
  <cellStyles count="8">
    <cellStyle name="Comma" xfId="5" builtinId="3"/>
    <cellStyle name="Comma 2" xfId="2"/>
    <cellStyle name="Normal" xfId="0" builtinId="0"/>
    <cellStyle name="Normal 2" xfId="1"/>
    <cellStyle name="Normal 2 2" xfId="7"/>
    <cellStyle name="Normal 3" xfId="3"/>
    <cellStyle name="Normal 4" xfId="4"/>
    <cellStyle name="Percent" xfId="6" builtinId="5"/>
  </cellStyles>
  <dxfs count="0"/>
  <tableStyles count="0" defaultTableStyle="TableStyleMedium2" defaultPivotStyle="PivotStyleLight16"/>
  <colors>
    <mruColors>
      <color rgb="FF092C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47625</xdr:colOff>
      <xdr:row>17</xdr:row>
      <xdr:rowOff>190500</xdr:rowOff>
    </xdr:from>
    <xdr:to>
      <xdr:col>7</xdr:col>
      <xdr:colOff>47625</xdr:colOff>
      <xdr:row>17</xdr:row>
      <xdr:rowOff>190500</xdr:rowOff>
    </xdr:to>
    <xdr:sp macro="" textlink="">
      <xdr:nvSpPr>
        <xdr:cNvPr id="8" name="Line 266"/>
        <xdr:cNvSpPr>
          <a:spLocks noChangeShapeType="1"/>
        </xdr:cNvSpPr>
      </xdr:nvSpPr>
      <xdr:spPr bwMode="auto">
        <a:xfrm>
          <a:off x="1562100" y="46196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2</xdr:col>
      <xdr:colOff>57978</xdr:colOff>
      <xdr:row>1</xdr:row>
      <xdr:rowOff>74626</xdr:rowOff>
    </xdr:from>
    <xdr:to>
      <xdr:col>6</xdr:col>
      <xdr:colOff>588893</xdr:colOff>
      <xdr:row>3</xdr:row>
      <xdr:rowOff>169380</xdr:rowOff>
    </xdr:to>
    <xdr:pic>
      <xdr:nvPicPr>
        <xdr:cNvPr id="11"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4435" y="140887"/>
          <a:ext cx="1392307" cy="6248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330198</xdr:colOff>
      <xdr:row>18</xdr:row>
      <xdr:rowOff>305630</xdr:rowOff>
    </xdr:from>
    <xdr:to>
      <xdr:col>7</xdr:col>
      <xdr:colOff>330199</xdr:colOff>
      <xdr:row>19</xdr:row>
      <xdr:rowOff>486605</xdr:rowOff>
    </xdr:to>
    <xdr:sp macro="" textlink="">
      <xdr:nvSpPr>
        <xdr:cNvPr id="14" name="Line 271"/>
        <xdr:cNvSpPr>
          <a:spLocks noChangeShapeType="1"/>
        </xdr:cNvSpPr>
      </xdr:nvSpPr>
      <xdr:spPr bwMode="auto">
        <a:xfrm>
          <a:off x="2450546" y="9847195"/>
          <a:ext cx="1" cy="752475"/>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604630</xdr:colOff>
      <xdr:row>24</xdr:row>
      <xdr:rowOff>165652</xdr:rowOff>
    </xdr:from>
    <xdr:to>
      <xdr:col>10</xdr:col>
      <xdr:colOff>828720</xdr:colOff>
      <xdr:row>25</xdr:row>
      <xdr:rowOff>398946</xdr:rowOff>
    </xdr:to>
    <xdr:sp macro="" textlink="">
      <xdr:nvSpPr>
        <xdr:cNvPr id="18" name="Oval 211"/>
        <xdr:cNvSpPr>
          <a:spLocks noChangeArrowheads="1"/>
        </xdr:cNvSpPr>
      </xdr:nvSpPr>
      <xdr:spPr bwMode="auto">
        <a:xfrm>
          <a:off x="4663108" y="13326717"/>
          <a:ext cx="1193155" cy="804794"/>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Lưu Hồ Sơ </a:t>
          </a:r>
        </a:p>
      </xdr:txBody>
    </xdr:sp>
    <xdr:clientData/>
  </xdr:twoCellAnchor>
  <xdr:twoCellAnchor>
    <xdr:from>
      <xdr:col>7</xdr:col>
      <xdr:colOff>325277</xdr:colOff>
      <xdr:row>18</xdr:row>
      <xdr:rowOff>310369</xdr:rowOff>
    </xdr:from>
    <xdr:to>
      <xdr:col>10</xdr:col>
      <xdr:colOff>121018</xdr:colOff>
      <xdr:row>18</xdr:row>
      <xdr:rowOff>326244</xdr:rowOff>
    </xdr:to>
    <xdr:cxnSp macro="">
      <xdr:nvCxnSpPr>
        <xdr:cNvPr id="24" name="Straight Connector 23"/>
        <xdr:cNvCxnSpPr/>
      </xdr:nvCxnSpPr>
      <xdr:spPr>
        <a:xfrm>
          <a:off x="2445625" y="9851934"/>
          <a:ext cx="2702936" cy="15875"/>
        </a:xfrm>
        <a:prstGeom prst="line">
          <a:avLst/>
        </a:prstGeom>
        <a:ln w="15875"/>
      </xdr:spPr>
      <xdr:style>
        <a:lnRef idx="2">
          <a:schemeClr val="dk1"/>
        </a:lnRef>
        <a:fillRef idx="1">
          <a:schemeClr val="lt1"/>
        </a:fillRef>
        <a:effectRef idx="0">
          <a:schemeClr val="dk1"/>
        </a:effectRef>
        <a:fontRef idx="minor">
          <a:schemeClr val="dk1"/>
        </a:fontRef>
      </xdr:style>
    </xdr:cxnSp>
    <xdr:clientData/>
  </xdr:twoCellAnchor>
  <xdr:twoCellAnchor>
    <xdr:from>
      <xdr:col>8</xdr:col>
      <xdr:colOff>656581</xdr:colOff>
      <xdr:row>14</xdr:row>
      <xdr:rowOff>550563</xdr:rowOff>
    </xdr:from>
    <xdr:to>
      <xdr:col>8</xdr:col>
      <xdr:colOff>656581</xdr:colOff>
      <xdr:row>15</xdr:row>
      <xdr:rowOff>521988</xdr:rowOff>
    </xdr:to>
    <xdr:sp macro="" textlink="">
      <xdr:nvSpPr>
        <xdr:cNvPr id="27" name="Line 271"/>
        <xdr:cNvSpPr>
          <a:spLocks noChangeShapeType="1"/>
        </xdr:cNvSpPr>
      </xdr:nvSpPr>
      <xdr:spPr bwMode="auto">
        <a:xfrm flipH="1">
          <a:off x="3745994" y="7806128"/>
          <a:ext cx="0" cy="542925"/>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223630</xdr:colOff>
      <xdr:row>15</xdr:row>
      <xdr:rowOff>517251</xdr:rowOff>
    </xdr:from>
    <xdr:to>
      <xdr:col>10</xdr:col>
      <xdr:colOff>99392</xdr:colOff>
      <xdr:row>17</xdr:row>
      <xdr:rowOff>256763</xdr:rowOff>
    </xdr:to>
    <xdr:sp macro="" textlink="">
      <xdr:nvSpPr>
        <xdr:cNvPr id="29" name="Rectangle 270"/>
        <xdr:cNvSpPr>
          <a:spLocks noChangeArrowheads="1"/>
        </xdr:cNvSpPr>
      </xdr:nvSpPr>
      <xdr:spPr bwMode="auto">
        <a:xfrm>
          <a:off x="2343978" y="8344316"/>
          <a:ext cx="2782957" cy="882512"/>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Lập</a:t>
          </a:r>
          <a:r>
            <a:rPr lang="en-US" sz="1100" baseline="0">
              <a:solidFill>
                <a:schemeClr val="dk1"/>
              </a:solidFill>
              <a:effectLst/>
              <a:latin typeface="Times New Roman" pitchFamily="18" charset="0"/>
              <a:ea typeface="+mn-ea"/>
              <a:cs typeface="Times New Roman" pitchFamily="18" charset="0"/>
            </a:rPr>
            <a:t> bảng phân tích và theo dõi thang điểm được khách hàng đánh giá</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8</xdr:col>
      <xdr:colOff>646817</xdr:colOff>
      <xdr:row>17</xdr:row>
      <xdr:rowOff>265044</xdr:rowOff>
    </xdr:from>
    <xdr:to>
      <xdr:col>8</xdr:col>
      <xdr:colOff>646817</xdr:colOff>
      <xdr:row>18</xdr:row>
      <xdr:rowOff>293619</xdr:rowOff>
    </xdr:to>
    <xdr:cxnSp macro="">
      <xdr:nvCxnSpPr>
        <xdr:cNvPr id="39" name="Straight Connector 38"/>
        <xdr:cNvCxnSpPr/>
      </xdr:nvCxnSpPr>
      <xdr:spPr>
        <a:xfrm>
          <a:off x="3736230" y="9235109"/>
          <a:ext cx="0" cy="600075"/>
        </a:xfrm>
        <a:prstGeom prst="line">
          <a:avLst/>
        </a:prstGeom>
        <a:ln w="15875"/>
      </xdr:spPr>
      <xdr:style>
        <a:lnRef idx="2">
          <a:schemeClr val="dk1"/>
        </a:lnRef>
        <a:fillRef idx="1">
          <a:schemeClr val="lt1"/>
        </a:fillRef>
        <a:effectRef idx="0">
          <a:schemeClr val="dk1"/>
        </a:effectRef>
        <a:fontRef idx="minor">
          <a:schemeClr val="dk1"/>
        </a:fontRef>
      </xdr:style>
    </xdr:cxnSp>
    <xdr:clientData/>
  </xdr:twoCellAnchor>
  <xdr:twoCellAnchor>
    <xdr:from>
      <xdr:col>9</xdr:col>
      <xdr:colOff>435296</xdr:colOff>
      <xdr:row>22</xdr:row>
      <xdr:rowOff>94835</xdr:rowOff>
    </xdr:from>
    <xdr:to>
      <xdr:col>10</xdr:col>
      <xdr:colOff>919370</xdr:colOff>
      <xdr:row>23</xdr:row>
      <xdr:rowOff>480391</xdr:rowOff>
    </xdr:to>
    <xdr:sp macro="" textlink="">
      <xdr:nvSpPr>
        <xdr:cNvPr id="42" name="Rectangle 270"/>
        <xdr:cNvSpPr>
          <a:spLocks noChangeArrowheads="1"/>
        </xdr:cNvSpPr>
      </xdr:nvSpPr>
      <xdr:spPr bwMode="auto">
        <a:xfrm>
          <a:off x="4493774" y="11922400"/>
          <a:ext cx="1453139" cy="95705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Tiếp</a:t>
          </a:r>
          <a:r>
            <a:rPr lang="en-US" sz="1100" baseline="0">
              <a:solidFill>
                <a:schemeClr val="dk1"/>
              </a:solidFill>
              <a:effectLst/>
              <a:latin typeface="Times New Roman" pitchFamily="18" charset="0"/>
              <a:ea typeface="+mn-ea"/>
              <a:cs typeface="Times New Roman" pitchFamily="18" charset="0"/>
            </a:rPr>
            <a:t> tục thực hiện các các đối sách để duy trì độ thỏa mãn của khách hàng luôn đạt từ loại B trở nên.</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6</xdr:col>
      <xdr:colOff>653865</xdr:colOff>
      <xdr:row>19</xdr:row>
      <xdr:rowOff>484119</xdr:rowOff>
    </xdr:from>
    <xdr:to>
      <xdr:col>8</xdr:col>
      <xdr:colOff>145866</xdr:colOff>
      <xdr:row>21</xdr:row>
      <xdr:rowOff>7870</xdr:rowOff>
    </xdr:to>
    <xdr:sp macro="" textlink="">
      <xdr:nvSpPr>
        <xdr:cNvPr id="43" name="Rectangle 270"/>
        <xdr:cNvSpPr>
          <a:spLocks noChangeArrowheads="1"/>
        </xdr:cNvSpPr>
      </xdr:nvSpPr>
      <xdr:spPr bwMode="auto">
        <a:xfrm>
          <a:off x="1805148" y="10597184"/>
          <a:ext cx="1430131" cy="66675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Đưa</a:t>
          </a:r>
          <a:r>
            <a:rPr lang="en-US" sz="1100" baseline="0">
              <a:solidFill>
                <a:schemeClr val="dk1"/>
              </a:solidFill>
              <a:effectLst/>
              <a:latin typeface="Times New Roman" pitchFamily="18" charset="0"/>
              <a:ea typeface="+mn-ea"/>
              <a:cs typeface="Times New Roman" pitchFamily="18" charset="0"/>
            </a:rPr>
            <a:t> ra đối sách cải tiến để tăng mức độ hài lòng khách hàng</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10</xdr:col>
      <xdr:colOff>130359</xdr:colOff>
      <xdr:row>18</xdr:row>
      <xdr:rowOff>324172</xdr:rowOff>
    </xdr:from>
    <xdr:to>
      <xdr:col>10</xdr:col>
      <xdr:colOff>132521</xdr:colOff>
      <xdr:row>19</xdr:row>
      <xdr:rowOff>455544</xdr:rowOff>
    </xdr:to>
    <xdr:sp macro="" textlink="">
      <xdr:nvSpPr>
        <xdr:cNvPr id="45" name="Line 271"/>
        <xdr:cNvSpPr>
          <a:spLocks noChangeShapeType="1"/>
        </xdr:cNvSpPr>
      </xdr:nvSpPr>
      <xdr:spPr bwMode="auto">
        <a:xfrm>
          <a:off x="5157902" y="9865737"/>
          <a:ext cx="2162" cy="702872"/>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356151</xdr:colOff>
      <xdr:row>21</xdr:row>
      <xdr:rowOff>16566</xdr:rowOff>
    </xdr:from>
    <xdr:to>
      <xdr:col>7</xdr:col>
      <xdr:colOff>364434</xdr:colOff>
      <xdr:row>21</xdr:row>
      <xdr:rowOff>447262</xdr:rowOff>
    </xdr:to>
    <xdr:sp macro="" textlink="">
      <xdr:nvSpPr>
        <xdr:cNvPr id="52" name="Line 271"/>
        <xdr:cNvSpPr>
          <a:spLocks noChangeShapeType="1"/>
        </xdr:cNvSpPr>
      </xdr:nvSpPr>
      <xdr:spPr bwMode="auto">
        <a:xfrm flipH="1">
          <a:off x="2476499" y="11272631"/>
          <a:ext cx="8283" cy="430696"/>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10</xdr:col>
      <xdr:colOff>240196</xdr:colOff>
      <xdr:row>23</xdr:row>
      <xdr:rowOff>496957</xdr:rowOff>
    </xdr:from>
    <xdr:to>
      <xdr:col>10</xdr:col>
      <xdr:colOff>241575</xdr:colOff>
      <xdr:row>24</xdr:row>
      <xdr:rowOff>157828</xdr:rowOff>
    </xdr:to>
    <xdr:sp macro="" textlink="">
      <xdr:nvSpPr>
        <xdr:cNvPr id="55" name="Line 271"/>
        <xdr:cNvSpPr>
          <a:spLocks noChangeShapeType="1"/>
        </xdr:cNvSpPr>
      </xdr:nvSpPr>
      <xdr:spPr bwMode="auto">
        <a:xfrm>
          <a:off x="5267739" y="12896022"/>
          <a:ext cx="1379" cy="422871"/>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559850</xdr:colOff>
      <xdr:row>8</xdr:row>
      <xdr:rowOff>47625</xdr:rowOff>
    </xdr:from>
    <xdr:to>
      <xdr:col>9</xdr:col>
      <xdr:colOff>759875</xdr:colOff>
      <xdr:row>9</xdr:row>
      <xdr:rowOff>409575</xdr:rowOff>
    </xdr:to>
    <xdr:sp macro="" textlink="">
      <xdr:nvSpPr>
        <xdr:cNvPr id="25" name="Oval 177"/>
        <xdr:cNvSpPr>
          <a:spLocks noChangeArrowheads="1"/>
        </xdr:cNvSpPr>
      </xdr:nvSpPr>
      <xdr:spPr bwMode="auto">
        <a:xfrm>
          <a:off x="2676517" y="2238375"/>
          <a:ext cx="2147358" cy="827617"/>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Lập</a:t>
          </a:r>
          <a:r>
            <a:rPr lang="en-US" sz="1100" baseline="0">
              <a:solidFill>
                <a:schemeClr val="dk1"/>
              </a:solidFill>
              <a:effectLst/>
              <a:latin typeface="Times New Roman" pitchFamily="18" charset="0"/>
              <a:ea typeface="+mn-ea"/>
              <a:cs typeface="Times New Roman" pitchFamily="18" charset="0"/>
            </a:rPr>
            <a:t> phiếu điều tra độ hài lòng khách hàng</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7</xdr:col>
      <xdr:colOff>293150</xdr:colOff>
      <xdr:row>11</xdr:row>
      <xdr:rowOff>47625</xdr:rowOff>
    </xdr:from>
    <xdr:to>
      <xdr:col>10</xdr:col>
      <xdr:colOff>110058</xdr:colOff>
      <xdr:row>12</xdr:row>
      <xdr:rowOff>209550</xdr:rowOff>
    </xdr:to>
    <xdr:sp macro="" textlink="">
      <xdr:nvSpPr>
        <xdr:cNvPr id="26" name="Rectangle 197"/>
        <xdr:cNvSpPr>
          <a:spLocks noChangeArrowheads="1"/>
        </xdr:cNvSpPr>
      </xdr:nvSpPr>
      <xdr:spPr bwMode="auto">
        <a:xfrm>
          <a:off x="2413498" y="5588690"/>
          <a:ext cx="2724103" cy="73342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Gửi</a:t>
          </a:r>
          <a:r>
            <a:rPr lang="en-US" sz="1100" baseline="0">
              <a:solidFill>
                <a:schemeClr val="dk1"/>
              </a:solidFill>
              <a:effectLst/>
              <a:latin typeface="Times New Roman" pitchFamily="18" charset="0"/>
              <a:ea typeface="+mn-ea"/>
              <a:cs typeface="Times New Roman" pitchFamily="18" charset="0"/>
            </a:rPr>
            <a:t> khách hàng phiếu điều tra </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8</xdr:col>
      <xdr:colOff>655100</xdr:colOff>
      <xdr:row>9</xdr:row>
      <xdr:rowOff>409576</xdr:rowOff>
    </xdr:from>
    <xdr:to>
      <xdr:col>8</xdr:col>
      <xdr:colOff>655100</xdr:colOff>
      <xdr:row>11</xdr:row>
      <xdr:rowOff>38100</xdr:rowOff>
    </xdr:to>
    <xdr:sp macro="" textlink="">
      <xdr:nvSpPr>
        <xdr:cNvPr id="28" name="Line 194"/>
        <xdr:cNvSpPr>
          <a:spLocks noChangeShapeType="1"/>
        </xdr:cNvSpPr>
      </xdr:nvSpPr>
      <xdr:spPr bwMode="auto">
        <a:xfrm flipH="1">
          <a:off x="3745433" y="3065993"/>
          <a:ext cx="0" cy="432857"/>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290664</xdr:colOff>
      <xdr:row>13</xdr:row>
      <xdr:rowOff>166895</xdr:rowOff>
    </xdr:from>
    <xdr:to>
      <xdr:col>10</xdr:col>
      <xdr:colOff>107572</xdr:colOff>
      <xdr:row>14</xdr:row>
      <xdr:rowOff>538370</xdr:rowOff>
    </xdr:to>
    <xdr:sp macro="" textlink="">
      <xdr:nvSpPr>
        <xdr:cNvPr id="30" name="Rectangle 197"/>
        <xdr:cNvSpPr>
          <a:spLocks noChangeArrowheads="1"/>
        </xdr:cNvSpPr>
      </xdr:nvSpPr>
      <xdr:spPr bwMode="auto">
        <a:xfrm>
          <a:off x="2411012" y="6850960"/>
          <a:ext cx="2724103" cy="9429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Tiếp</a:t>
          </a:r>
          <a:r>
            <a:rPr lang="en-US" sz="1100" baseline="0">
              <a:solidFill>
                <a:schemeClr val="dk1"/>
              </a:solidFill>
              <a:effectLst/>
              <a:latin typeface="Times New Roman" pitchFamily="18" charset="0"/>
              <a:ea typeface="+mn-ea"/>
              <a:cs typeface="Times New Roman" pitchFamily="18" charset="0"/>
            </a:rPr>
            <a:t> nhận phiếu điều tra độ hài lòng từ khách hàng</a:t>
          </a:r>
        </a:p>
      </xdr:txBody>
    </xdr:sp>
    <xdr:clientData/>
  </xdr:twoCellAnchor>
  <xdr:twoCellAnchor>
    <xdr:from>
      <xdr:col>8</xdr:col>
      <xdr:colOff>655100</xdr:colOff>
      <xdr:row>12</xdr:row>
      <xdr:rowOff>209550</xdr:rowOff>
    </xdr:from>
    <xdr:to>
      <xdr:col>8</xdr:col>
      <xdr:colOff>655100</xdr:colOff>
      <xdr:row>13</xdr:row>
      <xdr:rowOff>171450</xdr:rowOff>
    </xdr:to>
    <xdr:sp macro="" textlink="">
      <xdr:nvSpPr>
        <xdr:cNvPr id="31" name="Line 194"/>
        <xdr:cNvSpPr>
          <a:spLocks noChangeShapeType="1"/>
        </xdr:cNvSpPr>
      </xdr:nvSpPr>
      <xdr:spPr bwMode="auto">
        <a:xfrm flipH="1">
          <a:off x="3745433" y="4008967"/>
          <a:ext cx="0" cy="300566"/>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136157</xdr:colOff>
      <xdr:row>17</xdr:row>
      <xdr:rowOff>244982</xdr:rowOff>
    </xdr:from>
    <xdr:to>
      <xdr:col>7</xdr:col>
      <xdr:colOff>855457</xdr:colOff>
      <xdr:row>18</xdr:row>
      <xdr:rowOff>289891</xdr:rowOff>
    </xdr:to>
    <xdr:sp macro="" textlink="">
      <xdr:nvSpPr>
        <xdr:cNvPr id="2" name="Rectangle 1"/>
        <xdr:cNvSpPr/>
      </xdr:nvSpPr>
      <xdr:spPr>
        <a:xfrm>
          <a:off x="1403396" y="6100786"/>
          <a:ext cx="1688365" cy="43419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Mức</a:t>
          </a:r>
          <a:r>
            <a:rPr lang="en-US" sz="1100" baseline="0">
              <a:solidFill>
                <a:schemeClr val="tx1"/>
              </a:solidFill>
            </a:rPr>
            <a:t> độ hài lòng khách hàng từ loại C xuống</a:t>
          </a:r>
          <a:endParaRPr lang="en-US" sz="1100">
            <a:solidFill>
              <a:schemeClr val="tx1"/>
            </a:solidFill>
          </a:endParaRPr>
        </a:p>
      </xdr:txBody>
    </xdr:sp>
    <xdr:clientData/>
  </xdr:twoCellAnchor>
  <xdr:twoCellAnchor>
    <xdr:from>
      <xdr:col>9</xdr:col>
      <xdr:colOff>269875</xdr:colOff>
      <xdr:row>17</xdr:row>
      <xdr:rowOff>248480</xdr:rowOff>
    </xdr:from>
    <xdr:to>
      <xdr:col>11</xdr:col>
      <xdr:colOff>20107</xdr:colOff>
      <xdr:row>19</xdr:row>
      <xdr:rowOff>4556</xdr:rowOff>
    </xdr:to>
    <xdr:sp macro="" textlink="">
      <xdr:nvSpPr>
        <xdr:cNvPr id="33" name="Rectangle 32"/>
        <xdr:cNvSpPr/>
      </xdr:nvSpPr>
      <xdr:spPr>
        <a:xfrm>
          <a:off x="4444310" y="6104284"/>
          <a:ext cx="1688362" cy="53464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chemeClr val="tx1"/>
              </a:solidFill>
            </a:rPr>
            <a:t>Mức độ hài lòng từ loại B trở nên</a:t>
          </a:r>
          <a:endParaRPr lang="en-US" sz="1100">
            <a:solidFill>
              <a:schemeClr val="tx1"/>
            </a:solidFill>
          </a:endParaRPr>
        </a:p>
      </xdr:txBody>
    </xdr:sp>
    <xdr:clientData/>
  </xdr:twoCellAnchor>
  <xdr:twoCellAnchor>
    <xdr:from>
      <xdr:col>6</xdr:col>
      <xdr:colOff>480391</xdr:colOff>
      <xdr:row>20</xdr:row>
      <xdr:rowOff>245996</xdr:rowOff>
    </xdr:from>
    <xdr:to>
      <xdr:col>6</xdr:col>
      <xdr:colOff>653865</xdr:colOff>
      <xdr:row>22</xdr:row>
      <xdr:rowOff>193883</xdr:rowOff>
    </xdr:to>
    <xdr:cxnSp macro="">
      <xdr:nvCxnSpPr>
        <xdr:cNvPr id="34" name="Elbow Connector 33"/>
        <xdr:cNvCxnSpPr>
          <a:endCxn id="43" idx="1"/>
        </xdr:cNvCxnSpPr>
      </xdr:nvCxnSpPr>
      <xdr:spPr>
        <a:xfrm rot="10800000" flipH="1">
          <a:off x="1631674" y="10930561"/>
          <a:ext cx="173474" cy="1090887"/>
        </a:xfrm>
        <a:prstGeom prst="bentConnector3">
          <a:avLst>
            <a:gd name="adj1" fmla="val -131778"/>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95251</xdr:colOff>
      <xdr:row>23</xdr:row>
      <xdr:rowOff>137583</xdr:rowOff>
    </xdr:from>
    <xdr:to>
      <xdr:col>6</xdr:col>
      <xdr:colOff>534036</xdr:colOff>
      <xdr:row>23</xdr:row>
      <xdr:rowOff>446193</xdr:rowOff>
    </xdr:to>
    <xdr:sp macro="" textlink="">
      <xdr:nvSpPr>
        <xdr:cNvPr id="91" name="Rectangle 90"/>
        <xdr:cNvSpPr/>
      </xdr:nvSpPr>
      <xdr:spPr>
        <a:xfrm>
          <a:off x="1238251" y="8064500"/>
          <a:ext cx="438785" cy="30861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marR="0" algn="ctr">
            <a:lnSpc>
              <a:spcPct val="107000"/>
            </a:lnSpc>
            <a:spcBef>
              <a:spcPts val="0"/>
            </a:spcBef>
            <a:spcAft>
              <a:spcPts val="800"/>
            </a:spcAft>
          </a:pPr>
          <a:r>
            <a:rPr lang="en-US" sz="1000">
              <a:effectLst/>
              <a:ea typeface="Calibri"/>
              <a:cs typeface="Times New Roman"/>
            </a:rPr>
            <a:t>NG</a:t>
          </a:r>
          <a:endParaRPr lang="en-US" sz="1100">
            <a:effectLst/>
            <a:ea typeface="Calibri"/>
            <a:cs typeface="Times New Roman"/>
          </a:endParaRPr>
        </a:p>
      </xdr:txBody>
    </xdr:sp>
    <xdr:clientData/>
  </xdr:twoCellAnchor>
  <xdr:twoCellAnchor>
    <xdr:from>
      <xdr:col>8</xdr:col>
      <xdr:colOff>177616</xdr:colOff>
      <xdr:row>20</xdr:row>
      <xdr:rowOff>201544</xdr:rowOff>
    </xdr:from>
    <xdr:to>
      <xdr:col>9</xdr:col>
      <xdr:colOff>389282</xdr:colOff>
      <xdr:row>22</xdr:row>
      <xdr:rowOff>193882</xdr:rowOff>
    </xdr:to>
    <xdr:cxnSp macro="">
      <xdr:nvCxnSpPr>
        <xdr:cNvPr id="92" name="Elbow Connector 91"/>
        <xdr:cNvCxnSpPr/>
      </xdr:nvCxnSpPr>
      <xdr:spPr>
        <a:xfrm flipV="1">
          <a:off x="3267029" y="10886109"/>
          <a:ext cx="1180731" cy="1135338"/>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296334</xdr:colOff>
      <xdr:row>23</xdr:row>
      <xdr:rowOff>63500</xdr:rowOff>
    </xdr:from>
    <xdr:to>
      <xdr:col>8</xdr:col>
      <xdr:colOff>735119</xdr:colOff>
      <xdr:row>23</xdr:row>
      <xdr:rowOff>372110</xdr:rowOff>
    </xdr:to>
    <xdr:sp macro="" textlink="">
      <xdr:nvSpPr>
        <xdr:cNvPr id="93" name="Rectangle 92"/>
        <xdr:cNvSpPr/>
      </xdr:nvSpPr>
      <xdr:spPr>
        <a:xfrm>
          <a:off x="3386667" y="7990417"/>
          <a:ext cx="438785" cy="30861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marR="0" algn="ctr">
            <a:lnSpc>
              <a:spcPct val="107000"/>
            </a:lnSpc>
            <a:spcBef>
              <a:spcPts val="0"/>
            </a:spcBef>
            <a:spcAft>
              <a:spcPts val="800"/>
            </a:spcAft>
          </a:pPr>
          <a:r>
            <a:rPr lang="en-US" sz="1000">
              <a:effectLst/>
              <a:ea typeface="Calibri"/>
              <a:cs typeface="Times New Roman"/>
            </a:rPr>
            <a:t>OK</a:t>
          </a:r>
          <a:endParaRPr lang="en-US" sz="1100">
            <a:effectLst/>
            <a:ea typeface="Calibri"/>
            <a:cs typeface="Times New Roman"/>
          </a:endParaRPr>
        </a:p>
      </xdr:txBody>
    </xdr:sp>
    <xdr:clientData/>
  </xdr:twoCellAnchor>
  <xdr:twoCellAnchor editAs="oneCell">
    <xdr:from>
      <xdr:col>14</xdr:col>
      <xdr:colOff>92075</xdr:colOff>
      <xdr:row>2</xdr:row>
      <xdr:rowOff>170391</xdr:rowOff>
    </xdr:from>
    <xdr:to>
      <xdr:col>14</xdr:col>
      <xdr:colOff>772584</xdr:colOff>
      <xdr:row>3</xdr:row>
      <xdr:rowOff>264582</xdr:rowOff>
    </xdr:to>
    <xdr:pic>
      <xdr:nvPicPr>
        <xdr:cNvPr id="36" name="Picture 21"/>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38658" y="498474"/>
          <a:ext cx="680509" cy="358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521805</xdr:colOff>
      <xdr:row>21</xdr:row>
      <xdr:rowOff>447260</xdr:rowOff>
    </xdr:from>
    <xdr:to>
      <xdr:col>8</xdr:col>
      <xdr:colOff>157371</xdr:colOff>
      <xdr:row>23</xdr:row>
      <xdr:rowOff>248478</xdr:rowOff>
    </xdr:to>
    <xdr:sp macro="" textlink="">
      <xdr:nvSpPr>
        <xdr:cNvPr id="37" name="Rectangle 270"/>
        <xdr:cNvSpPr>
          <a:spLocks noChangeArrowheads="1"/>
        </xdr:cNvSpPr>
      </xdr:nvSpPr>
      <xdr:spPr bwMode="auto">
        <a:xfrm>
          <a:off x="1673088" y="11703325"/>
          <a:ext cx="1573696" cy="94421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Gửi</a:t>
          </a:r>
          <a:r>
            <a:rPr lang="en-US" sz="1100" baseline="0">
              <a:solidFill>
                <a:schemeClr val="dk1"/>
              </a:solidFill>
              <a:effectLst/>
              <a:latin typeface="Times New Roman" pitchFamily="18" charset="0"/>
              <a:ea typeface="+mn-ea"/>
              <a:cs typeface="Times New Roman" pitchFamily="18" charset="0"/>
            </a:rPr>
            <a:t> đối sách đến khách hàng kiểm tra và phê duyệt đối  sách cải tiến</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9</xdr:col>
      <xdr:colOff>364433</xdr:colOff>
      <xdr:row>19</xdr:row>
      <xdr:rowOff>488673</xdr:rowOff>
    </xdr:from>
    <xdr:to>
      <xdr:col>10</xdr:col>
      <xdr:colOff>886240</xdr:colOff>
      <xdr:row>21</xdr:row>
      <xdr:rowOff>198783</xdr:rowOff>
    </xdr:to>
    <xdr:sp macro="" textlink="">
      <xdr:nvSpPr>
        <xdr:cNvPr id="32" name="Rectangle 270"/>
        <xdr:cNvSpPr>
          <a:spLocks noChangeArrowheads="1"/>
        </xdr:cNvSpPr>
      </xdr:nvSpPr>
      <xdr:spPr bwMode="auto">
        <a:xfrm>
          <a:off x="4422911" y="10601738"/>
          <a:ext cx="1490872" cy="85311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baseline="0">
              <a:solidFill>
                <a:schemeClr val="dk1"/>
              </a:solidFill>
              <a:effectLst/>
              <a:latin typeface="Times New Roman" pitchFamily="18" charset="0"/>
              <a:ea typeface="+mn-ea"/>
              <a:cs typeface="Times New Roman" pitchFamily="18" charset="0"/>
            </a:rPr>
            <a:t>Áp dụng các đối sách cải tiến hoặc kỹ năng đối ứng khách hàng giúp tăng độ hài lòng của khách hàng</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10</xdr:col>
      <xdr:colOff>198782</xdr:colOff>
      <xdr:row>21</xdr:row>
      <xdr:rowOff>198782</xdr:rowOff>
    </xdr:from>
    <xdr:to>
      <xdr:col>10</xdr:col>
      <xdr:colOff>198782</xdr:colOff>
      <xdr:row>22</xdr:row>
      <xdr:rowOff>66261</xdr:rowOff>
    </xdr:to>
    <xdr:sp macro="" textlink="">
      <xdr:nvSpPr>
        <xdr:cNvPr id="40" name="Line 271"/>
        <xdr:cNvSpPr>
          <a:spLocks noChangeShapeType="1"/>
        </xdr:cNvSpPr>
      </xdr:nvSpPr>
      <xdr:spPr bwMode="auto">
        <a:xfrm flipH="1">
          <a:off x="5226325" y="11454847"/>
          <a:ext cx="0" cy="438979"/>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editAs="oneCell">
    <xdr:from>
      <xdr:col>13</xdr:col>
      <xdr:colOff>158749</xdr:colOff>
      <xdr:row>2</xdr:row>
      <xdr:rowOff>222249</xdr:rowOff>
    </xdr:from>
    <xdr:to>
      <xdr:col>13</xdr:col>
      <xdr:colOff>764494</xdr:colOff>
      <xdr:row>3</xdr:row>
      <xdr:rowOff>296332</xdr:rowOff>
    </xdr:to>
    <xdr:pic>
      <xdr:nvPicPr>
        <xdr:cNvPr id="41" name="Picture 40"/>
        <xdr:cNvPicPr>
          <a:picLocks noChangeAspect="1"/>
        </xdr:cNvPicPr>
      </xdr:nvPicPr>
      <xdr:blipFill>
        <a:blip xmlns:r="http://schemas.openxmlformats.org/officeDocument/2006/relationships" r:embed="rId3"/>
        <a:stretch>
          <a:fillRect/>
        </a:stretch>
      </xdr:blipFill>
      <xdr:spPr>
        <a:xfrm>
          <a:off x="7895166" y="550332"/>
          <a:ext cx="605745" cy="338667"/>
        </a:xfrm>
        <a:prstGeom prst="rect">
          <a:avLst/>
        </a:prstGeom>
      </xdr:spPr>
    </xdr:pic>
    <xdr:clientData/>
  </xdr:twoCellAnchor>
  <xdr:twoCellAnchor editAs="oneCell">
    <xdr:from>
      <xdr:col>15</xdr:col>
      <xdr:colOff>31750</xdr:colOff>
      <xdr:row>2</xdr:row>
      <xdr:rowOff>84667</xdr:rowOff>
    </xdr:from>
    <xdr:to>
      <xdr:col>15</xdr:col>
      <xdr:colOff>841805</xdr:colOff>
      <xdr:row>3</xdr:row>
      <xdr:rowOff>330118</xdr:rowOff>
    </xdr:to>
    <xdr:pic>
      <xdr:nvPicPr>
        <xdr:cNvPr id="3" name="Picture 2"/>
        <xdr:cNvPicPr>
          <a:picLocks noChangeAspect="1"/>
        </xdr:cNvPicPr>
      </xdr:nvPicPr>
      <xdr:blipFill>
        <a:blip xmlns:r="http://schemas.openxmlformats.org/officeDocument/2006/relationships" r:embed="rId4"/>
        <a:stretch>
          <a:fillRect/>
        </a:stretch>
      </xdr:blipFill>
      <xdr:spPr>
        <a:xfrm>
          <a:off x="9588500" y="412750"/>
          <a:ext cx="810055" cy="5100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352425</xdr:colOff>
      <xdr:row>35</xdr:row>
      <xdr:rowOff>9525</xdr:rowOff>
    </xdr:from>
    <xdr:to>
      <xdr:col>20</xdr:col>
      <xdr:colOff>123825</xdr:colOff>
      <xdr:row>41</xdr:row>
      <xdr:rowOff>47625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77350" y="12077700"/>
          <a:ext cx="3857625" cy="165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1</xdr:row>
      <xdr:rowOff>28576</xdr:rowOff>
    </xdr:from>
    <xdr:to>
      <xdr:col>1</xdr:col>
      <xdr:colOff>9525</xdr:colOff>
      <xdr:row>2</xdr:row>
      <xdr:rowOff>0</xdr:rowOff>
    </xdr:to>
    <xdr:cxnSp macro="">
      <xdr:nvCxnSpPr>
        <xdr:cNvPr id="2" name="Straight Connector 1"/>
        <xdr:cNvCxnSpPr/>
      </xdr:nvCxnSpPr>
      <xdr:spPr>
        <a:xfrm flipH="1" flipV="1">
          <a:off x="9525" y="590551"/>
          <a:ext cx="1438275" cy="49529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9525</xdr:colOff>
      <xdr:row>1</xdr:row>
      <xdr:rowOff>28576</xdr:rowOff>
    </xdr:from>
    <xdr:to>
      <xdr:col>1</xdr:col>
      <xdr:colOff>9525</xdr:colOff>
      <xdr:row>2</xdr:row>
      <xdr:rowOff>0</xdr:rowOff>
    </xdr:to>
    <xdr:cxnSp macro="">
      <xdr:nvCxnSpPr>
        <xdr:cNvPr id="2" name="Straight Connector 1"/>
        <xdr:cNvCxnSpPr/>
      </xdr:nvCxnSpPr>
      <xdr:spPr>
        <a:xfrm flipH="1" flipV="1">
          <a:off x="9525" y="590551"/>
          <a:ext cx="1438275" cy="49529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1</xdr:row>
      <xdr:rowOff>28576</xdr:rowOff>
    </xdr:from>
    <xdr:to>
      <xdr:col>1</xdr:col>
      <xdr:colOff>9525</xdr:colOff>
      <xdr:row>2</xdr:row>
      <xdr:rowOff>0</xdr:rowOff>
    </xdr:to>
    <xdr:cxnSp macro="">
      <xdr:nvCxnSpPr>
        <xdr:cNvPr id="3" name="Straight Connector 2"/>
        <xdr:cNvCxnSpPr/>
      </xdr:nvCxnSpPr>
      <xdr:spPr>
        <a:xfrm flipH="1" flipV="1">
          <a:off x="9525" y="400051"/>
          <a:ext cx="1438275" cy="41909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9525</xdr:colOff>
      <xdr:row>1</xdr:row>
      <xdr:rowOff>28576</xdr:rowOff>
    </xdr:from>
    <xdr:to>
      <xdr:col>1</xdr:col>
      <xdr:colOff>9525</xdr:colOff>
      <xdr:row>2</xdr:row>
      <xdr:rowOff>0</xdr:rowOff>
    </xdr:to>
    <xdr:cxnSp macro="">
      <xdr:nvCxnSpPr>
        <xdr:cNvPr id="2" name="Straight Connector 1"/>
        <xdr:cNvCxnSpPr/>
      </xdr:nvCxnSpPr>
      <xdr:spPr>
        <a:xfrm flipH="1" flipV="1">
          <a:off x="9525" y="590551"/>
          <a:ext cx="1438275" cy="49529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9525</xdr:colOff>
      <xdr:row>1</xdr:row>
      <xdr:rowOff>28576</xdr:rowOff>
    </xdr:from>
    <xdr:to>
      <xdr:col>1</xdr:col>
      <xdr:colOff>9525</xdr:colOff>
      <xdr:row>2</xdr:row>
      <xdr:rowOff>0</xdr:rowOff>
    </xdr:to>
    <xdr:cxnSp macro="">
      <xdr:nvCxnSpPr>
        <xdr:cNvPr id="2" name="Straight Connector 1"/>
        <xdr:cNvCxnSpPr/>
      </xdr:nvCxnSpPr>
      <xdr:spPr>
        <a:xfrm flipH="1" flipV="1">
          <a:off x="9525" y="590551"/>
          <a:ext cx="1438275" cy="49529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B1:Q41"/>
  <sheetViews>
    <sheetView showGridLines="0" view="pageBreakPreview" topLeftCell="A7" zoomScale="90" zoomScaleNormal="55" zoomScaleSheetLayoutView="90" workbookViewId="0">
      <selection activeCell="L17" sqref="L17:N20"/>
    </sheetView>
  </sheetViews>
  <sheetFormatPr defaultColWidth="8.5703125" defaultRowHeight="21" customHeight="1"/>
  <cols>
    <col min="1" max="1" width="1.7109375" style="4" customWidth="1"/>
    <col min="2" max="6" width="3.28515625" style="3" customWidth="1"/>
    <col min="7" max="7" width="12.5703125" style="3" customWidth="1"/>
    <col min="8" max="8" width="14.5703125" style="4" customWidth="1"/>
    <col min="9" max="9" width="14.5703125" style="1" customWidth="1"/>
    <col min="10" max="10" width="14.5703125" style="4" customWidth="1"/>
    <col min="11" max="11" width="14.5703125" style="7" customWidth="1"/>
    <col min="12" max="12" width="15.7109375" style="66" customWidth="1"/>
    <col min="13" max="13" width="11" style="66" customWidth="1"/>
    <col min="14" max="14" width="13.5703125" style="66" customWidth="1"/>
    <col min="15" max="16" width="13.5703125" style="8" customWidth="1"/>
    <col min="17" max="17" width="3.42578125" style="4" customWidth="1"/>
    <col min="18" max="16384" width="8.5703125" style="4"/>
  </cols>
  <sheetData>
    <row r="1" spans="2:16" ht="5.25" customHeight="1" thickBot="1"/>
    <row r="2" spans="2:16" ht="21" customHeight="1">
      <c r="B2" s="9"/>
      <c r="C2" s="10"/>
      <c r="D2" s="10"/>
      <c r="E2" s="10"/>
      <c r="F2" s="10"/>
      <c r="G2" s="10"/>
      <c r="H2" s="11"/>
      <c r="I2" s="12"/>
      <c r="J2" s="11"/>
      <c r="K2" s="13"/>
      <c r="L2" s="67"/>
      <c r="M2" s="67"/>
      <c r="N2" s="14" t="s">
        <v>7</v>
      </c>
      <c r="O2" s="14" t="s">
        <v>8</v>
      </c>
      <c r="P2" s="15" t="s">
        <v>9</v>
      </c>
    </row>
    <row r="3" spans="2:16" ht="21" customHeight="1">
      <c r="B3" s="16"/>
      <c r="C3" s="17"/>
      <c r="D3" s="17"/>
      <c r="E3" s="17"/>
      <c r="F3" s="17"/>
      <c r="G3" s="17"/>
      <c r="H3" s="117" t="s">
        <v>118</v>
      </c>
      <c r="I3" s="117"/>
      <c r="J3" s="117"/>
      <c r="K3" s="117"/>
      <c r="L3" s="117"/>
      <c r="M3" s="118"/>
      <c r="N3" s="104"/>
      <c r="O3" s="106"/>
      <c r="P3" s="108"/>
    </row>
    <row r="4" spans="2:16" ht="36" customHeight="1">
      <c r="B4" s="16"/>
      <c r="C4" s="17"/>
      <c r="D4" s="17"/>
      <c r="E4" s="17"/>
      <c r="F4" s="17"/>
      <c r="G4" s="17"/>
      <c r="H4" s="119"/>
      <c r="I4" s="119"/>
      <c r="J4" s="119"/>
      <c r="K4" s="119"/>
      <c r="L4" s="119"/>
      <c r="M4" s="120"/>
      <c r="N4" s="105"/>
      <c r="O4" s="107"/>
      <c r="P4" s="109"/>
    </row>
    <row r="5" spans="2:16" s="1" customFormat="1" ht="17.25" customHeight="1">
      <c r="B5" s="110" t="s">
        <v>0</v>
      </c>
      <c r="C5" s="111"/>
      <c r="D5" s="111"/>
      <c r="E5" s="111"/>
      <c r="F5" s="111"/>
      <c r="G5" s="111"/>
      <c r="H5" s="111"/>
      <c r="I5" s="111"/>
      <c r="J5" s="83"/>
      <c r="K5" s="112" t="s">
        <v>1</v>
      </c>
      <c r="L5" s="83"/>
      <c r="M5" s="113" t="s">
        <v>2</v>
      </c>
      <c r="N5" s="114"/>
      <c r="O5" s="115" t="s">
        <v>3</v>
      </c>
      <c r="P5" s="116"/>
    </row>
    <row r="6" spans="2:16" s="2" customFormat="1" ht="21.75" customHeight="1">
      <c r="B6" s="79" t="s">
        <v>118</v>
      </c>
      <c r="C6" s="80"/>
      <c r="D6" s="80"/>
      <c r="E6" s="80"/>
      <c r="F6" s="80"/>
      <c r="G6" s="80"/>
      <c r="H6" s="80"/>
      <c r="I6" s="80"/>
      <c r="J6" s="81"/>
      <c r="K6" s="82" t="s">
        <v>12</v>
      </c>
      <c r="L6" s="83"/>
      <c r="M6" s="84" t="s">
        <v>56</v>
      </c>
      <c r="N6" s="85"/>
      <c r="O6" s="86">
        <v>1</v>
      </c>
      <c r="P6" s="87"/>
    </row>
    <row r="7" spans="2:16" s="5" customFormat="1" ht="9.75" customHeight="1">
      <c r="B7" s="88" t="s">
        <v>4</v>
      </c>
      <c r="C7" s="89"/>
      <c r="D7" s="89"/>
      <c r="E7" s="89"/>
      <c r="F7" s="90"/>
      <c r="G7" s="94" t="s">
        <v>5</v>
      </c>
      <c r="H7" s="89"/>
      <c r="I7" s="89"/>
      <c r="J7" s="89"/>
      <c r="K7" s="90"/>
      <c r="L7" s="96" t="s">
        <v>10</v>
      </c>
      <c r="M7" s="97"/>
      <c r="N7" s="98"/>
      <c r="O7" s="94" t="s">
        <v>6</v>
      </c>
      <c r="P7" s="102"/>
    </row>
    <row r="8" spans="2:16" s="5" customFormat="1" ht="9.75" customHeight="1">
      <c r="B8" s="91"/>
      <c r="C8" s="92"/>
      <c r="D8" s="92"/>
      <c r="E8" s="92"/>
      <c r="F8" s="93"/>
      <c r="G8" s="95"/>
      <c r="H8" s="92"/>
      <c r="I8" s="92"/>
      <c r="J8" s="92"/>
      <c r="K8" s="93"/>
      <c r="L8" s="99"/>
      <c r="M8" s="100"/>
      <c r="N8" s="101"/>
      <c r="O8" s="95"/>
      <c r="P8" s="103"/>
    </row>
    <row r="9" spans="2:16" ht="45" customHeight="1">
      <c r="B9" s="121" t="s">
        <v>11</v>
      </c>
      <c r="C9" s="122"/>
      <c r="D9" s="122"/>
      <c r="E9" s="122"/>
      <c r="F9" s="123"/>
      <c r="G9" s="155"/>
      <c r="H9" s="122"/>
      <c r="I9" s="122"/>
      <c r="J9" s="122"/>
      <c r="K9" s="122"/>
      <c r="L9" s="127" t="s">
        <v>94</v>
      </c>
      <c r="M9" s="128"/>
      <c r="N9" s="128"/>
      <c r="O9" s="141" t="s">
        <v>184</v>
      </c>
      <c r="P9" s="142"/>
    </row>
    <row r="10" spans="2:16" ht="92.25" customHeight="1">
      <c r="B10" s="124"/>
      <c r="C10" s="125"/>
      <c r="D10" s="125"/>
      <c r="E10" s="125"/>
      <c r="F10" s="126"/>
      <c r="G10" s="156"/>
      <c r="H10" s="157"/>
      <c r="I10" s="157"/>
      <c r="J10" s="157"/>
      <c r="K10" s="157"/>
      <c r="L10" s="128"/>
      <c r="M10" s="128"/>
      <c r="N10" s="128"/>
      <c r="O10" s="143"/>
      <c r="P10" s="144"/>
    </row>
    <row r="11" spans="2:16" ht="25.5" customHeight="1">
      <c r="B11" s="121" t="s">
        <v>11</v>
      </c>
      <c r="C11" s="89"/>
      <c r="D11" s="89"/>
      <c r="E11" s="89"/>
      <c r="F11" s="90"/>
      <c r="G11" s="156"/>
      <c r="H11" s="157"/>
      <c r="I11" s="157"/>
      <c r="J11" s="157"/>
      <c r="K11" s="157"/>
      <c r="L11" s="132" t="s">
        <v>20</v>
      </c>
      <c r="M11" s="133"/>
      <c r="N11" s="134"/>
      <c r="O11" s="145" t="s">
        <v>14</v>
      </c>
      <c r="P11" s="146"/>
    </row>
    <row r="12" spans="2:16" ht="25.5" customHeight="1">
      <c r="B12" s="129"/>
      <c r="C12" s="130"/>
      <c r="D12" s="130"/>
      <c r="E12" s="130"/>
      <c r="F12" s="131"/>
      <c r="G12" s="156"/>
      <c r="H12" s="157"/>
      <c r="I12" s="157"/>
      <c r="J12" s="157"/>
      <c r="K12" s="157"/>
      <c r="L12" s="135"/>
      <c r="M12" s="136"/>
      <c r="N12" s="137"/>
      <c r="O12" s="147"/>
      <c r="P12" s="148"/>
    </row>
    <row r="13" spans="2:16" ht="25.5" customHeight="1">
      <c r="B13" s="91"/>
      <c r="C13" s="92"/>
      <c r="D13" s="92"/>
      <c r="E13" s="92"/>
      <c r="F13" s="93"/>
      <c r="G13" s="156"/>
      <c r="H13" s="157"/>
      <c r="I13" s="157"/>
      <c r="J13" s="157"/>
      <c r="K13" s="157"/>
      <c r="L13" s="138"/>
      <c r="M13" s="139"/>
      <c r="N13" s="140"/>
      <c r="O13" s="149"/>
      <c r="P13" s="150"/>
    </row>
    <row r="14" spans="2:16" ht="25.5" customHeight="1">
      <c r="B14" s="121" t="s">
        <v>11</v>
      </c>
      <c r="C14" s="89"/>
      <c r="D14" s="89"/>
      <c r="E14" s="89"/>
      <c r="F14" s="90"/>
      <c r="G14" s="156"/>
      <c r="H14" s="157"/>
      <c r="I14" s="157"/>
      <c r="J14" s="157"/>
      <c r="K14" s="157"/>
      <c r="L14" s="151" t="s">
        <v>21</v>
      </c>
      <c r="M14" s="133"/>
      <c r="N14" s="134"/>
      <c r="O14" s="145" t="s">
        <v>15</v>
      </c>
      <c r="P14" s="146"/>
    </row>
    <row r="15" spans="2:16" ht="25.5" customHeight="1">
      <c r="B15" s="129"/>
      <c r="C15" s="130"/>
      <c r="D15" s="130"/>
      <c r="E15" s="130"/>
      <c r="F15" s="131"/>
      <c r="G15" s="156"/>
      <c r="H15" s="157"/>
      <c r="I15" s="157"/>
      <c r="J15" s="157"/>
      <c r="K15" s="157"/>
      <c r="L15" s="135"/>
      <c r="M15" s="136"/>
      <c r="N15" s="137"/>
      <c r="O15" s="147"/>
      <c r="P15" s="148"/>
    </row>
    <row r="16" spans="2:16" ht="25.5" customHeight="1">
      <c r="B16" s="91"/>
      <c r="C16" s="92"/>
      <c r="D16" s="92"/>
      <c r="E16" s="92"/>
      <c r="F16" s="93"/>
      <c r="G16" s="156"/>
      <c r="H16" s="157"/>
      <c r="I16" s="157"/>
      <c r="J16" s="157"/>
      <c r="K16" s="157"/>
      <c r="L16" s="138"/>
      <c r="M16" s="139"/>
      <c r="N16" s="140"/>
      <c r="O16" s="149"/>
      <c r="P16" s="150"/>
    </row>
    <row r="17" spans="2:17" ht="30.75" customHeight="1">
      <c r="B17" s="121" t="s">
        <v>11</v>
      </c>
      <c r="C17" s="89"/>
      <c r="D17" s="89"/>
      <c r="E17" s="89"/>
      <c r="F17" s="90"/>
      <c r="G17" s="156"/>
      <c r="H17" s="157"/>
      <c r="I17" s="157"/>
      <c r="J17" s="157"/>
      <c r="K17" s="157"/>
      <c r="L17" s="184" t="s">
        <v>183</v>
      </c>
      <c r="M17" s="185"/>
      <c r="N17" s="186"/>
      <c r="O17" s="344" t="s">
        <v>186</v>
      </c>
      <c r="P17" s="345"/>
    </row>
    <row r="18" spans="2:17" ht="30.75" customHeight="1">
      <c r="B18" s="129"/>
      <c r="C18" s="130"/>
      <c r="D18" s="130"/>
      <c r="E18" s="130"/>
      <c r="F18" s="131"/>
      <c r="G18" s="156"/>
      <c r="H18" s="157"/>
      <c r="I18" s="157"/>
      <c r="J18" s="157"/>
      <c r="K18" s="157"/>
      <c r="L18" s="187"/>
      <c r="M18" s="188"/>
      <c r="N18" s="189"/>
      <c r="O18" s="346"/>
      <c r="P18" s="347"/>
    </row>
    <row r="19" spans="2:17" ht="30.75" customHeight="1">
      <c r="B19" s="129"/>
      <c r="C19" s="130"/>
      <c r="D19" s="130"/>
      <c r="E19" s="130"/>
      <c r="F19" s="131"/>
      <c r="G19" s="156"/>
      <c r="H19" s="157"/>
      <c r="I19" s="157"/>
      <c r="J19" s="157"/>
      <c r="K19" s="157"/>
      <c r="L19" s="187"/>
      <c r="M19" s="188"/>
      <c r="N19" s="189"/>
      <c r="O19" s="346"/>
      <c r="P19" s="347"/>
    </row>
    <row r="20" spans="2:17" ht="37.5" customHeight="1">
      <c r="B20" s="129"/>
      <c r="C20" s="130"/>
      <c r="D20" s="130"/>
      <c r="E20" s="130"/>
      <c r="F20" s="131"/>
      <c r="G20" s="156"/>
      <c r="H20" s="157"/>
      <c r="I20" s="157"/>
      <c r="J20" s="157"/>
      <c r="K20" s="157"/>
      <c r="L20" s="187"/>
      <c r="M20" s="188"/>
      <c r="N20" s="189"/>
      <c r="O20" s="348"/>
      <c r="P20" s="349"/>
    </row>
    <row r="21" spans="2:17" ht="45" customHeight="1">
      <c r="B21" s="121" t="s">
        <v>18</v>
      </c>
      <c r="C21" s="89"/>
      <c r="D21" s="89"/>
      <c r="E21" s="89"/>
      <c r="F21" s="90"/>
      <c r="G21" s="156"/>
      <c r="H21" s="157"/>
      <c r="I21" s="157"/>
      <c r="J21" s="157"/>
      <c r="K21" s="157"/>
      <c r="L21" s="172" t="s">
        <v>16</v>
      </c>
      <c r="M21" s="179"/>
      <c r="N21" s="180"/>
      <c r="O21" s="178" t="s">
        <v>14</v>
      </c>
      <c r="P21" s="142"/>
    </row>
    <row r="22" spans="2:17" ht="45" customHeight="1">
      <c r="B22" s="91"/>
      <c r="C22" s="92"/>
      <c r="D22" s="92"/>
      <c r="E22" s="92"/>
      <c r="F22" s="93"/>
      <c r="G22" s="156"/>
      <c r="H22" s="157"/>
      <c r="I22" s="157"/>
      <c r="J22" s="157"/>
      <c r="K22" s="157"/>
      <c r="L22" s="181"/>
      <c r="M22" s="182"/>
      <c r="N22" s="183"/>
      <c r="O22" s="143"/>
      <c r="P22" s="144"/>
    </row>
    <row r="23" spans="2:17" ht="45" customHeight="1">
      <c r="B23" s="170" t="s">
        <v>18</v>
      </c>
      <c r="C23" s="171"/>
      <c r="D23" s="171"/>
      <c r="E23" s="171"/>
      <c r="F23" s="171"/>
      <c r="G23" s="156"/>
      <c r="H23" s="157"/>
      <c r="I23" s="157"/>
      <c r="J23" s="157"/>
      <c r="K23" s="157"/>
      <c r="L23" s="172" t="s">
        <v>17</v>
      </c>
      <c r="M23" s="173"/>
      <c r="N23" s="174"/>
      <c r="O23" s="178" t="s">
        <v>14</v>
      </c>
      <c r="P23" s="142"/>
    </row>
    <row r="24" spans="2:17" ht="60" customHeight="1">
      <c r="B24" s="170"/>
      <c r="C24" s="171"/>
      <c r="D24" s="171"/>
      <c r="E24" s="171"/>
      <c r="F24" s="171"/>
      <c r="G24" s="156"/>
      <c r="H24" s="157"/>
      <c r="I24" s="157"/>
      <c r="J24" s="157"/>
      <c r="K24" s="157"/>
      <c r="L24" s="175"/>
      <c r="M24" s="176"/>
      <c r="N24" s="177"/>
      <c r="O24" s="143"/>
      <c r="P24" s="144"/>
    </row>
    <row r="25" spans="2:17" ht="48.75" customHeight="1">
      <c r="B25" s="121" t="s">
        <v>13</v>
      </c>
      <c r="C25" s="89"/>
      <c r="D25" s="89"/>
      <c r="E25" s="89"/>
      <c r="F25" s="90"/>
      <c r="G25" s="156"/>
      <c r="H25" s="157"/>
      <c r="I25" s="157"/>
      <c r="J25" s="157"/>
      <c r="K25" s="157"/>
      <c r="L25" s="160" t="s">
        <v>19</v>
      </c>
      <c r="M25" s="161"/>
      <c r="N25" s="162"/>
      <c r="O25" s="166" t="s">
        <v>14</v>
      </c>
      <c r="P25" s="167"/>
    </row>
    <row r="26" spans="2:17" ht="48.75" customHeight="1" thickBot="1">
      <c r="B26" s="152"/>
      <c r="C26" s="153"/>
      <c r="D26" s="153"/>
      <c r="E26" s="153"/>
      <c r="F26" s="154"/>
      <c r="G26" s="158"/>
      <c r="H26" s="159"/>
      <c r="I26" s="159"/>
      <c r="J26" s="159"/>
      <c r="K26" s="159"/>
      <c r="L26" s="163"/>
      <c r="M26" s="164"/>
      <c r="N26" s="165"/>
      <c r="O26" s="168"/>
      <c r="P26" s="169"/>
    </row>
    <row r="27" spans="2:17" ht="12.75" customHeight="1">
      <c r="C27" s="68" t="s">
        <v>95</v>
      </c>
      <c r="D27" s="6"/>
      <c r="E27" s="6"/>
    </row>
    <row r="28" spans="2:17" s="7" customFormat="1" ht="12.75" customHeight="1">
      <c r="B28" s="73" t="s">
        <v>100</v>
      </c>
      <c r="C28" s="74"/>
      <c r="D28" s="74"/>
      <c r="E28" s="74"/>
      <c r="F28" s="75"/>
      <c r="G28" s="73" t="s">
        <v>101</v>
      </c>
      <c r="H28" s="74"/>
      <c r="I28" s="74"/>
      <c r="J28" s="74"/>
      <c r="K28" s="75"/>
      <c r="L28" s="72" t="s">
        <v>96</v>
      </c>
      <c r="M28" s="72" t="s">
        <v>97</v>
      </c>
      <c r="N28" s="72" t="s">
        <v>98</v>
      </c>
      <c r="O28" s="69" t="s">
        <v>8</v>
      </c>
      <c r="P28" s="69" t="s">
        <v>99</v>
      </c>
      <c r="Q28" s="1"/>
    </row>
    <row r="29" spans="2:17" s="7" customFormat="1" ht="12.75" customHeight="1">
      <c r="B29" s="73" t="s">
        <v>102</v>
      </c>
      <c r="C29" s="74"/>
      <c r="D29" s="74"/>
      <c r="E29" s="74"/>
      <c r="F29" s="75"/>
      <c r="G29" s="73" t="s">
        <v>104</v>
      </c>
      <c r="H29" s="74"/>
      <c r="I29" s="74"/>
      <c r="J29" s="74"/>
      <c r="K29" s="75"/>
      <c r="L29" s="72" t="s">
        <v>12</v>
      </c>
      <c r="M29" s="72">
        <v>0</v>
      </c>
      <c r="N29" s="72" t="s">
        <v>107</v>
      </c>
      <c r="O29" s="69" t="s">
        <v>105</v>
      </c>
      <c r="P29" s="69" t="s">
        <v>106</v>
      </c>
      <c r="Q29" s="1"/>
    </row>
    <row r="30" spans="2:17" s="7" customFormat="1" ht="12.75" customHeight="1">
      <c r="B30" s="73" t="s">
        <v>103</v>
      </c>
      <c r="C30" s="74"/>
      <c r="D30" s="74"/>
      <c r="E30" s="74"/>
      <c r="F30" s="75"/>
      <c r="G30" s="73" t="s">
        <v>185</v>
      </c>
      <c r="H30" s="74"/>
      <c r="I30" s="74"/>
      <c r="J30" s="74"/>
      <c r="K30" s="75"/>
      <c r="L30" s="72" t="s">
        <v>12</v>
      </c>
      <c r="M30" s="72">
        <v>1</v>
      </c>
      <c r="N30" s="72" t="s">
        <v>108</v>
      </c>
      <c r="O30" s="69" t="s">
        <v>105</v>
      </c>
      <c r="P30" s="69" t="s">
        <v>117</v>
      </c>
      <c r="Q30" s="1"/>
    </row>
    <row r="31" spans="2:17" s="3" customFormat="1" ht="15.75" customHeight="1">
      <c r="B31" s="76"/>
      <c r="C31" s="77"/>
      <c r="D31" s="77"/>
      <c r="E31" s="77"/>
      <c r="F31" s="78"/>
      <c r="G31" s="76"/>
      <c r="H31" s="77"/>
      <c r="I31" s="77"/>
      <c r="J31" s="77"/>
      <c r="K31" s="78"/>
      <c r="L31" s="70"/>
      <c r="M31" s="70"/>
      <c r="N31" s="70"/>
      <c r="O31" s="71"/>
      <c r="P31" s="71"/>
      <c r="Q31" s="4"/>
    </row>
    <row r="32" spans="2:17" s="3" customFormat="1" ht="21" customHeight="1">
      <c r="D32" s="6"/>
      <c r="E32" s="6"/>
      <c r="H32" s="4"/>
      <c r="I32" s="1"/>
      <c r="J32" s="4"/>
      <c r="K32" s="7"/>
      <c r="L32" s="66"/>
      <c r="M32" s="66"/>
      <c r="N32" s="66"/>
      <c r="O32" s="8"/>
      <c r="P32" s="8"/>
      <c r="Q32" s="4"/>
    </row>
    <row r="33" spans="4:17" s="3" customFormat="1" ht="21" customHeight="1">
      <c r="D33" s="6"/>
      <c r="E33" s="6"/>
      <c r="H33" s="4"/>
      <c r="I33" s="1"/>
      <c r="J33" s="4"/>
      <c r="K33" s="7"/>
      <c r="L33" s="66"/>
      <c r="M33" s="66"/>
      <c r="N33" s="66"/>
      <c r="O33" s="8"/>
      <c r="P33" s="8"/>
      <c r="Q33" s="4"/>
    </row>
    <row r="34" spans="4:17" s="3" customFormat="1" ht="21" customHeight="1">
      <c r="D34" s="6"/>
      <c r="E34" s="6"/>
      <c r="H34" s="4"/>
      <c r="I34" s="1"/>
      <c r="J34" s="4"/>
      <c r="K34" s="7"/>
      <c r="L34" s="66"/>
      <c r="M34" s="66"/>
      <c r="N34" s="66"/>
      <c r="O34" s="8"/>
      <c r="P34" s="8"/>
      <c r="Q34" s="4"/>
    </row>
    <row r="35" spans="4:17" s="3" customFormat="1" ht="21" customHeight="1">
      <c r="D35" s="6"/>
      <c r="E35" s="6"/>
      <c r="H35" s="4"/>
      <c r="I35" s="1"/>
      <c r="J35" s="4"/>
      <c r="K35" s="7"/>
      <c r="L35" s="66"/>
      <c r="M35" s="66"/>
      <c r="N35" s="66"/>
      <c r="O35" s="8"/>
      <c r="P35" s="8"/>
      <c r="Q35" s="4"/>
    </row>
    <row r="36" spans="4:17" s="3" customFormat="1" ht="21" customHeight="1">
      <c r="D36" s="6"/>
      <c r="E36" s="6"/>
      <c r="H36" s="4"/>
      <c r="I36" s="1"/>
      <c r="J36" s="4"/>
      <c r="K36" s="7"/>
      <c r="L36" s="66"/>
      <c r="M36" s="66"/>
      <c r="N36" s="66"/>
      <c r="O36" s="8"/>
      <c r="P36" s="8"/>
      <c r="Q36" s="4"/>
    </row>
    <row r="37" spans="4:17" s="3" customFormat="1" ht="21" customHeight="1">
      <c r="D37" s="6"/>
      <c r="E37" s="6"/>
      <c r="H37" s="4"/>
      <c r="I37" s="1"/>
      <c r="J37" s="4"/>
      <c r="K37" s="7"/>
      <c r="L37" s="66"/>
      <c r="M37" s="66"/>
      <c r="N37" s="66"/>
      <c r="O37" s="8"/>
      <c r="P37" s="8"/>
      <c r="Q37" s="4"/>
    </row>
    <row r="38" spans="4:17" s="3" customFormat="1" ht="21" customHeight="1">
      <c r="D38" s="6"/>
      <c r="E38" s="6"/>
      <c r="H38" s="4"/>
      <c r="I38" s="1"/>
      <c r="J38" s="4"/>
      <c r="K38" s="7"/>
      <c r="L38" s="66"/>
      <c r="M38" s="66"/>
      <c r="N38" s="66"/>
      <c r="O38" s="8"/>
      <c r="P38" s="8"/>
      <c r="Q38" s="4"/>
    </row>
    <row r="39" spans="4:17" s="3" customFormat="1" ht="21" customHeight="1">
      <c r="D39" s="6"/>
      <c r="E39" s="6"/>
      <c r="H39" s="4"/>
      <c r="I39" s="1"/>
      <c r="J39" s="4"/>
      <c r="K39" s="7"/>
      <c r="L39" s="66"/>
      <c r="M39" s="66"/>
      <c r="N39" s="66"/>
      <c r="O39" s="8"/>
      <c r="P39" s="8"/>
      <c r="Q39" s="4"/>
    </row>
    <row r="40" spans="4:17" s="3" customFormat="1" ht="21" customHeight="1">
      <c r="D40" s="6"/>
      <c r="E40" s="6"/>
      <c r="H40" s="4"/>
      <c r="I40" s="1"/>
      <c r="J40" s="4"/>
      <c r="K40" s="7"/>
      <c r="L40" s="66"/>
      <c r="M40" s="66"/>
      <c r="N40" s="66"/>
      <c r="O40" s="8"/>
      <c r="P40" s="8"/>
      <c r="Q40" s="4"/>
    </row>
    <row r="41" spans="4:17" s="3" customFormat="1" ht="21" customHeight="1">
      <c r="D41" s="6"/>
      <c r="E41" s="6"/>
      <c r="H41" s="4"/>
      <c r="I41" s="1"/>
      <c r="J41" s="4"/>
      <c r="K41" s="7"/>
      <c r="L41" s="66"/>
      <c r="M41" s="66"/>
      <c r="N41" s="66"/>
      <c r="O41" s="8"/>
      <c r="P41" s="8"/>
      <c r="Q41" s="4"/>
    </row>
  </sheetData>
  <mergeCells count="46">
    <mergeCell ref="B14:F16"/>
    <mergeCell ref="L14:N16"/>
    <mergeCell ref="O14:P16"/>
    <mergeCell ref="O17:P20"/>
    <mergeCell ref="B25:F26"/>
    <mergeCell ref="G9:K26"/>
    <mergeCell ref="L25:N26"/>
    <mergeCell ref="O25:P26"/>
    <mergeCell ref="B23:F24"/>
    <mergeCell ref="L23:N24"/>
    <mergeCell ref="O23:P24"/>
    <mergeCell ref="B21:F22"/>
    <mergeCell ref="L21:N22"/>
    <mergeCell ref="B17:F20"/>
    <mergeCell ref="L17:N20"/>
    <mergeCell ref="O21:P22"/>
    <mergeCell ref="B9:F10"/>
    <mergeCell ref="L9:N10"/>
    <mergeCell ref="B11:F13"/>
    <mergeCell ref="L11:N13"/>
    <mergeCell ref="O9:P10"/>
    <mergeCell ref="O11:P13"/>
    <mergeCell ref="N3:N4"/>
    <mergeCell ref="O3:O4"/>
    <mergeCell ref="P3:P4"/>
    <mergeCell ref="B5:J5"/>
    <mergeCell ref="K5:L5"/>
    <mergeCell ref="M5:N5"/>
    <mergeCell ref="O5:P5"/>
    <mergeCell ref="H3:M4"/>
    <mergeCell ref="B6:J6"/>
    <mergeCell ref="K6:L6"/>
    <mergeCell ref="M6:N6"/>
    <mergeCell ref="O6:P6"/>
    <mergeCell ref="B7:F8"/>
    <mergeCell ref="G7:K8"/>
    <mergeCell ref="L7:N8"/>
    <mergeCell ref="O7:P8"/>
    <mergeCell ref="B28:F28"/>
    <mergeCell ref="G28:K28"/>
    <mergeCell ref="B29:F29"/>
    <mergeCell ref="B30:F30"/>
    <mergeCell ref="B31:F31"/>
    <mergeCell ref="G29:K29"/>
    <mergeCell ref="G30:K30"/>
    <mergeCell ref="G31:K31"/>
  </mergeCells>
  <printOptions horizontalCentered="1"/>
  <pageMargins left="0" right="0" top="0.53" bottom="0" header="0.66" footer="0"/>
  <pageSetup paperSize="9" scale="65" orientation="portrait" horizontalDpi="1200" verticalDpi="12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2"/>
  <sheetViews>
    <sheetView showGridLines="0" tabSelected="1" workbookViewId="0">
      <selection activeCell="W6" sqref="W6"/>
    </sheetView>
  </sheetViews>
  <sheetFormatPr defaultColWidth="5.5703125" defaultRowHeight="21.75" customHeight="1"/>
  <cols>
    <col min="1" max="1" width="10.140625" style="289" customWidth="1"/>
    <col min="2" max="2" width="46.140625" style="289" customWidth="1"/>
    <col min="3" max="5" width="10" style="331" customWidth="1"/>
    <col min="6" max="6" width="9.42578125" style="331" customWidth="1"/>
    <col min="7" max="7" width="12.5703125" style="331" customWidth="1"/>
    <col min="8" max="8" width="13" style="289" customWidth="1"/>
    <col min="9" max="9" width="12.5703125" style="289" customWidth="1"/>
    <col min="10" max="256" width="5.5703125" style="289"/>
    <col min="257" max="257" width="10.140625" style="289" customWidth="1"/>
    <col min="258" max="258" width="46.140625" style="289" customWidth="1"/>
    <col min="259" max="261" width="10" style="289" customWidth="1"/>
    <col min="262" max="262" width="9.42578125" style="289" customWidth="1"/>
    <col min="263" max="263" width="12.5703125" style="289" customWidth="1"/>
    <col min="264" max="264" width="13" style="289" customWidth="1"/>
    <col min="265" max="265" width="12.5703125" style="289" customWidth="1"/>
    <col min="266" max="512" width="5.5703125" style="289"/>
    <col min="513" max="513" width="10.140625" style="289" customWidth="1"/>
    <col min="514" max="514" width="46.140625" style="289" customWidth="1"/>
    <col min="515" max="517" width="10" style="289" customWidth="1"/>
    <col min="518" max="518" width="9.42578125" style="289" customWidth="1"/>
    <col min="519" max="519" width="12.5703125" style="289" customWidth="1"/>
    <col min="520" max="520" width="13" style="289" customWidth="1"/>
    <col min="521" max="521" width="12.5703125" style="289" customWidth="1"/>
    <col min="522" max="768" width="5.5703125" style="289"/>
    <col min="769" max="769" width="10.140625" style="289" customWidth="1"/>
    <col min="770" max="770" width="46.140625" style="289" customWidth="1"/>
    <col min="771" max="773" width="10" style="289" customWidth="1"/>
    <col min="774" max="774" width="9.42578125" style="289" customWidth="1"/>
    <col min="775" max="775" width="12.5703125" style="289" customWidth="1"/>
    <col min="776" max="776" width="13" style="289" customWidth="1"/>
    <col min="777" max="777" width="12.5703125" style="289" customWidth="1"/>
    <col min="778" max="1024" width="5.5703125" style="289"/>
    <col min="1025" max="1025" width="10.140625" style="289" customWidth="1"/>
    <col min="1026" max="1026" width="46.140625" style="289" customWidth="1"/>
    <col min="1027" max="1029" width="10" style="289" customWidth="1"/>
    <col min="1030" max="1030" width="9.42578125" style="289" customWidth="1"/>
    <col min="1031" max="1031" width="12.5703125" style="289" customWidth="1"/>
    <col min="1032" max="1032" width="13" style="289" customWidth="1"/>
    <col min="1033" max="1033" width="12.5703125" style="289" customWidth="1"/>
    <col min="1034" max="1280" width="5.5703125" style="289"/>
    <col min="1281" max="1281" width="10.140625" style="289" customWidth="1"/>
    <col min="1282" max="1282" width="46.140625" style="289" customWidth="1"/>
    <col min="1283" max="1285" width="10" style="289" customWidth="1"/>
    <col min="1286" max="1286" width="9.42578125" style="289" customWidth="1"/>
    <col min="1287" max="1287" width="12.5703125" style="289" customWidth="1"/>
    <col min="1288" max="1288" width="13" style="289" customWidth="1"/>
    <col min="1289" max="1289" width="12.5703125" style="289" customWidth="1"/>
    <col min="1290" max="1536" width="5.5703125" style="289"/>
    <col min="1537" max="1537" width="10.140625" style="289" customWidth="1"/>
    <col min="1538" max="1538" width="46.140625" style="289" customWidth="1"/>
    <col min="1539" max="1541" width="10" style="289" customWidth="1"/>
    <col min="1542" max="1542" width="9.42578125" style="289" customWidth="1"/>
    <col min="1543" max="1543" width="12.5703125" style="289" customWidth="1"/>
    <col min="1544" max="1544" width="13" style="289" customWidth="1"/>
    <col min="1545" max="1545" width="12.5703125" style="289" customWidth="1"/>
    <col min="1546" max="1792" width="5.5703125" style="289"/>
    <col min="1793" max="1793" width="10.140625" style="289" customWidth="1"/>
    <col min="1794" max="1794" width="46.140625" style="289" customWidth="1"/>
    <col min="1795" max="1797" width="10" style="289" customWidth="1"/>
    <col min="1798" max="1798" width="9.42578125" style="289" customWidth="1"/>
    <col min="1799" max="1799" width="12.5703125" style="289" customWidth="1"/>
    <col min="1800" max="1800" width="13" style="289" customWidth="1"/>
    <col min="1801" max="1801" width="12.5703125" style="289" customWidth="1"/>
    <col min="1802" max="2048" width="5.5703125" style="289"/>
    <col min="2049" max="2049" width="10.140625" style="289" customWidth="1"/>
    <col min="2050" max="2050" width="46.140625" style="289" customWidth="1"/>
    <col min="2051" max="2053" width="10" style="289" customWidth="1"/>
    <col min="2054" max="2054" width="9.42578125" style="289" customWidth="1"/>
    <col min="2055" max="2055" width="12.5703125" style="289" customWidth="1"/>
    <col min="2056" max="2056" width="13" style="289" customWidth="1"/>
    <col min="2057" max="2057" width="12.5703125" style="289" customWidth="1"/>
    <col min="2058" max="2304" width="5.5703125" style="289"/>
    <col min="2305" max="2305" width="10.140625" style="289" customWidth="1"/>
    <col min="2306" max="2306" width="46.140625" style="289" customWidth="1"/>
    <col min="2307" max="2309" width="10" style="289" customWidth="1"/>
    <col min="2310" max="2310" width="9.42578125" style="289" customWidth="1"/>
    <col min="2311" max="2311" width="12.5703125" style="289" customWidth="1"/>
    <col min="2312" max="2312" width="13" style="289" customWidth="1"/>
    <col min="2313" max="2313" width="12.5703125" style="289" customWidth="1"/>
    <col min="2314" max="2560" width="5.5703125" style="289"/>
    <col min="2561" max="2561" width="10.140625" style="289" customWidth="1"/>
    <col min="2562" max="2562" width="46.140625" style="289" customWidth="1"/>
    <col min="2563" max="2565" width="10" style="289" customWidth="1"/>
    <col min="2566" max="2566" width="9.42578125" style="289" customWidth="1"/>
    <col min="2567" max="2567" width="12.5703125" style="289" customWidth="1"/>
    <col min="2568" max="2568" width="13" style="289" customWidth="1"/>
    <col min="2569" max="2569" width="12.5703125" style="289" customWidth="1"/>
    <col min="2570" max="2816" width="5.5703125" style="289"/>
    <col min="2817" max="2817" width="10.140625" style="289" customWidth="1"/>
    <col min="2818" max="2818" width="46.140625" style="289" customWidth="1"/>
    <col min="2819" max="2821" width="10" style="289" customWidth="1"/>
    <col min="2822" max="2822" width="9.42578125" style="289" customWidth="1"/>
    <col min="2823" max="2823" width="12.5703125" style="289" customWidth="1"/>
    <col min="2824" max="2824" width="13" style="289" customWidth="1"/>
    <col min="2825" max="2825" width="12.5703125" style="289" customWidth="1"/>
    <col min="2826" max="3072" width="5.5703125" style="289"/>
    <col min="3073" max="3073" width="10.140625" style="289" customWidth="1"/>
    <col min="3074" max="3074" width="46.140625" style="289" customWidth="1"/>
    <col min="3075" max="3077" width="10" style="289" customWidth="1"/>
    <col min="3078" max="3078" width="9.42578125" style="289" customWidth="1"/>
    <col min="3079" max="3079" width="12.5703125" style="289" customWidth="1"/>
    <col min="3080" max="3080" width="13" style="289" customWidth="1"/>
    <col min="3081" max="3081" width="12.5703125" style="289" customWidth="1"/>
    <col min="3082" max="3328" width="5.5703125" style="289"/>
    <col min="3329" max="3329" width="10.140625" style="289" customWidth="1"/>
    <col min="3330" max="3330" width="46.140625" style="289" customWidth="1"/>
    <col min="3331" max="3333" width="10" style="289" customWidth="1"/>
    <col min="3334" max="3334" width="9.42578125" style="289" customWidth="1"/>
    <col min="3335" max="3335" width="12.5703125" style="289" customWidth="1"/>
    <col min="3336" max="3336" width="13" style="289" customWidth="1"/>
    <col min="3337" max="3337" width="12.5703125" style="289" customWidth="1"/>
    <col min="3338" max="3584" width="5.5703125" style="289"/>
    <col min="3585" max="3585" width="10.140625" style="289" customWidth="1"/>
    <col min="3586" max="3586" width="46.140625" style="289" customWidth="1"/>
    <col min="3587" max="3589" width="10" style="289" customWidth="1"/>
    <col min="3590" max="3590" width="9.42578125" style="289" customWidth="1"/>
    <col min="3591" max="3591" width="12.5703125" style="289" customWidth="1"/>
    <col min="3592" max="3592" width="13" style="289" customWidth="1"/>
    <col min="3593" max="3593" width="12.5703125" style="289" customWidth="1"/>
    <col min="3594" max="3840" width="5.5703125" style="289"/>
    <col min="3841" max="3841" width="10.140625" style="289" customWidth="1"/>
    <col min="3842" max="3842" width="46.140625" style="289" customWidth="1"/>
    <col min="3843" max="3845" width="10" style="289" customWidth="1"/>
    <col min="3846" max="3846" width="9.42578125" style="289" customWidth="1"/>
    <col min="3847" max="3847" width="12.5703125" style="289" customWidth="1"/>
    <col min="3848" max="3848" width="13" style="289" customWidth="1"/>
    <col min="3849" max="3849" width="12.5703125" style="289" customWidth="1"/>
    <col min="3850" max="4096" width="5.5703125" style="289"/>
    <col min="4097" max="4097" width="10.140625" style="289" customWidth="1"/>
    <col min="4098" max="4098" width="46.140625" style="289" customWidth="1"/>
    <col min="4099" max="4101" width="10" style="289" customWidth="1"/>
    <col min="4102" max="4102" width="9.42578125" style="289" customWidth="1"/>
    <col min="4103" max="4103" width="12.5703125" style="289" customWidth="1"/>
    <col min="4104" max="4104" width="13" style="289" customWidth="1"/>
    <col min="4105" max="4105" width="12.5703125" style="289" customWidth="1"/>
    <col min="4106" max="4352" width="5.5703125" style="289"/>
    <col min="4353" max="4353" width="10.140625" style="289" customWidth="1"/>
    <col min="4354" max="4354" width="46.140625" style="289" customWidth="1"/>
    <col min="4355" max="4357" width="10" style="289" customWidth="1"/>
    <col min="4358" max="4358" width="9.42578125" style="289" customWidth="1"/>
    <col min="4359" max="4359" width="12.5703125" style="289" customWidth="1"/>
    <col min="4360" max="4360" width="13" style="289" customWidth="1"/>
    <col min="4361" max="4361" width="12.5703125" style="289" customWidth="1"/>
    <col min="4362" max="4608" width="5.5703125" style="289"/>
    <col min="4609" max="4609" width="10.140625" style="289" customWidth="1"/>
    <col min="4610" max="4610" width="46.140625" style="289" customWidth="1"/>
    <col min="4611" max="4613" width="10" style="289" customWidth="1"/>
    <col min="4614" max="4614" width="9.42578125" style="289" customWidth="1"/>
    <col min="4615" max="4615" width="12.5703125" style="289" customWidth="1"/>
    <col min="4616" max="4616" width="13" style="289" customWidth="1"/>
    <col min="4617" max="4617" width="12.5703125" style="289" customWidth="1"/>
    <col min="4618" max="4864" width="5.5703125" style="289"/>
    <col min="4865" max="4865" width="10.140625" style="289" customWidth="1"/>
    <col min="4866" max="4866" width="46.140625" style="289" customWidth="1"/>
    <col min="4867" max="4869" width="10" style="289" customWidth="1"/>
    <col min="4870" max="4870" width="9.42578125" style="289" customWidth="1"/>
    <col min="4871" max="4871" width="12.5703125" style="289" customWidth="1"/>
    <col min="4872" max="4872" width="13" style="289" customWidth="1"/>
    <col min="4873" max="4873" width="12.5703125" style="289" customWidth="1"/>
    <col min="4874" max="5120" width="5.5703125" style="289"/>
    <col min="5121" max="5121" width="10.140625" style="289" customWidth="1"/>
    <col min="5122" max="5122" width="46.140625" style="289" customWidth="1"/>
    <col min="5123" max="5125" width="10" style="289" customWidth="1"/>
    <col min="5126" max="5126" width="9.42578125" style="289" customWidth="1"/>
    <col min="5127" max="5127" width="12.5703125" style="289" customWidth="1"/>
    <col min="5128" max="5128" width="13" style="289" customWidth="1"/>
    <col min="5129" max="5129" width="12.5703125" style="289" customWidth="1"/>
    <col min="5130" max="5376" width="5.5703125" style="289"/>
    <col min="5377" max="5377" width="10.140625" style="289" customWidth="1"/>
    <col min="5378" max="5378" width="46.140625" style="289" customWidth="1"/>
    <col min="5379" max="5381" width="10" style="289" customWidth="1"/>
    <col min="5382" max="5382" width="9.42578125" style="289" customWidth="1"/>
    <col min="5383" max="5383" width="12.5703125" style="289" customWidth="1"/>
    <col min="5384" max="5384" width="13" style="289" customWidth="1"/>
    <col min="5385" max="5385" width="12.5703125" style="289" customWidth="1"/>
    <col min="5386" max="5632" width="5.5703125" style="289"/>
    <col min="5633" max="5633" width="10.140625" style="289" customWidth="1"/>
    <col min="5634" max="5634" width="46.140625" style="289" customWidth="1"/>
    <col min="5635" max="5637" width="10" style="289" customWidth="1"/>
    <col min="5638" max="5638" width="9.42578125" style="289" customWidth="1"/>
    <col min="5639" max="5639" width="12.5703125" style="289" customWidth="1"/>
    <col min="5640" max="5640" width="13" style="289" customWidth="1"/>
    <col min="5641" max="5641" width="12.5703125" style="289" customWidth="1"/>
    <col min="5642" max="5888" width="5.5703125" style="289"/>
    <col min="5889" max="5889" width="10.140625" style="289" customWidth="1"/>
    <col min="5890" max="5890" width="46.140625" style="289" customWidth="1"/>
    <col min="5891" max="5893" width="10" style="289" customWidth="1"/>
    <col min="5894" max="5894" width="9.42578125" style="289" customWidth="1"/>
    <col min="5895" max="5895" width="12.5703125" style="289" customWidth="1"/>
    <col min="5896" max="5896" width="13" style="289" customWidth="1"/>
    <col min="5897" max="5897" width="12.5703125" style="289" customWidth="1"/>
    <col min="5898" max="6144" width="5.5703125" style="289"/>
    <col min="6145" max="6145" width="10.140625" style="289" customWidth="1"/>
    <col min="6146" max="6146" width="46.140625" style="289" customWidth="1"/>
    <col min="6147" max="6149" width="10" style="289" customWidth="1"/>
    <col min="6150" max="6150" width="9.42578125" style="289" customWidth="1"/>
    <col min="6151" max="6151" width="12.5703125" style="289" customWidth="1"/>
    <col min="6152" max="6152" width="13" style="289" customWidth="1"/>
    <col min="6153" max="6153" width="12.5703125" style="289" customWidth="1"/>
    <col min="6154" max="6400" width="5.5703125" style="289"/>
    <col min="6401" max="6401" width="10.140625" style="289" customWidth="1"/>
    <col min="6402" max="6402" width="46.140625" style="289" customWidth="1"/>
    <col min="6403" max="6405" width="10" style="289" customWidth="1"/>
    <col min="6406" max="6406" width="9.42578125" style="289" customWidth="1"/>
    <col min="6407" max="6407" width="12.5703125" style="289" customWidth="1"/>
    <col min="6408" max="6408" width="13" style="289" customWidth="1"/>
    <col min="6409" max="6409" width="12.5703125" style="289" customWidth="1"/>
    <col min="6410" max="6656" width="5.5703125" style="289"/>
    <col min="6657" max="6657" width="10.140625" style="289" customWidth="1"/>
    <col min="6658" max="6658" width="46.140625" style="289" customWidth="1"/>
    <col min="6659" max="6661" width="10" style="289" customWidth="1"/>
    <col min="6662" max="6662" width="9.42578125" style="289" customWidth="1"/>
    <col min="6663" max="6663" width="12.5703125" style="289" customWidth="1"/>
    <col min="6664" max="6664" width="13" style="289" customWidth="1"/>
    <col min="6665" max="6665" width="12.5703125" style="289" customWidth="1"/>
    <col min="6666" max="6912" width="5.5703125" style="289"/>
    <col min="6913" max="6913" width="10.140625" style="289" customWidth="1"/>
    <col min="6914" max="6914" width="46.140625" style="289" customWidth="1"/>
    <col min="6915" max="6917" width="10" style="289" customWidth="1"/>
    <col min="6918" max="6918" width="9.42578125" style="289" customWidth="1"/>
    <col min="6919" max="6919" width="12.5703125" style="289" customWidth="1"/>
    <col min="6920" max="6920" width="13" style="289" customWidth="1"/>
    <col min="6921" max="6921" width="12.5703125" style="289" customWidth="1"/>
    <col min="6922" max="7168" width="5.5703125" style="289"/>
    <col min="7169" max="7169" width="10.140625" style="289" customWidth="1"/>
    <col min="7170" max="7170" width="46.140625" style="289" customWidth="1"/>
    <col min="7171" max="7173" width="10" style="289" customWidth="1"/>
    <col min="7174" max="7174" width="9.42578125" style="289" customWidth="1"/>
    <col min="7175" max="7175" width="12.5703125" style="289" customWidth="1"/>
    <col min="7176" max="7176" width="13" style="289" customWidth="1"/>
    <col min="7177" max="7177" width="12.5703125" style="289" customWidth="1"/>
    <col min="7178" max="7424" width="5.5703125" style="289"/>
    <col min="7425" max="7425" width="10.140625" style="289" customWidth="1"/>
    <col min="7426" max="7426" width="46.140625" style="289" customWidth="1"/>
    <col min="7427" max="7429" width="10" style="289" customWidth="1"/>
    <col min="7430" max="7430" width="9.42578125" style="289" customWidth="1"/>
    <col min="7431" max="7431" width="12.5703125" style="289" customWidth="1"/>
    <col min="7432" max="7432" width="13" style="289" customWidth="1"/>
    <col min="7433" max="7433" width="12.5703125" style="289" customWidth="1"/>
    <col min="7434" max="7680" width="5.5703125" style="289"/>
    <col min="7681" max="7681" width="10.140625" style="289" customWidth="1"/>
    <col min="7682" max="7682" width="46.140625" style="289" customWidth="1"/>
    <col min="7683" max="7685" width="10" style="289" customWidth="1"/>
    <col min="7686" max="7686" width="9.42578125" style="289" customWidth="1"/>
    <col min="7687" max="7687" width="12.5703125" style="289" customWidth="1"/>
    <col min="7688" max="7688" width="13" style="289" customWidth="1"/>
    <col min="7689" max="7689" width="12.5703125" style="289" customWidth="1"/>
    <col min="7690" max="7936" width="5.5703125" style="289"/>
    <col min="7937" max="7937" width="10.140625" style="289" customWidth="1"/>
    <col min="7938" max="7938" width="46.140625" style="289" customWidth="1"/>
    <col min="7939" max="7941" width="10" style="289" customWidth="1"/>
    <col min="7942" max="7942" width="9.42578125" style="289" customWidth="1"/>
    <col min="7943" max="7943" width="12.5703125" style="289" customWidth="1"/>
    <col min="7944" max="7944" width="13" style="289" customWidth="1"/>
    <col min="7945" max="7945" width="12.5703125" style="289" customWidth="1"/>
    <col min="7946" max="8192" width="5.5703125" style="289"/>
    <col min="8193" max="8193" width="10.140625" style="289" customWidth="1"/>
    <col min="8194" max="8194" width="46.140625" style="289" customWidth="1"/>
    <col min="8195" max="8197" width="10" style="289" customWidth="1"/>
    <col min="8198" max="8198" width="9.42578125" style="289" customWidth="1"/>
    <col min="8199" max="8199" width="12.5703125" style="289" customWidth="1"/>
    <col min="8200" max="8200" width="13" style="289" customWidth="1"/>
    <col min="8201" max="8201" width="12.5703125" style="289" customWidth="1"/>
    <col min="8202" max="8448" width="5.5703125" style="289"/>
    <col min="8449" max="8449" width="10.140625" style="289" customWidth="1"/>
    <col min="8450" max="8450" width="46.140625" style="289" customWidth="1"/>
    <col min="8451" max="8453" width="10" style="289" customWidth="1"/>
    <col min="8454" max="8454" width="9.42578125" style="289" customWidth="1"/>
    <col min="8455" max="8455" width="12.5703125" style="289" customWidth="1"/>
    <col min="8456" max="8456" width="13" style="289" customWidth="1"/>
    <col min="8457" max="8457" width="12.5703125" style="289" customWidth="1"/>
    <col min="8458" max="8704" width="5.5703125" style="289"/>
    <col min="8705" max="8705" width="10.140625" style="289" customWidth="1"/>
    <col min="8706" max="8706" width="46.140625" style="289" customWidth="1"/>
    <col min="8707" max="8709" width="10" style="289" customWidth="1"/>
    <col min="8710" max="8710" width="9.42578125" style="289" customWidth="1"/>
    <col min="8711" max="8711" width="12.5703125" style="289" customWidth="1"/>
    <col min="8712" max="8712" width="13" style="289" customWidth="1"/>
    <col min="8713" max="8713" width="12.5703125" style="289" customWidth="1"/>
    <col min="8714" max="8960" width="5.5703125" style="289"/>
    <col min="8961" max="8961" width="10.140625" style="289" customWidth="1"/>
    <col min="8962" max="8962" width="46.140625" style="289" customWidth="1"/>
    <col min="8963" max="8965" width="10" style="289" customWidth="1"/>
    <col min="8966" max="8966" width="9.42578125" style="289" customWidth="1"/>
    <col min="8967" max="8967" width="12.5703125" style="289" customWidth="1"/>
    <col min="8968" max="8968" width="13" style="289" customWidth="1"/>
    <col min="8969" max="8969" width="12.5703125" style="289" customWidth="1"/>
    <col min="8970" max="9216" width="5.5703125" style="289"/>
    <col min="9217" max="9217" width="10.140625" style="289" customWidth="1"/>
    <col min="9218" max="9218" width="46.140625" style="289" customWidth="1"/>
    <col min="9219" max="9221" width="10" style="289" customWidth="1"/>
    <col min="9222" max="9222" width="9.42578125" style="289" customWidth="1"/>
    <col min="9223" max="9223" width="12.5703125" style="289" customWidth="1"/>
    <col min="9224" max="9224" width="13" style="289" customWidth="1"/>
    <col min="9225" max="9225" width="12.5703125" style="289" customWidth="1"/>
    <col min="9226" max="9472" width="5.5703125" style="289"/>
    <col min="9473" max="9473" width="10.140625" style="289" customWidth="1"/>
    <col min="9474" max="9474" width="46.140625" style="289" customWidth="1"/>
    <col min="9475" max="9477" width="10" style="289" customWidth="1"/>
    <col min="9478" max="9478" width="9.42578125" style="289" customWidth="1"/>
    <col min="9479" max="9479" width="12.5703125" style="289" customWidth="1"/>
    <col min="9480" max="9480" width="13" style="289" customWidth="1"/>
    <col min="9481" max="9481" width="12.5703125" style="289" customWidth="1"/>
    <col min="9482" max="9728" width="5.5703125" style="289"/>
    <col min="9729" max="9729" width="10.140625" style="289" customWidth="1"/>
    <col min="9730" max="9730" width="46.140625" style="289" customWidth="1"/>
    <col min="9731" max="9733" width="10" style="289" customWidth="1"/>
    <col min="9734" max="9734" width="9.42578125" style="289" customWidth="1"/>
    <col min="9735" max="9735" width="12.5703125" style="289" customWidth="1"/>
    <col min="9736" max="9736" width="13" style="289" customWidth="1"/>
    <col min="9737" max="9737" width="12.5703125" style="289" customWidth="1"/>
    <col min="9738" max="9984" width="5.5703125" style="289"/>
    <col min="9985" max="9985" width="10.140625" style="289" customWidth="1"/>
    <col min="9986" max="9986" width="46.140625" style="289" customWidth="1"/>
    <col min="9987" max="9989" width="10" style="289" customWidth="1"/>
    <col min="9990" max="9990" width="9.42578125" style="289" customWidth="1"/>
    <col min="9991" max="9991" width="12.5703125" style="289" customWidth="1"/>
    <col min="9992" max="9992" width="13" style="289" customWidth="1"/>
    <col min="9993" max="9993" width="12.5703125" style="289" customWidth="1"/>
    <col min="9994" max="10240" width="5.5703125" style="289"/>
    <col min="10241" max="10241" width="10.140625" style="289" customWidth="1"/>
    <col min="10242" max="10242" width="46.140625" style="289" customWidth="1"/>
    <col min="10243" max="10245" width="10" style="289" customWidth="1"/>
    <col min="10246" max="10246" width="9.42578125" style="289" customWidth="1"/>
    <col min="10247" max="10247" width="12.5703125" style="289" customWidth="1"/>
    <col min="10248" max="10248" width="13" style="289" customWidth="1"/>
    <col min="10249" max="10249" width="12.5703125" style="289" customWidth="1"/>
    <col min="10250" max="10496" width="5.5703125" style="289"/>
    <col min="10497" max="10497" width="10.140625" style="289" customWidth="1"/>
    <col min="10498" max="10498" width="46.140625" style="289" customWidth="1"/>
    <col min="10499" max="10501" width="10" style="289" customWidth="1"/>
    <col min="10502" max="10502" width="9.42578125" style="289" customWidth="1"/>
    <col min="10503" max="10503" width="12.5703125" style="289" customWidth="1"/>
    <col min="10504" max="10504" width="13" style="289" customWidth="1"/>
    <col min="10505" max="10505" width="12.5703125" style="289" customWidth="1"/>
    <col min="10506" max="10752" width="5.5703125" style="289"/>
    <col min="10753" max="10753" width="10.140625" style="289" customWidth="1"/>
    <col min="10754" max="10754" width="46.140625" style="289" customWidth="1"/>
    <col min="10755" max="10757" width="10" style="289" customWidth="1"/>
    <col min="10758" max="10758" width="9.42578125" style="289" customWidth="1"/>
    <col min="10759" max="10759" width="12.5703125" style="289" customWidth="1"/>
    <col min="10760" max="10760" width="13" style="289" customWidth="1"/>
    <col min="10761" max="10761" width="12.5703125" style="289" customWidth="1"/>
    <col min="10762" max="11008" width="5.5703125" style="289"/>
    <col min="11009" max="11009" width="10.140625" style="289" customWidth="1"/>
    <col min="11010" max="11010" width="46.140625" style="289" customWidth="1"/>
    <col min="11011" max="11013" width="10" style="289" customWidth="1"/>
    <col min="11014" max="11014" width="9.42578125" style="289" customWidth="1"/>
    <col min="11015" max="11015" width="12.5703125" style="289" customWidth="1"/>
    <col min="11016" max="11016" width="13" style="289" customWidth="1"/>
    <col min="11017" max="11017" width="12.5703125" style="289" customWidth="1"/>
    <col min="11018" max="11264" width="5.5703125" style="289"/>
    <col min="11265" max="11265" width="10.140625" style="289" customWidth="1"/>
    <col min="11266" max="11266" width="46.140625" style="289" customWidth="1"/>
    <col min="11267" max="11269" width="10" style="289" customWidth="1"/>
    <col min="11270" max="11270" width="9.42578125" style="289" customWidth="1"/>
    <col min="11271" max="11271" width="12.5703125" style="289" customWidth="1"/>
    <col min="11272" max="11272" width="13" style="289" customWidth="1"/>
    <col min="11273" max="11273" width="12.5703125" style="289" customWidth="1"/>
    <col min="11274" max="11520" width="5.5703125" style="289"/>
    <col min="11521" max="11521" width="10.140625" style="289" customWidth="1"/>
    <col min="11522" max="11522" width="46.140625" style="289" customWidth="1"/>
    <col min="11523" max="11525" width="10" style="289" customWidth="1"/>
    <col min="11526" max="11526" width="9.42578125" style="289" customWidth="1"/>
    <col min="11527" max="11527" width="12.5703125" style="289" customWidth="1"/>
    <col min="11528" max="11528" width="13" style="289" customWidth="1"/>
    <col min="11529" max="11529" width="12.5703125" style="289" customWidth="1"/>
    <col min="11530" max="11776" width="5.5703125" style="289"/>
    <col min="11777" max="11777" width="10.140625" style="289" customWidth="1"/>
    <col min="11778" max="11778" width="46.140625" style="289" customWidth="1"/>
    <col min="11779" max="11781" width="10" style="289" customWidth="1"/>
    <col min="11782" max="11782" width="9.42578125" style="289" customWidth="1"/>
    <col min="11783" max="11783" width="12.5703125" style="289" customWidth="1"/>
    <col min="11784" max="11784" width="13" style="289" customWidth="1"/>
    <col min="11785" max="11785" width="12.5703125" style="289" customWidth="1"/>
    <col min="11786" max="12032" width="5.5703125" style="289"/>
    <col min="12033" max="12033" width="10.140625" style="289" customWidth="1"/>
    <col min="12034" max="12034" width="46.140625" style="289" customWidth="1"/>
    <col min="12035" max="12037" width="10" style="289" customWidth="1"/>
    <col min="12038" max="12038" width="9.42578125" style="289" customWidth="1"/>
    <col min="12039" max="12039" width="12.5703125" style="289" customWidth="1"/>
    <col min="12040" max="12040" width="13" style="289" customWidth="1"/>
    <col min="12041" max="12041" width="12.5703125" style="289" customWidth="1"/>
    <col min="12042" max="12288" width="5.5703125" style="289"/>
    <col min="12289" max="12289" width="10.140625" style="289" customWidth="1"/>
    <col min="12290" max="12290" width="46.140625" style="289" customWidth="1"/>
    <col min="12291" max="12293" width="10" style="289" customWidth="1"/>
    <col min="12294" max="12294" width="9.42578125" style="289" customWidth="1"/>
    <col min="12295" max="12295" width="12.5703125" style="289" customWidth="1"/>
    <col min="12296" max="12296" width="13" style="289" customWidth="1"/>
    <col min="12297" max="12297" width="12.5703125" style="289" customWidth="1"/>
    <col min="12298" max="12544" width="5.5703125" style="289"/>
    <col min="12545" max="12545" width="10.140625" style="289" customWidth="1"/>
    <col min="12546" max="12546" width="46.140625" style="289" customWidth="1"/>
    <col min="12547" max="12549" width="10" style="289" customWidth="1"/>
    <col min="12550" max="12550" width="9.42578125" style="289" customWidth="1"/>
    <col min="12551" max="12551" width="12.5703125" style="289" customWidth="1"/>
    <col min="12552" max="12552" width="13" style="289" customWidth="1"/>
    <col min="12553" max="12553" width="12.5703125" style="289" customWidth="1"/>
    <col min="12554" max="12800" width="5.5703125" style="289"/>
    <col min="12801" max="12801" width="10.140625" style="289" customWidth="1"/>
    <col min="12802" max="12802" width="46.140625" style="289" customWidth="1"/>
    <col min="12803" max="12805" width="10" style="289" customWidth="1"/>
    <col min="12806" max="12806" width="9.42578125" style="289" customWidth="1"/>
    <col min="12807" max="12807" width="12.5703125" style="289" customWidth="1"/>
    <col min="12808" max="12808" width="13" style="289" customWidth="1"/>
    <col min="12809" max="12809" width="12.5703125" style="289" customWidth="1"/>
    <col min="12810" max="13056" width="5.5703125" style="289"/>
    <col min="13057" max="13057" width="10.140625" style="289" customWidth="1"/>
    <col min="13058" max="13058" width="46.140625" style="289" customWidth="1"/>
    <col min="13059" max="13061" width="10" style="289" customWidth="1"/>
    <col min="13062" max="13062" width="9.42578125" style="289" customWidth="1"/>
    <col min="13063" max="13063" width="12.5703125" style="289" customWidth="1"/>
    <col min="13064" max="13064" width="13" style="289" customWidth="1"/>
    <col min="13065" max="13065" width="12.5703125" style="289" customWidth="1"/>
    <col min="13066" max="13312" width="5.5703125" style="289"/>
    <col min="13313" max="13313" width="10.140625" style="289" customWidth="1"/>
    <col min="13314" max="13314" width="46.140625" style="289" customWidth="1"/>
    <col min="13315" max="13317" width="10" style="289" customWidth="1"/>
    <col min="13318" max="13318" width="9.42578125" style="289" customWidth="1"/>
    <col min="13319" max="13319" width="12.5703125" style="289" customWidth="1"/>
    <col min="13320" max="13320" width="13" style="289" customWidth="1"/>
    <col min="13321" max="13321" width="12.5703125" style="289" customWidth="1"/>
    <col min="13322" max="13568" width="5.5703125" style="289"/>
    <col min="13569" max="13569" width="10.140625" style="289" customWidth="1"/>
    <col min="13570" max="13570" width="46.140625" style="289" customWidth="1"/>
    <col min="13571" max="13573" width="10" style="289" customWidth="1"/>
    <col min="13574" max="13574" width="9.42578125" style="289" customWidth="1"/>
    <col min="13575" max="13575" width="12.5703125" style="289" customWidth="1"/>
    <col min="13576" max="13576" width="13" style="289" customWidth="1"/>
    <col min="13577" max="13577" width="12.5703125" style="289" customWidth="1"/>
    <col min="13578" max="13824" width="5.5703125" style="289"/>
    <col min="13825" max="13825" width="10.140625" style="289" customWidth="1"/>
    <col min="13826" max="13826" width="46.140625" style="289" customWidth="1"/>
    <col min="13827" max="13829" width="10" style="289" customWidth="1"/>
    <col min="13830" max="13830" width="9.42578125" style="289" customWidth="1"/>
    <col min="13831" max="13831" width="12.5703125" style="289" customWidth="1"/>
    <col min="13832" max="13832" width="13" style="289" customWidth="1"/>
    <col min="13833" max="13833" width="12.5703125" style="289" customWidth="1"/>
    <col min="13834" max="14080" width="5.5703125" style="289"/>
    <col min="14081" max="14081" width="10.140625" style="289" customWidth="1"/>
    <col min="14082" max="14082" width="46.140625" style="289" customWidth="1"/>
    <col min="14083" max="14085" width="10" style="289" customWidth="1"/>
    <col min="14086" max="14086" width="9.42578125" style="289" customWidth="1"/>
    <col min="14087" max="14087" width="12.5703125" style="289" customWidth="1"/>
    <col min="14088" max="14088" width="13" style="289" customWidth="1"/>
    <col min="14089" max="14089" width="12.5703125" style="289" customWidth="1"/>
    <col min="14090" max="14336" width="5.5703125" style="289"/>
    <col min="14337" max="14337" width="10.140625" style="289" customWidth="1"/>
    <col min="14338" max="14338" width="46.140625" style="289" customWidth="1"/>
    <col min="14339" max="14341" width="10" style="289" customWidth="1"/>
    <col min="14342" max="14342" width="9.42578125" style="289" customWidth="1"/>
    <col min="14343" max="14343" width="12.5703125" style="289" customWidth="1"/>
    <col min="14344" max="14344" width="13" style="289" customWidth="1"/>
    <col min="14345" max="14345" width="12.5703125" style="289" customWidth="1"/>
    <col min="14346" max="14592" width="5.5703125" style="289"/>
    <col min="14593" max="14593" width="10.140625" style="289" customWidth="1"/>
    <col min="14594" max="14594" width="46.140625" style="289" customWidth="1"/>
    <col min="14595" max="14597" width="10" style="289" customWidth="1"/>
    <col min="14598" max="14598" width="9.42578125" style="289" customWidth="1"/>
    <col min="14599" max="14599" width="12.5703125" style="289" customWidth="1"/>
    <col min="14600" max="14600" width="13" style="289" customWidth="1"/>
    <col min="14601" max="14601" width="12.5703125" style="289" customWidth="1"/>
    <col min="14602" max="14848" width="5.5703125" style="289"/>
    <col min="14849" max="14849" width="10.140625" style="289" customWidth="1"/>
    <col min="14850" max="14850" width="46.140625" style="289" customWidth="1"/>
    <col min="14851" max="14853" width="10" style="289" customWidth="1"/>
    <col min="14854" max="14854" width="9.42578125" style="289" customWidth="1"/>
    <col min="14855" max="14855" width="12.5703125" style="289" customWidth="1"/>
    <col min="14856" max="14856" width="13" style="289" customWidth="1"/>
    <col min="14857" max="14857" width="12.5703125" style="289" customWidth="1"/>
    <col min="14858" max="15104" width="5.5703125" style="289"/>
    <col min="15105" max="15105" width="10.140625" style="289" customWidth="1"/>
    <col min="15106" max="15106" width="46.140625" style="289" customWidth="1"/>
    <col min="15107" max="15109" width="10" style="289" customWidth="1"/>
    <col min="15110" max="15110" width="9.42578125" style="289" customWidth="1"/>
    <col min="15111" max="15111" width="12.5703125" style="289" customWidth="1"/>
    <col min="15112" max="15112" width="13" style="289" customWidth="1"/>
    <col min="15113" max="15113" width="12.5703125" style="289" customWidth="1"/>
    <col min="15114" max="15360" width="5.5703125" style="289"/>
    <col min="15361" max="15361" width="10.140625" style="289" customWidth="1"/>
    <col min="15362" max="15362" width="46.140625" style="289" customWidth="1"/>
    <col min="15363" max="15365" width="10" style="289" customWidth="1"/>
    <col min="15366" max="15366" width="9.42578125" style="289" customWidth="1"/>
    <col min="15367" max="15367" width="12.5703125" style="289" customWidth="1"/>
    <col min="15368" max="15368" width="13" style="289" customWidth="1"/>
    <col min="15369" max="15369" width="12.5703125" style="289" customWidth="1"/>
    <col min="15370" max="15616" width="5.5703125" style="289"/>
    <col min="15617" max="15617" width="10.140625" style="289" customWidth="1"/>
    <col min="15618" max="15618" width="46.140625" style="289" customWidth="1"/>
    <col min="15619" max="15621" width="10" style="289" customWidth="1"/>
    <col min="15622" max="15622" width="9.42578125" style="289" customWidth="1"/>
    <col min="15623" max="15623" width="12.5703125" style="289" customWidth="1"/>
    <col min="15624" max="15624" width="13" style="289" customWidth="1"/>
    <col min="15625" max="15625" width="12.5703125" style="289" customWidth="1"/>
    <col min="15626" max="15872" width="5.5703125" style="289"/>
    <col min="15873" max="15873" width="10.140625" style="289" customWidth="1"/>
    <col min="15874" max="15874" width="46.140625" style="289" customWidth="1"/>
    <col min="15875" max="15877" width="10" style="289" customWidth="1"/>
    <col min="15878" max="15878" width="9.42578125" style="289" customWidth="1"/>
    <col min="15879" max="15879" width="12.5703125" style="289" customWidth="1"/>
    <col min="15880" max="15880" width="13" style="289" customWidth="1"/>
    <col min="15881" max="15881" width="12.5703125" style="289" customWidth="1"/>
    <col min="15882" max="16128" width="5.5703125" style="289"/>
    <col min="16129" max="16129" width="10.140625" style="289" customWidth="1"/>
    <col min="16130" max="16130" width="46.140625" style="289" customWidth="1"/>
    <col min="16131" max="16133" width="10" style="289" customWidth="1"/>
    <col min="16134" max="16134" width="9.42578125" style="289" customWidth="1"/>
    <col min="16135" max="16135" width="12.5703125" style="289" customWidth="1"/>
    <col min="16136" max="16136" width="13" style="289" customWidth="1"/>
    <col min="16137" max="16137" width="12.5703125" style="289" customWidth="1"/>
    <col min="16138" max="16384" width="5.5703125" style="289"/>
  </cols>
  <sheetData>
    <row r="1" spans="1:9" s="277" customFormat="1" ht="18.75" customHeight="1">
      <c r="A1" s="276" t="s">
        <v>120</v>
      </c>
      <c r="C1" s="278" t="s">
        <v>121</v>
      </c>
      <c r="D1" s="278"/>
      <c r="E1" s="278"/>
      <c r="F1" s="279" t="s">
        <v>122</v>
      </c>
      <c r="H1" s="280" t="s">
        <v>182</v>
      </c>
      <c r="I1" s="280"/>
    </row>
    <row r="2" spans="1:9" s="283" customFormat="1" ht="27.75" customHeight="1">
      <c r="A2" s="281" t="s">
        <v>123</v>
      </c>
      <c r="B2" s="282"/>
      <c r="C2" s="282"/>
      <c r="D2" s="282"/>
      <c r="E2" s="282"/>
      <c r="F2" s="282"/>
      <c r="G2" s="282"/>
      <c r="H2" s="282"/>
      <c r="I2" s="282"/>
    </row>
    <row r="3" spans="1:9" ht="21.75" customHeight="1">
      <c r="A3" s="284" t="s">
        <v>124</v>
      </c>
      <c r="B3" s="285" t="s">
        <v>125</v>
      </c>
      <c r="C3" s="286"/>
      <c r="D3" s="286"/>
      <c r="E3" s="286"/>
      <c r="F3" s="286"/>
      <c r="G3" s="286"/>
      <c r="H3" s="287"/>
      <c r="I3" s="288"/>
    </row>
    <row r="4" spans="1:9" ht="12.75" customHeight="1">
      <c r="A4" s="290" t="s">
        <v>126</v>
      </c>
      <c r="B4" s="291"/>
      <c r="C4" s="291"/>
      <c r="D4" s="291"/>
      <c r="E4" s="291"/>
      <c r="F4" s="291"/>
      <c r="G4" s="291"/>
      <c r="H4" s="291"/>
      <c r="I4" s="291"/>
    </row>
    <row r="5" spans="1:9" ht="12.75" customHeight="1">
      <c r="A5" s="292"/>
      <c r="B5" s="291"/>
      <c r="C5" s="291"/>
      <c r="D5" s="291"/>
      <c r="E5" s="291"/>
      <c r="F5" s="291"/>
      <c r="G5" s="291"/>
      <c r="H5" s="291"/>
      <c r="I5" s="291"/>
    </row>
    <row r="6" spans="1:9" ht="12.75" customHeight="1">
      <c r="A6" s="292"/>
      <c r="B6" s="291"/>
      <c r="C6" s="291"/>
      <c r="D6" s="291"/>
      <c r="E6" s="291"/>
      <c r="F6" s="291"/>
      <c r="G6" s="291"/>
      <c r="H6" s="291"/>
      <c r="I6" s="291"/>
    </row>
    <row r="7" spans="1:9" ht="15.75" customHeight="1">
      <c r="A7" s="293" t="s">
        <v>127</v>
      </c>
      <c r="B7" s="294"/>
      <c r="C7" s="295"/>
      <c r="D7" s="295"/>
      <c r="E7" s="295"/>
      <c r="F7" s="295"/>
      <c r="G7" s="295"/>
      <c r="H7" s="296"/>
      <c r="I7" s="296"/>
    </row>
    <row r="8" spans="1:9" s="303" customFormat="1" ht="27" customHeight="1">
      <c r="A8" s="297" t="s">
        <v>128</v>
      </c>
      <c r="B8" s="298" t="s">
        <v>129</v>
      </c>
      <c r="C8" s="299" t="s">
        <v>130</v>
      </c>
      <c r="D8" s="300" t="s">
        <v>131</v>
      </c>
      <c r="E8" s="299" t="s">
        <v>132</v>
      </c>
      <c r="F8" s="300" t="s">
        <v>133</v>
      </c>
      <c r="G8" s="300" t="s">
        <v>134</v>
      </c>
      <c r="H8" s="301" t="s">
        <v>135</v>
      </c>
      <c r="I8" s="302"/>
    </row>
    <row r="9" spans="1:9" s="303" customFormat="1" ht="21.75" customHeight="1">
      <c r="A9" s="304"/>
      <c r="B9" s="305"/>
      <c r="C9" s="299" t="s">
        <v>136</v>
      </c>
      <c r="D9" s="299" t="s">
        <v>137</v>
      </c>
      <c r="E9" s="299" t="s">
        <v>138</v>
      </c>
      <c r="F9" s="299" t="s">
        <v>139</v>
      </c>
      <c r="G9" s="299" t="s">
        <v>140</v>
      </c>
      <c r="H9" s="302"/>
      <c r="I9" s="302"/>
    </row>
    <row r="10" spans="1:9" ht="27" customHeight="1">
      <c r="A10" s="306" t="s">
        <v>141</v>
      </c>
      <c r="B10" s="307" t="s">
        <v>142</v>
      </c>
      <c r="C10" s="308"/>
      <c r="D10" s="308"/>
      <c r="E10" s="309"/>
      <c r="F10" s="309"/>
      <c r="G10" s="309"/>
      <c r="H10" s="310"/>
      <c r="I10" s="310"/>
    </row>
    <row r="11" spans="1:9" ht="27" customHeight="1">
      <c r="A11" s="311"/>
      <c r="B11" s="307" t="s">
        <v>143</v>
      </c>
      <c r="C11" s="308"/>
      <c r="D11" s="308"/>
      <c r="E11" s="309"/>
      <c r="F11" s="309"/>
      <c r="G11" s="309"/>
      <c r="H11" s="310"/>
      <c r="I11" s="310"/>
    </row>
    <row r="12" spans="1:9" ht="27" customHeight="1">
      <c r="A12" s="311"/>
      <c r="B12" s="307" t="s">
        <v>144</v>
      </c>
      <c r="C12" s="308"/>
      <c r="D12" s="308"/>
      <c r="E12" s="309"/>
      <c r="F12" s="309"/>
      <c r="G12" s="309"/>
      <c r="H12" s="310"/>
      <c r="I12" s="310"/>
    </row>
    <row r="13" spans="1:9" ht="27" customHeight="1">
      <c r="A13" s="312" t="s">
        <v>145</v>
      </c>
      <c r="B13" s="307" t="s">
        <v>146</v>
      </c>
      <c r="C13" s="308"/>
      <c r="D13" s="308"/>
      <c r="E13" s="309"/>
      <c r="F13" s="309"/>
      <c r="G13" s="309"/>
      <c r="H13" s="310"/>
      <c r="I13" s="310"/>
    </row>
    <row r="14" spans="1:9" ht="27" customHeight="1">
      <c r="A14" s="313"/>
      <c r="B14" s="307" t="s">
        <v>147</v>
      </c>
      <c r="C14" s="308"/>
      <c r="D14" s="308"/>
      <c r="E14" s="309"/>
      <c r="F14" s="309"/>
      <c r="G14" s="309"/>
      <c r="H14" s="310"/>
      <c r="I14" s="310"/>
    </row>
    <row r="15" spans="1:9" ht="27" customHeight="1">
      <c r="A15" s="313"/>
      <c r="B15" s="307" t="s">
        <v>148</v>
      </c>
      <c r="C15" s="308"/>
      <c r="D15" s="308"/>
      <c r="E15" s="309"/>
      <c r="F15" s="309"/>
      <c r="G15" s="309"/>
      <c r="H15" s="310"/>
      <c r="I15" s="310"/>
    </row>
    <row r="16" spans="1:9" ht="27" customHeight="1">
      <c r="A16" s="314"/>
      <c r="B16" s="307" t="s">
        <v>149</v>
      </c>
      <c r="C16" s="308"/>
      <c r="D16" s="308"/>
      <c r="E16" s="309"/>
      <c r="F16" s="309"/>
      <c r="G16" s="309"/>
      <c r="H16" s="310"/>
      <c r="I16" s="310"/>
    </row>
    <row r="17" spans="1:9" ht="27" customHeight="1">
      <c r="A17" s="312" t="s">
        <v>150</v>
      </c>
      <c r="B17" s="307" t="s">
        <v>151</v>
      </c>
      <c r="C17" s="308"/>
      <c r="D17" s="308"/>
      <c r="E17" s="309"/>
      <c r="F17" s="309"/>
      <c r="G17" s="309"/>
      <c r="H17" s="310"/>
      <c r="I17" s="310"/>
    </row>
    <row r="18" spans="1:9" ht="27" customHeight="1">
      <c r="A18" s="314"/>
      <c r="B18" s="307" t="s">
        <v>152</v>
      </c>
      <c r="C18" s="308"/>
      <c r="D18" s="308"/>
      <c r="E18" s="309"/>
      <c r="F18" s="309"/>
      <c r="G18" s="309"/>
      <c r="H18" s="310"/>
      <c r="I18" s="310"/>
    </row>
    <row r="19" spans="1:9" ht="27" customHeight="1">
      <c r="A19" s="312" t="s">
        <v>153</v>
      </c>
      <c r="B19" s="307" t="s">
        <v>154</v>
      </c>
      <c r="C19" s="308"/>
      <c r="D19" s="308"/>
      <c r="E19" s="309"/>
      <c r="F19" s="309"/>
      <c r="G19" s="309"/>
      <c r="H19" s="310"/>
      <c r="I19" s="310"/>
    </row>
    <row r="20" spans="1:9" ht="27" customHeight="1">
      <c r="A20" s="313"/>
      <c r="B20" s="307" t="s">
        <v>155</v>
      </c>
      <c r="C20" s="308"/>
      <c r="D20" s="308"/>
      <c r="E20" s="309"/>
      <c r="F20" s="309"/>
      <c r="G20" s="309"/>
      <c r="H20" s="310"/>
      <c r="I20" s="310"/>
    </row>
    <row r="21" spans="1:9" ht="27" customHeight="1">
      <c r="A21" s="313"/>
      <c r="B21" s="307" t="s">
        <v>156</v>
      </c>
      <c r="C21" s="308"/>
      <c r="D21" s="308"/>
      <c r="E21" s="309"/>
      <c r="F21" s="309"/>
      <c r="G21" s="309"/>
      <c r="H21" s="310"/>
      <c r="I21" s="310"/>
    </row>
    <row r="22" spans="1:9" ht="27" customHeight="1">
      <c r="A22" s="314"/>
      <c r="B22" s="307" t="s">
        <v>157</v>
      </c>
      <c r="C22" s="308"/>
      <c r="D22" s="308"/>
      <c r="E22" s="309"/>
      <c r="F22" s="309"/>
      <c r="G22" s="309"/>
      <c r="H22" s="310"/>
      <c r="I22" s="310"/>
    </row>
    <row r="23" spans="1:9" ht="27" customHeight="1">
      <c r="A23" s="312" t="s">
        <v>158</v>
      </c>
      <c r="B23" s="307" t="s">
        <v>159</v>
      </c>
      <c r="C23" s="308"/>
      <c r="D23" s="308"/>
      <c r="E23" s="309"/>
      <c r="F23" s="309"/>
      <c r="G23" s="309"/>
      <c r="H23" s="310"/>
      <c r="I23" s="310"/>
    </row>
    <row r="24" spans="1:9" ht="27" customHeight="1">
      <c r="A24" s="313"/>
      <c r="B24" s="307" t="s">
        <v>160</v>
      </c>
      <c r="C24" s="308"/>
      <c r="D24" s="308"/>
      <c r="E24" s="309"/>
      <c r="F24" s="309"/>
      <c r="G24" s="309"/>
      <c r="H24" s="310"/>
      <c r="I24" s="310"/>
    </row>
    <row r="25" spans="1:9" ht="27" customHeight="1">
      <c r="A25" s="314"/>
      <c r="B25" s="307" t="s">
        <v>161</v>
      </c>
      <c r="C25" s="308"/>
      <c r="D25" s="308"/>
      <c r="E25" s="309"/>
      <c r="F25" s="309"/>
      <c r="G25" s="309"/>
      <c r="H25" s="310"/>
      <c r="I25" s="310"/>
    </row>
    <row r="26" spans="1:9" ht="27" customHeight="1">
      <c r="A26" s="312" t="s">
        <v>162</v>
      </c>
      <c r="B26" s="307" t="s">
        <v>163</v>
      </c>
      <c r="C26" s="308"/>
      <c r="D26" s="308"/>
      <c r="E26" s="309"/>
      <c r="F26" s="309"/>
      <c r="G26" s="309"/>
      <c r="H26" s="310"/>
      <c r="I26" s="310"/>
    </row>
    <row r="27" spans="1:9" ht="27" customHeight="1">
      <c r="A27" s="313"/>
      <c r="B27" s="307" t="s">
        <v>164</v>
      </c>
      <c r="C27" s="308"/>
      <c r="D27" s="308"/>
      <c r="E27" s="309"/>
      <c r="F27" s="309"/>
      <c r="G27" s="309"/>
      <c r="H27" s="310"/>
      <c r="I27" s="310"/>
    </row>
    <row r="28" spans="1:9" ht="27" customHeight="1">
      <c r="A28" s="313"/>
      <c r="B28" s="307" t="s">
        <v>165</v>
      </c>
      <c r="C28" s="308"/>
      <c r="D28" s="308"/>
      <c r="E28" s="309"/>
      <c r="F28" s="309"/>
      <c r="G28" s="309"/>
      <c r="H28" s="310"/>
      <c r="I28" s="310"/>
    </row>
    <row r="29" spans="1:9" ht="27" customHeight="1">
      <c r="A29" s="314"/>
      <c r="B29" s="307" t="s">
        <v>166</v>
      </c>
      <c r="C29" s="308"/>
      <c r="D29" s="308"/>
      <c r="E29" s="309"/>
      <c r="F29" s="309"/>
      <c r="G29" s="309"/>
      <c r="H29" s="310"/>
      <c r="I29" s="310"/>
    </row>
    <row r="30" spans="1:9" ht="13.5" customHeight="1">
      <c r="A30" s="315"/>
      <c r="B30" s="315"/>
      <c r="C30" s="315"/>
      <c r="D30" s="315"/>
      <c r="E30" s="315"/>
      <c r="F30" s="315"/>
      <c r="G30" s="315"/>
      <c r="H30" s="316"/>
      <c r="I30" s="316"/>
    </row>
    <row r="31" spans="1:9" ht="15.75" customHeight="1">
      <c r="A31" s="311" t="s">
        <v>167</v>
      </c>
      <c r="B31" s="311"/>
      <c r="C31" s="311"/>
      <c r="D31" s="311"/>
      <c r="E31" s="311"/>
      <c r="F31" s="315"/>
      <c r="G31" s="315"/>
      <c r="H31" s="316"/>
      <c r="I31" s="316"/>
    </row>
    <row r="32" spans="1:9" ht="16.5" customHeight="1">
      <c r="A32" s="311" t="s">
        <v>168</v>
      </c>
      <c r="B32" s="311"/>
      <c r="C32" s="317" t="s">
        <v>169</v>
      </c>
      <c r="D32" s="318"/>
      <c r="E32" s="319"/>
      <c r="F32" s="315"/>
      <c r="G32" s="315"/>
      <c r="H32" s="316"/>
      <c r="I32" s="316"/>
    </row>
    <row r="33" spans="1:9" ht="16.5" customHeight="1">
      <c r="A33" s="311" t="s">
        <v>170</v>
      </c>
      <c r="B33" s="311"/>
      <c r="C33" s="317" t="s">
        <v>171</v>
      </c>
      <c r="D33" s="318"/>
      <c r="E33" s="319"/>
      <c r="F33" s="315"/>
      <c r="G33" s="315"/>
      <c r="H33" s="316"/>
      <c r="I33" s="316"/>
    </row>
    <row r="34" spans="1:9" ht="16.5" customHeight="1">
      <c r="A34" s="311" t="s">
        <v>172</v>
      </c>
      <c r="B34" s="311"/>
      <c r="C34" s="317" t="s">
        <v>173</v>
      </c>
      <c r="D34" s="318"/>
      <c r="E34" s="319"/>
      <c r="F34" s="315"/>
      <c r="G34" s="315"/>
      <c r="H34" s="316"/>
      <c r="I34" s="316"/>
    </row>
    <row r="35" spans="1:9" ht="16.5" customHeight="1">
      <c r="A35" s="311" t="s">
        <v>174</v>
      </c>
      <c r="B35" s="311"/>
      <c r="C35" s="317" t="s">
        <v>175</v>
      </c>
      <c r="D35" s="318"/>
      <c r="E35" s="319"/>
      <c r="F35" s="315"/>
      <c r="G35" s="315"/>
      <c r="H35" s="316"/>
      <c r="I35" s="316"/>
    </row>
    <row r="36" spans="1:9" ht="21.75" customHeight="1">
      <c r="A36" s="320" t="s">
        <v>176</v>
      </c>
      <c r="B36" s="287"/>
      <c r="C36" s="286"/>
      <c r="D36" s="286"/>
      <c r="E36" s="286"/>
      <c r="F36" s="286"/>
      <c r="G36" s="286"/>
      <c r="H36" s="287"/>
      <c r="I36" s="287"/>
    </row>
    <row r="37" spans="1:9" ht="21.75" customHeight="1">
      <c r="A37" s="320" t="s">
        <v>177</v>
      </c>
      <c r="B37" s="287"/>
      <c r="C37" s="286"/>
      <c r="D37" s="286"/>
      <c r="E37" s="286"/>
      <c r="F37" s="286"/>
      <c r="G37" s="286"/>
      <c r="H37" s="287"/>
      <c r="I37" s="287"/>
    </row>
    <row r="38" spans="1:9" ht="21.75" customHeight="1">
      <c r="A38" s="320"/>
      <c r="B38" s="287"/>
      <c r="C38" s="286" t="s">
        <v>178</v>
      </c>
      <c r="D38" s="286"/>
      <c r="E38" s="286"/>
      <c r="F38" s="286"/>
      <c r="G38" s="286"/>
      <c r="H38" s="287"/>
      <c r="I38" s="286"/>
    </row>
    <row r="39" spans="1:9" ht="21.75" customHeight="1">
      <c r="A39" s="320"/>
      <c r="B39" s="287"/>
      <c r="C39" s="315"/>
      <c r="D39" s="315"/>
      <c r="E39" s="315"/>
      <c r="F39" s="315"/>
      <c r="G39" s="286"/>
      <c r="H39" s="287"/>
      <c r="I39" s="315"/>
    </row>
    <row r="40" spans="1:9" s="303" customFormat="1" ht="18.75" customHeight="1">
      <c r="A40" s="321"/>
      <c r="B40" s="322"/>
      <c r="C40" s="323"/>
      <c r="D40" s="323"/>
      <c r="E40" s="323"/>
      <c r="F40" s="323"/>
      <c r="G40" s="323"/>
      <c r="H40" s="322"/>
      <c r="I40" s="322"/>
    </row>
    <row r="41" spans="1:9" s="328" customFormat="1" ht="21.75" customHeight="1">
      <c r="A41" s="279" t="s">
        <v>179</v>
      </c>
      <c r="B41" s="279"/>
      <c r="C41" s="324"/>
      <c r="D41" s="325"/>
      <c r="E41" s="326" t="s">
        <v>180</v>
      </c>
      <c r="F41" s="326"/>
      <c r="G41" s="326"/>
      <c r="H41" s="279" t="s">
        <v>181</v>
      </c>
      <c r="I41" s="327"/>
    </row>
    <row r="42" spans="1:9" ht="21.75" customHeight="1">
      <c r="A42" s="329"/>
      <c r="B42" s="329"/>
      <c r="C42" s="330"/>
      <c r="D42" s="330"/>
      <c r="E42" s="330"/>
      <c r="F42" s="330"/>
      <c r="G42" s="330"/>
      <c r="H42" s="329"/>
      <c r="I42" s="329"/>
    </row>
  </sheetData>
  <mergeCells count="29">
    <mergeCell ref="A35:B35"/>
    <mergeCell ref="C35:E35"/>
    <mergeCell ref="E41:G41"/>
    <mergeCell ref="A31:E31"/>
    <mergeCell ref="A32:B32"/>
    <mergeCell ref="C32:E32"/>
    <mergeCell ref="A33:B33"/>
    <mergeCell ref="C33:E33"/>
    <mergeCell ref="A34:B34"/>
    <mergeCell ref="C34:E34"/>
    <mergeCell ref="A19:A22"/>
    <mergeCell ref="H19:I22"/>
    <mergeCell ref="A23:A25"/>
    <mergeCell ref="H23:I25"/>
    <mergeCell ref="A26:A29"/>
    <mergeCell ref="H26:I29"/>
    <mergeCell ref="A10:A12"/>
    <mergeCell ref="H10:I12"/>
    <mergeCell ref="A13:A16"/>
    <mergeCell ref="H13:I16"/>
    <mergeCell ref="A17:A18"/>
    <mergeCell ref="H17:I18"/>
    <mergeCell ref="C1:E1"/>
    <mergeCell ref="H1:I1"/>
    <mergeCell ref="A2:I2"/>
    <mergeCell ref="A4:I6"/>
    <mergeCell ref="A8:A9"/>
    <mergeCell ref="B8:B9"/>
    <mergeCell ref="H8:I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Z17"/>
  <sheetViews>
    <sheetView showGridLines="0" zoomScale="85" zoomScaleNormal="85" workbookViewId="0">
      <selection activeCell="M18" sqref="M18"/>
    </sheetView>
  </sheetViews>
  <sheetFormatPr defaultColWidth="2" defaultRowHeight="12"/>
  <cols>
    <col min="1" max="1" width="1" style="43" customWidth="1"/>
    <col min="2" max="7" width="2" style="43" customWidth="1"/>
    <col min="8" max="8" width="29.42578125" style="43" customWidth="1"/>
    <col min="9" max="9" width="5.5703125" style="43" customWidth="1"/>
    <col min="10" max="13" width="10.5703125" style="43" customWidth="1"/>
    <col min="14" max="14" width="12.28515625" style="43" customWidth="1"/>
    <col min="15" max="15" width="11.5703125" style="43" customWidth="1"/>
    <col min="16" max="16" width="10.42578125" style="43" customWidth="1"/>
    <col min="17" max="17" width="8.140625" style="43" customWidth="1"/>
    <col min="18" max="18" width="7.28515625" style="43" customWidth="1"/>
    <col min="19" max="21" width="4.28515625" style="43" customWidth="1"/>
    <col min="22" max="22" width="9" style="43" customWidth="1"/>
    <col min="23" max="26" width="4.28515625" style="43" customWidth="1"/>
    <col min="27" max="47" width="1.7109375" style="43" customWidth="1"/>
    <col min="48" max="49" width="2" style="43"/>
    <col min="50" max="50" width="7.5703125" style="43" customWidth="1"/>
    <col min="51" max="53" width="3.42578125" style="43" customWidth="1"/>
    <col min="54" max="62" width="2" style="43"/>
    <col min="63" max="67" width="4.28515625" style="43" customWidth="1"/>
    <col min="68" max="69" width="2" style="43"/>
    <col min="70" max="70" width="3" style="43" customWidth="1"/>
    <col min="71" max="72" width="2" style="43"/>
    <col min="73" max="73" width="2.85546875" style="43" customWidth="1"/>
    <col min="74" max="78" width="3.7109375" style="43" customWidth="1"/>
    <col min="79" max="80" width="2" style="43"/>
    <col min="81" max="81" width="7" style="43" bestFit="1" customWidth="1"/>
    <col min="82" max="16384" width="2" style="43"/>
  </cols>
  <sheetData>
    <row r="2" spans="1:78">
      <c r="A2" s="201" t="s">
        <v>57</v>
      </c>
      <c r="B2" s="201"/>
      <c r="C2" s="201"/>
      <c r="D2" s="201"/>
      <c r="E2" s="201"/>
      <c r="F2" s="201"/>
      <c r="G2" s="201"/>
      <c r="H2" s="201"/>
      <c r="I2" s="201"/>
      <c r="J2" s="201"/>
      <c r="K2" s="201"/>
      <c r="L2" s="201"/>
      <c r="M2" s="201"/>
      <c r="N2" s="201"/>
      <c r="O2" s="201"/>
      <c r="P2" s="201"/>
      <c r="Q2" s="201"/>
      <c r="R2" s="201"/>
      <c r="S2" s="201"/>
      <c r="T2" s="201"/>
      <c r="U2" s="201"/>
      <c r="V2" s="201"/>
      <c r="W2" s="201"/>
      <c r="X2" s="201"/>
      <c r="Y2" s="201"/>
      <c r="Z2" s="201"/>
      <c r="AA2" s="201"/>
      <c r="AB2" s="201"/>
      <c r="AC2" s="201"/>
      <c r="AD2" s="201"/>
      <c r="AE2" s="201"/>
      <c r="AF2" s="201"/>
      <c r="AG2" s="201"/>
      <c r="AH2" s="201"/>
      <c r="AI2" s="201"/>
      <c r="AJ2" s="201"/>
      <c r="AK2" s="201"/>
      <c r="AL2" s="201"/>
      <c r="AM2" s="201"/>
      <c r="AN2" s="201"/>
      <c r="AO2" s="201"/>
      <c r="AP2" s="201"/>
      <c r="AQ2" s="201"/>
      <c r="AR2" s="201"/>
      <c r="AS2" s="201"/>
      <c r="AT2" s="201"/>
      <c r="AU2" s="201"/>
      <c r="AV2" s="201"/>
      <c r="AW2" s="201"/>
      <c r="AX2" s="201"/>
      <c r="AY2" s="201"/>
      <c r="AZ2" s="201"/>
      <c r="BA2" s="201"/>
      <c r="BB2" s="201"/>
      <c r="BC2" s="201"/>
      <c r="BD2" s="201"/>
      <c r="BE2" s="201"/>
      <c r="BF2" s="201"/>
      <c r="BG2" s="201"/>
      <c r="BH2" s="201"/>
      <c r="BI2" s="201"/>
      <c r="BJ2" s="201"/>
      <c r="BK2" s="201"/>
      <c r="BL2" s="201"/>
      <c r="BM2" s="201"/>
      <c r="BN2" s="201"/>
      <c r="BO2" s="201"/>
      <c r="BP2" s="201"/>
      <c r="BQ2" s="201"/>
      <c r="BR2" s="201"/>
      <c r="BS2" s="201"/>
      <c r="BT2" s="201"/>
      <c r="BU2" s="201"/>
      <c r="BV2" s="201"/>
      <c r="BW2" s="201"/>
      <c r="BX2" s="201"/>
      <c r="BY2" s="201"/>
      <c r="BZ2" s="201"/>
    </row>
    <row r="3" spans="1:78" ht="12.75" thickBot="1">
      <c r="A3" s="201"/>
      <c r="B3" s="201"/>
      <c r="C3" s="201"/>
      <c r="D3" s="201"/>
      <c r="E3" s="201"/>
      <c r="F3" s="201"/>
      <c r="G3" s="201"/>
      <c r="H3" s="201"/>
      <c r="I3" s="201"/>
      <c r="J3" s="201"/>
      <c r="K3" s="201"/>
      <c r="L3" s="201"/>
      <c r="M3" s="201"/>
      <c r="N3" s="201"/>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01"/>
      <c r="AW3" s="201"/>
      <c r="AX3" s="201"/>
      <c r="AY3" s="201"/>
      <c r="AZ3" s="201"/>
      <c r="BA3" s="201"/>
      <c r="BB3" s="201"/>
      <c r="BC3" s="201"/>
      <c r="BD3" s="201"/>
      <c r="BE3" s="201"/>
      <c r="BF3" s="201"/>
      <c r="BG3" s="201"/>
      <c r="BH3" s="201"/>
      <c r="BI3" s="201"/>
      <c r="BJ3" s="201"/>
      <c r="BK3" s="201"/>
      <c r="BL3" s="201"/>
      <c r="BM3" s="201"/>
      <c r="BN3" s="201"/>
      <c r="BO3" s="201"/>
      <c r="BP3" s="201"/>
      <c r="BQ3" s="201"/>
      <c r="BR3" s="201"/>
      <c r="BS3" s="201"/>
      <c r="BT3" s="201"/>
      <c r="BU3" s="201"/>
      <c r="BV3" s="201"/>
      <c r="BW3" s="201"/>
      <c r="BX3" s="201"/>
      <c r="BY3" s="201"/>
      <c r="BZ3" s="201"/>
    </row>
    <row r="4" spans="1:78">
      <c r="B4" s="202" t="s">
        <v>58</v>
      </c>
      <c r="C4" s="191"/>
      <c r="D4" s="190" t="s">
        <v>59</v>
      </c>
      <c r="E4" s="191"/>
      <c r="F4" s="191"/>
      <c r="G4" s="191"/>
      <c r="H4" s="190" t="s">
        <v>60</v>
      </c>
      <c r="I4" s="204" t="s">
        <v>61</v>
      </c>
      <c r="J4" s="206">
        <v>2021</v>
      </c>
      <c r="K4" s="207"/>
      <c r="L4" s="206">
        <v>2022</v>
      </c>
      <c r="M4" s="207"/>
      <c r="N4" s="206">
        <v>2023</v>
      </c>
      <c r="O4" s="207"/>
      <c r="P4" s="204" t="s">
        <v>62</v>
      </c>
      <c r="Q4" s="193" t="s">
        <v>63</v>
      </c>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5"/>
      <c r="AV4" s="190" t="s">
        <v>64</v>
      </c>
      <c r="AW4" s="191"/>
      <c r="AX4" s="191"/>
      <c r="AY4" s="190" t="s">
        <v>65</v>
      </c>
      <c r="AZ4" s="191"/>
      <c r="BA4" s="191"/>
      <c r="BB4" s="190" t="s">
        <v>66</v>
      </c>
      <c r="BC4" s="191"/>
      <c r="BD4" s="191"/>
      <c r="BE4" s="191"/>
      <c r="BF4" s="191"/>
      <c r="BG4" s="191"/>
      <c r="BH4" s="191"/>
      <c r="BI4" s="191"/>
      <c r="BJ4" s="191"/>
      <c r="BK4" s="190" t="s">
        <v>67</v>
      </c>
      <c r="BL4" s="191"/>
      <c r="BM4" s="191"/>
      <c r="BN4" s="191"/>
      <c r="BO4" s="191"/>
      <c r="BP4" s="193" t="s">
        <v>68</v>
      </c>
      <c r="BQ4" s="194"/>
      <c r="BR4" s="194"/>
      <c r="BS4" s="194"/>
      <c r="BT4" s="194"/>
      <c r="BU4" s="195"/>
      <c r="BV4" s="190" t="s">
        <v>69</v>
      </c>
      <c r="BW4" s="191"/>
      <c r="BX4" s="191"/>
      <c r="BY4" s="191"/>
      <c r="BZ4" s="196"/>
    </row>
    <row r="5" spans="1:78" ht="36.75" thickBot="1">
      <c r="B5" s="203"/>
      <c r="C5" s="192"/>
      <c r="D5" s="192"/>
      <c r="E5" s="192"/>
      <c r="F5" s="192"/>
      <c r="G5" s="192"/>
      <c r="H5" s="192"/>
      <c r="I5" s="261"/>
      <c r="J5" s="44" t="s">
        <v>70</v>
      </c>
      <c r="K5" s="44" t="s">
        <v>71</v>
      </c>
      <c r="L5" s="44" t="s">
        <v>70</v>
      </c>
      <c r="M5" s="44" t="s">
        <v>71</v>
      </c>
      <c r="N5" s="44" t="s">
        <v>70</v>
      </c>
      <c r="O5" s="44" t="s">
        <v>71</v>
      </c>
      <c r="P5" s="205"/>
      <c r="Q5" s="274">
        <v>1</v>
      </c>
      <c r="R5" s="275"/>
      <c r="S5" s="192">
        <v>2</v>
      </c>
      <c r="T5" s="192"/>
      <c r="U5" s="192">
        <v>3</v>
      </c>
      <c r="V5" s="192"/>
      <c r="W5" s="192">
        <v>4</v>
      </c>
      <c r="X5" s="192"/>
      <c r="Y5" s="192">
        <v>5</v>
      </c>
      <c r="Z5" s="192"/>
      <c r="AA5" s="192">
        <v>6</v>
      </c>
      <c r="AB5" s="192"/>
      <c r="AC5" s="192"/>
      <c r="AD5" s="192">
        <v>7</v>
      </c>
      <c r="AE5" s="192"/>
      <c r="AF5" s="192"/>
      <c r="AG5" s="192">
        <v>8</v>
      </c>
      <c r="AH5" s="192"/>
      <c r="AI5" s="192"/>
      <c r="AJ5" s="192">
        <v>9</v>
      </c>
      <c r="AK5" s="192"/>
      <c r="AL5" s="192"/>
      <c r="AM5" s="192">
        <v>10</v>
      </c>
      <c r="AN5" s="192"/>
      <c r="AO5" s="192"/>
      <c r="AP5" s="192">
        <v>11</v>
      </c>
      <c r="AQ5" s="192"/>
      <c r="AR5" s="192"/>
      <c r="AS5" s="192">
        <v>12</v>
      </c>
      <c r="AT5" s="192"/>
      <c r="AU5" s="192"/>
      <c r="AV5" s="192"/>
      <c r="AW5" s="192"/>
      <c r="AX5" s="192"/>
      <c r="AY5" s="192"/>
      <c r="AZ5" s="192"/>
      <c r="BA5" s="192"/>
      <c r="BB5" s="192"/>
      <c r="BC5" s="192"/>
      <c r="BD5" s="192"/>
      <c r="BE5" s="192"/>
      <c r="BF5" s="192"/>
      <c r="BG5" s="192"/>
      <c r="BH5" s="192"/>
      <c r="BI5" s="192"/>
      <c r="BJ5" s="192"/>
      <c r="BK5" s="192"/>
      <c r="BL5" s="192"/>
      <c r="BM5" s="192"/>
      <c r="BN5" s="192"/>
      <c r="BO5" s="192"/>
      <c r="BP5" s="198" t="s">
        <v>72</v>
      </c>
      <c r="BQ5" s="199"/>
      <c r="BR5" s="200"/>
      <c r="BS5" s="198" t="s">
        <v>73</v>
      </c>
      <c r="BT5" s="199"/>
      <c r="BU5" s="200"/>
      <c r="BV5" s="192"/>
      <c r="BW5" s="192"/>
      <c r="BX5" s="192"/>
      <c r="BY5" s="192"/>
      <c r="BZ5" s="197"/>
    </row>
    <row r="6" spans="1:78" ht="32.25" customHeight="1">
      <c r="B6" s="208">
        <v>1</v>
      </c>
      <c r="C6" s="209"/>
      <c r="D6" s="214" t="s">
        <v>74</v>
      </c>
      <c r="E6" s="214"/>
      <c r="F6" s="214"/>
      <c r="G6" s="215"/>
      <c r="H6" s="65" t="s">
        <v>75</v>
      </c>
      <c r="I6" s="61" t="s">
        <v>76</v>
      </c>
      <c r="J6" s="45">
        <v>360000</v>
      </c>
      <c r="K6" s="45">
        <v>136000</v>
      </c>
      <c r="L6" s="45">
        <v>320000</v>
      </c>
      <c r="M6" s="45">
        <v>148000</v>
      </c>
      <c r="N6" s="46">
        <v>200000</v>
      </c>
      <c r="O6" s="46">
        <v>112913</v>
      </c>
      <c r="P6" s="46">
        <v>150000</v>
      </c>
      <c r="Q6" s="272">
        <v>0</v>
      </c>
      <c r="R6" s="273"/>
      <c r="S6" s="220">
        <v>0</v>
      </c>
      <c r="T6" s="220"/>
      <c r="U6" s="220">
        <v>0</v>
      </c>
      <c r="V6" s="220"/>
      <c r="W6" s="220"/>
      <c r="X6" s="220"/>
      <c r="Y6" s="220"/>
      <c r="Z6" s="220"/>
      <c r="AA6" s="220"/>
      <c r="AB6" s="220"/>
      <c r="AC6" s="220"/>
      <c r="AD6" s="220"/>
      <c r="AE6" s="220"/>
      <c r="AF6" s="220"/>
      <c r="AG6" s="220"/>
      <c r="AH6" s="220"/>
      <c r="AI6" s="220"/>
      <c r="AJ6" s="220"/>
      <c r="AK6" s="220"/>
      <c r="AL6" s="220"/>
      <c r="AM6" s="220"/>
      <c r="AN6" s="220"/>
      <c r="AO6" s="220"/>
      <c r="AP6" s="220"/>
      <c r="AQ6" s="220"/>
      <c r="AR6" s="220"/>
      <c r="AS6" s="220"/>
      <c r="AT6" s="220"/>
      <c r="AU6" s="220"/>
      <c r="AV6" s="220">
        <f>AVERAGE(Q6:AU6)</f>
        <v>0</v>
      </c>
      <c r="AW6" s="220"/>
      <c r="AX6" s="220"/>
      <c r="AY6" s="220">
        <f>SUM(Q6:AU6)</f>
        <v>0</v>
      </c>
      <c r="AZ6" s="220"/>
      <c r="BA6" s="220"/>
      <c r="BB6" s="220"/>
      <c r="BC6" s="220"/>
      <c r="BD6" s="220"/>
      <c r="BE6" s="220"/>
      <c r="BF6" s="220"/>
      <c r="BG6" s="220"/>
      <c r="BH6" s="220"/>
      <c r="BI6" s="220"/>
      <c r="BJ6" s="220"/>
      <c r="BK6" s="220"/>
      <c r="BL6" s="220"/>
      <c r="BM6" s="220"/>
      <c r="BN6" s="220"/>
      <c r="BO6" s="220"/>
      <c r="BP6" s="220"/>
      <c r="BQ6" s="220"/>
      <c r="BR6" s="220"/>
      <c r="BS6" s="220"/>
      <c r="BT6" s="220"/>
      <c r="BU6" s="220"/>
      <c r="BV6" s="220"/>
      <c r="BW6" s="220"/>
      <c r="BX6" s="220"/>
      <c r="BY6" s="220"/>
      <c r="BZ6" s="222"/>
    </row>
    <row r="7" spans="1:78" ht="32.25" customHeight="1">
      <c r="B7" s="210"/>
      <c r="C7" s="211"/>
      <c r="D7" s="216"/>
      <c r="E7" s="216"/>
      <c r="F7" s="216"/>
      <c r="G7" s="217"/>
      <c r="H7" s="63" t="s">
        <v>109</v>
      </c>
      <c r="I7" s="61" t="s">
        <v>77</v>
      </c>
      <c r="J7" s="48">
        <v>5000</v>
      </c>
      <c r="K7" s="48">
        <v>4571</v>
      </c>
      <c r="L7" s="48">
        <v>4900</v>
      </c>
      <c r="M7" s="48">
        <v>4527</v>
      </c>
      <c r="N7" s="49">
        <v>30000</v>
      </c>
      <c r="O7" s="49">
        <v>28013</v>
      </c>
      <c r="P7" s="49">
        <v>20000</v>
      </c>
      <c r="Q7" s="262">
        <v>8694</v>
      </c>
      <c r="R7" s="267"/>
      <c r="S7" s="223">
        <v>5935</v>
      </c>
      <c r="T7" s="224"/>
      <c r="U7" s="223">
        <v>45564</v>
      </c>
      <c r="V7" s="224"/>
      <c r="W7" s="225"/>
      <c r="X7" s="226"/>
      <c r="Y7" s="225"/>
      <c r="Z7" s="226"/>
      <c r="AA7" s="225"/>
      <c r="AB7" s="226"/>
      <c r="AC7" s="226"/>
      <c r="AD7" s="225"/>
      <c r="AE7" s="226"/>
      <c r="AF7" s="226"/>
      <c r="AG7" s="225"/>
      <c r="AH7" s="226"/>
      <c r="AI7" s="226"/>
      <c r="AJ7" s="226"/>
      <c r="AK7" s="226"/>
      <c r="AL7" s="226"/>
      <c r="AM7" s="226"/>
      <c r="AN7" s="226"/>
      <c r="AO7" s="226"/>
      <c r="AP7" s="226"/>
      <c r="AQ7" s="226"/>
      <c r="AR7" s="226"/>
      <c r="AS7" s="236"/>
      <c r="AT7" s="236"/>
      <c r="AU7" s="236"/>
      <c r="AV7" s="237">
        <f>AVERAGE(Q7:AU7)</f>
        <v>20064.333333333332</v>
      </c>
      <c r="AW7" s="237"/>
      <c r="AX7" s="237"/>
      <c r="AY7" s="237">
        <f>AVERAGE(Q7:AU7)</f>
        <v>20064.333333333332</v>
      </c>
      <c r="AZ7" s="237"/>
      <c r="BA7" s="237"/>
      <c r="BB7" s="236"/>
      <c r="BC7" s="236"/>
      <c r="BD7" s="236"/>
      <c r="BE7" s="236"/>
      <c r="BF7" s="236"/>
      <c r="BG7" s="236"/>
      <c r="BH7" s="236"/>
      <c r="BI7" s="236"/>
      <c r="BJ7" s="236"/>
      <c r="BK7" s="236"/>
      <c r="BL7" s="236"/>
      <c r="BM7" s="236"/>
      <c r="BN7" s="236"/>
      <c r="BO7" s="236"/>
      <c r="BP7" s="236"/>
      <c r="BQ7" s="236"/>
      <c r="BR7" s="236"/>
      <c r="BS7" s="227"/>
      <c r="BT7" s="228"/>
      <c r="BU7" s="229"/>
      <c r="BV7" s="230"/>
      <c r="BW7" s="231"/>
      <c r="BX7" s="231"/>
      <c r="BY7" s="231"/>
      <c r="BZ7" s="232"/>
    </row>
    <row r="8" spans="1:78" ht="32.25" customHeight="1">
      <c r="B8" s="210"/>
      <c r="C8" s="211"/>
      <c r="D8" s="216"/>
      <c r="E8" s="216"/>
      <c r="F8" s="216"/>
      <c r="G8" s="217"/>
      <c r="H8" s="63" t="s">
        <v>110</v>
      </c>
      <c r="I8" s="61" t="s">
        <v>78</v>
      </c>
      <c r="J8" s="47">
        <v>0</v>
      </c>
      <c r="K8" s="47">
        <v>0</v>
      </c>
      <c r="L8" s="47">
        <v>0</v>
      </c>
      <c r="M8" s="47">
        <v>0</v>
      </c>
      <c r="N8" s="47">
        <v>0</v>
      </c>
      <c r="O8" s="47">
        <v>0</v>
      </c>
      <c r="P8" s="47">
        <v>0</v>
      </c>
      <c r="Q8" s="263">
        <v>0</v>
      </c>
      <c r="R8" s="268"/>
      <c r="S8" s="233">
        <v>0</v>
      </c>
      <c r="T8" s="235"/>
      <c r="U8" s="233">
        <v>0</v>
      </c>
      <c r="V8" s="235"/>
      <c r="W8" s="233"/>
      <c r="X8" s="235"/>
      <c r="Y8" s="233"/>
      <c r="Z8" s="235"/>
      <c r="AA8" s="233"/>
      <c r="AB8" s="234"/>
      <c r="AC8" s="235"/>
      <c r="AD8" s="233"/>
      <c r="AE8" s="234"/>
      <c r="AF8" s="235"/>
      <c r="AG8" s="236"/>
      <c r="AH8" s="236"/>
      <c r="AI8" s="236"/>
      <c r="AJ8" s="236"/>
      <c r="AK8" s="236"/>
      <c r="AL8" s="236"/>
      <c r="AM8" s="236"/>
      <c r="AN8" s="236"/>
      <c r="AO8" s="236"/>
      <c r="AP8" s="236"/>
      <c r="AQ8" s="236"/>
      <c r="AR8" s="236"/>
      <c r="AS8" s="236"/>
      <c r="AT8" s="236"/>
      <c r="AU8" s="236"/>
      <c r="AV8" s="236">
        <f>AVERAGE(Q8:AU8)</f>
        <v>0</v>
      </c>
      <c r="AW8" s="236"/>
      <c r="AX8" s="236"/>
      <c r="AY8" s="236">
        <f>SUM(Q8:AU8)</f>
        <v>0</v>
      </c>
      <c r="AZ8" s="236"/>
      <c r="BA8" s="236"/>
      <c r="BB8" s="238"/>
      <c r="BC8" s="236"/>
      <c r="BD8" s="236"/>
      <c r="BE8" s="236"/>
      <c r="BF8" s="236"/>
      <c r="BG8" s="236"/>
      <c r="BH8" s="236"/>
      <c r="BI8" s="236"/>
      <c r="BJ8" s="236"/>
      <c r="BK8" s="236"/>
      <c r="BL8" s="236"/>
      <c r="BM8" s="236"/>
      <c r="BN8" s="236"/>
      <c r="BO8" s="236"/>
      <c r="BP8" s="236"/>
      <c r="BQ8" s="236"/>
      <c r="BR8" s="236"/>
      <c r="BS8" s="236"/>
      <c r="BT8" s="236"/>
      <c r="BU8" s="236"/>
      <c r="BV8" s="236"/>
      <c r="BW8" s="236"/>
      <c r="BX8" s="236"/>
      <c r="BY8" s="236"/>
      <c r="BZ8" s="239"/>
    </row>
    <row r="9" spans="1:78" ht="32.25" customHeight="1">
      <c r="B9" s="210"/>
      <c r="C9" s="211"/>
      <c r="D9" s="216"/>
      <c r="E9" s="216"/>
      <c r="F9" s="216"/>
      <c r="G9" s="217"/>
      <c r="H9" s="63" t="s">
        <v>111</v>
      </c>
      <c r="I9" s="61" t="s">
        <v>77</v>
      </c>
      <c r="J9" s="47">
        <v>200</v>
      </c>
      <c r="K9" s="47">
        <v>16</v>
      </c>
      <c r="L9" s="47">
        <v>180</v>
      </c>
      <c r="M9" s="47">
        <v>59</v>
      </c>
      <c r="N9" s="48">
        <v>150</v>
      </c>
      <c r="O9" s="47">
        <v>57</v>
      </c>
      <c r="P9" s="47">
        <v>130</v>
      </c>
      <c r="Q9" s="264">
        <v>78.104452750790998</v>
      </c>
      <c r="R9" s="269"/>
      <c r="S9" s="221">
        <f>7/326817*1000000</f>
        <v>21.418714448758784</v>
      </c>
      <c r="T9" s="221"/>
      <c r="U9" s="221">
        <f>9/80175*1000000</f>
        <v>112.25444340505145</v>
      </c>
      <c r="V9" s="221"/>
      <c r="W9" s="236"/>
      <c r="X9" s="236"/>
      <c r="Y9" s="236"/>
      <c r="Z9" s="236"/>
      <c r="AA9" s="236"/>
      <c r="AB9" s="236"/>
      <c r="AC9" s="236"/>
      <c r="AD9" s="236"/>
      <c r="AE9" s="236"/>
      <c r="AF9" s="236"/>
      <c r="AG9" s="236"/>
      <c r="AH9" s="236"/>
      <c r="AI9" s="236"/>
      <c r="AJ9" s="236"/>
      <c r="AK9" s="236"/>
      <c r="AL9" s="236"/>
      <c r="AM9" s="236"/>
      <c r="AN9" s="236"/>
      <c r="AO9" s="236"/>
      <c r="AP9" s="236"/>
      <c r="AQ9" s="236"/>
      <c r="AR9" s="236"/>
      <c r="AS9" s="236"/>
      <c r="AT9" s="236"/>
      <c r="AU9" s="236"/>
      <c r="AV9" s="237">
        <f>AVERAGE(Q9:AU9)</f>
        <v>70.592536868200412</v>
      </c>
      <c r="AW9" s="237"/>
      <c r="AX9" s="237"/>
      <c r="AY9" s="237">
        <f>AVERAGE(Q9:AU9)</f>
        <v>70.592536868200412</v>
      </c>
      <c r="AZ9" s="237"/>
      <c r="BA9" s="237"/>
      <c r="BB9" s="236"/>
      <c r="BC9" s="236"/>
      <c r="BD9" s="236"/>
      <c r="BE9" s="236"/>
      <c r="BF9" s="236"/>
      <c r="BG9" s="236"/>
      <c r="BH9" s="236"/>
      <c r="BI9" s="236"/>
      <c r="BJ9" s="236"/>
      <c r="BK9" s="236"/>
      <c r="BL9" s="236"/>
      <c r="BM9" s="236"/>
      <c r="BN9" s="236"/>
      <c r="BO9" s="236"/>
      <c r="BP9" s="236"/>
      <c r="BQ9" s="236"/>
      <c r="BR9" s="236"/>
      <c r="BS9" s="236"/>
      <c r="BT9" s="236"/>
      <c r="BU9" s="236"/>
      <c r="BV9" s="236"/>
      <c r="BW9" s="236"/>
      <c r="BX9" s="236"/>
      <c r="BY9" s="236"/>
      <c r="BZ9" s="239"/>
    </row>
    <row r="10" spans="1:78" ht="32.25" customHeight="1">
      <c r="B10" s="210"/>
      <c r="C10" s="211"/>
      <c r="D10" s="216"/>
      <c r="E10" s="216"/>
      <c r="F10" s="216"/>
      <c r="G10" s="217"/>
      <c r="H10" s="59" t="s">
        <v>119</v>
      </c>
      <c r="I10" s="58" t="s">
        <v>79</v>
      </c>
      <c r="J10" s="50">
        <v>100</v>
      </c>
      <c r="K10" s="50">
        <v>100</v>
      </c>
      <c r="L10" s="50">
        <v>100</v>
      </c>
      <c r="M10" s="50">
        <v>100</v>
      </c>
      <c r="N10" s="50">
        <v>100</v>
      </c>
      <c r="O10" s="50">
        <v>100</v>
      </c>
      <c r="P10" s="50">
        <v>100</v>
      </c>
      <c r="Q10" s="265">
        <v>100</v>
      </c>
      <c r="R10" s="270"/>
      <c r="S10" s="243">
        <v>100</v>
      </c>
      <c r="T10" s="243"/>
      <c r="U10" s="243">
        <v>100</v>
      </c>
      <c r="V10" s="243"/>
      <c r="W10" s="243"/>
      <c r="X10" s="243"/>
      <c r="Y10" s="243"/>
      <c r="Z10" s="243"/>
      <c r="AA10" s="243"/>
      <c r="AB10" s="243"/>
      <c r="AC10" s="243"/>
      <c r="AD10" s="243"/>
      <c r="AE10" s="243"/>
      <c r="AF10" s="243"/>
      <c r="AG10" s="243"/>
      <c r="AH10" s="243"/>
      <c r="AI10" s="243"/>
      <c r="AJ10" s="243"/>
      <c r="AK10" s="243"/>
      <c r="AL10" s="243"/>
      <c r="AM10" s="243"/>
      <c r="AN10" s="243"/>
      <c r="AO10" s="243"/>
      <c r="AP10" s="243"/>
      <c r="AQ10" s="243"/>
      <c r="AR10" s="243"/>
      <c r="AS10" s="243"/>
      <c r="AT10" s="243"/>
      <c r="AU10" s="243"/>
      <c r="AV10" s="248">
        <f>AVERAGE(Q10:AU10)</f>
        <v>100</v>
      </c>
      <c r="AW10" s="248"/>
      <c r="AX10" s="248"/>
      <c r="AY10" s="248">
        <f>AVERAGE(Q10:AU10)</f>
        <v>100</v>
      </c>
      <c r="AZ10" s="248"/>
      <c r="BA10" s="248"/>
      <c r="BB10" s="243"/>
      <c r="BC10" s="243"/>
      <c r="BD10" s="243"/>
      <c r="BE10" s="243"/>
      <c r="BF10" s="243"/>
      <c r="BG10" s="243"/>
      <c r="BH10" s="243"/>
      <c r="BI10" s="243"/>
      <c r="BJ10" s="243"/>
      <c r="BK10" s="243"/>
      <c r="BL10" s="243"/>
      <c r="BM10" s="243"/>
      <c r="BN10" s="243"/>
      <c r="BO10" s="243"/>
      <c r="BP10" s="243"/>
      <c r="BQ10" s="243"/>
      <c r="BR10" s="243"/>
      <c r="BS10" s="243"/>
      <c r="BT10" s="243"/>
      <c r="BU10" s="243"/>
      <c r="BV10" s="243"/>
      <c r="BW10" s="243"/>
      <c r="BX10" s="243"/>
      <c r="BY10" s="243"/>
      <c r="BZ10" s="244"/>
    </row>
    <row r="11" spans="1:78" ht="32.25" customHeight="1">
      <c r="B11" s="210"/>
      <c r="C11" s="211"/>
      <c r="D11" s="216"/>
      <c r="E11" s="216"/>
      <c r="F11" s="216"/>
      <c r="G11" s="217"/>
      <c r="H11" s="62" t="s">
        <v>112</v>
      </c>
      <c r="I11" s="61" t="s">
        <v>80</v>
      </c>
      <c r="J11" s="51" t="s">
        <v>81</v>
      </c>
      <c r="K11" s="51" t="s">
        <v>82</v>
      </c>
      <c r="L11" s="51" t="s">
        <v>81</v>
      </c>
      <c r="M11" s="51" t="s">
        <v>82</v>
      </c>
      <c r="N11" s="52" t="s">
        <v>81</v>
      </c>
      <c r="O11" s="52" t="s">
        <v>83</v>
      </c>
      <c r="P11" s="52" t="s">
        <v>84</v>
      </c>
      <c r="Q11" s="266" t="s">
        <v>85</v>
      </c>
      <c r="R11" s="271"/>
      <c r="S11" s="245" t="s">
        <v>86</v>
      </c>
      <c r="T11" s="247"/>
      <c r="U11" s="245" t="s">
        <v>86</v>
      </c>
      <c r="V11" s="247"/>
      <c r="W11" s="245"/>
      <c r="X11" s="247"/>
      <c r="Y11" s="245"/>
      <c r="Z11" s="247"/>
      <c r="AA11" s="245"/>
      <c r="AB11" s="246"/>
      <c r="AC11" s="247"/>
      <c r="AD11" s="245"/>
      <c r="AE11" s="246"/>
      <c r="AF11" s="247"/>
      <c r="AG11" s="245"/>
      <c r="AH11" s="246"/>
      <c r="AI11" s="247"/>
      <c r="AJ11" s="245"/>
      <c r="AK11" s="246"/>
      <c r="AL11" s="247"/>
      <c r="AM11" s="245"/>
      <c r="AN11" s="246"/>
      <c r="AO11" s="247"/>
      <c r="AP11" s="245"/>
      <c r="AQ11" s="246"/>
      <c r="AR11" s="247"/>
      <c r="AS11" s="245"/>
      <c r="AT11" s="246"/>
      <c r="AU11" s="247"/>
      <c r="AV11" s="249"/>
      <c r="AW11" s="236"/>
      <c r="AX11" s="236"/>
      <c r="AY11" s="249"/>
      <c r="AZ11" s="236"/>
      <c r="BA11" s="236"/>
      <c r="BB11" s="238" t="s">
        <v>87</v>
      </c>
      <c r="BC11" s="238"/>
      <c r="BD11" s="238"/>
      <c r="BE11" s="238"/>
      <c r="BF11" s="238"/>
      <c r="BG11" s="238"/>
      <c r="BH11" s="238"/>
      <c r="BI11" s="238"/>
      <c r="BJ11" s="238"/>
      <c r="BK11" s="238" t="s">
        <v>88</v>
      </c>
      <c r="BL11" s="238"/>
      <c r="BM11" s="238"/>
      <c r="BN11" s="238"/>
      <c r="BO11" s="238"/>
      <c r="BP11" s="238" t="s">
        <v>89</v>
      </c>
      <c r="BQ11" s="238"/>
      <c r="BR11" s="238"/>
      <c r="BS11" s="238" t="s">
        <v>89</v>
      </c>
      <c r="BT11" s="238"/>
      <c r="BU11" s="238"/>
      <c r="BV11" s="238" t="s">
        <v>90</v>
      </c>
      <c r="BW11" s="238"/>
      <c r="BX11" s="238"/>
      <c r="BY11" s="238"/>
      <c r="BZ11" s="250"/>
    </row>
    <row r="12" spans="1:78" ht="36.75" customHeight="1">
      <c r="B12" s="210"/>
      <c r="C12" s="211"/>
      <c r="D12" s="216"/>
      <c r="E12" s="216"/>
      <c r="F12" s="216"/>
      <c r="G12" s="217"/>
      <c r="H12" s="60" t="s">
        <v>113</v>
      </c>
      <c r="I12" s="53" t="s">
        <v>91</v>
      </c>
      <c r="J12" s="54">
        <v>5</v>
      </c>
      <c r="K12" s="54">
        <v>5</v>
      </c>
      <c r="L12" s="54">
        <v>5</v>
      </c>
      <c r="M12" s="54">
        <v>5</v>
      </c>
      <c r="N12" s="54">
        <v>5</v>
      </c>
      <c r="O12" s="54">
        <v>5</v>
      </c>
      <c r="P12" s="54">
        <v>5</v>
      </c>
      <c r="Q12" s="265">
        <v>5</v>
      </c>
      <c r="R12" s="270"/>
      <c r="S12" s="240">
        <v>5</v>
      </c>
      <c r="T12" s="242"/>
      <c r="U12" s="240">
        <v>5</v>
      </c>
      <c r="V12" s="242"/>
      <c r="W12" s="240"/>
      <c r="X12" s="242"/>
      <c r="Y12" s="240"/>
      <c r="Z12" s="242"/>
      <c r="AA12" s="240"/>
      <c r="AB12" s="241"/>
      <c r="AC12" s="242"/>
      <c r="AD12" s="240"/>
      <c r="AE12" s="241"/>
      <c r="AF12" s="242"/>
      <c r="AG12" s="240"/>
      <c r="AH12" s="241"/>
      <c r="AI12" s="242"/>
      <c r="AJ12" s="240"/>
      <c r="AK12" s="241"/>
      <c r="AL12" s="242"/>
      <c r="AM12" s="240"/>
      <c r="AN12" s="241"/>
      <c r="AO12" s="242"/>
      <c r="AP12" s="240"/>
      <c r="AQ12" s="241"/>
      <c r="AR12" s="242"/>
      <c r="AS12" s="240"/>
      <c r="AT12" s="241"/>
      <c r="AU12" s="242"/>
      <c r="AV12" s="240">
        <v>5</v>
      </c>
      <c r="AW12" s="241"/>
      <c r="AX12" s="242"/>
      <c r="AY12" s="240">
        <v>5</v>
      </c>
      <c r="AZ12" s="241"/>
      <c r="BA12" s="242"/>
      <c r="BB12" s="243"/>
      <c r="BC12" s="243"/>
      <c r="BD12" s="243"/>
      <c r="BE12" s="243"/>
      <c r="BF12" s="243"/>
      <c r="BG12" s="243"/>
      <c r="BH12" s="243"/>
      <c r="BI12" s="243"/>
      <c r="BJ12" s="243"/>
      <c r="BK12" s="243"/>
      <c r="BL12" s="243"/>
      <c r="BM12" s="243"/>
      <c r="BN12" s="243"/>
      <c r="BO12" s="243"/>
      <c r="BP12" s="243"/>
      <c r="BQ12" s="243"/>
      <c r="BR12" s="243"/>
      <c r="BS12" s="243"/>
      <c r="BT12" s="243"/>
      <c r="BU12" s="243"/>
      <c r="BV12" s="243"/>
      <c r="BW12" s="243"/>
      <c r="BX12" s="243"/>
      <c r="BY12" s="243"/>
      <c r="BZ12" s="244"/>
    </row>
    <row r="13" spans="1:78" ht="36.75" customHeight="1">
      <c r="B13" s="210"/>
      <c r="C13" s="211"/>
      <c r="D13" s="216"/>
      <c r="E13" s="216"/>
      <c r="F13" s="216"/>
      <c r="G13" s="217"/>
      <c r="H13" s="59" t="s">
        <v>114</v>
      </c>
      <c r="I13" s="58" t="s">
        <v>78</v>
      </c>
      <c r="J13" s="50">
        <v>0</v>
      </c>
      <c r="K13" s="50">
        <v>0</v>
      </c>
      <c r="L13" s="50">
        <v>0</v>
      </c>
      <c r="M13" s="50">
        <v>0</v>
      </c>
      <c r="N13" s="50">
        <v>0</v>
      </c>
      <c r="O13" s="50">
        <v>0</v>
      </c>
      <c r="P13" s="50">
        <v>0</v>
      </c>
      <c r="Q13" s="265">
        <v>0</v>
      </c>
      <c r="R13" s="270"/>
      <c r="S13" s="243">
        <v>0</v>
      </c>
      <c r="T13" s="243"/>
      <c r="U13" s="240">
        <v>0</v>
      </c>
      <c r="V13" s="242"/>
      <c r="W13" s="240"/>
      <c r="X13" s="242"/>
      <c r="Y13" s="240"/>
      <c r="Z13" s="242"/>
      <c r="AA13" s="240"/>
      <c r="AB13" s="241"/>
      <c r="AC13" s="242"/>
      <c r="AD13" s="240"/>
      <c r="AE13" s="241"/>
      <c r="AF13" s="242"/>
      <c r="AG13" s="240"/>
      <c r="AH13" s="241"/>
      <c r="AI13" s="242"/>
      <c r="AJ13" s="240"/>
      <c r="AK13" s="241"/>
      <c r="AL13" s="242"/>
      <c r="AM13" s="240"/>
      <c r="AN13" s="241"/>
      <c r="AO13" s="242"/>
      <c r="AP13" s="240"/>
      <c r="AQ13" s="241"/>
      <c r="AR13" s="242"/>
      <c r="AS13" s="240"/>
      <c r="AT13" s="241"/>
      <c r="AU13" s="242"/>
      <c r="AV13" s="243">
        <f>AVERAGE(Q13:AU13)</f>
        <v>0</v>
      </c>
      <c r="AW13" s="243"/>
      <c r="AX13" s="243"/>
      <c r="AY13" s="243">
        <f>SUM(Q13:AU13)</f>
        <v>0</v>
      </c>
      <c r="AZ13" s="243"/>
      <c r="BA13" s="243"/>
      <c r="BB13" s="243"/>
      <c r="BC13" s="243"/>
      <c r="BD13" s="243"/>
      <c r="BE13" s="243"/>
      <c r="BF13" s="243"/>
      <c r="BG13" s="243"/>
      <c r="BH13" s="243"/>
      <c r="BI13" s="243"/>
      <c r="BJ13" s="243"/>
      <c r="BK13" s="251"/>
      <c r="BL13" s="243"/>
      <c r="BM13" s="243"/>
      <c r="BN13" s="243"/>
      <c r="BO13" s="243"/>
      <c r="BP13" s="243"/>
      <c r="BQ13" s="243"/>
      <c r="BR13" s="243"/>
      <c r="BS13" s="243"/>
      <c r="BT13" s="243"/>
      <c r="BU13" s="243"/>
      <c r="BV13" s="243"/>
      <c r="BW13" s="243"/>
      <c r="BX13" s="243"/>
      <c r="BY13" s="243"/>
      <c r="BZ13" s="244"/>
    </row>
    <row r="14" spans="1:78" ht="36.75" customHeight="1">
      <c r="B14" s="210"/>
      <c r="C14" s="211"/>
      <c r="D14" s="216"/>
      <c r="E14" s="216"/>
      <c r="F14" s="216"/>
      <c r="G14" s="217"/>
      <c r="H14" s="59" t="s">
        <v>115</v>
      </c>
      <c r="I14" s="58" t="s">
        <v>92</v>
      </c>
      <c r="J14" s="50">
        <v>0</v>
      </c>
      <c r="K14" s="50">
        <v>0</v>
      </c>
      <c r="L14" s="50">
        <v>0</v>
      </c>
      <c r="M14" s="50">
        <v>0</v>
      </c>
      <c r="N14" s="50">
        <v>0</v>
      </c>
      <c r="O14" s="50">
        <v>0</v>
      </c>
      <c r="P14" s="50">
        <v>0</v>
      </c>
      <c r="Q14" s="265">
        <v>0</v>
      </c>
      <c r="R14" s="270"/>
      <c r="S14" s="243">
        <v>0</v>
      </c>
      <c r="T14" s="243"/>
      <c r="U14" s="240">
        <v>0</v>
      </c>
      <c r="V14" s="242"/>
      <c r="W14" s="240"/>
      <c r="X14" s="242"/>
      <c r="Y14" s="240"/>
      <c r="Z14" s="242"/>
      <c r="AA14" s="240"/>
      <c r="AB14" s="241"/>
      <c r="AC14" s="242"/>
      <c r="AD14" s="240"/>
      <c r="AE14" s="241"/>
      <c r="AF14" s="242"/>
      <c r="AG14" s="240"/>
      <c r="AH14" s="241"/>
      <c r="AI14" s="242"/>
      <c r="AJ14" s="240"/>
      <c r="AK14" s="241"/>
      <c r="AL14" s="242"/>
      <c r="AM14" s="240"/>
      <c r="AN14" s="241"/>
      <c r="AO14" s="242"/>
      <c r="AP14" s="240"/>
      <c r="AQ14" s="241"/>
      <c r="AR14" s="242"/>
      <c r="AS14" s="240"/>
      <c r="AT14" s="241"/>
      <c r="AU14" s="242"/>
      <c r="AV14" s="243">
        <f>AVERAGE(Q14:AU14)</f>
        <v>0</v>
      </c>
      <c r="AW14" s="243"/>
      <c r="AX14" s="243"/>
      <c r="AY14" s="243">
        <f>SUM(Q14:AU14)</f>
        <v>0</v>
      </c>
      <c r="AZ14" s="243"/>
      <c r="BA14" s="243"/>
      <c r="BB14" s="243"/>
      <c r="BC14" s="243"/>
      <c r="BD14" s="243"/>
      <c r="BE14" s="243"/>
      <c r="BF14" s="243"/>
      <c r="BG14" s="243"/>
      <c r="BH14" s="243"/>
      <c r="BI14" s="243"/>
      <c r="BJ14" s="243"/>
      <c r="BK14" s="243"/>
      <c r="BL14" s="243"/>
      <c r="BM14" s="243"/>
      <c r="BN14" s="243"/>
      <c r="BO14" s="243"/>
      <c r="BP14" s="243"/>
      <c r="BQ14" s="243"/>
      <c r="BR14" s="243"/>
      <c r="BS14" s="243"/>
      <c r="BT14" s="243"/>
      <c r="BU14" s="243"/>
      <c r="BV14" s="243"/>
      <c r="BW14" s="243"/>
      <c r="BX14" s="243"/>
      <c r="BY14" s="243"/>
      <c r="BZ14" s="244"/>
    </row>
    <row r="15" spans="1:78" ht="36.75" customHeight="1">
      <c r="B15" s="210"/>
      <c r="C15" s="211"/>
      <c r="D15" s="216"/>
      <c r="E15" s="216"/>
      <c r="F15" s="216"/>
      <c r="G15" s="217"/>
      <c r="H15" s="332" t="s">
        <v>116</v>
      </c>
      <c r="I15" s="61" t="s">
        <v>78</v>
      </c>
      <c r="J15" s="64">
        <v>0</v>
      </c>
      <c r="K15" s="64">
        <v>0</v>
      </c>
      <c r="L15" s="64">
        <v>0</v>
      </c>
      <c r="M15" s="64">
        <v>0</v>
      </c>
      <c r="N15" s="64">
        <v>0</v>
      </c>
      <c r="O15" s="64">
        <v>0</v>
      </c>
      <c r="P15" s="64">
        <v>0</v>
      </c>
      <c r="Q15" s="263">
        <v>0</v>
      </c>
      <c r="R15" s="268"/>
      <c r="S15" s="236">
        <v>0</v>
      </c>
      <c r="T15" s="236"/>
      <c r="U15" s="233">
        <v>0</v>
      </c>
      <c r="V15" s="235"/>
      <c r="W15" s="233"/>
      <c r="X15" s="235"/>
      <c r="Y15" s="233"/>
      <c r="Z15" s="235"/>
      <c r="AA15" s="236"/>
      <c r="AB15" s="236"/>
      <c r="AC15" s="236"/>
      <c r="AD15" s="236"/>
      <c r="AE15" s="236"/>
      <c r="AF15" s="236"/>
      <c r="AG15" s="236"/>
      <c r="AH15" s="236"/>
      <c r="AI15" s="236"/>
      <c r="AJ15" s="236"/>
      <c r="AK15" s="236"/>
      <c r="AL15" s="236"/>
      <c r="AM15" s="236"/>
      <c r="AN15" s="236"/>
      <c r="AO15" s="236"/>
      <c r="AP15" s="236"/>
      <c r="AQ15" s="236"/>
      <c r="AR15" s="236"/>
      <c r="AS15" s="236"/>
      <c r="AT15" s="236"/>
      <c r="AU15" s="236"/>
      <c r="AV15" s="236">
        <f>AVERAGE(Q15:AU15)</f>
        <v>0</v>
      </c>
      <c r="AW15" s="236"/>
      <c r="AX15" s="236"/>
      <c r="AY15" s="236">
        <f>SUM(Q15:AU15)</f>
        <v>0</v>
      </c>
      <c r="AZ15" s="236"/>
      <c r="BA15" s="236"/>
      <c r="BB15" s="236"/>
      <c r="BC15" s="236"/>
      <c r="BD15" s="236"/>
      <c r="BE15" s="236"/>
      <c r="BF15" s="236"/>
      <c r="BG15" s="236"/>
      <c r="BH15" s="236"/>
      <c r="BI15" s="236"/>
      <c r="BJ15" s="236"/>
      <c r="BK15" s="236"/>
      <c r="BL15" s="236"/>
      <c r="BM15" s="236"/>
      <c r="BN15" s="236"/>
      <c r="BO15" s="236"/>
      <c r="BP15" s="236"/>
      <c r="BQ15" s="236"/>
      <c r="BR15" s="236"/>
      <c r="BS15" s="236"/>
      <c r="BT15" s="236"/>
      <c r="BU15" s="236"/>
      <c r="BV15" s="236"/>
      <c r="BW15" s="236"/>
      <c r="BX15" s="236"/>
      <c r="BY15" s="236"/>
      <c r="BZ15" s="239"/>
    </row>
    <row r="16" spans="1:78" s="333" customFormat="1" ht="42" customHeight="1" thickBot="1">
      <c r="B16" s="212"/>
      <c r="C16" s="213"/>
      <c r="D16" s="218"/>
      <c r="E16" s="218"/>
      <c r="F16" s="218"/>
      <c r="G16" s="219"/>
      <c r="H16" s="334" t="s">
        <v>188</v>
      </c>
      <c r="I16" s="335" t="s">
        <v>187</v>
      </c>
      <c r="J16" s="336"/>
      <c r="K16" s="336"/>
      <c r="L16" s="336"/>
      <c r="M16" s="336"/>
      <c r="N16" s="336"/>
      <c r="O16" s="337"/>
      <c r="P16" s="337"/>
      <c r="Q16" s="338"/>
      <c r="R16" s="339"/>
      <c r="S16" s="340"/>
      <c r="T16" s="340"/>
      <c r="U16" s="341"/>
      <c r="V16" s="342"/>
      <c r="W16" s="341"/>
      <c r="X16" s="342"/>
      <c r="Y16" s="341"/>
      <c r="Z16" s="342"/>
      <c r="AA16" s="340"/>
      <c r="AB16" s="340"/>
      <c r="AC16" s="340"/>
      <c r="AD16" s="340"/>
      <c r="AE16" s="340"/>
      <c r="AF16" s="340"/>
      <c r="AG16" s="340"/>
      <c r="AH16" s="340"/>
      <c r="AI16" s="340"/>
      <c r="AJ16" s="340"/>
      <c r="AK16" s="340"/>
      <c r="AL16" s="340"/>
      <c r="AM16" s="340"/>
      <c r="AN16" s="340"/>
      <c r="AO16" s="340"/>
      <c r="AP16" s="340"/>
      <c r="AQ16" s="340"/>
      <c r="AR16" s="340"/>
      <c r="AS16" s="340"/>
      <c r="AT16" s="340"/>
      <c r="AU16" s="340"/>
      <c r="AV16" s="340" t="e">
        <f>AVERAGE(Q16:AU16)</f>
        <v>#DIV/0!</v>
      </c>
      <c r="AW16" s="340"/>
      <c r="AX16" s="340"/>
      <c r="AY16" s="340">
        <f>SUM(Q16:AU16)</f>
        <v>0</v>
      </c>
      <c r="AZ16" s="340"/>
      <c r="BA16" s="340"/>
      <c r="BB16" s="340"/>
      <c r="BC16" s="340"/>
      <c r="BD16" s="340"/>
      <c r="BE16" s="340"/>
      <c r="BF16" s="340"/>
      <c r="BG16" s="340"/>
      <c r="BH16" s="340"/>
      <c r="BI16" s="340"/>
      <c r="BJ16" s="340"/>
      <c r="BK16" s="340"/>
      <c r="BL16" s="340"/>
      <c r="BM16" s="340"/>
      <c r="BN16" s="340"/>
      <c r="BO16" s="340"/>
      <c r="BP16" s="340"/>
      <c r="BQ16" s="340"/>
      <c r="BR16" s="340"/>
      <c r="BS16" s="340"/>
      <c r="BT16" s="340"/>
      <c r="BU16" s="340"/>
      <c r="BV16" s="340"/>
      <c r="BW16" s="340"/>
      <c r="BX16" s="340"/>
      <c r="BY16" s="340"/>
      <c r="BZ16" s="343"/>
    </row>
    <row r="17" spans="2:78" ht="12" customHeight="1">
      <c r="B17" s="57" t="s">
        <v>189</v>
      </c>
      <c r="C17" s="57"/>
      <c r="D17" s="57"/>
      <c r="E17" s="57"/>
      <c r="F17" s="57"/>
      <c r="G17" s="57"/>
      <c r="H17" s="57"/>
      <c r="AA17" s="55"/>
      <c r="AB17" s="55"/>
      <c r="AC17" s="55"/>
      <c r="AD17" s="55"/>
      <c r="AE17" s="55"/>
      <c r="AF17" s="252"/>
      <c r="AG17" s="252"/>
      <c r="AH17" s="252"/>
      <c r="AI17" s="252"/>
      <c r="AJ17" s="252"/>
      <c r="AK17" s="252"/>
      <c r="AL17" s="252"/>
      <c r="AM17" s="252"/>
      <c r="AN17" s="56"/>
      <c r="BS17" s="253" t="s">
        <v>93</v>
      </c>
      <c r="BT17" s="253"/>
      <c r="BU17" s="253"/>
      <c r="BV17" s="253"/>
      <c r="BW17" s="253"/>
      <c r="BX17" s="253"/>
      <c r="BY17" s="253"/>
      <c r="BZ17" s="253"/>
    </row>
  </sheetData>
  <mergeCells count="232">
    <mergeCell ref="AS15:AU15"/>
    <mergeCell ref="AV15:AX15"/>
    <mergeCell ref="AY15:BA15"/>
    <mergeCell ref="BB15:BJ15"/>
    <mergeCell ref="BK15:BO15"/>
    <mergeCell ref="BP15:BR15"/>
    <mergeCell ref="BS15:BU15"/>
    <mergeCell ref="BV15:BZ15"/>
    <mergeCell ref="U15:V15"/>
    <mergeCell ref="W15:X15"/>
    <mergeCell ref="Y15:Z15"/>
    <mergeCell ref="AA15:AC15"/>
    <mergeCell ref="AD15:AF15"/>
    <mergeCell ref="AG15:AI15"/>
    <mergeCell ref="AJ15:AL15"/>
    <mergeCell ref="AM15:AO15"/>
    <mergeCell ref="AP15:AR15"/>
    <mergeCell ref="AF17:AM17"/>
    <mergeCell ref="BS17:BZ17"/>
    <mergeCell ref="AY16:BA16"/>
    <mergeCell ref="BB16:BJ16"/>
    <mergeCell ref="BK16:BO16"/>
    <mergeCell ref="BP16:BR16"/>
    <mergeCell ref="BS16:BU16"/>
    <mergeCell ref="BV16:BZ16"/>
    <mergeCell ref="AG16:AI16"/>
    <mergeCell ref="AJ16:AL16"/>
    <mergeCell ref="AM16:AO16"/>
    <mergeCell ref="AP16:AR16"/>
    <mergeCell ref="AS16:AU16"/>
    <mergeCell ref="AV16:AX16"/>
    <mergeCell ref="BV14:BZ14"/>
    <mergeCell ref="S16:T16"/>
    <mergeCell ref="U16:V16"/>
    <mergeCell ref="W16:X16"/>
    <mergeCell ref="Y16:Z16"/>
    <mergeCell ref="AA16:AC16"/>
    <mergeCell ref="AD16:AF16"/>
    <mergeCell ref="AS14:AU14"/>
    <mergeCell ref="AV14:AX14"/>
    <mergeCell ref="AY14:BA14"/>
    <mergeCell ref="BB14:BJ14"/>
    <mergeCell ref="BK14:BO14"/>
    <mergeCell ref="BP14:BR14"/>
    <mergeCell ref="AA14:AC14"/>
    <mergeCell ref="AD14:AF14"/>
    <mergeCell ref="AG14:AI14"/>
    <mergeCell ref="AJ14:AL14"/>
    <mergeCell ref="AM14:AO14"/>
    <mergeCell ref="AP14:AR14"/>
    <mergeCell ref="S15:T15"/>
    <mergeCell ref="S14:T14"/>
    <mergeCell ref="U14:V14"/>
    <mergeCell ref="W14:X14"/>
    <mergeCell ref="Y14:Z14"/>
    <mergeCell ref="AY13:BA13"/>
    <mergeCell ref="BB13:BJ13"/>
    <mergeCell ref="BK13:BO13"/>
    <mergeCell ref="BP13:BR13"/>
    <mergeCell ref="BS13:BU13"/>
    <mergeCell ref="BS14:BU14"/>
    <mergeCell ref="BV13:BZ13"/>
    <mergeCell ref="AG13:AI13"/>
    <mergeCell ref="AJ13:AL13"/>
    <mergeCell ref="AM13:AO13"/>
    <mergeCell ref="AP13:AR13"/>
    <mergeCell ref="AS13:AU13"/>
    <mergeCell ref="AV13:AX13"/>
    <mergeCell ref="BS12:BU12"/>
    <mergeCell ref="BV12:BZ12"/>
    <mergeCell ref="AV12:AX12"/>
    <mergeCell ref="AY12:BA12"/>
    <mergeCell ref="BB12:BJ12"/>
    <mergeCell ref="BK12:BO12"/>
    <mergeCell ref="BP12:BR12"/>
    <mergeCell ref="S13:T13"/>
    <mergeCell ref="U13:V13"/>
    <mergeCell ref="W13:X13"/>
    <mergeCell ref="Y13:Z13"/>
    <mergeCell ref="AA13:AC13"/>
    <mergeCell ref="AD13:AF13"/>
    <mergeCell ref="AS12:AU12"/>
    <mergeCell ref="AA12:AC12"/>
    <mergeCell ref="AD12:AF12"/>
    <mergeCell ref="AG12:AI12"/>
    <mergeCell ref="AJ12:AL12"/>
    <mergeCell ref="AM12:AO12"/>
    <mergeCell ref="AP12:AR12"/>
    <mergeCell ref="S12:T12"/>
    <mergeCell ref="U12:V12"/>
    <mergeCell ref="W12:X12"/>
    <mergeCell ref="Y12:Z12"/>
    <mergeCell ref="BK11:BO11"/>
    <mergeCell ref="BP11:BR11"/>
    <mergeCell ref="BS11:BU11"/>
    <mergeCell ref="BV11:BZ11"/>
    <mergeCell ref="AG11:AI11"/>
    <mergeCell ref="AJ11:AL11"/>
    <mergeCell ref="AM11:AO11"/>
    <mergeCell ref="AP11:AR11"/>
    <mergeCell ref="AS11:AU11"/>
    <mergeCell ref="AV11:AX11"/>
    <mergeCell ref="BS10:BU10"/>
    <mergeCell ref="BV10:BZ10"/>
    <mergeCell ref="S11:T11"/>
    <mergeCell ref="U11:V11"/>
    <mergeCell ref="W11:X11"/>
    <mergeCell ref="Y11:Z11"/>
    <mergeCell ref="AA11:AC11"/>
    <mergeCell ref="AD11:AF11"/>
    <mergeCell ref="AS10:AU10"/>
    <mergeCell ref="AV10:AX10"/>
    <mergeCell ref="AY10:BA10"/>
    <mergeCell ref="BB10:BJ10"/>
    <mergeCell ref="BK10:BO10"/>
    <mergeCell ref="BP10:BR10"/>
    <mergeCell ref="AA10:AC10"/>
    <mergeCell ref="AD10:AF10"/>
    <mergeCell ref="AG10:AI10"/>
    <mergeCell ref="AJ10:AL10"/>
    <mergeCell ref="AM10:AO10"/>
    <mergeCell ref="AP10:AR10"/>
    <mergeCell ref="AY11:BA11"/>
    <mergeCell ref="BB11:BJ11"/>
    <mergeCell ref="S10:T10"/>
    <mergeCell ref="U10:V10"/>
    <mergeCell ref="W10:X10"/>
    <mergeCell ref="Y10:Z10"/>
    <mergeCell ref="AM9:AO9"/>
    <mergeCell ref="AP9:AR9"/>
    <mergeCell ref="AS9:AU9"/>
    <mergeCell ref="AV9:AX9"/>
    <mergeCell ref="W9:X9"/>
    <mergeCell ref="Y9:Z9"/>
    <mergeCell ref="AA9:AC9"/>
    <mergeCell ref="AD9:AF9"/>
    <mergeCell ref="AG9:AI9"/>
    <mergeCell ref="AJ9:AL9"/>
    <mergeCell ref="BS8:BU8"/>
    <mergeCell ref="BV8:BZ8"/>
    <mergeCell ref="AG8:AI8"/>
    <mergeCell ref="AJ8:AL8"/>
    <mergeCell ref="AM8:AO8"/>
    <mergeCell ref="AP8:AR8"/>
    <mergeCell ref="AS8:AU8"/>
    <mergeCell ref="AV8:AX8"/>
    <mergeCell ref="BK9:BO9"/>
    <mergeCell ref="BP9:BR9"/>
    <mergeCell ref="BS9:BU9"/>
    <mergeCell ref="BV9:BZ9"/>
    <mergeCell ref="AY9:BA9"/>
    <mergeCell ref="BB9:BJ9"/>
    <mergeCell ref="AD8:AF8"/>
    <mergeCell ref="AS7:AU7"/>
    <mergeCell ref="AV7:AX7"/>
    <mergeCell ref="AY7:BA7"/>
    <mergeCell ref="BB7:BJ7"/>
    <mergeCell ref="BK7:BO7"/>
    <mergeCell ref="BP7:BR7"/>
    <mergeCell ref="AA7:AC7"/>
    <mergeCell ref="AD7:AF7"/>
    <mergeCell ref="AG7:AI7"/>
    <mergeCell ref="AJ7:AL7"/>
    <mergeCell ref="AM7:AO7"/>
    <mergeCell ref="AP7:AR7"/>
    <mergeCell ref="AY8:BA8"/>
    <mergeCell ref="BB8:BJ8"/>
    <mergeCell ref="BK8:BO8"/>
    <mergeCell ref="BP8:BR8"/>
    <mergeCell ref="BK6:BO6"/>
    <mergeCell ref="BP6:BR6"/>
    <mergeCell ref="BS6:BU6"/>
    <mergeCell ref="BV6:BZ6"/>
    <mergeCell ref="S7:T7"/>
    <mergeCell ref="U7:V7"/>
    <mergeCell ref="W7:X7"/>
    <mergeCell ref="Y7:Z7"/>
    <mergeCell ref="AM6:AO6"/>
    <mergeCell ref="AP6:AR6"/>
    <mergeCell ref="AS6:AU6"/>
    <mergeCell ref="AV6:AX6"/>
    <mergeCell ref="AY6:BA6"/>
    <mergeCell ref="BB6:BJ6"/>
    <mergeCell ref="W6:X6"/>
    <mergeCell ref="Y6:Z6"/>
    <mergeCell ref="AA6:AC6"/>
    <mergeCell ref="AD6:AF6"/>
    <mergeCell ref="AG6:AI6"/>
    <mergeCell ref="AJ6:AL6"/>
    <mergeCell ref="BS7:BU7"/>
    <mergeCell ref="BV7:BZ7"/>
    <mergeCell ref="Q5:R5"/>
    <mergeCell ref="S5:T5"/>
    <mergeCell ref="U5:V5"/>
    <mergeCell ref="W5:X5"/>
    <mergeCell ref="Y5:Z5"/>
    <mergeCell ref="AA5:AC5"/>
    <mergeCell ref="B6:C16"/>
    <mergeCell ref="D6:G16"/>
    <mergeCell ref="S6:T6"/>
    <mergeCell ref="U6:V6"/>
    <mergeCell ref="S9:T9"/>
    <mergeCell ref="U9:V9"/>
    <mergeCell ref="S8:T8"/>
    <mergeCell ref="U8:V8"/>
    <mergeCell ref="W8:X8"/>
    <mergeCell ref="Y8:Z8"/>
    <mergeCell ref="AA8:AC8"/>
    <mergeCell ref="AV4:AX5"/>
    <mergeCell ref="AY4:BA5"/>
    <mergeCell ref="BB4:BJ5"/>
    <mergeCell ref="BK4:BO5"/>
    <mergeCell ref="BP4:BU4"/>
    <mergeCell ref="BV4:BZ5"/>
    <mergeCell ref="BP5:BR5"/>
    <mergeCell ref="BS5:BU5"/>
    <mergeCell ref="A2:BZ3"/>
    <mergeCell ref="B4:C5"/>
    <mergeCell ref="D4:G5"/>
    <mergeCell ref="H4:H5"/>
    <mergeCell ref="I4:I5"/>
    <mergeCell ref="J4:K4"/>
    <mergeCell ref="L4:M4"/>
    <mergeCell ref="N4:O4"/>
    <mergeCell ref="P4:P5"/>
    <mergeCell ref="Q4:AU4"/>
    <mergeCell ref="AD5:AF5"/>
    <mergeCell ref="AG5:AI5"/>
    <mergeCell ref="AJ5:AL5"/>
    <mergeCell ref="AM5:AO5"/>
    <mergeCell ref="AP5:AR5"/>
    <mergeCell ref="AS5:AU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8"/>
  <sheetViews>
    <sheetView workbookViewId="0">
      <selection activeCell="A14" sqref="A14:E18"/>
    </sheetView>
  </sheetViews>
  <sheetFormatPr defaultRowHeight="12.75"/>
  <cols>
    <col min="1" max="1" width="21.5703125" customWidth="1"/>
    <col min="257" max="257" width="21.5703125" customWidth="1"/>
    <col min="513" max="513" width="21.5703125" customWidth="1"/>
    <col min="769" max="769" width="21.5703125" customWidth="1"/>
    <col min="1025" max="1025" width="21.5703125" customWidth="1"/>
    <col min="1281" max="1281" width="21.5703125" customWidth="1"/>
    <col min="1537" max="1537" width="21.5703125" customWidth="1"/>
    <col min="1793" max="1793" width="21.5703125" customWidth="1"/>
    <col min="2049" max="2049" width="21.5703125" customWidth="1"/>
    <col min="2305" max="2305" width="21.5703125" customWidth="1"/>
    <col min="2561" max="2561" width="21.5703125" customWidth="1"/>
    <col min="2817" max="2817" width="21.5703125" customWidth="1"/>
    <col min="3073" max="3073" width="21.5703125" customWidth="1"/>
    <col min="3329" max="3329" width="21.5703125" customWidth="1"/>
    <col min="3585" max="3585" width="21.5703125" customWidth="1"/>
    <col min="3841" max="3841" width="21.5703125" customWidth="1"/>
    <col min="4097" max="4097" width="21.5703125" customWidth="1"/>
    <col min="4353" max="4353" width="21.5703125" customWidth="1"/>
    <col min="4609" max="4609" width="21.5703125" customWidth="1"/>
    <col min="4865" max="4865" width="21.5703125" customWidth="1"/>
    <col min="5121" max="5121" width="21.5703125" customWidth="1"/>
    <col min="5377" max="5377" width="21.5703125" customWidth="1"/>
    <col min="5633" max="5633" width="21.5703125" customWidth="1"/>
    <col min="5889" max="5889" width="21.5703125" customWidth="1"/>
    <col min="6145" max="6145" width="21.5703125" customWidth="1"/>
    <col min="6401" max="6401" width="21.5703125" customWidth="1"/>
    <col min="6657" max="6657" width="21.5703125" customWidth="1"/>
    <col min="6913" max="6913" width="21.5703125" customWidth="1"/>
    <col min="7169" max="7169" width="21.5703125" customWidth="1"/>
    <col min="7425" max="7425" width="21.5703125" customWidth="1"/>
    <col min="7681" max="7681" width="21.5703125" customWidth="1"/>
    <col min="7937" max="7937" width="21.5703125" customWidth="1"/>
    <col min="8193" max="8193" width="21.5703125" customWidth="1"/>
    <col min="8449" max="8449" width="21.5703125" customWidth="1"/>
    <col min="8705" max="8705" width="21.5703125" customWidth="1"/>
    <col min="8961" max="8961" width="21.5703125" customWidth="1"/>
    <col min="9217" max="9217" width="21.5703125" customWidth="1"/>
    <col min="9473" max="9473" width="21.5703125" customWidth="1"/>
    <col min="9729" max="9729" width="21.5703125" customWidth="1"/>
    <col min="9985" max="9985" width="21.5703125" customWidth="1"/>
    <col min="10241" max="10241" width="21.5703125" customWidth="1"/>
    <col min="10497" max="10497" width="21.5703125" customWidth="1"/>
    <col min="10753" max="10753" width="21.5703125" customWidth="1"/>
    <col min="11009" max="11009" width="21.5703125" customWidth="1"/>
    <col min="11265" max="11265" width="21.5703125" customWidth="1"/>
    <col min="11521" max="11521" width="21.5703125" customWidth="1"/>
    <col min="11777" max="11777" width="21.5703125" customWidth="1"/>
    <col min="12033" max="12033" width="21.5703125" customWidth="1"/>
    <col min="12289" max="12289" width="21.5703125" customWidth="1"/>
    <col min="12545" max="12545" width="21.5703125" customWidth="1"/>
    <col min="12801" max="12801" width="21.5703125" customWidth="1"/>
    <col min="13057" max="13057" width="21.5703125" customWidth="1"/>
    <col min="13313" max="13313" width="21.5703125" customWidth="1"/>
    <col min="13569" max="13569" width="21.5703125" customWidth="1"/>
    <col min="13825" max="13825" width="21.5703125" customWidth="1"/>
    <col min="14081" max="14081" width="21.5703125" customWidth="1"/>
    <col min="14337" max="14337" width="21.5703125" customWidth="1"/>
    <col min="14593" max="14593" width="21.5703125" customWidth="1"/>
    <col min="14849" max="14849" width="21.5703125" customWidth="1"/>
    <col min="15105" max="15105" width="21.5703125" customWidth="1"/>
    <col min="15361" max="15361" width="21.5703125" customWidth="1"/>
    <col min="15617" max="15617" width="21.5703125" customWidth="1"/>
    <col min="15873" max="15873" width="21.5703125" customWidth="1"/>
    <col min="16129" max="16129" width="21.5703125" customWidth="1"/>
  </cols>
  <sheetData>
    <row r="1" spans="1:15" ht="29.25" customHeight="1">
      <c r="A1" s="258" t="s">
        <v>22</v>
      </c>
      <c r="B1" s="259"/>
      <c r="C1" s="259"/>
      <c r="D1" s="259"/>
      <c r="E1" s="259"/>
      <c r="F1" s="259"/>
      <c r="G1" s="259"/>
      <c r="H1" s="259"/>
      <c r="I1" s="259"/>
      <c r="J1" s="259"/>
      <c r="K1" s="259"/>
      <c r="L1" s="259"/>
      <c r="M1" s="259"/>
      <c r="N1" s="259"/>
      <c r="O1" s="260"/>
    </row>
    <row r="2" spans="1:15" ht="35.25" customHeight="1">
      <c r="A2" s="18" t="s">
        <v>23</v>
      </c>
      <c r="B2" s="19">
        <v>1</v>
      </c>
      <c r="C2" s="19">
        <v>2</v>
      </c>
      <c r="D2" s="19">
        <v>3</v>
      </c>
      <c r="E2" s="19">
        <v>4</v>
      </c>
      <c r="F2" s="19">
        <v>5</v>
      </c>
      <c r="G2" s="19">
        <v>6</v>
      </c>
      <c r="H2" s="19">
        <v>7</v>
      </c>
      <c r="I2" s="19">
        <v>8</v>
      </c>
      <c r="J2" s="19">
        <v>9</v>
      </c>
      <c r="K2" s="19">
        <v>10</v>
      </c>
      <c r="L2" s="19">
        <v>11</v>
      </c>
      <c r="M2" s="19">
        <v>12</v>
      </c>
      <c r="N2" s="20" t="s">
        <v>24</v>
      </c>
      <c r="O2" s="21" t="s">
        <v>25</v>
      </c>
    </row>
    <row r="3" spans="1:15" ht="35.25" customHeight="1">
      <c r="A3" s="22" t="s">
        <v>26</v>
      </c>
      <c r="B3" s="23">
        <v>94</v>
      </c>
      <c r="C3" s="23">
        <v>93</v>
      </c>
      <c r="D3" s="23">
        <v>93</v>
      </c>
      <c r="E3" s="23">
        <v>94</v>
      </c>
      <c r="F3" s="23">
        <v>95</v>
      </c>
      <c r="G3" s="23">
        <v>94</v>
      </c>
      <c r="H3" s="23">
        <v>94</v>
      </c>
      <c r="I3" s="23">
        <v>92</v>
      </c>
      <c r="J3" s="23">
        <v>95</v>
      </c>
      <c r="K3" s="23">
        <v>94</v>
      </c>
      <c r="L3" s="23">
        <v>93</v>
      </c>
      <c r="M3" s="23">
        <v>94</v>
      </c>
      <c r="N3" s="24">
        <f>AVERAGE(B3:M3)</f>
        <v>93.75</v>
      </c>
      <c r="O3" s="25" t="s">
        <v>27</v>
      </c>
    </row>
    <row r="4" spans="1:15" ht="35.25" customHeight="1">
      <c r="A4" s="22" t="s">
        <v>28</v>
      </c>
      <c r="B4" s="23">
        <v>92</v>
      </c>
      <c r="C4" s="23">
        <v>94</v>
      </c>
      <c r="D4" s="23">
        <v>93</v>
      </c>
      <c r="E4" s="23">
        <v>92</v>
      </c>
      <c r="F4" s="23">
        <v>94</v>
      </c>
      <c r="G4" s="23">
        <v>95</v>
      </c>
      <c r="H4" s="23">
        <v>92</v>
      </c>
      <c r="I4" s="23">
        <v>93</v>
      </c>
      <c r="J4" s="23">
        <v>94</v>
      </c>
      <c r="K4" s="23">
        <v>95</v>
      </c>
      <c r="L4" s="23">
        <v>90</v>
      </c>
      <c r="M4" s="23">
        <v>94</v>
      </c>
      <c r="N4" s="24">
        <f t="shared" ref="N4:N11" si="0">AVERAGE(B4:M4)</f>
        <v>93.166666666666671</v>
      </c>
      <c r="O4" s="25" t="s">
        <v>27</v>
      </c>
    </row>
    <row r="5" spans="1:15" ht="35.25" customHeight="1">
      <c r="A5" s="22" t="s">
        <v>29</v>
      </c>
      <c r="B5" s="23">
        <v>93</v>
      </c>
      <c r="C5" s="23">
        <v>94</v>
      </c>
      <c r="D5" s="23">
        <v>94</v>
      </c>
      <c r="E5" s="23">
        <v>93</v>
      </c>
      <c r="F5" s="23">
        <v>94</v>
      </c>
      <c r="G5" s="23">
        <v>94</v>
      </c>
      <c r="H5" s="23">
        <v>93</v>
      </c>
      <c r="I5" s="23">
        <v>93</v>
      </c>
      <c r="J5" s="23">
        <v>94</v>
      </c>
      <c r="K5" s="23">
        <v>94</v>
      </c>
      <c r="L5" s="23">
        <v>93</v>
      </c>
      <c r="M5" s="23">
        <v>92</v>
      </c>
      <c r="N5" s="24">
        <f t="shared" si="0"/>
        <v>93.416666666666671</v>
      </c>
      <c r="O5" s="25" t="s">
        <v>27</v>
      </c>
    </row>
    <row r="6" spans="1:15" ht="35.25" customHeight="1">
      <c r="A6" s="22" t="s">
        <v>30</v>
      </c>
      <c r="B6" s="23">
        <v>94</v>
      </c>
      <c r="C6" s="23">
        <v>92</v>
      </c>
      <c r="D6" s="23">
        <v>95</v>
      </c>
      <c r="E6" s="23">
        <v>93</v>
      </c>
      <c r="F6" s="23">
        <v>92</v>
      </c>
      <c r="G6" s="23">
        <v>94</v>
      </c>
      <c r="H6" s="23">
        <v>90</v>
      </c>
      <c r="I6" s="23">
        <v>91</v>
      </c>
      <c r="J6" s="23">
        <v>92</v>
      </c>
      <c r="K6" s="23">
        <v>94</v>
      </c>
      <c r="L6" s="23">
        <v>94</v>
      </c>
      <c r="M6" s="23">
        <v>93</v>
      </c>
      <c r="N6" s="24">
        <f t="shared" si="0"/>
        <v>92.833333333333329</v>
      </c>
      <c r="O6" s="25" t="s">
        <v>27</v>
      </c>
    </row>
    <row r="7" spans="1:15" ht="35.25" customHeight="1">
      <c r="A7" s="22" t="s">
        <v>31</v>
      </c>
      <c r="B7" s="23">
        <v>95</v>
      </c>
      <c r="C7" s="23">
        <v>93</v>
      </c>
      <c r="D7" s="23">
        <v>94</v>
      </c>
      <c r="E7" s="23">
        <v>91</v>
      </c>
      <c r="F7" s="23">
        <v>93</v>
      </c>
      <c r="G7" s="23">
        <v>92</v>
      </c>
      <c r="H7" s="23">
        <v>93</v>
      </c>
      <c r="I7" s="23">
        <v>92</v>
      </c>
      <c r="J7" s="23">
        <v>93</v>
      </c>
      <c r="K7" s="23">
        <v>92</v>
      </c>
      <c r="L7" s="23">
        <v>95</v>
      </c>
      <c r="M7" s="23">
        <v>90</v>
      </c>
      <c r="N7" s="24">
        <f t="shared" si="0"/>
        <v>92.75</v>
      </c>
      <c r="O7" s="25" t="s">
        <v>27</v>
      </c>
    </row>
    <row r="8" spans="1:15" ht="35.25" customHeight="1">
      <c r="A8" s="22" t="s">
        <v>32</v>
      </c>
      <c r="B8" s="23">
        <v>94</v>
      </c>
      <c r="C8" s="23">
        <v>93</v>
      </c>
      <c r="D8" s="23">
        <v>94</v>
      </c>
      <c r="E8" s="23">
        <v>92</v>
      </c>
      <c r="F8" s="23">
        <v>93</v>
      </c>
      <c r="G8" s="23">
        <v>93</v>
      </c>
      <c r="H8" s="23">
        <v>94</v>
      </c>
      <c r="I8" s="23">
        <v>95</v>
      </c>
      <c r="J8" s="23">
        <v>94</v>
      </c>
      <c r="K8" s="23">
        <v>93</v>
      </c>
      <c r="L8" s="23">
        <v>88</v>
      </c>
      <c r="M8" s="23">
        <v>93</v>
      </c>
      <c r="N8" s="24">
        <f t="shared" si="0"/>
        <v>93</v>
      </c>
      <c r="O8" s="25" t="s">
        <v>27</v>
      </c>
    </row>
    <row r="9" spans="1:15" ht="35.25" customHeight="1">
      <c r="A9" s="22" t="s">
        <v>33</v>
      </c>
      <c r="B9" s="23">
        <v>94</v>
      </c>
      <c r="C9" s="23">
        <v>91</v>
      </c>
      <c r="D9" s="23">
        <v>92</v>
      </c>
      <c r="E9" s="23">
        <v>95</v>
      </c>
      <c r="F9" s="23">
        <v>93</v>
      </c>
      <c r="G9" s="23">
        <v>95</v>
      </c>
      <c r="H9" s="23">
        <v>91</v>
      </c>
      <c r="I9" s="23">
        <v>93</v>
      </c>
      <c r="J9" s="23">
        <v>95</v>
      </c>
      <c r="K9" s="23">
        <v>95</v>
      </c>
      <c r="L9" s="23">
        <v>95</v>
      </c>
      <c r="M9" s="23">
        <v>93</v>
      </c>
      <c r="N9" s="24">
        <f t="shared" si="0"/>
        <v>93.5</v>
      </c>
      <c r="O9" s="25" t="s">
        <v>27</v>
      </c>
    </row>
    <row r="10" spans="1:15" ht="35.25" customHeight="1">
      <c r="A10" s="22" t="s">
        <v>34</v>
      </c>
      <c r="B10" s="23">
        <v>88</v>
      </c>
      <c r="C10" s="23">
        <v>92</v>
      </c>
      <c r="D10" s="23">
        <v>93</v>
      </c>
      <c r="E10" s="23">
        <v>95</v>
      </c>
      <c r="F10" s="23">
        <v>94</v>
      </c>
      <c r="G10" s="23">
        <v>94</v>
      </c>
      <c r="H10" s="23">
        <v>92</v>
      </c>
      <c r="I10" s="23">
        <v>91</v>
      </c>
      <c r="J10" s="23">
        <v>94</v>
      </c>
      <c r="K10" s="23">
        <v>93</v>
      </c>
      <c r="L10" s="23">
        <v>93</v>
      </c>
      <c r="M10" s="23">
        <v>94</v>
      </c>
      <c r="N10" s="24">
        <f t="shared" si="0"/>
        <v>92.75</v>
      </c>
      <c r="O10" s="25" t="s">
        <v>27</v>
      </c>
    </row>
    <row r="11" spans="1:15" ht="35.25" customHeight="1">
      <c r="A11" s="22" t="s">
        <v>35</v>
      </c>
      <c r="B11" s="23">
        <v>95</v>
      </c>
      <c r="C11" s="23">
        <v>95</v>
      </c>
      <c r="D11" s="23">
        <v>95</v>
      </c>
      <c r="E11" s="23">
        <v>95</v>
      </c>
      <c r="F11" s="23">
        <v>95</v>
      </c>
      <c r="G11" s="23">
        <v>94</v>
      </c>
      <c r="H11" s="23">
        <v>95</v>
      </c>
      <c r="I11" s="23">
        <v>92</v>
      </c>
      <c r="J11" s="23">
        <v>94</v>
      </c>
      <c r="K11" s="23">
        <v>91</v>
      </c>
      <c r="L11" s="23">
        <v>94</v>
      </c>
      <c r="M11" s="23">
        <v>95</v>
      </c>
      <c r="N11" s="24">
        <f t="shared" si="0"/>
        <v>94.166666666666671</v>
      </c>
      <c r="O11" s="25" t="s">
        <v>27</v>
      </c>
    </row>
    <row r="12" spans="1:15" ht="35.25" customHeight="1" thickBot="1">
      <c r="A12" s="26" t="s">
        <v>36</v>
      </c>
      <c r="B12" s="27">
        <f t="shared" ref="B12:N12" si="1">AVERAGE(B3:B11)</f>
        <v>93.222222222222229</v>
      </c>
      <c r="C12" s="27">
        <f t="shared" si="1"/>
        <v>93</v>
      </c>
      <c r="D12" s="27">
        <f t="shared" si="1"/>
        <v>93.666666666666671</v>
      </c>
      <c r="E12" s="27">
        <f t="shared" si="1"/>
        <v>93.333333333333329</v>
      </c>
      <c r="F12" s="27">
        <f t="shared" si="1"/>
        <v>93.666666666666671</v>
      </c>
      <c r="G12" s="27">
        <f t="shared" si="1"/>
        <v>93.888888888888886</v>
      </c>
      <c r="H12" s="27">
        <f t="shared" si="1"/>
        <v>92.666666666666671</v>
      </c>
      <c r="I12" s="27">
        <f t="shared" si="1"/>
        <v>92.444444444444443</v>
      </c>
      <c r="J12" s="27">
        <f t="shared" si="1"/>
        <v>93.888888888888886</v>
      </c>
      <c r="K12" s="27">
        <f t="shared" si="1"/>
        <v>93.444444444444443</v>
      </c>
      <c r="L12" s="27">
        <f t="shared" si="1"/>
        <v>92.777777777777771</v>
      </c>
      <c r="M12" s="27">
        <f t="shared" si="1"/>
        <v>93.111111111111114</v>
      </c>
      <c r="N12" s="28">
        <f t="shared" si="1"/>
        <v>93.259259259259267</v>
      </c>
      <c r="O12" s="29" t="s">
        <v>27</v>
      </c>
    </row>
    <row r="14" spans="1:15" ht="23.25" customHeight="1">
      <c r="A14" s="254" t="s">
        <v>37</v>
      </c>
      <c r="B14" s="254"/>
      <c r="C14" s="254"/>
      <c r="D14" s="254"/>
      <c r="E14" s="254"/>
    </row>
    <row r="15" spans="1:15" ht="23.25" customHeight="1">
      <c r="A15" s="254" t="s">
        <v>38</v>
      </c>
      <c r="B15" s="254"/>
      <c r="C15" s="255"/>
      <c r="D15" s="256"/>
      <c r="E15" s="257"/>
    </row>
    <row r="16" spans="1:15" ht="23.25" customHeight="1">
      <c r="A16" s="254" t="s">
        <v>39</v>
      </c>
      <c r="B16" s="254"/>
      <c r="C16" s="255"/>
      <c r="D16" s="256"/>
      <c r="E16" s="257"/>
    </row>
    <row r="17" spans="1:5" ht="23.25" customHeight="1">
      <c r="A17" s="254" t="s">
        <v>40</v>
      </c>
      <c r="B17" s="254"/>
      <c r="C17" s="255"/>
      <c r="D17" s="256"/>
      <c r="E17" s="257"/>
    </row>
    <row r="18" spans="1:5" ht="23.25" customHeight="1">
      <c r="A18" s="254" t="s">
        <v>41</v>
      </c>
      <c r="B18" s="254"/>
      <c r="C18" s="255" t="s">
        <v>42</v>
      </c>
      <c r="D18" s="256"/>
      <c r="E18" s="257"/>
    </row>
  </sheetData>
  <mergeCells count="10">
    <mergeCell ref="A17:B17"/>
    <mergeCell ref="C17:E17"/>
    <mergeCell ref="A18:B18"/>
    <mergeCell ref="C18:E18"/>
    <mergeCell ref="A1:O1"/>
    <mergeCell ref="A14:E14"/>
    <mergeCell ref="A15:B15"/>
    <mergeCell ref="C15:E15"/>
    <mergeCell ref="A16:B16"/>
    <mergeCell ref="C16:E1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
  <sheetViews>
    <sheetView workbookViewId="0">
      <selection activeCell="A14" sqref="A14:E18"/>
    </sheetView>
  </sheetViews>
  <sheetFormatPr defaultRowHeight="12.75"/>
  <cols>
    <col min="1" max="1" width="25.140625" customWidth="1"/>
  </cols>
  <sheetData>
    <row r="1" spans="1:15" ht="15.75">
      <c r="A1" s="258" t="s">
        <v>43</v>
      </c>
      <c r="B1" s="259"/>
      <c r="C1" s="259"/>
      <c r="D1" s="259"/>
      <c r="E1" s="259"/>
      <c r="F1" s="259"/>
      <c r="G1" s="259"/>
      <c r="H1" s="259"/>
      <c r="I1" s="259"/>
      <c r="J1" s="259"/>
      <c r="K1" s="259"/>
      <c r="L1" s="259"/>
      <c r="M1" s="259"/>
      <c r="N1" s="259"/>
      <c r="O1" s="260"/>
    </row>
    <row r="2" spans="1:15" ht="49.5" customHeight="1">
      <c r="A2" s="18" t="s">
        <v>47</v>
      </c>
      <c r="B2" s="19">
        <v>1</v>
      </c>
      <c r="C2" s="19">
        <v>2</v>
      </c>
      <c r="D2" s="19">
        <v>3</v>
      </c>
      <c r="E2" s="19">
        <v>4</v>
      </c>
      <c r="F2" s="19">
        <v>5</v>
      </c>
      <c r="G2" s="19">
        <v>6</v>
      </c>
      <c r="H2" s="19">
        <v>7</v>
      </c>
      <c r="I2" s="19">
        <v>8</v>
      </c>
      <c r="J2" s="19">
        <v>9</v>
      </c>
      <c r="K2" s="19">
        <v>10</v>
      </c>
      <c r="L2" s="19">
        <v>11</v>
      </c>
      <c r="M2" s="19">
        <v>12</v>
      </c>
      <c r="N2" s="20" t="s">
        <v>24</v>
      </c>
      <c r="O2" s="21" t="s">
        <v>25</v>
      </c>
    </row>
    <row r="3" spans="1:15" ht="35.25" customHeight="1">
      <c r="A3" s="22" t="s">
        <v>26</v>
      </c>
      <c r="B3" s="23">
        <v>92</v>
      </c>
      <c r="C3" s="23">
        <v>93</v>
      </c>
      <c r="D3" s="23">
        <v>93</v>
      </c>
      <c r="E3" s="23">
        <v>94</v>
      </c>
      <c r="F3" s="23">
        <v>95</v>
      </c>
      <c r="G3" s="23">
        <v>95</v>
      </c>
      <c r="H3" s="23">
        <v>95</v>
      </c>
      <c r="I3" s="23">
        <v>95</v>
      </c>
      <c r="J3" s="23">
        <v>95</v>
      </c>
      <c r="K3" s="30">
        <v>95</v>
      </c>
      <c r="L3" s="31">
        <v>95</v>
      </c>
      <c r="M3" s="31">
        <v>95</v>
      </c>
      <c r="N3" s="24">
        <f>AVERAGE(B3:M3)</f>
        <v>94.333333333333329</v>
      </c>
      <c r="O3" s="25" t="s">
        <v>27</v>
      </c>
    </row>
    <row r="4" spans="1:15" ht="35.25" customHeight="1">
      <c r="A4" s="22" t="s">
        <v>28</v>
      </c>
      <c r="B4" s="23">
        <v>90</v>
      </c>
      <c r="C4" s="23">
        <v>94</v>
      </c>
      <c r="D4" s="23">
        <v>93</v>
      </c>
      <c r="E4" s="23">
        <v>94</v>
      </c>
      <c r="F4" s="23">
        <v>94</v>
      </c>
      <c r="G4" s="23">
        <v>94</v>
      </c>
      <c r="H4" s="23">
        <v>94</v>
      </c>
      <c r="I4" s="23">
        <v>94</v>
      </c>
      <c r="J4" s="23">
        <v>94</v>
      </c>
      <c r="K4" s="30">
        <v>95</v>
      </c>
      <c r="L4" s="31">
        <v>95</v>
      </c>
      <c r="M4" s="31">
        <v>95</v>
      </c>
      <c r="N4" s="24">
        <f t="shared" ref="N4:N12" si="0">AVERAGE(B4:M4)</f>
        <v>93.833333333333329</v>
      </c>
      <c r="O4" s="25" t="s">
        <v>27</v>
      </c>
    </row>
    <row r="5" spans="1:15" ht="35.25" customHeight="1">
      <c r="A5" s="22" t="s">
        <v>29</v>
      </c>
      <c r="B5" s="23">
        <v>93</v>
      </c>
      <c r="C5" s="23">
        <v>94</v>
      </c>
      <c r="D5" s="23">
        <v>94</v>
      </c>
      <c r="E5" s="23">
        <v>92</v>
      </c>
      <c r="F5" s="23">
        <v>94</v>
      </c>
      <c r="G5" s="23">
        <v>94</v>
      </c>
      <c r="H5" s="23">
        <v>94</v>
      </c>
      <c r="I5" s="23">
        <v>94</v>
      </c>
      <c r="J5" s="23">
        <v>93</v>
      </c>
      <c r="K5" s="30">
        <v>94</v>
      </c>
      <c r="L5" s="31">
        <v>95</v>
      </c>
      <c r="M5" s="31">
        <v>95</v>
      </c>
      <c r="N5" s="24">
        <f t="shared" si="0"/>
        <v>93.833333333333329</v>
      </c>
      <c r="O5" s="25" t="s">
        <v>27</v>
      </c>
    </row>
    <row r="6" spans="1:15" ht="35.25" customHeight="1">
      <c r="A6" s="22" t="s">
        <v>30</v>
      </c>
      <c r="B6" s="23">
        <v>90</v>
      </c>
      <c r="C6" s="23">
        <v>92</v>
      </c>
      <c r="D6" s="23">
        <v>95</v>
      </c>
      <c r="E6" s="23">
        <v>93</v>
      </c>
      <c r="F6" s="23">
        <v>92</v>
      </c>
      <c r="G6" s="23">
        <v>92</v>
      </c>
      <c r="H6" s="23">
        <v>92</v>
      </c>
      <c r="I6" s="23">
        <v>94</v>
      </c>
      <c r="J6" s="23">
        <v>93</v>
      </c>
      <c r="K6" s="30">
        <v>94</v>
      </c>
      <c r="L6" s="31">
        <v>95</v>
      </c>
      <c r="M6" s="31">
        <v>95</v>
      </c>
      <c r="N6" s="24">
        <f t="shared" si="0"/>
        <v>93.083333333333329</v>
      </c>
      <c r="O6" s="25" t="s">
        <v>27</v>
      </c>
    </row>
    <row r="7" spans="1:15" ht="35.25" customHeight="1">
      <c r="A7" s="22" t="s">
        <v>31</v>
      </c>
      <c r="B7" s="23">
        <v>93</v>
      </c>
      <c r="C7" s="23">
        <v>93</v>
      </c>
      <c r="D7" s="23">
        <v>94</v>
      </c>
      <c r="E7" s="23">
        <v>90</v>
      </c>
      <c r="F7" s="23">
        <v>93</v>
      </c>
      <c r="G7" s="23">
        <v>93</v>
      </c>
      <c r="H7" s="23">
        <v>93</v>
      </c>
      <c r="I7" s="23">
        <v>94</v>
      </c>
      <c r="J7" s="23">
        <v>93</v>
      </c>
      <c r="K7" s="30">
        <v>94</v>
      </c>
      <c r="L7" s="31">
        <v>95</v>
      </c>
      <c r="M7" s="31">
        <v>95</v>
      </c>
      <c r="N7" s="24">
        <f t="shared" si="0"/>
        <v>93.333333333333329</v>
      </c>
      <c r="O7" s="25" t="s">
        <v>27</v>
      </c>
    </row>
    <row r="8" spans="1:15" ht="35.25" customHeight="1">
      <c r="A8" s="22" t="s">
        <v>32</v>
      </c>
      <c r="B8" s="23">
        <v>94</v>
      </c>
      <c r="C8" s="23">
        <v>93</v>
      </c>
      <c r="D8" s="23">
        <v>94</v>
      </c>
      <c r="E8" s="23">
        <v>93</v>
      </c>
      <c r="F8" s="23">
        <v>93</v>
      </c>
      <c r="G8" s="23">
        <v>93</v>
      </c>
      <c r="H8" s="23">
        <v>93</v>
      </c>
      <c r="I8" s="23">
        <v>94</v>
      </c>
      <c r="J8" s="23">
        <v>93</v>
      </c>
      <c r="K8" s="30">
        <v>96</v>
      </c>
      <c r="L8" s="31">
        <v>95</v>
      </c>
      <c r="M8" s="31">
        <v>95</v>
      </c>
      <c r="N8" s="24">
        <f t="shared" si="0"/>
        <v>93.833333333333329</v>
      </c>
      <c r="O8" s="25" t="s">
        <v>27</v>
      </c>
    </row>
    <row r="9" spans="1:15" ht="35.25" customHeight="1">
      <c r="A9" s="22" t="s">
        <v>33</v>
      </c>
      <c r="B9" s="23">
        <v>95</v>
      </c>
      <c r="C9" s="23">
        <v>91</v>
      </c>
      <c r="D9" s="23">
        <v>92</v>
      </c>
      <c r="E9" s="23">
        <v>94</v>
      </c>
      <c r="F9" s="23">
        <v>93</v>
      </c>
      <c r="G9" s="23">
        <v>93</v>
      </c>
      <c r="H9" s="23">
        <v>93</v>
      </c>
      <c r="I9" s="23">
        <v>94</v>
      </c>
      <c r="J9" s="23">
        <v>91</v>
      </c>
      <c r="K9" s="30">
        <v>95</v>
      </c>
      <c r="L9" s="31">
        <v>90</v>
      </c>
      <c r="M9" s="31">
        <v>95</v>
      </c>
      <c r="N9" s="24">
        <f t="shared" si="0"/>
        <v>93</v>
      </c>
      <c r="O9" s="25" t="s">
        <v>27</v>
      </c>
    </row>
    <row r="10" spans="1:15" ht="35.25" customHeight="1">
      <c r="A10" s="22" t="s">
        <v>35</v>
      </c>
      <c r="B10" s="23">
        <v>95</v>
      </c>
      <c r="C10" s="23">
        <v>95</v>
      </c>
      <c r="D10" s="23">
        <v>95</v>
      </c>
      <c r="E10" s="23">
        <v>95</v>
      </c>
      <c r="F10" s="23">
        <v>95</v>
      </c>
      <c r="G10" s="23">
        <v>95</v>
      </c>
      <c r="H10" s="23">
        <v>95</v>
      </c>
      <c r="I10" s="23">
        <v>98</v>
      </c>
      <c r="J10" s="23">
        <v>96</v>
      </c>
      <c r="K10" s="30">
        <v>96</v>
      </c>
      <c r="L10" s="31">
        <v>98</v>
      </c>
      <c r="M10" s="31">
        <v>97</v>
      </c>
      <c r="N10" s="32">
        <f t="shared" si="0"/>
        <v>95.833333333333329</v>
      </c>
      <c r="O10" s="25" t="s">
        <v>27</v>
      </c>
    </row>
    <row r="11" spans="1:15" ht="35.25" customHeight="1">
      <c r="A11" s="33" t="s">
        <v>44</v>
      </c>
      <c r="B11" s="34">
        <v>98</v>
      </c>
      <c r="C11" s="34">
        <v>98</v>
      </c>
      <c r="D11" s="34">
        <v>98</v>
      </c>
      <c r="E11" s="34">
        <v>98</v>
      </c>
      <c r="F11" s="34">
        <v>98</v>
      </c>
      <c r="G11" s="34">
        <v>98</v>
      </c>
      <c r="H11" s="34">
        <v>98</v>
      </c>
      <c r="I11" s="34">
        <v>98</v>
      </c>
      <c r="J11" s="34">
        <v>98</v>
      </c>
      <c r="K11" s="35">
        <v>98</v>
      </c>
      <c r="L11" s="36">
        <v>98</v>
      </c>
      <c r="M11" s="36">
        <v>98</v>
      </c>
      <c r="N11" s="37">
        <f t="shared" si="0"/>
        <v>98</v>
      </c>
      <c r="O11" s="38" t="s">
        <v>27</v>
      </c>
    </row>
    <row r="12" spans="1:15" ht="35.25" customHeight="1">
      <c r="A12" s="33" t="s">
        <v>45</v>
      </c>
      <c r="B12" s="34"/>
      <c r="C12" s="34">
        <v>78</v>
      </c>
      <c r="D12" s="34">
        <v>78</v>
      </c>
      <c r="E12" s="34">
        <v>78</v>
      </c>
      <c r="F12" s="34">
        <v>75</v>
      </c>
      <c r="G12" s="34">
        <v>75</v>
      </c>
      <c r="H12" s="34">
        <v>75</v>
      </c>
      <c r="I12" s="34">
        <v>78</v>
      </c>
      <c r="J12" s="34">
        <v>78</v>
      </c>
      <c r="K12" s="35">
        <v>80</v>
      </c>
      <c r="L12" s="36">
        <v>84</v>
      </c>
      <c r="M12" s="36">
        <v>87</v>
      </c>
      <c r="N12" s="37">
        <f t="shared" si="0"/>
        <v>78.727272727272734</v>
      </c>
      <c r="O12" s="38" t="s">
        <v>46</v>
      </c>
    </row>
    <row r="13" spans="1:15" ht="35.25" customHeight="1" thickBot="1">
      <c r="A13" s="26" t="s">
        <v>36</v>
      </c>
      <c r="B13" s="27">
        <f>AVERAGE(B3:B12)</f>
        <v>93.333333333333329</v>
      </c>
      <c r="C13" s="27">
        <f t="shared" ref="C13:J13" si="1">AVERAGE(C3:C12)</f>
        <v>92.1</v>
      </c>
      <c r="D13" s="27">
        <f t="shared" si="1"/>
        <v>92.6</v>
      </c>
      <c r="E13" s="27">
        <f t="shared" si="1"/>
        <v>92.1</v>
      </c>
      <c r="F13" s="27">
        <f t="shared" si="1"/>
        <v>92.2</v>
      </c>
      <c r="G13" s="27">
        <f t="shared" si="1"/>
        <v>92.2</v>
      </c>
      <c r="H13" s="27">
        <f t="shared" si="1"/>
        <v>92.2</v>
      </c>
      <c r="I13" s="27">
        <f t="shared" si="1"/>
        <v>93.3</v>
      </c>
      <c r="J13" s="27">
        <f t="shared" si="1"/>
        <v>92.4</v>
      </c>
      <c r="K13" s="27">
        <f>AVERAGE(K3:K12)</f>
        <v>93.7</v>
      </c>
      <c r="L13" s="27">
        <f>AVERAGE(L3:L12)</f>
        <v>94</v>
      </c>
      <c r="M13" s="27">
        <f>AVERAGE(M3:M12)</f>
        <v>94.7</v>
      </c>
      <c r="N13" s="27">
        <f>AVERAGE(N3:N12)</f>
        <v>92.781060606060606</v>
      </c>
      <c r="O13" s="29" t="s">
        <v>27</v>
      </c>
    </row>
  </sheetData>
  <mergeCells count="1">
    <mergeCell ref="A1:O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9"/>
  <sheetViews>
    <sheetView workbookViewId="0">
      <selection activeCell="A14" sqref="A14:E18"/>
    </sheetView>
  </sheetViews>
  <sheetFormatPr defaultRowHeight="12.75"/>
  <cols>
    <col min="1" max="1" width="21.5703125" customWidth="1"/>
    <col min="257" max="257" width="21.5703125" customWidth="1"/>
    <col min="513" max="513" width="21.5703125" customWidth="1"/>
    <col min="769" max="769" width="21.5703125" customWidth="1"/>
    <col min="1025" max="1025" width="21.5703125" customWidth="1"/>
    <col min="1281" max="1281" width="21.5703125" customWidth="1"/>
    <col min="1537" max="1537" width="21.5703125" customWidth="1"/>
    <col min="1793" max="1793" width="21.5703125" customWidth="1"/>
    <col min="2049" max="2049" width="21.5703125" customWidth="1"/>
    <col min="2305" max="2305" width="21.5703125" customWidth="1"/>
    <col min="2561" max="2561" width="21.5703125" customWidth="1"/>
    <col min="2817" max="2817" width="21.5703125" customWidth="1"/>
    <col min="3073" max="3073" width="21.5703125" customWidth="1"/>
    <col min="3329" max="3329" width="21.5703125" customWidth="1"/>
    <col min="3585" max="3585" width="21.5703125" customWidth="1"/>
    <col min="3841" max="3841" width="21.5703125" customWidth="1"/>
    <col min="4097" max="4097" width="21.5703125" customWidth="1"/>
    <col min="4353" max="4353" width="21.5703125" customWidth="1"/>
    <col min="4609" max="4609" width="21.5703125" customWidth="1"/>
    <col min="4865" max="4865" width="21.5703125" customWidth="1"/>
    <col min="5121" max="5121" width="21.5703125" customWidth="1"/>
    <col min="5377" max="5377" width="21.5703125" customWidth="1"/>
    <col min="5633" max="5633" width="21.5703125" customWidth="1"/>
    <col min="5889" max="5889" width="21.5703125" customWidth="1"/>
    <col min="6145" max="6145" width="21.5703125" customWidth="1"/>
    <col min="6401" max="6401" width="21.5703125" customWidth="1"/>
    <col min="6657" max="6657" width="21.5703125" customWidth="1"/>
    <col min="6913" max="6913" width="21.5703125" customWidth="1"/>
    <col min="7169" max="7169" width="21.5703125" customWidth="1"/>
    <col min="7425" max="7425" width="21.5703125" customWidth="1"/>
    <col min="7681" max="7681" width="21.5703125" customWidth="1"/>
    <col min="7937" max="7937" width="21.5703125" customWidth="1"/>
    <col min="8193" max="8193" width="21.5703125" customWidth="1"/>
    <col min="8449" max="8449" width="21.5703125" customWidth="1"/>
    <col min="8705" max="8705" width="21.5703125" customWidth="1"/>
    <col min="8961" max="8961" width="21.5703125" customWidth="1"/>
    <col min="9217" max="9217" width="21.5703125" customWidth="1"/>
    <col min="9473" max="9473" width="21.5703125" customWidth="1"/>
    <col min="9729" max="9729" width="21.5703125" customWidth="1"/>
    <col min="9985" max="9985" width="21.5703125" customWidth="1"/>
    <col min="10241" max="10241" width="21.5703125" customWidth="1"/>
    <col min="10497" max="10497" width="21.5703125" customWidth="1"/>
    <col min="10753" max="10753" width="21.5703125" customWidth="1"/>
    <col min="11009" max="11009" width="21.5703125" customWidth="1"/>
    <col min="11265" max="11265" width="21.5703125" customWidth="1"/>
    <col min="11521" max="11521" width="21.5703125" customWidth="1"/>
    <col min="11777" max="11777" width="21.5703125" customWidth="1"/>
    <col min="12033" max="12033" width="21.5703125" customWidth="1"/>
    <col min="12289" max="12289" width="21.5703125" customWidth="1"/>
    <col min="12545" max="12545" width="21.5703125" customWidth="1"/>
    <col min="12801" max="12801" width="21.5703125" customWidth="1"/>
    <col min="13057" max="13057" width="21.5703125" customWidth="1"/>
    <col min="13313" max="13313" width="21.5703125" customWidth="1"/>
    <col min="13569" max="13569" width="21.5703125" customWidth="1"/>
    <col min="13825" max="13825" width="21.5703125" customWidth="1"/>
    <col min="14081" max="14081" width="21.5703125" customWidth="1"/>
    <col min="14337" max="14337" width="21.5703125" customWidth="1"/>
    <col min="14593" max="14593" width="21.5703125" customWidth="1"/>
    <col min="14849" max="14849" width="21.5703125" customWidth="1"/>
    <col min="15105" max="15105" width="21.5703125" customWidth="1"/>
    <col min="15361" max="15361" width="21.5703125" customWidth="1"/>
    <col min="15617" max="15617" width="21.5703125" customWidth="1"/>
    <col min="15873" max="15873" width="21.5703125" customWidth="1"/>
    <col min="16129" max="16129" width="21.5703125" customWidth="1"/>
  </cols>
  <sheetData>
    <row r="1" spans="1:15" ht="37.5" customHeight="1">
      <c r="A1" s="258" t="s">
        <v>48</v>
      </c>
      <c r="B1" s="259"/>
      <c r="C1" s="259"/>
      <c r="D1" s="259"/>
      <c r="E1" s="259"/>
      <c r="F1" s="259"/>
      <c r="G1" s="259"/>
      <c r="H1" s="259"/>
      <c r="I1" s="259"/>
      <c r="J1" s="259"/>
      <c r="K1" s="259"/>
      <c r="L1" s="259"/>
      <c r="M1" s="259"/>
      <c r="N1" s="259"/>
      <c r="O1" s="260"/>
    </row>
    <row r="2" spans="1:15" ht="31.5">
      <c r="A2" s="18" t="s">
        <v>23</v>
      </c>
      <c r="B2" s="19">
        <v>1</v>
      </c>
      <c r="C2" s="19">
        <v>2</v>
      </c>
      <c r="D2" s="19">
        <v>3</v>
      </c>
      <c r="E2" s="19">
        <v>4</v>
      </c>
      <c r="F2" s="19">
        <v>5</v>
      </c>
      <c r="G2" s="19">
        <v>6</v>
      </c>
      <c r="H2" s="19">
        <v>7</v>
      </c>
      <c r="I2" s="19">
        <v>8</v>
      </c>
      <c r="J2" s="19">
        <v>9</v>
      </c>
      <c r="K2" s="19">
        <v>10</v>
      </c>
      <c r="L2" s="19">
        <v>11</v>
      </c>
      <c r="M2" s="19">
        <v>12</v>
      </c>
      <c r="N2" s="20" t="s">
        <v>24</v>
      </c>
      <c r="O2" s="21" t="s">
        <v>25</v>
      </c>
    </row>
    <row r="3" spans="1:15" ht="24" customHeight="1">
      <c r="A3" s="22" t="s">
        <v>26</v>
      </c>
      <c r="B3" s="31">
        <v>94</v>
      </c>
      <c r="C3" s="31">
        <v>95</v>
      </c>
      <c r="D3" s="31">
        <v>93</v>
      </c>
      <c r="E3" s="23">
        <v>95</v>
      </c>
      <c r="F3" s="23">
        <v>94</v>
      </c>
      <c r="G3" s="23">
        <v>95</v>
      </c>
      <c r="H3" s="23">
        <v>95</v>
      </c>
      <c r="I3" s="23">
        <v>95</v>
      </c>
      <c r="J3" s="23">
        <v>95</v>
      </c>
      <c r="K3" s="30">
        <v>95</v>
      </c>
      <c r="L3" s="31">
        <v>95</v>
      </c>
      <c r="M3" s="31">
        <v>94</v>
      </c>
      <c r="N3" s="24">
        <f>AVERAGE(B3:M3)</f>
        <v>94.583333333333329</v>
      </c>
      <c r="O3" s="25" t="s">
        <v>27</v>
      </c>
    </row>
    <row r="4" spans="1:15" ht="24" customHeight="1">
      <c r="A4" s="22" t="s">
        <v>28</v>
      </c>
      <c r="B4" s="31">
        <v>95</v>
      </c>
      <c r="C4" s="31">
        <v>96</v>
      </c>
      <c r="D4" s="31">
        <v>93</v>
      </c>
      <c r="E4" s="23">
        <v>95</v>
      </c>
      <c r="F4" s="23">
        <v>94</v>
      </c>
      <c r="G4" s="23">
        <v>94</v>
      </c>
      <c r="H4" s="23">
        <v>95</v>
      </c>
      <c r="I4" s="23">
        <v>95</v>
      </c>
      <c r="J4" s="23">
        <v>95</v>
      </c>
      <c r="K4" s="30">
        <v>94</v>
      </c>
      <c r="L4" s="31">
        <v>94</v>
      </c>
      <c r="M4" s="31">
        <v>95</v>
      </c>
      <c r="N4" s="24">
        <f t="shared" ref="N4:N12" si="0">AVERAGE(B4:M4)</f>
        <v>94.583333333333329</v>
      </c>
      <c r="O4" s="25" t="s">
        <v>27</v>
      </c>
    </row>
    <row r="5" spans="1:15" ht="24" customHeight="1">
      <c r="A5" s="22" t="s">
        <v>29</v>
      </c>
      <c r="B5" s="31">
        <v>94</v>
      </c>
      <c r="C5" s="31">
        <v>95</v>
      </c>
      <c r="D5" s="31">
        <v>93</v>
      </c>
      <c r="E5" s="23">
        <v>94</v>
      </c>
      <c r="F5" s="23">
        <v>92</v>
      </c>
      <c r="G5" s="23">
        <v>94</v>
      </c>
      <c r="H5" s="23">
        <v>94</v>
      </c>
      <c r="I5" s="23">
        <v>95</v>
      </c>
      <c r="J5" s="23">
        <v>95</v>
      </c>
      <c r="K5" s="30">
        <v>94</v>
      </c>
      <c r="L5" s="31">
        <v>94</v>
      </c>
      <c r="M5" s="31">
        <v>94</v>
      </c>
      <c r="N5" s="24">
        <f t="shared" si="0"/>
        <v>94</v>
      </c>
      <c r="O5" s="25" t="s">
        <v>27</v>
      </c>
    </row>
    <row r="6" spans="1:15" ht="24" customHeight="1">
      <c r="A6" s="22" t="s">
        <v>30</v>
      </c>
      <c r="B6" s="31">
        <v>93</v>
      </c>
      <c r="C6" s="31">
        <v>94</v>
      </c>
      <c r="D6" s="31">
        <v>95</v>
      </c>
      <c r="E6" s="23">
        <v>94</v>
      </c>
      <c r="F6" s="23">
        <v>93</v>
      </c>
      <c r="G6" s="23">
        <v>92</v>
      </c>
      <c r="H6" s="23">
        <v>94</v>
      </c>
      <c r="I6" s="23">
        <v>95</v>
      </c>
      <c r="J6" s="23">
        <v>95</v>
      </c>
      <c r="K6" s="30">
        <v>92</v>
      </c>
      <c r="L6" s="31">
        <v>94</v>
      </c>
      <c r="M6" s="31">
        <v>94</v>
      </c>
      <c r="N6" s="24">
        <f t="shared" si="0"/>
        <v>93.75</v>
      </c>
      <c r="O6" s="25" t="s">
        <v>27</v>
      </c>
    </row>
    <row r="7" spans="1:15" ht="24" customHeight="1">
      <c r="A7" s="22" t="s">
        <v>31</v>
      </c>
      <c r="B7" s="31">
        <v>94</v>
      </c>
      <c r="C7" s="31">
        <v>95</v>
      </c>
      <c r="D7" s="31">
        <v>93</v>
      </c>
      <c r="E7" s="23">
        <v>94</v>
      </c>
      <c r="F7" s="23">
        <v>90</v>
      </c>
      <c r="G7" s="23">
        <v>93</v>
      </c>
      <c r="H7" s="23">
        <v>94</v>
      </c>
      <c r="I7" s="23">
        <v>95</v>
      </c>
      <c r="J7" s="23">
        <v>95</v>
      </c>
      <c r="K7" s="30">
        <v>93</v>
      </c>
      <c r="L7" s="31">
        <v>94</v>
      </c>
      <c r="M7" s="31">
        <v>92</v>
      </c>
      <c r="N7" s="24">
        <f t="shared" si="0"/>
        <v>93.5</v>
      </c>
      <c r="O7" s="25" t="s">
        <v>27</v>
      </c>
    </row>
    <row r="8" spans="1:15" ht="24" customHeight="1">
      <c r="A8" s="22" t="s">
        <v>32</v>
      </c>
      <c r="B8" s="31">
        <v>96</v>
      </c>
      <c r="C8" s="31">
        <v>96</v>
      </c>
      <c r="D8" s="31">
        <v>96</v>
      </c>
      <c r="E8" s="23"/>
      <c r="F8" s="23"/>
      <c r="G8" s="23"/>
      <c r="H8" s="23"/>
      <c r="I8" s="23"/>
      <c r="J8" s="23"/>
      <c r="K8" s="30">
        <v>93</v>
      </c>
      <c r="L8" s="31">
        <v>94</v>
      </c>
      <c r="M8" s="31">
        <v>93</v>
      </c>
      <c r="N8" s="24">
        <f t="shared" si="0"/>
        <v>94.666666666666671</v>
      </c>
      <c r="O8" s="25" t="s">
        <v>27</v>
      </c>
    </row>
    <row r="9" spans="1:15" ht="24" customHeight="1">
      <c r="A9" s="22" t="s">
        <v>33</v>
      </c>
      <c r="B9" s="31">
        <v>91</v>
      </c>
      <c r="C9" s="31">
        <v>92</v>
      </c>
      <c r="D9" s="31">
        <v>90</v>
      </c>
      <c r="E9" s="23">
        <v>95</v>
      </c>
      <c r="F9" s="23">
        <v>94</v>
      </c>
      <c r="G9" s="23">
        <v>93</v>
      </c>
      <c r="H9" s="23">
        <v>95</v>
      </c>
      <c r="I9" s="23">
        <v>90</v>
      </c>
      <c r="J9" s="23">
        <v>95</v>
      </c>
      <c r="K9" s="30">
        <v>93</v>
      </c>
      <c r="L9" s="31">
        <v>94</v>
      </c>
      <c r="M9" s="31">
        <v>95</v>
      </c>
      <c r="N9" s="24">
        <f t="shared" si="0"/>
        <v>93.083333333333329</v>
      </c>
      <c r="O9" s="25" t="s">
        <v>27</v>
      </c>
    </row>
    <row r="10" spans="1:15" ht="24" customHeight="1">
      <c r="A10" s="22" t="s">
        <v>35</v>
      </c>
      <c r="B10" s="31">
        <v>98</v>
      </c>
      <c r="C10" s="31">
        <v>98</v>
      </c>
      <c r="D10" s="31">
        <v>98</v>
      </c>
      <c r="E10" s="23">
        <v>96</v>
      </c>
      <c r="F10" s="23">
        <v>95</v>
      </c>
      <c r="G10" s="23">
        <v>95</v>
      </c>
      <c r="H10" s="23">
        <v>96</v>
      </c>
      <c r="I10" s="23">
        <v>98</v>
      </c>
      <c r="J10" s="23">
        <v>97</v>
      </c>
      <c r="K10" s="30">
        <v>95</v>
      </c>
      <c r="L10" s="31">
        <v>98</v>
      </c>
      <c r="M10" s="31">
        <v>93</v>
      </c>
      <c r="N10" s="24">
        <f t="shared" si="0"/>
        <v>96.416666666666671</v>
      </c>
      <c r="O10" s="25" t="s">
        <v>27</v>
      </c>
    </row>
    <row r="11" spans="1:15" ht="24" customHeight="1">
      <c r="A11" s="33" t="s">
        <v>44</v>
      </c>
      <c r="B11" s="36">
        <v>98</v>
      </c>
      <c r="C11" s="36">
        <v>98</v>
      </c>
      <c r="D11" s="36">
        <v>98</v>
      </c>
      <c r="E11" s="34">
        <v>98</v>
      </c>
      <c r="F11" s="34">
        <v>98</v>
      </c>
      <c r="G11" s="34">
        <v>98</v>
      </c>
      <c r="H11" s="34">
        <v>98</v>
      </c>
      <c r="I11" s="34">
        <v>98</v>
      </c>
      <c r="J11" s="34">
        <v>98</v>
      </c>
      <c r="K11" s="35">
        <v>98</v>
      </c>
      <c r="L11" s="36">
        <v>98</v>
      </c>
      <c r="M11" s="36">
        <v>91</v>
      </c>
      <c r="N11" s="39">
        <f t="shared" si="0"/>
        <v>97.416666666666671</v>
      </c>
      <c r="O11" s="38" t="s">
        <v>27</v>
      </c>
    </row>
    <row r="12" spans="1:15" ht="24" customHeight="1">
      <c r="A12" s="33" t="s">
        <v>49</v>
      </c>
      <c r="B12" s="36">
        <v>84</v>
      </c>
      <c r="C12" s="36">
        <v>84</v>
      </c>
      <c r="D12" s="36">
        <v>84</v>
      </c>
      <c r="E12" s="36">
        <v>84</v>
      </c>
      <c r="F12" s="36">
        <v>84</v>
      </c>
      <c r="G12" s="36">
        <v>84</v>
      </c>
      <c r="H12" s="36">
        <v>80</v>
      </c>
      <c r="I12" s="36">
        <v>84</v>
      </c>
      <c r="J12" s="36">
        <v>87</v>
      </c>
      <c r="K12" s="36">
        <v>75</v>
      </c>
      <c r="L12" s="36">
        <v>78</v>
      </c>
      <c r="M12" s="36">
        <v>84</v>
      </c>
      <c r="N12" s="39">
        <f t="shared" si="0"/>
        <v>82.666666666666671</v>
      </c>
      <c r="O12" s="38" t="s">
        <v>50</v>
      </c>
    </row>
    <row r="13" spans="1:15" ht="24" customHeight="1" thickBot="1">
      <c r="A13" s="26" t="s">
        <v>36</v>
      </c>
      <c r="B13" s="27">
        <f>AVERAGE(B3:B12)</f>
        <v>93.7</v>
      </c>
      <c r="C13" s="27">
        <f t="shared" ref="C13:M13" si="1">AVERAGE(C3:C12)</f>
        <v>94.3</v>
      </c>
      <c r="D13" s="27">
        <f t="shared" si="1"/>
        <v>93.3</v>
      </c>
      <c r="E13" s="27">
        <f t="shared" si="1"/>
        <v>93.888888888888886</v>
      </c>
      <c r="F13" s="27">
        <f t="shared" si="1"/>
        <v>92.666666666666671</v>
      </c>
      <c r="G13" s="27">
        <f t="shared" si="1"/>
        <v>93.111111111111114</v>
      </c>
      <c r="H13" s="27">
        <f t="shared" si="1"/>
        <v>93.444444444444443</v>
      </c>
      <c r="I13" s="27">
        <f t="shared" si="1"/>
        <v>93.888888888888886</v>
      </c>
      <c r="J13" s="27">
        <f t="shared" si="1"/>
        <v>94.666666666666671</v>
      </c>
      <c r="K13" s="27">
        <f t="shared" si="1"/>
        <v>92.2</v>
      </c>
      <c r="L13" s="27">
        <f>AVERAGE(L3:L12)</f>
        <v>93.3</v>
      </c>
      <c r="M13" s="27">
        <f t="shared" si="1"/>
        <v>92.5</v>
      </c>
      <c r="N13" s="27">
        <f>AVERAGE(N3:N12)</f>
        <v>93.466666666666654</v>
      </c>
      <c r="O13" s="29" t="s">
        <v>27</v>
      </c>
    </row>
    <row r="14" spans="1:15" ht="24" customHeight="1"/>
    <row r="15" spans="1:15" ht="24" customHeight="1">
      <c r="A15" s="254" t="s">
        <v>37</v>
      </c>
      <c r="B15" s="254"/>
      <c r="C15" s="254"/>
      <c r="D15" s="254"/>
      <c r="E15" s="254"/>
    </row>
    <row r="16" spans="1:15" ht="24" customHeight="1">
      <c r="A16" s="254" t="s">
        <v>38</v>
      </c>
      <c r="B16" s="254"/>
      <c r="C16" s="255">
        <f>AVERAGE(C3:C15)</f>
        <v>94.3</v>
      </c>
      <c r="D16" s="256"/>
      <c r="E16" s="257"/>
      <c r="N16" s="40"/>
    </row>
    <row r="17" spans="1:5" ht="24" customHeight="1">
      <c r="A17" s="254" t="s">
        <v>39</v>
      </c>
      <c r="B17" s="254"/>
      <c r="C17" s="255"/>
      <c r="D17" s="256"/>
      <c r="E17" s="257"/>
    </row>
    <row r="18" spans="1:5" ht="24" customHeight="1">
      <c r="A18" s="254" t="s">
        <v>40</v>
      </c>
      <c r="B18" s="254"/>
      <c r="C18" s="255"/>
      <c r="D18" s="256"/>
      <c r="E18" s="257"/>
    </row>
    <row r="19" spans="1:5" ht="24" customHeight="1">
      <c r="A19" s="254" t="s">
        <v>41</v>
      </c>
      <c r="B19" s="254"/>
      <c r="C19" s="255" t="s">
        <v>42</v>
      </c>
      <c r="D19" s="256"/>
      <c r="E19" s="257"/>
    </row>
  </sheetData>
  <mergeCells count="10">
    <mergeCell ref="A18:B18"/>
    <mergeCell ref="C18:E18"/>
    <mergeCell ref="A19:B19"/>
    <mergeCell ref="C19:E19"/>
    <mergeCell ref="A1:O1"/>
    <mergeCell ref="A15:E15"/>
    <mergeCell ref="A16:B16"/>
    <mergeCell ref="C16:E16"/>
    <mergeCell ref="A17:B17"/>
    <mergeCell ref="C17:E1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2"/>
  <sheetViews>
    <sheetView topLeftCell="A4" workbookViewId="0">
      <selection activeCell="A14" sqref="A14:E18"/>
    </sheetView>
  </sheetViews>
  <sheetFormatPr defaultRowHeight="12.75"/>
  <cols>
    <col min="1" max="1" width="21.5703125" customWidth="1"/>
    <col min="257" max="257" width="21.5703125" customWidth="1"/>
    <col min="513" max="513" width="21.5703125" customWidth="1"/>
    <col min="769" max="769" width="21.5703125" customWidth="1"/>
    <col min="1025" max="1025" width="21.5703125" customWidth="1"/>
    <col min="1281" max="1281" width="21.5703125" customWidth="1"/>
    <col min="1537" max="1537" width="21.5703125" customWidth="1"/>
    <col min="1793" max="1793" width="21.5703125" customWidth="1"/>
    <col min="2049" max="2049" width="21.5703125" customWidth="1"/>
    <col min="2305" max="2305" width="21.5703125" customWidth="1"/>
    <col min="2561" max="2561" width="21.5703125" customWidth="1"/>
    <col min="2817" max="2817" width="21.5703125" customWidth="1"/>
    <col min="3073" max="3073" width="21.5703125" customWidth="1"/>
    <col min="3329" max="3329" width="21.5703125" customWidth="1"/>
    <col min="3585" max="3585" width="21.5703125" customWidth="1"/>
    <col min="3841" max="3841" width="21.5703125" customWidth="1"/>
    <col min="4097" max="4097" width="21.5703125" customWidth="1"/>
    <col min="4353" max="4353" width="21.5703125" customWidth="1"/>
    <col min="4609" max="4609" width="21.5703125" customWidth="1"/>
    <col min="4865" max="4865" width="21.5703125" customWidth="1"/>
    <col min="5121" max="5121" width="21.5703125" customWidth="1"/>
    <col min="5377" max="5377" width="21.5703125" customWidth="1"/>
    <col min="5633" max="5633" width="21.5703125" customWidth="1"/>
    <col min="5889" max="5889" width="21.5703125" customWidth="1"/>
    <col min="6145" max="6145" width="21.5703125" customWidth="1"/>
    <col min="6401" max="6401" width="21.5703125" customWidth="1"/>
    <col min="6657" max="6657" width="21.5703125" customWidth="1"/>
    <col min="6913" max="6913" width="21.5703125" customWidth="1"/>
    <col min="7169" max="7169" width="21.5703125" customWidth="1"/>
    <col min="7425" max="7425" width="21.5703125" customWidth="1"/>
    <col min="7681" max="7681" width="21.5703125" customWidth="1"/>
    <col min="7937" max="7937" width="21.5703125" customWidth="1"/>
    <col min="8193" max="8193" width="21.5703125" customWidth="1"/>
    <col min="8449" max="8449" width="21.5703125" customWidth="1"/>
    <col min="8705" max="8705" width="21.5703125" customWidth="1"/>
    <col min="8961" max="8961" width="21.5703125" customWidth="1"/>
    <col min="9217" max="9217" width="21.5703125" customWidth="1"/>
    <col min="9473" max="9473" width="21.5703125" customWidth="1"/>
    <col min="9729" max="9729" width="21.5703125" customWidth="1"/>
    <col min="9985" max="9985" width="21.5703125" customWidth="1"/>
    <col min="10241" max="10241" width="21.5703125" customWidth="1"/>
    <col min="10497" max="10497" width="21.5703125" customWidth="1"/>
    <col min="10753" max="10753" width="21.5703125" customWidth="1"/>
    <col min="11009" max="11009" width="21.5703125" customWidth="1"/>
    <col min="11265" max="11265" width="21.5703125" customWidth="1"/>
    <col min="11521" max="11521" width="21.5703125" customWidth="1"/>
    <col min="11777" max="11777" width="21.5703125" customWidth="1"/>
    <col min="12033" max="12033" width="21.5703125" customWidth="1"/>
    <col min="12289" max="12289" width="21.5703125" customWidth="1"/>
    <col min="12545" max="12545" width="21.5703125" customWidth="1"/>
    <col min="12801" max="12801" width="21.5703125" customWidth="1"/>
    <col min="13057" max="13057" width="21.5703125" customWidth="1"/>
    <col min="13313" max="13313" width="21.5703125" customWidth="1"/>
    <col min="13569" max="13569" width="21.5703125" customWidth="1"/>
    <col min="13825" max="13825" width="21.5703125" customWidth="1"/>
    <col min="14081" max="14081" width="21.5703125" customWidth="1"/>
    <col min="14337" max="14337" width="21.5703125" customWidth="1"/>
    <col min="14593" max="14593" width="21.5703125" customWidth="1"/>
    <col min="14849" max="14849" width="21.5703125" customWidth="1"/>
    <col min="15105" max="15105" width="21.5703125" customWidth="1"/>
    <col min="15361" max="15361" width="21.5703125" customWidth="1"/>
    <col min="15617" max="15617" width="21.5703125" customWidth="1"/>
    <col min="15873" max="15873" width="21.5703125" customWidth="1"/>
    <col min="16129" max="16129" width="21.5703125" customWidth="1"/>
  </cols>
  <sheetData>
    <row r="1" spans="1:15" ht="36.75" customHeight="1">
      <c r="A1" s="258" t="s">
        <v>51</v>
      </c>
      <c r="B1" s="259"/>
      <c r="C1" s="259"/>
      <c r="D1" s="259"/>
      <c r="E1" s="259"/>
      <c r="F1" s="259"/>
      <c r="G1" s="259"/>
      <c r="H1" s="259"/>
      <c r="I1" s="259"/>
      <c r="J1" s="259"/>
      <c r="K1" s="259"/>
      <c r="L1" s="259"/>
      <c r="M1" s="259"/>
      <c r="N1" s="259"/>
      <c r="O1" s="260"/>
    </row>
    <row r="2" spans="1:15" ht="31.5">
      <c r="A2" s="18" t="s">
        <v>23</v>
      </c>
      <c r="B2" s="19">
        <v>1</v>
      </c>
      <c r="C2" s="19">
        <v>2</v>
      </c>
      <c r="D2" s="19">
        <v>3</v>
      </c>
      <c r="E2" s="19">
        <v>4</v>
      </c>
      <c r="F2" s="19">
        <v>5</v>
      </c>
      <c r="G2" s="19">
        <v>6</v>
      </c>
      <c r="H2" s="19">
        <v>7</v>
      </c>
      <c r="I2" s="19">
        <v>8</v>
      </c>
      <c r="J2" s="19">
        <v>9</v>
      </c>
      <c r="K2" s="19">
        <v>10</v>
      </c>
      <c r="L2" s="19">
        <v>11</v>
      </c>
      <c r="M2" s="19">
        <v>12</v>
      </c>
      <c r="N2" s="20" t="s">
        <v>24</v>
      </c>
      <c r="O2" s="21" t="s">
        <v>25</v>
      </c>
    </row>
    <row r="3" spans="1:15" ht="27.75" customHeight="1">
      <c r="A3" s="22" t="s">
        <v>26</v>
      </c>
      <c r="B3" s="30">
        <v>96</v>
      </c>
      <c r="C3" s="30">
        <v>95</v>
      </c>
      <c r="D3" s="30">
        <v>93</v>
      </c>
      <c r="E3" s="23"/>
      <c r="F3" s="23"/>
      <c r="G3" s="23"/>
      <c r="H3" s="23"/>
      <c r="I3" s="23"/>
      <c r="J3" s="23"/>
      <c r="K3" s="30"/>
      <c r="L3" s="30"/>
      <c r="M3" s="30"/>
      <c r="N3" s="41">
        <f>AVERAGE(B3:M3)</f>
        <v>94.666666666666671</v>
      </c>
      <c r="O3" s="25" t="s">
        <v>27</v>
      </c>
    </row>
    <row r="4" spans="1:15" ht="27.75" customHeight="1">
      <c r="A4" s="22" t="s">
        <v>28</v>
      </c>
      <c r="B4" s="30">
        <v>95</v>
      </c>
      <c r="C4" s="30">
        <v>96</v>
      </c>
      <c r="D4" s="30">
        <v>93</v>
      </c>
      <c r="E4" s="23"/>
      <c r="F4" s="23"/>
      <c r="G4" s="23"/>
      <c r="H4" s="23"/>
      <c r="I4" s="23"/>
      <c r="J4" s="23"/>
      <c r="K4" s="30"/>
      <c r="L4" s="30"/>
      <c r="M4" s="30"/>
      <c r="N4" s="41">
        <f t="shared" ref="N4:N15" si="0">AVERAGE(B4:M4)</f>
        <v>94.666666666666671</v>
      </c>
      <c r="O4" s="25" t="s">
        <v>27</v>
      </c>
    </row>
    <row r="5" spans="1:15" ht="27.75" customHeight="1">
      <c r="A5" s="22" t="s">
        <v>29</v>
      </c>
      <c r="B5" s="30">
        <v>94</v>
      </c>
      <c r="C5" s="30">
        <v>95</v>
      </c>
      <c r="D5" s="30">
        <v>93</v>
      </c>
      <c r="E5" s="23"/>
      <c r="F5" s="23"/>
      <c r="G5" s="23"/>
      <c r="H5" s="23"/>
      <c r="I5" s="23"/>
      <c r="J5" s="23"/>
      <c r="K5" s="30"/>
      <c r="L5" s="30"/>
      <c r="M5" s="30"/>
      <c r="N5" s="41">
        <f t="shared" si="0"/>
        <v>94</v>
      </c>
      <c r="O5" s="25" t="s">
        <v>27</v>
      </c>
    </row>
    <row r="6" spans="1:15" ht="27.75" customHeight="1">
      <c r="A6" s="22" t="s">
        <v>30</v>
      </c>
      <c r="B6" s="30">
        <v>93</v>
      </c>
      <c r="C6" s="30">
        <v>94</v>
      </c>
      <c r="D6" s="30">
        <v>95</v>
      </c>
      <c r="E6" s="23"/>
      <c r="F6" s="23"/>
      <c r="G6" s="23"/>
      <c r="H6" s="23"/>
      <c r="I6" s="23"/>
      <c r="J6" s="23"/>
      <c r="K6" s="30"/>
      <c r="L6" s="30"/>
      <c r="M6" s="30"/>
      <c r="N6" s="41">
        <f t="shared" si="0"/>
        <v>94</v>
      </c>
      <c r="O6" s="25" t="s">
        <v>27</v>
      </c>
    </row>
    <row r="7" spans="1:15" ht="27.75" customHeight="1">
      <c r="A7" s="22" t="s">
        <v>31</v>
      </c>
      <c r="B7" s="30">
        <v>94</v>
      </c>
      <c r="C7" s="30">
        <v>95</v>
      </c>
      <c r="D7" s="30">
        <v>93</v>
      </c>
      <c r="E7" s="23"/>
      <c r="F7" s="23"/>
      <c r="G7" s="23"/>
      <c r="H7" s="23"/>
      <c r="I7" s="23"/>
      <c r="J7" s="23"/>
      <c r="K7" s="30"/>
      <c r="L7" s="30"/>
      <c r="M7" s="30"/>
      <c r="N7" s="41">
        <f t="shared" si="0"/>
        <v>94</v>
      </c>
      <c r="O7" s="25" t="s">
        <v>27</v>
      </c>
    </row>
    <row r="8" spans="1:15" ht="27.75" customHeight="1">
      <c r="A8" s="22" t="s">
        <v>32</v>
      </c>
      <c r="B8" s="30">
        <v>96</v>
      </c>
      <c r="C8" s="30">
        <v>96</v>
      </c>
      <c r="D8" s="30">
        <v>99</v>
      </c>
      <c r="E8" s="23"/>
      <c r="F8" s="23"/>
      <c r="G8" s="23"/>
      <c r="H8" s="23"/>
      <c r="I8" s="23"/>
      <c r="J8" s="23"/>
      <c r="K8" s="30"/>
      <c r="L8" s="30"/>
      <c r="M8" s="30"/>
      <c r="N8" s="41">
        <f t="shared" si="0"/>
        <v>97</v>
      </c>
      <c r="O8" s="25" t="s">
        <v>27</v>
      </c>
    </row>
    <row r="9" spans="1:15" ht="27.75" customHeight="1">
      <c r="A9" s="22" t="s">
        <v>33</v>
      </c>
      <c r="B9" s="30">
        <v>91</v>
      </c>
      <c r="C9" s="30">
        <v>92</v>
      </c>
      <c r="D9" s="30">
        <v>95</v>
      </c>
      <c r="E9" s="23"/>
      <c r="F9" s="23"/>
      <c r="G9" s="23"/>
      <c r="H9" s="23"/>
      <c r="I9" s="23"/>
      <c r="J9" s="23"/>
      <c r="K9" s="30"/>
      <c r="L9" s="30"/>
      <c r="M9" s="30"/>
      <c r="N9" s="41">
        <f t="shared" si="0"/>
        <v>92.666666666666671</v>
      </c>
      <c r="O9" s="25" t="s">
        <v>27</v>
      </c>
    </row>
    <row r="10" spans="1:15" ht="27.75" customHeight="1">
      <c r="A10" s="22" t="s">
        <v>35</v>
      </c>
      <c r="B10" s="30">
        <v>98</v>
      </c>
      <c r="C10" s="30">
        <v>98</v>
      </c>
      <c r="D10" s="30">
        <v>98</v>
      </c>
      <c r="E10" s="23"/>
      <c r="F10" s="23"/>
      <c r="G10" s="23"/>
      <c r="H10" s="23"/>
      <c r="I10" s="23"/>
      <c r="J10" s="23"/>
      <c r="K10" s="30"/>
      <c r="L10" s="30"/>
      <c r="M10" s="30"/>
      <c r="N10" s="41">
        <f t="shared" si="0"/>
        <v>98</v>
      </c>
      <c r="O10" s="25" t="s">
        <v>27</v>
      </c>
    </row>
    <row r="11" spans="1:15" ht="27.75" customHeight="1">
      <c r="A11" s="33" t="s">
        <v>44</v>
      </c>
      <c r="B11" s="35">
        <v>98</v>
      </c>
      <c r="C11" s="35">
        <v>98</v>
      </c>
      <c r="D11" s="35">
        <v>98</v>
      </c>
      <c r="E11" s="34"/>
      <c r="F11" s="34"/>
      <c r="G11" s="34"/>
      <c r="H11" s="34"/>
      <c r="I11" s="34"/>
      <c r="J11" s="34"/>
      <c r="K11" s="35"/>
      <c r="L11" s="35"/>
      <c r="M11" s="35"/>
      <c r="N11" s="42">
        <f t="shared" si="0"/>
        <v>98</v>
      </c>
      <c r="O11" s="38" t="s">
        <v>27</v>
      </c>
    </row>
    <row r="12" spans="1:15" ht="27.75" customHeight="1">
      <c r="A12" s="33" t="s">
        <v>49</v>
      </c>
      <c r="B12" s="35" t="s">
        <v>52</v>
      </c>
      <c r="C12" s="35">
        <v>84</v>
      </c>
      <c r="D12" s="35">
        <v>84</v>
      </c>
      <c r="E12" s="35"/>
      <c r="F12" s="35"/>
      <c r="G12" s="35"/>
      <c r="H12" s="35"/>
      <c r="I12" s="35"/>
      <c r="J12" s="35"/>
      <c r="K12" s="35"/>
      <c r="L12" s="35"/>
      <c r="M12" s="35"/>
      <c r="N12" s="42">
        <f t="shared" si="0"/>
        <v>84</v>
      </c>
      <c r="O12" s="38" t="s">
        <v>50</v>
      </c>
    </row>
    <row r="13" spans="1:15" ht="27.75" customHeight="1">
      <c r="A13" s="33" t="s">
        <v>53</v>
      </c>
      <c r="B13" s="30">
        <v>94</v>
      </c>
      <c r="C13" s="30">
        <v>95</v>
      </c>
      <c r="D13" s="30">
        <v>95</v>
      </c>
      <c r="E13" s="35"/>
      <c r="F13" s="35"/>
      <c r="G13" s="35"/>
      <c r="H13" s="35"/>
      <c r="I13" s="35"/>
      <c r="J13" s="35"/>
      <c r="K13" s="35"/>
      <c r="L13" s="35"/>
      <c r="M13" s="35"/>
      <c r="N13" s="42">
        <f t="shared" si="0"/>
        <v>94.666666666666671</v>
      </c>
      <c r="O13" s="38" t="s">
        <v>27</v>
      </c>
    </row>
    <row r="14" spans="1:15" ht="27.75" customHeight="1">
      <c r="A14" s="33" t="s">
        <v>54</v>
      </c>
      <c r="B14" s="30">
        <v>94</v>
      </c>
      <c r="C14" s="30">
        <v>95</v>
      </c>
      <c r="D14" s="30">
        <v>95</v>
      </c>
      <c r="E14" s="35"/>
      <c r="F14" s="35"/>
      <c r="G14" s="35"/>
      <c r="H14" s="35"/>
      <c r="I14" s="35"/>
      <c r="J14" s="35"/>
      <c r="K14" s="35"/>
      <c r="L14" s="35"/>
      <c r="M14" s="35"/>
      <c r="N14" s="42">
        <f t="shared" si="0"/>
        <v>94.666666666666671</v>
      </c>
      <c r="O14" s="38" t="s">
        <v>27</v>
      </c>
    </row>
    <row r="15" spans="1:15" ht="27.75" customHeight="1">
      <c r="A15" s="33" t="s">
        <v>55</v>
      </c>
      <c r="B15" s="35">
        <v>84</v>
      </c>
      <c r="C15" s="35">
        <v>84</v>
      </c>
      <c r="D15" s="35">
        <v>90</v>
      </c>
      <c r="E15" s="35"/>
      <c r="F15" s="35"/>
      <c r="G15" s="35"/>
      <c r="H15" s="35"/>
      <c r="I15" s="35"/>
      <c r="J15" s="35"/>
      <c r="K15" s="35"/>
      <c r="L15" s="35"/>
      <c r="M15" s="35"/>
      <c r="N15" s="42">
        <f t="shared" si="0"/>
        <v>86</v>
      </c>
      <c r="O15" s="38" t="s">
        <v>50</v>
      </c>
    </row>
    <row r="16" spans="1:15" ht="27.75" customHeight="1" thickBot="1">
      <c r="A16" s="26" t="s">
        <v>36</v>
      </c>
      <c r="B16" s="27">
        <f>AVERAGE(B3:B15)</f>
        <v>93.916666666666671</v>
      </c>
      <c r="C16" s="27">
        <f>AVERAGE(C3:C15)</f>
        <v>93.615384615384613</v>
      </c>
      <c r="D16" s="27">
        <f>AVERAGE(D3:D15)</f>
        <v>93.92307692307692</v>
      </c>
      <c r="E16" s="27"/>
      <c r="F16" s="27"/>
      <c r="G16" s="27"/>
      <c r="H16" s="27"/>
      <c r="I16" s="27"/>
      <c r="J16" s="27"/>
      <c r="K16" s="27"/>
      <c r="L16" s="27"/>
      <c r="M16" s="27"/>
      <c r="N16" s="27">
        <f>AVERAGE(N3:N15)</f>
        <v>93.564102564102569</v>
      </c>
      <c r="O16" s="29" t="s">
        <v>27</v>
      </c>
    </row>
    <row r="17" spans="1:5" ht="27.75" customHeight="1"/>
    <row r="18" spans="1:5" ht="27.75" customHeight="1">
      <c r="A18" s="254" t="s">
        <v>37</v>
      </c>
      <c r="B18" s="254"/>
      <c r="C18" s="254"/>
      <c r="D18" s="254"/>
      <c r="E18" s="254"/>
    </row>
    <row r="19" spans="1:5" ht="27.75" customHeight="1">
      <c r="A19" s="254" t="s">
        <v>38</v>
      </c>
      <c r="B19" s="254"/>
      <c r="C19" s="255"/>
      <c r="D19" s="256"/>
      <c r="E19" s="257"/>
    </row>
    <row r="20" spans="1:5" ht="27.75" customHeight="1">
      <c r="A20" s="254" t="s">
        <v>39</v>
      </c>
      <c r="B20" s="254"/>
      <c r="C20" s="255"/>
      <c r="D20" s="256"/>
      <c r="E20" s="257"/>
    </row>
    <row r="21" spans="1:5" ht="27.75" customHeight="1">
      <c r="A21" s="254" t="s">
        <v>40</v>
      </c>
      <c r="B21" s="254"/>
      <c r="C21" s="255"/>
      <c r="D21" s="256"/>
      <c r="E21" s="257"/>
    </row>
    <row r="22" spans="1:5" ht="27.75" customHeight="1">
      <c r="A22" s="254" t="s">
        <v>41</v>
      </c>
      <c r="B22" s="254"/>
      <c r="C22" s="255" t="s">
        <v>42</v>
      </c>
      <c r="D22" s="256"/>
      <c r="E22" s="257"/>
    </row>
  </sheetData>
  <mergeCells count="10">
    <mergeCell ref="A21:B21"/>
    <mergeCell ref="C21:E21"/>
    <mergeCell ref="A22:B22"/>
    <mergeCell ref="C22:E22"/>
    <mergeCell ref="A1:O1"/>
    <mergeCell ref="A18:E18"/>
    <mergeCell ref="A19:B19"/>
    <mergeCell ref="C19:E19"/>
    <mergeCell ref="A20:B20"/>
    <mergeCell ref="C20:E2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Quy trìnhđánh giá thỏa mãn kh</vt:lpstr>
      <vt:lpstr>Phiếu điều tra</vt:lpstr>
      <vt:lpstr>Bảng phân tích tổng hợp</vt:lpstr>
      <vt:lpstr>2019</vt:lpstr>
      <vt:lpstr>2020</vt:lpstr>
      <vt:lpstr>2021</vt:lpstr>
      <vt:lpstr>2022</vt:lpstr>
      <vt:lpstr>'Quy trìnhđánh giá thỏa mãn kh'!Print_Area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QC12</dc:creator>
  <cp:lastModifiedBy>DPC</cp:lastModifiedBy>
  <cp:lastPrinted>2024-05-03T01:50:33Z</cp:lastPrinted>
  <dcterms:created xsi:type="dcterms:W3CDTF">2016-10-13T02:19:08Z</dcterms:created>
  <dcterms:modified xsi:type="dcterms:W3CDTF">2024-05-03T04:05:04Z</dcterms:modified>
</cp:coreProperties>
</file>