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6. ALL\LG audit PPAP BYD HX\TÀI LIỆU CHUẨN BỊ\Cải tiến SPC\"/>
    </mc:Choice>
  </mc:AlternateContent>
  <bookViews>
    <workbookView xWindow="0" yWindow="0" windowWidth="25200" windowHeight="13170"/>
  </bookViews>
  <sheets>
    <sheet name="A12-3 (2)" sheetId="1" r:id="rId1"/>
  </sheets>
  <externalReferences>
    <externalReference r:id="rId2"/>
  </externalReferences>
  <definedNames>
    <definedName name="_GMX001" hidden="1">{#N/A,#N/A,FALSE,"Repair";#N/A,#N/A,FALSE,"Audit Room";#N/A,#N/A,FALSE,"Simulator"}</definedName>
    <definedName name="_GoA1">[0]!_GoA1</definedName>
    <definedName name="A__DESIGN_FMEA" localSheetId="0">#REF!</definedName>
    <definedName name="A__DESIGN_FMEA">#REF!</definedName>
    <definedName name="Applicable_fo_co_developing_suppliers___Is_a_design_FMEA_completed_and_approved_by_TRW_engineering___Have_significant_product_characteristics_been_identified___Is_there_a_consistent_RPN_ranking__Have_historical_product_data_been_considered___Have_failur" localSheetId="0">#REF!</definedName>
    <definedName name="Applicable_fo_co_developing_suppliers___Is_a_design_FMEA_completed_and_approved_by_TRW_engineering___Have_significant_product_characteristics_been_identified___Is_there_a_consistent_RPN_ranking__Have_historical_product_data_been_considered___Have_failur">#REF!</definedName>
    <definedName name="B__DESIGN_VALIDATION_TESTING" localSheetId="0">#REF!</definedName>
    <definedName name="B__DESIGN_VALIDATION_TESTING">#REF!</definedName>
    <definedName name="C__DRAWINGS__SPECIFICATIONS" localSheetId="0">#REF!</definedName>
    <definedName name="C__DRAWINGS__SPECIFICATIONS">#REF!</definedName>
    <definedName name="Capture.Capture">[0]!Capture.Capture</definedName>
    <definedName name="D">[0]!D</definedName>
    <definedName name="D__PROJECT_TIMING_PLAN" localSheetId="0">#REF!</definedName>
    <definedName name="D__PROJECT_TIMING_PLAN">#REF!</definedName>
    <definedName name="E__SUB_CONTRACTOR_APQP_STATUS" localSheetId="0">#REF!</definedName>
    <definedName name="E__SUB_CONTRACTOR_APQP_STATUS">#REF!</definedName>
    <definedName name="F__PROCESS_FLOW_CHART" localSheetId="0">#REF!</definedName>
    <definedName name="F__PROCESS_FLOW_CHART">#REF!</definedName>
    <definedName name="G__PFMEA" localSheetId="0">#REF!</definedName>
    <definedName name="G__PFMEA">#REF!</definedName>
    <definedName name="H__CONTROL_PLAN" localSheetId="0">#REF!</definedName>
    <definedName name="H__CONTROL_PLAN">#REF!</definedName>
    <definedName name="I__MEASUREMENT___TESTING_EQUIPMENT" localSheetId="0">#REF!</definedName>
    <definedName name="I__MEASUREMENT___TESTING_EQUIPMENT">#REF!</definedName>
    <definedName name="J__TOOLING" localSheetId="0">#REF!</definedName>
    <definedName name="J__TOOLING">#REF!</definedName>
    <definedName name="K__CAPITAL_EQUIPMENT" localSheetId="0">#REF!</definedName>
    <definedName name="K__CAPITAL_EQUIPMENT">#REF!</definedName>
    <definedName name="L__TRAINING" localSheetId="0">#REF!</definedName>
    <definedName name="L__TRAINING">#REF!</definedName>
    <definedName name="M__OPERATOR_INSTRUCTIONS" localSheetId="0">#REF!</definedName>
    <definedName name="M__OPERATOR_INSTRUCTIONS">#REF!</definedName>
    <definedName name="n">[0]!n</definedName>
    <definedName name="N__INSPECTION_INSTRUCTIONS" localSheetId="0">#REF!</definedName>
    <definedName name="N__INSPECTION_INSTRUCTIONS">#REF!</definedName>
    <definedName name="nn">[0]!nn</definedName>
    <definedName name="O__PACKAGING" localSheetId="0">#REF!</definedName>
    <definedName name="O__PACKAGING">#REF!</definedName>
    <definedName name="P__Concern_Management_Plan" localSheetId="0">#REF!</definedName>
    <definedName name="P__Concern_Management_Plan">#REF!</definedName>
    <definedName name="P__PRODUCTION_READINESS" localSheetId="0">#REF!</definedName>
    <definedName name="P__PRODUCTION_READINESS">#REF!</definedName>
    <definedName name="_xlnm.Print_Area" localSheetId="0">#REF!</definedName>
    <definedName name="_xlnm.Print_Area">#REF!</definedName>
    <definedName name="wrn.Controlled._.Shipping._.Orion." hidden="1">{#N/A,#N/A,FALSE,"Repair";#N/A,#N/A,FALSE,"Audit Room";#N/A,#N/A,FALSE,"Simulator"}</definedName>
    <definedName name="ㅂㅈ">[0]!ㅂㅈ</definedName>
    <definedName name="불량">[0]!불량</definedName>
    <definedName name="불량현황" hidden="1">{#N/A,#N/A,FALSE,"Repair";#N/A,#N/A,FALSE,"Audit Room";#N/A,#N/A,FALSE,"Simulator"}</definedName>
    <definedName name="예비공정흐름도3">[0]!예비공정흐름도3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7" i="1" l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</calcChain>
</file>

<file path=xl/sharedStrings.xml><?xml version="1.0" encoding="utf-8"?>
<sst xmlns="http://schemas.openxmlformats.org/spreadsheetml/2006/main" count="84" uniqueCount="37">
  <si>
    <r>
      <rPr>
        <b/>
        <sz val="16"/>
        <rFont val="맑은 고딕"/>
        <family val="3"/>
        <charset val="129"/>
      </rPr>
      <t>▣</t>
    </r>
    <r>
      <rPr>
        <b/>
        <sz val="13.6"/>
        <rFont val="Arial"/>
        <family val="2"/>
      </rPr>
      <t xml:space="preserve"> </t>
    </r>
    <r>
      <rPr>
        <b/>
        <sz val="16"/>
        <rFont val="Arial"/>
        <family val="2"/>
      </rPr>
      <t>Raw data</t>
    </r>
  </si>
  <si>
    <t>(Example)</t>
  </si>
  <si>
    <t>Item</t>
    <phoneticPr fontId="0" type="noConversion"/>
  </si>
  <si>
    <t xml:space="preserve">Model/Part name/ Part code: </t>
  </si>
  <si>
    <t>Position Tolerance</t>
  </si>
  <si>
    <t>Diameter</t>
  </si>
  <si>
    <t>Perpredicularity</t>
  </si>
  <si>
    <t>Circularity</t>
  </si>
  <si>
    <t>Flatness</t>
  </si>
  <si>
    <t>Distance</t>
  </si>
  <si>
    <t>3-1</t>
  </si>
  <si>
    <t>3-2</t>
  </si>
  <si>
    <t>44-1</t>
  </si>
  <si>
    <t>44-2</t>
  </si>
  <si>
    <t>45-1</t>
  </si>
  <si>
    <t>45-2</t>
  </si>
  <si>
    <t>CTQ</t>
    <phoneticPr fontId="0" type="noConversion"/>
  </si>
  <si>
    <t>S1</t>
  </si>
  <si>
    <t>S3</t>
  </si>
  <si>
    <t>Spec.</t>
    <phoneticPr fontId="0" type="noConversion"/>
  </si>
  <si>
    <t>2-Ø6.5+0.15</t>
  </si>
  <si>
    <t>Ø6.5+0.15</t>
  </si>
  <si>
    <t>0.05 E</t>
  </si>
  <si>
    <t>0.05 C</t>
  </si>
  <si>
    <t>Ø22.0+0.002/+0.015</t>
  </si>
  <si>
    <t>Ø70.0-0.01/-0.04</t>
  </si>
  <si>
    <t>10.5±0.05</t>
  </si>
  <si>
    <t>Ø87.0-0.02/-0.05</t>
  </si>
  <si>
    <t>2-Ø5.0+0.2/+0.05</t>
  </si>
  <si>
    <t>Ø5.0+0.026/-0.024</t>
  </si>
  <si>
    <t>Ca làm việc</t>
  </si>
  <si>
    <t>Max</t>
    <phoneticPr fontId="0" type="noConversion"/>
  </si>
  <si>
    <t>Min</t>
    <phoneticPr fontId="0" type="noConversion"/>
  </si>
  <si>
    <t>AVG</t>
    <phoneticPr fontId="0" type="noConversion"/>
  </si>
  <si>
    <t>STD</t>
    <phoneticPr fontId="0" type="noConversion"/>
  </si>
  <si>
    <t>CPK</t>
  </si>
  <si>
    <t>Dimension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</si>
</sst>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[$€-2]* #,##0.00_-;\-[$€-2]* #,##0.00_-;_-[$€-2]* &quot;-&quot;??_-"/>
    <numFmt numFmtId="165" formatCode="[$-409]d&quot;-&quot;mmm;@"/>
    <numFmt numFmtId="166" formatCode="#."/>
    <numFmt numFmtId="167" formatCode="0.0000"/>
    <numFmt numFmtId="168" formatCode="0.00_ "/>
    <numFmt numFmtId="169" formatCode="0.000_ "/>
    <numFmt numFmtId="170" formatCode="0.0000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6"/>
      <name val="맑은 고딕"/>
      <family val="3"/>
      <charset val="129"/>
    </font>
    <font>
      <b/>
      <sz val="13.6"/>
      <name val="Arial"/>
      <family val="2"/>
    </font>
    <font>
      <b/>
      <sz val="14"/>
      <name val="Arial"/>
      <family val="2"/>
    </font>
    <font>
      <b/>
      <sz val="15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sz val="12"/>
      <name val="돋움체"/>
      <family val="3"/>
      <charset val="129"/>
    </font>
    <font>
      <b/>
      <sz val="15"/>
      <color theme="1"/>
      <name val="Times New Roman"/>
      <family val="1"/>
    </font>
    <font>
      <sz val="1"/>
      <color indexed="16"/>
      <name val="Courier"/>
      <family val="3"/>
    </font>
    <font>
      <sz val="11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4" fillId="0" borderId="0">
      <protection locked="0"/>
    </xf>
    <xf numFmtId="0" fontId="2" fillId="0" borderId="0"/>
    <xf numFmtId="164" fontId="12" fillId="0" borderId="0"/>
    <xf numFmtId="0" fontId="1" fillId="0" borderId="0">
      <alignment vertical="center"/>
    </xf>
  </cellStyleXfs>
  <cellXfs count="5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5" fillId="0" borderId="0" xfId="2" applyFont="1" applyAlignment="1">
      <alignment vertical="center"/>
    </xf>
    <xf numFmtId="0" fontId="8" fillId="2" borderId="0" xfId="2" applyFont="1" applyFill="1" applyAlignment="1">
      <alignment vertical="center" wrapText="1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3" fillId="3" borderId="0" xfId="2" applyFont="1" applyFill="1" applyAlignment="1">
      <alignment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 wrapText="1"/>
    </xf>
    <xf numFmtId="0" fontId="11" fillId="2" borderId="7" xfId="2" applyFont="1" applyFill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49" fontId="11" fillId="2" borderId="6" xfId="2" quotePrefix="1" applyNumberFormat="1" applyFont="1" applyFill="1" applyBorder="1" applyAlignment="1">
      <alignment horizontal="center" vertical="center"/>
    </xf>
    <xf numFmtId="49" fontId="11" fillId="2" borderId="11" xfId="2" quotePrefix="1" applyNumberFormat="1" applyFont="1" applyFill="1" applyBorder="1" applyAlignment="1">
      <alignment horizontal="center" vertical="center"/>
    </xf>
    <xf numFmtId="49" fontId="11" fillId="2" borderId="12" xfId="2" quotePrefix="1" applyNumberFormat="1" applyFont="1" applyFill="1" applyBorder="1" applyAlignment="1">
      <alignment horizontal="center" vertical="center"/>
    </xf>
    <xf numFmtId="3" fontId="10" fillId="2" borderId="6" xfId="3" applyNumberFormat="1" applyFont="1" applyFill="1" applyBorder="1" applyAlignment="1">
      <alignment horizontal="center" vertical="center" wrapText="1"/>
    </xf>
    <xf numFmtId="3" fontId="10" fillId="2" borderId="7" xfId="3" applyNumberFormat="1" applyFont="1" applyFill="1" applyBorder="1" applyAlignment="1">
      <alignment horizontal="center" vertical="center" wrapText="1"/>
    </xf>
    <xf numFmtId="3" fontId="10" fillId="2" borderId="8" xfId="3" applyNumberFormat="1" applyFont="1" applyFill="1" applyBorder="1" applyAlignment="1">
      <alignment horizontal="center" vertical="center" wrapText="1"/>
    </xf>
    <xf numFmtId="0" fontId="9" fillId="0" borderId="13" xfId="2" applyFont="1" applyFill="1" applyBorder="1" applyAlignment="1">
      <alignment horizontal="center" vertical="center"/>
    </xf>
    <xf numFmtId="0" fontId="9" fillId="0" borderId="14" xfId="2" applyFont="1" applyFill="1" applyBorder="1" applyAlignment="1">
      <alignment horizontal="center" vertical="center"/>
    </xf>
    <xf numFmtId="0" fontId="13" fillId="2" borderId="6" xfId="4" applyFont="1" applyFill="1" applyBorder="1" applyAlignment="1">
      <alignment horizontal="center" vertical="center" wrapText="1"/>
    </xf>
    <xf numFmtId="0" fontId="13" fillId="2" borderId="7" xfId="4" applyFont="1" applyFill="1" applyBorder="1" applyAlignment="1">
      <alignment horizontal="center" vertical="center" wrapText="1"/>
    </xf>
    <xf numFmtId="0" fontId="13" fillId="2" borderId="8" xfId="4" applyFont="1" applyFill="1" applyBorder="1" applyAlignment="1">
      <alignment horizontal="center" vertical="center" wrapText="1"/>
    </xf>
    <xf numFmtId="0" fontId="3" fillId="0" borderId="0" xfId="2" applyFont="1" applyFill="1" applyAlignment="1">
      <alignment vertical="center"/>
    </xf>
    <xf numFmtId="0" fontId="9" fillId="0" borderId="6" xfId="2" applyFont="1" applyFill="1" applyBorder="1" applyAlignment="1">
      <alignment horizontal="center" vertical="center"/>
    </xf>
    <xf numFmtId="165" fontId="9" fillId="0" borderId="15" xfId="2" applyNumberFormat="1" applyFont="1" applyFill="1" applyBorder="1" applyAlignment="1">
      <alignment horizontal="center" wrapText="1"/>
    </xf>
    <xf numFmtId="167" fontId="15" fillId="3" borderId="7" xfId="1" applyNumberFormat="1" applyFont="1" applyFill="1" applyBorder="1" applyAlignment="1" applyProtection="1">
      <alignment horizontal="center" vertical="center"/>
    </xf>
    <xf numFmtId="0" fontId="16" fillId="0" borderId="0" xfId="2" applyFont="1" applyFill="1" applyAlignment="1">
      <alignment vertical="center"/>
    </xf>
    <xf numFmtId="165" fontId="9" fillId="0" borderId="16" xfId="2" applyNumberFormat="1" applyFont="1" applyFill="1" applyBorder="1" applyAlignment="1">
      <alignment horizontal="center" wrapText="1"/>
    </xf>
    <xf numFmtId="165" fontId="9" fillId="0" borderId="17" xfId="2" applyNumberFormat="1" applyFont="1" applyFill="1" applyBorder="1" applyAlignment="1">
      <alignment horizontal="center" wrapText="1"/>
    </xf>
    <xf numFmtId="0" fontId="9" fillId="3" borderId="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168" fontId="9" fillId="3" borderId="6" xfId="2" applyNumberFormat="1" applyFont="1" applyFill="1" applyBorder="1" applyAlignment="1">
      <alignment horizontal="center" vertical="center" wrapText="1"/>
    </xf>
    <xf numFmtId="0" fontId="16" fillId="3" borderId="0" xfId="2" applyFont="1" applyFill="1" applyAlignment="1">
      <alignment vertical="center"/>
    </xf>
    <xf numFmtId="169" fontId="9" fillId="3" borderId="6" xfId="2" applyNumberFormat="1" applyFont="1" applyFill="1" applyBorder="1" applyAlignment="1">
      <alignment horizontal="center" vertical="center" wrapText="1"/>
    </xf>
    <xf numFmtId="0" fontId="9" fillId="3" borderId="19" xfId="2" applyFont="1" applyFill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170" fontId="9" fillId="3" borderId="19" xfId="2" applyNumberFormat="1" applyFont="1" applyFill="1" applyBorder="1" applyAlignment="1">
      <alignment horizontal="center" vertical="center" wrapText="1"/>
    </xf>
    <xf numFmtId="0" fontId="9" fillId="2" borderId="20" xfId="2" applyFont="1" applyFill="1" applyBorder="1" applyAlignment="1">
      <alignment horizontal="center" vertical="center"/>
    </xf>
    <xf numFmtId="0" fontId="9" fillId="2" borderId="21" xfId="2" applyFont="1" applyFill="1" applyBorder="1" applyAlignment="1">
      <alignment horizontal="center" vertical="center"/>
    </xf>
    <xf numFmtId="168" fontId="17" fillId="2" borderId="7" xfId="2" applyNumberFormat="1" applyFont="1" applyFill="1" applyBorder="1" applyAlignment="1">
      <alignment horizontal="center" vertical="center" wrapText="1" shrinkToFit="1"/>
    </xf>
    <xf numFmtId="168" fontId="17" fillId="2" borderId="12" xfId="2" applyNumberFormat="1" applyFont="1" applyFill="1" applyBorder="1" applyAlignment="1">
      <alignment horizontal="center" vertical="center" wrapText="1" shrinkToFit="1"/>
    </xf>
    <xf numFmtId="168" fontId="18" fillId="2" borderId="12" xfId="2" applyNumberFormat="1" applyFont="1" applyFill="1" applyBorder="1" applyAlignment="1">
      <alignment horizontal="center" vertical="center" wrapText="1" shrinkToFit="1"/>
    </xf>
    <xf numFmtId="168" fontId="17" fillId="2" borderId="22" xfId="2" applyNumberFormat="1" applyFont="1" applyFill="1" applyBorder="1" applyAlignment="1">
      <alignment horizontal="center" vertical="center" wrapText="1" shrinkToFit="1"/>
    </xf>
    <xf numFmtId="168" fontId="17" fillId="2" borderId="23" xfId="2" applyNumberFormat="1" applyFont="1" applyFill="1" applyBorder="1" applyAlignment="1">
      <alignment horizontal="center" vertical="center" wrapText="1" shrinkToFit="1"/>
    </xf>
    <xf numFmtId="0" fontId="16" fillId="0" borderId="0" xfId="2" applyFont="1" applyAlignment="1">
      <alignment vertical="center"/>
    </xf>
  </cellXfs>
  <cellStyles count="5">
    <cellStyle name="Comma" xfId="1" builtinId="3"/>
    <cellStyle name="Normal" xfId="0" builtinId="0"/>
    <cellStyle name="Normal 2" xfId="4"/>
    <cellStyle name="Normal 4" xfId="2"/>
    <cellStyle name="표준_주조 7차 LIN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19707</xdr:colOff>
      <xdr:row>0</xdr:row>
      <xdr:rowOff>26276</xdr:rowOff>
    </xdr:from>
    <xdr:to>
      <xdr:col>1</xdr:col>
      <xdr:colOff>639879</xdr:colOff>
      <xdr:row>1</xdr:row>
      <xdr:rowOff>31552</xdr:rowOff>
    </xdr:to>
    <xdr:pic>
      <xdr:nvPicPr>
        <xdr:cNvPr id="2" name="그림 5"/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07" y="26276"/>
          <a:ext cx="1144047" cy="357701"/>
        </a:xfrm>
        <a:prstGeom prst="rect">
          <a:avLst/>
        </a:prstGeom>
      </xdr:spPr>
    </xdr:pic>
    <xdr:clientData/>
  </xdr:twoCellAnchor>
  <xdr:twoCellAnchor editAs="oneCell">
    <xdr:from>
      <xdr:col>3</xdr:col>
      <xdr:colOff>54429</xdr:colOff>
      <xdr:row>7</xdr:row>
      <xdr:rowOff>163286</xdr:rowOff>
    </xdr:from>
    <xdr:to>
      <xdr:col>3</xdr:col>
      <xdr:colOff>1020536</xdr:colOff>
      <xdr:row>7</xdr:row>
      <xdr:rowOff>517072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5729" y="2458811"/>
          <a:ext cx="966107" cy="353786"/>
        </a:xfrm>
        <a:prstGeom prst="rect">
          <a:avLst/>
        </a:prstGeom>
      </xdr:spPr>
    </xdr:pic>
    <xdr:clientData/>
  </xdr:twoCellAnchor>
  <xdr:oneCellAnchor>
    <xdr:from>
      <xdr:col>12</xdr:col>
      <xdr:colOff>149679</xdr:colOff>
      <xdr:row>7</xdr:row>
      <xdr:rowOff>272143</xdr:rowOff>
    </xdr:from>
    <xdr:ext cx="148590" cy="177165"/>
    <xdr:pic>
      <xdr:nvPicPr>
        <xdr:cNvPr id="4" name="그림 36">
          <a:extLst>
            <a:ext uri="{FF2B5EF4-FFF2-40B4-BE49-F238E27FC236}">
              <a16:creationId xmlns:a16="http://schemas.microsoft.com/office/drawing/2014/main" id="{35825EA0-F0E8-4A37-99E1-1AADF4DE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7579" y="2567668"/>
          <a:ext cx="148590" cy="177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122465</xdr:colOff>
      <xdr:row>7</xdr:row>
      <xdr:rowOff>258536</xdr:rowOff>
    </xdr:from>
    <xdr:ext cx="148590" cy="177165"/>
    <xdr:pic>
      <xdr:nvPicPr>
        <xdr:cNvPr id="5" name="그림 36">
          <a:extLst>
            <a:ext uri="{FF2B5EF4-FFF2-40B4-BE49-F238E27FC236}">
              <a16:creationId xmlns:a16="http://schemas.microsoft.com/office/drawing/2014/main" id="{35825EA0-F0E8-4A37-99E1-1AADF4DE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4015" y="2554061"/>
          <a:ext cx="148590" cy="177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95250</xdr:colOff>
      <xdr:row>7</xdr:row>
      <xdr:rowOff>272143</xdr:rowOff>
    </xdr:from>
    <xdr:ext cx="148590" cy="177165"/>
    <xdr:pic>
      <xdr:nvPicPr>
        <xdr:cNvPr id="6" name="그림 36">
          <a:extLst>
            <a:ext uri="{FF2B5EF4-FFF2-40B4-BE49-F238E27FC236}">
              <a16:creationId xmlns:a16="http://schemas.microsoft.com/office/drawing/2014/main" id="{35825EA0-F0E8-4A37-99E1-1AADF4DE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2567668"/>
          <a:ext cx="148590" cy="177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13</xdr:col>
      <xdr:colOff>54428</xdr:colOff>
      <xdr:row>7</xdr:row>
      <xdr:rowOff>217715</xdr:rowOff>
    </xdr:from>
    <xdr:to>
      <xdr:col>13</xdr:col>
      <xdr:colOff>1012769</xdr:colOff>
      <xdr:row>7</xdr:row>
      <xdr:rowOff>500489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20650"/>
        <a:stretch/>
      </xdr:blipFill>
      <xdr:spPr>
        <a:xfrm rot="5400000">
          <a:off x="15232162" y="2175456"/>
          <a:ext cx="282774" cy="958341"/>
        </a:xfrm>
        <a:prstGeom prst="rect">
          <a:avLst/>
        </a:prstGeom>
      </xdr:spPr>
    </xdr:pic>
    <xdr:clientData/>
  </xdr:twoCellAnchor>
  <xdr:twoCellAnchor editAs="oneCell">
    <xdr:from>
      <xdr:col>14</xdr:col>
      <xdr:colOff>176893</xdr:colOff>
      <xdr:row>7</xdr:row>
      <xdr:rowOff>217714</xdr:rowOff>
    </xdr:from>
    <xdr:to>
      <xdr:col>14</xdr:col>
      <xdr:colOff>858297</xdr:colOff>
      <xdr:row>7</xdr:row>
      <xdr:rowOff>503464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78893" y="2513239"/>
          <a:ext cx="681404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231321</xdr:colOff>
      <xdr:row>7</xdr:row>
      <xdr:rowOff>244929</xdr:rowOff>
    </xdr:from>
    <xdr:to>
      <xdr:col>15</xdr:col>
      <xdr:colOff>821797</xdr:colOff>
      <xdr:row>7</xdr:row>
      <xdr:rowOff>492548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95371" y="2540454"/>
          <a:ext cx="590476" cy="247619"/>
        </a:xfrm>
        <a:prstGeom prst="rect">
          <a:avLst/>
        </a:prstGeom>
      </xdr:spPr>
    </xdr:pic>
    <xdr:clientData/>
  </xdr:twoCellAnchor>
  <xdr:twoCellAnchor editAs="oneCell">
    <xdr:from>
      <xdr:col>20</xdr:col>
      <xdr:colOff>81643</xdr:colOff>
      <xdr:row>7</xdr:row>
      <xdr:rowOff>244929</xdr:rowOff>
    </xdr:from>
    <xdr:to>
      <xdr:col>20</xdr:col>
      <xdr:colOff>1309656</xdr:colOff>
      <xdr:row>7</xdr:row>
      <xdr:rowOff>511596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732093" y="2540454"/>
          <a:ext cx="1228013" cy="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54428</xdr:colOff>
      <xdr:row>7</xdr:row>
      <xdr:rowOff>163286</xdr:rowOff>
    </xdr:from>
    <xdr:to>
      <xdr:col>2</xdr:col>
      <xdr:colOff>1404256</xdr:colOff>
      <xdr:row>7</xdr:row>
      <xdr:rowOff>489858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9089"/>
        <a:stretch/>
      </xdr:blipFill>
      <xdr:spPr>
        <a:xfrm>
          <a:off x="1359353" y="2458811"/>
          <a:ext cx="1349828" cy="326572"/>
        </a:xfrm>
        <a:prstGeom prst="rect">
          <a:avLst/>
        </a:prstGeom>
      </xdr:spPr>
    </xdr:pic>
    <xdr:clientData/>
  </xdr:twoCellAnchor>
  <xdr:twoCellAnchor editAs="oneCell">
    <xdr:from>
      <xdr:col>6</xdr:col>
      <xdr:colOff>32657</xdr:colOff>
      <xdr:row>7</xdr:row>
      <xdr:rowOff>217714</xdr:rowOff>
    </xdr:from>
    <xdr:to>
      <xdr:col>6</xdr:col>
      <xdr:colOff>1112521</xdr:colOff>
      <xdr:row>7</xdr:row>
      <xdr:rowOff>478972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9089"/>
        <a:stretch/>
      </xdr:blipFill>
      <xdr:spPr>
        <a:xfrm>
          <a:off x="6300107" y="2513239"/>
          <a:ext cx="1079864" cy="261258"/>
        </a:xfrm>
        <a:prstGeom prst="rect">
          <a:avLst/>
        </a:prstGeom>
      </xdr:spPr>
    </xdr:pic>
    <xdr:clientData/>
  </xdr:twoCellAnchor>
  <xdr:oneCellAnchor>
    <xdr:from>
      <xdr:col>21</xdr:col>
      <xdr:colOff>81643</xdr:colOff>
      <xdr:row>7</xdr:row>
      <xdr:rowOff>244929</xdr:rowOff>
    </xdr:from>
    <xdr:ext cx="1228013" cy="266667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075118" y="2540454"/>
          <a:ext cx="1228013" cy="26666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6.%20ALL/LG%20audit%20PPAP%20BYD%20HX/T&#192;I%20LI&#7878;U%20CHU&#7848;N%20B&#7882;/SLP/SLP%20GP12%20(PCM)_CL4_Cover%202023.10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log"/>
      <sheetName val="PCM"/>
      <sheetName val="Balloned drawing"/>
      <sheetName val="SLP - QOS"/>
      <sheetName val="SLP Data_Daimler"/>
      <sheetName val="A12-3"/>
      <sheetName val="A12-3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151"/>
  <sheetViews>
    <sheetView showGridLines="0" tabSelected="1" zoomScale="55" zoomScaleNormal="55" zoomScaleSheetLayoutView="55" workbookViewId="0">
      <pane ySplit="8" topLeftCell="A9" activePane="bottomLeft" state="frozen"/>
      <selection activeCell="N63" sqref="N63"/>
      <selection pane="bottomLeft" activeCell="C11" sqref="C11"/>
    </sheetView>
  </sheetViews>
  <sheetFormatPr defaultColWidth="10.42578125" defaultRowHeight="15"/>
  <cols>
    <col min="1" max="1" width="7.85546875" style="1" customWidth="1"/>
    <col min="2" max="2" width="18" style="1" customWidth="1"/>
    <col min="3" max="3" width="22.140625" style="2" customWidth="1"/>
    <col min="4" max="10" width="17.42578125" style="2" customWidth="1"/>
    <col min="11" max="12" width="20.7109375" style="2" customWidth="1"/>
    <col min="13" max="18" width="17.42578125" style="2" customWidth="1"/>
    <col min="19" max="20" width="15" style="2" customWidth="1"/>
    <col min="21" max="21" width="20.140625" style="2" customWidth="1"/>
    <col min="22" max="22" width="20.5703125" style="2" customWidth="1"/>
    <col min="23" max="23" width="15" style="2" customWidth="1"/>
    <col min="24" max="16384" width="10.42578125" style="1"/>
  </cols>
  <sheetData>
    <row r="1" spans="1:23" ht="27.75" customHeight="1"/>
    <row r="2" spans="1:23" ht="26.25">
      <c r="A2" s="3" t="s">
        <v>0</v>
      </c>
      <c r="B2" s="3"/>
      <c r="C2" s="4" t="s">
        <v>1</v>
      </c>
    </row>
    <row r="3" spans="1:23" ht="15.75" thickBot="1"/>
    <row r="4" spans="1:23" s="10" customFormat="1" ht="25.5" customHeight="1">
      <c r="A4" s="5" t="s">
        <v>2</v>
      </c>
      <c r="B4" s="6"/>
      <c r="C4" s="7" t="s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</row>
    <row r="5" spans="1:23" s="10" customFormat="1" ht="43.5" customHeight="1">
      <c r="A5" s="11"/>
      <c r="B5" s="12"/>
      <c r="C5" s="13" t="s">
        <v>4</v>
      </c>
      <c r="D5" s="14" t="s">
        <v>4</v>
      </c>
      <c r="E5" s="14" t="s">
        <v>5</v>
      </c>
      <c r="F5" s="14" t="s">
        <v>5</v>
      </c>
      <c r="G5" s="14" t="s">
        <v>4</v>
      </c>
      <c r="H5" s="14" t="s">
        <v>5</v>
      </c>
      <c r="I5" s="14" t="s">
        <v>6</v>
      </c>
      <c r="J5" s="14" t="s">
        <v>6</v>
      </c>
      <c r="K5" s="14" t="s">
        <v>5</v>
      </c>
      <c r="L5" s="14" t="s">
        <v>6</v>
      </c>
      <c r="M5" s="14" t="s">
        <v>6</v>
      </c>
      <c r="N5" s="14" t="s">
        <v>7</v>
      </c>
      <c r="O5" s="14" t="s">
        <v>8</v>
      </c>
      <c r="P5" s="14" t="s">
        <v>8</v>
      </c>
      <c r="Q5" s="14" t="s">
        <v>9</v>
      </c>
      <c r="R5" s="14" t="s">
        <v>5</v>
      </c>
      <c r="S5" s="14" t="s">
        <v>5</v>
      </c>
      <c r="T5" s="14" t="s">
        <v>5</v>
      </c>
      <c r="U5" s="14" t="s">
        <v>4</v>
      </c>
      <c r="V5" s="14" t="s">
        <v>4</v>
      </c>
      <c r="W5" s="15" t="s">
        <v>5</v>
      </c>
    </row>
    <row r="6" spans="1:23" s="10" customFormat="1" ht="20.25" customHeight="1">
      <c r="A6" s="16" t="s">
        <v>36</v>
      </c>
      <c r="B6" s="17"/>
      <c r="C6" s="18">
        <v>2</v>
      </c>
      <c r="D6" s="19">
        <v>1</v>
      </c>
      <c r="E6" s="19" t="s">
        <v>10</v>
      </c>
      <c r="F6" s="19" t="s">
        <v>11</v>
      </c>
      <c r="G6" s="19">
        <v>5</v>
      </c>
      <c r="H6" s="19">
        <v>6</v>
      </c>
      <c r="I6" s="19">
        <v>14</v>
      </c>
      <c r="J6" s="19">
        <v>15</v>
      </c>
      <c r="K6" s="19">
        <v>17</v>
      </c>
      <c r="L6" s="19">
        <v>19</v>
      </c>
      <c r="M6" s="19">
        <v>21</v>
      </c>
      <c r="N6" s="19">
        <v>22</v>
      </c>
      <c r="O6" s="19">
        <v>28</v>
      </c>
      <c r="P6" s="19">
        <v>30</v>
      </c>
      <c r="Q6" s="19">
        <v>34</v>
      </c>
      <c r="R6" s="19">
        <v>36</v>
      </c>
      <c r="S6" s="19" t="s">
        <v>12</v>
      </c>
      <c r="T6" s="19" t="s">
        <v>13</v>
      </c>
      <c r="U6" s="19" t="s">
        <v>14</v>
      </c>
      <c r="V6" s="19" t="s">
        <v>15</v>
      </c>
      <c r="W6" s="20">
        <v>47</v>
      </c>
    </row>
    <row r="7" spans="1:23" s="10" customFormat="1" ht="21.75" customHeight="1">
      <c r="A7" s="16" t="s">
        <v>16</v>
      </c>
      <c r="B7" s="17"/>
      <c r="C7" s="21" t="s">
        <v>17</v>
      </c>
      <c r="D7" s="22" t="s">
        <v>17</v>
      </c>
      <c r="E7" s="22" t="s">
        <v>17</v>
      </c>
      <c r="F7" s="22" t="s">
        <v>17</v>
      </c>
      <c r="G7" s="22" t="s">
        <v>17</v>
      </c>
      <c r="H7" s="22" t="s">
        <v>17</v>
      </c>
      <c r="I7" s="22" t="s">
        <v>18</v>
      </c>
      <c r="J7" s="22" t="s">
        <v>18</v>
      </c>
      <c r="K7" s="22" t="s">
        <v>17</v>
      </c>
      <c r="L7" s="22" t="s">
        <v>17</v>
      </c>
      <c r="M7" s="22" t="s">
        <v>17</v>
      </c>
      <c r="N7" s="22" t="s">
        <v>17</v>
      </c>
      <c r="O7" s="22" t="s">
        <v>17</v>
      </c>
      <c r="P7" s="22" t="s">
        <v>18</v>
      </c>
      <c r="Q7" s="22" t="s">
        <v>18</v>
      </c>
      <c r="R7" s="22" t="s">
        <v>17</v>
      </c>
      <c r="S7" s="22" t="s">
        <v>18</v>
      </c>
      <c r="T7" s="22" t="s">
        <v>18</v>
      </c>
      <c r="U7" s="22" t="s">
        <v>18</v>
      </c>
      <c r="V7" s="22" t="s">
        <v>18</v>
      </c>
      <c r="W7" s="23" t="s">
        <v>18</v>
      </c>
    </row>
    <row r="8" spans="1:23" s="29" customFormat="1" ht="58.5" customHeight="1">
      <c r="A8" s="24" t="s">
        <v>19</v>
      </c>
      <c r="B8" s="25"/>
      <c r="C8" s="26"/>
      <c r="D8" s="27"/>
      <c r="E8" s="27" t="s">
        <v>20</v>
      </c>
      <c r="F8" s="27" t="s">
        <v>20</v>
      </c>
      <c r="G8" s="27"/>
      <c r="H8" s="27" t="s">
        <v>21</v>
      </c>
      <c r="I8" s="27" t="s">
        <v>22</v>
      </c>
      <c r="J8" s="27" t="s">
        <v>23</v>
      </c>
      <c r="K8" s="27" t="s">
        <v>24</v>
      </c>
      <c r="L8" s="27" t="s">
        <v>25</v>
      </c>
      <c r="M8" s="27" t="s">
        <v>22</v>
      </c>
      <c r="N8" s="27"/>
      <c r="O8" s="27"/>
      <c r="P8" s="27"/>
      <c r="Q8" s="27" t="s">
        <v>26</v>
      </c>
      <c r="R8" s="27" t="s">
        <v>27</v>
      </c>
      <c r="S8" s="27" t="s">
        <v>28</v>
      </c>
      <c r="T8" s="27" t="s">
        <v>28</v>
      </c>
      <c r="U8" s="27"/>
      <c r="V8" s="27"/>
      <c r="W8" s="28" t="s">
        <v>29</v>
      </c>
    </row>
    <row r="9" spans="1:23" s="33" customFormat="1" ht="29.25" customHeight="1">
      <c r="A9" s="30">
        <v>1</v>
      </c>
      <c r="B9" s="31" t="s">
        <v>30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</row>
    <row r="10" spans="1:23" s="33" customFormat="1" ht="29.25" customHeight="1">
      <c r="A10" s="30">
        <v>2</v>
      </c>
      <c r="B10" s="34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1:23" s="33" customFormat="1" ht="29.25" customHeight="1">
      <c r="A11" s="30">
        <v>3</v>
      </c>
      <c r="B11" s="34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1:23" s="33" customFormat="1" ht="29.25" customHeight="1">
      <c r="A12" s="30">
        <v>4</v>
      </c>
      <c r="B12" s="34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pans="1:23" s="33" customFormat="1" ht="30.75" customHeight="1">
      <c r="A13" s="30">
        <v>5</v>
      </c>
      <c r="B13" s="35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1:23" s="33" customFormat="1" ht="29.25" customHeight="1">
      <c r="A14" s="30">
        <v>1</v>
      </c>
      <c r="B14" s="31" t="s">
        <v>30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 s="33" customFormat="1" ht="29.25" customHeight="1">
      <c r="A15" s="30">
        <v>2</v>
      </c>
      <c r="B15" s="34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 spans="1:23" s="33" customFormat="1" ht="29.25" customHeight="1">
      <c r="A16" s="30">
        <v>3</v>
      </c>
      <c r="B16" s="34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spans="1:23" s="33" customFormat="1" ht="29.25" customHeight="1">
      <c r="A17" s="30">
        <v>4</v>
      </c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</row>
    <row r="18" spans="1:23" s="33" customFormat="1" ht="29.25" customHeight="1">
      <c r="A18" s="30">
        <v>5</v>
      </c>
      <c r="B18" s="35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</row>
    <row r="19" spans="1:23" s="33" customFormat="1" ht="29.25" customHeight="1">
      <c r="A19" s="30"/>
      <c r="B19" s="31" t="s">
        <v>30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1:23" s="33" customFormat="1" ht="29.25" customHeight="1">
      <c r="A20" s="30"/>
      <c r="B20" s="34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spans="1:23" s="33" customFormat="1" ht="29.25" customHeight="1">
      <c r="A21" s="30"/>
      <c r="B21" s="34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spans="1:23" s="33" customFormat="1" ht="29.25" customHeight="1">
      <c r="A22" s="30"/>
      <c r="B22" s="34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spans="1:23" s="33" customFormat="1" ht="29.25" customHeight="1">
      <c r="A23" s="30"/>
      <c r="B23" s="35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spans="1:23" s="33" customFormat="1" ht="29.25" customHeight="1">
      <c r="A24" s="30"/>
      <c r="B24" s="31" t="s">
        <v>30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spans="1:23" s="33" customFormat="1" ht="29.25" customHeight="1">
      <c r="A25" s="30"/>
      <c r="B25" s="34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spans="1:23" s="33" customFormat="1" ht="29.25" customHeight="1">
      <c r="A26" s="30"/>
      <c r="B26" s="34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spans="1:23" s="33" customFormat="1" ht="29.25" customHeight="1">
      <c r="A27" s="30"/>
      <c r="B27" s="34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</row>
    <row r="28" spans="1:23" s="33" customFormat="1" ht="29.25" customHeight="1">
      <c r="A28" s="30"/>
      <c r="B28" s="35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  <row r="29" spans="1:23" s="33" customFormat="1" ht="29.25" customHeight="1">
      <c r="A29" s="30"/>
      <c r="B29" s="31" t="s">
        <v>30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spans="1:23" s="33" customFormat="1" ht="29.25" customHeight="1">
      <c r="A30" s="30"/>
      <c r="B30" s="34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</row>
    <row r="31" spans="1:23" s="33" customFormat="1" ht="29.25" customHeight="1">
      <c r="A31" s="30"/>
      <c r="B31" s="34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spans="1:23" s="33" customFormat="1" ht="29.25" customHeight="1">
      <c r="A32" s="30"/>
      <c r="B32" s="34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spans="1:23" s="33" customFormat="1" ht="29.25" customHeight="1">
      <c r="A33" s="30"/>
      <c r="B33" s="35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1:23" s="33" customFormat="1" ht="29.25" customHeight="1">
      <c r="A34" s="30"/>
      <c r="B34" s="31" t="s">
        <v>30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spans="1:23" s="33" customFormat="1" ht="29.25" customHeight="1">
      <c r="A35" s="30"/>
      <c r="B35" s="34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spans="1:23" s="33" customFormat="1" ht="29.25" customHeight="1">
      <c r="A36" s="30"/>
      <c r="B36" s="34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spans="1:23" s="33" customFormat="1" ht="29.25" customHeight="1">
      <c r="A37" s="30"/>
      <c r="B37" s="34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spans="1:23" s="33" customFormat="1" ht="29.25" customHeight="1">
      <c r="A38" s="30"/>
      <c r="B38" s="35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</row>
    <row r="39" spans="1:23" s="33" customFormat="1" ht="29.25" customHeight="1">
      <c r="A39" s="30"/>
      <c r="B39" s="31" t="s">
        <v>30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</row>
    <row r="40" spans="1:23" s="33" customFormat="1" ht="29.25" customHeight="1">
      <c r="A40" s="30"/>
      <c r="B40" s="34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</row>
    <row r="41" spans="1:23" s="33" customFormat="1" ht="29.25" customHeight="1">
      <c r="A41" s="30"/>
      <c r="B41" s="34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</row>
    <row r="42" spans="1:23" s="33" customFormat="1" ht="29.25" customHeight="1">
      <c r="A42" s="30"/>
      <c r="B42" s="3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</row>
    <row r="43" spans="1:23" s="33" customFormat="1" ht="29.25" customHeight="1">
      <c r="A43" s="30"/>
      <c r="B43" s="35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</row>
    <row r="44" spans="1:23" s="33" customFormat="1" ht="29.25" customHeight="1">
      <c r="A44" s="30"/>
      <c r="B44" s="31" t="s">
        <v>30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spans="1:23" s="33" customFormat="1" ht="29.25" customHeight="1">
      <c r="A45" s="30"/>
      <c r="B45" s="34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spans="1:23" s="33" customFormat="1" ht="29.25" customHeight="1">
      <c r="A46" s="30"/>
      <c r="B46" s="34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spans="1:23" s="33" customFormat="1" ht="29.25" customHeight="1">
      <c r="A47" s="30"/>
      <c r="B47" s="34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1:23" s="33" customFormat="1" ht="29.25" customHeight="1">
      <c r="A48" s="30"/>
      <c r="B48" s="35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spans="1:23" s="33" customFormat="1" ht="29.25" customHeight="1">
      <c r="A49" s="30"/>
      <c r="B49" s="31" t="s">
        <v>30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spans="1:23" s="33" customFormat="1" ht="29.25" customHeight="1">
      <c r="A50" s="30"/>
      <c r="B50" s="34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spans="1:23" s="33" customFormat="1" ht="29.25" customHeight="1">
      <c r="A51" s="30"/>
      <c r="B51" s="34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spans="1:23" s="33" customFormat="1" ht="29.25" customHeight="1">
      <c r="A52" s="30"/>
      <c r="B52" s="34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spans="1:23" s="33" customFormat="1" ht="29.25" customHeight="1">
      <c r="A53" s="30"/>
      <c r="B53" s="35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spans="1:23" s="33" customFormat="1" ht="29.25" customHeight="1">
      <c r="A54" s="30"/>
      <c r="B54" s="31" t="s">
        <v>30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spans="1:23" s="33" customFormat="1" ht="29.25" customHeight="1">
      <c r="A55" s="30"/>
      <c r="B55" s="34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</row>
    <row r="56" spans="1:23" s="33" customFormat="1" ht="29.25" customHeight="1">
      <c r="A56" s="30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spans="1:23" s="33" customFormat="1" ht="29.25" customHeight="1">
      <c r="A57" s="30"/>
      <c r="B57" s="34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</row>
    <row r="58" spans="1:23" s="33" customFormat="1" ht="29.25" customHeight="1">
      <c r="A58" s="30"/>
      <c r="B58" s="35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spans="1:23" s="33" customFormat="1" ht="29.25" customHeight="1">
      <c r="A59" s="30"/>
      <c r="B59" s="31" t="s">
        <v>30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spans="1:23" s="33" customFormat="1" ht="29.25" customHeight="1">
      <c r="A60" s="30"/>
      <c r="B60" s="34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spans="1:23" s="33" customFormat="1" ht="29.25" customHeight="1">
      <c r="A61" s="30"/>
      <c r="B61" s="34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spans="1:23" s="33" customFormat="1" ht="29.25" customHeight="1">
      <c r="A62" s="30"/>
      <c r="B62" s="34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spans="1:23" s="33" customFormat="1" ht="29.25" customHeight="1">
      <c r="A63" s="30"/>
      <c r="B63" s="35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</row>
    <row r="64" spans="1:23" s="39" customFormat="1" ht="40.5" customHeight="1">
      <c r="A64" s="36" t="s">
        <v>31</v>
      </c>
      <c r="B64" s="37"/>
      <c r="C64" s="38">
        <f t="shared" ref="C64:W64" si="0">MAX(C59:C63)</f>
        <v>0</v>
      </c>
      <c r="D64" s="38">
        <f t="shared" si="0"/>
        <v>0</v>
      </c>
      <c r="E64" s="38">
        <f t="shared" si="0"/>
        <v>0</v>
      </c>
      <c r="F64" s="38">
        <f t="shared" si="0"/>
        <v>0</v>
      </c>
      <c r="G64" s="38">
        <f t="shared" si="0"/>
        <v>0</v>
      </c>
      <c r="H64" s="38">
        <f t="shared" si="0"/>
        <v>0</v>
      </c>
      <c r="I64" s="38">
        <f t="shared" si="0"/>
        <v>0</v>
      </c>
      <c r="J64" s="38">
        <f t="shared" si="0"/>
        <v>0</v>
      </c>
      <c r="K64" s="38">
        <f t="shared" si="0"/>
        <v>0</v>
      </c>
      <c r="L64" s="38">
        <f t="shared" si="0"/>
        <v>0</v>
      </c>
      <c r="M64" s="38">
        <f t="shared" si="0"/>
        <v>0</v>
      </c>
      <c r="N64" s="38">
        <f t="shared" si="0"/>
        <v>0</v>
      </c>
      <c r="O64" s="38">
        <f t="shared" si="0"/>
        <v>0</v>
      </c>
      <c r="P64" s="38">
        <f t="shared" si="0"/>
        <v>0</v>
      </c>
      <c r="Q64" s="38">
        <f t="shared" si="0"/>
        <v>0</v>
      </c>
      <c r="R64" s="38">
        <f t="shared" si="0"/>
        <v>0</v>
      </c>
      <c r="S64" s="38">
        <f t="shared" si="0"/>
        <v>0</v>
      </c>
      <c r="T64" s="38">
        <f t="shared" si="0"/>
        <v>0</v>
      </c>
      <c r="U64" s="38">
        <f t="shared" si="0"/>
        <v>0</v>
      </c>
      <c r="V64" s="38">
        <f t="shared" si="0"/>
        <v>0</v>
      </c>
      <c r="W64" s="38">
        <f t="shared" si="0"/>
        <v>0</v>
      </c>
    </row>
    <row r="65" spans="1:23" s="39" customFormat="1" ht="40.5" customHeight="1">
      <c r="A65" s="36" t="s">
        <v>32</v>
      </c>
      <c r="B65" s="37"/>
      <c r="C65" s="38">
        <f t="shared" ref="C65:W65" si="1">MIN(C59:C63)</f>
        <v>0</v>
      </c>
      <c r="D65" s="38">
        <f t="shared" si="1"/>
        <v>0</v>
      </c>
      <c r="E65" s="38">
        <f t="shared" si="1"/>
        <v>0</v>
      </c>
      <c r="F65" s="38">
        <f t="shared" si="1"/>
        <v>0</v>
      </c>
      <c r="G65" s="38">
        <f t="shared" si="1"/>
        <v>0</v>
      </c>
      <c r="H65" s="38">
        <f t="shared" si="1"/>
        <v>0</v>
      </c>
      <c r="I65" s="38">
        <f t="shared" si="1"/>
        <v>0</v>
      </c>
      <c r="J65" s="38">
        <f t="shared" si="1"/>
        <v>0</v>
      </c>
      <c r="K65" s="38">
        <f t="shared" si="1"/>
        <v>0</v>
      </c>
      <c r="L65" s="38">
        <f t="shared" si="1"/>
        <v>0</v>
      </c>
      <c r="M65" s="38">
        <f t="shared" si="1"/>
        <v>0</v>
      </c>
      <c r="N65" s="38">
        <f t="shared" si="1"/>
        <v>0</v>
      </c>
      <c r="O65" s="38">
        <f t="shared" si="1"/>
        <v>0</v>
      </c>
      <c r="P65" s="38">
        <f t="shared" si="1"/>
        <v>0</v>
      </c>
      <c r="Q65" s="38">
        <f t="shared" si="1"/>
        <v>0</v>
      </c>
      <c r="R65" s="38">
        <f t="shared" si="1"/>
        <v>0</v>
      </c>
      <c r="S65" s="38">
        <f t="shared" si="1"/>
        <v>0</v>
      </c>
      <c r="T65" s="38">
        <f t="shared" si="1"/>
        <v>0</v>
      </c>
      <c r="U65" s="38">
        <f t="shared" si="1"/>
        <v>0</v>
      </c>
      <c r="V65" s="38">
        <f t="shared" si="1"/>
        <v>0</v>
      </c>
      <c r="W65" s="38">
        <f t="shared" si="1"/>
        <v>0</v>
      </c>
    </row>
    <row r="66" spans="1:23" s="39" customFormat="1" ht="40.5" customHeight="1">
      <c r="A66" s="36" t="s">
        <v>33</v>
      </c>
      <c r="B66" s="37"/>
      <c r="C66" s="40" t="e">
        <f t="shared" ref="C66:W66" si="2">AVERAGE(C59:C63)</f>
        <v>#DIV/0!</v>
      </c>
      <c r="D66" s="40" t="e">
        <f t="shared" si="2"/>
        <v>#DIV/0!</v>
      </c>
      <c r="E66" s="40" t="e">
        <f t="shared" si="2"/>
        <v>#DIV/0!</v>
      </c>
      <c r="F66" s="40" t="e">
        <f t="shared" si="2"/>
        <v>#DIV/0!</v>
      </c>
      <c r="G66" s="40" t="e">
        <f t="shared" si="2"/>
        <v>#DIV/0!</v>
      </c>
      <c r="H66" s="40" t="e">
        <f t="shared" si="2"/>
        <v>#DIV/0!</v>
      </c>
      <c r="I66" s="40" t="e">
        <f t="shared" si="2"/>
        <v>#DIV/0!</v>
      </c>
      <c r="J66" s="40" t="e">
        <f t="shared" si="2"/>
        <v>#DIV/0!</v>
      </c>
      <c r="K66" s="40" t="e">
        <f t="shared" si="2"/>
        <v>#DIV/0!</v>
      </c>
      <c r="L66" s="40" t="e">
        <f t="shared" si="2"/>
        <v>#DIV/0!</v>
      </c>
      <c r="M66" s="40" t="e">
        <f t="shared" si="2"/>
        <v>#DIV/0!</v>
      </c>
      <c r="N66" s="40" t="e">
        <f t="shared" si="2"/>
        <v>#DIV/0!</v>
      </c>
      <c r="O66" s="40" t="e">
        <f t="shared" si="2"/>
        <v>#DIV/0!</v>
      </c>
      <c r="P66" s="40" t="e">
        <f t="shared" si="2"/>
        <v>#DIV/0!</v>
      </c>
      <c r="Q66" s="40" t="e">
        <f t="shared" si="2"/>
        <v>#DIV/0!</v>
      </c>
      <c r="R66" s="40" t="e">
        <f t="shared" si="2"/>
        <v>#DIV/0!</v>
      </c>
      <c r="S66" s="40" t="e">
        <f t="shared" si="2"/>
        <v>#DIV/0!</v>
      </c>
      <c r="T66" s="40" t="e">
        <f t="shared" si="2"/>
        <v>#DIV/0!</v>
      </c>
      <c r="U66" s="40" t="e">
        <f t="shared" si="2"/>
        <v>#DIV/0!</v>
      </c>
      <c r="V66" s="40" t="e">
        <f t="shared" si="2"/>
        <v>#DIV/0!</v>
      </c>
      <c r="W66" s="40" t="e">
        <f t="shared" si="2"/>
        <v>#DIV/0!</v>
      </c>
    </row>
    <row r="67" spans="1:23" s="39" customFormat="1" ht="40.5" customHeight="1">
      <c r="A67" s="41" t="s">
        <v>34</v>
      </c>
      <c r="B67" s="42"/>
      <c r="C67" s="43" t="e">
        <f t="shared" ref="C67:W67" si="3">STDEV(C59:C63)</f>
        <v>#DIV/0!</v>
      </c>
      <c r="D67" s="43" t="e">
        <f t="shared" si="3"/>
        <v>#DIV/0!</v>
      </c>
      <c r="E67" s="43" t="e">
        <f t="shared" si="3"/>
        <v>#DIV/0!</v>
      </c>
      <c r="F67" s="43" t="e">
        <f t="shared" si="3"/>
        <v>#DIV/0!</v>
      </c>
      <c r="G67" s="43" t="e">
        <f t="shared" si="3"/>
        <v>#DIV/0!</v>
      </c>
      <c r="H67" s="43" t="e">
        <f t="shared" si="3"/>
        <v>#DIV/0!</v>
      </c>
      <c r="I67" s="43" t="e">
        <f t="shared" si="3"/>
        <v>#DIV/0!</v>
      </c>
      <c r="J67" s="43" t="e">
        <f t="shared" si="3"/>
        <v>#DIV/0!</v>
      </c>
      <c r="K67" s="43" t="e">
        <f t="shared" si="3"/>
        <v>#DIV/0!</v>
      </c>
      <c r="L67" s="43" t="e">
        <f t="shared" si="3"/>
        <v>#DIV/0!</v>
      </c>
      <c r="M67" s="43" t="e">
        <f t="shared" si="3"/>
        <v>#DIV/0!</v>
      </c>
      <c r="N67" s="43" t="e">
        <f t="shared" si="3"/>
        <v>#DIV/0!</v>
      </c>
      <c r="O67" s="43" t="e">
        <f t="shared" si="3"/>
        <v>#DIV/0!</v>
      </c>
      <c r="P67" s="43" t="e">
        <f t="shared" si="3"/>
        <v>#DIV/0!</v>
      </c>
      <c r="Q67" s="43" t="e">
        <f t="shared" si="3"/>
        <v>#DIV/0!</v>
      </c>
      <c r="R67" s="43" t="e">
        <f t="shared" si="3"/>
        <v>#DIV/0!</v>
      </c>
      <c r="S67" s="43" t="e">
        <f t="shared" si="3"/>
        <v>#DIV/0!</v>
      </c>
      <c r="T67" s="43" t="e">
        <f t="shared" si="3"/>
        <v>#DIV/0!</v>
      </c>
      <c r="U67" s="43" t="e">
        <f t="shared" si="3"/>
        <v>#DIV/0!</v>
      </c>
      <c r="V67" s="43" t="e">
        <f t="shared" si="3"/>
        <v>#DIV/0!</v>
      </c>
      <c r="W67" s="43" t="e">
        <f t="shared" si="3"/>
        <v>#DIV/0!</v>
      </c>
    </row>
    <row r="68" spans="1:23" s="39" customFormat="1" ht="40.5" customHeight="1" thickBot="1">
      <c r="A68" s="44" t="s">
        <v>35</v>
      </c>
      <c r="B68" s="45"/>
      <c r="C68" s="46">
        <v>1.9</v>
      </c>
      <c r="D68" s="47">
        <v>3.55</v>
      </c>
      <c r="E68" s="47">
        <v>4.6399999999999997</v>
      </c>
      <c r="F68" s="47">
        <v>4.99</v>
      </c>
      <c r="G68" s="47">
        <v>1.92</v>
      </c>
      <c r="H68" s="47">
        <v>5.12</v>
      </c>
      <c r="I68" s="47">
        <v>50.01</v>
      </c>
      <c r="J68" s="47">
        <v>40.07</v>
      </c>
      <c r="K68" s="47">
        <v>1.9</v>
      </c>
      <c r="L68" s="47">
        <v>1.72</v>
      </c>
      <c r="M68" s="47">
        <v>14.81</v>
      </c>
      <c r="N68" s="47">
        <v>7.94</v>
      </c>
      <c r="O68" s="47">
        <v>12.76</v>
      </c>
      <c r="P68" s="47">
        <v>10.210000000000001</v>
      </c>
      <c r="Q68" s="47">
        <v>5.89</v>
      </c>
      <c r="R68" s="48">
        <v>2.2400000000000002</v>
      </c>
      <c r="S68" s="49">
        <v>12.64</v>
      </c>
      <c r="T68" s="49">
        <v>12.77</v>
      </c>
      <c r="U68" s="47">
        <v>2.2799999999999998</v>
      </c>
      <c r="V68" s="47">
        <v>1.96</v>
      </c>
      <c r="W68" s="50">
        <v>2.93</v>
      </c>
    </row>
    <row r="69" spans="1:23" s="51" customFormat="1" ht="12.7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s="51" customFormat="1" ht="12.7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s="51" customFormat="1" ht="12.7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s="51" customFormat="1" ht="12.7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s="51" customFormat="1" ht="12.7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s="51" customFormat="1" ht="12.7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s="51" customFormat="1" ht="12.7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s="51" customFormat="1" ht="12.7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s="51" customFormat="1" ht="12.7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s="51" customFormat="1" ht="12.7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s="51" customFormat="1" ht="12.7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s="51" customFormat="1" ht="12.7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3:23" s="51" customFormat="1" ht="12.7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3:23" s="51" customFormat="1" ht="12.7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3:23" s="51" customFormat="1" ht="12.7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3:23" s="51" customFormat="1" ht="12.7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3:23" s="51" customFormat="1" ht="12.7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3:23" s="51" customFormat="1" ht="12.7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3:23" s="51" customFormat="1" ht="12.7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3:23" s="51" customFormat="1" ht="12.7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3:23" s="51" customFormat="1" ht="12.7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3:23" s="51" customFormat="1" ht="12.7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3:23" s="51" customFormat="1" ht="12.7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3:23" s="51" customFormat="1" ht="12.7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3:23" s="51" customFormat="1" ht="12.7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3:23" s="51" customFormat="1" ht="12.7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3:23" s="51" customFormat="1" ht="12.7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3:23" s="51" customFormat="1" ht="12.7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3:23" s="51" customFormat="1" ht="12.7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3:23" s="51" customFormat="1" ht="12.7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3:23" s="51" customFormat="1" ht="12.7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3:23" s="51" customFormat="1" ht="12.7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3:23" s="51" customFormat="1" ht="12.7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3:23" s="51" customFormat="1" ht="12.7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3:23" s="51" customFormat="1" ht="12.7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3:23" s="51" customFormat="1" ht="12.7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3:23" s="51" customFormat="1" ht="12.7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3:23" s="51" customFormat="1" ht="12.7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3:23" s="51" customFormat="1" ht="12.7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3:23" s="51" customFormat="1" ht="12.7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3:23" s="51" customFormat="1" ht="12.7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3:23" s="51" customFormat="1" ht="12.7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3:23" s="51" customFormat="1" ht="12.7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3:23" s="51" customFormat="1" ht="12.7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3:23" s="51" customFormat="1" ht="12.7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3:23" s="51" customFormat="1" ht="12.7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3:23" s="51" customFormat="1" ht="12.7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3:23" s="51" customFormat="1" ht="12.7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3:23" s="51" customFormat="1" ht="12.7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3:23" s="51" customFormat="1" ht="12.7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3:23" s="51" customFormat="1" ht="12.7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3:23" s="51" customFormat="1" ht="12.7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3:23" s="51" customFormat="1" ht="12.7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3:23" s="51" customFormat="1" ht="12.7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3:23" s="51" customFormat="1" ht="12.7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3:23" s="51" customFormat="1" ht="12.7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3:23" s="51" customFormat="1" ht="12.7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3:23" s="51" customFormat="1" ht="12.7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3:23" s="51" customFormat="1" ht="12.7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3:23" s="51" customFormat="1" ht="12.7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3:23" s="51" customFormat="1" ht="12.7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3:23" s="51" customFormat="1" ht="12.7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3:23" s="51" customFormat="1" ht="12.7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3:23" s="51" customFormat="1" ht="12.7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3:23" s="51" customFormat="1" ht="12.7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3:23" s="51" customFormat="1" ht="12.7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3:23" s="51" customFormat="1" ht="12.7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3:23" s="51" customFormat="1" ht="12.7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3:23" s="51" customFormat="1" ht="12.7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3:23" s="51" customFormat="1" ht="12.7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3:23" s="51" customFormat="1" ht="12.7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3:23" s="51" customFormat="1" ht="12.7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3:23" s="51" customFormat="1" ht="12.7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3:23" s="51" customFormat="1" ht="12.7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3:23" s="51" customFormat="1" ht="12.7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3:23" s="51" customFormat="1" ht="12.7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3:23" s="51" customFormat="1" ht="12.7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3:23" s="51" customFormat="1" ht="12.7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3:23" s="51" customFormat="1" ht="12.7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3:23" s="51" customFormat="1" ht="12.7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3:23" s="51" customFormat="1" ht="12.7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3:23" s="51" customFormat="1" ht="12.7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3:23" s="51" customFormat="1" ht="12.7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</sheetData>
  <mergeCells count="21">
    <mergeCell ref="A66:B66"/>
    <mergeCell ref="A67:B67"/>
    <mergeCell ref="A68:B68"/>
    <mergeCell ref="B44:B48"/>
    <mergeCell ref="B49:B53"/>
    <mergeCell ref="B54:B58"/>
    <mergeCell ref="B59:B63"/>
    <mergeCell ref="A64:B64"/>
    <mergeCell ref="A65:B65"/>
    <mergeCell ref="B14:B18"/>
    <mergeCell ref="B19:B23"/>
    <mergeCell ref="B24:B28"/>
    <mergeCell ref="B29:B33"/>
    <mergeCell ref="B34:B38"/>
    <mergeCell ref="B39:B43"/>
    <mergeCell ref="A4:B5"/>
    <mergeCell ref="C4:W4"/>
    <mergeCell ref="A6:B6"/>
    <mergeCell ref="A7:B7"/>
    <mergeCell ref="A8:B8"/>
    <mergeCell ref="B9:B13"/>
  </mergeCells>
  <pageMargins left="0.70866141732283505" right="0.70866141732283505" top="0.74803149606299202" bottom="0.35433070866141703" header="0.31496062992126" footer="0.31496062992126"/>
  <pageSetup paperSize="9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A12-3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DPC</dc:creator>
  <cp:lastModifiedBy>DPC</cp:lastModifiedBy>
  <dcterms:created xsi:type="dcterms:W3CDTF">2023-10-13T04:13:42Z</dcterms:created>
  <dcterms:modified xsi:type="dcterms:W3CDTF">2023-10-13T04:16:04Z</dcterms:modified>
</cp:coreProperties>
</file>