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drawings/drawing4.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VPSX-QC\Desktop\Audit\2.Press\"/>
    </mc:Choice>
  </mc:AlternateContent>
  <bookViews>
    <workbookView xWindow="240" yWindow="75" windowWidth="20115" windowHeight="7995" activeTab="3"/>
  </bookViews>
  <sheets>
    <sheet name="Cover." sheetId="3" r:id="rId1"/>
    <sheet name="Result Report" sheetId="4" r:id="rId2"/>
    <sheet name="Non-Conforming Item" sheetId="5" r:id="rId3"/>
    <sheet name="Checksheet" sheetId="1"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ah1" hidden="1">{"'Sheet1'!$L$16"}</definedName>
    <definedName name="__CON1">#REF!</definedName>
    <definedName name="__CON2">#REF!</definedName>
    <definedName name="__ha1" hidden="1">{"'Sheet1'!$L$16"}</definedName>
    <definedName name="__NET2">#REF!</definedName>
    <definedName name="_1">#N/A</definedName>
    <definedName name="_2">#REF!</definedName>
    <definedName name="_3">#N/A</definedName>
    <definedName name="_4">#N/A</definedName>
    <definedName name="_ah1" hidden="1">{"'Sheet1'!$L$16"}</definedName>
    <definedName name="_CON1">#REF!</definedName>
    <definedName name="_CON2">#REF!</definedName>
    <definedName name="_DAT1" localSheetId="2">[1]Sheet1!#REF!</definedName>
    <definedName name="_DAT1" localSheetId="1">[2]Sheet1!#REF!</definedName>
    <definedName name="_DAT1">[2]Sheet1!#REF!</definedName>
    <definedName name="_DAT13" localSheetId="2">[1]Sheet1!#REF!</definedName>
    <definedName name="_DAT13" localSheetId="1">[2]Sheet1!#REF!</definedName>
    <definedName name="_DAT13">[2]Sheet1!#REF!</definedName>
    <definedName name="_DAT16" localSheetId="2">[1]Sheet1!#REF!</definedName>
    <definedName name="_DAT16" localSheetId="1">[2]Sheet1!#REF!</definedName>
    <definedName name="_DAT16">[2]Sheet1!#REF!</definedName>
    <definedName name="_DAT17" localSheetId="2">[1]Sheet1!#REF!</definedName>
    <definedName name="_DAT17" localSheetId="1">[2]Sheet1!#REF!</definedName>
    <definedName name="_DAT17">[2]Sheet1!#REF!</definedName>
    <definedName name="_DAT18" localSheetId="2">[1]Sheet1!#REF!</definedName>
    <definedName name="_DAT18" localSheetId="1">[2]Sheet1!#REF!</definedName>
    <definedName name="_DAT18">[2]Sheet1!#REF!</definedName>
    <definedName name="_DAT19" localSheetId="2">[1]Sheet1!#REF!</definedName>
    <definedName name="_DAT19" localSheetId="1">[2]Sheet1!#REF!</definedName>
    <definedName name="_DAT19">[2]Sheet1!#REF!</definedName>
    <definedName name="_DAT20" localSheetId="2">[1]Sheet1!#REF!</definedName>
    <definedName name="_DAT20" localSheetId="1">[2]Sheet1!#REF!</definedName>
    <definedName name="_DAT20">[2]Sheet1!#REF!</definedName>
    <definedName name="_DAT3" localSheetId="2">[1]Sheet1!#REF!</definedName>
    <definedName name="_DAT3" localSheetId="1">[2]Sheet1!#REF!</definedName>
    <definedName name="_DAT3">[2]Sheet1!#REF!</definedName>
    <definedName name="_DAT9" localSheetId="2">[1]Sheet1!#REF!</definedName>
    <definedName name="_DAT9" localSheetId="1">[2]Sheet1!#REF!</definedName>
    <definedName name="_DAT9">[2]Sheet1!#REF!</definedName>
    <definedName name="_Fill" hidden="1">#REF!</definedName>
    <definedName name="_ha1" hidden="1">{"'Sheet1'!$L$16"}</definedName>
    <definedName name="_NET2">#REF!</definedName>
    <definedName name="_Order1" hidden="1">255</definedName>
    <definedName name="_Order2" hidden="1">255</definedName>
    <definedName name="_Sort" hidden="1">#REF!</definedName>
    <definedName name="a277Print_Titles">#REF!</definedName>
    <definedName name="AAA" localSheetId="2">[3]매출이익!$J$1:$L$65536,[3]매출이익!$P$1:$R$65536,[3]매출이익!$V$1:$X$65536,[3]매출이익!$AB$1:$AD$65536,[3]매출이익!$AH$1:$AJ$65536,[3]매출이익!$AN$1:$AP$65536,[3]매출이익!$AT$1:$AV$65536,[3]매출이익!$AZ$1:$BB$65536,[3]매출이익!$BF$1:$BH$65536,[3]매출이익!$BL$1:$BN$65536,[3]매출이익!$BR$1:$BT$65536,[3]매출이익!$BX$1:$BZ$65536,[3]매출이익!$CD$1:$CF$65536,[3]매출이익!$CJ$1:$CL$65536,[3]매출이익!$CP$1:$CR$65536</definedName>
    <definedName name="AAA">[4]매출이익!$J$1:$L$65536,[4]매출이익!$P$1:$R$65536,[4]매출이익!$V$1:$X$65536,[4]매출이익!$AB$1:$AD$65536,[4]매출이익!$AH$1:$AJ$65536,[4]매출이익!$AN$1:$AP$65536,[4]매출이익!$AT$1:$AV$65536,[4]매출이익!$AZ$1:$BB$65536,[4]매출이익!$BF$1:$BH$65536,[4]매출이익!$BL$1:$BN$65536,[4]매출이익!$BR$1:$BT$65536,[4]매출이익!$BX$1:$BZ$65536,[4]매출이익!$CD$1:$CF$65536,[4]매출이익!$CJ$1:$CL$65536,[4]매출이익!$CP$1:$CR$65536</definedName>
    <definedName name="aerg">#N/A</definedName>
    <definedName name="Assessment_Types" localSheetId="3">#REF!</definedName>
    <definedName name="Assessment_Types" localSheetId="0">#REF!</definedName>
    <definedName name="Assessment_Types" localSheetId="2">#REF!</definedName>
    <definedName name="Assessment_Types" localSheetId="1">#REF!</definedName>
    <definedName name="Assessment_Types">#REF!</definedName>
    <definedName name="B_Isc">#REF!</definedName>
    <definedName name="bang_gia">#REF!</definedName>
    <definedName name="BOQ">#REF!</definedName>
    <definedName name="BVCISUMMARY">#REF!</definedName>
    <definedName name="Calqty" localSheetId="3">#REF!</definedName>
    <definedName name="Calqty" localSheetId="0">#REF!</definedName>
    <definedName name="Calqty" localSheetId="2">#REF!</definedName>
    <definedName name="Calqty" localSheetId="1">#REF!</definedName>
    <definedName name="Calqty">#REF!</definedName>
    <definedName name="Choices" localSheetId="0">[5]Sheet7!$A$19:$A$20</definedName>
    <definedName name="Choices" localSheetId="2">[5]Sheet7!$A$19:$A$20</definedName>
    <definedName name="Choices" localSheetId="1">[5]Sheet7!$A$19:$A$20</definedName>
    <definedName name="Choices">[5]Sheet7!$A$19:$A$20</definedName>
    <definedName name="Co">#REF!</definedName>
    <definedName name="code" localSheetId="3">#REF!</definedName>
    <definedName name="code" localSheetId="0">#REF!</definedName>
    <definedName name="code" localSheetId="2">#REF!</definedName>
    <definedName name="code" localSheetId="1">#REF!</definedName>
    <definedName name="code">#REF!</definedName>
    <definedName name="CODENO" localSheetId="2">'[6]BOM LIST 정리'!$D$7:$D$48</definedName>
    <definedName name="CODENO">'[7]BOM LIST 정리'!$D$7:$D$48</definedName>
    <definedName name="COMMON">#REF!</definedName>
    <definedName name="CON_EQP_COS">#REF!</definedName>
    <definedName name="Cong_HM_DTCT">#REF!</definedName>
    <definedName name="Cong_M_DTCT">#REF!</definedName>
    <definedName name="Cong_NC_DTCT">#REF!</definedName>
    <definedName name="Cong_VL_DTCT">#REF!</definedName>
    <definedName name="CONTRACT" localSheetId="0">#REF!</definedName>
    <definedName name="CONTRACT" localSheetId="2">#REF!</definedName>
    <definedName name="CONTRACT" localSheetId="1">#REF!</definedName>
    <definedName name="CONTRACT">#REF!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iep">#REF!</definedName>
    <definedName name="_xlnm.Database" localSheetId="0">#REF!</definedName>
    <definedName name="_xlnm.Database" localSheetId="2">#REF!</definedName>
    <definedName name="_xlnm.Database" localSheetId="1">#REF!</definedName>
    <definedName name="_xlnm.Database">#REF!</definedName>
    <definedName name="den_bu">#REF!</definedName>
    <definedName name="DGCTI592">#REF!</definedName>
    <definedName name="dich" hidden="1">{"'Sheet1'!$L$16"}</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_xlnm.Extract">#REF!</definedName>
    <definedName name="gia_tien">#REF!</definedName>
    <definedName name="gia_tien_BTN">#REF!</definedName>
    <definedName name="h">#REF!</definedName>
    <definedName name="H_30">#REF!</definedName>
    <definedName name="ha">#REF!</definedName>
    <definedName name="HH">#REF!</definedName>
    <definedName name="HIDDEN" localSheetId="2">[3]제품별!$F$1:$I$65536,[3]제품별!$N$1:$P$65536,[3]제품별!$T$1:$V$65536,[3]제품별!$Z$1:$AB$65536,[3]제품별!$AF$1:$AH$65536,[3]제품별!$AL$1:$AN$65536,[3]제품별!$AR$1:$AT$65536,[3]제품별!$AX$1:$BA$65536,[3]제품별!$BF$1:$BH$65536,[3]제품별!$BL$1:$BN$65536,[3]제품별!$BR$1:$BT$65536,[3]제품별!$BX$1:$BZ$65536,[3]제품별!$CD$1:$CF$65536,[3]제품별!$CJ$1:$CL$65536,[3]제품별!$CP$1:$CS$65536,[3]제품별!$CX$1:$DA$65536,[3]제품별!$DF$1:$DI$65536,[3]제품별!$DN$1:$DQ$65536,[3]제품별!$DV$1:$DY$65536</definedName>
    <definedName name="HIDDEN">[4]제품별!$F$1:$I$65536,[4]제품별!$N$1:$P$65536,[4]제품별!$T$1:$V$65536,[4]제품별!$Z$1:$AB$65536,[4]제품별!$AF$1:$AH$65536,[4]제품별!$AL$1:$AN$65536,[4]제품별!$AR$1:$AT$65536,[4]제품별!$AX$1:$BA$65536,[4]제품별!$BF$1:$BH$65536,[4]제품별!$BL$1:$BN$65536,[4]제품별!$BR$1:$BT$65536,[4]제품별!$BX$1:$BZ$65536,[4]제품별!$CD$1:$CF$65536,[4]제품별!$CJ$1:$CL$65536,[4]제품별!$CP$1:$CS$65536,[4]제품별!$CX$1:$DA$65536,[4]제품별!$DF$1:$DI$65536,[4]제품별!$DN$1:$DQ$65536,[4]제품별!$DV$1:$DY$65536</definedName>
    <definedName name="hien">#REF!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I">#REF!</definedName>
    <definedName name="IDLAB_COST">#REF!</definedName>
    <definedName name="INDMANP">#REF!</definedName>
    <definedName name="it" localSheetId="2">[8]!it</definedName>
    <definedName name="it">[9]!it</definedName>
    <definedName name="j356C8">#REF!</definedName>
    <definedName name="jan" localSheetId="0">#REF!</definedName>
    <definedName name="jan" localSheetId="2">#REF!</definedName>
    <definedName name="jan" localSheetId="1">#REF!</definedName>
    <definedName name="jan">#REF!</definedName>
    <definedName name="kcong">#REF!</definedName>
    <definedName name="KKE_Sheet10_List">#REF!</definedName>
    <definedName name="lll" localSheetId="2">[8]!lll</definedName>
    <definedName name="lll">[9]!lll</definedName>
    <definedName name="Lnsc">#REF!</definedName>
    <definedName name="m">#REF!</definedName>
    <definedName name="MAJ_CON_EQP">#REF!</definedName>
    <definedName name="MG_A">#REF!</definedName>
    <definedName name="Morong">#REF!</definedName>
    <definedName name="Morong4054_85">#REF!</definedName>
    <definedName name="morong4054_98">#REF!</definedName>
    <definedName name="MRP" localSheetId="0">#REF!</definedName>
    <definedName name="MRP" localSheetId="2">#REF!</definedName>
    <definedName name="MRP" localSheetId="1">#REF!</definedName>
    <definedName name="MRP">#REF!</definedName>
    <definedName name="NET">#REF!</definedName>
    <definedName name="NET_1">#REF!</definedName>
    <definedName name="NET_ANA">#REF!</definedName>
    <definedName name="NET_ANA_1">#REF!</definedName>
    <definedName name="NET_ANA_2">#REF!</definedName>
    <definedName name="NH">#REF!</definedName>
    <definedName name="NHot">#REF!</definedName>
    <definedName name="No">#REF!</definedName>
    <definedName name="NORM" localSheetId="2">[8]!NORM</definedName>
    <definedName name="NORM">[9]!NORM</definedName>
    <definedName name="_xlnm.Print_Area" localSheetId="3">Checksheet!$A$1:$H$97</definedName>
    <definedName name="_xlnm.Print_Area" localSheetId="0">Cover.!$A$1:$O$26</definedName>
    <definedName name="_xlnm.Print_Area" localSheetId="2">'Non-Conforming Item'!$A$1:$N$37</definedName>
    <definedName name="_xlnm.Print_Area" localSheetId="1">'Result Report'!$B$1:$S$29</definedName>
    <definedName name="_xlnm.Print_Area">#REF!</definedName>
    <definedName name="PRINT_AREA_MI">#REF!</definedName>
    <definedName name="_xlnm.Print_Titles">#N/A</definedName>
    <definedName name="PRINT_TITLES_MI">#REF!</definedName>
    <definedName name="PRINTA">#REF!</definedName>
    <definedName name="PRINTB">#REF!</definedName>
    <definedName name="PRINTC">#REF!</definedName>
    <definedName name="PROPOSAL">#REF!</definedName>
    <definedName name="PT_Duong">#REF!</definedName>
    <definedName name="PTDG_cau">#REF!</definedName>
    <definedName name="ptdg_cong">#REF!</definedName>
    <definedName name="ptdg_duong">#REF!</definedName>
    <definedName name="ptdg_ke">#REF!</definedName>
    <definedName name="purpose">[10]Notes!$B$4:$B$13</definedName>
    <definedName name="q">#REF!</definedName>
    <definedName name="qqqq" localSheetId="0">#REF!</definedName>
    <definedName name="qqqq" localSheetId="2">#REF!</definedName>
    <definedName name="qqqq" localSheetId="1">#REF!</definedName>
    <definedName name="qqqq">#REF!</definedName>
    <definedName name="qty" localSheetId="3">#REF!</definedName>
    <definedName name="qty" localSheetId="0">#REF!</definedName>
    <definedName name="qty" localSheetId="2">#REF!</definedName>
    <definedName name="qty" localSheetId="1">#REF!</definedName>
    <definedName name="qty">#REF!</definedName>
    <definedName name="Question_Scores" localSheetId="0">'[11]Data Summary - Do Not Use'!$E$10:$E$12</definedName>
    <definedName name="Question_Scores" localSheetId="2">'[11]Data Summary - Do Not Use'!$E$10:$E$12</definedName>
    <definedName name="Question_Scores" localSheetId="1">'[11]Data Summary - Do Not Use'!$E$10:$E$12</definedName>
    <definedName name="Question_Scores">'[12]Data Summary - Do Not Use'!$E$10:$E$12</definedName>
    <definedName name="scao98">#REF!</definedName>
    <definedName name="scores" localSheetId="0">[5]Sheet7!$A$1:$A$5</definedName>
    <definedName name="scores" localSheetId="2">[5]Sheet7!$A$1:$A$5</definedName>
    <definedName name="scores" localSheetId="1">[5]Sheet7!$A$1:$A$5</definedName>
    <definedName name="scores">[5]Sheet7!$A$1:$A$5</definedName>
    <definedName name="scores3" localSheetId="0">[5]Sheet7!$I$1:$I$3</definedName>
    <definedName name="scores3" localSheetId="2">[5]Sheet7!$I$1:$I$3</definedName>
    <definedName name="scores3" localSheetId="1">[5]Sheet7!$I$1:$I$3</definedName>
    <definedName name="scores3">[5]Sheet7!$I$1:$I$3</definedName>
    <definedName name="SCORES4" localSheetId="0">[5]Sheet7!$K$1:$K$4</definedName>
    <definedName name="SCORES4" localSheetId="2">[5]Sheet7!$K$1:$K$4</definedName>
    <definedName name="SCORES4" localSheetId="1">[5]Sheet7!$K$1:$K$4</definedName>
    <definedName name="SCORES4">[5]Sheet7!$K$1:$K$4</definedName>
    <definedName name="scores5" localSheetId="0">[5]Sheet7!$M$1:$M$2</definedName>
    <definedName name="scores5" localSheetId="2">[5]Sheet7!$M$1:$M$2</definedName>
    <definedName name="scores5" localSheetId="1">[5]Sheet7!$M$1:$M$2</definedName>
    <definedName name="scores5">[5]Sheet7!$M$1:$M$2</definedName>
    <definedName name="scores6" localSheetId="0">[5]Sheet7!$A$9:$A$13</definedName>
    <definedName name="scores6" localSheetId="2">[5]Sheet7!$A$9:$A$13</definedName>
    <definedName name="scores6" localSheetId="1">[5]Sheet7!$A$9:$A$13</definedName>
    <definedName name="scores6">[5]Sheet7!$A$9:$A$13</definedName>
    <definedName name="scores8" localSheetId="0">[5]Sheet7!$K$9:$K$12</definedName>
    <definedName name="scores8" localSheetId="2">[5]Sheet7!$K$9:$K$12</definedName>
    <definedName name="scores8" localSheetId="1">[5]Sheet7!$K$9:$K$12</definedName>
    <definedName name="scores8">[5]Sheet7!$K$9:$K$12</definedName>
    <definedName name="sieucao">#REF!</definedName>
    <definedName name="slh">#REF!</definedName>
    <definedName name="SORT">#REF!</definedName>
    <definedName name="Spanner_Auto_File">"C:\My Documents\tinh cdo.x2a"</definedName>
    <definedName name="SPEC">#REF!</definedName>
    <definedName name="SPECSUMMARY">#REF!</definedName>
    <definedName name="sss" localSheetId="0">[2]Sheet1!#REF!</definedName>
    <definedName name="sss" localSheetId="2">[1]Sheet1!#REF!</definedName>
    <definedName name="sss" localSheetId="1">[2]Sheet1!#REF!</definedName>
    <definedName name="sss">[2]Sheet1!#REF!</definedName>
    <definedName name="sssss" localSheetId="2">[8]!sssss</definedName>
    <definedName name="sssss">[9]!sssss</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sx" hidden="1">{"'Sheet1'!$L$16"}</definedName>
    <definedName name="table1" localSheetId="0">[13]Sheet1!$A$1:$A$5</definedName>
    <definedName name="table1" localSheetId="2">[13]Sheet1!$A$1:$A$5</definedName>
    <definedName name="table1" localSheetId="1">[13]Sheet1!$A$1:$A$5</definedName>
    <definedName name="table1">[13]Sheet1!$A$1:$A$5</definedName>
    <definedName name="table2" localSheetId="0">[13]Sheet1!$B$1:$B$4</definedName>
    <definedName name="table2" localSheetId="2">[13]Sheet1!$B$1:$B$4</definedName>
    <definedName name="table2" localSheetId="1">[13]Sheet1!$B$1:$B$4</definedName>
    <definedName name="table2">[13]Sheet1!$B$1:$B$4</definedName>
    <definedName name="TaxTV">10%</definedName>
    <definedName name="TaxXL">5%</definedName>
    <definedName name="Tchuan">#REF!</definedName>
    <definedName name="TEST1" localSheetId="0">[2]Sheet1!#REF!</definedName>
    <definedName name="TEST1" localSheetId="2">[1]Sheet1!#REF!</definedName>
    <definedName name="TEST1" localSheetId="1">[2]Sheet1!#REF!</definedName>
    <definedName name="TEST1">[2]Sheet1!#REF!</definedName>
    <definedName name="Tien">#REF!</definedName>
    <definedName name="tim_xuat_hien">#REF!</definedName>
    <definedName name="Tra_Cot">#REF!</definedName>
    <definedName name="Tra_DM_su_dung">#REF!</definedName>
    <definedName name="Tra_don_gia_KS">#REF!</definedName>
    <definedName name="Tra_DTCT">#REF!</definedName>
    <definedName name="Tra_ten_cong">#REF!</definedName>
    <definedName name="Tra_tim_hang_mucPT_trung">#REF!</definedName>
    <definedName name="tthi">#REF!</definedName>
    <definedName name="ty_le">#REF!</definedName>
    <definedName name="ty_le_BTN">#REF!</definedName>
    <definedName name="Ty_le1">#REF!</definedName>
    <definedName name="U" localSheetId="2">'[14]BOM LIST 정리'!#REF!</definedName>
    <definedName name="U" localSheetId="1">'[15]BOM LIST 정리'!#REF!</definedName>
    <definedName name="U">'[15]BOM LIST 정리'!#REF!</definedName>
    <definedName name="VARIINST">#REF!</definedName>
    <definedName name="VARIPURC">#REF!</definedName>
    <definedName name="vd">#REF!</definedName>
    <definedName name="VER" localSheetId="0">[5]Sheet7!$A$23:$A$24</definedName>
    <definedName name="VER" localSheetId="2">[5]Sheet7!$A$23:$A$24</definedName>
    <definedName name="VER" localSheetId="1">[5]Sheet7!$A$23:$A$24</definedName>
    <definedName name="VER">[5]Sheet7!$A$23:$A$24</definedName>
    <definedName name="W">#REF!</definedName>
    <definedName name="WOST" localSheetId="2">[8]!WOST</definedName>
    <definedName name="WOST">[9]!WOST</definedName>
    <definedName name="x">#REF!</definedName>
    <definedName name="XB_80">#REF!</definedName>
    <definedName name="xh">#REF!</definedName>
    <definedName name="xn">#REF!</definedName>
    <definedName name="Y" localSheetId="0">'[15]BOM LIST 정리'!#REF!</definedName>
    <definedName name="Y" localSheetId="2">'[14]BOM LIST 정리'!#REF!</definedName>
    <definedName name="Y" localSheetId="1">'[15]BOM LIST 정리'!#REF!</definedName>
    <definedName name="Y">'[15]BOM LIST 정리'!#REF!</definedName>
    <definedName name="ZYX">#REF!</definedName>
    <definedName name="ZZZ">#REF!</definedName>
    <definedName name="경통1" localSheetId="2">[8]!경통1</definedName>
    <definedName name="경통1">[9]!경통1</definedName>
    <definedName name="경통2" localSheetId="2">[8]!경통2</definedName>
    <definedName name="경통2">[9]!경통2</definedName>
    <definedName name="ㄴ" localSheetId="0">#REF!</definedName>
    <definedName name="ㄴ" localSheetId="2">#REF!</definedName>
    <definedName name="ㄴ" localSheetId="1">#REF!</definedName>
    <definedName name="ㄴ">#REF!</definedName>
    <definedName name="ㄴㄴ" localSheetId="2">[8]!ㄴㄴ</definedName>
    <definedName name="ㄴㄴ">[9]!ㄴㄴ</definedName>
    <definedName name="대표자" localSheetId="2">[16]기본데이타!$C$6</definedName>
    <definedName name="대표자">[17]기본데이타!$C$6</definedName>
    <definedName name="동화" localSheetId="0">[2]Sheet1!#REF!</definedName>
    <definedName name="동화" localSheetId="2">[1]Sheet1!#REF!</definedName>
    <definedName name="동화" localSheetId="1">[2]Sheet1!#REF!</definedName>
    <definedName name="동화">[2]Sheet1!#REF!</definedName>
    <definedName name="ㅁ" localSheetId="0">[2]Sheet1!#REF!</definedName>
    <definedName name="ㅁ" localSheetId="2">[1]Sheet1!#REF!</definedName>
    <definedName name="ㅁ" localSheetId="1">[2]Sheet1!#REF!</definedName>
    <definedName name="ㅁ">[2]Sheet1!#REF!</definedName>
    <definedName name="ㅁ1" localSheetId="0">'[18]매출이익(실적)'!#REF!</definedName>
    <definedName name="ㅁ1" localSheetId="2">'[19]매출이익(실적)'!#REF!</definedName>
    <definedName name="ㅁ1" localSheetId="1">'[18]매출이익(실적)'!#REF!</definedName>
    <definedName name="ㅁ1">'[18]매출이익(실적)'!#REF!</definedName>
    <definedName name="ㅁ109" localSheetId="0">#REF!</definedName>
    <definedName name="ㅁ109" localSheetId="2">#REF!</definedName>
    <definedName name="ㅁ109" localSheetId="1">#REF!</definedName>
    <definedName name="ㅁ109">#REF!</definedName>
    <definedName name="ㅁㅁㅁ" localSheetId="0">[2]Sheet1!#REF!</definedName>
    <definedName name="ㅁㅁㅁ" localSheetId="2">[1]Sheet1!#REF!</definedName>
    <definedName name="ㅁㅁㅁ" localSheetId="1">[2]Sheet1!#REF!</definedName>
    <definedName name="ㅁㅁㅁ">[2]Sheet1!#REF!</definedName>
    <definedName name="ㅁㅂ" localSheetId="0">[2]Sheet1!#REF!</definedName>
    <definedName name="ㅁㅂ" localSheetId="2">[1]Sheet1!#REF!</definedName>
    <definedName name="ㅁㅂ" localSheetId="1">[2]Sheet1!#REF!</definedName>
    <definedName name="ㅁㅂ">[2]Sheet1!#REF!</definedName>
    <definedName name="면허번호" localSheetId="2">[16]기본데이타!$C$9</definedName>
    <definedName name="면허번호">[17]기본데이타!$C$9</definedName>
    <definedName name="몰려" localSheetId="0">#REF!</definedName>
    <definedName name="몰려" localSheetId="2">#REF!</definedName>
    <definedName name="몰려" localSheetId="1">#REF!</definedName>
    <definedName name="몰려">#REF!</definedName>
    <definedName name="ㅂㅈ" localSheetId="0">[2]Sheet1!#REF!</definedName>
    <definedName name="ㅂㅈ" localSheetId="2">[1]Sheet1!#REF!</definedName>
    <definedName name="ㅂㅈ" localSheetId="1">[2]Sheet1!#REF!</definedName>
    <definedName name="ㅂㅈ">[2]Sheet1!#REF!</definedName>
    <definedName name="부적합유형">#REF!</definedName>
    <definedName name="생산계획" localSheetId="0">'[20]1월월보'!#REF!</definedName>
    <definedName name="생산계획" localSheetId="2">'[21]1월월보'!#REF!</definedName>
    <definedName name="생산계획" localSheetId="1">'[20]1월월보'!#REF!</definedName>
    <definedName name="생산계획">'[20]1월월보'!#REF!</definedName>
    <definedName name="서일" localSheetId="2">[6]기준정보!$A$4:$B$20</definedName>
    <definedName name="서일">[7]기준정보!$A$4:$B$20</definedName>
    <definedName name="서일ITEM구분" localSheetId="2">'[6]BOM LIST 정리'!$D$7:$G$146</definedName>
    <definedName name="서일ITEM구분">'[7]BOM LIST 정리'!$D$7:$G$146</definedName>
    <definedName name="ㅇ" localSheetId="0">[2]Sheet1!#REF!</definedName>
    <definedName name="ㅇ" localSheetId="2">[1]Sheet1!#REF!</definedName>
    <definedName name="ㅇ" localSheetId="1">[2]Sheet1!#REF!</definedName>
    <definedName name="ㅇ">[2]Sheet1!#REF!</definedName>
    <definedName name="업체현황" localSheetId="0">'[22]#REF'!#REF!</definedName>
    <definedName name="업체현황" localSheetId="2">'[23]#REF'!#REF!</definedName>
    <definedName name="업체현황" localSheetId="1">'[22]#REF'!#REF!</definedName>
    <definedName name="업체현황">'[22]#REF'!#REF!</definedName>
    <definedName name="우리그" localSheetId="0">[2]Sheet1!#REF!</definedName>
    <definedName name="우리그" localSheetId="2">[1]Sheet1!#REF!</definedName>
    <definedName name="우리그" localSheetId="1">[2]Sheet1!#REF!</definedName>
    <definedName name="우리그">[2]Sheet1!#REF!</definedName>
    <definedName name="원가절감전체" localSheetId="0">[24]O_970122!#REF!</definedName>
    <definedName name="원가절감전체" localSheetId="2">[25]O_970122!#REF!</definedName>
    <definedName name="원가절감전체" localSheetId="1">[24]O_970122!#REF!</definedName>
    <definedName name="원가절감전체">[24]O_970122!#REF!</definedName>
    <definedName name="임시L" localSheetId="2">'[6]BOM LIST 정리'!$C$248</definedName>
    <definedName name="임시L">'[7]BOM LIST 정리'!$C$248</definedName>
    <definedName name="임시NO" localSheetId="0">#REF!</definedName>
    <definedName name="임시NO" localSheetId="2">#REF!</definedName>
    <definedName name="임시NO" localSheetId="1">#REF!</definedName>
    <definedName name="임시NO">#REF!</definedName>
    <definedName name="입고단가" localSheetId="2">'[14]입고단가 LIST'!$B$6:$L$610</definedName>
    <definedName name="입고단가">'[15]입고단가 LIST'!$B$6:$L$610</definedName>
    <definedName name="제조하" localSheetId="0">'[26]제조 경영'!#REF!</definedName>
    <definedName name="제조하" localSheetId="2">'[27]제조 경영'!#REF!</definedName>
    <definedName name="제조하" localSheetId="1">'[26]제조 경영'!#REF!</definedName>
    <definedName name="제조하">'[26]제조 경영'!#REF!</definedName>
    <definedName name="종합현황" localSheetId="0">[28]사기정계!#REF!</definedName>
    <definedName name="종합현황" localSheetId="2">[29]사기정계!#REF!</definedName>
    <definedName name="종합현황" localSheetId="1">[28]사기정계!#REF!</definedName>
    <definedName name="종합현황">[28]사기정계!#REF!</definedName>
    <definedName name="주소" localSheetId="2">[16]기본데이타!$C$8</definedName>
    <definedName name="주소">[17]기본데이타!$C$8</definedName>
    <definedName name="진단일" localSheetId="2">[16]기본데이타!$C$12</definedName>
    <definedName name="진단일">[17]기본데이타!$C$12</definedName>
    <definedName name="항목별" localSheetId="0">'[20]1월월보'!#REF!</definedName>
    <definedName name="항목별" localSheetId="2">'[21]1월월보'!#REF!</definedName>
    <definedName name="항목별" localSheetId="1">'[20]1월월보'!#REF!</definedName>
    <definedName name="항목별">'[20]1월월보'!#REF!</definedName>
    <definedName name="화인더" localSheetId="0">[28]사기정계!#REF!</definedName>
    <definedName name="화인더" localSheetId="2">[29]사기정계!#REF!</definedName>
    <definedName name="화인더" localSheetId="1">[28]사기정계!#REF!</definedName>
    <definedName name="화인더">[28]사기정계!#REF!</definedName>
    <definedName name="회사명" localSheetId="2">[16]기본데이타!$C$5</definedName>
    <definedName name="회사명">[17]기본데이타!$C$5</definedName>
  </definedNames>
  <calcPr calcId="162913"/>
</workbook>
</file>

<file path=xl/calcChain.xml><?xml version="1.0" encoding="utf-8"?>
<calcChain xmlns="http://schemas.openxmlformats.org/spreadsheetml/2006/main">
  <c r="E12" i="4" l="1"/>
  <c r="K12" i="4" l="1"/>
  <c r="M5" i="4"/>
  <c r="F5" i="4"/>
  <c r="M4" i="4"/>
  <c r="F4" i="4"/>
  <c r="D82" i="1" l="1"/>
  <c r="G66" i="1"/>
  <c r="F66" i="1"/>
  <c r="G56" i="1"/>
  <c r="F56" i="1"/>
  <c r="G43" i="1"/>
  <c r="H15" i="4" s="1"/>
  <c r="F43" i="1"/>
  <c r="G33" i="1"/>
  <c r="F33" i="1"/>
  <c r="G26" i="1"/>
  <c r="F26" i="1"/>
  <c r="G16" i="1"/>
  <c r="G17" i="1" s="1"/>
  <c r="F16" i="1"/>
  <c r="F17" i="1" s="1"/>
  <c r="G10" i="1"/>
  <c r="F10" i="1"/>
  <c r="F11" i="1" l="1"/>
  <c r="E75" i="1"/>
  <c r="F27" i="1"/>
  <c r="E77" i="1"/>
  <c r="E13" i="4" s="1"/>
  <c r="F44" i="1"/>
  <c r="E79" i="1"/>
  <c r="E15" i="4" s="1"/>
  <c r="K15" i="4" s="1"/>
  <c r="F67" i="1"/>
  <c r="E81" i="1"/>
  <c r="E17" i="4" s="1"/>
  <c r="G11" i="1"/>
  <c r="H11" i="4"/>
  <c r="F75" i="1"/>
  <c r="H75" i="1" s="1"/>
  <c r="G27" i="1"/>
  <c r="F77" i="1"/>
  <c r="H77" i="1" s="1"/>
  <c r="H13" i="4"/>
  <c r="K13" i="4" s="1"/>
  <c r="F76" i="1"/>
  <c r="H76" i="1" s="1"/>
  <c r="G67" i="1"/>
  <c r="H17" i="4"/>
  <c r="K17" i="4" s="1"/>
  <c r="F81" i="1"/>
  <c r="H81" i="1" s="1"/>
  <c r="F34" i="1"/>
  <c r="E78" i="1"/>
  <c r="E14" i="4" s="1"/>
  <c r="F57" i="1"/>
  <c r="E80" i="1"/>
  <c r="E16" i="4" s="1"/>
  <c r="G34" i="1"/>
  <c r="H14" i="4"/>
  <c r="K14" i="4" s="1"/>
  <c r="F78" i="1"/>
  <c r="H78" i="1" s="1"/>
  <c r="G57" i="1"/>
  <c r="H16" i="4"/>
  <c r="F80" i="1"/>
  <c r="H80" i="1" s="1"/>
  <c r="G44" i="1"/>
  <c r="F79" i="1"/>
  <c r="F82" i="1" l="1"/>
  <c r="H79" i="1"/>
  <c r="H82" i="1"/>
  <c r="E18" i="4"/>
  <c r="H18" i="4" s="1"/>
  <c r="K18" i="4" s="1"/>
  <c r="E11" i="4"/>
  <c r="K11" i="4" s="1"/>
  <c r="E82" i="1"/>
  <c r="K16" i="4"/>
</calcChain>
</file>

<file path=xl/comments1.xml><?xml version="1.0" encoding="utf-8"?>
<comments xmlns="http://schemas.openxmlformats.org/spreadsheetml/2006/main">
  <authors>
    <author>L872164</author>
  </authors>
  <commentList>
    <comment ref="C18" authorId="0" shapeId="0">
      <text>
        <r>
          <rPr>
            <sz val="10"/>
            <color indexed="81"/>
            <rFont val="Cambria"/>
            <family val="3"/>
            <charset val="129"/>
            <scheme val="major"/>
          </rPr>
          <t>평점 : (심사 종합득점/종합배점)*100</t>
        </r>
      </text>
    </comment>
    <comment ref="H18" authorId="0" shapeId="0">
      <text>
        <r>
          <rPr>
            <sz val="10"/>
            <color indexed="81"/>
            <rFont val="Cambria"/>
            <family val="3"/>
            <charset val="129"/>
            <scheme val="major"/>
          </rPr>
          <t xml:space="preserve">A등급 : 90 ~ 100
B등급 : 80 ~ 89
C등급 : 70 ~ 79
D등급 : 60 ~ 69
E등급 : 59 이하 </t>
        </r>
      </text>
    </comment>
  </commentList>
</comments>
</file>

<file path=xl/sharedStrings.xml><?xml version="1.0" encoding="utf-8"?>
<sst xmlns="http://schemas.openxmlformats.org/spreadsheetml/2006/main" count="380" uniqueCount="294">
  <si>
    <t>QUALITY PROCESS AUDIT CHECK SHEET</t>
  </si>
  <si>
    <t>Code of Form/ Mã số biểu mẫu</t>
  </si>
  <si>
    <t>Effective Date/ Ngày hiệu lực</t>
  </si>
  <si>
    <r>
      <rPr>
        <sz val="20"/>
        <rFont val="Times New Roman"/>
        <family val="1"/>
      </rPr>
      <t xml:space="preserve"> </t>
    </r>
    <r>
      <rPr>
        <sz val="20"/>
        <rFont val="Wingdings"/>
        <charset val="2"/>
      </rPr>
      <t>o</t>
    </r>
    <r>
      <rPr>
        <sz val="14"/>
        <rFont val="Times New Roman"/>
        <family val="1"/>
      </rPr>
      <t xml:space="preserve">   </t>
    </r>
    <r>
      <rPr>
        <sz val="18"/>
        <rFont val="Times New Roman"/>
        <family val="1"/>
      </rPr>
      <t xml:space="preserve"> The first evaluation/ Đánh giá lần đầu</t>
    </r>
  </si>
  <si>
    <r>
      <rPr>
        <sz val="20"/>
        <rFont val="Times New Roman"/>
        <family val="1"/>
      </rPr>
      <t xml:space="preserve">     The re-evaluation/</t>
    </r>
    <r>
      <rPr>
        <sz val="14"/>
        <rFont val="Times New Roman"/>
        <family val="1"/>
      </rPr>
      <t xml:space="preserve">  </t>
    </r>
    <r>
      <rPr>
        <sz val="18"/>
        <rFont val="Times New Roman"/>
        <family val="1"/>
      </rPr>
      <t>Đánh giá lại</t>
    </r>
  </si>
  <si>
    <t>Page/ Tổng số trang</t>
  </si>
  <si>
    <t>8</t>
  </si>
  <si>
    <t>Vendor code/ Mã vendor (ERP)</t>
  </si>
  <si>
    <t>Name of vendor/ Tên nhà cung cấp</t>
  </si>
  <si>
    <t>Address/ Địa chỉ</t>
  </si>
  <si>
    <t>Product type provide/ Loại sản phẩm  cung cấp:</t>
  </si>
  <si>
    <r>
      <t xml:space="preserve">      </t>
    </r>
    <r>
      <rPr>
        <sz val="12"/>
        <rFont val="Times New Roman"/>
        <family val="1"/>
      </rPr>
      <t xml:space="preserve">Raw Material/ NVL chính
</t>
    </r>
    <r>
      <rPr>
        <sz val="16"/>
        <rFont val="Wingdings"/>
        <charset val="2"/>
      </rPr>
      <t>o</t>
    </r>
    <r>
      <rPr>
        <sz val="16"/>
        <rFont val="Times New Roman"/>
        <family val="1"/>
      </rPr>
      <t xml:space="preserve"> </t>
    </r>
    <r>
      <rPr>
        <sz val="7.2"/>
        <rFont val="Times New Roman"/>
        <family val="1"/>
      </rPr>
      <t xml:space="preserve">  </t>
    </r>
    <r>
      <rPr>
        <sz val="12"/>
        <rFont val="Times New Roman"/>
        <family val="1"/>
      </rPr>
      <t>Sub material/ Phụ liệu</t>
    </r>
  </si>
  <si>
    <r>
      <t xml:space="preserve">  </t>
    </r>
    <r>
      <rPr>
        <sz val="9.6"/>
        <rFont val="Times New Roman"/>
        <family val="1"/>
      </rPr>
      <t xml:space="preserve"> </t>
    </r>
    <r>
      <rPr>
        <sz val="12"/>
        <rFont val="Times New Roman"/>
        <family val="1"/>
      </rPr>
      <t>Outsourcing Material/ NVL từ nguồn gia công</t>
    </r>
  </si>
  <si>
    <t>P.I.C/ Người phụ trách</t>
  </si>
  <si>
    <t>Job title/ Chức vụ</t>
  </si>
  <si>
    <t>Department/ Phòng ban</t>
  </si>
  <si>
    <t>Email</t>
  </si>
  <si>
    <t>Phone No.</t>
  </si>
  <si>
    <t>CONTENT OF EVALUATION</t>
  </si>
  <si>
    <t>Section 1 - Warehouse for Materials</t>
  </si>
  <si>
    <t>Sub total (Score)</t>
  </si>
  <si>
    <t xml:space="preserve">Achievement rate </t>
  </si>
  <si>
    <t>Question
Number</t>
  </si>
  <si>
    <t>Element</t>
  </si>
  <si>
    <t xml:space="preserve"> Requirement</t>
  </si>
  <si>
    <t>VNM</t>
  </si>
  <si>
    <t>Rating Criteria</t>
  </si>
  <si>
    <t xml:space="preserve"> Score</t>
  </si>
  <si>
    <t xml:space="preserve">Result </t>
  </si>
  <si>
    <t>Comment</t>
  </si>
  <si>
    <t>Standard</t>
  </si>
  <si>
    <r>
      <t xml:space="preserve">Is the material storage standard established, and are the warehoused materials structuralized for first-in/first-out, and is there management tools? </t>
    </r>
    <r>
      <rPr>
        <sz val="12"/>
        <color rgb="FF0000FF"/>
        <rFont val="Times New Roman"/>
        <family val="1"/>
      </rPr>
      <t xml:space="preserve">
</t>
    </r>
    <r>
      <rPr>
        <sz val="12"/>
        <rFont val="Times New Roman"/>
        <family val="1"/>
      </rPr>
      <t xml:space="preserve">
</t>
    </r>
  </si>
  <si>
    <t>Tiêu chuẩn bảo quản vật liệu được thiết lập, có tiêu chuẩn first-in/first-out và có lịch sử quản lý không?</t>
  </si>
  <si>
    <t>Score 0: No standard for first-in/first-out, and materials in need of first-in/first-out are not managed.
Score 1 : There is no management standard for first-in/first-out, but first-in/first-out is available for materias in need of it, or only the first-in/first-out management standard is retained.
Score 2: There is first-in/first-out management standard, but required is partial improvement of the management object, or a state of management. 
Score 3 : The first-in/first-out management standard is established, and first-in, first-out process is in progress according to the management standard.</t>
  </si>
  <si>
    <t>Environment</t>
  </si>
  <si>
    <t xml:space="preserve">Is the environmental condition of the warehouse under measurement control regularly? (temperature/humidity)
 </t>
  </si>
  <si>
    <t>Môi trường bảo quản thành phẩm có được quản lý không( nhiệt độ, độ ẩm  )</t>
  </si>
  <si>
    <t xml:space="preserve">
Score 0 : The environmental condition is not defined, nor is the temperature/humidity managed. 
Score 1 : Although the environmental condition is not defiend, temperature/humdity is managed, or the environmental condition for materials storage is established.
Score 2 : The environmental condition is established, but a state of management needs to be improved.
Score 3 : The environmental condition is established, and it is managed according to the established standard. </t>
  </si>
  <si>
    <t>Layout</t>
  </si>
  <si>
    <t xml:space="preserve">Are the products classified by item in time of materials storage, and is there an identification mark for materials? 
 </t>
  </si>
  <si>
    <t>Các nguyên vật liệu  được phân loại theo mặt hàng trong thời gian lưu trữ , và có một dấu hiệu nhận dạng cho vật liệu không?</t>
  </si>
  <si>
    <t xml:space="preserve">
Score 0: There is no standard for identification of the stored materials, and it's difficult to identify the materials in storage.
Score 1 : Though there is no standard for identification of the materials in storage, the materials in storage are identified, or there is only the standard of identification management of the stored materials. 
Score 2: There is the identification standard of the materials in storage, but partial improvement is required. (difficulty in identifying some materials, etc.)
Score 3: There is the identification standard of the materials in storage, and materials are identified according to the standard. </t>
  </si>
  <si>
    <t>Section 2-  Tooling Development in House</t>
  </si>
  <si>
    <t>Question / Requirement</t>
  </si>
  <si>
    <t>Tooling Design Process</t>
  </si>
  <si>
    <r>
      <t xml:space="preserve">1.1 Is there a tooling design guideline defined?
1.2 Are the tooling design guideline followed in the actual tooling design activities?
1.3 Are the tooling designers trained on the guideline?
1.4 Are the lesson learns from previous tooling design history incorporated to the design guideline?
</t>
    </r>
    <r>
      <rPr>
        <i/>
        <sz val="12"/>
        <rFont val="Times New Roman"/>
        <family val="1"/>
      </rPr>
      <t>Notes: it is acceptable if supplier combine the tooling design guideline, tooling verification process and tooling change process in one document</t>
    </r>
  </si>
  <si>
    <r>
      <t xml:space="preserve">1.1 Có hướng dẫn thiết kế dụng cụ được xác định không?
1.2 Hướng dẫn thiết kế dụng cụ có tuân theo các hoạt động thiết kế dụng cụ thực tế không?
1.3 Các nhà thiết kế dụng cụ có được đào tạo theo hướng dẫn không?
1.4 Bài học rút ra từ lịch sử thiết kế dụng cụ trước đây có được kết hợp với hướng dẫn thiết kế không?
</t>
    </r>
    <r>
      <rPr>
        <i/>
        <sz val="12"/>
        <color rgb="FF0000FF"/>
        <rFont val="Times New Roman"/>
        <family val="1"/>
      </rPr>
      <t>Lưu ý: có thể chấp nhận được nếu nhà cung cấp kết hợp hướng dẫn thiết kế dụng cụ, quy trình xác minh dụng cụ và quy trình thay đổi công cụ trong một tài liệu</t>
    </r>
  </si>
  <si>
    <t>Score 0 - Do not meet requirement 1.1.
Score 1 - Meet requirement 1.1. But do not meet requirement 1.2 and/or 1.3.
Score 2 - Meet requirements 1.1, 1.2 and 1.3. But do not meet requirement 1.4.
Score 3 - Meet all requirements
N/A - If supplier do not develop the tooling in house.</t>
  </si>
  <si>
    <t>N/A</t>
  </si>
  <si>
    <t>DFM for Tooling</t>
  </si>
  <si>
    <t xml:space="preserve">2.1 Is there a DFM process for tooling design in place?
2.2 Is the DFM reviewed and approved by customer before tooling creating?
2.3 Does the DFM cover all the critical characteristics of product?
</t>
  </si>
  <si>
    <t>2.1 Có quy trình DFM để thiết kế dụng cụ không?
2.2 DFM có được khách hàng xem xét và phê duyệt trước khi tạo công cụ không?
2.3 DFM có bao gồm tất cả các đặc tính quan trọng của sản phẩm không?</t>
  </si>
  <si>
    <t>Score 0 - Do not meet requirement 2.1.
Score 1 - Meet requirement 2.1. But do not meet requirement 2.2.
Score 2 - Meet requirement 2.1 and 2.2. But do not meet requirement 2.3.
Score 3 - Meet all requirements.
N/A - If supplier do not develop the tooling in house.</t>
  </si>
  <si>
    <t>Part 3D Unfolding Analysis</t>
  </si>
  <si>
    <t>3.1 Is there a defined part 3D unfolding analysis process in place?
3.2 Do the actual part 3D unfolding analysis activities actually follow the defined process?</t>
  </si>
  <si>
    <t>3.1 Có một quy trình phân tích trải tấm 3D được xác định tại chỗ không?
3.2 Các hoạt động phân tích trải tấm 3D thực tế có thực sự tuân theo quy trình đã xác định không?</t>
  </si>
  <si>
    <t>Score 0 - Do not meet requirement 3.1.
Score 1 - Meet requirement 3.1. But find multiple cases do not meet requirement 3.2.
Score 2 - Meet requirement 3.1. But find isolated case do not meet requirement 3.2.
Score 3 - Meet all requirements.
N/A - If supplier do not develop the tooling in house.</t>
  </si>
  <si>
    <t>Part Layout Design</t>
  </si>
  <si>
    <t>4.1 Is there a defined part layout design process in place?
4.2 Do the actual part layout design activities actually follow the defined process?</t>
  </si>
  <si>
    <t>4.1 Có một quy trình thiết kế bố trí layout được xác định tại chỗ không?
4.2 Các hoạt động thiết kế bố trí layout thực tế có thực sự tuân theo quy trình xác định không?</t>
  </si>
  <si>
    <t>Score 0 - Do not meet requirement 4.1.
Score 1 - Meet requirement 4.1. But find multiple cases do not meet requirement 4.2.
Score 2 - Meet requirement 4.1. But find isolated case do not meet requirement 4.2.
Score 3 - Meet all requirements.
N/A - If supplier do not develop the tooling in house.</t>
  </si>
  <si>
    <t>Tooling Drawing Review</t>
  </si>
  <si>
    <t>5.1 Is there a tooling drawing review process in place?
5.2 Is the tooling drawing internally reviewed by authorized people?
5.3 If customer approval required, is the tooling drawing reviewed by customer?</t>
  </si>
  <si>
    <t>5.1 Có quy trình xem xét bản vẽ dụng cụ tại chỗ không?
5.2 Bản vẽ công cụ có được xem xét nội bộ bởi những người được ủy quyền không?
5.3 Nếu cần có sự chấp thuận của khách hàng, bản vẽ dụng cụ có được khách hàng xem xét không?</t>
  </si>
  <si>
    <t>Score 0 - Do not meet requirement 5.1.
Score 1 - Meet requirement 5.1. But do not meet requirement 5.2.
Score 2 - Meet requirements 5.1 and 5.2. But do not meet requirement 5.3.
Score 3 - Meet all requirements.
N/A - If supplier do not develop the tooling in house.</t>
  </si>
  <si>
    <t>Tooling Customized Parts Measurement</t>
  </si>
  <si>
    <r>
      <t xml:space="preserve">6.1 Are the tooling customized parts measured after manufacturing?
6.2 Are all customized tooling parts included? 
6.3 Are the measurement report traceable?
</t>
    </r>
    <r>
      <rPr>
        <i/>
        <sz val="12"/>
        <rFont val="Times New Roman"/>
        <family val="1"/>
      </rPr>
      <t xml:space="preserve">
Notes: It is not required for the off-the-shelf tooling parts, such as: pins, screws, standard punches, etc.</t>
    </r>
  </si>
  <si>
    <r>
      <t xml:space="preserve">6.1 Các bộ phận tùy chỉnh dụng cụ được đo sau khi sản xuất?
6.2 Có bao gồm tất cả các bộ phận dụng cụ tùy chỉnh?
6.3 Báo cáo đo lường có thể truy nguyên được không?
</t>
    </r>
    <r>
      <rPr>
        <i/>
        <sz val="12"/>
        <color rgb="FF0000FF"/>
        <rFont val="Times New Roman"/>
        <family val="1"/>
      </rPr>
      <t xml:space="preserve">
Lưu ý: Không bắt buộc đối với các bộ phận dụng cụ ngoài giá, chẳng hạn như: ghim, ốc vít, đục lỗ tiêu chuẩn, v.v.</t>
    </r>
  </si>
  <si>
    <t>Score 0 - Do not meet requirement 6.1.
Score 1 - Meet requirement 6.1. But do not meet requirement 6.2.
Score 2 - Meet requirement 6.1, and 6.2 But do not meet requirement 6.3.
Score 3 - Meet all requirements.
N/A - If supplier do not develop the tooling in house.</t>
  </si>
  <si>
    <t>Tooling Verification</t>
  </si>
  <si>
    <r>
      <t xml:space="preserve">7.1 Is there a tooling verification process in place?
7.2 Are the tooling verification actually implemented and the verification results meet the requirements before tooling release?
</t>
    </r>
    <r>
      <rPr>
        <i/>
        <sz val="12"/>
        <rFont val="Times New Roman"/>
        <family val="1"/>
      </rPr>
      <t>Remark: 
a). Tooling verification requirements may include but not limited to: trial run test, FAIR, Cpk, product appearance review, etc. Depends on customer requirements and internal requirements.
b). 1 tooling count as 1 case.</t>
    </r>
  </si>
  <si>
    <r>
      <t xml:space="preserve">7.1 Có quy trình xác minh dụng cụ tại chỗ không?
7.2 Việc xác minh dụng cụ có thực sự được thực hiện không và kết quả xác minh có đáp ứng các yêu cầu trước khi phát hành công cụ không?
</t>
    </r>
    <r>
      <rPr>
        <i/>
        <sz val="12"/>
        <color rgb="FF0000FF"/>
        <rFont val="Times New Roman"/>
        <family val="1"/>
      </rPr>
      <t xml:space="preserve">
Ghi chú:
a). Các yêu cầu xác minh dụng cụ có thể bao gồm nhưng không giới hạn ở: thử nghiệm chạy thử, FAIR, Cpk, đánh giá ngoại hình sản phẩm, vv Tùy thuộc vào yêu cầu của khách hàng và yêu cầu nội bộ.
b). 1 dụng cụ được tính là 1 trường hợp.</t>
    </r>
  </si>
  <si>
    <t>Score 0 - Do not meet requirement 7.1.
Score 1 - Meet requirement 7.1. But find multiple cases do not meet requirement 7.2.
Score 2 - Meet requirement 7.1. But find isolated case do not meet requirement 7.2.
Score 3 - Meet all requirements.
N/A - If supplier do not develop the tooling in house.</t>
  </si>
  <si>
    <t>Section 3- Tooling Development Outsourcing</t>
  </si>
  <si>
    <t>Requirements Communicate to Tooling Sub-Supplier</t>
  </si>
  <si>
    <r>
      <t xml:space="preserve">1.1 Is there a process of communicating the requirements to tooling sub-suppliers in place?
1.2 Are all critical requirements communicated to tooling sub-supplier?
</t>
    </r>
    <r>
      <rPr>
        <i/>
        <sz val="12"/>
        <rFont val="Times New Roman"/>
        <family val="1"/>
      </rPr>
      <t>Notes: Critical requirements may include but not limited to: product drawing, product cosmetic requirements, tooling type (single station or progressive tooling), tonnage of each stamping station, tooling life, delivery schedule, tooling verification requirements, etc.</t>
    </r>
  </si>
  <si>
    <r>
      <t xml:space="preserve">1.1 Có một quy trình truyền đạt các yêu cầu cho các nhà cung cấp phụ tại chỗ không?
1.2 Có phải tất cả các yêu cầu quan trọng được truyền đạt tới nhà cung cấp phụ dụng cụ?
</t>
    </r>
    <r>
      <rPr>
        <i/>
        <sz val="12"/>
        <color rgb="FF0000FF"/>
        <rFont val="Times New Roman"/>
        <family val="1"/>
      </rPr>
      <t xml:space="preserve">
Lưu ý: Các yêu cầu quan trọng có thể bao gồm nhưng không giới hạn ở: bản vẽ sản phẩm, yêu cầu ngoại quan của sản phẩm, loại dụng cụ (trạm đơn hoặc dụng cụ tiến bộ), trọng tải của từng trạm dập, tuổi thọ dụng cụ, lịch giao hàng, yêu cầu xác minh dụng cụ, v.v.</t>
    </r>
  </si>
  <si>
    <t>Score 0 - Do not meet requirement 1.1.
Score 1 - Meet requirement 1.1. But multiple cases do not meet requirement 1.2.
Score 2 - Meet requirement 1.1. But isolated case do not meet requirement 1.2.
Score 3 - Meet all requirements
N/A - If supplier do not develop the tooling outsourcing.</t>
  </si>
  <si>
    <t>DFM Review</t>
  </si>
  <si>
    <t>2.1 Is there a process to review the tooling DFM from tooling sub-supplier?
2.2 Are the tooling DFMs actually reviewed and approved by supplier (who purchase the tooling and use it for production)?
2.3 Are the tooling DFMs submitted to and approved by customer?
2.4 Does the DFM cover all the critical characteristics of product?</t>
  </si>
  <si>
    <t>2.1 Có quy trình để xem xét DFM dụng cụ từ nhà cung cấp phụ dụng cụ không?
2.2 Các DFM dụng cụ có thực sự được xem xét và phê duyệt bởi nhà cung cấp (những người mua dụng cụ này và sử dụng nó cho sản xuất)?
2.3 Các DFM dụng cụ có được đệ trình và phê duyệt bởi khách hàng không?
2.4 DFM có bao gồm tất cả các đặc tính quan trọng của sản phẩm không?</t>
  </si>
  <si>
    <t>Score 0 - Do not meet requirement 2.1.
Score 1 - Meet requirement 2.1. But do not meet requirement 2.2 and/or 2.3.
Score 2 - Meet requirements 2.1, 2.2 and 2.3. But do not meet requirement 2.4.
Score 3 - Meet all requirements
N/A - If supplier do not develop the tooling outsourcing.</t>
  </si>
  <si>
    <r>
      <t xml:space="preserve">6.1 Are the tooling customized parts measurement report reviewed?
6.2 Are all customized tooling parts included? 
6.3 Are the measurement report well maintained?
</t>
    </r>
    <r>
      <rPr>
        <i/>
        <sz val="12"/>
        <rFont val="Times New Roman"/>
        <family val="1"/>
      </rPr>
      <t xml:space="preserve">
Notes: It is not required for the off-the-shelf tooling parts, such as: pins, screws, standard punches, etc.</t>
    </r>
  </si>
  <si>
    <r>
      <t xml:space="preserve">6.1 Báo cáo đo lường các bộ phận tùy chỉnh dụng cụ có được xem xét không?
6.2 Có bao gồm tất cả các bộ phận dụng cụ tùy chỉnh?
6.3 Báo cáo đo có được duy trì tốt không?
</t>
    </r>
    <r>
      <rPr>
        <i/>
        <sz val="12"/>
        <color rgb="FF0000FF"/>
        <rFont val="Times New Roman"/>
        <family val="1"/>
      </rPr>
      <t>Lưu ý: Không bắt buộc đối với các bộ phận dụng cụ ngoài giá, chẳng hạn như: ghim, ốc vít, đục lỗ tiêu chuẩn, v.v.</t>
    </r>
  </si>
  <si>
    <t>Score 0 - Do not meet requirement 6.1.
Score 1 - Meet requirement 6.1. But do not meet requirement 6.2.
Score 2 - Meet requirement 6.1 and 6.2. But do not meet requirement 6.3.
Score 3 - Meet all requirements.
N/A - If supplier do not develop the tooling in house.</t>
  </si>
  <si>
    <r>
      <t xml:space="preserve">4.1 Is there a process to verify the tooling before deliver the tooling from sub tooling supplier to production?
4.2 Are the tooling verification actually implemented and the verification results meet the requirements before tooling release?
</t>
    </r>
    <r>
      <rPr>
        <i/>
        <sz val="12"/>
        <rFont val="Times New Roman"/>
        <family val="1"/>
      </rPr>
      <t>Remark: 
a). Tooling verification requirements may include but not limited to: trial run test, FAIR, Cpk, product appearance review, etc. Depends on customer requirements and internal requirements.
b). 1 tooling count as 1 case.</t>
    </r>
  </si>
  <si>
    <r>
      <t xml:space="preserve">4.1 Có quy trình xác minh dụng cụ trước khi chuyển dụng cụ từ nhà cung cấp dụng cụ phụ sang sản xuất không?
4.2 Việc xác minh dụng cụ có thực sự được thực hiện và kết quả xác minh có đáp ứng các yêu cầu trước khi phát hành công cụ không?
</t>
    </r>
    <r>
      <rPr>
        <i/>
        <sz val="12"/>
        <color rgb="FF0000FF"/>
        <rFont val="Times New Roman"/>
        <family val="1"/>
      </rPr>
      <t xml:space="preserve">
Ghi chú:
a). Các yêu cầu xác minh dụng cụ có thể bao gồm nhưng không giới hạn ở: thử nghiệm chạy thử, FAIR, Cpk, đánh giá ngoại hình sản phẩm, vv Tùy thuộc vào yêu cầu của khách hàng và yêu cầu nội bộ.
b). 1 dụng cụ được tính là 1 trường hợp.</t>
    </r>
  </si>
  <si>
    <t>Score 0 - Do not meet requirement 4.1.
Score 1 - Meet requirement 4.1. But find multiple cases do not meet requirement 4.2.
Score 2 - Meet requirement 4.1. But find isolated case do not meet requirement 4.2.
Score 3 - Meet all requirements.
N/A - If supplier do not develop the tooling outsourcing.</t>
  </si>
  <si>
    <t>Section 4- Tooling Management</t>
  </si>
  <si>
    <t>Tooling Release to Production</t>
  </si>
  <si>
    <r>
      <t xml:space="preserve">1.1 Is there a tooling release process in place?
1.2 Have all the tooling release requirements been met before the tooling release to production?
1.3 Is the tooling release document signed by authorized people before release to production?
1.4 Are the necessary tooling development records transferred to and maintained by tooling maintenance department.
</t>
    </r>
    <r>
      <rPr>
        <i/>
        <sz val="12"/>
        <rFont val="Times New Roman"/>
        <family val="1"/>
      </rPr>
      <t xml:space="preserve">
Notes: 
a). Tooling release requirements may include but not limited to: DFM has been approved by customer, tooling drawing has been approved, tooling verification result meet all requirements, etc.
b). Tooling development records may include but not limited to: tooling drawing, tooling verification reports, tooling EC records in development stage, samples, etc.</t>
    </r>
  </si>
  <si>
    <r>
      <t xml:space="preserve">1.1 Có quy trình phát hành dụng cụ tại chỗ không?
1.2 Tất cả các yêu cầu phát hành dụng cụ đã được đáp ứng trước khi phát hành dụng cụ vào sản xuất chưa?
1.3 Tài liệu phát hành dụng cụ có chữ ký của người được ủy quyền trước khi phát hành vào sản xuất không?
1.4 Các hồ sơ phát triển dụng cụ cần thiết được chuyển đến và duy trì bởi bộ phận bảo trì dụng cụ.
</t>
    </r>
    <r>
      <rPr>
        <i/>
        <sz val="12"/>
        <color rgb="FF0000FF"/>
        <rFont val="Times New Roman"/>
        <family val="1"/>
      </rPr>
      <t>Ghi chú:
a). Yêu cầu phát hành dụng cụ có thể bao gồm nhưng không giới hạn ở: DFM đã được khách hàng chấp thuận, bản vẽ dụng cụ đã được phê duyệt, kết quả xác minh dụng cụ đáp ứng tất cả các yêu cầu, v.v.
b). Các hồ sơ phát triển công cụ có thể bao gồm nhưng không giới hạn ở: bản vẽ dụng cụ, báo cáo xác minh dụng cụ, công cụ hồ sơ EC trong giai đoạn phát triển, mẫu, v.v.</t>
    </r>
  </si>
  <si>
    <t>Score 0 - Do not meet requirement 1.1.
Score 1 - Meet requirement 1.1. But do not meet requirement 1.2 and/or 1.3.
Score 2 - Meet requirements 1.1, 1.2 and 1.3. But do not meet requirement 1.4.
Score 3 - Meet all requirements.</t>
  </si>
  <si>
    <t>Tooling Storage</t>
  </si>
  <si>
    <t xml:space="preserve">2.1 Is there specified space to store the tooling?
2.2 Is there storage method proper to protect the tooling from damage and rusting?
2.3 Is the space sufficient to store all the tooling?
</t>
  </si>
  <si>
    <t>2.1 Có không gian cụ thể để lưu trữ dụng cụ không?
2.2 Có phương pháp lưu trữ thích hợp để bảo vệ dụng cụ khỏi bị hư hỏng và rỉ sét không?
2.3 Không gian có đủ để lưu trữ tất cả các dụng cụ không?</t>
  </si>
  <si>
    <t>Score 0 - Do not meet requirement 2.1
Score 1 - Meet requirement 2.1. But do not meet requirement 2.2.
Score 2 - Meet requirement 2.1 and 2.2. But do not meet requirement 2.3.
Score 3 - Meet all requirements.</t>
  </si>
  <si>
    <t>Tooling Identification</t>
  </si>
  <si>
    <r>
      <t xml:space="preserve">3.1 Is there a tooling identification process in place?
3.2 Is the tooling identification information sufficient to avoid tooling mixture?
3.3 Is the tooling identification information easy to read?
</t>
    </r>
    <r>
      <rPr>
        <i/>
        <sz val="12"/>
        <rFont val="Times New Roman"/>
        <family val="1"/>
      </rPr>
      <t>Notes: Tooling identification information may include but not limited to: tooling number, part number, revision, customer, etc.</t>
    </r>
  </si>
  <si>
    <r>
      <t xml:space="preserve">3.1 Có quy trình nhận dạng dụng cụ tại chỗ không?
3.2 Thông tin nhận dạng dụng cụ có đủ để tránh hỗn hợp dụng cụ không?
3.3 Thông tin nhận dạng dụng cụ có dễ đọc không?
</t>
    </r>
    <r>
      <rPr>
        <i/>
        <sz val="12"/>
        <color rgb="FF0000FF"/>
        <rFont val="Times New Roman"/>
        <family val="1"/>
      </rPr>
      <t xml:space="preserve">
Lưu ý: Thông tin nhận dạng dụng cụ có thể bao gồm nhưng không giới hạn ở: số dụng cụ, số bộ phận, sửa đổi, khách hàng, v.v.</t>
    </r>
  </si>
  <si>
    <t>Score 0 - Do not meet requirement 3.1.
Score 1 - Meet requirement 3.1. But do not meet requirement 3.2.
Score 2 - Meet requirement 3.1 and 3.2. But do not meet requirement 3.3.
Score 3 - Meet all requirements.</t>
  </si>
  <si>
    <t>Tooling Preventive Maintenance</t>
  </si>
  <si>
    <t>4.1 Are there tooling preventive maintenance schedule and tooling maintenance checklist in place?
4.2 Are all maintenance items defined in tooling maintenance checklist actually executed?
4.3 Are all tooling maintenance activities executed on time?</t>
  </si>
  <si>
    <t>4.1 Có lịch trình bảo trì phòng ngừa dụng cụ và danh sách kiểm tra bảo trì dụng cụ tại chỗ không?
4.2 Tất cả các mục bảo trì được xác định trong danh sách kiểm tra bảo trì dụng cụ có thực sự được thực hiện không?
4.3 Có phải tất cả các hoạt động bảo trì dụng cụ được thực hiện đúng thời gian?</t>
  </si>
  <si>
    <t>Score 0 - Do not meet requirement 4.1.
Score 1 - Meet requirement 4.1. But do not meet requirement 4.2.
Score 2 - Meet requirement 4.1 and 4.2. But do not meet requirement 4.3.
Score 3 - Meet all requirements.</t>
  </si>
  <si>
    <t>Tooling Life Control</t>
  </si>
  <si>
    <r>
      <t xml:space="preserve">5.1 Is there a tooling life control process in place?
5.2 Are the design tooling life defined for all types of tooling?
5.3 Are the utilized life tracked for all tooling?
5.4 Are proper actions taken if tooling's utilizing life reach the design tooling life (i.e. build a replacement tooling and re-verify it, or get customer's approval to extending the tooling life)?
</t>
    </r>
    <r>
      <rPr>
        <i/>
        <sz val="12"/>
        <rFont val="Times New Roman"/>
        <family val="1"/>
      </rPr>
      <t>Remark: 
Design tooling life = total utilizing times/cycles tooling can execute before tooling scrape.
Utilized life = how many utilizing times/cycles tooling has actually executed.</t>
    </r>
  </si>
  <si>
    <r>
      <t xml:space="preserve">5.1 Có quy trình kiểm soát tuổi thọ dụng cụ tại chỗ không?
5.2 Tuổi thọ dụng cụ thiết kế có được xác định cho tất cả các loại dụng cụ không?
5.3 Tuổi thọ sử dụng của dụng cụ có được theo dõi cho tất cả các dụng cụ không?
5.4 Các hành động phù hợp có được thực hiện nếu tuổi thọ sử dụng của dụng cụ đạt đến tuổi thọ của dụng cụ thiết kế (nghĩa là xây dựng một công cụ thay thế và xác minh lại hoặc chấp thuận của khách hàng để kéo dài tuổi thọ dụng cụ)?
</t>
    </r>
    <r>
      <rPr>
        <i/>
        <sz val="12"/>
        <color rgb="FF0000FF"/>
        <rFont val="Times New Roman"/>
        <family val="1"/>
      </rPr>
      <t xml:space="preserve">
Ghi chú:
Tuổi thọ dụng cụ thiết kế = tổng thời gian sử dụng / chu kỳ công cụ có thể thực hiện trước khi cạo dụng cụ.Cuộc sống được sử dụng = bao nhiêu lần sử dụng công cụ / chu kỳ thực sự đã thực hiện.</t>
    </r>
  </si>
  <si>
    <t>Score 0 - Do not meet requirement 5.1.
Score 1 - Meet requirement 5.1. But do not meet requirement 5.2 and/or 5.3.
Score 2 - Meet requirements 5.1, 5.2 and 5.3. But do not meet requirement 5.4.
Score 3 - Meet all requirements.</t>
  </si>
  <si>
    <t>Tooling Spare Parts Control</t>
  </si>
  <si>
    <r>
      <t xml:space="preserve">6.1 Is there a tooling spare parts control process in place?
6.2 Are the minimum inventory set up for all necessary tooling spare parts?
6.3 Are the tooling spare parts' actual inventory monitored?
6.4 Have proper actions been taken when the tooling spare parts' actual inventory≤ minimum inventory.
</t>
    </r>
    <r>
      <rPr>
        <i/>
        <sz val="12"/>
        <rFont val="Times New Roman"/>
        <family val="1"/>
      </rPr>
      <t>Notes: necessary tooling spare parts may include but not limited to: punches, die inserts, ejectors, pins, springs, screws, etc.</t>
    </r>
  </si>
  <si>
    <r>
      <t xml:space="preserve">6.1 Có quy trình kiểm soát phụ tùng thay thế tại chỗ không?
6.2 Hàng tồn kho tối thiểu có được thiết lập cho tất cả các phụ tùng dụng cụ cần thiết không?
6.3 Hàng tồn kho phụ tùng dụng cụ có được theo dõi không?
6.4 Có hành động thích hợp được thực hiện khi hàng tồn kho tối thiểu của phụ tùng thay thế
</t>
    </r>
    <r>
      <rPr>
        <i/>
        <sz val="12"/>
        <color rgb="FF0000FF"/>
        <rFont val="Times New Roman"/>
        <family val="1"/>
      </rPr>
      <t>Lưu ý: phụ tùng dụng cụ cần thiết có thể bao gồm nhưng không giới hạn ở: đục lỗ, chèn chết, đầu phun, ghim, lò xo, ốc vít, v.v.</t>
    </r>
  </si>
  <si>
    <t>Score 0 - Do not meet requirement 6.1.
Score 1 - Meet requirement 6.1. But do not meet requirement 6.2 and/or 6.3.
Score 2 - Meet requirement 6.1, 6.2 and 6.3. But do not meet requirement 6.4.
Score 3 - Meet all requirements.</t>
  </si>
  <si>
    <t>Tooling Change Management</t>
  </si>
  <si>
    <t>7.1 Is there a tooling change management process defined?
7.2 Is the process followed in the actual tooling change activities?
7.3 Is tooling re-verification implemented after tooling change?
7.4 Is the tooling change information communicated to all related departments (i.e. tooling maintenance, production, engineering, quality, etc.)</t>
  </si>
  <si>
    <t>7.1 Có quy trình quản lý thay đổi công cụ được xác định không?
7.2 Quá trình có tuân theo các hoạt động thay đổi dụng cụ thực tế không?
7.3 Xác minh lại công cụ có được thực hiện sau khi thay đổi công cụ không?
7.4 Thông tin thay đổi dụng cụ có được truyền đạt tới tất cả các bộ phận liên quan không (ví dụ: bảo trì dụng cụ, sản xuất, kỹ thuật, chất lượng, v.v.)</t>
  </si>
  <si>
    <t>Score 0 - Do not meet requirement 7.1.
Score 1 - Meet requirement 7.1. But do not meet requirement 7.2 and/or 7.3.
Score 2 - Meet requirement 7.1, 7.2 and 7.3. But do not meet requirement 7.4.
Score 3 - Meet all requirements.</t>
  </si>
  <si>
    <t>Section 5- Metal Stamping</t>
  </si>
  <si>
    <t>Key Process Parameters Control</t>
  </si>
  <si>
    <r>
      <t>Are below key process parameters controlled in stamping process?
- S</t>
    </r>
    <r>
      <rPr>
        <i/>
        <sz val="12"/>
        <rFont val="Times New Roman"/>
        <family val="1"/>
      </rPr>
      <t>tamping machine tonnage
- Shut height
- Speed (Revolution Per Minute)
- Feeding distance(applicable for progressive stamping), etc.</t>
    </r>
  </si>
  <si>
    <r>
      <t xml:space="preserve">Các thông số công đoạn trọng điểm dưới đây có được kiểm soát trong quá trình dập?
</t>
    </r>
    <r>
      <rPr>
        <i/>
        <sz val="12"/>
        <color rgb="FF0000FF"/>
        <rFont val="Times New Roman"/>
        <family val="1"/>
      </rPr>
      <t>- Trọng tải máy dập
- Chiều cao đóng
- Tốc độ (Cách mạng mỗi phút)
- Khoảng cách cho ăn (áp dụng cho dập liên tục), v.v.</t>
    </r>
  </si>
  <si>
    <t>Score 0 - No any of the listed key process parameter is controlled.
Score 1 - Some listed key process parameters are controlled, but missed any 2~3 of the listed key parameters.
Score 2 - Some listed key process parameters are controlled, but missed any 1 of the listed key parameters.
Score 3 - All the listed key process parameters are controlled.</t>
  </si>
  <si>
    <t>Scratch Preventive</t>
  </si>
  <si>
    <t>Are proper actions taken to prevent the material / product from scratch? 
For example:
a) No sharp edges on the unfolding machine, leveling machine, feeding machine, stamping machine, tooling, etc.
b). Protective film laminated to the scratch sensitive materials (i.e. mirror surface material, Aluminum material, Copper material, etc.)
c). Proper part collection method utilized.</t>
  </si>
  <si>
    <t>Có hành động phù hợp để ngăn ngừa lỗi trầy xước của nguyên vật liệu/sản phẩm không?
Ví dụ:
a) Không có cạnh sắc trên máy mở, máy san phẳng, máy cho ăn, máy dập, dụng cụ, v.v.
b). Màng bảo vệ được dán vào các vật liệu nhạy cảm với vết xước (ví dụ: vật liệu bề mặt gương, Vật liệu nhôm, Vật liệu đồng, v.v.)c). Phương pháp thu thập phần thích hợp sử dụng.</t>
  </si>
  <si>
    <t>Score 0 - No any action is taken to prevent the material / product from scratch.
Score 1 - Some actions are taken, but multiple scratch risky cases be found.
Score 2 - Some actions are taken, but isolated scratch risky cases be found.
Score 3 - Proper actions are taken, and no visible risk to cause material / product scratch be found.</t>
  </si>
  <si>
    <t>Stamping Chips Minimize</t>
  </si>
  <si>
    <r>
      <t xml:space="preserve">3.1 Is there any action taken to minimize stamping chips on tooling?
3.2 Does the action work effectively?
3.3 If manual method used, is the method defined in process document and followed by operator?
</t>
    </r>
    <r>
      <rPr>
        <i/>
        <sz val="12"/>
        <rFont val="Times New Roman"/>
        <family val="1"/>
      </rPr>
      <t>Notes: The stamping chips minimizing methods may include but not limited to: clean the tooling by fixed air blowing device, clean the tooling by air blowing device manually at a fixed frequency, wipe the tooling by duster cloth at a fixed frequency, etc.</t>
    </r>
  </si>
  <si>
    <r>
      <t xml:space="preserve">3.1 Có hành động nào được thực hiện để giảm thiểu lỗi dập mẻ trên dụng cụ không?
3.2 Hành động có hiệu quả không?
3.3 Nếu phương pháp thủ công được sử dụng, phương thức được xác định trong tài liệu quy trình và được theo dõi bởi công nhân thao tác?
</t>
    </r>
    <r>
      <rPr>
        <i/>
        <sz val="12"/>
        <color rgb="FF0000FF"/>
        <rFont val="Times New Roman"/>
        <family val="1"/>
      </rPr>
      <t>Lưu ý: Các phương pháp giảm thiểu lỗi dập mẻ có thể bao gồm nhưng không giới hạn ở: làm sạch dụng cụ bằng thiết bị thổi khí cố định, làm sạch dụng cụ bằng thiết bị thổi khí bằng tay ở tần số cố định, lau dụng cụ bằng vải lau ở tần số cố định, v.v.</t>
    </r>
  </si>
  <si>
    <t>Error Proof for Part Loading</t>
  </si>
  <si>
    <r>
      <t xml:space="preserve">If applicable, are there error proof features (poka-yoke) implemented to prevent operator loading parts to tooling or fixture in wrong orientation?
</t>
    </r>
    <r>
      <rPr>
        <i/>
        <sz val="12"/>
        <rFont val="Times New Roman"/>
        <family val="1"/>
      </rPr>
      <t>Note: part loading error-proof is required if it is a single-station stamping, and the material / semi-finish parts for stamping are not symmetric.</t>
    </r>
  </si>
  <si>
    <r>
      <t xml:space="preserve">Nếu có thể, có các tính năng chống lỗi (poka-yoke) được triển khai để ngăn người vận hành tải các bộ phận vào dụng cụ hoặc đồ gá sai hướng không?
</t>
    </r>
    <r>
      <rPr>
        <i/>
        <sz val="12"/>
        <color rgb="FF0000FF"/>
        <rFont val="Times New Roman"/>
        <family val="1"/>
      </rPr>
      <t xml:space="preserve">
Lưu ý: yêu cầu chống lỗi tải một phần nếu đó là dập đơn trạm và các phần vật liệu / bán thành phẩm để dập không đối xứng.</t>
    </r>
  </si>
  <si>
    <t>Score 0 - No error-proof features implemented for any applicable case.
Score 1 - Error-proof features implemented for some cases, but missed for multiple other cases.
Score 2 - Error-proof features implemented for some cases, but missed for isolated other cases.
Score 3 - Error-proof features implemented to all applicable cases.
N/A - If no single-station stamping is used, or the material / semi-finish parts for stamping are symmetric.</t>
  </si>
  <si>
    <t>Screw Tapping</t>
  </si>
  <si>
    <t>5.1 Is there any control implemented as below requirements?
5.2 Is the screw tap verified before utilize to mass production?
5.3 Is the screw tap well stored to prevent from damage?
5.4 Is the screw tested by screw gauge after tapping?
5.5 Is the screw tap life controlled?
5.6 Is the lubrication oil for screw tapping controlled? (i.e. lubrication oil be manually added at a fixed frequency, or lubrication oil be automatically fed in a controlled flow)
5.7 Is the minimum stock of screw tap controlled?</t>
  </si>
  <si>
    <t>5.1 Có kiểm soát nào được thực hiện theo yêu cầu dưới đây không?
5.2 Vòi vít có được xác minh trước khi sử dụng để sản xuất hàng loạt không?
5.3 Vòi vít có được lưu trữ tốt để tránh bị hư không?
5.4 Vít có được kiểm tra bằng máy đo vít sau khi gõ không?
5.5 Tuổi thọ của ốc vít có được kiểm soát không?
5.6 Dầu bôi trơn để khai thác vít có được kiểm soát không? (tức là dầu bôi trơn được thêm thủ công ở tần số cố định hoặc dầu bôi trơn được tự động nạp vào dòng chảy có kiểm soát)
5.7 Dự trữ tối thiểu của vòi vít có được kiểm soát không?</t>
  </si>
  <si>
    <t>Score 0 - Do not meet requirement 5.1.
Score 1 - Meet requirement 5.1. But do not meet requirement 5.2 and/or 5.3 and/or 5.4 and/or 5.5.
Score 2 - Meet requirements 5.1, 5.2, 5.3, 5.4 and 5.5. But do not meet requirement 5.6 and/or 5.7.
Score 3 - Meet all the requirements.
N/A - If supplier does not have the screw tapping process</t>
  </si>
  <si>
    <t>Riveting</t>
  </si>
  <si>
    <t>6.1 Is there any control implemented as below requirements?
6.2 Is the shut height of the riveting machine controlled?
6.3 Is the riveting strength (i.e. torque, anti-pull strength, anti-push strength, etc.) tested for each batch's first piece part and regularly sampling checked during consecutive production?
6.4 If the riveting is applied to screw nut, is the screw inspected by screw gauge after riveting?
6.5 Is the riveting punch/die regularly maintained?</t>
  </si>
  <si>
    <t>6.1 Có kiểm soát nào được thực hiện theo yêu cầu dưới đây không?
6.2 Chiều cao đóng của máy tán đinh có được kiểm soát không?
6.3 Có phải kiểm tra cường độ tán đinh (tức là mô-men xoắn, cường độ chống kéo, cường độ chống đẩy, v.v.) cho từng phần đầu tiên của từng lô và kiểm tra lấy mẫu thường xuyên trong quá trình sản xuất liên tiếp không?
6.4 Nếu tán đinh được áp dụng cho đai ốc vít, vít có được kiểm tra bằng thước đo vít sau khi tán đinh không?
6.5 Khuôn/chày riveting có được bảo dưỡng định kỳ không?</t>
  </si>
  <si>
    <t>Score 0 - Do not meet requirement 6.1.
Score 1 - Meet requirement 6.1. But do not meet requirement 6.2 and/or 6.3 and/or 6.4.
Score 2 - Meet requirements 6.1, 6.2, 6.3 and 6.4. But do not meet requirement 6.5.
Score 3 - Meet all the requirements.
N/A - If supplier does not have the riveting process</t>
  </si>
  <si>
    <t>Spot welding</t>
  </si>
  <si>
    <t>7.1 Is there any control implemented as below requirements?
7.2 Is the welding electronic current controlled?
7.3 Is the welding strength tested for each batch's first piece part and regularly sampling checked during consecutive production?
7.4 Are the welding slags removed after welding?
7.5 Is the welding electrode regularly maintained?</t>
  </si>
  <si>
    <t>7.1 Có kiểm soát nào được thực hiện theo yêu cầu dưới đây không?
7.2 Dòng điện hàn có được kiểm soát không?
7.3 Độ bền hàn có được kiểm tra cho phần đầu tiên của từng lô và thường xuyên kiểm tra lấy mẫu trong quá trình sản xuất liên tiếp không?
7.4 Các xỉ hàn được loại bỏ sau khi hàn?
7.5 Điện cực hàn có được duy trì thường xuyên không?</t>
  </si>
  <si>
    <t>Score 0 - Do not meet requirement 7.1
Score 1 - Meet requirement 7.1. But do not meet requirement 7.2 and/or 7.3 and/or 7.4.
Score 2 - Meet requirement 7.1, 7.2, 7.3 and 7.4. But do not meet requirement 7.5.
Score 3 - Meet all the requirements.
N/A - If supplier does not have spot welding process</t>
  </si>
  <si>
    <t>Quality Inspection for Material</t>
  </si>
  <si>
    <r>
      <t xml:space="preserve">Are below critical quality control points of material inspected in incoming? </t>
    </r>
    <r>
      <rPr>
        <i/>
        <sz val="12"/>
        <rFont val="Times New Roman"/>
        <family val="1"/>
      </rPr>
      <t xml:space="preserve">
- Dimension: thickness width, straightness, diagonal, etc.
- Cosmetic: scratch, deformation, rust, etc.
- Mechanical property: tensile strength, yield strength, hardness, etc.
  If no mechanical property testing equipment in-house, checking the mechanical property testing report from material vendor and maintain the record is also acceptable.</t>
    </r>
  </si>
  <si>
    <r>
      <t xml:space="preserve">Các điểm kiểm soát chất lượng quan trọng dưới đây của nguyên vật liệu có được đánh giá khi nhận về?
</t>
    </r>
    <r>
      <rPr>
        <i/>
        <sz val="12"/>
        <color rgb="FF0000FF"/>
        <rFont val="Times New Roman"/>
        <family val="1"/>
      </rPr>
      <t>- Kích thước: chiều rộng chiều dày, độ thẳng, đường chéo, vv
- Mỹ phẩm: trầy xước, biến dạng, rỉ sét, v.v.
- Tính chất cơ học: độ bền kéo, cường độ năng suất, độ cứng, v.v.   
Nếu không có thiết bị kiểm tra tài sản cơ khí trong nhà, việc kiểm tra báo cáo thử nghiệm thuộc tính cơ học từ nhà cung cấp vật liệu và duy trì hồ sơ cũng được chấp nhận.</t>
    </r>
  </si>
  <si>
    <t>Score 0 - No any of the listed critical control point is inspected in incoming.
Score 1 - Some critical control points are inspected, but missed any 2 of the listed critical control points.
Score 2 - Some critical control points are inspected, but missed any 1 of the listed critical control points.
Score 3 - All the listed critical control points are inspected in incoming.</t>
  </si>
  <si>
    <t>Quality Inspection for Product</t>
  </si>
  <si>
    <r>
      <t xml:space="preserve">Are below critical quality control points of product inspected after stamping? </t>
    </r>
    <r>
      <rPr>
        <i/>
        <sz val="12"/>
        <rFont val="Times New Roman"/>
        <family val="1"/>
      </rPr>
      <t xml:space="preserve">
- Product structure: no missing any punch, cutting or feature forming.
- Cosmetic: no burr, scratch, dent, crack, deformation, etc.
- Dimension check.
- Fit&amp;fix check.</t>
    </r>
  </si>
  <si>
    <r>
      <t xml:space="preserve">Các điểm kiểm soát chất lượng quan trọng dưới đây có được đánh giá sau khi dập?
</t>
    </r>
    <r>
      <rPr>
        <i/>
        <sz val="12"/>
        <color rgb="FF0000FF"/>
        <rFont val="Times New Roman"/>
        <family val="1"/>
      </rPr>
      <t>- Cấu trúc sản phẩm: không thiếu bất kỳ cú đấm, cắt hoặc hình thành tính năng.
- Mỹ phẩm: không có vết, vết xước, vết lõm, vết nứt, biến dạng, v.v.
- Kiểm tra kích thước.
- Kiểm tra vừa vặn và sửa chữa.</t>
    </r>
  </si>
  <si>
    <t>Score 0 - No any of the listed critical control point is inspected after stamping.
Score 1 - Some critical control points are inspected, but missed any 2~3 of the listed critical control points.
Score 2 - Some critical control points are inspected, but missed any 1 of the listed critical control points.
Score 3 - All the listed critical control points are inspected after stamping.</t>
  </si>
  <si>
    <t>Waste Control</t>
  </si>
  <si>
    <t>Are proper waste collection method implemented for all stamping stations to avoid it cause safety issue or 5S issue?</t>
  </si>
  <si>
    <t>Phương pháp thu gom chất thải thích hợp có được thực hiện cho tất cả các máy dập để tránh gây ra vấn đề an toàn hoặc vấn đề 5S?</t>
  </si>
  <si>
    <t>Score 0 - No stamping waste collection method implemented.
Score 1 - Proper stamping waste collection methods are taken for some stamping stations, but find multiple stations missed.
Score 2 - Proper stamping waste collection methods are taken for some stamping stations, but find isolated stations missed.
Score 3 - Proper stamping waste collection methods are taken for all stamping stations.</t>
  </si>
  <si>
    <t>Section 6- Product Evaluation</t>
  </si>
  <si>
    <t>Training</t>
  </si>
  <si>
    <t xml:space="preserve">Did an auditor receive an education about the measuring method, auditing method, and equipment use method , and get certified?
  </t>
  </si>
  <si>
    <t>Nhân viên kiểm tra có nhận được sự đào tạo về phương pháp đo lường, phương pháp kiểm tra và phương pháp sử dụng thiết bị và được chứng nhận không?</t>
  </si>
  <si>
    <t xml:space="preserve">Score 0: There is no auditor certiification standard, and an auditor has not been certified. 
Score 1: Though there is no auditor certification standard,  the auditor certification has been invested, or the auditor certification standard is retained. 
Score 2: Though there is an auditor certification standard, the auditor certification system,  identification management, and cyclic education management, etc are required to be partly improved. 
Score 3- There is the auditor certification standard, and certification evaluation/ identification management/ cyclic education, etc. are normally implemented. </t>
  </si>
  <si>
    <t xml:space="preserve">Are the audit standard and drawings are kept, and does the standard coincide with the products which are under auditing? 
  </t>
  </si>
  <si>
    <t xml:space="preserve">Các tiêu chuẩn kiểm tra có phù hợpvà treo tại khu vực kiểm tra sản phẩm không ? </t>
  </si>
  <si>
    <t xml:space="preserve">Score 0: There are no audit standard management criteria, and an audit is done under an auditor's self-judgment without the audit standard and drawings. 
Score 1:Though the related standard is not available, an audit is performed according to the audit standard suited for products , or the criteria for the audit standard management are retained. 
Score 2: The audit standard is prepared and applied according to audit standard criteria, but audit items/method are required to be partly improved. 
Score 3: An audit is performed based on the audit standard prepared according to the audit standard management critera. </t>
  </si>
  <si>
    <t xml:space="preserve">Are the products/pre/post shipment inspection, and the storage place for rejected products under separately classified management, and marked? 
of pre/post audit for products is clearly handled. </t>
  </si>
  <si>
    <t>Khu vực kiểm tra có phân loại hàng chờ kiểm tra, hàng NG, hàng OK không?</t>
  </si>
  <si>
    <t xml:space="preserve">Score 0: There is no separate storage place, and products are stored in a state without distinction of pre/post audit. 
Score 1: Though there is no separate storage place for products, they are stored under classified management, or only the separate storage place is designated. 
Score 2: Products are kept in a separate storage place under classified management, but there are some products without distinction of pre/post audit. 
Score 3: Products are kept in a separate storage place under classified management, and distintion of pre/post audit for products is clearly handled. </t>
  </si>
  <si>
    <t>Measuring equipmen</t>
  </si>
  <si>
    <t>Is the measuring equipment controlled and  calibrated?</t>
  </si>
  <si>
    <t>Thiết bị đo có được quản lý và tiến hành hiệu chuẩn không ?</t>
  </si>
  <si>
    <t>Score 0 : There is no measuring instrument selection standard, and the accuracy of a measuring instrument is not compatible with the allowance of actual measurement items  (ex. standard: xx.xx, measuring equipment: xx.x)
Score 1 : There is the measuring instrument selection standard, or a measuring instrument in use is suitable for allowance measurement of actual products despite the absence of the standard.   
Score 2: There is the measuring instrument selection standard, but there exists a measuring instrument which is not selected according to the standard, or partial improvements are required, such as converiience of measurement, etc. 
Score 3: There is the the measuring instrument selection standard, and the accuracy of the measuring instrument in use is suited for measurement item allowance. (ex. standard: xx.xx, measuring equipment: xx.xx abnormal)</t>
  </si>
  <si>
    <t xml:space="preserve">Follow  customer </t>
  </si>
  <si>
    <t xml:space="preserve">Is the unacceptable item arising from a customer reflected in the management point of the audit process? 
 </t>
  </si>
  <si>
    <t>Có quy trình xử lý khiếu nại của khách hàng  không?</t>
  </si>
  <si>
    <t xml:space="preserve">Score 0: There is no system for revison by reflecting unacceptable item in the audit standard, and it is not reflected as the audit item. 
Score 1: Although there is no audit standard reflection system, it is reflected through the revision and addition of the audit item, or the system reflecting it in the audit standard is established. 
Score 2: Established is the system reflecting it in the audit item according to the countermeasures against an unacceptable item, but there are some cases of omissions, or partial improvement are required. 
Score 3: Etablished is the system reflecting it in the audit standard according to an unacceptable item, and actually such an unacceptable item is reflected in the audit standard. </t>
  </si>
  <si>
    <t>Internal audit</t>
  </si>
  <si>
    <t xml:space="preserve">Is the receiving audit history managment register under record management?(receiving audit report, audit history, rejection status, corrective measures, and post-management, etc. )
</t>
  </si>
  <si>
    <t>Có tiến hành kiểm tra nội bộ không ? Các vấn đề cần khắc phục có tiến hành cải tiến kịp thời không?</t>
  </si>
  <si>
    <t xml:space="preserve">Score 0: There is no receiving audit history management standard, and history management is not in progress. 
Score 1: Although there is no receiving audit history management standard, the audit history is managed, or only the standard for history management is retained. 
Score 2:  Although there is the receiving audit history management standard in time of the receiving audit, partial improvements of the history maintenance state(post-measure contents, etc.) are required.  .
Score 3: There is the receiving audit management standard, and all audit history records are maintained. </t>
  </si>
  <si>
    <t>Product Evaluation</t>
  </si>
  <si>
    <t xml:space="preserve">Does the result of re-inspection of the products finished with the shippment inspection meet the standard? (Confirmation of the minimum 5 samples)
 (Inspection of the item relevant to the audit standard by sampling the minimum 5 pieces of the parts which passed the shippment inspection, and post-judgment by selecting additional items when necessary) 
  </t>
  </si>
  <si>
    <t>Kiểm tra xác suất lại các sản phẩm đã hoàn thành có đạt tiêu chuẩn không?</t>
  </si>
  <si>
    <t xml:space="preserve">
Score 0: As a result of the inspection, unacceptable parts account for more than 75%.
Score 1: As a result of the inspection, unacceptable parts account for 25~74%.
Score 2 As a result of the inspection, unacceptable parts account for 1~24%.
Score 3: As a result of the inspection, all parts in comparison with the standard are acceptable.   </t>
  </si>
  <si>
    <t>Section 7- Packing and Shipment</t>
  </si>
  <si>
    <t xml:space="preserve">Are there packing work standard management criteria by part/item? If so, are they distributed to the relevant process, and under revised management?
</t>
  </si>
  <si>
    <t>Có tiêu chuẩn quản lý đóng gói sản phẩm. Thực tế có tuân thủ không ?</t>
  </si>
  <si>
    <t xml:space="preserve">
Score 0: There are no criteria for packing work standard management, nor is the packing standard used in time of packing. 
Score 1: Although there are no packing work management criteria, the packing standard by part/item is being used, or the criteria for packing work standard management are retained. 
Score 2: Though there are packing work standard management criteria, some of the packing guidelines and revised managment ,etc.  are required to be partly improved.
Score 3: There are packing work standard management criteria, and the standard is prepared, approved and distributed according to the criteria, and the standard is kept on the site to be applied. </t>
  </si>
  <si>
    <t>FIFO</t>
  </si>
  <si>
    <t xml:space="preserve">Is there first-in, first-out for products in need of life-cycle management and history management of products, and are the products managed by the system? (color difference, before/after design change)
  </t>
  </si>
  <si>
    <t>Có tuân thủ quy định FIFO khi xuất hàng không?</t>
  </si>
  <si>
    <t xml:space="preserve">Score 0:  There is no system for life-cycle management, or history management of a product, nor is first-in, first-out implemented. 
Score 1: Although there is no standard for product life-cycle &amp; history management, first-in, first-out is implemented through the identification and maintenance of Lot and date of manfacturing, etc., or there are managment criteria. 
Score 2: There are the criteria of first-in, first-out for product life cycle &amp; history management, but some are insufficient, or in need of improvements. 
Score 3: According to the criteria for first-in, first-out management of product, the first-in, first-out for actual products is implemented. </t>
  </si>
  <si>
    <t>SCORE OF EVALUATION</t>
  </si>
  <si>
    <t>No</t>
  </si>
  <si>
    <t>Process</t>
  </si>
  <si>
    <t xml:space="preserve">Number of evaluation items </t>
  </si>
  <si>
    <t>Evaluation result</t>
  </si>
  <si>
    <t>Standard Score</t>
  </si>
  <si>
    <t>Actual Score</t>
  </si>
  <si>
    <t>Warehouse for Materials</t>
  </si>
  <si>
    <t>Tooling development in house</t>
  </si>
  <si>
    <t>Tooling development outsourcing</t>
  </si>
  <si>
    <t>NA</t>
  </si>
  <si>
    <t>Tooling management</t>
  </si>
  <si>
    <t>Metal stamping</t>
  </si>
  <si>
    <t>Packing and Shipment</t>
  </si>
  <si>
    <t>TOTAL</t>
  </si>
  <si>
    <t>RANK</t>
  </si>
  <si>
    <t>RESULT</t>
  </si>
  <si>
    <t>Confirm of Vendor/ Xác nhận của nhà cung cấp</t>
  </si>
  <si>
    <t>A</t>
  </si>
  <si>
    <t>≥ 95%</t>
  </si>
  <si>
    <t>Excellent/ Rất tốt</t>
  </si>
  <si>
    <t>B</t>
  </si>
  <si>
    <t>85-94%</t>
  </si>
  <si>
    <t>Good,  need to keep improving/ Tốt, cần tiếp tục tự cải thiện</t>
  </si>
  <si>
    <t>C</t>
  </si>
  <si>
    <t>75-84%</t>
  </si>
  <si>
    <t>Accept, need improvement/ Chấp nhận, cần cải thiện</t>
  </si>
  <si>
    <t>D</t>
  </si>
  <si>
    <t>65-74%</t>
  </si>
  <si>
    <t>Poor, reevaluate when needed/ Kém, đánh giá lại khi cần</t>
  </si>
  <si>
    <t>E</t>
  </si>
  <si>
    <r>
      <rPr>
        <sz val="12"/>
        <rFont val="Calibri"/>
        <family val="2"/>
      </rPr>
      <t xml:space="preserve">≤  </t>
    </r>
    <r>
      <rPr>
        <sz val="7.2"/>
        <rFont val="Times New Roman"/>
        <family val="1"/>
      </rPr>
      <t xml:space="preserve"> </t>
    </r>
    <r>
      <rPr>
        <sz val="12"/>
        <rFont val="Times New Roman"/>
        <family val="1"/>
      </rPr>
      <t>64%</t>
    </r>
  </si>
  <si>
    <t>Not  acceptance/ Không chấp nhận</t>
  </si>
  <si>
    <t>Confirmation</t>
  </si>
  <si>
    <t xml:space="preserve">Auditor/ Thành viên đánh giá </t>
  </si>
  <si>
    <t>Evaluation team leader/ Trưởng đoàn đánh giá</t>
  </si>
  <si>
    <t>Sign/ Chữ ký</t>
  </si>
  <si>
    <t>Name/ Họ tên</t>
  </si>
  <si>
    <t>ID/ Số thẻ</t>
  </si>
  <si>
    <t>Dept/ Bộ phận</t>
  </si>
  <si>
    <t>Job Title/ Chức vụ</t>
  </si>
  <si>
    <t>Date/ Ngày</t>
  </si>
  <si>
    <t>PUR.04.00.05. Ngày ban hành 01/01/2019</t>
  </si>
  <si>
    <t>Nơi lưu: Bộ phận thu mua</t>
  </si>
  <si>
    <t>Hình thức lưu: Bản cứng</t>
  </si>
  <si>
    <t>Thời gian lưu: 03 năm</t>
  </si>
  <si>
    <t>Phương pháp hủy: Cắt/Đốt</t>
  </si>
  <si>
    <t>Lần sửa đổi: 00</t>
  </si>
  <si>
    <t>PUR.04.00.07</t>
  </si>
  <si>
    <t>Supplier name</t>
  </si>
  <si>
    <t>Major Product</t>
  </si>
  <si>
    <t>Audit Object</t>
  </si>
  <si>
    <t>Date of Audit</t>
  </si>
  <si>
    <t>Auditor</t>
  </si>
  <si>
    <t>Grade</t>
  </si>
  <si>
    <t>Result</t>
  </si>
  <si>
    <t>M&amp;C Electronics Vina</t>
  </si>
  <si>
    <t>Quality Process Audit Result Report</t>
    <phoneticPr fontId="27" type="noConversion"/>
  </si>
  <si>
    <t>□ Audit Result</t>
    <phoneticPr fontId="27" type="noConversion"/>
  </si>
  <si>
    <t>Auditee</t>
  </si>
  <si>
    <t>□Scores and Grade by sector</t>
    <phoneticPr fontId="27" type="noConversion"/>
  </si>
  <si>
    <t>No</t>
    <phoneticPr fontId="27" type="noConversion"/>
  </si>
  <si>
    <t>evaluation sector</t>
    <phoneticPr fontId="27" type="noConversion"/>
  </si>
  <si>
    <t>Evaluation requiment</t>
  </si>
  <si>
    <t>Evaluation result</t>
    <phoneticPr fontId="27" type="noConversion"/>
  </si>
  <si>
    <t>note</t>
    <phoneticPr fontId="27" type="noConversion"/>
  </si>
  <si>
    <t>the whole</t>
    <phoneticPr fontId="27" type="noConversion"/>
  </si>
  <si>
    <t>Degree of Completion</t>
    <phoneticPr fontId="27" type="noConversion"/>
  </si>
  <si>
    <t>Material Inspection  and  Preparation</t>
  </si>
  <si>
    <t>Production Process</t>
  </si>
  <si>
    <t xml:space="preserve">  </t>
    <phoneticPr fontId="22" type="noConversion"/>
  </si>
  <si>
    <t xml:space="preserve"> Packing and Shipment</t>
  </si>
  <si>
    <r>
      <rPr>
        <b/>
        <sz val="8"/>
        <color theme="1"/>
        <rFont val="Cambria"/>
        <family val="3"/>
        <charset val="129"/>
        <scheme val="major"/>
      </rPr>
      <t>Evaluation Score</t>
    </r>
    <r>
      <rPr>
        <b/>
        <sz val="11"/>
        <color theme="1"/>
        <rFont val="Cambria"/>
        <family val="3"/>
        <charset val="129"/>
        <scheme val="major"/>
      </rPr>
      <t>/</t>
    </r>
    <r>
      <rPr>
        <b/>
        <sz val="9"/>
        <color theme="1"/>
        <rFont val="Cambria"/>
        <family val="3"/>
        <charset val="129"/>
        <scheme val="major"/>
      </rPr>
      <t>Grade</t>
    </r>
  </si>
  <si>
    <t xml:space="preserve">    </t>
    <phoneticPr fontId="22" type="noConversion"/>
  </si>
  <si>
    <r>
      <t xml:space="preserve">□ </t>
    </r>
    <r>
      <rPr>
        <b/>
        <sz val="10"/>
        <rFont val="Cambria"/>
        <family val="3"/>
        <charset val="129"/>
        <scheme val="major"/>
      </rPr>
      <t>Improvement object Status by type</t>
    </r>
  </si>
  <si>
    <t>Classification</t>
  </si>
  <si>
    <t>Number of Cases</t>
    <phoneticPr fontId="27" type="noConversion"/>
  </si>
  <si>
    <t>Material Management</t>
  </si>
  <si>
    <t>Packing Management</t>
    <phoneticPr fontId="27" type="noConversion"/>
  </si>
  <si>
    <t>Total</t>
  </si>
  <si>
    <t>Quality Process Audit Non-Conforming Item</t>
    <phoneticPr fontId="27" type="noConversion"/>
  </si>
  <si>
    <t>해결</t>
    <phoneticPr fontId="21" type="noConversion"/>
  </si>
  <si>
    <t>미결</t>
    <phoneticPr fontId="21" type="noConversion"/>
  </si>
  <si>
    <t>Classification</t>
    <phoneticPr fontId="22" type="noConversion"/>
  </si>
  <si>
    <t>NO</t>
    <phoneticPr fontId="21" type="noConversion"/>
  </si>
  <si>
    <t>Problem</t>
    <phoneticPr fontId="21" type="noConversion"/>
  </si>
  <si>
    <t>Countermeasure for Improvement</t>
    <phoneticPr fontId="22" type="noConversion"/>
  </si>
  <si>
    <t>Confirmation Result</t>
    <phoneticPr fontId="22" type="noConversion"/>
  </si>
  <si>
    <t>Completion Status</t>
    <phoneticPr fontId="22" type="noConversion"/>
  </si>
  <si>
    <t>Reproducibility status</t>
  </si>
  <si>
    <t>Pointed-out Item</t>
    <phoneticPr fontId="22" type="noConversion"/>
  </si>
  <si>
    <t>Phenomenon</t>
    <phoneticPr fontId="21" type="noConversion"/>
  </si>
  <si>
    <t>Improvement Plan</t>
    <phoneticPr fontId="22" type="noConversion"/>
  </si>
  <si>
    <t>Pictrue</t>
  </si>
  <si>
    <t>Person in charge</t>
    <phoneticPr fontId="21" type="noConversion"/>
  </si>
  <si>
    <t>Schedule</t>
  </si>
  <si>
    <t>Confirmed content</t>
  </si>
  <si>
    <t>person in charge</t>
  </si>
  <si>
    <t>Tooling Development in House</t>
  </si>
  <si>
    <t>Tooling Development Outsourcing</t>
  </si>
  <si>
    <t>Tooling Management</t>
  </si>
  <si>
    <t>Metal Stamping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</si>
</sst>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4">
    <numFmt numFmtId="43" formatCode="_(* #,##0.00_);_(* \(#,##0.00\);_(* &quot;-&quot;??_);_(@_)"/>
    <numFmt numFmtId="164" formatCode="_-[$€-2]* #,##0.00_-;\-[$€-2]* #,##0.00_-;_-[$€-2]* &quot;-&quot;??_-"/>
    <numFmt numFmtId="165" formatCode="_ * #&quot;₩&quot;\!\!\,##0_ ;_ * &quot;₩&quot;&quot;₩&quot;\!\!\-#&quot;₩&quot;\!\!\,##0_ ;_ * &quot;-&quot;_ ;_ @_ "/>
    <numFmt numFmtId="166" formatCode="_-* #,##0.0\ _F_-;\-* #,##0.0\ _F_-;_-* &quot;-&quot;??\ _F_-;_-@_-"/>
    <numFmt numFmtId="167" formatCode="_(&quot;$&quot;* #,##0_);_(&quot;$&quot;* \(#,##0\);_(&quot;$&quot;* &quot;-&quot;??_);_(@_)"/>
    <numFmt numFmtId="168" formatCode="_-* #,##0_-;\-* #,##0_-;_-* &quot;-&quot;_-;_-@_-"/>
    <numFmt numFmtId="169" formatCode="_ &quot;￥&quot;* #,##0_ ;_ &quot;￥&quot;* \-#,##0_ ;_ &quot;￥&quot;* &quot;-&quot;_ ;_ @_ "/>
    <numFmt numFmtId="170" formatCode="_ * #,##0.00_ ;_ * \-#,##0.00_ ;_ * &quot;-&quot;_ ;_ @_ "/>
    <numFmt numFmtId="171" formatCode="#,##0.00000000000"/>
    <numFmt numFmtId="172" formatCode="0.0000_ "/>
    <numFmt numFmtId="173" formatCode="_-* #,##0.00&quot;₩&quot;\!\ _F_-;&quot;₩&quot;\!\-* #,##0.00&quot;₩&quot;\!\ _F_-;_-* &quot;-&quot;??&quot;₩&quot;\!\ _F_-;_-@_-"/>
    <numFmt numFmtId="174" formatCode="_-* #,##0.00\ _F_-;\-* #,##0.00\ _F_-;_-* &quot;-&quot;??\ _F_-;_-@_-"/>
    <numFmt numFmtId="175" formatCode="_ &quot;₩&quot;* #,##0_ ;_ &quot;₩&quot;* &quot;₩&quot;&quot;₩&quot;&quot;₩&quot;&quot;₩&quot;&quot;₩&quot;&quot;₩&quot;&quot;₩&quot;&quot;₩&quot;&quot;₩&quot;&quot;₩&quot;&quot;₩&quot;\-#,##0_ ;_ &quot;₩&quot;* &quot;-&quot;_ ;_ @_ "/>
    <numFmt numFmtId="176" formatCode="&quot;₩&quot;#,##0;&quot;₩&quot;&quot;₩&quot;&quot;₩&quot;&quot;₩&quot;&quot;₩&quot;&quot;₩&quot;\-#,##0"/>
    <numFmt numFmtId="177" formatCode="_(* #,##0.0_);_(* &quot;₩&quot;&quot;₩&quot;&quot;₩&quot;&quot;₩&quot;&quot;₩&quot;&quot;₩&quot;\(#,##0.0&quot;₩&quot;&quot;₩&quot;&quot;₩&quot;&quot;₩&quot;&quot;₩&quot;&quot;₩&quot;\);_(* &quot;-&quot;??_);_(@_)"/>
    <numFmt numFmtId="178" formatCode="&quot;N$&quot;#,##0_);[Red]\(&quot;N$&quot;#,##0\)"/>
    <numFmt numFmtId="179" formatCode="&quot;₩&quot;#,##0.00;&quot;₩&quot;&quot;₩&quot;&quot;₩&quot;&quot;₩&quot;&quot;₩&quot;\-&quot;₩&quot;#,##0.00"/>
    <numFmt numFmtId="180" formatCode="&quot;$&quot;#,##0.00_);&quot;₩&quot;\(&quot;$&quot;#,##0.00&quot;₩&quot;\)"/>
    <numFmt numFmtId="181" formatCode="_ &quot;₩&quot;* #,##0.00_ ;_ &quot;₩&quot;* \-#,##0.00_ ;_ &quot;₩&quot;* &quot;-&quot;??_ ;_ @_ "/>
    <numFmt numFmtId="182" formatCode="#,##0_ ;[Red]\-#,##0\ "/>
    <numFmt numFmtId="183" formatCode="#,##0&quot; F&quot;_);[Red]\(#,##0&quot; F&quot;\)"/>
    <numFmt numFmtId="184" formatCode="_-&quot;₩&quot;* #,##0.00_-;\-&quot;₩&quot;* #,##0.00_-;_-&quot;₩&quot;* &quot;-&quot;??_-;_-@_-"/>
    <numFmt numFmtId="185" formatCode="_(* #,##0.0_);_(* \(#,##0.0\);_(* &quot;-&quot;_);_(@_)"/>
    <numFmt numFmtId="186" formatCode="&quot;₩&quot;#,##0.00;&quot;₩&quot;\-&quot;₩&quot;#,##0.00"/>
    <numFmt numFmtId="187" formatCode="&quot;₩&quot;#,##0;[Red]&quot;₩&quot;&quot;₩&quot;&quot;₩&quot;&quot;₩&quot;&quot;₩&quot;&quot;₩&quot;\-#,##0"/>
    <numFmt numFmtId="188" formatCode="#,##0.00;[Red]&quot;-&quot;#,##0.00"/>
    <numFmt numFmtId="189" formatCode="_ &quot;₩&quot;* #,##0_ ;_ &quot;₩&quot;* \-#,##0_ ;_ &quot;₩&quot;* &quot;-&quot;_ ;_ @_ "/>
    <numFmt numFmtId="190" formatCode="&quot;₩&quot;#,##0.00;[Red]&quot;₩&quot;\-#,##0.00"/>
    <numFmt numFmtId="191" formatCode="&quot;₩&quot;#,##0;[Red]&quot;₩&quot;\-#,##0"/>
    <numFmt numFmtId="192" formatCode="_(* #,##0.0000_);_(* \(#,##0.0000\);_(* &quot;-&quot;??_);_(@_)"/>
    <numFmt numFmtId="193" formatCode="_ * #,##0_ ;_ * \-#,##0_ ;_ * &quot;-&quot;_ ;_ @_ "/>
    <numFmt numFmtId="194" formatCode="_ * #,##0.00_ ;_ * \-#,##0.00_ ;_ * &quot;-&quot;??_ ;_ @_ "/>
    <numFmt numFmtId="195" formatCode="0_);[Red]\(0\)"/>
    <numFmt numFmtId="196" formatCode="General_)"/>
    <numFmt numFmtId="197" formatCode="0.000"/>
    <numFmt numFmtId="198" formatCode="#,##0;[Red]\(#,##0\)"/>
    <numFmt numFmtId="199" formatCode="&quot;Kassaraportti &quot;d/m/yy"/>
    <numFmt numFmtId="200" formatCode="_ &quot;₩&quot;* #,##0_ ;_ &quot;₩&quot;* &quot;₩&quot;&quot;₩&quot;&quot;₩&quot;&quot;₩&quot;&quot;₩&quot;&quot;₩&quot;&quot;₩&quot;&quot;₩&quot;&quot;₩&quot;&quot;₩&quot;&quot;₩&quot;&quot;₩&quot;&quot;₩&quot;&quot;₩&quot;&quot;₩&quot;\-#,##0_ ;_ &quot;₩&quot;* &quot;-&quot;_ ;_ @_ "/>
    <numFmt numFmtId="201" formatCode="_(&quot;$&quot;* #,##0.0_);_(&quot;$&quot;* \(#,##0.0\);_(&quot;$&quot;* &quot;-&quot;??_);_(@_)"/>
    <numFmt numFmtId="202" formatCode="#,##0.000"/>
    <numFmt numFmtId="203" formatCode="&quot;₩&quot;#,##0.00;[Red]&quot;₩&quot;&quot;₩&quot;&quot;₩&quot;&quot;₩&quot;&quot;₩&quot;&quot;₩&quot;\-#,##0.00"/>
    <numFmt numFmtId="204" formatCode="&quot;₩&quot;#,##0.00;[Red]&quot;₩&quot;&quot;₩&quot;&quot;₩&quot;&quot;₩&quot;&quot;₩&quot;&quot;₩&quot;&quot;₩&quot;&quot;₩&quot;&quot;₩&quot;&quot;₩&quot;&quot;₩&quot;&quot;₩&quot;&quot;₩&quot;&quot;₩&quot;&quot;₩&quot;&quot;₩&quot;&quot;₩&quot;&quot;₩&quot;\-#,##0.00"/>
    <numFmt numFmtId="205" formatCode="#,##0.0_);[Red]\(#,##0.0\)"/>
    <numFmt numFmtId="206" formatCode="0.00000&quot;  &quot;"/>
    <numFmt numFmtId="207" formatCode="[Black]General;[Black]General;[Black]General;[Black]General"/>
    <numFmt numFmtId="208" formatCode="ddd"/>
    <numFmt numFmtId="209" formatCode="&quot;0&quot;0"/>
    <numFmt numFmtId="210" formatCode="_-* #,##0.00_-;\-* #,##0.00_-;_-* &quot;-&quot;??_-;_-@_-"/>
    <numFmt numFmtId="211" formatCode="_-&quot;$&quot;\ * #,##0_-;\-&quot;$&quot;\ * #,##0_-;_-&quot;$&quot;\ * &quot;-&quot;_-;_-@_-"/>
    <numFmt numFmtId="212" formatCode="_-&quot;$&quot;\ * #,##0.00_-;\-&quot;$&quot;\ * #,##0.00_-;_-&quot;$&quot;\ * &quot;-&quot;??_-;_-@_-"/>
    <numFmt numFmtId="213" formatCode="000000"/>
    <numFmt numFmtId="214" formatCode="&quot;$&quot;\ #,##0.00;[Red]\-&quot;$&quot;\ #,##0.00"/>
    <numFmt numFmtId="215" formatCode="_-* #,##0.0_-;\-* #,##0.0_-;_-* &quot;-&quot;??_-;_-@_-"/>
    <numFmt numFmtId="216" formatCode="_-* #,##0_-;\-* #,##0_-;_-* &quot;-&quot;??_-;_-@_-"/>
    <numFmt numFmtId="217" formatCode="&quot;$&quot;#,##0.00_);[Red]&quot;₩&quot;\(&quot;$&quot;#,##0.00&quot;₩&quot;\)"/>
    <numFmt numFmtId="218" formatCode="_ * #,##0.0_ ;_ * &quot;₩&quot;\!\-#,##0.0_ ;_ * &quot;-&quot;_ ;_ @_ "/>
    <numFmt numFmtId="219" formatCode="&quot;₩&quot;#,##0.00;[Red]&quot;₩&quot;\!\-&quot;₩&quot;#,##0.00"/>
    <numFmt numFmtId="220" formatCode="#,##0_ "/>
    <numFmt numFmtId="221" formatCode="_-* #,##0_-;&quot;₩&quot;&quot;₩&quot;&quot;₩&quot;&quot;₩&quot;&quot;₩&quot;&quot;₩&quot;\-* #,##0_-;_-* &quot;-&quot;??_-;_-@_-"/>
    <numFmt numFmtId="222" formatCode="_-* #,##0_-;&quot;₩&quot;\-* #,##0_-;_-* &quot;-&quot;_-;_-@_-"/>
    <numFmt numFmtId="223" formatCode="_-* #,##0_-;&quot;₩&quot;&quot;₩&quot;&quot;₩&quot;&quot;₩&quot;\-* #,##0_-;_-* &quot;-&quot;_-;_-@_-"/>
    <numFmt numFmtId="224" formatCode="_-&quot;₩&quot;* #,##0_-;\-&quot;₩&quot;* #,##0_-;_-&quot;₩&quot;* &quot;-&quot;_-;_-@_-"/>
    <numFmt numFmtId="225" formatCode="&quot;¥&quot;#,##0;&quot;¥&quot;\-#,##0"/>
    <numFmt numFmtId="226" formatCode="00.000"/>
    <numFmt numFmtId="227" formatCode="&quot;S&quot;\ #,##0.00;[Red]\-&quot;S&quot;\ #,##0.00"/>
    <numFmt numFmtId="228" formatCode="&quot;₩&quot;#,##0;&quot;₩&quot;\-#,##0"/>
    <numFmt numFmtId="229" formatCode="_-&quot;$&quot;* #,##0_-;\-&quot;$&quot;* #,##0_-;_-&quot;$&quot;* &quot;-&quot;_-;_-@_-"/>
    <numFmt numFmtId="230" formatCode="&quot;$&quot;#,##0;[Red]\-&quot;$&quot;#,##0"/>
    <numFmt numFmtId="231" formatCode="_-&quot;$&quot;* #,##0.00_-;\-&quot;$&quot;* #,##0.00_-;_-&quot;$&quot;* &quot;-&quot;??_-;_-@_-"/>
    <numFmt numFmtId="232" formatCode="&quot;£&quot;#,##0.00;[Red]\-&quot;£&quot;#,##0.00"/>
    <numFmt numFmtId="233" formatCode="&quot;£&quot;#,##0;[Red]\-&quot;£&quot;#,##0"/>
    <numFmt numFmtId="234" formatCode="[$-409]d&quot;-&quot;mmm&quot;-&quot;yy;@"/>
    <numFmt numFmtId="235" formatCode="0_ "/>
    <numFmt numFmtId="236" formatCode="0.00_ "/>
  </numFmts>
  <fonts count="324">
    <font>
      <sz val="11"/>
      <color theme="1"/>
      <name val="Calibri"/>
      <family val="2"/>
      <scheme val="minor"/>
    </font>
    <font>
      <sz val="11"/>
      <color theme="1"/>
      <name val="Calibri"/>
      <family val="2"/>
      <scheme val="minor"/>
    </font>
    <font>
      <sz val="14"/>
      <name val="Times New Roman"/>
      <family val="1"/>
    </font>
    <font>
      <b/>
      <sz val="36"/>
      <name val="Times New Roman"/>
      <family val="1"/>
    </font>
    <font>
      <sz val="14"/>
      <color theme="1"/>
      <name val="Times New Roman"/>
      <family val="1"/>
    </font>
    <font>
      <sz val="10"/>
      <name val="Arial"/>
      <family val="2"/>
    </font>
    <font>
      <sz val="20"/>
      <name val="Times New Roman"/>
      <family val="1"/>
    </font>
    <font>
      <sz val="20"/>
      <name val="Wingdings"/>
      <charset val="2"/>
    </font>
    <font>
      <sz val="18"/>
      <name val="Times New Roman"/>
      <family val="1"/>
    </font>
    <font>
      <sz val="16"/>
      <name val="Times New Roman"/>
      <family val="1"/>
    </font>
    <font>
      <sz val="16"/>
      <color rgb="FF0000FF"/>
      <name val="Times New Roman"/>
      <family val="1"/>
    </font>
    <font>
      <sz val="12"/>
      <name val="Times New Roman"/>
      <family val="1"/>
    </font>
    <font>
      <sz val="16"/>
      <name val="Wingdings"/>
      <charset val="2"/>
    </font>
    <font>
      <sz val="7.2"/>
      <name val="Times New Roman"/>
      <family val="1"/>
    </font>
    <font>
      <sz val="9.6"/>
      <name val="Times New Roman"/>
      <family val="1"/>
    </font>
    <font>
      <u/>
      <sz val="11"/>
      <color theme="10"/>
      <name val="Calibri"/>
      <family val="2"/>
      <scheme val="minor"/>
    </font>
    <font>
      <u/>
      <sz val="16"/>
      <color theme="10"/>
      <name val="Calibri"/>
      <family val="2"/>
      <scheme val="minor"/>
    </font>
    <font>
      <b/>
      <sz val="20"/>
      <name val="Times New Roman"/>
      <family val="1"/>
    </font>
    <font>
      <b/>
      <sz val="12"/>
      <name val="Times New Roman"/>
      <family val="1"/>
    </font>
    <font>
      <b/>
      <sz val="12"/>
      <color theme="1"/>
      <name val="Times New Roman"/>
      <family val="1"/>
    </font>
    <font>
      <b/>
      <sz val="12"/>
      <name val="Arial"/>
      <family val="2"/>
    </font>
    <font>
      <sz val="12"/>
      <color rgb="FF0000FF"/>
      <name val="Times New Roman"/>
      <family val="1"/>
    </font>
    <font>
      <sz val="12"/>
      <color theme="1"/>
      <name val="Times New Roman"/>
      <family val="1"/>
    </font>
    <font>
      <sz val="12"/>
      <name val="宋体"/>
      <family val="3"/>
      <charset val="129"/>
    </font>
    <font>
      <sz val="10"/>
      <color theme="1"/>
      <name val="Arial"/>
      <family val="2"/>
    </font>
    <font>
      <b/>
      <sz val="12"/>
      <color rgb="FF0000FF"/>
      <name val="Times New Roman"/>
      <family val="1"/>
    </font>
    <font>
      <b/>
      <sz val="11"/>
      <name val="Arial"/>
      <family val="2"/>
    </font>
    <font>
      <i/>
      <sz val="12"/>
      <name val="Times New Roman"/>
      <family val="1"/>
    </font>
    <font>
      <i/>
      <sz val="12"/>
      <color rgb="FF0000FF"/>
      <name val="Times New Roman"/>
      <family val="1"/>
    </font>
    <font>
      <sz val="12"/>
      <color rgb="FF00B050"/>
      <name val="Times New Roman"/>
      <family val="1"/>
    </font>
    <font>
      <sz val="10"/>
      <color rgb="FF00B050"/>
      <name val="Arial"/>
      <family val="2"/>
    </font>
    <font>
      <sz val="11"/>
      <name val="Arial"/>
      <family val="2"/>
    </font>
    <font>
      <b/>
      <sz val="12"/>
      <color rgb="FF333333"/>
      <name val="Times New Roman"/>
      <family val="1"/>
    </font>
    <font>
      <sz val="12"/>
      <color rgb="FF333333"/>
      <name val="Times New Roman"/>
      <family val="1"/>
    </font>
    <font>
      <sz val="16"/>
      <name val="Calibri"/>
      <family val="2"/>
    </font>
    <font>
      <sz val="12"/>
      <name val="Calibri"/>
      <family val="2"/>
    </font>
    <font>
      <sz val="10"/>
      <color rgb="FF0000FF"/>
      <name val="Arial"/>
      <family val="2"/>
    </font>
    <font>
      <sz val="12"/>
      <name val="Arial"/>
      <family val="2"/>
    </font>
    <font>
      <sz val="12"/>
      <name val="바탕체"/>
      <family val="1"/>
      <charset val="129"/>
    </font>
    <font>
      <sz val="11"/>
      <name val="돋움"/>
      <family val="3"/>
      <charset val="129"/>
    </font>
    <font>
      <sz val="10"/>
      <name val=".VnTime"/>
      <family val="2"/>
    </font>
    <font>
      <sz val="14"/>
      <name val="??"/>
      <family val="3"/>
    </font>
    <font>
      <i/>
      <sz val="12"/>
      <name val="바탕체"/>
      <family val="1"/>
      <charset val="129"/>
    </font>
    <font>
      <sz val="12"/>
      <name val="¹????¼"/>
      <family val="1"/>
      <charset val="129"/>
    </font>
    <font>
      <sz val="12"/>
      <name val="????"/>
      <family val="1"/>
      <charset val="136"/>
    </font>
    <font>
      <sz val="12"/>
      <name val="???"/>
      <family val="3"/>
    </font>
    <font>
      <sz val="9"/>
      <name val="±¼¸²?¼"/>
      <family val="3"/>
      <charset val="129"/>
    </font>
    <font>
      <sz val="12"/>
      <name val="宋?"/>
      <family val="3"/>
      <charset val="129"/>
    </font>
    <font>
      <sz val="10"/>
      <name val="???"/>
      <family val="3"/>
    </font>
    <font>
      <u/>
      <sz val="10"/>
      <color indexed="12"/>
      <name val="Arial"/>
      <family val="2"/>
    </font>
    <font>
      <sz val="12"/>
      <name val="官?眉"/>
      <family val="1"/>
      <charset val="129"/>
    </font>
    <font>
      <sz val="12"/>
      <name val="굴림체"/>
      <family val="3"/>
      <charset val="129"/>
    </font>
    <font>
      <sz val="11"/>
      <name val="굴림체"/>
      <family val="3"/>
      <charset val="129"/>
    </font>
    <font>
      <sz val="10"/>
      <name val="Helv"/>
      <family val="2"/>
    </font>
    <font>
      <sz val="10"/>
      <name val="굴림체"/>
      <family val="3"/>
      <charset val="129"/>
    </font>
    <font>
      <u/>
      <sz val="7.5"/>
      <color indexed="36"/>
      <name val="Arial"/>
      <family val="2"/>
    </font>
    <font>
      <sz val="12"/>
      <name val="￠R¡×IoUAAA¡ER￠R¡¿u"/>
      <family val="1"/>
      <charset val="129"/>
    </font>
    <font>
      <sz val="12"/>
      <name val="©öUAAA¨ù"/>
      <family val="1"/>
      <charset val="129"/>
    </font>
    <font>
      <b/>
      <sz val="18"/>
      <color indexed="24"/>
      <name val="¹UAAA¼"/>
      <family val="1"/>
      <charset val="129"/>
    </font>
    <font>
      <b/>
      <sz val="15"/>
      <color indexed="24"/>
      <name val="¹UAAA¼"/>
      <family val="1"/>
      <charset val="129"/>
    </font>
    <font>
      <b/>
      <sz val="12"/>
      <name val="돋움체"/>
      <family val="3"/>
      <charset val="129"/>
    </font>
    <font>
      <sz val="14"/>
      <name val="돋움체"/>
      <family val="3"/>
      <charset val="129"/>
    </font>
    <font>
      <sz val="10"/>
      <name val="MS Sans Serif"/>
      <family val="2"/>
    </font>
    <font>
      <sz val="7"/>
      <name val="바탕체"/>
      <family val="1"/>
      <charset val="129"/>
    </font>
    <font>
      <sz val="12"/>
      <name val="¹UAAA¼"/>
      <family val="3"/>
      <charset val="129"/>
    </font>
    <font>
      <sz val="12"/>
      <name val="¹ÙÅÁÃ¼"/>
      <family val="1"/>
      <charset val="129"/>
    </font>
    <font>
      <sz val="11"/>
      <color indexed="8"/>
      <name val="맑은 고딕"/>
      <family val="3"/>
      <charset val="129"/>
    </font>
    <font>
      <sz val="11"/>
      <color indexed="8"/>
      <name val="맑은 고딕"/>
      <family val="2"/>
      <charset val="129"/>
    </font>
    <font>
      <sz val="11"/>
      <color indexed="8"/>
      <name val="맑은 고딕"/>
      <family val="3"/>
    </font>
    <font>
      <sz val="11"/>
      <name val="맑은 고딕"/>
      <family val="2"/>
      <charset val="129"/>
    </font>
    <font>
      <sz val="11"/>
      <color theme="1"/>
      <name val="Calibri"/>
      <family val="3"/>
      <charset val="129"/>
      <scheme val="minor"/>
    </font>
    <font>
      <sz val="11"/>
      <color theme="1"/>
      <name val="Calibri"/>
      <family val="2"/>
      <charset val="129"/>
      <scheme val="minor"/>
    </font>
    <font>
      <sz val="11"/>
      <color indexed="8"/>
      <name val="굴림체"/>
      <family val="3"/>
      <charset val="129"/>
    </font>
    <font>
      <sz val="11"/>
      <color indexed="9"/>
      <name val="맑은 고딕"/>
      <family val="3"/>
      <charset val="129"/>
    </font>
    <font>
      <sz val="11"/>
      <color indexed="9"/>
      <name val="맑은 고딕"/>
      <family val="2"/>
      <charset val="129"/>
    </font>
    <font>
      <sz val="11"/>
      <color indexed="9"/>
      <name val="맑은 고딕"/>
      <family val="3"/>
    </font>
    <font>
      <sz val="11"/>
      <color theme="0"/>
      <name val="Calibri"/>
      <family val="3"/>
      <charset val="129"/>
      <scheme val="minor"/>
    </font>
    <font>
      <sz val="11"/>
      <color indexed="9"/>
      <name val="굴림체"/>
      <family val="3"/>
      <charset val="129"/>
    </font>
    <font>
      <sz val="11"/>
      <color theme="0"/>
      <name val="Calibri"/>
      <family val="2"/>
      <charset val="129"/>
      <scheme val="minor"/>
    </font>
    <font>
      <sz val="11"/>
      <name val="¡Ii¡E¡þ¡E?o"/>
      <family val="3"/>
      <charset val="129"/>
    </font>
    <font>
      <sz val="11"/>
      <name val="￠RER￠R¡×u¡ER￠R¡¿u¡ERE "/>
      <family val="3"/>
      <charset val="129"/>
    </font>
    <font>
      <sz val="11"/>
      <name val="??????o"/>
      <family val="3"/>
    </font>
    <font>
      <sz val="12"/>
      <name val="¡¾¨ù¢¬©÷A¨ù"/>
      <family val="3"/>
      <charset val="129"/>
    </font>
    <font>
      <sz val="12"/>
      <name val="ⓒoUAAA¨u"/>
      <family val="1"/>
      <charset val="129"/>
    </font>
    <font>
      <sz val="11"/>
      <name val="¥ì¢¬¢¯o"/>
      <family val="3"/>
    </font>
    <font>
      <sz val="12"/>
      <name val="ⓒoUAAA¨u"/>
      <family val="3"/>
      <charset val="129"/>
    </font>
    <font>
      <sz val="12"/>
      <name val="¡¾¨u￠￢ⓒ÷A¨u"/>
      <family val="3"/>
      <charset val="129"/>
    </font>
    <font>
      <sz val="11"/>
      <name val="￠RIi￠RE￠Rⓒ­￠RE?o"/>
      <family val="3"/>
      <charset val="129"/>
    </font>
    <font>
      <sz val="12"/>
      <name val="¡ER￠R¡¿IoUAAA￠RER¡ER￠R￠"/>
      <family val="1"/>
      <charset val="129"/>
    </font>
    <font>
      <sz val="11"/>
      <color indexed="8"/>
      <name val="돋움"/>
      <family val="3"/>
      <charset val="129"/>
    </font>
    <font>
      <sz val="11"/>
      <color indexed="9"/>
      <name val="돋움"/>
      <family val="3"/>
      <charset val="129"/>
    </font>
    <font>
      <sz val="12"/>
      <name val="1UAAA?"/>
      <family val="1"/>
    </font>
    <font>
      <sz val="12"/>
      <name val="¹UAAA¼"/>
      <family val="1"/>
      <charset val="129"/>
    </font>
    <font>
      <sz val="11"/>
      <name val="µ¸¿ò"/>
      <family val="3"/>
      <charset val="129"/>
    </font>
    <font>
      <sz val="11"/>
      <name val="μ¸¿o"/>
      <family val="3"/>
      <charset val="129"/>
    </font>
    <font>
      <sz val="12"/>
      <name val="돋움체"/>
      <family val="3"/>
      <charset val="129"/>
    </font>
    <font>
      <sz val="12"/>
      <name val="μ¸¿oA¼"/>
      <family val="3"/>
      <charset val="129"/>
    </font>
    <font>
      <sz val="12"/>
      <name val="µ¸¿òÃ¼"/>
      <family val="3"/>
      <charset val="129"/>
    </font>
    <font>
      <sz val="12"/>
      <name val="¹ÙÅÁÃ¼"/>
      <family val="3"/>
      <charset val="129"/>
    </font>
    <font>
      <sz val="12"/>
      <name val="±¼¸²A¼"/>
      <family val="3"/>
      <charset val="129"/>
    </font>
    <font>
      <sz val="12"/>
      <name val="∂?좲2A?"/>
      <family val="3"/>
      <charset val="129"/>
    </font>
    <font>
      <sz val="10"/>
      <name val="±¼¸²A¼"/>
      <family val="3"/>
      <charset val="129"/>
    </font>
    <font>
      <b/>
      <sz val="12"/>
      <name val="¹ÙÅÁÃ¼"/>
      <family val="1"/>
      <charset val="129"/>
    </font>
    <font>
      <b/>
      <sz val="12"/>
      <name val="¹UAAA¼"/>
      <family val="1"/>
      <charset val="129"/>
    </font>
    <font>
      <sz val="11"/>
      <color indexed="20"/>
      <name val="맑은 고딕"/>
      <family val="3"/>
      <charset val="129"/>
    </font>
    <font>
      <sz val="11"/>
      <color indexed="20"/>
      <name val="맑은 고딕"/>
      <family val="2"/>
      <charset val="129"/>
    </font>
    <font>
      <sz val="11"/>
      <color indexed="20"/>
      <name val="맑은 고딕"/>
      <family val="3"/>
    </font>
    <font>
      <sz val="11"/>
      <color indexed="16"/>
      <name val="돋움"/>
      <family val="3"/>
      <charset val="129"/>
    </font>
    <font>
      <sz val="12"/>
      <name val="Tms Rmn"/>
      <family val="1"/>
    </font>
    <font>
      <sz val="12"/>
      <name val="¹UAAA¼"/>
      <family val="3"/>
      <charset val="255"/>
    </font>
    <font>
      <sz val="12"/>
      <name val="??UAAA¨?"/>
      <family val="1"/>
      <charset val="129"/>
    </font>
    <font>
      <sz val="10"/>
      <name val="¡ER￠R¡¿IoUAAA￠RER¡ER￠R￠"/>
      <family val="1"/>
      <charset val="129"/>
    </font>
    <font>
      <sz val="9"/>
      <name val="¡¾¨u￠￢ⓒ÷A¨u"/>
      <family val="3"/>
      <charset val="129"/>
    </font>
    <font>
      <sz val="8"/>
      <name val="¹UAAA¼"/>
      <family val="1"/>
      <charset val="129"/>
    </font>
    <font>
      <sz val="11"/>
      <name val="±¼¸²Ã¼"/>
      <family val="3"/>
      <charset val="129"/>
    </font>
    <font>
      <sz val="9"/>
      <name val="±¼¸²Ã¼"/>
      <family val="3"/>
      <charset val="129"/>
    </font>
    <font>
      <sz val="12"/>
      <name val="±¼¸²Ã¼"/>
      <family val="3"/>
      <charset val="129"/>
    </font>
    <font>
      <sz val="12"/>
      <name val="System"/>
      <family val="2"/>
      <charset val="129"/>
    </font>
    <font>
      <sz val="10"/>
      <name val="¹ÙÅÁÃ¼"/>
      <family val="3"/>
      <charset val="129"/>
    </font>
    <font>
      <sz val="10"/>
      <name val="¹UAAA¼"/>
      <family val="1"/>
      <charset val="129"/>
    </font>
    <font>
      <sz val="10"/>
      <name val="±¼¸²Ã¼"/>
      <family val="3"/>
      <charset val="129"/>
    </font>
    <font>
      <sz val="9"/>
      <name val="Times New Roman"/>
      <family val="1"/>
    </font>
    <font>
      <b/>
      <sz val="11"/>
      <color indexed="52"/>
      <name val="맑은 고딕"/>
      <family val="3"/>
      <charset val="129"/>
    </font>
    <font>
      <b/>
      <sz val="11"/>
      <color indexed="52"/>
      <name val="맑은 고딕"/>
      <family val="2"/>
      <charset val="129"/>
    </font>
    <font>
      <b/>
      <sz val="11"/>
      <color indexed="53"/>
      <name val="돋움"/>
      <family val="3"/>
      <charset val="129"/>
    </font>
    <font>
      <b/>
      <sz val="11"/>
      <color indexed="52"/>
      <name val="맑은 고딕"/>
      <family val="3"/>
    </font>
    <font>
      <b/>
      <sz val="10"/>
      <name val="Helv"/>
      <family val="2"/>
    </font>
    <font>
      <b/>
      <sz val="11"/>
      <color indexed="9"/>
      <name val="맑은 고딕"/>
      <family val="3"/>
      <charset val="129"/>
    </font>
    <font>
      <b/>
      <sz val="11"/>
      <color indexed="9"/>
      <name val="맑은 고딕"/>
      <family val="2"/>
      <charset val="129"/>
    </font>
    <font>
      <b/>
      <sz val="11"/>
      <color indexed="9"/>
      <name val="돋움"/>
      <family val="3"/>
      <charset val="129"/>
    </font>
    <font>
      <b/>
      <sz val="11"/>
      <color indexed="9"/>
      <name val="맑은 고딕"/>
      <family val="3"/>
    </font>
    <font>
      <sz val="8"/>
      <name val="1UAAA?"/>
      <family val="1"/>
    </font>
    <font>
      <sz val="10"/>
      <color indexed="8"/>
      <name val="Arial"/>
      <family val="2"/>
    </font>
    <font>
      <b/>
      <sz val="12"/>
      <name val="Avalon"/>
      <family val="1"/>
    </font>
    <font>
      <b/>
      <sz val="11"/>
      <color indexed="8"/>
      <name val="돋움"/>
      <family val="3"/>
      <charset val="129"/>
    </font>
    <font>
      <i/>
      <sz val="11"/>
      <color indexed="23"/>
      <name val="맑은 고딕"/>
      <family val="3"/>
      <charset val="129"/>
    </font>
    <font>
      <i/>
      <sz val="11"/>
      <color indexed="23"/>
      <name val="맑은 고딕"/>
      <family val="2"/>
      <charset val="129"/>
    </font>
    <font>
      <i/>
      <sz val="11"/>
      <color indexed="23"/>
      <name val="맑은 고딕"/>
      <family val="3"/>
    </font>
    <font>
      <sz val="1"/>
      <color indexed="8"/>
      <name val="Courier"/>
      <family val="3"/>
    </font>
    <font>
      <u/>
      <sz val="10"/>
      <color indexed="36"/>
      <name val="Arial"/>
      <family val="2"/>
    </font>
    <font>
      <sz val="11"/>
      <color indexed="17"/>
      <name val="맑은 고딕"/>
      <family val="3"/>
      <charset val="129"/>
    </font>
    <font>
      <sz val="11"/>
      <color indexed="17"/>
      <name val="맑은 고딕"/>
      <family val="2"/>
      <charset val="129"/>
    </font>
    <font>
      <sz val="11"/>
      <color indexed="17"/>
      <name val="맑은 고딕"/>
      <family val="3"/>
    </font>
    <font>
      <sz val="11"/>
      <color indexed="17"/>
      <name val="돋움"/>
      <family val="3"/>
      <charset val="129"/>
    </font>
    <font>
      <sz val="8"/>
      <name val="Arial"/>
      <family val="2"/>
    </font>
    <font>
      <b/>
      <sz val="12"/>
      <name val="Helv"/>
      <family val="2"/>
    </font>
    <font>
      <b/>
      <sz val="15"/>
      <color indexed="56"/>
      <name val="맑은 고딕"/>
      <family val="3"/>
      <charset val="129"/>
    </font>
    <font>
      <b/>
      <sz val="15"/>
      <color indexed="56"/>
      <name val="맑은 고딕"/>
      <family val="2"/>
      <charset val="129"/>
    </font>
    <font>
      <b/>
      <sz val="15"/>
      <color indexed="56"/>
      <name val="맑은 고딕"/>
      <family val="3"/>
    </font>
    <font>
      <b/>
      <sz val="15"/>
      <color indexed="62"/>
      <name val="돋움"/>
      <family val="3"/>
      <charset val="129"/>
    </font>
    <font>
      <b/>
      <sz val="13"/>
      <color indexed="56"/>
      <name val="맑은 고딕"/>
      <family val="3"/>
      <charset val="129"/>
    </font>
    <font>
      <b/>
      <sz val="13"/>
      <color indexed="56"/>
      <name val="맑은 고딕"/>
      <family val="2"/>
      <charset val="129"/>
    </font>
    <font>
      <b/>
      <sz val="13"/>
      <color indexed="56"/>
      <name val="맑은 고딕"/>
      <family val="3"/>
    </font>
    <font>
      <b/>
      <sz val="13"/>
      <color indexed="62"/>
      <name val="돋움"/>
      <family val="3"/>
      <charset val="129"/>
    </font>
    <font>
      <b/>
      <sz val="11"/>
      <color indexed="62"/>
      <name val="돋움"/>
      <family val="3"/>
      <charset val="129"/>
    </font>
    <font>
      <b/>
      <sz val="11"/>
      <color indexed="56"/>
      <name val="맑은 고딕"/>
      <family val="3"/>
      <charset val="129"/>
    </font>
    <font>
      <b/>
      <sz val="11"/>
      <color indexed="56"/>
      <name val="맑은 고딕"/>
      <family val="2"/>
      <charset val="129"/>
    </font>
    <font>
      <b/>
      <sz val="11"/>
      <color indexed="56"/>
      <name val="맑은 고딕"/>
      <family val="3"/>
    </font>
    <font>
      <shadow/>
      <sz val="12"/>
      <color indexed="9"/>
      <name val="Arial"/>
      <family val="2"/>
    </font>
    <font>
      <sz val="10"/>
      <color indexed="12"/>
      <name val="Arial"/>
      <family val="2"/>
    </font>
    <font>
      <sz val="5"/>
      <name val="Avalon"/>
      <family val="1"/>
    </font>
    <font>
      <sz val="11"/>
      <color indexed="62"/>
      <name val="맑은 고딕"/>
      <family val="3"/>
      <charset val="129"/>
    </font>
    <font>
      <sz val="11"/>
      <color indexed="62"/>
      <name val="맑은 고딕"/>
      <family val="2"/>
      <charset val="129"/>
    </font>
    <font>
      <sz val="11"/>
      <color indexed="62"/>
      <name val="돋움"/>
      <family val="3"/>
      <charset val="129"/>
    </font>
    <font>
      <sz val="11"/>
      <color indexed="62"/>
      <name val="맑은 고딕"/>
      <family val="3"/>
    </font>
    <font>
      <sz val="11"/>
      <color indexed="52"/>
      <name val="맑은 고딕"/>
      <family val="3"/>
      <charset val="129"/>
    </font>
    <font>
      <sz val="11"/>
      <color indexed="52"/>
      <name val="맑은 고딕"/>
      <family val="2"/>
      <charset val="129"/>
    </font>
    <font>
      <sz val="11"/>
      <color indexed="52"/>
      <name val="맑은 고딕"/>
      <family val="3"/>
    </font>
    <font>
      <sz val="11"/>
      <color indexed="53"/>
      <name val="돋움"/>
      <family val="3"/>
      <charset val="129"/>
    </font>
    <font>
      <sz val="10"/>
      <name val="Times New Roman"/>
      <family val="1"/>
    </font>
    <font>
      <b/>
      <sz val="11"/>
      <name val="Helv"/>
      <family val="2"/>
    </font>
    <font>
      <b/>
      <sz val="14"/>
      <name val="Avalon"/>
      <family val="1"/>
    </font>
    <font>
      <sz val="11"/>
      <color indexed="60"/>
      <name val="맑은 고딕"/>
      <family val="3"/>
      <charset val="129"/>
    </font>
    <font>
      <sz val="11"/>
      <color indexed="60"/>
      <name val="맑은 고딕"/>
      <family val="2"/>
      <charset val="129"/>
    </font>
    <font>
      <sz val="11"/>
      <color indexed="60"/>
      <name val="맑은 고딕"/>
      <family val="3"/>
    </font>
    <font>
      <sz val="11"/>
      <color indexed="60"/>
      <name val="돋움"/>
      <family val="3"/>
      <charset val="129"/>
    </font>
    <font>
      <sz val="10"/>
      <name val="Courier"/>
      <family val="3"/>
    </font>
    <font>
      <sz val="11"/>
      <color indexed="8"/>
      <name val="돋움"/>
      <family val="2"/>
      <charset val="129"/>
    </font>
    <font>
      <sz val="11"/>
      <name val="돋움"/>
      <family val="2"/>
      <charset val="129"/>
    </font>
    <font>
      <b/>
      <sz val="11"/>
      <color indexed="63"/>
      <name val="맑은 고딕"/>
      <family val="3"/>
      <charset val="129"/>
    </font>
    <font>
      <b/>
      <sz val="11"/>
      <color indexed="63"/>
      <name val="돋움"/>
      <family val="3"/>
      <charset val="129"/>
    </font>
    <font>
      <b/>
      <sz val="11"/>
      <color indexed="63"/>
      <name val="맑은 고딕"/>
      <family val="2"/>
      <charset val="129"/>
    </font>
    <font>
      <b/>
      <sz val="11"/>
      <color indexed="63"/>
      <name val="맑은 고딕"/>
      <family val="3"/>
    </font>
    <font>
      <b/>
      <sz val="10"/>
      <color indexed="23"/>
      <name val="바탕체"/>
      <family val="1"/>
      <charset val="129"/>
    </font>
    <font>
      <sz val="12"/>
      <color indexed="9"/>
      <name val="MS Sans Serif"/>
      <family val="2"/>
    </font>
    <font>
      <b/>
      <sz val="9"/>
      <color indexed="18"/>
      <name val="Verdana"/>
      <family val="2"/>
    </font>
    <font>
      <b/>
      <sz val="18"/>
      <color indexed="62"/>
      <name val="맑은 고딕"/>
      <family val="3"/>
      <charset val="129"/>
    </font>
    <font>
      <b/>
      <sz val="18"/>
      <color indexed="56"/>
      <name val="맑은 고딕"/>
      <family val="3"/>
      <charset val="129"/>
    </font>
    <font>
      <b/>
      <sz val="18"/>
      <color indexed="56"/>
      <name val="맑은 고딕"/>
      <family val="2"/>
      <charset val="129"/>
    </font>
    <font>
      <b/>
      <sz val="18"/>
      <color indexed="56"/>
      <name val="맑은 고딕"/>
      <family val="3"/>
    </font>
    <font>
      <b/>
      <sz val="11"/>
      <color indexed="8"/>
      <name val="맑은 고딕"/>
      <family val="3"/>
      <charset val="129"/>
    </font>
    <font>
      <b/>
      <sz val="11"/>
      <color indexed="8"/>
      <name val="맑은 고딕"/>
      <family val="2"/>
      <charset val="129"/>
    </font>
    <font>
      <b/>
      <sz val="11"/>
      <color indexed="8"/>
      <name val="맑은 고딕"/>
      <family val="3"/>
    </font>
    <font>
      <sz val="8"/>
      <color indexed="12"/>
      <name val="Arial"/>
      <family val="2"/>
    </font>
    <font>
      <sz val="11"/>
      <color indexed="10"/>
      <name val="맑은 고딕"/>
      <family val="3"/>
      <charset val="129"/>
    </font>
    <font>
      <sz val="11"/>
      <color indexed="10"/>
      <name val="맑은 고딕"/>
      <family val="2"/>
      <charset val="129"/>
    </font>
    <font>
      <sz val="11"/>
      <color indexed="10"/>
      <name val="맑은 고딕"/>
      <family val="3"/>
    </font>
    <font>
      <sz val="11"/>
      <color indexed="10"/>
      <name val="돋움"/>
      <family val="3"/>
      <charset val="129"/>
    </font>
    <font>
      <sz val="7"/>
      <name val="Avalon"/>
      <family val="1"/>
    </font>
    <font>
      <sz val="7"/>
      <name val="Frutiger"/>
      <family val="1"/>
    </font>
    <font>
      <u/>
      <sz val="11"/>
      <color indexed="12"/>
      <name val="ＭＳ Ｐゴシック"/>
      <family val="2"/>
    </font>
    <font>
      <sz val="10"/>
      <name val=" "/>
      <family val="1"/>
      <charset val="136"/>
    </font>
    <font>
      <sz val="12"/>
      <name val="夥鰻羹"/>
      <family val="3"/>
      <charset val="136"/>
    </font>
    <font>
      <sz val="11"/>
      <color rgb="FFFF0000"/>
      <name val="Calibri"/>
      <family val="3"/>
      <charset val="129"/>
      <scheme val="minor"/>
    </font>
    <font>
      <sz val="11"/>
      <color indexed="10"/>
      <name val="굴림체"/>
      <family val="3"/>
      <charset val="129"/>
    </font>
    <font>
      <sz val="11"/>
      <color rgb="FFFF0000"/>
      <name val="Calibri"/>
      <family val="2"/>
      <charset val="129"/>
      <scheme val="minor"/>
    </font>
    <font>
      <b/>
      <sz val="11"/>
      <color rgb="FFFA7D00"/>
      <name val="Calibri"/>
      <family val="3"/>
      <charset val="129"/>
      <scheme val="minor"/>
    </font>
    <font>
      <b/>
      <sz val="11"/>
      <color indexed="10"/>
      <name val="맑은 고딕"/>
      <family val="3"/>
      <charset val="129"/>
    </font>
    <font>
      <b/>
      <sz val="11"/>
      <color indexed="52"/>
      <name val="굴림체"/>
      <family val="3"/>
      <charset val="129"/>
    </font>
    <font>
      <b/>
      <sz val="11"/>
      <color rgb="FFFA7D00"/>
      <name val="Calibri"/>
      <family val="2"/>
      <charset val="129"/>
      <scheme val="minor"/>
    </font>
    <font>
      <sz val="12"/>
      <color indexed="24"/>
      <name val="바탕체"/>
      <family val="1"/>
      <charset val="129"/>
    </font>
    <font>
      <b/>
      <sz val="18"/>
      <color indexed="24"/>
      <name val="바탕체"/>
      <family val="1"/>
      <charset val="129"/>
    </font>
    <font>
      <b/>
      <sz val="1"/>
      <color indexed="8"/>
      <name val="Courier"/>
      <family val="3"/>
    </font>
    <font>
      <b/>
      <sz val="15"/>
      <color indexed="24"/>
      <name val="바탕체"/>
      <family val="1"/>
      <charset val="129"/>
    </font>
    <font>
      <sz val="11"/>
      <color rgb="FF9C0006"/>
      <name val="Calibri"/>
      <family val="3"/>
      <charset val="129"/>
      <scheme val="minor"/>
    </font>
    <font>
      <sz val="11"/>
      <color indexed="20"/>
      <name val="굴림체"/>
      <family val="3"/>
      <charset val="129"/>
    </font>
    <font>
      <sz val="11"/>
      <color rgb="FF9C0006"/>
      <name val="Calibri"/>
      <family val="2"/>
      <charset val="129"/>
      <scheme val="minor"/>
    </font>
    <font>
      <u/>
      <sz val="11"/>
      <color indexed="36"/>
      <name val="돋움"/>
      <family val="3"/>
      <charset val="129"/>
    </font>
    <font>
      <sz val="14"/>
      <name val="뼥?ⓒ"/>
      <family val="3"/>
      <charset val="129"/>
    </font>
    <font>
      <sz val="10"/>
      <name val="바탕체"/>
      <family val="1"/>
      <charset val="129"/>
    </font>
    <font>
      <sz val="11"/>
      <name val="바탕체"/>
      <family val="1"/>
      <charset val="129"/>
    </font>
    <font>
      <sz val="12"/>
      <name val="굴림"/>
      <family val="3"/>
      <charset val="129"/>
    </font>
    <font>
      <sz val="12"/>
      <name val="바탕체"/>
      <family val="3"/>
    </font>
    <font>
      <sz val="11"/>
      <color rgb="FF9C6500"/>
      <name val="Calibri"/>
      <family val="3"/>
      <charset val="129"/>
      <scheme val="minor"/>
    </font>
    <font>
      <sz val="11"/>
      <color indexed="19"/>
      <name val="맑은 고딕"/>
      <family val="3"/>
      <charset val="129"/>
    </font>
    <font>
      <sz val="11"/>
      <color indexed="60"/>
      <name val="굴림체"/>
      <family val="3"/>
      <charset val="129"/>
    </font>
    <font>
      <sz val="11"/>
      <color rgb="FF9C6500"/>
      <name val="Calibri"/>
      <family val="2"/>
      <charset val="129"/>
      <scheme val="minor"/>
    </font>
    <font>
      <sz val="12"/>
      <name val="뼻뮝"/>
      <family val="1"/>
      <charset val="129"/>
    </font>
    <font>
      <sz val="9"/>
      <name val="굴림체"/>
      <family val="3"/>
      <charset val="129"/>
    </font>
    <font>
      <i/>
      <sz val="11"/>
      <color rgb="FF7F7F7F"/>
      <name val="Calibri"/>
      <family val="3"/>
      <charset val="129"/>
      <scheme val="minor"/>
    </font>
    <font>
      <i/>
      <sz val="11"/>
      <color indexed="23"/>
      <name val="굴림체"/>
      <family val="3"/>
      <charset val="129"/>
    </font>
    <font>
      <i/>
      <sz val="11"/>
      <color rgb="FF7F7F7F"/>
      <name val="Calibri"/>
      <family val="2"/>
      <charset val="129"/>
      <scheme val="minor"/>
    </font>
    <font>
      <b/>
      <sz val="11"/>
      <color theme="0"/>
      <name val="Calibri"/>
      <family val="3"/>
      <charset val="129"/>
      <scheme val="minor"/>
    </font>
    <font>
      <b/>
      <sz val="11"/>
      <color indexed="9"/>
      <name val="굴림체"/>
      <family val="3"/>
      <charset val="129"/>
    </font>
    <font>
      <b/>
      <sz val="11"/>
      <color theme="0"/>
      <name val="Calibri"/>
      <family val="2"/>
      <charset val="129"/>
      <scheme val="minor"/>
    </font>
    <font>
      <sz val="14"/>
      <name val="돋움"/>
      <family val="3"/>
      <charset val="129"/>
    </font>
    <font>
      <b/>
      <sz val="12"/>
      <color indexed="16"/>
      <name val="굴림체"/>
      <family val="3"/>
      <charset val="129"/>
    </font>
    <font>
      <sz val="10"/>
      <color theme="1"/>
      <name val="Calibri"/>
      <family val="3"/>
      <charset val="129"/>
      <scheme val="minor"/>
    </font>
    <font>
      <sz val="11"/>
      <color rgb="FFFA7D00"/>
      <name val="Calibri"/>
      <family val="3"/>
      <charset val="129"/>
      <scheme val="minor"/>
    </font>
    <font>
      <sz val="11"/>
      <color indexed="52"/>
      <name val="굴림체"/>
      <family val="3"/>
      <charset val="129"/>
    </font>
    <font>
      <sz val="11"/>
      <color rgb="FFFA7D00"/>
      <name val="Calibri"/>
      <family val="2"/>
      <charset val="129"/>
      <scheme val="minor"/>
    </font>
    <font>
      <u/>
      <sz val="12"/>
      <color indexed="36"/>
      <name val="바탕체"/>
      <family val="1"/>
      <charset val="129"/>
    </font>
    <font>
      <b/>
      <sz val="11"/>
      <color theme="1"/>
      <name val="Calibri"/>
      <family val="3"/>
      <charset val="129"/>
      <scheme val="minor"/>
    </font>
    <font>
      <b/>
      <sz val="11"/>
      <color indexed="8"/>
      <name val="굴림체"/>
      <family val="3"/>
      <charset val="129"/>
    </font>
    <font>
      <b/>
      <sz val="11"/>
      <color theme="1"/>
      <name val="Calibri"/>
      <family val="2"/>
      <charset val="129"/>
      <scheme val="minor"/>
    </font>
    <font>
      <sz val="11"/>
      <color rgb="FF3F3F76"/>
      <name val="Calibri"/>
      <family val="3"/>
      <charset val="129"/>
      <scheme val="minor"/>
    </font>
    <font>
      <sz val="11"/>
      <color indexed="62"/>
      <name val="굴림체"/>
      <family val="3"/>
      <charset val="129"/>
    </font>
    <font>
      <sz val="11"/>
      <color rgb="FF3F3F76"/>
      <name val="Calibri"/>
      <family val="2"/>
      <charset val="129"/>
      <scheme val="minor"/>
    </font>
    <font>
      <b/>
      <sz val="15"/>
      <color theme="3"/>
      <name val="Calibri"/>
      <family val="3"/>
      <charset val="129"/>
      <scheme val="minor"/>
    </font>
    <font>
      <b/>
      <sz val="15"/>
      <color indexed="62"/>
      <name val="맑은 고딕"/>
      <family val="3"/>
      <charset val="129"/>
    </font>
    <font>
      <b/>
      <sz val="15"/>
      <color indexed="56"/>
      <name val="굴림체"/>
      <family val="3"/>
      <charset val="129"/>
    </font>
    <font>
      <b/>
      <sz val="15"/>
      <color theme="3"/>
      <name val="Calibri"/>
      <family val="2"/>
      <charset val="129"/>
      <scheme val="minor"/>
    </font>
    <font>
      <b/>
      <sz val="18"/>
      <color theme="3"/>
      <name val="Cambria"/>
      <family val="3"/>
      <charset val="129"/>
      <scheme val="major"/>
    </font>
    <font>
      <b/>
      <sz val="13"/>
      <color theme="3"/>
      <name val="Calibri"/>
      <family val="3"/>
      <charset val="129"/>
      <scheme val="minor"/>
    </font>
    <font>
      <b/>
      <sz val="13"/>
      <color indexed="62"/>
      <name val="맑은 고딕"/>
      <family val="3"/>
      <charset val="129"/>
    </font>
    <font>
      <b/>
      <sz val="13"/>
      <color indexed="56"/>
      <name val="굴림체"/>
      <family val="3"/>
      <charset val="129"/>
    </font>
    <font>
      <b/>
      <sz val="13"/>
      <color theme="3"/>
      <name val="Calibri"/>
      <family val="2"/>
      <charset val="129"/>
      <scheme val="minor"/>
    </font>
    <font>
      <b/>
      <sz val="11"/>
      <color theme="3"/>
      <name val="Calibri"/>
      <family val="3"/>
      <charset val="129"/>
      <scheme val="minor"/>
    </font>
    <font>
      <b/>
      <sz val="11"/>
      <color indexed="62"/>
      <name val="맑은 고딕"/>
      <family val="3"/>
      <charset val="129"/>
    </font>
    <font>
      <b/>
      <sz val="11"/>
      <color indexed="56"/>
      <name val="굴림체"/>
      <family val="3"/>
      <charset val="129"/>
    </font>
    <font>
      <b/>
      <sz val="11"/>
      <color theme="3"/>
      <name val="Calibri"/>
      <family val="2"/>
      <charset val="129"/>
      <scheme val="minor"/>
    </font>
    <font>
      <b/>
      <sz val="18"/>
      <color theme="3"/>
      <name val="Cambria"/>
      <family val="2"/>
      <charset val="129"/>
      <scheme val="major"/>
    </font>
    <font>
      <sz val="11"/>
      <color rgb="FF006100"/>
      <name val="Calibri"/>
      <family val="3"/>
      <charset val="129"/>
      <scheme val="minor"/>
    </font>
    <font>
      <sz val="11"/>
      <color indexed="17"/>
      <name val="굴림체"/>
      <family val="3"/>
      <charset val="129"/>
    </font>
    <font>
      <sz val="11"/>
      <color rgb="FF006100"/>
      <name val="Calibri"/>
      <family val="2"/>
      <charset val="129"/>
      <scheme val="minor"/>
    </font>
    <font>
      <b/>
      <sz val="11"/>
      <color rgb="FF3F3F3F"/>
      <name val="Calibri"/>
      <family val="3"/>
      <charset val="129"/>
      <scheme val="minor"/>
    </font>
    <font>
      <b/>
      <sz val="11"/>
      <color indexed="63"/>
      <name val="굴림체"/>
      <family val="3"/>
      <charset val="129"/>
    </font>
    <font>
      <b/>
      <sz val="11"/>
      <color rgb="FF3F3F3F"/>
      <name val="Calibri"/>
      <family val="2"/>
      <charset val="129"/>
      <scheme val="minor"/>
    </font>
    <font>
      <sz val="11"/>
      <name val="돋움"/>
      <family val="2"/>
    </font>
    <font>
      <sz val="9"/>
      <color indexed="8"/>
      <name val="굴림체"/>
      <family val="3"/>
      <charset val="129"/>
    </font>
    <font>
      <sz val="11"/>
      <color theme="1"/>
      <name val="돋움"/>
      <family val="3"/>
      <charset val="129"/>
    </font>
    <font>
      <sz val="11"/>
      <color theme="1"/>
      <name val="돋움"/>
      <family val="2"/>
      <charset val="129"/>
    </font>
    <font>
      <sz val="11"/>
      <color theme="1"/>
      <name val="Calibri"/>
      <family val="2"/>
      <charset val="134"/>
      <scheme val="minor"/>
    </font>
    <font>
      <sz val="10"/>
      <color indexed="8"/>
      <name val="굴림체"/>
      <family val="3"/>
      <charset val="129"/>
    </font>
    <font>
      <sz val="10"/>
      <name val="굴림체"/>
      <family val="3"/>
    </font>
    <font>
      <b/>
      <sz val="10"/>
      <name val="굴림"/>
      <family val="3"/>
      <charset val="129"/>
    </font>
    <font>
      <u/>
      <sz val="10"/>
      <color theme="10"/>
      <name val="맑은 고딕"/>
      <family val="3"/>
      <charset val="129"/>
    </font>
    <font>
      <u/>
      <sz val="7.7"/>
      <color indexed="12"/>
      <name val="돋움"/>
      <family val="3"/>
      <charset val="129"/>
    </font>
    <font>
      <sz val="9"/>
      <name val="Arial"/>
      <family val="2"/>
    </font>
    <font>
      <sz val="12"/>
      <name val="Courier"/>
      <family val="3"/>
    </font>
    <font>
      <sz val="10"/>
      <name val="명조"/>
      <family val="3"/>
      <charset val="129"/>
    </font>
    <font>
      <sz val="12"/>
      <name val="官帕眉"/>
      <family val="1"/>
      <charset val="129"/>
    </font>
    <font>
      <sz val="11"/>
      <name val="ＭＳ Ｐゴシック"/>
      <family val="2"/>
      <charset val="128"/>
    </font>
    <font>
      <sz val="11"/>
      <name val="明朝"/>
      <family val="1"/>
      <charset val="128"/>
    </font>
    <font>
      <sz val="11"/>
      <name val="奔覆眉"/>
      <family val="3"/>
      <charset val="129"/>
    </font>
    <font>
      <u/>
      <sz val="8.25"/>
      <color indexed="36"/>
      <name val="ＭＳ Ｐゴシック"/>
      <family val="2"/>
    </font>
    <font>
      <sz val="11"/>
      <name val="ＭＳ Ｐゴシック"/>
      <family val="2"/>
    </font>
    <font>
      <sz val="12"/>
      <name val="宋体"/>
      <charset val="134"/>
    </font>
    <font>
      <sz val="12"/>
      <name val="微软雅黑"/>
      <family val="2"/>
      <charset val="134"/>
    </font>
    <font>
      <sz val="10"/>
      <name val="바탕체"/>
      <family val="3"/>
      <charset val="129"/>
    </font>
    <font>
      <sz val="10"/>
      <name val="微软雅黑"/>
      <family val="2"/>
      <charset val="134"/>
    </font>
    <font>
      <b/>
      <sz val="14"/>
      <name val="微软雅黑"/>
      <family val="2"/>
      <charset val="134"/>
    </font>
    <font>
      <b/>
      <sz val="12"/>
      <color indexed="8"/>
      <name val="微软雅黑"/>
      <family val="2"/>
      <charset val="134"/>
    </font>
    <font>
      <b/>
      <sz val="20"/>
      <color indexed="18"/>
      <name val="微软雅黑"/>
      <family val="2"/>
      <charset val="134"/>
    </font>
    <font>
      <b/>
      <sz val="20"/>
      <name val="微软雅黑"/>
      <family val="2"/>
      <charset val="134"/>
    </font>
    <font>
      <sz val="16"/>
      <name val="微软雅黑"/>
      <family val="2"/>
      <charset val="134"/>
    </font>
    <font>
      <b/>
      <sz val="18"/>
      <name val="Cambria"/>
      <family val="3"/>
      <charset val="129"/>
      <scheme val="major"/>
    </font>
    <font>
      <sz val="10"/>
      <name val="Cambria"/>
      <family val="3"/>
      <charset val="129"/>
      <scheme val="major"/>
    </font>
    <font>
      <b/>
      <sz val="14"/>
      <name val="Cambria"/>
      <family val="3"/>
      <charset val="129"/>
      <scheme val="major"/>
    </font>
    <font>
      <b/>
      <sz val="10"/>
      <name val="Cambria"/>
      <family val="3"/>
      <charset val="129"/>
      <scheme val="major"/>
    </font>
    <font>
      <sz val="12"/>
      <name val="Cambria"/>
      <family val="3"/>
      <charset val="129"/>
      <scheme val="major"/>
    </font>
    <font>
      <b/>
      <sz val="12"/>
      <name val="Cambria"/>
      <family val="3"/>
      <charset val="129"/>
      <scheme val="major"/>
    </font>
    <font>
      <b/>
      <sz val="12"/>
      <color indexed="12"/>
      <name val="Cambria"/>
      <family val="3"/>
      <charset val="129"/>
      <scheme val="major"/>
    </font>
    <font>
      <b/>
      <sz val="8"/>
      <name val="Cambria"/>
      <family val="3"/>
      <charset val="129"/>
      <scheme val="major"/>
    </font>
    <font>
      <sz val="11"/>
      <name val="Cambria"/>
      <family val="3"/>
      <charset val="129"/>
      <scheme val="major"/>
    </font>
    <font>
      <b/>
      <sz val="10.5"/>
      <name val="Cambria"/>
      <family val="3"/>
      <charset val="129"/>
      <scheme val="major"/>
    </font>
    <font>
      <b/>
      <sz val="11"/>
      <name val="Cambria"/>
      <family val="3"/>
      <charset val="129"/>
      <scheme val="major"/>
    </font>
    <font>
      <b/>
      <sz val="11"/>
      <color theme="1"/>
      <name val="Cambria"/>
      <family val="3"/>
      <charset val="129"/>
      <scheme val="major"/>
    </font>
    <font>
      <b/>
      <sz val="8"/>
      <color theme="1"/>
      <name val="Cambria"/>
      <family val="3"/>
      <charset val="129"/>
      <scheme val="major"/>
    </font>
    <font>
      <b/>
      <sz val="9"/>
      <color theme="1"/>
      <name val="Cambria"/>
      <family val="3"/>
      <charset val="129"/>
      <scheme val="major"/>
    </font>
    <font>
      <b/>
      <sz val="11"/>
      <color indexed="12"/>
      <name val="Cambria"/>
      <family val="3"/>
      <charset val="129"/>
      <scheme val="major"/>
    </font>
    <font>
      <sz val="10.5"/>
      <color indexed="12"/>
      <name val="Cambria"/>
      <family val="3"/>
      <charset val="129"/>
      <scheme val="major"/>
    </font>
    <font>
      <b/>
      <sz val="10.5"/>
      <color theme="1"/>
      <name val="Cambria"/>
      <family val="3"/>
      <charset val="129"/>
      <scheme val="major"/>
    </font>
    <font>
      <b/>
      <sz val="8"/>
      <name val="Cambria"/>
      <family val="1"/>
      <scheme val="major"/>
    </font>
    <font>
      <b/>
      <sz val="10.5"/>
      <name val="Cambria"/>
      <family val="1"/>
      <scheme val="major"/>
    </font>
    <font>
      <sz val="10"/>
      <color indexed="81"/>
      <name val="Cambria"/>
      <family val="3"/>
      <charset val="129"/>
      <scheme val="major"/>
    </font>
    <font>
      <sz val="18"/>
      <name val="Calibri"/>
      <family val="3"/>
      <charset val="129"/>
      <scheme val="minor"/>
    </font>
    <font>
      <sz val="10"/>
      <name val="Calibri"/>
      <family val="3"/>
      <charset val="129"/>
      <scheme val="minor"/>
    </font>
    <font>
      <b/>
      <sz val="6"/>
      <color rgb="FF003399"/>
      <name val="Calibri"/>
      <family val="3"/>
      <charset val="129"/>
      <scheme val="minor"/>
    </font>
    <font>
      <b/>
      <sz val="8"/>
      <color rgb="FF003399"/>
      <name val="Calibri"/>
      <family val="3"/>
      <charset val="129"/>
      <scheme val="minor"/>
    </font>
    <font>
      <b/>
      <sz val="10"/>
      <color rgb="FF003399"/>
      <name val="Calibri"/>
      <family val="3"/>
      <charset val="129"/>
      <scheme val="minor"/>
    </font>
    <font>
      <sz val="8"/>
      <name val="Calibri"/>
      <family val="3"/>
      <charset val="129"/>
      <scheme val="minor"/>
    </font>
    <font>
      <sz val="10"/>
      <color rgb="FFFF0000"/>
      <name val="Calibri"/>
      <family val="3"/>
      <charset val="129"/>
      <scheme val="minor"/>
    </font>
    <font>
      <sz val="10"/>
      <color indexed="8"/>
      <name val="Calibri"/>
      <family val="3"/>
      <charset val="129"/>
      <scheme val="minor"/>
    </font>
  </fonts>
  <fills count="10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rgb="FFFFFFFF"/>
        <bgColor indexed="64"/>
      </patternFill>
    </fill>
    <fill>
      <patternFill patternType="solid">
        <fgColor indexed="31"/>
      </patternFill>
    </fill>
    <fill>
      <patternFill patternType="solid">
        <fgColor indexed="31"/>
        <bgColor indexed="64"/>
      </patternFill>
    </fill>
    <fill>
      <patternFill patternType="solid">
        <fgColor indexed="45"/>
      </patternFill>
    </fill>
    <fill>
      <patternFill patternType="solid">
        <fgColor indexed="45"/>
        <bgColor indexed="64"/>
      </patternFill>
    </fill>
    <fill>
      <patternFill patternType="solid">
        <fgColor indexed="42"/>
      </patternFill>
    </fill>
    <fill>
      <patternFill patternType="solid">
        <fgColor indexed="42"/>
        <bgColor indexed="64"/>
      </patternFill>
    </fill>
    <fill>
      <patternFill patternType="solid">
        <fgColor indexed="46"/>
      </patternFill>
    </fill>
    <fill>
      <patternFill patternType="solid">
        <fgColor indexed="46"/>
        <bgColor indexed="64"/>
      </patternFill>
    </fill>
    <fill>
      <patternFill patternType="solid">
        <fgColor indexed="27"/>
      </patternFill>
    </fill>
    <fill>
      <patternFill patternType="solid">
        <fgColor indexed="27"/>
        <bgColor indexed="64"/>
      </patternFill>
    </fill>
    <fill>
      <patternFill patternType="solid">
        <fgColor indexed="47"/>
      </patternFill>
    </fill>
    <fill>
      <patternFill patternType="solid">
        <fgColor indexed="47"/>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4"/>
        <bgColor indexed="64"/>
      </patternFill>
    </fill>
    <fill>
      <patternFill patternType="solid">
        <fgColor indexed="29"/>
        <bgColor indexed="64"/>
      </patternFill>
    </fill>
    <fill>
      <patternFill patternType="solid">
        <fgColor indexed="11"/>
      </patternFill>
    </fill>
    <fill>
      <patternFill patternType="solid">
        <fgColor indexed="11"/>
        <bgColor indexed="64"/>
      </patternFill>
    </fill>
    <fill>
      <patternFill patternType="solid">
        <fgColor indexed="51"/>
      </patternFill>
    </fill>
    <fill>
      <patternFill patternType="solid">
        <fgColor indexed="51"/>
        <bgColor indexed="64"/>
      </patternFill>
    </fill>
    <fill>
      <patternFill patternType="solid">
        <fgColor indexed="43"/>
      </patternFill>
    </fill>
    <fill>
      <patternFill patternType="solid">
        <fgColor indexed="30"/>
      </patternFill>
    </fill>
    <fill>
      <patternFill patternType="solid">
        <fgColor indexed="30"/>
        <bgColor indexed="64"/>
      </patternFill>
    </fill>
    <fill>
      <patternFill patternType="solid">
        <fgColor indexed="36"/>
      </patternFill>
    </fill>
    <fill>
      <patternFill patternType="solid">
        <fgColor indexed="20"/>
        <bgColor indexed="64"/>
      </patternFill>
    </fill>
    <fill>
      <patternFill patternType="solid">
        <fgColor indexed="49"/>
      </patternFill>
    </fill>
    <fill>
      <patternFill patternType="solid">
        <fgColor indexed="49"/>
        <bgColor indexed="64"/>
      </patternFill>
    </fill>
    <fill>
      <patternFill patternType="solid">
        <fgColor indexed="52"/>
      </patternFill>
    </fill>
    <fill>
      <patternFill patternType="solid">
        <fgColor indexed="52"/>
        <bgColor indexed="64"/>
      </patternFill>
    </fill>
    <fill>
      <patternFill patternType="solid">
        <fgColor indexed="53"/>
      </patternFill>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62"/>
      </patternFill>
    </fill>
    <fill>
      <patternFill patternType="solid">
        <fgColor indexed="62"/>
        <bgColor indexed="6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10"/>
      </patternFill>
    </fill>
    <fill>
      <patternFill patternType="solid">
        <fgColor indexed="10"/>
        <bgColor indexed="64"/>
      </patternFill>
    </fill>
    <fill>
      <patternFill patternType="solid">
        <fgColor indexed="25"/>
        <bgColor indexed="25"/>
      </patternFill>
    </fill>
    <fill>
      <patternFill patternType="solid">
        <fgColor indexed="57"/>
      </patternFill>
    </fill>
    <fill>
      <patternFill patternType="solid">
        <fgColor indexed="57"/>
        <bgColor indexed="64"/>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3"/>
        <bgColor indexed="64"/>
      </patternFill>
    </fill>
    <fill>
      <patternFill patternType="solid">
        <fgColor indexed="52"/>
        <bgColor indexed="52"/>
      </patternFill>
    </fill>
    <fill>
      <patternFill patternType="solid">
        <fgColor indexed="45"/>
        <bgColor indexed="45"/>
      </patternFill>
    </fill>
    <fill>
      <patternFill patternType="solid">
        <fgColor indexed="22"/>
      </patternFill>
    </fill>
    <fill>
      <patternFill patternType="solid">
        <fgColor indexed="22"/>
        <bgColor indexed="64"/>
      </patternFill>
    </fill>
    <fill>
      <patternFill patternType="solid">
        <fgColor indexed="9"/>
        <bgColor indexed="9"/>
      </patternFill>
    </fill>
    <fill>
      <patternFill patternType="solid">
        <fgColor indexed="55"/>
      </patternFill>
    </fill>
    <fill>
      <patternFill patternType="solid">
        <fgColor indexed="55"/>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9"/>
        <bgColor indexed="64"/>
      </patternFill>
    </fill>
    <fill>
      <patternFill patternType="gray0625"/>
    </fill>
    <fill>
      <patternFill patternType="solid">
        <fgColor indexed="43"/>
        <bgColor indexed="64"/>
      </patternFill>
    </fill>
    <fill>
      <patternFill patternType="solid">
        <fgColor indexed="26"/>
        <bgColor indexed="64"/>
      </patternFill>
    </fill>
    <fill>
      <patternFill patternType="solid">
        <fgColor indexed="54"/>
        <bgColor indexed="64"/>
      </patternFill>
    </fill>
    <fill>
      <patternFill patternType="solid">
        <fgColor indexed="41"/>
      </patternFill>
    </fill>
    <fill>
      <patternFill patternType="solid">
        <fgColor indexed="41"/>
        <bgColor indexed="64"/>
      </patternFill>
    </fill>
    <fill>
      <patternFill patternType="solid">
        <fgColor indexed="40"/>
      </patternFill>
    </fill>
    <fill>
      <patternFill patternType="solid">
        <fgColor indexed="4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s>
  <borders count="8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style="thin">
        <color indexed="64"/>
      </left>
      <right/>
      <top/>
      <bottom style="medium">
        <color indexed="64"/>
      </bottom>
      <diagonal/>
    </border>
    <border>
      <left style="double">
        <color indexed="64"/>
      </left>
      <right/>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style="double">
        <color indexed="64"/>
      </bottom>
      <diagonal/>
    </border>
    <border>
      <left/>
      <right/>
      <top style="medium">
        <color indexed="64"/>
      </top>
      <bottom style="medium">
        <color indexed="64"/>
      </bottom>
      <diagonal/>
    </border>
    <border>
      <left/>
      <right/>
      <top/>
      <bottom style="thick">
        <color indexed="62"/>
      </bottom>
      <diagonal/>
    </border>
    <border>
      <left/>
      <right/>
      <top/>
      <bottom style="thick">
        <color indexed="54"/>
      </bottom>
      <diagonal/>
    </border>
    <border>
      <left/>
      <right/>
      <top/>
      <bottom style="thick">
        <color indexed="22"/>
      </bottom>
      <diagonal/>
    </border>
    <border>
      <left/>
      <right/>
      <top/>
      <bottom style="medium">
        <color indexed="44"/>
      </bottom>
      <diagonal/>
    </border>
    <border>
      <left/>
      <right/>
      <top/>
      <bottom style="medium">
        <color indexed="30"/>
      </bottom>
      <diagonal/>
    </border>
    <border>
      <left style="double">
        <color indexed="64"/>
      </left>
      <right style="double">
        <color indexed="64"/>
      </right>
      <top style="double">
        <color indexed="64"/>
      </top>
      <bottom style="double">
        <color indexed="64"/>
      </bottom>
      <diagonal/>
    </border>
    <border>
      <left style="hair">
        <color auto="1"/>
      </left>
      <right style="hair">
        <color auto="1"/>
      </right>
      <top style="hair">
        <color auto="1"/>
      </top>
      <bottom style="hair">
        <color auto="1"/>
      </bottom>
      <diagonal/>
    </border>
    <border>
      <left/>
      <right/>
      <top/>
      <bottom style="double">
        <color indexed="52"/>
      </bottom>
      <diagonal/>
    </border>
    <border>
      <left/>
      <right/>
      <top/>
      <bottom style="medium">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style="medium">
        <color indexed="12"/>
      </top>
      <bottom style="medium">
        <color indexed="12"/>
      </bottom>
      <diagonal/>
    </border>
    <border>
      <left/>
      <right/>
      <top/>
      <bottom style="thick">
        <color indexed="44"/>
      </bottom>
      <diagonal/>
    </border>
    <border>
      <left style="thin">
        <color indexed="48"/>
      </left>
      <right style="thin">
        <color indexed="48"/>
      </right>
      <top style="thin">
        <color indexed="48"/>
      </top>
      <bottom style="thin">
        <color indexed="48"/>
      </bottom>
      <diagonal/>
    </border>
    <border>
      <left/>
      <right/>
      <top style="thin">
        <color indexed="62"/>
      </top>
      <bottom style="double">
        <color indexed="62"/>
      </bottom>
      <diagonal/>
    </border>
    <border>
      <left/>
      <right/>
      <top style="thin">
        <color indexed="64"/>
      </top>
      <bottom style="double">
        <color indexed="64"/>
      </bottom>
      <diagonal/>
    </border>
    <border>
      <left/>
      <right/>
      <top style="thin">
        <color indexed="54"/>
      </top>
      <bottom style="double">
        <color indexed="54"/>
      </bottom>
      <diagonal/>
    </border>
    <border>
      <left/>
      <right/>
      <top/>
      <bottom style="double">
        <color indexed="10"/>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double">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55"/>
      </right>
      <top style="thin">
        <color indexed="64"/>
      </top>
      <bottom style="thin">
        <color indexed="55"/>
      </bottom>
      <diagonal/>
    </border>
    <border>
      <left style="thin">
        <color indexed="55"/>
      </left>
      <right style="thin">
        <color indexed="55"/>
      </right>
      <top style="thin">
        <color indexed="64"/>
      </top>
      <bottom style="thin">
        <color indexed="55"/>
      </bottom>
      <diagonal/>
    </border>
  </borders>
  <cellStyleXfs count="51135">
    <xf numFmtId="0" fontId="0" fillId="0" borderId="0"/>
    <xf numFmtId="9" fontId="1" fillId="0" borderId="0" applyFont="0" applyFill="0" applyBorder="0" applyAlignment="0" applyProtection="0"/>
    <xf numFmtId="0" fontId="15" fillId="0" borderId="0" applyNumberFormat="0" applyFill="0" applyBorder="0" applyAlignment="0" applyProtection="0"/>
    <xf numFmtId="0" fontId="23" fillId="0" borderId="0"/>
    <xf numFmtId="164" fontId="37" fillId="0" borderId="0" applyFont="0" applyFill="0" applyBorder="0" applyAlignment="0" applyProtection="0"/>
    <xf numFmtId="164" fontId="38" fillId="0" borderId="0" applyFont="0" applyFill="0" applyBorder="0" applyAlignment="0" applyProtection="0"/>
    <xf numFmtId="0" fontId="38" fillId="0" borderId="0" applyFont="0" applyFill="0" applyBorder="0" applyAlignment="0" applyProtection="0"/>
    <xf numFmtId="165" fontId="39" fillId="0" borderId="0" applyFont="0" applyFill="0" applyBorder="0" applyAlignment="0" applyProtection="0"/>
    <xf numFmtId="0" fontId="5" fillId="0" borderId="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6" fontId="40" fillId="0" borderId="0" applyFont="0" applyFill="0" applyBorder="0" applyAlignment="0" applyProtection="0"/>
    <xf numFmtId="0" fontId="41" fillId="0" borderId="0" applyFont="0" applyFill="0" applyBorder="0" applyAlignment="0" applyProtection="0"/>
    <xf numFmtId="167" fontId="40" fillId="0" borderId="0" applyFont="0" applyFill="0" applyBorder="0" applyAlignment="0" applyProtection="0"/>
    <xf numFmtId="0" fontId="38" fillId="0" borderId="0"/>
    <xf numFmtId="0" fontId="38" fillId="0" borderId="0"/>
    <xf numFmtId="0" fontId="38" fillId="0" borderId="0"/>
    <xf numFmtId="0" fontId="38" fillId="0" borderId="0"/>
    <xf numFmtId="164" fontId="42" fillId="0" borderId="0" applyNumberFormat="0" applyFill="0" applyBorder="0" applyAlignment="0" applyProtection="0"/>
    <xf numFmtId="164" fontId="43" fillId="0" borderId="0" applyFont="0" applyFill="0" applyBorder="0" applyAlignment="0" applyProtection="0"/>
    <xf numFmtId="40" fontId="41"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38" fontId="41" fillId="0" borderId="0" applyFont="0" applyFill="0" applyBorder="0" applyAlignment="0" applyProtection="0"/>
    <xf numFmtId="168" fontId="44" fillId="0" borderId="0" applyFont="0" applyFill="0" applyBorder="0" applyAlignment="0" applyProtection="0"/>
    <xf numFmtId="164" fontId="43" fillId="0" borderId="0" applyFont="0" applyFill="0" applyBorder="0" applyAlignment="0" applyProtection="0"/>
    <xf numFmtId="9" fontId="45" fillId="0" borderId="0" applyFont="0" applyFill="0" applyBorder="0" applyAlignment="0" applyProtection="0"/>
    <xf numFmtId="164" fontId="46" fillId="0" borderId="0"/>
    <xf numFmtId="169" fontId="47" fillId="0" borderId="0" applyFont="0" applyFill="0" applyBorder="0" applyAlignment="0" applyProtection="0"/>
    <xf numFmtId="0" fontId="48" fillId="0" borderId="0"/>
    <xf numFmtId="0" fontId="49" fillId="0" borderId="0" applyNumberFormat="0" applyFill="0" applyBorder="0" applyAlignment="0" applyProtection="0">
      <alignment vertical="top"/>
      <protection locked="0"/>
    </xf>
    <xf numFmtId="164" fontId="5" fillId="0" borderId="0" applyNumberFormat="0" applyFill="0" applyBorder="0" applyAlignment="0" applyProtection="0"/>
    <xf numFmtId="0" fontId="5" fillId="0" borderId="0" applyNumberFormat="0" applyFill="0" applyBorder="0" applyAlignment="0" applyProtection="0"/>
    <xf numFmtId="164" fontId="43" fillId="0" borderId="0" applyFont="0" applyFill="0" applyBorder="0" applyAlignment="0" applyProtection="0"/>
    <xf numFmtId="164" fontId="43" fillId="0" borderId="0" applyFont="0" applyFill="0" applyBorder="0" applyAlignment="0" applyProtection="0"/>
    <xf numFmtId="0" fontId="5" fillId="0" borderId="0"/>
    <xf numFmtId="10" fontId="50" fillId="0" borderId="0" applyFont="0" applyFill="0" applyBorder="0" applyAlignment="0" applyProtection="0"/>
    <xf numFmtId="164" fontId="50" fillId="0" borderId="0"/>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0" fontId="39" fillId="0" borderId="44">
      <alignment vertical="center"/>
    </xf>
    <xf numFmtId="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1" fontId="51" fillId="0" borderId="44">
      <alignment vertical="center"/>
    </xf>
    <xf numFmtId="164" fontId="38" fillId="0" borderId="44">
      <alignment vertical="center"/>
    </xf>
    <xf numFmtId="172" fontId="38"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4" fontId="39" fillId="0" borderId="44">
      <alignment vertical="center"/>
    </xf>
    <xf numFmtId="174" fontId="39" fillId="0" borderId="44">
      <alignment vertical="center"/>
    </xf>
    <xf numFmtId="174"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4" fontId="39" fillId="0" borderId="44">
      <alignment vertical="center"/>
    </xf>
    <xf numFmtId="174" fontId="39" fillId="0" borderId="44">
      <alignment vertical="center"/>
    </xf>
    <xf numFmtId="174"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64" fontId="52"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64"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4" fontId="39" fillId="0" borderId="44">
      <alignment vertical="center"/>
    </xf>
    <xf numFmtId="174" fontId="39" fillId="0" borderId="44">
      <alignment vertical="center"/>
    </xf>
    <xf numFmtId="174"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3"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70" fontId="39" fillId="0" borderId="44">
      <alignment vertical="center"/>
    </xf>
    <xf numFmtId="164" fontId="5" fillId="0" borderId="0"/>
    <xf numFmtId="164" fontId="5" fillId="0" borderId="0"/>
    <xf numFmtId="164" fontId="5" fillId="0" borderId="0"/>
    <xf numFmtId="164" fontId="5" fillId="0" borderId="0"/>
    <xf numFmtId="164" fontId="38" fillId="0" borderId="0"/>
    <xf numFmtId="164" fontId="5" fillId="0" borderId="0"/>
    <xf numFmtId="0" fontId="5" fillId="0" borderId="0"/>
    <xf numFmtId="164" fontId="5" fillId="0" borderId="0" applyNumberFormat="0"/>
    <xf numFmtId="164" fontId="5" fillId="0" borderId="0"/>
    <xf numFmtId="0" fontId="5" fillId="0" borderId="0"/>
    <xf numFmtId="164" fontId="39" fillId="0" borderId="0" applyFont="0" applyFill="0" applyBorder="0" applyAlignment="0" applyProtection="0"/>
    <xf numFmtId="0" fontId="39" fillId="0" borderId="0" applyFont="0" applyFill="0" applyBorder="0" applyAlignment="0" applyProtection="0"/>
    <xf numFmtId="175" fontId="38" fillId="0" borderId="0" applyFont="0" applyFill="0" applyBorder="0" applyAlignment="0" applyProtection="0"/>
    <xf numFmtId="164" fontId="5" fillId="0" borderId="0"/>
    <xf numFmtId="176" fontId="39" fillId="0" borderId="0" applyFont="0" applyFill="0" applyBorder="0" applyAlignment="0" applyProtection="0"/>
    <xf numFmtId="177" fontId="39" fillId="0" borderId="0" applyFont="0" applyFill="0" applyBorder="0" applyAlignment="0" applyProtection="0"/>
    <xf numFmtId="178" fontId="39" fillId="0" borderId="0" applyFont="0" applyFill="0" applyBorder="0" applyAlignment="0" applyProtection="0"/>
    <xf numFmtId="179" fontId="39" fillId="0" borderId="0" applyFont="0" applyFill="0" applyBorder="0" applyAlignment="0" applyProtection="0"/>
    <xf numFmtId="180" fontId="39"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5" fillId="0" borderId="0"/>
    <xf numFmtId="0" fontId="5" fillId="0" borderId="0"/>
    <xf numFmtId="164" fontId="39" fillId="0" borderId="0" applyFont="0" applyFill="0" applyBorder="0" applyAlignment="0" applyProtection="0"/>
    <xf numFmtId="0" fontId="39" fillId="0" borderId="0" applyFont="0" applyFill="0" applyBorder="0" applyAlignment="0" applyProtection="0"/>
    <xf numFmtId="164" fontId="5" fillId="0" borderId="0"/>
    <xf numFmtId="0" fontId="5" fillId="0" borderId="0"/>
    <xf numFmtId="164" fontId="52" fillId="0" borderId="0" applyFont="0" applyFill="0" applyBorder="0" applyAlignment="0" applyProtection="0"/>
    <xf numFmtId="0" fontId="52" fillId="0" borderId="0" applyFont="0" applyFill="0" applyBorder="0" applyAlignment="0" applyProtection="0"/>
    <xf numFmtId="164" fontId="38" fillId="0" borderId="0"/>
    <xf numFmtId="164" fontId="5" fillId="0" borderId="0"/>
    <xf numFmtId="164" fontId="5" fillId="0" borderId="0"/>
    <xf numFmtId="164" fontId="5" fillId="0" borderId="0"/>
    <xf numFmtId="0" fontId="5" fillId="0" borderId="0"/>
    <xf numFmtId="0" fontId="53" fillId="0" borderId="0"/>
    <xf numFmtId="164" fontId="38" fillId="0" borderId="0"/>
    <xf numFmtId="164" fontId="38" fillId="0" borderId="0"/>
    <xf numFmtId="164" fontId="38" fillId="0" borderId="0"/>
    <xf numFmtId="164" fontId="5" fillId="0" borderId="0"/>
    <xf numFmtId="164" fontId="5" fillId="0" borderId="0"/>
    <xf numFmtId="164" fontId="52" fillId="0" borderId="0" applyFont="0" applyFill="0" applyBorder="0" applyAlignment="0" applyProtection="0"/>
    <xf numFmtId="0" fontId="52" fillId="0" borderId="0" applyFont="0" applyFill="0" applyBorder="0" applyAlignment="0" applyProtection="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xf numFmtId="0" fontId="5" fillId="0" borderId="0"/>
    <xf numFmtId="164" fontId="38" fillId="0" borderId="0" applyFont="0" applyFill="0" applyBorder="0" applyAlignment="0" applyProtection="0"/>
    <xf numFmtId="0" fontId="38" fillId="0" borderId="0" applyFont="0" applyFill="0" applyBorder="0" applyAlignment="0" applyProtection="0"/>
    <xf numFmtId="164" fontId="38" fillId="0" borderId="0" applyFont="0" applyFill="0" applyBorder="0" applyAlignment="0" applyProtection="0"/>
    <xf numFmtId="0" fontId="38" fillId="0" borderId="0" applyFont="0" applyFill="0" applyBorder="0" applyAlignment="0" applyProtection="0"/>
    <xf numFmtId="164" fontId="38" fillId="0" borderId="0" applyFont="0" applyFill="0" applyBorder="0" applyAlignment="0" applyProtection="0"/>
    <xf numFmtId="0" fontId="38" fillId="0" borderId="0" applyFont="0" applyFill="0" applyBorder="0" applyAlignment="0" applyProtection="0"/>
    <xf numFmtId="164" fontId="5" fillId="0" borderId="0"/>
    <xf numFmtId="164" fontId="5" fillId="0" borderId="0"/>
    <xf numFmtId="164" fontId="5" fillId="0" borderId="0"/>
    <xf numFmtId="164" fontId="5" fillId="0" borderId="0"/>
    <xf numFmtId="164" fontId="39" fillId="0" borderId="0" applyFont="0" applyFill="0" applyBorder="0" applyAlignment="0" applyProtection="0"/>
    <xf numFmtId="0" fontId="39" fillId="0" borderId="0" applyFont="0" applyFill="0" applyBorder="0" applyAlignment="0" applyProtection="0"/>
    <xf numFmtId="164" fontId="38" fillId="0" borderId="0" applyFont="0" applyFill="0" applyBorder="0" applyAlignment="0" applyProtection="0"/>
    <xf numFmtId="181" fontId="51" fillId="0" borderId="0" applyFont="0" applyFill="0" applyBorder="0" applyAlignment="0" applyProtection="0"/>
    <xf numFmtId="182" fontId="52"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3" fontId="39" fillId="0" borderId="0" applyFont="0" applyFill="0" applyBorder="0" applyAlignment="0" applyProtection="0"/>
    <xf numFmtId="184" fontId="54" fillId="0" borderId="0" applyFont="0" applyFill="0" applyBorder="0" applyAlignment="0" applyProtection="0"/>
    <xf numFmtId="164" fontId="5" fillId="0" borderId="0"/>
    <xf numFmtId="164" fontId="5" fillId="0" borderId="0"/>
    <xf numFmtId="164" fontId="5" fillId="0" borderId="0"/>
    <xf numFmtId="164" fontId="5" fillId="0" borderId="0"/>
    <xf numFmtId="164" fontId="5" fillId="0" borderId="0"/>
    <xf numFmtId="164" fontId="38" fillId="0" borderId="0"/>
    <xf numFmtId="164" fontId="5" fillId="0" borderId="0"/>
    <xf numFmtId="164" fontId="5" fillId="0" borderId="0"/>
    <xf numFmtId="164" fontId="5" fillId="0" borderId="0"/>
    <xf numFmtId="164" fontId="5" fillId="0" borderId="0"/>
    <xf numFmtId="164" fontId="5" fillId="0" borderId="0"/>
    <xf numFmtId="164" fontId="5" fillId="0" borderId="0" applyNumberFormat="0"/>
    <xf numFmtId="164" fontId="5" fillId="0" borderId="0"/>
    <xf numFmtId="164" fontId="5" fillId="0" borderId="0"/>
    <xf numFmtId="164" fontId="38" fillId="0" borderId="0"/>
    <xf numFmtId="164" fontId="5" fillId="0" borderId="0"/>
    <xf numFmtId="0" fontId="5" fillId="0" borderId="0"/>
    <xf numFmtId="164" fontId="5" fillId="0" borderId="0"/>
    <xf numFmtId="0" fontId="5" fillId="0" borderId="0"/>
    <xf numFmtId="164" fontId="5" fillId="0" borderId="0"/>
    <xf numFmtId="0" fontId="5" fillId="0" borderId="0"/>
    <xf numFmtId="164" fontId="5" fillId="0" borderId="0"/>
    <xf numFmtId="0" fontId="5" fillId="0" borderId="0"/>
    <xf numFmtId="164" fontId="5" fillId="0" borderId="0"/>
    <xf numFmtId="164" fontId="5" fillId="0" borderId="0"/>
    <xf numFmtId="0" fontId="5" fillId="0" borderId="0"/>
    <xf numFmtId="164" fontId="5" fillId="0" borderId="0"/>
    <xf numFmtId="164" fontId="5" fillId="0" borderId="0"/>
    <xf numFmtId="0" fontId="53" fillId="0" borderId="0"/>
    <xf numFmtId="164" fontId="38" fillId="0" borderId="0" applyFont="0" applyFill="0" applyBorder="0" applyAlignment="0" applyProtection="0"/>
    <xf numFmtId="164" fontId="38" fillId="0" borderId="0" applyFont="0" applyFill="0" applyBorder="0" applyAlignment="0" applyProtection="0"/>
    <xf numFmtId="0" fontId="55" fillId="0" borderId="0" applyNumberFormat="0" applyFill="0" applyBorder="0" applyAlignment="0" applyProtection="0">
      <alignment vertical="top"/>
      <protection locked="0"/>
    </xf>
    <xf numFmtId="0" fontId="5" fillId="0" borderId="0" applyFont="0" applyFill="0" applyBorder="0" applyAlignment="0" applyProtection="0"/>
    <xf numFmtId="0" fontId="5" fillId="0" borderId="0" applyFont="0" applyFill="0" applyBorder="0" applyAlignment="0" applyProtection="0"/>
    <xf numFmtId="10" fontId="56" fillId="0" borderId="0" applyFont="0" applyFill="0" applyBorder="0" applyAlignment="0" applyProtection="0"/>
    <xf numFmtId="164" fontId="11" fillId="0" borderId="0"/>
    <xf numFmtId="10" fontId="57" fillId="0" borderId="0" applyFont="0" applyFill="0" applyBorder="0" applyAlignment="0" applyProtection="0"/>
    <xf numFmtId="164" fontId="58" fillId="0" borderId="0" applyNumberFormat="0" applyFill="0" applyBorder="0" applyAlignment="0" applyProtection="0"/>
    <xf numFmtId="164" fontId="59" fillId="0" borderId="0" applyNumberFormat="0" applyFill="0" applyBorder="0" applyAlignment="0" applyProtection="0"/>
    <xf numFmtId="164" fontId="5" fillId="0" borderId="0"/>
    <xf numFmtId="0" fontId="5" fillId="0" borderId="0"/>
    <xf numFmtId="49" fontId="60" fillId="0" borderId="44" applyBorder="0">
      <alignment vertical="center"/>
    </xf>
    <xf numFmtId="164" fontId="61" fillId="0" borderId="19" applyProtection="0">
      <alignment horizontal="center" vertical="center"/>
    </xf>
    <xf numFmtId="164" fontId="61" fillId="0" borderId="19" applyProtection="0">
      <alignment horizontal="center" vertical="center"/>
    </xf>
    <xf numFmtId="49" fontId="60" fillId="0" borderId="44" applyBorder="0">
      <alignment vertical="center"/>
    </xf>
    <xf numFmtId="49" fontId="60" fillId="0" borderId="44" applyBorder="0">
      <alignment vertical="center"/>
    </xf>
    <xf numFmtId="49" fontId="60" fillId="0" borderId="44" applyBorder="0">
      <alignment vertical="center"/>
    </xf>
    <xf numFmtId="164" fontId="62" fillId="0" borderId="18"/>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4" fontId="63" fillId="0" borderId="45">
      <alignment vertical="center"/>
    </xf>
    <xf numFmtId="9" fontId="64" fillId="0" borderId="0" applyFont="0" applyFill="0" applyBorder="0" applyAlignment="0" applyProtection="0"/>
    <xf numFmtId="10" fontId="65" fillId="0" borderId="0" applyFont="0" applyFill="0" applyBorder="0" applyAlignment="0" applyProtection="0"/>
    <xf numFmtId="0" fontId="66" fillId="35" borderId="0" applyNumberFormat="0" applyBorder="0" applyAlignment="0" applyProtection="0">
      <alignment vertical="center"/>
    </xf>
    <xf numFmtId="0" fontId="67" fillId="35" borderId="0" applyNumberFormat="0" applyBorder="0" applyAlignment="0" applyProtection="0">
      <alignment vertical="center"/>
    </xf>
    <xf numFmtId="0" fontId="68" fillId="35" borderId="0" applyNumberFormat="0" applyBorder="0" applyAlignment="0" applyProtection="0">
      <alignment vertical="center"/>
    </xf>
    <xf numFmtId="0" fontId="66" fillId="35" borderId="0" applyNumberFormat="0" applyBorder="0" applyAlignment="0" applyProtection="0">
      <alignment vertical="center"/>
    </xf>
    <xf numFmtId="0" fontId="67" fillId="35" borderId="0" applyNumberFormat="0" applyBorder="0" applyAlignment="0" applyProtection="0">
      <alignment vertical="center"/>
    </xf>
    <xf numFmtId="0" fontId="69" fillId="36" borderId="0">
      <alignment vertical="center"/>
    </xf>
    <xf numFmtId="0" fontId="66" fillId="37" borderId="0" applyNumberFormat="0" applyBorder="0" applyAlignment="0" applyProtection="0">
      <alignment vertical="center"/>
    </xf>
    <xf numFmtId="0" fontId="67" fillId="37" borderId="0" applyNumberFormat="0" applyBorder="0" applyAlignment="0" applyProtection="0">
      <alignment vertical="center"/>
    </xf>
    <xf numFmtId="0" fontId="68" fillId="37" borderId="0" applyNumberFormat="0" applyBorder="0" applyAlignment="0" applyProtection="0">
      <alignment vertical="center"/>
    </xf>
    <xf numFmtId="0" fontId="66" fillId="37" borderId="0" applyNumberFormat="0" applyBorder="0" applyAlignment="0" applyProtection="0">
      <alignment vertical="center"/>
    </xf>
    <xf numFmtId="0" fontId="67" fillId="37" borderId="0" applyNumberFormat="0" applyBorder="0" applyAlignment="0" applyProtection="0">
      <alignment vertical="center"/>
    </xf>
    <xf numFmtId="0" fontId="69" fillId="38" borderId="0">
      <alignment vertical="center"/>
    </xf>
    <xf numFmtId="0" fontId="66" fillId="39" borderId="0" applyNumberFormat="0" applyBorder="0" applyAlignment="0" applyProtection="0">
      <alignment vertical="center"/>
    </xf>
    <xf numFmtId="0" fontId="67" fillId="39" borderId="0" applyNumberFormat="0" applyBorder="0" applyAlignment="0" applyProtection="0">
      <alignment vertical="center"/>
    </xf>
    <xf numFmtId="0" fontId="68" fillId="39" borderId="0" applyNumberFormat="0" applyBorder="0" applyAlignment="0" applyProtection="0">
      <alignment vertical="center"/>
    </xf>
    <xf numFmtId="0" fontId="66" fillId="39" borderId="0" applyNumberFormat="0" applyBorder="0" applyAlignment="0" applyProtection="0">
      <alignment vertical="center"/>
    </xf>
    <xf numFmtId="0" fontId="67" fillId="39" borderId="0" applyNumberFormat="0" applyBorder="0" applyAlignment="0" applyProtection="0">
      <alignment vertical="center"/>
    </xf>
    <xf numFmtId="0" fontId="69" fillId="40" borderId="0">
      <alignment vertical="center"/>
    </xf>
    <xf numFmtId="0" fontId="66" fillId="41" borderId="0" applyNumberFormat="0" applyBorder="0" applyAlignment="0" applyProtection="0">
      <alignment vertical="center"/>
    </xf>
    <xf numFmtId="0" fontId="67" fillId="41" borderId="0" applyNumberFormat="0" applyBorder="0" applyAlignment="0" applyProtection="0">
      <alignment vertical="center"/>
    </xf>
    <xf numFmtId="0" fontId="68" fillId="41" borderId="0" applyNumberFormat="0" applyBorder="0" applyAlignment="0" applyProtection="0">
      <alignment vertical="center"/>
    </xf>
    <xf numFmtId="0" fontId="66" fillId="41" borderId="0" applyNumberFormat="0" applyBorder="0" applyAlignment="0" applyProtection="0">
      <alignment vertical="center"/>
    </xf>
    <xf numFmtId="0" fontId="67" fillId="41" borderId="0" applyNumberFormat="0" applyBorder="0" applyAlignment="0" applyProtection="0">
      <alignment vertical="center"/>
    </xf>
    <xf numFmtId="0" fontId="69" fillId="42" borderId="0">
      <alignment vertical="center"/>
    </xf>
    <xf numFmtId="0" fontId="66" fillId="43" borderId="0" applyNumberFormat="0" applyBorder="0" applyAlignment="0" applyProtection="0">
      <alignment vertical="center"/>
    </xf>
    <xf numFmtId="0" fontId="67" fillId="43" borderId="0" applyNumberFormat="0" applyBorder="0" applyAlignment="0" applyProtection="0">
      <alignment vertical="center"/>
    </xf>
    <xf numFmtId="0" fontId="68" fillId="43" borderId="0" applyNumberFormat="0" applyBorder="0" applyAlignment="0" applyProtection="0">
      <alignment vertical="center"/>
    </xf>
    <xf numFmtId="0" fontId="66" fillId="43" borderId="0" applyNumberFormat="0" applyBorder="0" applyAlignment="0" applyProtection="0">
      <alignment vertical="center"/>
    </xf>
    <xf numFmtId="0" fontId="67" fillId="43" borderId="0" applyNumberFormat="0" applyBorder="0" applyAlignment="0" applyProtection="0">
      <alignment vertical="center"/>
    </xf>
    <xf numFmtId="0" fontId="69" fillId="44" borderId="0">
      <alignment vertical="center"/>
    </xf>
    <xf numFmtId="0" fontId="66" fillId="45" borderId="0" applyNumberFormat="0" applyBorder="0" applyAlignment="0" applyProtection="0">
      <alignment vertical="center"/>
    </xf>
    <xf numFmtId="0" fontId="67" fillId="45" borderId="0" applyNumberFormat="0" applyBorder="0" applyAlignment="0" applyProtection="0">
      <alignment vertical="center"/>
    </xf>
    <xf numFmtId="0" fontId="68" fillId="45" borderId="0" applyNumberFormat="0" applyBorder="0" applyAlignment="0" applyProtection="0">
      <alignment vertical="center"/>
    </xf>
    <xf numFmtId="0" fontId="66" fillId="45" borderId="0" applyNumberFormat="0" applyBorder="0" applyAlignment="0" applyProtection="0">
      <alignment vertical="center"/>
    </xf>
    <xf numFmtId="0" fontId="67" fillId="45" borderId="0" applyNumberFormat="0" applyBorder="0" applyAlignment="0" applyProtection="0">
      <alignment vertical="center"/>
    </xf>
    <xf numFmtId="0" fontId="69" fillId="46" borderId="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164" fontId="70" fillId="10" borderId="0" applyNumberFormat="0" applyBorder="0" applyAlignment="0" applyProtection="0">
      <alignment vertical="center"/>
    </xf>
    <xf numFmtId="164"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164" fontId="70" fillId="10" borderId="0" applyNumberFormat="0" applyBorder="0" applyAlignment="0" applyProtection="0">
      <alignment vertical="center"/>
    </xf>
    <xf numFmtId="164" fontId="70" fillId="10" borderId="0" applyNumberFormat="0" applyBorder="0" applyAlignment="0" applyProtection="0">
      <alignment vertical="center"/>
    </xf>
    <xf numFmtId="0" fontId="70" fillId="10" borderId="0" applyNumberFormat="0" applyBorder="0" applyAlignment="0" applyProtection="0">
      <alignment vertical="center"/>
    </xf>
    <xf numFmtId="0" fontId="70" fillId="10" borderId="0" applyNumberFormat="0" applyBorder="0" applyAlignment="0" applyProtection="0">
      <alignment vertical="center"/>
    </xf>
    <xf numFmtId="164" fontId="70" fillId="10" borderId="0" applyNumberFormat="0" applyBorder="0" applyAlignment="0" applyProtection="0">
      <alignment vertical="center"/>
    </xf>
    <xf numFmtId="0" fontId="70" fillId="10" borderId="0" applyNumberFormat="0" applyBorder="0" applyAlignment="0" applyProtection="0">
      <alignment vertical="center"/>
    </xf>
    <xf numFmtId="164" fontId="66" fillId="47" borderId="0" applyNumberFormat="0" applyBorder="0" applyAlignment="0" applyProtection="0">
      <alignment vertical="center"/>
    </xf>
    <xf numFmtId="0" fontId="72" fillId="35"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164" fontId="70"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164"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164" fontId="70"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164"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164" fontId="70"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164" fontId="66" fillId="35"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1" fillId="10"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164" fontId="70" fillId="14" borderId="0" applyNumberFormat="0" applyBorder="0" applyAlignment="0" applyProtection="0">
      <alignment vertical="center"/>
    </xf>
    <xf numFmtId="164"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164" fontId="70" fillId="14" borderId="0" applyNumberFormat="0" applyBorder="0" applyAlignment="0" applyProtection="0">
      <alignment vertical="center"/>
    </xf>
    <xf numFmtId="164" fontId="70" fillId="14" borderId="0" applyNumberFormat="0" applyBorder="0" applyAlignment="0" applyProtection="0">
      <alignment vertical="center"/>
    </xf>
    <xf numFmtId="0" fontId="70" fillId="14" borderId="0" applyNumberFormat="0" applyBorder="0" applyAlignment="0" applyProtection="0">
      <alignment vertical="center"/>
    </xf>
    <xf numFmtId="0" fontId="70" fillId="14" borderId="0" applyNumberFormat="0" applyBorder="0" applyAlignment="0" applyProtection="0">
      <alignment vertical="center"/>
    </xf>
    <xf numFmtId="164" fontId="70" fillId="14" borderId="0" applyNumberFormat="0" applyBorder="0" applyAlignment="0" applyProtection="0">
      <alignment vertical="center"/>
    </xf>
    <xf numFmtId="0" fontId="70" fillId="14" borderId="0" applyNumberFormat="0" applyBorder="0" applyAlignment="0" applyProtection="0">
      <alignment vertical="center"/>
    </xf>
    <xf numFmtId="164" fontId="66" fillId="48" borderId="0" applyNumberFormat="0" applyBorder="0" applyAlignment="0" applyProtection="0">
      <alignment vertical="center"/>
    </xf>
    <xf numFmtId="0" fontId="72" fillId="37"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164"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164"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164"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164"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164" fontId="70"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164" fontId="66" fillId="37"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1" fillId="14"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164" fontId="70" fillId="18" borderId="0" applyNumberFormat="0" applyBorder="0" applyAlignment="0" applyProtection="0">
      <alignment vertical="center"/>
    </xf>
    <xf numFmtId="164"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164" fontId="70" fillId="18" borderId="0" applyNumberFormat="0" applyBorder="0" applyAlignment="0" applyProtection="0">
      <alignment vertical="center"/>
    </xf>
    <xf numFmtId="164" fontId="70" fillId="18" borderId="0" applyNumberFormat="0" applyBorder="0" applyAlignment="0" applyProtection="0">
      <alignment vertical="center"/>
    </xf>
    <xf numFmtId="0" fontId="70" fillId="18" borderId="0" applyNumberFormat="0" applyBorder="0" applyAlignment="0" applyProtection="0">
      <alignment vertical="center"/>
    </xf>
    <xf numFmtId="0" fontId="70" fillId="18" borderId="0" applyNumberFormat="0" applyBorder="0" applyAlignment="0" applyProtection="0">
      <alignment vertical="center"/>
    </xf>
    <xf numFmtId="164" fontId="70" fillId="18" borderId="0" applyNumberFormat="0" applyBorder="0" applyAlignment="0" applyProtection="0">
      <alignment vertical="center"/>
    </xf>
    <xf numFmtId="0" fontId="70" fillId="18" borderId="0" applyNumberFormat="0" applyBorder="0" applyAlignment="0" applyProtection="0">
      <alignment vertical="center"/>
    </xf>
    <xf numFmtId="164" fontId="66" fillId="49" borderId="0" applyNumberFormat="0" applyBorder="0" applyAlignment="0" applyProtection="0">
      <alignment vertical="center"/>
    </xf>
    <xf numFmtId="0" fontId="72" fillId="39"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164" fontId="70"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164"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164" fontId="70"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164"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164" fontId="70"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164" fontId="66" fillId="39"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1" fillId="18"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164" fontId="70" fillId="22" borderId="0" applyNumberFormat="0" applyBorder="0" applyAlignment="0" applyProtection="0">
      <alignment vertical="center"/>
    </xf>
    <xf numFmtId="164"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164" fontId="70" fillId="22" borderId="0" applyNumberFormat="0" applyBorder="0" applyAlignment="0" applyProtection="0">
      <alignment vertical="center"/>
    </xf>
    <xf numFmtId="164" fontId="70" fillId="22" borderId="0" applyNumberFormat="0" applyBorder="0" applyAlignment="0" applyProtection="0">
      <alignment vertical="center"/>
    </xf>
    <xf numFmtId="0" fontId="70" fillId="22" borderId="0" applyNumberFormat="0" applyBorder="0" applyAlignment="0" applyProtection="0">
      <alignment vertical="center"/>
    </xf>
    <xf numFmtId="0" fontId="70" fillId="22" borderId="0" applyNumberFormat="0" applyBorder="0" applyAlignment="0" applyProtection="0">
      <alignment vertical="center"/>
    </xf>
    <xf numFmtId="164" fontId="70" fillId="22" borderId="0" applyNumberFormat="0" applyBorder="0" applyAlignment="0" applyProtection="0">
      <alignment vertical="center"/>
    </xf>
    <xf numFmtId="0" fontId="70" fillId="22" borderId="0" applyNumberFormat="0" applyBorder="0" applyAlignment="0" applyProtection="0">
      <alignment vertical="center"/>
    </xf>
    <xf numFmtId="164" fontId="66" fillId="45" borderId="0" applyNumberFormat="0" applyBorder="0" applyAlignment="0" applyProtection="0">
      <alignment vertical="center"/>
    </xf>
    <xf numFmtId="0" fontId="72" fillId="41"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164" fontId="70"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164"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164" fontId="70"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164"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164" fontId="70"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164" fontId="66" fillId="41"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164" fontId="70" fillId="26" borderId="0" applyNumberFormat="0" applyBorder="0" applyAlignment="0" applyProtection="0">
      <alignment vertical="center"/>
    </xf>
    <xf numFmtId="164"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164" fontId="70" fillId="26" borderId="0" applyNumberFormat="0" applyBorder="0" applyAlignment="0" applyProtection="0">
      <alignment vertical="center"/>
    </xf>
    <xf numFmtId="164" fontId="70" fillId="26" borderId="0" applyNumberFormat="0" applyBorder="0" applyAlignment="0" applyProtection="0">
      <alignment vertical="center"/>
    </xf>
    <xf numFmtId="0" fontId="70" fillId="26" borderId="0" applyNumberFormat="0" applyBorder="0" applyAlignment="0" applyProtection="0">
      <alignment vertical="center"/>
    </xf>
    <xf numFmtId="0" fontId="70" fillId="26" borderId="0" applyNumberFormat="0" applyBorder="0" applyAlignment="0" applyProtection="0">
      <alignment vertical="center"/>
    </xf>
    <xf numFmtId="164" fontId="70" fillId="26" borderId="0" applyNumberFormat="0" applyBorder="0" applyAlignment="0" applyProtection="0">
      <alignment vertical="center"/>
    </xf>
    <xf numFmtId="0" fontId="70" fillId="26" borderId="0" applyNumberFormat="0" applyBorder="0" applyAlignment="0" applyProtection="0">
      <alignment vertical="center"/>
    </xf>
    <xf numFmtId="164" fontId="66" fillId="43" borderId="0" applyNumberFormat="0" applyBorder="0" applyAlignment="0" applyProtection="0">
      <alignment vertical="center"/>
    </xf>
    <xf numFmtId="0" fontId="72" fillId="43"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164" fontId="70"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164"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164" fontId="70"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164"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164" fontId="70"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1" fillId="26"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164" fontId="70" fillId="30" borderId="0" applyNumberFormat="0" applyBorder="0" applyAlignment="0" applyProtection="0">
      <alignment vertical="center"/>
    </xf>
    <xf numFmtId="164"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164" fontId="70" fillId="30" borderId="0" applyNumberFormat="0" applyBorder="0" applyAlignment="0" applyProtection="0">
      <alignment vertical="center"/>
    </xf>
    <xf numFmtId="164" fontId="70" fillId="30" borderId="0" applyNumberFormat="0" applyBorder="0" applyAlignment="0" applyProtection="0">
      <alignment vertical="center"/>
    </xf>
    <xf numFmtId="0" fontId="70" fillId="30" borderId="0" applyNumberFormat="0" applyBorder="0" applyAlignment="0" applyProtection="0">
      <alignment vertical="center"/>
    </xf>
    <xf numFmtId="0" fontId="70" fillId="30" borderId="0" applyNumberFormat="0" applyBorder="0" applyAlignment="0" applyProtection="0">
      <alignment vertical="center"/>
    </xf>
    <xf numFmtId="164" fontId="70" fillId="30" borderId="0" applyNumberFormat="0" applyBorder="0" applyAlignment="0" applyProtection="0">
      <alignment vertical="center"/>
    </xf>
    <xf numFmtId="0" fontId="70" fillId="30" borderId="0" applyNumberFormat="0" applyBorder="0" applyAlignment="0" applyProtection="0">
      <alignment vertical="center"/>
    </xf>
    <xf numFmtId="164" fontId="66" fillId="49" borderId="0" applyNumberFormat="0" applyBorder="0" applyAlignment="0" applyProtection="0">
      <alignment vertical="center"/>
    </xf>
    <xf numFmtId="0" fontId="72" fillId="45"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164" fontId="70"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164"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164" fontId="70"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164"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164" fontId="70"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164" fontId="66" fillId="45"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0"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71" fillId="30" borderId="0" applyNumberFormat="0" applyBorder="0" applyAlignment="0" applyProtection="0">
      <alignment vertical="center"/>
    </xf>
    <xf numFmtId="0" fontId="66" fillId="47" borderId="0" applyNumberFormat="0" applyBorder="0" applyAlignment="0" applyProtection="0">
      <alignment vertical="center"/>
    </xf>
    <xf numFmtId="0" fontId="67" fillId="47" borderId="0" applyNumberFormat="0" applyBorder="0" applyAlignment="0" applyProtection="0">
      <alignment vertical="center"/>
    </xf>
    <xf numFmtId="0" fontId="68" fillId="47" borderId="0" applyNumberFormat="0" applyBorder="0" applyAlignment="0" applyProtection="0">
      <alignment vertical="center"/>
    </xf>
    <xf numFmtId="0" fontId="66" fillId="47" borderId="0" applyNumberFormat="0" applyBorder="0" applyAlignment="0" applyProtection="0">
      <alignment vertical="center"/>
    </xf>
    <xf numFmtId="0" fontId="67" fillId="47" borderId="0" applyNumberFormat="0" applyBorder="0" applyAlignment="0" applyProtection="0">
      <alignment vertical="center"/>
    </xf>
    <xf numFmtId="0" fontId="69" fillId="50" borderId="0">
      <alignment vertical="center"/>
    </xf>
    <xf numFmtId="0" fontId="66" fillId="48" borderId="0" applyNumberFormat="0" applyBorder="0" applyAlignment="0" applyProtection="0">
      <alignment vertical="center"/>
    </xf>
    <xf numFmtId="0" fontId="67" fillId="48" borderId="0" applyNumberFormat="0" applyBorder="0" applyAlignment="0" applyProtection="0">
      <alignment vertical="center"/>
    </xf>
    <xf numFmtId="0" fontId="68" fillId="48" borderId="0" applyNumberFormat="0" applyBorder="0" applyAlignment="0" applyProtection="0">
      <alignment vertical="center"/>
    </xf>
    <xf numFmtId="0" fontId="66" fillId="48" borderId="0" applyNumberFormat="0" applyBorder="0" applyAlignment="0" applyProtection="0">
      <alignment vertical="center"/>
    </xf>
    <xf numFmtId="0" fontId="67" fillId="48" borderId="0" applyNumberFormat="0" applyBorder="0" applyAlignment="0" applyProtection="0">
      <alignment vertical="center"/>
    </xf>
    <xf numFmtId="0" fontId="69" fillId="51" borderId="0">
      <alignment vertical="center"/>
    </xf>
    <xf numFmtId="0" fontId="66" fillId="52" borderId="0" applyNumberFormat="0" applyBorder="0" applyAlignment="0" applyProtection="0">
      <alignment vertical="center"/>
    </xf>
    <xf numFmtId="0" fontId="67" fillId="52" borderId="0" applyNumberFormat="0" applyBorder="0" applyAlignment="0" applyProtection="0">
      <alignment vertical="center"/>
    </xf>
    <xf numFmtId="0" fontId="68" fillId="52" borderId="0" applyNumberFormat="0" applyBorder="0" applyAlignment="0" applyProtection="0">
      <alignment vertical="center"/>
    </xf>
    <xf numFmtId="0" fontId="66" fillId="52" borderId="0" applyNumberFormat="0" applyBorder="0" applyAlignment="0" applyProtection="0">
      <alignment vertical="center"/>
    </xf>
    <xf numFmtId="0" fontId="67" fillId="52" borderId="0" applyNumberFormat="0" applyBorder="0" applyAlignment="0" applyProtection="0">
      <alignment vertical="center"/>
    </xf>
    <xf numFmtId="0" fontId="69" fillId="53" borderId="0">
      <alignment vertical="center"/>
    </xf>
    <xf numFmtId="0" fontId="66" fillId="41" borderId="0" applyNumberFormat="0" applyBorder="0" applyAlignment="0" applyProtection="0">
      <alignment vertical="center"/>
    </xf>
    <xf numFmtId="0" fontId="67" fillId="41" borderId="0" applyNumberFormat="0" applyBorder="0" applyAlignment="0" applyProtection="0">
      <alignment vertical="center"/>
    </xf>
    <xf numFmtId="0" fontId="68" fillId="41" borderId="0" applyNumberFormat="0" applyBorder="0" applyAlignment="0" applyProtection="0">
      <alignment vertical="center"/>
    </xf>
    <xf numFmtId="0" fontId="66" fillId="41" borderId="0" applyNumberFormat="0" applyBorder="0" applyAlignment="0" applyProtection="0">
      <alignment vertical="center"/>
    </xf>
    <xf numFmtId="0" fontId="67" fillId="41" borderId="0" applyNumberFormat="0" applyBorder="0" applyAlignment="0" applyProtection="0">
      <alignment vertical="center"/>
    </xf>
    <xf numFmtId="0" fontId="69" fillId="42" borderId="0">
      <alignment vertical="center"/>
    </xf>
    <xf numFmtId="0" fontId="66" fillId="47" borderId="0" applyNumberFormat="0" applyBorder="0" applyAlignment="0" applyProtection="0">
      <alignment vertical="center"/>
    </xf>
    <xf numFmtId="0" fontId="67" fillId="47" borderId="0" applyNumberFormat="0" applyBorder="0" applyAlignment="0" applyProtection="0">
      <alignment vertical="center"/>
    </xf>
    <xf numFmtId="0" fontId="68" fillId="47" borderId="0" applyNumberFormat="0" applyBorder="0" applyAlignment="0" applyProtection="0">
      <alignment vertical="center"/>
    </xf>
    <xf numFmtId="0" fontId="66" fillId="47" borderId="0" applyNumberFormat="0" applyBorder="0" applyAlignment="0" applyProtection="0">
      <alignment vertical="center"/>
    </xf>
    <xf numFmtId="0" fontId="67" fillId="47" borderId="0" applyNumberFormat="0" applyBorder="0" applyAlignment="0" applyProtection="0">
      <alignment vertical="center"/>
    </xf>
    <xf numFmtId="0" fontId="69" fillId="50" borderId="0">
      <alignment vertical="center"/>
    </xf>
    <xf numFmtId="0" fontId="66" fillId="54" borderId="0" applyNumberFormat="0" applyBorder="0" applyAlignment="0" applyProtection="0">
      <alignment vertical="center"/>
    </xf>
    <xf numFmtId="0" fontId="67" fillId="54" borderId="0" applyNumberFormat="0" applyBorder="0" applyAlignment="0" applyProtection="0">
      <alignment vertical="center"/>
    </xf>
    <xf numFmtId="0" fontId="68" fillId="54" borderId="0" applyNumberFormat="0" applyBorder="0" applyAlignment="0" applyProtection="0">
      <alignment vertical="center"/>
    </xf>
    <xf numFmtId="0" fontId="66" fillId="54" borderId="0" applyNumberFormat="0" applyBorder="0" applyAlignment="0" applyProtection="0">
      <alignment vertical="center"/>
    </xf>
    <xf numFmtId="0" fontId="67" fillId="54" borderId="0" applyNumberFormat="0" applyBorder="0" applyAlignment="0" applyProtection="0">
      <alignment vertical="center"/>
    </xf>
    <xf numFmtId="0" fontId="69" fillId="55" borderId="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164" fontId="70" fillId="11" borderId="0" applyNumberFormat="0" applyBorder="0" applyAlignment="0" applyProtection="0">
      <alignment vertical="center"/>
    </xf>
    <xf numFmtId="164" fontId="70" fillId="11" borderId="0" applyNumberFormat="0" applyBorder="0" applyAlignment="0" applyProtection="0">
      <alignment vertical="center"/>
    </xf>
    <xf numFmtId="0" fontId="70" fillId="11" borderId="0" applyNumberFormat="0" applyBorder="0" applyAlignment="0" applyProtection="0">
      <alignment vertical="center"/>
    </xf>
    <xf numFmtId="0" fontId="70" fillId="11" borderId="0" applyNumberFormat="0" applyBorder="0" applyAlignment="0" applyProtection="0">
      <alignment vertical="center"/>
    </xf>
    <xf numFmtId="164" fontId="70" fillId="11" borderId="0" applyNumberFormat="0" applyBorder="0" applyAlignment="0" applyProtection="0">
      <alignment vertical="center"/>
    </xf>
    <xf numFmtId="164" fontId="70" fillId="11" borderId="0" applyNumberFormat="0" applyBorder="0" applyAlignment="0" applyProtection="0">
      <alignment vertical="center"/>
    </xf>
    <xf numFmtId="0" fontId="70" fillId="11" borderId="0" applyNumberFormat="0" applyBorder="0" applyAlignment="0" applyProtection="0">
      <alignment vertical="center"/>
    </xf>
    <xf numFmtId="0" fontId="70" fillId="11" borderId="0" applyNumberFormat="0" applyBorder="0" applyAlignment="0" applyProtection="0">
      <alignment vertical="center"/>
    </xf>
    <xf numFmtId="164" fontId="70" fillId="11" borderId="0" applyNumberFormat="0" applyBorder="0" applyAlignment="0" applyProtection="0">
      <alignment vertical="center"/>
    </xf>
    <xf numFmtId="0" fontId="70" fillId="11" borderId="0" applyNumberFormat="0" applyBorder="0" applyAlignment="0" applyProtection="0">
      <alignment vertical="center"/>
    </xf>
    <xf numFmtId="164" fontId="66" fillId="43" borderId="0" applyNumberFormat="0" applyBorder="0" applyAlignment="0" applyProtection="0">
      <alignment vertical="center"/>
    </xf>
    <xf numFmtId="0" fontId="72" fillId="47"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164" fontId="70"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164"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164" fontId="70"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164"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164" fontId="70"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164" fontId="66" fillId="47"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1" fillId="11"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164" fontId="70" fillId="15" borderId="0" applyNumberFormat="0" applyBorder="0" applyAlignment="0" applyProtection="0">
      <alignment vertical="center"/>
    </xf>
    <xf numFmtId="164"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164" fontId="70" fillId="15" borderId="0" applyNumberFormat="0" applyBorder="0" applyAlignment="0" applyProtection="0">
      <alignment vertical="center"/>
    </xf>
    <xf numFmtId="164" fontId="70" fillId="15" borderId="0" applyNumberFormat="0" applyBorder="0" applyAlignment="0" applyProtection="0">
      <alignment vertical="center"/>
    </xf>
    <xf numFmtId="0" fontId="70" fillId="15" borderId="0" applyNumberFormat="0" applyBorder="0" applyAlignment="0" applyProtection="0">
      <alignment vertical="center"/>
    </xf>
    <xf numFmtId="0" fontId="70" fillId="15" borderId="0" applyNumberFormat="0" applyBorder="0" applyAlignment="0" applyProtection="0">
      <alignment vertical="center"/>
    </xf>
    <xf numFmtId="164" fontId="70" fillId="15" borderId="0" applyNumberFormat="0" applyBorder="0" applyAlignment="0" applyProtection="0">
      <alignment vertical="center"/>
    </xf>
    <xf numFmtId="0" fontId="70" fillId="15" borderId="0" applyNumberFormat="0" applyBorder="0" applyAlignment="0" applyProtection="0">
      <alignment vertical="center"/>
    </xf>
    <xf numFmtId="164" fontId="66" fillId="48" borderId="0" applyNumberFormat="0" applyBorder="0" applyAlignment="0" applyProtection="0">
      <alignment vertical="center"/>
    </xf>
    <xf numFmtId="0" fontId="72" fillId="48"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164" fontId="70"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164"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164" fontId="70"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164"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164" fontId="70"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1" fillId="15"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164" fontId="70" fillId="19" borderId="0" applyNumberFormat="0" applyBorder="0" applyAlignment="0" applyProtection="0">
      <alignment vertical="center"/>
    </xf>
    <xf numFmtId="164"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164" fontId="70" fillId="19" borderId="0" applyNumberFormat="0" applyBorder="0" applyAlignment="0" applyProtection="0">
      <alignment vertical="center"/>
    </xf>
    <xf numFmtId="164" fontId="70" fillId="19" borderId="0" applyNumberFormat="0" applyBorder="0" applyAlignment="0" applyProtection="0">
      <alignment vertical="center"/>
    </xf>
    <xf numFmtId="0" fontId="70" fillId="19" borderId="0" applyNumberFormat="0" applyBorder="0" applyAlignment="0" applyProtection="0">
      <alignment vertical="center"/>
    </xf>
    <xf numFmtId="0" fontId="70" fillId="19" borderId="0" applyNumberFormat="0" applyBorder="0" applyAlignment="0" applyProtection="0">
      <alignment vertical="center"/>
    </xf>
    <xf numFmtId="164" fontId="70" fillId="19" borderId="0" applyNumberFormat="0" applyBorder="0" applyAlignment="0" applyProtection="0">
      <alignment vertical="center"/>
    </xf>
    <xf numFmtId="0" fontId="70" fillId="19" borderId="0" applyNumberFormat="0" applyBorder="0" applyAlignment="0" applyProtection="0">
      <alignment vertical="center"/>
    </xf>
    <xf numFmtId="164" fontId="66" fillId="56" borderId="0" applyNumberFormat="0" applyBorder="0" applyAlignment="0" applyProtection="0">
      <alignment vertical="center"/>
    </xf>
    <xf numFmtId="0" fontId="72" fillId="52"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164" fontId="70"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164"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164" fontId="70"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164"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164" fontId="70"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164" fontId="66" fillId="52"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1" fillId="19"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164" fontId="70" fillId="23" borderId="0" applyNumberFormat="0" applyBorder="0" applyAlignment="0" applyProtection="0">
      <alignment vertical="center"/>
    </xf>
    <xf numFmtId="164"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164" fontId="70" fillId="23" borderId="0" applyNumberFormat="0" applyBorder="0" applyAlignment="0" applyProtection="0">
      <alignment vertical="center"/>
    </xf>
    <xf numFmtId="164" fontId="70" fillId="23" borderId="0" applyNumberFormat="0" applyBorder="0" applyAlignment="0" applyProtection="0">
      <alignment vertical="center"/>
    </xf>
    <xf numFmtId="0" fontId="70" fillId="23" borderId="0" applyNumberFormat="0" applyBorder="0" applyAlignment="0" applyProtection="0">
      <alignment vertical="center"/>
    </xf>
    <xf numFmtId="0" fontId="70" fillId="23" borderId="0" applyNumberFormat="0" applyBorder="0" applyAlignment="0" applyProtection="0">
      <alignment vertical="center"/>
    </xf>
    <xf numFmtId="164" fontId="70" fillId="23" borderId="0" applyNumberFormat="0" applyBorder="0" applyAlignment="0" applyProtection="0">
      <alignment vertical="center"/>
    </xf>
    <xf numFmtId="0" fontId="70" fillId="23" borderId="0" applyNumberFormat="0" applyBorder="0" applyAlignment="0" applyProtection="0">
      <alignment vertical="center"/>
    </xf>
    <xf numFmtId="164" fontId="66" fillId="37" borderId="0" applyNumberFormat="0" applyBorder="0" applyAlignment="0" applyProtection="0">
      <alignment vertical="center"/>
    </xf>
    <xf numFmtId="0" fontId="72" fillId="41"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164" fontId="70"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164"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164" fontId="70"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164"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164" fontId="70"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164" fontId="66" fillId="41"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1" fillId="23"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164" fontId="70" fillId="27" borderId="0" applyNumberFormat="0" applyBorder="0" applyAlignment="0" applyProtection="0">
      <alignment vertical="center"/>
    </xf>
    <xf numFmtId="164"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164" fontId="70" fillId="27" borderId="0" applyNumberFormat="0" applyBorder="0" applyAlignment="0" applyProtection="0">
      <alignment vertical="center"/>
    </xf>
    <xf numFmtId="164" fontId="70" fillId="27" borderId="0" applyNumberFormat="0" applyBorder="0" applyAlignment="0" applyProtection="0">
      <alignment vertical="center"/>
    </xf>
    <xf numFmtId="0" fontId="70" fillId="27" borderId="0" applyNumberFormat="0" applyBorder="0" applyAlignment="0" applyProtection="0">
      <alignment vertical="center"/>
    </xf>
    <xf numFmtId="0" fontId="70" fillId="27" borderId="0" applyNumberFormat="0" applyBorder="0" applyAlignment="0" applyProtection="0">
      <alignment vertical="center"/>
    </xf>
    <xf numFmtId="164" fontId="70" fillId="27" borderId="0" applyNumberFormat="0" applyBorder="0" applyAlignment="0" applyProtection="0">
      <alignment vertical="center"/>
    </xf>
    <xf numFmtId="0" fontId="70" fillId="27" borderId="0" applyNumberFormat="0" applyBorder="0" applyAlignment="0" applyProtection="0">
      <alignment vertical="center"/>
    </xf>
    <xf numFmtId="164" fontId="66" fillId="43" borderId="0" applyNumberFormat="0" applyBorder="0" applyAlignment="0" applyProtection="0">
      <alignment vertical="center"/>
    </xf>
    <xf numFmtId="0" fontId="72" fillId="4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164" fontId="70"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164"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164" fontId="70"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164"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164" fontId="70"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164" fontId="66" fillId="4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1" fillId="27"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164" fontId="70" fillId="31" borderId="0" applyNumberFormat="0" applyBorder="0" applyAlignment="0" applyProtection="0">
      <alignment vertical="center"/>
    </xf>
    <xf numFmtId="164"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164" fontId="70" fillId="31" borderId="0" applyNumberFormat="0" applyBorder="0" applyAlignment="0" applyProtection="0">
      <alignment vertical="center"/>
    </xf>
    <xf numFmtId="164" fontId="70" fillId="31" borderId="0" applyNumberFormat="0" applyBorder="0" applyAlignment="0" applyProtection="0">
      <alignment vertical="center"/>
    </xf>
    <xf numFmtId="0" fontId="70" fillId="31" borderId="0" applyNumberFormat="0" applyBorder="0" applyAlignment="0" applyProtection="0">
      <alignment vertical="center"/>
    </xf>
    <xf numFmtId="0" fontId="70" fillId="31" borderId="0" applyNumberFormat="0" applyBorder="0" applyAlignment="0" applyProtection="0">
      <alignment vertical="center"/>
    </xf>
    <xf numFmtId="164" fontId="70" fillId="31" borderId="0" applyNumberFormat="0" applyBorder="0" applyAlignment="0" applyProtection="0">
      <alignment vertical="center"/>
    </xf>
    <xf numFmtId="0" fontId="70" fillId="31" borderId="0" applyNumberFormat="0" applyBorder="0" applyAlignment="0" applyProtection="0">
      <alignment vertical="center"/>
    </xf>
    <xf numFmtId="164" fontId="66" fillId="49" borderId="0" applyNumberFormat="0" applyBorder="0" applyAlignment="0" applyProtection="0">
      <alignment vertical="center"/>
    </xf>
    <xf numFmtId="0" fontId="72" fillId="54"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164" fontId="70"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164"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164" fontId="70"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164"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164" fontId="70"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164" fontId="66" fillId="54"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0"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0" fontId="71" fillId="31" borderId="0" applyNumberFormat="0" applyBorder="0" applyAlignment="0" applyProtection="0">
      <alignment vertical="center"/>
    </xf>
    <xf numFmtId="164" fontId="39" fillId="0" borderId="0" applyFont="0" applyFill="0" applyBorder="0" applyAlignment="0" applyProtection="0"/>
    <xf numFmtId="0" fontId="73" fillId="57" borderId="0" applyNumberFormat="0" applyBorder="0" applyAlignment="0" applyProtection="0">
      <alignment vertical="center"/>
    </xf>
    <xf numFmtId="0" fontId="74" fillId="57" borderId="0" applyNumberFormat="0" applyBorder="0" applyAlignment="0" applyProtection="0">
      <alignment vertical="center"/>
    </xf>
    <xf numFmtId="0" fontId="75" fillId="57" borderId="0" applyNumberFormat="0" applyBorder="0" applyAlignment="0" applyProtection="0">
      <alignment vertical="center"/>
    </xf>
    <xf numFmtId="0" fontId="73" fillId="57" borderId="0" applyNumberFormat="0" applyBorder="0" applyAlignment="0" applyProtection="0">
      <alignment vertical="center"/>
    </xf>
    <xf numFmtId="0" fontId="74" fillId="57" borderId="0" applyNumberFormat="0" applyBorder="0" applyAlignment="0" applyProtection="0">
      <alignment vertical="center"/>
    </xf>
    <xf numFmtId="0" fontId="74" fillId="58" borderId="0">
      <alignment vertical="center"/>
    </xf>
    <xf numFmtId="0" fontId="73" fillId="48" borderId="0" applyNumberFormat="0" applyBorder="0" applyAlignment="0" applyProtection="0">
      <alignment vertical="center"/>
    </xf>
    <xf numFmtId="0" fontId="74" fillId="48" borderId="0" applyNumberFormat="0" applyBorder="0" applyAlignment="0" applyProtection="0">
      <alignment vertical="center"/>
    </xf>
    <xf numFmtId="0" fontId="75" fillId="48" borderId="0" applyNumberFormat="0" applyBorder="0" applyAlignment="0" applyProtection="0">
      <alignment vertical="center"/>
    </xf>
    <xf numFmtId="0" fontId="73" fillId="48" borderId="0" applyNumberFormat="0" applyBorder="0" applyAlignment="0" applyProtection="0">
      <alignment vertical="center"/>
    </xf>
    <xf numFmtId="0" fontId="74" fillId="48" borderId="0" applyNumberFormat="0" applyBorder="0" applyAlignment="0" applyProtection="0">
      <alignment vertical="center"/>
    </xf>
    <xf numFmtId="0" fontId="74" fillId="51" borderId="0">
      <alignment vertical="center"/>
    </xf>
    <xf numFmtId="0" fontId="73" fillId="52" borderId="0" applyNumberFormat="0" applyBorder="0" applyAlignment="0" applyProtection="0">
      <alignment vertical="center"/>
    </xf>
    <xf numFmtId="0" fontId="74" fillId="52" borderId="0" applyNumberFormat="0" applyBorder="0" applyAlignment="0" applyProtection="0">
      <alignment vertical="center"/>
    </xf>
    <xf numFmtId="0" fontId="75" fillId="52" borderId="0" applyNumberFormat="0" applyBorder="0" applyAlignment="0" applyProtection="0">
      <alignment vertical="center"/>
    </xf>
    <xf numFmtId="0" fontId="73" fillId="52" borderId="0" applyNumberFormat="0" applyBorder="0" applyAlignment="0" applyProtection="0">
      <alignment vertical="center"/>
    </xf>
    <xf numFmtId="0" fontId="74" fillId="52" borderId="0" applyNumberFormat="0" applyBorder="0" applyAlignment="0" applyProtection="0">
      <alignment vertical="center"/>
    </xf>
    <xf numFmtId="0" fontId="74" fillId="53" borderId="0">
      <alignment vertical="center"/>
    </xf>
    <xf numFmtId="0" fontId="73" fillId="59" borderId="0" applyNumberFormat="0" applyBorder="0" applyAlignment="0" applyProtection="0">
      <alignment vertical="center"/>
    </xf>
    <xf numFmtId="0" fontId="74" fillId="59" borderId="0" applyNumberFormat="0" applyBorder="0" applyAlignment="0" applyProtection="0">
      <alignment vertical="center"/>
    </xf>
    <xf numFmtId="0" fontId="75" fillId="59" borderId="0" applyNumberFormat="0" applyBorder="0" applyAlignment="0" applyProtection="0">
      <alignment vertical="center"/>
    </xf>
    <xf numFmtId="0" fontId="73" fillId="59" borderId="0" applyNumberFormat="0" applyBorder="0" applyAlignment="0" applyProtection="0">
      <alignment vertical="center"/>
    </xf>
    <xf numFmtId="0" fontId="74" fillId="59" borderId="0" applyNumberFormat="0" applyBorder="0" applyAlignment="0" applyProtection="0">
      <alignment vertical="center"/>
    </xf>
    <xf numFmtId="0" fontId="74" fillId="60" borderId="0">
      <alignment vertical="center"/>
    </xf>
    <xf numFmtId="0" fontId="73" fillId="61" borderId="0" applyNumberFormat="0" applyBorder="0" applyAlignment="0" applyProtection="0">
      <alignment vertical="center"/>
    </xf>
    <xf numFmtId="0" fontId="74" fillId="61" borderId="0" applyNumberFormat="0" applyBorder="0" applyAlignment="0" applyProtection="0">
      <alignment vertical="center"/>
    </xf>
    <xf numFmtId="0" fontId="75" fillId="61" borderId="0" applyNumberFormat="0" applyBorder="0" applyAlignment="0" applyProtection="0">
      <alignment vertical="center"/>
    </xf>
    <xf numFmtId="0" fontId="73" fillId="61" borderId="0" applyNumberFormat="0" applyBorder="0" applyAlignment="0" applyProtection="0">
      <alignment vertical="center"/>
    </xf>
    <xf numFmtId="0" fontId="74" fillId="61" borderId="0" applyNumberFormat="0" applyBorder="0" applyAlignment="0" applyProtection="0">
      <alignment vertical="center"/>
    </xf>
    <xf numFmtId="0" fontId="74" fillId="62" borderId="0">
      <alignment vertical="center"/>
    </xf>
    <xf numFmtId="0" fontId="73" fillId="63" borderId="0" applyNumberFormat="0" applyBorder="0" applyAlignment="0" applyProtection="0">
      <alignment vertical="center"/>
    </xf>
    <xf numFmtId="0" fontId="74" fillId="63" borderId="0" applyNumberFormat="0" applyBorder="0" applyAlignment="0" applyProtection="0">
      <alignment vertical="center"/>
    </xf>
    <xf numFmtId="0" fontId="75" fillId="63" borderId="0" applyNumberFormat="0" applyBorder="0" applyAlignment="0" applyProtection="0">
      <alignment vertical="center"/>
    </xf>
    <xf numFmtId="0" fontId="73" fillId="63" borderId="0" applyNumberFormat="0" applyBorder="0" applyAlignment="0" applyProtection="0">
      <alignment vertical="center"/>
    </xf>
    <xf numFmtId="0" fontId="74" fillId="63" borderId="0" applyNumberFormat="0" applyBorder="0" applyAlignment="0" applyProtection="0">
      <alignment vertical="center"/>
    </xf>
    <xf numFmtId="0" fontId="74" fillId="64" borderId="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164" fontId="73" fillId="43" borderId="0" applyNumberFormat="0" applyBorder="0" applyAlignment="0" applyProtection="0">
      <alignment vertical="center"/>
    </xf>
    <xf numFmtId="0" fontId="76" fillId="12" borderId="0" applyNumberFormat="0" applyBorder="0" applyAlignment="0" applyProtection="0">
      <alignment vertical="center"/>
    </xf>
    <xf numFmtId="0" fontId="77" fillId="57" borderId="0" applyNumberFormat="0" applyBorder="0" applyAlignment="0" applyProtection="0">
      <alignment vertical="center"/>
    </xf>
    <xf numFmtId="0" fontId="76" fillId="12" borderId="0" applyNumberFormat="0" applyBorder="0" applyAlignment="0" applyProtection="0">
      <alignment vertical="center"/>
    </xf>
    <xf numFmtId="164" fontId="73" fillId="57" borderId="0" applyNumberFormat="0" applyBorder="0" applyAlignment="0" applyProtection="0">
      <alignment vertical="center"/>
    </xf>
    <xf numFmtId="0" fontId="78"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2"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164" fontId="73" fillId="65" borderId="0" applyNumberFormat="0" applyBorder="0" applyAlignment="0" applyProtection="0">
      <alignment vertical="center"/>
    </xf>
    <xf numFmtId="0" fontId="76" fillId="16" borderId="0" applyNumberFormat="0" applyBorder="0" applyAlignment="0" applyProtection="0">
      <alignment vertical="center"/>
    </xf>
    <xf numFmtId="0" fontId="77" fillId="48" borderId="0" applyNumberFormat="0" applyBorder="0" applyAlignment="0" applyProtection="0">
      <alignment vertical="center"/>
    </xf>
    <xf numFmtId="0" fontId="76" fillId="16" borderId="0" applyNumberFormat="0" applyBorder="0" applyAlignment="0" applyProtection="0">
      <alignment vertical="center"/>
    </xf>
    <xf numFmtId="164" fontId="73" fillId="48" borderId="0" applyNumberFormat="0" applyBorder="0" applyAlignment="0" applyProtection="0">
      <alignment vertical="center"/>
    </xf>
    <xf numFmtId="0" fontId="78"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16"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164" fontId="73" fillId="54" borderId="0" applyNumberFormat="0" applyBorder="0" applyAlignment="0" applyProtection="0">
      <alignment vertical="center"/>
    </xf>
    <xf numFmtId="0" fontId="76" fillId="20" borderId="0" applyNumberFormat="0" applyBorder="0" applyAlignment="0" applyProtection="0">
      <alignment vertical="center"/>
    </xf>
    <xf numFmtId="0" fontId="77" fillId="52" borderId="0" applyNumberFormat="0" applyBorder="0" applyAlignment="0" applyProtection="0">
      <alignment vertical="center"/>
    </xf>
    <xf numFmtId="0" fontId="76" fillId="20" borderId="0" applyNumberFormat="0" applyBorder="0" applyAlignment="0" applyProtection="0">
      <alignment vertical="center"/>
    </xf>
    <xf numFmtId="164" fontId="73" fillId="52" borderId="0" applyNumberFormat="0" applyBorder="0" applyAlignment="0" applyProtection="0">
      <alignment vertical="center"/>
    </xf>
    <xf numFmtId="0" fontId="78"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0"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164" fontId="73" fillId="37" borderId="0" applyNumberFormat="0" applyBorder="0" applyAlignment="0" applyProtection="0">
      <alignment vertical="center"/>
    </xf>
    <xf numFmtId="0" fontId="76" fillId="24" borderId="0" applyNumberFormat="0" applyBorder="0" applyAlignment="0" applyProtection="0">
      <alignment vertical="center"/>
    </xf>
    <xf numFmtId="0" fontId="77" fillId="59" borderId="0" applyNumberFormat="0" applyBorder="0" applyAlignment="0" applyProtection="0">
      <alignment vertical="center"/>
    </xf>
    <xf numFmtId="0" fontId="76" fillId="24" borderId="0" applyNumberFormat="0" applyBorder="0" applyAlignment="0" applyProtection="0">
      <alignment vertical="center"/>
    </xf>
    <xf numFmtId="164" fontId="73" fillId="59" borderId="0" applyNumberFormat="0" applyBorder="0" applyAlignment="0" applyProtection="0">
      <alignment vertical="center"/>
    </xf>
    <xf numFmtId="0" fontId="78"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4"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164" fontId="73" fillId="43" borderId="0" applyNumberFormat="0" applyBorder="0" applyAlignment="0" applyProtection="0">
      <alignment vertical="center"/>
    </xf>
    <xf numFmtId="0" fontId="76" fillId="28" borderId="0" applyNumberFormat="0" applyBorder="0" applyAlignment="0" applyProtection="0">
      <alignment vertical="center"/>
    </xf>
    <xf numFmtId="0" fontId="77" fillId="61" borderId="0" applyNumberFormat="0" applyBorder="0" applyAlignment="0" applyProtection="0">
      <alignment vertical="center"/>
    </xf>
    <xf numFmtId="0" fontId="76" fillId="28" borderId="0" applyNumberFormat="0" applyBorder="0" applyAlignment="0" applyProtection="0">
      <alignment vertical="center"/>
    </xf>
    <xf numFmtId="164" fontId="73" fillId="61" borderId="0" applyNumberFormat="0" applyBorder="0" applyAlignment="0" applyProtection="0">
      <alignment vertical="center"/>
    </xf>
    <xf numFmtId="0" fontId="78"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28"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164" fontId="73" fillId="48" borderId="0" applyNumberFormat="0" applyBorder="0" applyAlignment="0" applyProtection="0">
      <alignment vertical="center"/>
    </xf>
    <xf numFmtId="0" fontId="76" fillId="32" borderId="0" applyNumberFormat="0" applyBorder="0" applyAlignment="0" applyProtection="0">
      <alignment vertical="center"/>
    </xf>
    <xf numFmtId="0" fontId="77" fillId="63" borderId="0" applyNumberFormat="0" applyBorder="0" applyAlignment="0" applyProtection="0">
      <alignment vertical="center"/>
    </xf>
    <xf numFmtId="0" fontId="76" fillId="32" borderId="0" applyNumberFormat="0" applyBorder="0" applyAlignment="0" applyProtection="0">
      <alignment vertical="center"/>
    </xf>
    <xf numFmtId="164" fontId="73" fillId="63" borderId="0" applyNumberFormat="0" applyBorder="0" applyAlignment="0" applyProtection="0">
      <alignment vertical="center"/>
    </xf>
    <xf numFmtId="0" fontId="78"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0" fontId="76" fillId="32" borderId="0" applyNumberFormat="0" applyBorder="0" applyAlignment="0" applyProtection="0">
      <alignment vertical="center"/>
    </xf>
    <xf numFmtId="164" fontId="79" fillId="0" borderId="0" applyFont="0" applyFill="0" applyBorder="0" applyAlignment="0" applyProtection="0"/>
    <xf numFmtId="164" fontId="79" fillId="0" borderId="0" applyFont="0" applyFill="0" applyBorder="0" applyAlignment="0" applyProtection="0"/>
    <xf numFmtId="185" fontId="80" fillId="0" borderId="0" applyFont="0" applyFill="0" applyBorder="0" applyAlignment="0" applyProtection="0"/>
    <xf numFmtId="0" fontId="56" fillId="0" borderId="0" applyFont="0" applyFill="0" applyBorder="0" applyAlignment="0" applyProtection="0"/>
    <xf numFmtId="40" fontId="56" fillId="0" borderId="0" applyFont="0" applyFill="0" applyBorder="0" applyAlignment="0" applyProtection="0"/>
    <xf numFmtId="164" fontId="81" fillId="0" borderId="0" applyFont="0" applyFill="0" applyBorder="0" applyAlignment="0" applyProtection="0"/>
    <xf numFmtId="164" fontId="81" fillId="0" borderId="0" applyFont="0" applyFill="0" applyBorder="0" applyAlignment="0" applyProtection="0"/>
    <xf numFmtId="164" fontId="82" fillId="0" borderId="0" applyFont="0" applyFill="0" applyBorder="0" applyAlignment="0" applyProtection="0"/>
    <xf numFmtId="164" fontId="83" fillId="0" borderId="0" applyFont="0" applyFill="0" applyBorder="0" applyAlignment="0" applyProtection="0"/>
    <xf numFmtId="164" fontId="84" fillId="0" borderId="0" applyFont="0" applyFill="0" applyBorder="0" applyAlignment="0" applyProtection="0"/>
    <xf numFmtId="164" fontId="85" fillId="0" borderId="0" applyFont="0" applyFill="0" applyBorder="0" applyAlignment="0" applyProtection="0"/>
    <xf numFmtId="164" fontId="57" fillId="0" borderId="0" applyFont="0" applyFill="0" applyBorder="0" applyAlignment="0" applyProtection="0"/>
    <xf numFmtId="0" fontId="85" fillId="0" borderId="0" applyFont="0" applyFill="0" applyBorder="0" applyAlignment="0" applyProtection="0"/>
    <xf numFmtId="0" fontId="57" fillId="0" borderId="0" applyFont="0" applyFill="0" applyBorder="0" applyAlignment="0" applyProtection="0"/>
    <xf numFmtId="164" fontId="57" fillId="0" borderId="0" applyFont="0" applyFill="0" applyBorder="0" applyAlignment="0" applyProtection="0"/>
    <xf numFmtId="0" fontId="86" fillId="0" borderId="0" applyFont="0" applyFill="0" applyBorder="0" applyAlignment="0" applyProtection="0"/>
    <xf numFmtId="164" fontId="84" fillId="0" borderId="0" applyFont="0" applyFill="0" applyBorder="0" applyAlignment="0" applyProtection="0"/>
    <xf numFmtId="186" fontId="86" fillId="0" borderId="0" applyFont="0" applyFill="0" applyBorder="0" applyAlignment="0" applyProtection="0"/>
    <xf numFmtId="164" fontId="57" fillId="0" borderId="0" applyFont="0" applyFill="0" applyBorder="0" applyAlignment="0" applyProtection="0"/>
    <xf numFmtId="164" fontId="87" fillId="0" borderId="0" applyFont="0" applyFill="0" applyBorder="0" applyAlignment="0" applyProtection="0"/>
    <xf numFmtId="164" fontId="87"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164" fontId="89" fillId="66" borderId="0" applyNumberFormat="0" applyBorder="0" applyAlignment="0" applyProtection="0"/>
    <xf numFmtId="164" fontId="89" fillId="67" borderId="0" applyNumberFormat="0" applyBorder="0" applyAlignment="0" applyProtection="0"/>
    <xf numFmtId="164" fontId="90" fillId="68" borderId="0" applyNumberFormat="0" applyBorder="0" applyAlignment="0" applyProtection="0"/>
    <xf numFmtId="0" fontId="73" fillId="69" borderId="0" applyNumberFormat="0" applyBorder="0" applyAlignment="0" applyProtection="0">
      <alignment vertical="center"/>
    </xf>
    <xf numFmtId="0" fontId="74" fillId="69" borderId="0" applyNumberFormat="0" applyBorder="0" applyAlignment="0" applyProtection="0">
      <alignment vertical="center"/>
    </xf>
    <xf numFmtId="0" fontId="75" fillId="69" borderId="0" applyNumberFormat="0" applyBorder="0" applyAlignment="0" applyProtection="0">
      <alignment vertical="center"/>
    </xf>
    <xf numFmtId="0" fontId="73" fillId="69" borderId="0" applyNumberFormat="0" applyBorder="0" applyAlignment="0" applyProtection="0">
      <alignment vertical="center"/>
    </xf>
    <xf numFmtId="0" fontId="74" fillId="69" borderId="0" applyNumberFormat="0" applyBorder="0" applyAlignment="0" applyProtection="0">
      <alignment vertical="center"/>
    </xf>
    <xf numFmtId="0" fontId="74" fillId="70" borderId="0">
      <alignment vertical="center"/>
    </xf>
    <xf numFmtId="164" fontId="90" fillId="71" borderId="0" applyNumberFormat="0" applyBorder="0" applyAlignment="0" applyProtection="0"/>
    <xf numFmtId="164" fontId="89" fillId="66" borderId="0" applyNumberFormat="0" applyBorder="0" applyAlignment="0" applyProtection="0"/>
    <xf numFmtId="164" fontId="89" fillId="72" borderId="0" applyNumberFormat="0" applyBorder="0" applyAlignment="0" applyProtection="0"/>
    <xf numFmtId="164" fontId="90" fillId="73" borderId="0" applyNumberFormat="0" applyBorder="0" applyAlignment="0" applyProtection="0"/>
    <xf numFmtId="0" fontId="73" fillId="74" borderId="0" applyNumberFormat="0" applyBorder="0" applyAlignment="0" applyProtection="0">
      <alignment vertical="center"/>
    </xf>
    <xf numFmtId="0" fontId="74" fillId="74" borderId="0" applyNumberFormat="0" applyBorder="0" applyAlignment="0" applyProtection="0">
      <alignment vertical="center"/>
    </xf>
    <xf numFmtId="0" fontId="75" fillId="74" borderId="0" applyNumberFormat="0" applyBorder="0" applyAlignment="0" applyProtection="0">
      <alignment vertical="center"/>
    </xf>
    <xf numFmtId="0" fontId="73" fillId="74" borderId="0" applyNumberFormat="0" applyBorder="0" applyAlignment="0" applyProtection="0">
      <alignment vertical="center"/>
    </xf>
    <xf numFmtId="0" fontId="74" fillId="74" borderId="0" applyNumberFormat="0" applyBorder="0" applyAlignment="0" applyProtection="0">
      <alignment vertical="center"/>
    </xf>
    <xf numFmtId="0" fontId="74" fillId="75" borderId="0">
      <alignment vertical="center"/>
    </xf>
    <xf numFmtId="164" fontId="90" fillId="76" borderId="0" applyNumberFormat="0" applyBorder="0" applyAlignment="0" applyProtection="0"/>
    <xf numFmtId="164" fontId="89" fillId="66" borderId="0" applyNumberFormat="0" applyBorder="0" applyAlignment="0" applyProtection="0"/>
    <xf numFmtId="164" fontId="89" fillId="66" borderId="0" applyNumberFormat="0" applyBorder="0" applyAlignment="0" applyProtection="0"/>
    <xf numFmtId="164" fontId="90" fillId="72" borderId="0" applyNumberFormat="0" applyBorder="0" applyAlignment="0" applyProtection="0"/>
    <xf numFmtId="0" fontId="73" fillId="77" borderId="0" applyNumberFormat="0" applyBorder="0" applyAlignment="0" applyProtection="0">
      <alignment vertical="center"/>
    </xf>
    <xf numFmtId="0" fontId="74" fillId="77" borderId="0" applyNumberFormat="0" applyBorder="0" applyAlignment="0" applyProtection="0">
      <alignment vertical="center"/>
    </xf>
    <xf numFmtId="0" fontId="75" fillId="77" borderId="0" applyNumberFormat="0" applyBorder="0" applyAlignment="0" applyProtection="0">
      <alignment vertical="center"/>
    </xf>
    <xf numFmtId="0" fontId="73" fillId="77" borderId="0" applyNumberFormat="0" applyBorder="0" applyAlignment="0" applyProtection="0">
      <alignment vertical="center"/>
    </xf>
    <xf numFmtId="0" fontId="74" fillId="77" borderId="0" applyNumberFormat="0" applyBorder="0" applyAlignment="0" applyProtection="0">
      <alignment vertical="center"/>
    </xf>
    <xf numFmtId="0" fontId="74" fillId="78" borderId="0">
      <alignment vertical="center"/>
    </xf>
    <xf numFmtId="164" fontId="90" fillId="73" borderId="0" applyNumberFormat="0" applyBorder="0" applyAlignment="0" applyProtection="0"/>
    <xf numFmtId="164" fontId="89" fillId="66" borderId="0" applyNumberFormat="0" applyBorder="0" applyAlignment="0" applyProtection="0"/>
    <xf numFmtId="164" fontId="89" fillId="72" borderId="0" applyNumberFormat="0" applyBorder="0" applyAlignment="0" applyProtection="0"/>
    <xf numFmtId="164" fontId="90" fillId="72" borderId="0" applyNumberFormat="0" applyBorder="0" applyAlignment="0" applyProtection="0"/>
    <xf numFmtId="0" fontId="73" fillId="59" borderId="0" applyNumberFormat="0" applyBorder="0" applyAlignment="0" applyProtection="0">
      <alignment vertical="center"/>
    </xf>
    <xf numFmtId="0" fontId="74" fillId="59" borderId="0" applyNumberFormat="0" applyBorder="0" applyAlignment="0" applyProtection="0">
      <alignment vertical="center"/>
    </xf>
    <xf numFmtId="0" fontId="75" fillId="59" borderId="0" applyNumberFormat="0" applyBorder="0" applyAlignment="0" applyProtection="0">
      <alignment vertical="center"/>
    </xf>
    <xf numFmtId="0" fontId="73" fillId="59" borderId="0" applyNumberFormat="0" applyBorder="0" applyAlignment="0" applyProtection="0">
      <alignment vertical="center"/>
    </xf>
    <xf numFmtId="0" fontId="74" fillId="59" borderId="0" applyNumberFormat="0" applyBorder="0" applyAlignment="0" applyProtection="0">
      <alignment vertical="center"/>
    </xf>
    <xf numFmtId="0" fontId="74" fillId="60" borderId="0">
      <alignment vertical="center"/>
    </xf>
    <xf numFmtId="164" fontId="90" fillId="71" borderId="0" applyNumberFormat="0" applyBorder="0" applyAlignment="0" applyProtection="0"/>
    <xf numFmtId="164" fontId="89" fillId="66" borderId="0" applyNumberFormat="0" applyBorder="0" applyAlignment="0" applyProtection="0"/>
    <xf numFmtId="164" fontId="89" fillId="66" borderId="0" applyNumberFormat="0" applyBorder="0" applyAlignment="0" applyProtection="0"/>
    <xf numFmtId="164" fontId="90" fillId="68" borderId="0" applyNumberFormat="0" applyBorder="0" applyAlignment="0" applyProtection="0"/>
    <xf numFmtId="0" fontId="73" fillId="61" borderId="0" applyNumberFormat="0" applyBorder="0" applyAlignment="0" applyProtection="0">
      <alignment vertical="center"/>
    </xf>
    <xf numFmtId="0" fontId="74" fillId="61" borderId="0" applyNumberFormat="0" applyBorder="0" applyAlignment="0" applyProtection="0">
      <alignment vertical="center"/>
    </xf>
    <xf numFmtId="0" fontId="75" fillId="61" borderId="0" applyNumberFormat="0" applyBorder="0" applyAlignment="0" applyProtection="0">
      <alignment vertical="center"/>
    </xf>
    <xf numFmtId="0" fontId="73" fillId="61" borderId="0" applyNumberFormat="0" applyBorder="0" applyAlignment="0" applyProtection="0">
      <alignment vertical="center"/>
    </xf>
    <xf numFmtId="0" fontId="74" fillId="61" borderId="0" applyNumberFormat="0" applyBorder="0" applyAlignment="0" applyProtection="0">
      <alignment vertical="center"/>
    </xf>
    <xf numFmtId="0" fontId="74" fillId="62" borderId="0">
      <alignment vertical="center"/>
    </xf>
    <xf numFmtId="164" fontId="90" fillId="79" borderId="0" applyNumberFormat="0" applyBorder="0" applyAlignment="0" applyProtection="0"/>
    <xf numFmtId="164" fontId="89" fillId="80" borderId="0" applyNumberFormat="0" applyBorder="0" applyAlignment="0" applyProtection="0"/>
    <xf numFmtId="164" fontId="89" fillId="80" borderId="0" applyNumberFormat="0" applyBorder="0" applyAlignment="0" applyProtection="0"/>
    <xf numFmtId="164" fontId="90" fillId="81" borderId="0" applyNumberFormat="0" applyBorder="0" applyAlignment="0" applyProtection="0"/>
    <xf numFmtId="0" fontId="73" fillId="65" borderId="0" applyNumberFormat="0" applyBorder="0" applyAlignment="0" applyProtection="0">
      <alignment vertical="center"/>
    </xf>
    <xf numFmtId="0" fontId="74" fillId="65" borderId="0" applyNumberFormat="0" applyBorder="0" applyAlignment="0" applyProtection="0">
      <alignment vertical="center"/>
    </xf>
    <xf numFmtId="0" fontId="75" fillId="65" borderId="0" applyNumberFormat="0" applyBorder="0" applyAlignment="0" applyProtection="0">
      <alignment vertical="center"/>
    </xf>
    <xf numFmtId="0" fontId="73" fillId="65" borderId="0" applyNumberFormat="0" applyBorder="0" applyAlignment="0" applyProtection="0">
      <alignment vertical="center"/>
    </xf>
    <xf numFmtId="0" fontId="74" fillId="65" borderId="0" applyNumberFormat="0" applyBorder="0" applyAlignment="0" applyProtection="0">
      <alignment vertical="center"/>
    </xf>
    <xf numFmtId="0" fontId="74" fillId="82" borderId="0">
      <alignment vertical="center"/>
    </xf>
    <xf numFmtId="164" fontId="90" fillId="83" borderId="0" applyNumberFormat="0" applyBorder="0" applyAlignment="0" applyProtection="0"/>
    <xf numFmtId="164" fontId="38" fillId="0" borderId="0" applyFont="0" applyFill="0" applyBorder="0" applyAlignment="0" applyProtection="0"/>
    <xf numFmtId="187" fontId="31" fillId="50" borderId="46">
      <alignment horizontal="center" vertical="center"/>
    </xf>
    <xf numFmtId="164" fontId="62" fillId="0" borderId="0" applyFont="0" applyFill="0" applyBorder="0" applyAlignment="0" applyProtection="0"/>
    <xf numFmtId="164" fontId="91"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5" fillId="0" borderId="0" applyFont="0" applyFill="0" applyBorder="0" applyAlignment="0" applyProtection="0"/>
    <xf numFmtId="164" fontId="65" fillId="0" borderId="0" applyFont="0" applyFill="0" applyBorder="0" applyAlignment="0" applyProtection="0"/>
    <xf numFmtId="164" fontId="94" fillId="0" borderId="0" applyFont="0" applyFill="0" applyBorder="0" applyAlignment="0" applyProtection="0"/>
    <xf numFmtId="188" fontId="95" fillId="0" borderId="0" applyFont="0" applyFill="0" applyBorder="0" applyAlignment="0" applyProtection="0"/>
    <xf numFmtId="164" fontId="92" fillId="0" borderId="0" applyFont="0" applyFill="0" applyBorder="0" applyAlignment="0" applyProtection="0"/>
    <xf numFmtId="164" fontId="6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89" fontId="92"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1"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164" fontId="91"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9" fillId="0" borderId="0" applyFont="0" applyFill="0" applyBorder="0" applyAlignment="0" applyProtection="0"/>
    <xf numFmtId="164" fontId="100" fillId="0" borderId="0" applyFont="0" applyFill="0" applyBorder="0" applyAlignment="0" applyProtection="0"/>
    <xf numFmtId="164" fontId="92" fillId="0" borderId="0" applyFont="0" applyFill="0" applyBorder="0" applyAlignment="0" applyProtection="0"/>
    <xf numFmtId="164" fontId="5"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0" fontId="6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0" fontId="65" fillId="0" borderId="0" applyFont="0" applyFill="0" applyBorder="0" applyAlignment="0" applyProtection="0"/>
    <xf numFmtId="0" fontId="92" fillId="0" borderId="0" applyFont="0" applyFill="0" applyBorder="0" applyAlignment="0" applyProtection="0"/>
    <xf numFmtId="164" fontId="91"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101" fillId="0" borderId="0" applyFont="0" applyFill="0" applyBorder="0" applyAlignment="0" applyProtection="0"/>
    <xf numFmtId="164" fontId="97"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2" fillId="0" borderId="0" applyFont="0" applyFill="0" applyBorder="0" applyAlignment="0" applyProtection="0"/>
    <xf numFmtId="164" fontId="91"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0" fontId="92" fillId="0" borderId="0" applyFont="0" applyFill="0" applyBorder="0" applyAlignment="0" applyProtection="0"/>
    <xf numFmtId="0" fontId="93" fillId="0" borderId="0" applyFont="0" applyFill="0" applyBorder="0" applyAlignment="0" applyProtection="0"/>
    <xf numFmtId="164" fontId="5"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38" fontId="95" fillId="0" borderId="0" applyFont="0" applyFill="0" applyBorder="0" applyAlignment="0" applyProtection="0"/>
    <xf numFmtId="164" fontId="92" fillId="0" borderId="0" applyFont="0" applyFill="0" applyBorder="0" applyAlignment="0" applyProtection="0"/>
    <xf numFmtId="164" fontId="6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7"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81" fontId="92"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1"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164" fontId="91"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9" fillId="0" borderId="0" applyFont="0" applyFill="0" applyBorder="0" applyAlignment="0" applyProtection="0"/>
    <xf numFmtId="164" fontId="100" fillId="0" borderId="0" applyFont="0" applyFill="0" applyBorder="0" applyAlignment="0" applyProtection="0"/>
    <xf numFmtId="164" fontId="92" fillId="0" borderId="0" applyFont="0" applyFill="0" applyBorder="0" applyAlignment="0" applyProtection="0"/>
    <xf numFmtId="164" fontId="5"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0" fontId="6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0" fontId="65" fillId="0" borderId="0" applyFont="0" applyFill="0" applyBorder="0" applyAlignment="0" applyProtection="0"/>
    <xf numFmtId="0" fontId="92" fillId="0" borderId="0" applyFont="0" applyFill="0" applyBorder="0" applyAlignment="0" applyProtection="0"/>
    <xf numFmtId="164" fontId="91"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101" fillId="0" borderId="0" applyFont="0" applyFill="0" applyBorder="0" applyAlignment="0" applyProtection="0"/>
    <xf numFmtId="164" fontId="97"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2" fillId="0" borderId="0" applyFont="0" applyFill="0" applyBorder="0" applyAlignment="0" applyProtection="0"/>
    <xf numFmtId="164" fontId="81" fillId="0" borderId="0" applyFont="0" applyFill="0" applyBorder="0" applyAlignment="0" applyProtection="0"/>
    <xf numFmtId="164" fontId="81" fillId="0" borderId="0" applyFont="0" applyFill="0" applyBorder="0" applyAlignment="0" applyProtection="0"/>
    <xf numFmtId="164" fontId="82" fillId="0" borderId="0" applyFont="0" applyFill="0" applyBorder="0" applyAlignment="0" applyProtection="0"/>
    <xf numFmtId="164" fontId="57"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164" fontId="87" fillId="0" borderId="0" applyFont="0" applyFill="0" applyBorder="0" applyAlignment="0" applyProtection="0"/>
    <xf numFmtId="164" fontId="87" fillId="0" borderId="0" applyFont="0" applyFill="0" applyBorder="0" applyAlignment="0" applyProtection="0"/>
    <xf numFmtId="190" fontId="88" fillId="0" borderId="0" applyFont="0" applyFill="0" applyBorder="0" applyAlignment="0" applyProtection="0"/>
    <xf numFmtId="191" fontId="88" fillId="0" borderId="0" applyFont="0" applyFill="0" applyBorder="0" applyAlignment="0" applyProtection="0"/>
    <xf numFmtId="164" fontId="79" fillId="0" borderId="0" applyFont="0" applyFill="0" applyBorder="0" applyAlignment="0" applyProtection="0"/>
    <xf numFmtId="164" fontId="79" fillId="0" borderId="0" applyFont="0" applyFill="0" applyBorder="0" applyAlignment="0" applyProtection="0"/>
    <xf numFmtId="192" fontId="80" fillId="0" borderId="0" applyFont="0" applyFill="0" applyBorder="0" applyAlignment="0" applyProtection="0"/>
    <xf numFmtId="0" fontId="56" fillId="0" borderId="0" applyFont="0" applyFill="0" applyBorder="0" applyAlignment="0" applyProtection="0"/>
    <xf numFmtId="0" fontId="62" fillId="0" borderId="0"/>
    <xf numFmtId="164" fontId="62" fillId="0" borderId="0" applyFont="0" applyFill="0" applyBorder="0" applyAlignment="0" applyProtection="0"/>
    <xf numFmtId="164" fontId="93" fillId="0" borderId="0" applyFont="0" applyFill="0" applyBorder="0" applyAlignment="0" applyProtection="0"/>
    <xf numFmtId="164" fontId="5" fillId="0" borderId="0" applyFont="0" applyFill="0" applyBorder="0" applyAlignment="0" applyProtection="0"/>
    <xf numFmtId="164" fontId="65" fillId="0" borderId="0" applyFont="0" applyFill="0" applyBorder="0" applyAlignment="0" applyProtection="0"/>
    <xf numFmtId="164" fontId="99" fillId="0" borderId="0" applyBorder="0" applyProtection="0">
      <alignment vertical="center"/>
      <protection locked="0"/>
    </xf>
    <xf numFmtId="164" fontId="93" fillId="0" borderId="0" applyFont="0" applyFill="0" applyBorder="0" applyAlignment="0" applyProtection="0"/>
    <xf numFmtId="164" fontId="92"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65" fillId="0" borderId="0" applyFont="0" applyFill="0" applyBorder="0" applyAlignment="0" applyProtection="0"/>
    <xf numFmtId="0" fontId="92" fillId="0" borderId="0" applyFont="0" applyFill="0" applyBorder="0" applyAlignment="0" applyProtection="0"/>
    <xf numFmtId="0" fontId="102" fillId="0" borderId="0" applyFont="0" applyFill="0" applyBorder="0" applyAlignment="0" applyProtection="0"/>
    <xf numFmtId="193"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5"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164" fontId="98" fillId="0" borderId="0" applyFont="0" applyFill="0" applyBorder="0" applyAlignment="0" applyProtection="0"/>
    <xf numFmtId="0" fontId="94" fillId="0" borderId="0" applyFont="0" applyFill="0" applyBorder="0" applyAlignment="0" applyProtection="0"/>
    <xf numFmtId="0" fontId="65" fillId="0" borderId="0" applyFont="0" applyFill="0" applyBorder="0" applyAlignment="0" applyProtection="0"/>
    <xf numFmtId="0" fontId="92" fillId="0" borderId="0" applyFont="0" applyFill="0" applyBorder="0" applyAlignment="0" applyProtection="0"/>
    <xf numFmtId="164" fontId="93" fillId="0" borderId="0" applyFont="0" applyFill="0" applyBorder="0" applyAlignment="0" applyProtection="0"/>
    <xf numFmtId="164" fontId="101" fillId="0" borderId="0" applyFont="0" applyFill="0" applyBorder="0" applyAlignment="0" applyProtection="0"/>
    <xf numFmtId="164" fontId="97"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2"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0" fontId="92" fillId="0" borderId="0" applyFont="0" applyFill="0" applyBorder="0" applyAlignment="0" applyProtection="0"/>
    <xf numFmtId="0" fontId="93" fillId="0" borderId="0" applyFont="0" applyFill="0" applyBorder="0" applyAlignment="0" applyProtection="0"/>
    <xf numFmtId="164" fontId="5"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39" fontId="95" fillId="0" borderId="0" applyFont="0" applyFill="0" applyBorder="0" applyAlignment="0" applyProtection="0"/>
    <xf numFmtId="164" fontId="92" fillId="0" borderId="0" applyFont="0" applyFill="0" applyBorder="0" applyAlignment="0" applyProtection="0"/>
    <xf numFmtId="164" fontId="65" fillId="0" borderId="0" applyFont="0" applyFill="0" applyBorder="0" applyAlignment="0" applyProtection="0"/>
    <xf numFmtId="0" fontId="94"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0" fontId="65" fillId="0" borderId="0" applyFont="0" applyFill="0" applyBorder="0" applyAlignment="0" applyProtection="0"/>
    <xf numFmtId="194" fontId="92" fillId="0" borderId="0" applyFont="0" applyFill="0" applyBorder="0" applyAlignment="0" applyProtection="0"/>
    <xf numFmtId="0" fontId="102" fillId="0" borderId="0" applyFont="0" applyFill="0" applyBorder="0" applyAlignment="0" applyProtection="0"/>
    <xf numFmtId="0" fontId="103" fillId="0" borderId="0" applyFont="0" applyFill="0" applyBorder="0" applyAlignment="0" applyProtection="0"/>
    <xf numFmtId="164" fontId="65" fillId="0" borderId="0" applyFont="0" applyFill="0" applyBorder="0" applyAlignment="0" applyProtection="0"/>
    <xf numFmtId="164"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2" fillId="0" borderId="0" applyFont="0" applyFill="0" applyBorder="0" applyAlignment="0" applyProtection="0"/>
    <xf numFmtId="164" fontId="93"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5"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164" fontId="96" fillId="0" borderId="0" applyFont="0" applyFill="0" applyBorder="0" applyAlignment="0" applyProtection="0"/>
    <xf numFmtId="0" fontId="65"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0" fontId="94" fillId="0" borderId="0" applyFont="0" applyFill="0" applyBorder="0" applyAlignment="0" applyProtection="0"/>
    <xf numFmtId="0" fontId="65" fillId="0" borderId="0" applyFont="0" applyFill="0" applyBorder="0" applyAlignment="0" applyProtection="0"/>
    <xf numFmtId="0" fontId="92" fillId="0" borderId="0" applyFont="0" applyFill="0" applyBorder="0" applyAlignment="0" applyProtection="0"/>
    <xf numFmtId="164" fontId="93" fillId="0" borderId="0" applyFont="0" applyFill="0" applyBorder="0" applyAlignment="0" applyProtection="0"/>
    <xf numFmtId="164" fontId="101" fillId="0" borderId="0" applyFont="0" applyFill="0" applyBorder="0" applyAlignment="0" applyProtection="0"/>
    <xf numFmtId="164" fontId="97"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4" fillId="0" borderId="0" applyFont="0" applyFill="0" applyBorder="0" applyAlignment="0" applyProtection="0"/>
    <xf numFmtId="164" fontId="93" fillId="0" borderId="0" applyFont="0" applyFill="0" applyBorder="0" applyAlignment="0" applyProtection="0"/>
    <xf numFmtId="0" fontId="94" fillId="0" borderId="0" applyFont="0" applyFill="0" applyBorder="0" applyAlignment="0" applyProtection="0"/>
    <xf numFmtId="0" fontId="93" fillId="0" borderId="0" applyFont="0" applyFill="0" applyBorder="0" applyAlignment="0" applyProtection="0"/>
    <xf numFmtId="164" fontId="92" fillId="0" borderId="0" applyFont="0" applyFill="0" applyBorder="0" applyAlignment="0" applyProtection="0"/>
    <xf numFmtId="164" fontId="98" fillId="0" borderId="0" applyFont="0" applyFill="0" applyBorder="0" applyAlignment="0" applyProtection="0"/>
    <xf numFmtId="0" fontId="92" fillId="0" borderId="0" applyFont="0" applyFill="0" applyBorder="0" applyAlignment="0" applyProtection="0"/>
    <xf numFmtId="0" fontId="98" fillId="0" borderId="0" applyFont="0" applyFill="0" applyBorder="0" applyAlignment="0" applyProtection="0"/>
    <xf numFmtId="164" fontId="96" fillId="0" borderId="0" applyFont="0" applyFill="0" applyBorder="0" applyAlignment="0" applyProtection="0"/>
    <xf numFmtId="164" fontId="97" fillId="0" borderId="0" applyFont="0" applyFill="0" applyBorder="0" applyAlignment="0" applyProtection="0"/>
    <xf numFmtId="0" fontId="96" fillId="0" borderId="0" applyFont="0" applyFill="0" applyBorder="0" applyAlignment="0" applyProtection="0"/>
    <xf numFmtId="0" fontId="97" fillId="0" borderId="0" applyFont="0" applyFill="0" applyBorder="0" applyAlignment="0" applyProtection="0"/>
    <xf numFmtId="164" fontId="92" fillId="0" borderId="0" applyFont="0" applyFill="0" applyBorder="0" applyAlignment="0" applyProtection="0"/>
    <xf numFmtId="164" fontId="91" fillId="0" borderId="0" applyFont="0" applyFill="0" applyBorder="0" applyAlignment="0" applyProtection="0"/>
    <xf numFmtId="164" fontId="91" fillId="0" borderId="0" applyFont="0" applyFill="0" applyBorder="0" applyAlignment="0" applyProtection="0"/>
    <xf numFmtId="164" fontId="39" fillId="0" borderId="0" applyFont="0" applyFill="0" applyBorder="0" applyAlignment="0" applyProtection="0"/>
    <xf numFmtId="0" fontId="39" fillId="0" borderId="0" applyFont="0" applyFill="0" applyBorder="0" applyAlignment="0" applyProtection="0"/>
    <xf numFmtId="0" fontId="104" fillId="37" borderId="0" applyNumberFormat="0" applyBorder="0" applyAlignment="0" applyProtection="0">
      <alignment vertical="center"/>
    </xf>
    <xf numFmtId="0" fontId="105" fillId="37" borderId="0" applyNumberFormat="0" applyBorder="0" applyAlignment="0" applyProtection="0">
      <alignment vertical="center"/>
    </xf>
    <xf numFmtId="0" fontId="106" fillId="37" borderId="0" applyNumberFormat="0" applyBorder="0" applyAlignment="0" applyProtection="0">
      <alignment vertical="center"/>
    </xf>
    <xf numFmtId="0" fontId="104" fillId="37" borderId="0" applyNumberFormat="0" applyBorder="0" applyAlignment="0" applyProtection="0">
      <alignment vertical="center"/>
    </xf>
    <xf numFmtId="0" fontId="105" fillId="37" borderId="0" applyNumberFormat="0" applyBorder="0" applyAlignment="0" applyProtection="0">
      <alignment vertical="center"/>
    </xf>
    <xf numFmtId="0" fontId="105" fillId="38" borderId="0">
      <alignment vertical="center"/>
    </xf>
    <xf numFmtId="164" fontId="107" fillId="84" borderId="0" applyNumberFormat="0" applyBorder="0" applyAlignment="0" applyProtection="0"/>
    <xf numFmtId="164" fontId="108" fillId="0" borderId="0" applyNumberFormat="0" applyFill="0" applyBorder="0" applyAlignment="0" applyProtection="0"/>
    <xf numFmtId="0" fontId="108" fillId="0" borderId="0" applyNumberFormat="0" applyFill="0" applyBorder="0" applyAlignment="0" applyProtection="0"/>
    <xf numFmtId="0" fontId="109" fillId="0" borderId="0"/>
    <xf numFmtId="164" fontId="110" fillId="0" borderId="0"/>
    <xf numFmtId="0" fontId="111" fillId="0" borderId="0"/>
    <xf numFmtId="164" fontId="87" fillId="0" borderId="0"/>
    <xf numFmtId="164" fontId="57" fillId="0" borderId="0"/>
    <xf numFmtId="0" fontId="112" fillId="0" borderId="0"/>
    <xf numFmtId="164" fontId="57" fillId="0" borderId="0"/>
    <xf numFmtId="164" fontId="85" fillId="0" borderId="0"/>
    <xf numFmtId="164" fontId="57" fillId="0" borderId="0"/>
    <xf numFmtId="0" fontId="85" fillId="0" borderId="0"/>
    <xf numFmtId="0" fontId="57" fillId="0" borderId="0"/>
    <xf numFmtId="164" fontId="85" fillId="0" borderId="0"/>
    <xf numFmtId="164" fontId="57" fillId="0" borderId="0"/>
    <xf numFmtId="0" fontId="85" fillId="0" borderId="0"/>
    <xf numFmtId="0" fontId="57" fillId="0" borderId="0"/>
    <xf numFmtId="0" fontId="56" fillId="0" borderId="0"/>
    <xf numFmtId="164" fontId="79" fillId="0" borderId="0"/>
    <xf numFmtId="164" fontId="113" fillId="0" borderId="0"/>
    <xf numFmtId="164" fontId="114" fillId="0" borderId="0"/>
    <xf numFmtId="0" fontId="99" fillId="0" borderId="0"/>
    <xf numFmtId="164" fontId="115" fillId="0" borderId="0"/>
    <xf numFmtId="164" fontId="99" fillId="0" borderId="0"/>
    <xf numFmtId="164" fontId="116" fillId="0" borderId="0"/>
    <xf numFmtId="164" fontId="64" fillId="0" borderId="0"/>
    <xf numFmtId="164" fontId="115" fillId="0" borderId="0"/>
    <xf numFmtId="164" fontId="117" fillId="0" borderId="0"/>
    <xf numFmtId="164" fontId="98" fillId="0" borderId="0"/>
    <xf numFmtId="164" fontId="92" fillId="0" borderId="0"/>
    <xf numFmtId="164" fontId="118" fillId="0" borderId="0"/>
    <xf numFmtId="164" fontId="119" fillId="0" borderId="0"/>
    <xf numFmtId="164" fontId="118" fillId="0" borderId="0"/>
    <xf numFmtId="0" fontId="119" fillId="0" borderId="0"/>
    <xf numFmtId="0" fontId="118" fillId="0" borderId="0"/>
    <xf numFmtId="0" fontId="119" fillId="0" borderId="0"/>
    <xf numFmtId="0" fontId="116" fillId="0" borderId="0"/>
    <xf numFmtId="164" fontId="92" fillId="0" borderId="0"/>
    <xf numFmtId="164" fontId="65" fillId="0" borderId="0"/>
    <xf numFmtId="164" fontId="92" fillId="0" borderId="0"/>
    <xf numFmtId="164" fontId="5" fillId="0" borderId="0"/>
    <xf numFmtId="0" fontId="92" fillId="0" borderId="0"/>
    <xf numFmtId="164" fontId="65" fillId="0" borderId="0"/>
    <xf numFmtId="164" fontId="94" fillId="0" borderId="0"/>
    <xf numFmtId="164" fontId="93" fillId="0" borderId="0"/>
    <xf numFmtId="164" fontId="94" fillId="0" borderId="0"/>
    <xf numFmtId="164" fontId="93" fillId="0" borderId="0"/>
    <xf numFmtId="0" fontId="94" fillId="0" borderId="0"/>
    <xf numFmtId="0" fontId="93" fillId="0" borderId="0"/>
    <xf numFmtId="0" fontId="99" fillId="0" borderId="0"/>
    <xf numFmtId="164" fontId="120" fillId="0" borderId="0"/>
    <xf numFmtId="164" fontId="101" fillId="0" borderId="0"/>
    <xf numFmtId="164" fontId="93" fillId="0" borderId="0"/>
    <xf numFmtId="164" fontId="96" fillId="0" borderId="0"/>
    <xf numFmtId="164" fontId="97" fillId="0" borderId="0"/>
    <xf numFmtId="0" fontId="96" fillId="0" borderId="0"/>
    <xf numFmtId="0" fontId="97" fillId="0" borderId="0"/>
    <xf numFmtId="164" fontId="92" fillId="0" borderId="0"/>
    <xf numFmtId="164" fontId="98" fillId="0" borderId="0"/>
    <xf numFmtId="0" fontId="92" fillId="0" borderId="0"/>
    <xf numFmtId="0" fontId="98" fillId="0" borderId="0"/>
    <xf numFmtId="164" fontId="92" fillId="0" borderId="0"/>
    <xf numFmtId="164" fontId="98" fillId="0" borderId="0"/>
    <xf numFmtId="164" fontId="94" fillId="0" borderId="0"/>
    <xf numFmtId="164" fontId="93" fillId="0" borderId="0"/>
    <xf numFmtId="0" fontId="94" fillId="0" borderId="0"/>
    <xf numFmtId="0" fontId="93" fillId="0" borderId="0"/>
    <xf numFmtId="164" fontId="94" fillId="0" borderId="0"/>
    <xf numFmtId="164" fontId="98" fillId="0" borderId="0"/>
    <xf numFmtId="164" fontId="92" fillId="0" borderId="0"/>
    <xf numFmtId="164" fontId="98" fillId="0" borderId="0"/>
    <xf numFmtId="0" fontId="92" fillId="0" borderId="0"/>
    <xf numFmtId="0" fontId="98" fillId="0" borderId="0"/>
    <xf numFmtId="49" fontId="92" fillId="0" borderId="0">
      <alignment vertical="center"/>
    </xf>
    <xf numFmtId="164" fontId="116" fillId="0" borderId="0"/>
    <xf numFmtId="164" fontId="92" fillId="0" borderId="0"/>
    <xf numFmtId="164" fontId="93" fillId="0" borderId="0"/>
    <xf numFmtId="164" fontId="94" fillId="0" borderId="0"/>
    <xf numFmtId="164" fontId="98" fillId="0" borderId="0"/>
    <xf numFmtId="0" fontId="94" fillId="0" borderId="0"/>
    <xf numFmtId="0" fontId="65" fillId="0" borderId="0"/>
    <xf numFmtId="0" fontId="94" fillId="0" borderId="0"/>
    <xf numFmtId="0" fontId="93" fillId="0" borderId="0"/>
    <xf numFmtId="164" fontId="96" fillId="0" borderId="0"/>
    <xf numFmtId="164" fontId="97" fillId="0" borderId="0"/>
    <xf numFmtId="0" fontId="96" fillId="0" borderId="0"/>
    <xf numFmtId="0" fontId="97" fillId="0" borderId="0"/>
    <xf numFmtId="164" fontId="113" fillId="0" borderId="0"/>
    <xf numFmtId="164" fontId="65" fillId="0" borderId="0"/>
    <xf numFmtId="164" fontId="92" fillId="0" borderId="0"/>
    <xf numFmtId="164" fontId="98" fillId="0" borderId="0"/>
    <xf numFmtId="164" fontId="94" fillId="0" borderId="0"/>
    <xf numFmtId="164" fontId="93" fillId="0" borderId="0"/>
    <xf numFmtId="0" fontId="94" fillId="0" borderId="0"/>
    <xf numFmtId="0" fontId="93" fillId="0" borderId="0"/>
    <xf numFmtId="164" fontId="92" fillId="0" borderId="0"/>
    <xf numFmtId="164" fontId="98" fillId="0" borderId="0"/>
    <xf numFmtId="0" fontId="92" fillId="0" borderId="0"/>
    <xf numFmtId="0" fontId="98" fillId="0" borderId="0"/>
    <xf numFmtId="164" fontId="117" fillId="0" borderId="0"/>
    <xf numFmtId="164" fontId="117" fillId="0" borderId="0"/>
    <xf numFmtId="0" fontId="117" fillId="0" borderId="0"/>
    <xf numFmtId="0" fontId="117" fillId="0" borderId="0"/>
    <xf numFmtId="164" fontId="119" fillId="0" borderId="0"/>
    <xf numFmtId="164" fontId="98" fillId="0" borderId="0" applyBorder="0"/>
    <xf numFmtId="164" fontId="5" fillId="0" borderId="0"/>
    <xf numFmtId="164" fontId="5" fillId="0" borderId="0"/>
    <xf numFmtId="164" fontId="94" fillId="0" borderId="0"/>
    <xf numFmtId="164" fontId="93" fillId="0" borderId="0"/>
    <xf numFmtId="0" fontId="94" fillId="0" borderId="0"/>
    <xf numFmtId="0" fontId="93" fillId="0" borderId="0"/>
    <xf numFmtId="164" fontId="92" fillId="0" borderId="0"/>
    <xf numFmtId="164" fontId="98" fillId="0" borderId="0"/>
    <xf numFmtId="0" fontId="92" fillId="0" borderId="0"/>
    <xf numFmtId="0" fontId="98" fillId="0" borderId="0"/>
    <xf numFmtId="164" fontId="92" fillId="0" borderId="0"/>
    <xf numFmtId="195" fontId="5" fillId="0" borderId="0" applyFill="0" applyBorder="0" applyAlignment="0"/>
    <xf numFmtId="196" fontId="121" fillId="0" borderId="0" applyFill="0" applyBorder="0" applyAlignment="0"/>
    <xf numFmtId="197" fontId="121" fillId="0" borderId="0" applyFill="0" applyBorder="0" applyAlignment="0"/>
    <xf numFmtId="164" fontId="5" fillId="0" borderId="0" applyFill="0" applyBorder="0" applyAlignment="0"/>
    <xf numFmtId="164" fontId="5" fillId="0" borderId="0" applyFill="0" applyBorder="0" applyAlignment="0"/>
    <xf numFmtId="195" fontId="5" fillId="0" borderId="0" applyFill="0" applyBorder="0" applyAlignment="0"/>
    <xf numFmtId="198" fontId="5" fillId="0" borderId="0" applyFill="0" applyBorder="0" applyAlignment="0"/>
    <xf numFmtId="196" fontId="121" fillId="0" borderId="0" applyFill="0" applyBorder="0" applyAlignment="0"/>
    <xf numFmtId="0" fontId="122" fillId="85" borderId="47" applyNumberFormat="0" applyAlignment="0" applyProtection="0">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3" fillId="86" borderId="47">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164" fontId="124" fillId="87" borderId="47" applyNumberFormat="0" applyAlignment="0" applyProtection="0"/>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164" fontId="124" fillId="87" borderId="47" applyNumberFormat="0" applyAlignment="0" applyProtection="0"/>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164" fontId="124" fillId="87" borderId="47" applyNumberFormat="0" applyAlignment="0" applyProtection="0"/>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164" fontId="124" fillId="87" borderId="47" applyNumberFormat="0" applyAlignment="0" applyProtection="0"/>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3"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5" fillId="85" borderId="47" applyNumberFormat="0" applyAlignment="0" applyProtection="0">
      <alignment vertical="center"/>
    </xf>
    <xf numFmtId="0" fontId="122" fillId="85" borderId="47" applyNumberFormat="0" applyAlignment="0" applyProtection="0">
      <alignment vertical="center"/>
    </xf>
    <xf numFmtId="0" fontId="122" fillId="85" borderId="47" applyNumberFormat="0" applyAlignment="0" applyProtection="0">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3"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6" borderId="47">
      <alignment vertical="center"/>
    </xf>
    <xf numFmtId="0" fontId="122" fillId="85" borderId="47" applyNumberFormat="0" applyAlignment="0" applyProtection="0">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0" fontId="122" fillId="86" borderId="47">
      <alignment vertical="center"/>
    </xf>
    <xf numFmtId="164" fontId="124" fillId="87" borderId="47" applyNumberFormat="0" applyAlignment="0" applyProtection="0"/>
    <xf numFmtId="0" fontId="122" fillId="85" borderId="47" applyNumberFormat="0" applyAlignment="0" applyProtection="0">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164" fontId="124" fillId="87" borderId="47" applyNumberFormat="0" applyAlignment="0" applyProtection="0"/>
    <xf numFmtId="0" fontId="122" fillId="85" borderId="47" applyNumberFormat="0" applyAlignment="0" applyProtection="0">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164" fontId="124" fillId="87" borderId="47" applyNumberFormat="0" applyAlignment="0" applyProtection="0"/>
    <xf numFmtId="0" fontId="122" fillId="85" borderId="47" applyNumberFormat="0" applyAlignment="0" applyProtection="0">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164" fontId="124" fillId="87" borderId="47" applyNumberFormat="0" applyAlignment="0" applyProtection="0"/>
    <xf numFmtId="0" fontId="122" fillId="85" borderId="47" applyNumberFormat="0" applyAlignment="0" applyProtection="0">
      <alignment vertical="center"/>
    </xf>
    <xf numFmtId="0" fontId="122" fillId="86" borderId="47">
      <alignment vertical="center"/>
    </xf>
    <xf numFmtId="0" fontId="123"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0" fontId="122" fillId="86" borderId="47">
      <alignment vertical="center"/>
    </xf>
    <xf numFmtId="164" fontId="124" fillId="87" borderId="47" applyNumberFormat="0" applyAlignment="0" applyProtection="0"/>
    <xf numFmtId="0" fontId="122" fillId="86" borderId="47">
      <alignment vertical="center"/>
    </xf>
    <xf numFmtId="164" fontId="124" fillId="87" borderId="47" applyNumberFormat="0" applyAlignment="0" applyProtection="0"/>
    <xf numFmtId="0" fontId="126" fillId="0" borderId="0"/>
    <xf numFmtId="0" fontId="126" fillId="0" borderId="0"/>
    <xf numFmtId="0" fontId="127" fillId="88" borderId="48" applyNumberFormat="0" applyAlignment="0" applyProtection="0">
      <alignment vertical="center"/>
    </xf>
    <xf numFmtId="0" fontId="128" fillId="88" borderId="48" applyNumberFormat="0" applyAlignment="0" applyProtection="0">
      <alignment vertical="center"/>
    </xf>
    <xf numFmtId="164" fontId="129" fillId="73" borderId="48" applyNumberFormat="0" applyAlignment="0" applyProtection="0"/>
    <xf numFmtId="0" fontId="130" fillId="88" borderId="48" applyNumberFormat="0" applyAlignment="0" applyProtection="0">
      <alignment vertical="center"/>
    </xf>
    <xf numFmtId="0" fontId="127" fillId="88" borderId="48" applyNumberFormat="0" applyAlignment="0" applyProtection="0">
      <alignment vertical="center"/>
    </xf>
    <xf numFmtId="0" fontId="128" fillId="88" borderId="48" applyNumberFormat="0" applyAlignment="0" applyProtection="0">
      <alignment vertical="center"/>
    </xf>
    <xf numFmtId="0" fontId="128" fillId="89" borderId="48">
      <alignment vertical="center"/>
    </xf>
    <xf numFmtId="164" fontId="129" fillId="73" borderId="48" applyNumberFormat="0" applyAlignment="0" applyProtection="0"/>
    <xf numFmtId="0" fontId="49" fillId="0" borderId="0" applyNumberFormat="0" applyFill="0" applyBorder="0" applyAlignment="0" applyProtection="0">
      <alignment vertical="top"/>
      <protection locked="0"/>
    </xf>
    <xf numFmtId="10" fontId="85" fillId="0" borderId="0" applyFont="0" applyFill="0" applyBorder="0" applyAlignment="0" applyProtection="0"/>
    <xf numFmtId="199" fontId="5" fillId="0" borderId="0"/>
    <xf numFmtId="199" fontId="5" fillId="0" borderId="0"/>
    <xf numFmtId="199" fontId="5" fillId="0" borderId="0"/>
    <xf numFmtId="199" fontId="5" fillId="0" borderId="0"/>
    <xf numFmtId="199" fontId="5" fillId="0" borderId="0"/>
    <xf numFmtId="199" fontId="5" fillId="0" borderId="0"/>
    <xf numFmtId="199" fontId="5" fillId="0" borderId="0"/>
    <xf numFmtId="199" fontId="5" fillId="0" borderId="0"/>
    <xf numFmtId="168" fontId="39" fillId="0" borderId="0" applyFont="0" applyFill="0" applyBorder="0" applyAlignment="0" applyProtection="0">
      <alignment vertical="center"/>
    </xf>
    <xf numFmtId="195" fontId="5" fillId="0" borderId="0" applyFont="0" applyFill="0" applyBorder="0" applyAlignment="0" applyProtection="0"/>
    <xf numFmtId="43" fontId="5" fillId="0" borderId="0" applyFont="0" applyFill="0" applyBorder="0" applyAlignment="0" applyProtection="0"/>
    <xf numFmtId="200" fontId="39" fillId="0" borderId="0"/>
    <xf numFmtId="3" fontId="5" fillId="0" borderId="0" applyFont="0" applyFill="0" applyBorder="0" applyAlignment="0" applyProtection="0"/>
    <xf numFmtId="0" fontId="39" fillId="0" borderId="0" applyFont="0" applyFill="0" applyBorder="0" applyAlignment="0" applyProtection="0"/>
    <xf numFmtId="0" fontId="5" fillId="0" borderId="0" applyFont="0" applyFill="0" applyBorder="0" applyAlignment="0" applyProtection="0"/>
    <xf numFmtId="196" fontId="121" fillId="0" borderId="0" applyFont="0" applyFill="0" applyBorder="0" applyAlignment="0" applyProtection="0"/>
    <xf numFmtId="201" fontId="40" fillId="0" borderId="0" applyFont="0" applyFill="0" applyBorder="0" applyAlignment="0" applyProtection="0"/>
    <xf numFmtId="164" fontId="39" fillId="0" borderId="0"/>
    <xf numFmtId="0" fontId="39" fillId="0" borderId="0"/>
    <xf numFmtId="0" fontId="54" fillId="86" borderId="0" applyFont="0" applyBorder="0"/>
    <xf numFmtId="164" fontId="131" fillId="0" borderId="0"/>
    <xf numFmtId="202" fontId="39" fillId="0" borderId="0">
      <protection locked="0"/>
    </xf>
    <xf numFmtId="203" fontId="31" fillId="0" borderId="0">
      <protection locked="0"/>
    </xf>
    <xf numFmtId="14" fontId="132" fillId="0" borderId="0" applyFill="0" applyBorder="0" applyAlignment="0"/>
    <xf numFmtId="14" fontId="5" fillId="0" borderId="0" applyFont="0" applyFill="0" applyBorder="0" applyAlignment="0" applyProtection="0"/>
    <xf numFmtId="164" fontId="95" fillId="0" borderId="0">
      <protection locked="0"/>
    </xf>
    <xf numFmtId="0" fontId="133" fillId="1" borderId="0" applyFill="0">
      <alignment horizontal="center"/>
    </xf>
    <xf numFmtId="38" fontId="62" fillId="0" borderId="49">
      <alignment vertical="center"/>
    </xf>
    <xf numFmtId="204" fontId="39" fillId="0" borderId="0"/>
    <xf numFmtId="164" fontId="38" fillId="0" borderId="0" applyFont="0" applyFill="0" applyBorder="0" applyAlignment="0" applyProtection="0"/>
    <xf numFmtId="164" fontId="134" fillId="90" borderId="0" applyNumberFormat="0" applyBorder="0" applyAlignment="0" applyProtection="0"/>
    <xf numFmtId="164" fontId="134" fillId="91" borderId="0" applyNumberFormat="0" applyBorder="0" applyAlignment="0" applyProtection="0"/>
    <xf numFmtId="164" fontId="134" fillId="92" borderId="0" applyNumberFormat="0" applyBorder="0" applyAlignment="0" applyProtection="0"/>
    <xf numFmtId="164" fontId="38" fillId="0" borderId="0" applyFont="0" applyFill="0" applyBorder="0" applyAlignment="0" applyProtection="0"/>
    <xf numFmtId="195" fontId="5" fillId="0" borderId="0" applyFill="0" applyBorder="0" applyAlignment="0"/>
    <xf numFmtId="196" fontId="121" fillId="0" borderId="0" applyFill="0" applyBorder="0" applyAlignment="0"/>
    <xf numFmtId="195" fontId="5" fillId="0" borderId="0" applyFill="0" applyBorder="0" applyAlignment="0"/>
    <xf numFmtId="198" fontId="5" fillId="0" borderId="0" applyFill="0" applyBorder="0" applyAlignment="0"/>
    <xf numFmtId="196" fontId="121" fillId="0" borderId="0" applyFill="0" applyBorder="0" applyAlignment="0"/>
    <xf numFmtId="164" fontId="121" fillId="0" borderId="0">
      <alignment horizontal="left"/>
    </xf>
    <xf numFmtId="164" fontId="39" fillId="0" borderId="0" applyFont="0" applyFill="0" applyBorder="0" applyAlignment="0" applyProtection="0"/>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6" fillId="0" borderId="0">
      <alignment vertical="center"/>
    </xf>
    <xf numFmtId="0" fontId="67" fillId="0" borderId="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7" fillId="0" borderId="0" applyNumberFormat="0" applyFill="0" applyBorder="0" applyAlignment="0" applyProtection="0">
      <alignment vertical="center"/>
    </xf>
    <xf numFmtId="0" fontId="135" fillId="0" borderId="0" applyNumberFormat="0" applyFill="0" applyBorder="0" applyAlignment="0" applyProtection="0">
      <alignment vertical="center"/>
    </xf>
    <xf numFmtId="0" fontId="136" fillId="0" borderId="0" applyNumberFormat="0" applyFill="0" applyBorder="0" applyAlignment="0" applyProtection="0">
      <alignment vertical="center"/>
    </xf>
    <xf numFmtId="0" fontId="136" fillId="0" borderId="0">
      <alignment vertical="center"/>
    </xf>
    <xf numFmtId="164" fontId="138" fillId="0" borderId="0">
      <protection locked="0"/>
    </xf>
    <xf numFmtId="164" fontId="138" fillId="0" borderId="0">
      <protection locked="0"/>
    </xf>
    <xf numFmtId="164" fontId="138" fillId="0" borderId="0">
      <protection locked="0"/>
    </xf>
    <xf numFmtId="164" fontId="138" fillId="0" borderId="0">
      <protection locked="0"/>
    </xf>
    <xf numFmtId="164" fontId="138" fillId="0" borderId="0">
      <protection locked="0"/>
    </xf>
    <xf numFmtId="164" fontId="138" fillId="0" borderId="0">
      <protection locked="0"/>
    </xf>
    <xf numFmtId="164" fontId="138" fillId="0" borderId="0">
      <protection locked="0"/>
    </xf>
    <xf numFmtId="202" fontId="39" fillId="0" borderId="0">
      <protection locked="0"/>
    </xf>
    <xf numFmtId="176" fontId="31" fillId="0" borderId="0">
      <protection locked="0"/>
    </xf>
    <xf numFmtId="164" fontId="139" fillId="0" borderId="0" applyNumberFormat="0" applyFill="0" applyBorder="0" applyAlignment="0" applyProtection="0">
      <alignment vertical="top"/>
      <protection locked="0"/>
    </xf>
    <xf numFmtId="164" fontId="5" fillId="0" borderId="0"/>
    <xf numFmtId="0" fontId="140" fillId="39" borderId="0" applyNumberFormat="0" applyBorder="0" applyAlignment="0" applyProtection="0">
      <alignment vertical="center"/>
    </xf>
    <xf numFmtId="0" fontId="141" fillId="39" borderId="0" applyNumberFormat="0" applyBorder="0" applyAlignment="0" applyProtection="0">
      <alignment vertical="center"/>
    </xf>
    <xf numFmtId="0" fontId="142" fillId="39" borderId="0" applyNumberFormat="0" applyBorder="0" applyAlignment="0" applyProtection="0">
      <alignment vertical="center"/>
    </xf>
    <xf numFmtId="0" fontId="140" fillId="39" borderId="0" applyNumberFormat="0" applyBorder="0" applyAlignment="0" applyProtection="0">
      <alignment vertical="center"/>
    </xf>
    <xf numFmtId="0" fontId="141" fillId="39" borderId="0" applyNumberFormat="0" applyBorder="0" applyAlignment="0" applyProtection="0">
      <alignment vertical="center"/>
    </xf>
    <xf numFmtId="0" fontId="141" fillId="40" borderId="0">
      <alignment vertical="center"/>
    </xf>
    <xf numFmtId="164" fontId="143" fillId="93" borderId="0" applyNumberFormat="0" applyBorder="0" applyAlignment="0" applyProtection="0"/>
    <xf numFmtId="38" fontId="144" fillId="94" borderId="0" applyNumberFormat="0" applyBorder="0" applyAlignment="0" applyProtection="0"/>
    <xf numFmtId="0" fontId="145" fillId="0" borderId="0">
      <alignment horizontal="left"/>
    </xf>
    <xf numFmtId="0" fontId="145" fillId="0" borderId="0">
      <alignment horizontal="left"/>
    </xf>
    <xf numFmtId="0" fontId="20" fillId="0" borderId="50" applyNumberFormat="0" applyAlignment="0" applyProtection="0">
      <alignment horizontal="left" vertical="center"/>
    </xf>
    <xf numFmtId="0" fontId="20" fillId="0" borderId="50" applyNumberFormat="0" applyAlignment="0" applyProtection="0">
      <alignment horizontal="left" vertical="center"/>
    </xf>
    <xf numFmtId="0" fontId="20" fillId="0" borderId="13">
      <alignment horizontal="left" vertical="center"/>
    </xf>
    <xf numFmtId="0"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0"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164" fontId="20" fillId="0" borderId="13">
      <alignment horizontal="left" vertical="center"/>
    </xf>
    <xf numFmtId="0" fontId="20" fillId="0" borderId="13">
      <alignment horizontal="left" vertical="center"/>
    </xf>
    <xf numFmtId="0" fontId="146" fillId="0" borderId="51" applyNumberFormat="0" applyFill="0" applyAlignment="0" applyProtection="0">
      <alignment vertical="center"/>
    </xf>
    <xf numFmtId="0" fontId="147" fillId="0" borderId="51" applyNumberFormat="0" applyFill="0" applyAlignment="0" applyProtection="0">
      <alignment vertical="center"/>
    </xf>
    <xf numFmtId="0" fontId="148" fillId="0" borderId="51" applyNumberFormat="0" applyFill="0" applyAlignment="0" applyProtection="0">
      <alignment vertical="center"/>
    </xf>
    <xf numFmtId="0" fontId="146" fillId="0" borderId="51" applyNumberFormat="0" applyFill="0" applyAlignment="0" applyProtection="0">
      <alignment vertical="center"/>
    </xf>
    <xf numFmtId="0" fontId="147" fillId="0" borderId="51" applyNumberFormat="0" applyFill="0" applyAlignment="0" applyProtection="0">
      <alignment vertical="center"/>
    </xf>
    <xf numFmtId="0" fontId="147" fillId="0" borderId="51">
      <alignment vertical="center"/>
    </xf>
    <xf numFmtId="164" fontId="149" fillId="0" borderId="52" applyNumberFormat="0" applyFill="0" applyAlignment="0" applyProtection="0"/>
    <xf numFmtId="0" fontId="150" fillId="0" borderId="53" applyNumberFormat="0" applyFill="0" applyAlignment="0" applyProtection="0">
      <alignment vertical="center"/>
    </xf>
    <xf numFmtId="0" fontId="151" fillId="0" borderId="53" applyNumberFormat="0" applyFill="0" applyAlignment="0" applyProtection="0">
      <alignment vertical="center"/>
    </xf>
    <xf numFmtId="0" fontId="152" fillId="0" borderId="53" applyNumberFormat="0" applyFill="0" applyAlignment="0" applyProtection="0">
      <alignment vertical="center"/>
    </xf>
    <xf numFmtId="0" fontId="150" fillId="0" borderId="53" applyNumberFormat="0" applyFill="0" applyAlignment="0" applyProtection="0">
      <alignment vertical="center"/>
    </xf>
    <xf numFmtId="0" fontId="151" fillId="0" borderId="53" applyNumberFormat="0" applyFill="0" applyAlignment="0" applyProtection="0">
      <alignment vertical="center"/>
    </xf>
    <xf numFmtId="0" fontId="151" fillId="0" borderId="53">
      <alignment vertical="center"/>
    </xf>
    <xf numFmtId="164" fontId="153" fillId="0" borderId="53" applyNumberFormat="0" applyFill="0" applyAlignment="0" applyProtection="0"/>
    <xf numFmtId="164" fontId="154" fillId="0" borderId="54" applyNumberFormat="0" applyFill="0" applyAlignment="0" applyProtection="0"/>
    <xf numFmtId="0" fontId="155" fillId="0" borderId="55" applyNumberFormat="0" applyFill="0" applyAlignment="0" applyProtection="0">
      <alignment vertical="center"/>
    </xf>
    <xf numFmtId="0" fontId="156" fillId="0" borderId="55" applyNumberFormat="0" applyFill="0" applyAlignment="0" applyProtection="0">
      <alignment vertical="center"/>
    </xf>
    <xf numFmtId="164" fontId="154" fillId="0" borderId="54" applyNumberFormat="0" applyFill="0" applyAlignment="0" applyProtection="0"/>
    <xf numFmtId="164" fontId="154" fillId="0" borderId="54" applyNumberFormat="0" applyFill="0" applyAlignment="0" applyProtection="0"/>
    <xf numFmtId="0" fontId="155" fillId="0" borderId="55" applyNumberFormat="0" applyFill="0" applyAlignment="0" applyProtection="0">
      <alignment vertical="center"/>
    </xf>
    <xf numFmtId="0" fontId="155" fillId="0" borderId="55" applyNumberFormat="0" applyFill="0" applyAlignment="0" applyProtection="0">
      <alignment vertical="center"/>
    </xf>
    <xf numFmtId="0" fontId="156" fillId="0" borderId="55" applyNumberFormat="0" applyFill="0" applyAlignment="0" applyProtection="0">
      <alignment vertical="center"/>
    </xf>
    <xf numFmtId="164" fontId="154" fillId="0" borderId="54" applyNumberFormat="0" applyFill="0" applyAlignment="0" applyProtection="0"/>
    <xf numFmtId="164" fontId="154" fillId="0" borderId="54" applyNumberFormat="0" applyFill="0" applyAlignment="0" applyProtection="0"/>
    <xf numFmtId="0" fontId="156" fillId="0" borderId="55">
      <alignment vertical="center"/>
    </xf>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164" fontId="154" fillId="0" borderId="54" applyNumberFormat="0" applyFill="0" applyAlignment="0" applyProtection="0"/>
    <xf numFmtId="0" fontId="155" fillId="0" borderId="0" applyNumberFormat="0" applyFill="0" applyBorder="0" applyAlignment="0" applyProtection="0">
      <alignment vertical="center"/>
    </xf>
    <xf numFmtId="0" fontId="156" fillId="0" borderId="0" applyNumberFormat="0" applyFill="0" applyBorder="0" applyAlignment="0" applyProtection="0">
      <alignment vertical="center"/>
    </xf>
    <xf numFmtId="0" fontId="157" fillId="0" borderId="0" applyNumberFormat="0" applyFill="0" applyBorder="0" applyAlignment="0" applyProtection="0">
      <alignment vertical="center"/>
    </xf>
    <xf numFmtId="0" fontId="155" fillId="0" borderId="0" applyNumberFormat="0" applyFill="0" applyBorder="0" applyAlignment="0" applyProtection="0">
      <alignment vertical="center"/>
    </xf>
    <xf numFmtId="0" fontId="156" fillId="0" borderId="0" applyNumberFormat="0" applyFill="0" applyBorder="0" applyAlignment="0" applyProtection="0">
      <alignment vertical="center"/>
    </xf>
    <xf numFmtId="0" fontId="156" fillId="0" borderId="0">
      <alignment vertical="center"/>
    </xf>
    <xf numFmtId="164" fontId="154" fillId="0" borderId="0" applyNumberFormat="0" applyFill="0" applyBorder="0" applyAlignment="0" applyProtection="0"/>
    <xf numFmtId="202" fontId="39" fillId="0" borderId="0">
      <protection locked="0"/>
    </xf>
    <xf numFmtId="205" fontId="38" fillId="0" borderId="0">
      <protection locked="0"/>
    </xf>
    <xf numFmtId="202" fontId="39" fillId="0" borderId="0">
      <protection locked="0"/>
    </xf>
    <xf numFmtId="205" fontId="38" fillId="0" borderId="0">
      <protection locked="0"/>
    </xf>
    <xf numFmtId="206" fontId="38" fillId="0" borderId="0" applyFont="0" applyFill="0" applyBorder="0" applyAlignment="0" applyProtection="0"/>
    <xf numFmtId="181" fontId="54"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207" fontId="158" fillId="0" borderId="0"/>
    <xf numFmtId="164" fontId="159" fillId="0" borderId="56" applyNumberFormat="0" applyFill="0" applyAlignment="0" applyProtection="0"/>
    <xf numFmtId="208" fontId="160" fillId="95" borderId="57">
      <alignment horizontal="left" vertical="top" textRotation="90"/>
    </xf>
    <xf numFmtId="164" fontId="117" fillId="0" borderId="0"/>
    <xf numFmtId="164" fontId="38" fillId="0" borderId="0" applyFont="0" applyFill="0" applyBorder="0" applyAlignment="0" applyProtection="0"/>
    <xf numFmtId="0" fontId="38" fillId="0" borderId="0" applyFont="0" applyFill="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10" fontId="144" fillId="94" borderId="10" applyNumberFormat="0" applyBorder="0" applyAlignment="0" applyProtection="0"/>
    <xf numFmtId="0" fontId="161" fillId="45" borderId="47" applyNumberFormat="0" applyAlignment="0" applyProtection="0">
      <alignment vertical="center"/>
    </xf>
    <xf numFmtId="0" fontId="161" fillId="46" borderId="47">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6" borderId="47">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164" fontId="163" fillId="81" borderId="47" applyNumberFormat="0" applyAlignment="0" applyProtection="0"/>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164" fontId="163" fillId="81" borderId="47" applyNumberFormat="0" applyAlignment="0" applyProtection="0"/>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164" fontId="163" fillId="81" borderId="47" applyNumberFormat="0" applyAlignment="0" applyProtection="0"/>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164" fontId="163" fillId="81" borderId="47" applyNumberFormat="0" applyAlignment="0" applyProtection="0"/>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2"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4"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2"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6" borderId="47">
      <alignment vertical="center"/>
    </xf>
    <xf numFmtId="0" fontId="161" fillId="45" borderId="47" applyNumberFormat="0" applyAlignment="0" applyProtection="0">
      <alignment vertical="center"/>
    </xf>
    <xf numFmtId="0" fontId="161" fillId="45" borderId="47" applyNumberFormat="0" applyAlignment="0" applyProtection="0">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5" borderId="47" applyNumberFormat="0" applyAlignment="0" applyProtection="0">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5" borderId="47" applyNumberFormat="0" applyAlignment="0" applyProtection="0">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5" borderId="47" applyNumberFormat="0" applyAlignment="0" applyProtection="0">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164" fontId="163" fillId="81" borderId="47" applyNumberFormat="0" applyAlignment="0" applyProtection="0"/>
    <xf numFmtId="0" fontId="161" fillId="45" borderId="47" applyNumberFormat="0" applyAlignment="0" applyProtection="0">
      <alignment vertical="center"/>
    </xf>
    <xf numFmtId="0" fontId="161" fillId="46" borderId="47">
      <alignment vertical="center"/>
    </xf>
    <xf numFmtId="0" fontId="162"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0" fontId="161" fillId="46" borderId="47">
      <alignment vertical="center"/>
    </xf>
    <xf numFmtId="164" fontId="163" fillId="81" borderId="47" applyNumberFormat="0" applyAlignment="0" applyProtection="0"/>
    <xf numFmtId="0" fontId="161" fillId="46" borderId="47">
      <alignment vertical="center"/>
    </xf>
    <xf numFmtId="164" fontId="163" fillId="81" borderId="47" applyNumberFormat="0" applyAlignment="0" applyProtection="0"/>
    <xf numFmtId="164" fontId="38" fillId="0" borderId="0" applyFont="0" applyFill="0" applyBorder="0" applyAlignment="0" applyProtection="0"/>
    <xf numFmtId="0" fontId="38" fillId="0" borderId="0" applyFont="0" applyFill="0" applyBorder="0" applyAlignment="0" applyProtection="0"/>
    <xf numFmtId="209" fontId="37" fillId="0" borderId="0"/>
    <xf numFmtId="164" fontId="38" fillId="0" borderId="0" applyFont="0" applyFill="0" applyBorder="0" applyAlignment="0" applyProtection="0"/>
    <xf numFmtId="0" fontId="38" fillId="0" borderId="0" applyFont="0" applyFill="0" applyBorder="0" applyAlignment="0" applyProtection="0"/>
    <xf numFmtId="195" fontId="5" fillId="0" borderId="0" applyFill="0" applyBorder="0" applyAlignment="0"/>
    <xf numFmtId="196" fontId="121" fillId="0" borderId="0" applyFill="0" applyBorder="0" applyAlignment="0"/>
    <xf numFmtId="195" fontId="5" fillId="0" borderId="0" applyFill="0" applyBorder="0" applyAlignment="0"/>
    <xf numFmtId="198" fontId="5" fillId="0" borderId="0" applyFill="0" applyBorder="0" applyAlignment="0"/>
    <xf numFmtId="196" fontId="121" fillId="0" borderId="0" applyFill="0" applyBorder="0" applyAlignment="0"/>
    <xf numFmtId="0" fontId="165" fillId="0" borderId="58" applyNumberFormat="0" applyFill="0" applyAlignment="0" applyProtection="0">
      <alignment vertical="center"/>
    </xf>
    <xf numFmtId="0" fontId="166" fillId="0" borderId="58" applyNumberFormat="0" applyFill="0" applyAlignment="0" applyProtection="0">
      <alignment vertical="center"/>
    </xf>
    <xf numFmtId="0" fontId="167" fillId="0" borderId="58" applyNumberFormat="0" applyFill="0" applyAlignment="0" applyProtection="0">
      <alignment vertical="center"/>
    </xf>
    <xf numFmtId="0" fontId="165" fillId="0" borderId="58" applyNumberFormat="0" applyFill="0" applyAlignment="0" applyProtection="0">
      <alignment vertical="center"/>
    </xf>
    <xf numFmtId="0" fontId="166" fillId="0" borderId="58" applyNumberFormat="0" applyFill="0" applyAlignment="0" applyProtection="0">
      <alignment vertical="center"/>
    </xf>
    <xf numFmtId="0" fontId="166" fillId="0" borderId="58">
      <alignment vertical="center"/>
    </xf>
    <xf numFmtId="164" fontId="168" fillId="0" borderId="58" applyNumberFormat="0" applyFill="0" applyAlignment="0" applyProtection="0"/>
    <xf numFmtId="164" fontId="37" fillId="0" borderId="0" applyFont="0" applyFill="0" applyBorder="0" applyAlignment="0" applyProtection="0"/>
    <xf numFmtId="0" fontId="169" fillId="0" borderId="0">
      <alignment horizontal="center"/>
    </xf>
    <xf numFmtId="168" fontId="5" fillId="0" borderId="0" applyFont="0" applyFill="0" applyBorder="0" applyAlignment="0" applyProtection="0"/>
    <xf numFmtId="210" fontId="5" fillId="0" borderId="0" applyFont="0" applyFill="0" applyBorder="0" applyAlignment="0" applyProtection="0"/>
    <xf numFmtId="38" fontId="62" fillId="0" borderId="0" applyFont="0" applyFill="0" applyBorder="0" applyAlignment="0" applyProtection="0"/>
    <xf numFmtId="40" fontId="62" fillId="0" borderId="0" applyFont="0" applyFill="0" applyBorder="0" applyAlignment="0" applyProtection="0"/>
    <xf numFmtId="38" fontId="37" fillId="0" borderId="0"/>
    <xf numFmtId="205" fontId="37" fillId="0" borderId="0"/>
    <xf numFmtId="40" fontId="37" fillId="0" borderId="0"/>
    <xf numFmtId="0" fontId="170" fillId="0" borderId="59"/>
    <xf numFmtId="0" fontId="170" fillId="0" borderId="59"/>
    <xf numFmtId="0"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164" fontId="170" fillId="0" borderId="59"/>
    <xf numFmtId="211" fontId="5" fillId="0" borderId="0" applyFont="0" applyFill="0" applyBorder="0" applyAlignment="0" applyProtection="0"/>
    <xf numFmtId="212" fontId="5" fillId="0" borderId="0" applyFont="0" applyFill="0" applyBorder="0" applyAlignment="0" applyProtection="0"/>
    <xf numFmtId="164" fontId="39" fillId="0" borderId="0" applyFont="0" applyFill="0" applyBorder="0" applyAlignment="0" applyProtection="0"/>
    <xf numFmtId="164" fontId="39" fillId="0" borderId="0" applyFont="0" applyFill="0" applyBorder="0" applyAlignment="0" applyProtection="0"/>
    <xf numFmtId="0" fontId="171" fillId="1" borderId="0" applyFill="0">
      <alignment horizontal="center" vertical="center" textRotation="90"/>
    </xf>
    <xf numFmtId="164" fontId="37" fillId="0" borderId="0" applyFont="0" applyFill="0" applyBorder="0" applyAlignment="0" applyProtection="0"/>
    <xf numFmtId="0" fontId="172" fillId="56" borderId="0" applyNumberFormat="0" applyBorder="0" applyAlignment="0" applyProtection="0">
      <alignment vertical="center"/>
    </xf>
    <xf numFmtId="0" fontId="173" fillId="56" borderId="0" applyNumberFormat="0" applyBorder="0" applyAlignment="0" applyProtection="0">
      <alignment vertical="center"/>
    </xf>
    <xf numFmtId="0" fontId="174" fillId="56" borderId="0" applyNumberFormat="0" applyBorder="0" applyAlignment="0" applyProtection="0">
      <alignment vertical="center"/>
    </xf>
    <xf numFmtId="0" fontId="172" fillId="56" borderId="0" applyNumberFormat="0" applyBorder="0" applyAlignment="0" applyProtection="0">
      <alignment vertical="center"/>
    </xf>
    <xf numFmtId="0" fontId="173" fillId="56" borderId="0" applyNumberFormat="0" applyBorder="0" applyAlignment="0" applyProtection="0">
      <alignment vertical="center"/>
    </xf>
    <xf numFmtId="0" fontId="173" fillId="96" borderId="0">
      <alignment vertical="center"/>
    </xf>
    <xf numFmtId="164" fontId="175" fillId="81" borderId="0" applyNumberFormat="0" applyBorder="0" applyAlignment="0" applyProtection="0"/>
    <xf numFmtId="37" fontId="54" fillId="0" borderId="0"/>
    <xf numFmtId="37" fontId="54" fillId="0" borderId="0"/>
    <xf numFmtId="164" fontId="176" fillId="0" borderId="0"/>
    <xf numFmtId="0" fontId="176" fillId="0" borderId="0"/>
    <xf numFmtId="0" fontId="38" fillId="0" borderId="0"/>
    <xf numFmtId="213" fontId="39" fillId="0" borderId="0"/>
    <xf numFmtId="0" fontId="38" fillId="0" borderId="0"/>
    <xf numFmtId="213" fontId="39" fillId="0" borderId="0"/>
    <xf numFmtId="0" fontId="38" fillId="0" borderId="0"/>
    <xf numFmtId="0" fontId="39" fillId="0" borderId="0">
      <alignment vertical="center"/>
    </xf>
    <xf numFmtId="0" fontId="5" fillId="0" borderId="0"/>
    <xf numFmtId="164" fontId="5" fillId="0" borderId="0"/>
    <xf numFmtId="0" fontId="5" fillId="0" borderId="0"/>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177" fillId="97" borderId="60">
      <alignment vertical="center"/>
    </xf>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178"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39" fillId="49" borderId="60" applyNumberFormat="0" applyFont="0" applyAlignment="0" applyProtection="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177" fillId="97" borderId="60">
      <alignment vertical="center"/>
    </xf>
    <xf numFmtId="0" fontId="89" fillId="97" borderId="60">
      <alignment vertical="center"/>
    </xf>
    <xf numFmtId="0" fontId="89" fillId="97" borderId="60">
      <alignment vertical="center"/>
    </xf>
    <xf numFmtId="0" fontId="89" fillId="97" borderId="60">
      <alignment vertical="center"/>
    </xf>
    <xf numFmtId="0" fontId="89" fillId="97" borderId="60">
      <alignment vertical="center"/>
    </xf>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164" fontId="39" fillId="80" borderId="60" applyNumberFormat="0" applyFont="0" applyAlignment="0" applyProtection="0"/>
    <xf numFmtId="0" fontId="39" fillId="49" borderId="60" applyNumberFormat="0" applyFont="0" applyAlignment="0" applyProtection="0">
      <alignment vertical="center"/>
    </xf>
    <xf numFmtId="0" fontId="89" fillId="97" borderId="60">
      <alignment vertical="center"/>
    </xf>
    <xf numFmtId="0" fontId="177"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0" fontId="89" fillId="97" borderId="60">
      <alignment vertical="center"/>
    </xf>
    <xf numFmtId="164" fontId="39" fillId="80" borderId="60" applyNumberFormat="0" applyFont="0" applyAlignment="0" applyProtection="0"/>
    <xf numFmtId="0" fontId="89" fillId="97" borderId="60">
      <alignment vertical="center"/>
    </xf>
    <xf numFmtId="164" fontId="39" fillId="80" borderId="60" applyNumberFormat="0" applyFont="0" applyAlignment="0" applyProtection="0"/>
    <xf numFmtId="0" fontId="5" fillId="0" borderId="0" applyFont="0" applyFill="0" applyBorder="0" applyAlignment="0" applyProtection="0"/>
    <xf numFmtId="0" fontId="5" fillId="0" borderId="0" applyFont="0" applyFill="0" applyBorder="0" applyAlignment="0" applyProtection="0"/>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164" fontId="180" fillId="87" borderId="61" applyNumberFormat="0" applyAlignment="0" applyProtection="0"/>
    <xf numFmtId="164" fontId="180" fillId="87" borderId="61" applyNumberFormat="0" applyAlignment="0" applyProtection="0"/>
    <xf numFmtId="164" fontId="180" fillId="87" borderId="61" applyNumberFormat="0" applyAlignment="0" applyProtection="0"/>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164" fontId="180" fillId="87" borderId="61" applyNumberFormat="0" applyAlignment="0" applyProtection="0"/>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164" fontId="180" fillId="87" borderId="61" applyNumberFormat="0" applyAlignment="0" applyProtection="0"/>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1"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82"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0" fontId="181" fillId="85" borderId="61" applyNumberFormat="0" applyAlignment="0" applyProtection="0">
      <alignment vertical="center"/>
    </xf>
    <xf numFmtId="0" fontId="179" fillId="85" borderId="61" applyNumberFormat="0" applyAlignment="0" applyProtection="0">
      <alignment vertical="center"/>
    </xf>
    <xf numFmtId="0" fontId="179" fillId="85" borderId="61" applyNumberFormat="0" applyAlignment="0" applyProtection="0">
      <alignment vertical="center"/>
    </xf>
    <xf numFmtId="164" fontId="180" fillId="87" borderId="61" applyNumberFormat="0" applyAlignment="0" applyProtection="0"/>
    <xf numFmtId="0" fontId="179" fillId="85" borderId="61" applyNumberFormat="0" applyAlignment="0" applyProtection="0">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81" fillId="86" borderId="61">
      <alignment vertical="center"/>
    </xf>
    <xf numFmtId="0" fontId="179" fillId="86" borderId="61">
      <alignment vertical="center"/>
    </xf>
    <xf numFmtId="164" fontId="180" fillId="87" borderId="61" applyNumberFormat="0" applyAlignment="0" applyProtection="0"/>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164" fontId="180" fillId="87" borderId="61" applyNumberFormat="0" applyAlignment="0" applyProtection="0"/>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81"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6" borderId="61">
      <alignment vertical="center"/>
    </xf>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164" fontId="180" fillId="87" borderId="61" applyNumberFormat="0" applyAlignment="0" applyProtection="0"/>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0" fontId="179" fillId="85" borderId="61" applyNumberFormat="0" applyAlignment="0" applyProtection="0">
      <alignment vertical="center"/>
    </xf>
    <xf numFmtId="164" fontId="180" fillId="87" borderId="61" applyNumberFormat="0" applyAlignment="0" applyProtection="0"/>
    <xf numFmtId="164" fontId="180" fillId="87" borderId="61" applyNumberFormat="0" applyAlignment="0" applyProtection="0"/>
    <xf numFmtId="164" fontId="5" fillId="0" borderId="0" applyFont="0" applyFill="0" applyBorder="0" applyAlignment="0" applyProtection="0"/>
    <xf numFmtId="214" fontId="5" fillId="0" borderId="0" applyFont="0" applyFill="0" applyBorder="0" applyAlignment="0" applyProtection="0"/>
    <xf numFmtId="10" fontId="5" fillId="0" borderId="0" applyFont="0" applyFill="0" applyBorder="0" applyAlignment="0" applyProtection="0"/>
    <xf numFmtId="9" fontId="5" fillId="0" borderId="0" applyFont="0" applyFill="0" applyBorder="0" applyAlignment="0" applyProtection="0"/>
    <xf numFmtId="9" fontId="62" fillId="0" borderId="62" applyNumberFormat="0" applyBorder="0"/>
    <xf numFmtId="195" fontId="5" fillId="0" borderId="0" applyFill="0" applyBorder="0" applyAlignment="0"/>
    <xf numFmtId="196" fontId="121" fillId="0" borderId="0" applyFill="0" applyBorder="0" applyAlignment="0"/>
    <xf numFmtId="195" fontId="5" fillId="0" borderId="0" applyFill="0" applyBorder="0" applyAlignment="0"/>
    <xf numFmtId="198" fontId="5" fillId="0" borderId="0" applyFill="0" applyBorder="0" applyAlignment="0"/>
    <xf numFmtId="196" fontId="121" fillId="0" borderId="0" applyFill="0" applyBorder="0" applyAlignment="0"/>
    <xf numFmtId="164" fontId="38" fillId="0" borderId="0"/>
    <xf numFmtId="0" fontId="38" fillId="0" borderId="0"/>
    <xf numFmtId="164" fontId="38" fillId="0" borderId="0" applyFont="0" applyFill="0" applyBorder="0" applyAlignment="0" applyProtection="0"/>
    <xf numFmtId="0" fontId="3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183" fillId="97" borderId="63" applyFont="0" applyFill="0" applyBorder="0" applyAlignment="0" applyProtection="0">
      <alignment horizontal="left" vertical="center"/>
    </xf>
    <xf numFmtId="0" fontId="183" fillId="97" borderId="63" applyFont="0" applyFill="0" applyBorder="0" applyAlignment="0" applyProtection="0">
      <alignment horizontal="left" vertical="center"/>
    </xf>
    <xf numFmtId="4" fontId="184" fillId="98" borderId="64" applyNumberFormat="0" applyProtection="0">
      <alignment horizontal="left" vertical="center" indent="1"/>
    </xf>
    <xf numFmtId="4" fontId="132" fillId="99" borderId="65" applyNumberFormat="0" applyProtection="0">
      <alignment horizontal="right" vertical="center"/>
    </xf>
    <xf numFmtId="4" fontId="132" fillId="99" borderId="65" applyNumberFormat="0" applyProtection="0">
      <alignment horizontal="right" vertical="center"/>
    </xf>
    <xf numFmtId="4" fontId="185" fillId="100" borderId="64" applyNumberFormat="0" applyProtection="0">
      <alignment vertical="center"/>
    </xf>
    <xf numFmtId="4" fontId="132" fillId="101" borderId="65" applyNumberFormat="0" applyProtection="0">
      <alignment horizontal="left" vertical="center" indent="1"/>
    </xf>
    <xf numFmtId="0" fontId="132" fillId="102" borderId="65" applyNumberFormat="0" applyProtection="0">
      <alignment horizontal="left" vertical="top" indent="1"/>
    </xf>
    <xf numFmtId="0" fontId="132" fillId="102" borderId="65" applyNumberFormat="0" applyProtection="0">
      <alignment horizontal="left" vertical="top" indent="1"/>
    </xf>
    <xf numFmtId="164" fontId="51" fillId="0" borderId="0" applyFont="0" applyFill="0" applyBorder="0" applyAlignment="0" applyProtection="0"/>
    <xf numFmtId="0" fontId="51" fillId="0" borderId="0" applyFont="0" applyFill="0" applyBorder="0" applyAlignment="0" applyProtection="0"/>
    <xf numFmtId="164" fontId="186" fillId="0" borderId="0" applyNumberFormat="0" applyFill="0" applyBorder="0" applyAlignment="0" applyProtection="0"/>
    <xf numFmtId="164" fontId="38" fillId="0" borderId="0" applyFont="0" applyFill="0" applyBorder="0" applyAlignment="0" applyProtection="0"/>
    <xf numFmtId="0" fontId="170" fillId="0" borderId="0"/>
    <xf numFmtId="0" fontId="170" fillId="0" borderId="0"/>
    <xf numFmtId="49" fontId="132" fillId="0" borderId="0" applyFill="0" applyBorder="0" applyAlignment="0"/>
    <xf numFmtId="215" fontId="5" fillId="0" borderId="0" applyFill="0" applyBorder="0" applyAlignment="0"/>
    <xf numFmtId="216" fontId="5" fillId="0" borderId="0" applyFill="0" applyBorder="0" applyAlignment="0"/>
    <xf numFmtId="164" fontId="92" fillId="0" borderId="0"/>
    <xf numFmtId="0" fontId="92" fillId="0" borderId="0"/>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9"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188" fillId="0" borderId="0" applyNumberFormat="0" applyFill="0" applyBorder="0" applyAlignment="0" applyProtection="0">
      <alignment vertical="center"/>
    </xf>
    <xf numFmtId="0" fontId="188" fillId="0" borderId="0">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1" fillId="0" borderId="66">
      <alignment vertical="center"/>
    </xf>
    <xf numFmtId="0" fontId="190" fillId="0" borderId="66">
      <alignment vertical="center"/>
    </xf>
    <xf numFmtId="202" fontId="39" fillId="0" borderId="67">
      <protection locked="0"/>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1"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164" fontId="134" fillId="0" borderId="68" applyNumberFormat="0" applyFill="0" applyAlignment="0" applyProtection="0"/>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1"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2"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pplyNumberFormat="0" applyFill="0" applyAlignment="0" applyProtection="0">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pplyNumberFormat="0" applyFill="0" applyAlignment="0" applyProtection="0">
      <alignment vertical="center"/>
    </xf>
    <xf numFmtId="0" fontId="190" fillId="0" borderId="66">
      <alignment vertical="center"/>
    </xf>
    <xf numFmtId="0" fontId="191" fillId="0" borderId="66">
      <alignment vertical="center"/>
    </xf>
    <xf numFmtId="0" fontId="190" fillId="0" borderId="66">
      <alignment vertical="center"/>
    </xf>
    <xf numFmtId="0" fontId="190" fillId="0" borderId="66">
      <alignment vertical="center"/>
    </xf>
    <xf numFmtId="0" fontId="190" fillId="0" borderId="66">
      <alignment vertical="center"/>
    </xf>
    <xf numFmtId="0" fontId="190" fillId="0" borderId="66">
      <alignment vertical="center"/>
    </xf>
    <xf numFmtId="168" fontId="5" fillId="0" borderId="0" applyFont="0" applyFill="0" applyBorder="0" applyAlignment="0" applyProtection="0"/>
    <xf numFmtId="210" fontId="5" fillId="0" borderId="0" applyFont="0" applyFill="0" applyBorder="0" applyAlignment="0" applyProtection="0"/>
    <xf numFmtId="37" fontId="144" fillId="96" borderId="0" applyNumberFormat="0" applyBorder="0" applyAlignment="0" applyProtection="0"/>
    <xf numFmtId="37" fontId="144" fillId="0" borderId="0"/>
    <xf numFmtId="3" fontId="193" fillId="0" borderId="56" applyProtection="0"/>
    <xf numFmtId="217" fontId="99" fillId="0" borderId="0" applyFont="0" applyFill="0" applyBorder="0" applyAlignment="0" applyProtection="0"/>
    <xf numFmtId="164" fontId="94" fillId="0" borderId="0" applyFont="0" applyFill="0" applyBorder="0" applyAlignment="0" applyProtection="0"/>
    <xf numFmtId="164" fontId="5" fillId="0" borderId="0" applyNumberFormat="0" applyFont="0" applyBorder="0" applyAlignment="0" applyProtection="0"/>
    <xf numFmtId="0" fontId="194"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6" fillId="0" borderId="0" applyNumberFormat="0" applyFill="0" applyBorder="0" applyAlignment="0" applyProtection="0">
      <alignment vertical="center"/>
    </xf>
    <xf numFmtId="0" fontId="194" fillId="0" borderId="0" applyNumberFormat="0" applyFill="0" applyBorder="0" applyAlignment="0" applyProtection="0">
      <alignment vertical="center"/>
    </xf>
    <xf numFmtId="0" fontId="195" fillId="0" borderId="0" applyNumberFormat="0" applyFill="0" applyBorder="0" applyAlignment="0" applyProtection="0">
      <alignment vertical="center"/>
    </xf>
    <xf numFmtId="0" fontId="195" fillId="0" borderId="0">
      <alignment vertical="center"/>
    </xf>
    <xf numFmtId="164" fontId="197" fillId="0" borderId="0" applyNumberFormat="0" applyFill="0" applyBorder="0" applyAlignment="0" applyProtection="0"/>
    <xf numFmtId="208" fontId="198" fillId="0" borderId="57">
      <alignment horizontal="left" vertical="top"/>
    </xf>
    <xf numFmtId="208" fontId="199" fillId="95" borderId="57">
      <alignment horizontal="left" vertical="top"/>
    </xf>
    <xf numFmtId="164" fontId="38" fillId="0" borderId="0" applyFont="0" applyFill="0" applyBorder="0" applyAlignment="0" applyProtection="0"/>
    <xf numFmtId="0" fontId="38" fillId="0" borderId="0" applyFont="0" applyFill="0" applyBorder="0" applyAlignment="0" applyProtection="0"/>
    <xf numFmtId="164" fontId="38" fillId="0" borderId="0" applyFont="0" applyFill="0" applyBorder="0" applyAlignment="0" applyProtection="0"/>
    <xf numFmtId="164" fontId="38" fillId="0" borderId="0"/>
    <xf numFmtId="164" fontId="200" fillId="0" borderId="0" applyNumberFormat="0" applyFill="0" applyBorder="0" applyAlignment="0" applyProtection="0">
      <alignment vertical="top"/>
      <protection locked="0"/>
    </xf>
    <xf numFmtId="0" fontId="201" fillId="0" borderId="0" applyFont="0" applyFill="0" applyBorder="0" applyAlignment="0" applyProtection="0"/>
    <xf numFmtId="0" fontId="201" fillId="0" borderId="0" applyFont="0" applyFill="0" applyBorder="0" applyAlignment="0" applyProtection="0"/>
    <xf numFmtId="0" fontId="11" fillId="0" borderId="0">
      <alignment vertical="center"/>
    </xf>
    <xf numFmtId="164" fontId="202" fillId="0" borderId="0"/>
    <xf numFmtId="0" fontId="38" fillId="0" borderId="0"/>
    <xf numFmtId="0" fontId="38" fillId="0" borderId="0"/>
    <xf numFmtId="164" fontId="37" fillId="0" borderId="0" applyFont="0" applyFill="0" applyBorder="0" applyAlignment="0" applyProtection="0"/>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164" fontId="73" fillId="103" borderId="0" applyNumberFormat="0" applyBorder="0" applyAlignment="0" applyProtection="0">
      <alignment vertical="center"/>
    </xf>
    <xf numFmtId="0" fontId="76" fillId="9" borderId="0" applyNumberFormat="0" applyBorder="0" applyAlignment="0" applyProtection="0">
      <alignment vertical="center"/>
    </xf>
    <xf numFmtId="0" fontId="77" fillId="69" borderId="0" applyNumberFormat="0" applyBorder="0" applyAlignment="0" applyProtection="0">
      <alignment vertical="center"/>
    </xf>
    <xf numFmtId="0" fontId="76" fillId="9" borderId="0" applyNumberFormat="0" applyBorder="0" applyAlignment="0" applyProtection="0">
      <alignment vertical="center"/>
    </xf>
    <xf numFmtId="164" fontId="73" fillId="69" borderId="0" applyNumberFormat="0" applyBorder="0" applyAlignment="0" applyProtection="0">
      <alignment vertical="center"/>
    </xf>
    <xf numFmtId="0" fontId="78"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9"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164" fontId="73" fillId="65" borderId="0" applyNumberFormat="0" applyBorder="0" applyAlignment="0" applyProtection="0">
      <alignment vertical="center"/>
    </xf>
    <xf numFmtId="0" fontId="76" fillId="13" borderId="0" applyNumberFormat="0" applyBorder="0" applyAlignment="0" applyProtection="0">
      <alignment vertical="center"/>
    </xf>
    <xf numFmtId="0" fontId="77" fillId="74" borderId="0" applyNumberFormat="0" applyBorder="0" applyAlignment="0" applyProtection="0">
      <alignment vertical="center"/>
    </xf>
    <xf numFmtId="0" fontId="76" fillId="13" borderId="0" applyNumberFormat="0" applyBorder="0" applyAlignment="0" applyProtection="0">
      <alignment vertical="center"/>
    </xf>
    <xf numFmtId="164" fontId="73" fillId="74" borderId="0" applyNumberFormat="0" applyBorder="0" applyAlignment="0" applyProtection="0">
      <alignment vertical="center"/>
    </xf>
    <xf numFmtId="0" fontId="78"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3"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164" fontId="73" fillId="54" borderId="0" applyNumberFormat="0" applyBorder="0" applyAlignment="0" applyProtection="0">
      <alignment vertical="center"/>
    </xf>
    <xf numFmtId="0" fontId="76" fillId="17" borderId="0" applyNumberFormat="0" applyBorder="0" applyAlignment="0" applyProtection="0">
      <alignment vertical="center"/>
    </xf>
    <xf numFmtId="0" fontId="77" fillId="77" borderId="0" applyNumberFormat="0" applyBorder="0" applyAlignment="0" applyProtection="0">
      <alignment vertical="center"/>
    </xf>
    <xf numFmtId="0" fontId="76" fillId="17" borderId="0" applyNumberFormat="0" applyBorder="0" applyAlignment="0" applyProtection="0">
      <alignment vertical="center"/>
    </xf>
    <xf numFmtId="164" fontId="73" fillId="77" borderId="0" applyNumberFormat="0" applyBorder="0" applyAlignment="0" applyProtection="0">
      <alignment vertical="center"/>
    </xf>
    <xf numFmtId="0" fontId="78"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17"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164" fontId="73" fillId="104" borderId="0" applyNumberFormat="0" applyBorder="0" applyAlignment="0" applyProtection="0">
      <alignment vertical="center"/>
    </xf>
    <xf numFmtId="0" fontId="76" fillId="21" borderId="0" applyNumberFormat="0" applyBorder="0" applyAlignment="0" applyProtection="0">
      <alignment vertical="center"/>
    </xf>
    <xf numFmtId="0" fontId="77" fillId="59" borderId="0" applyNumberFormat="0" applyBorder="0" applyAlignment="0" applyProtection="0">
      <alignment vertical="center"/>
    </xf>
    <xf numFmtId="0" fontId="76" fillId="21" borderId="0" applyNumberFormat="0" applyBorder="0" applyAlignment="0" applyProtection="0">
      <alignment vertical="center"/>
    </xf>
    <xf numFmtId="164" fontId="73" fillId="59" borderId="0" applyNumberFormat="0" applyBorder="0" applyAlignment="0" applyProtection="0">
      <alignment vertical="center"/>
    </xf>
    <xf numFmtId="0" fontId="78"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1"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164" fontId="73" fillId="61" borderId="0" applyNumberFormat="0" applyBorder="0" applyAlignment="0" applyProtection="0">
      <alignment vertical="center"/>
    </xf>
    <xf numFmtId="0" fontId="76" fillId="25" borderId="0" applyNumberFormat="0" applyBorder="0" applyAlignment="0" applyProtection="0">
      <alignment vertical="center"/>
    </xf>
    <xf numFmtId="0" fontId="77" fillId="61" borderId="0" applyNumberFormat="0" applyBorder="0" applyAlignment="0" applyProtection="0">
      <alignment vertical="center"/>
    </xf>
    <xf numFmtId="0" fontId="76" fillId="25" borderId="0" applyNumberFormat="0" applyBorder="0" applyAlignment="0" applyProtection="0">
      <alignment vertical="center"/>
    </xf>
    <xf numFmtId="0" fontId="78"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5"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164" fontId="73" fillId="74" borderId="0" applyNumberFormat="0" applyBorder="0" applyAlignment="0" applyProtection="0">
      <alignment vertical="center"/>
    </xf>
    <xf numFmtId="0" fontId="76" fillId="29" borderId="0" applyNumberFormat="0" applyBorder="0" applyAlignment="0" applyProtection="0">
      <alignment vertical="center"/>
    </xf>
    <xf numFmtId="0" fontId="77" fillId="65" borderId="0" applyNumberFormat="0" applyBorder="0" applyAlignment="0" applyProtection="0">
      <alignment vertical="center"/>
    </xf>
    <xf numFmtId="0" fontId="76" fillId="29" borderId="0" applyNumberFormat="0" applyBorder="0" applyAlignment="0" applyProtection="0">
      <alignment vertical="center"/>
    </xf>
    <xf numFmtId="164" fontId="73" fillId="65" borderId="0" applyNumberFormat="0" applyBorder="0" applyAlignment="0" applyProtection="0">
      <alignment vertical="center"/>
    </xf>
    <xf numFmtId="0" fontId="78"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76" fillId="29" borderId="0" applyNumberFormat="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164" fontId="194"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4"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5"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3" fillId="0" borderId="0" applyNumberFormat="0" applyFill="0" applyBorder="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0" fontId="208" fillId="8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164" fontId="207" fillId="105" borderId="47" applyNumberFormat="0" applyAlignment="0" applyProtection="0">
      <alignment vertical="center"/>
    </xf>
    <xf numFmtId="0" fontId="206" fillId="6" borderId="4" applyNumberFormat="0" applyAlignment="0" applyProtection="0">
      <alignment vertical="center"/>
    </xf>
    <xf numFmtId="0" fontId="208" fillId="85" borderId="47" applyNumberFormat="0" applyAlignment="0" applyProtection="0">
      <alignment vertical="center"/>
    </xf>
    <xf numFmtId="0" fontId="206" fillId="6" borderId="4"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164" fontId="122" fillId="85" borderId="47" applyNumberFormat="0" applyAlignment="0" applyProtection="0">
      <alignment vertical="center"/>
    </xf>
    <xf numFmtId="0" fontId="209"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0" fontId="206" fillId="6" borderId="4" applyNumberFormat="0" applyAlignment="0" applyProtection="0">
      <alignment vertical="center"/>
    </xf>
    <xf numFmtId="164" fontId="38" fillId="0" borderId="0"/>
    <xf numFmtId="2" fontId="210" fillId="0" borderId="0" applyFont="0" applyFill="0" applyBorder="0" applyAlignment="0" applyProtection="0"/>
    <xf numFmtId="164" fontId="38" fillId="0" borderId="0">
      <protection locked="0"/>
    </xf>
    <xf numFmtId="2" fontId="210" fillId="0" borderId="0" applyFont="0" applyFill="0" applyBorder="0" applyAlignment="0" applyProtection="0"/>
    <xf numFmtId="0" fontId="38" fillId="0" borderId="0">
      <protection locked="0"/>
    </xf>
    <xf numFmtId="164" fontId="211" fillId="0" borderId="0" applyNumberFormat="0" applyFill="0" applyBorder="0" applyAlignment="0" applyProtection="0"/>
    <xf numFmtId="164" fontId="212" fillId="0" borderId="0">
      <protection locked="0"/>
    </xf>
    <xf numFmtId="0" fontId="211" fillId="0" borderId="0" applyNumberFormat="0" applyFill="0" applyBorder="0" applyAlignment="0" applyProtection="0"/>
    <xf numFmtId="0" fontId="212" fillId="0" borderId="0">
      <protection locked="0"/>
    </xf>
    <xf numFmtId="164" fontId="213" fillId="0" borderId="0" applyNumberFormat="0" applyFill="0" applyBorder="0" applyAlignment="0" applyProtection="0"/>
    <xf numFmtId="164" fontId="212" fillId="0" borderId="0">
      <protection locked="0"/>
    </xf>
    <xf numFmtId="0" fontId="213" fillId="0" borderId="0" applyNumberFormat="0" applyFill="0" applyBorder="0" applyAlignment="0" applyProtection="0"/>
    <xf numFmtId="0" fontId="212" fillId="0" borderId="0">
      <protection locked="0"/>
    </xf>
    <xf numFmtId="164" fontId="37" fillId="0" borderId="0" applyFont="0" applyFill="0" applyBorder="0" applyAlignment="0" applyProtection="0"/>
    <xf numFmtId="164" fontId="37" fillId="0" borderId="0" applyFont="0" applyFill="0" applyBorder="0" applyAlignment="0" applyProtection="0"/>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164" fontId="104" fillId="41" borderId="0" applyNumberFormat="0" applyBorder="0" applyAlignment="0" applyProtection="0">
      <alignment vertical="center"/>
    </xf>
    <xf numFmtId="0" fontId="214" fillId="3" borderId="0" applyNumberFormat="0" applyBorder="0" applyAlignment="0" applyProtection="0">
      <alignment vertical="center"/>
    </xf>
    <xf numFmtId="0" fontId="215" fillId="37" borderId="0" applyNumberFormat="0" applyBorder="0" applyAlignment="0" applyProtection="0">
      <alignment vertical="center"/>
    </xf>
    <xf numFmtId="0" fontId="214" fillId="3" borderId="0" applyNumberFormat="0" applyBorder="0" applyAlignment="0" applyProtection="0">
      <alignment vertical="center"/>
    </xf>
    <xf numFmtId="164" fontId="104" fillId="37" borderId="0" applyNumberFormat="0" applyBorder="0" applyAlignment="0" applyProtection="0">
      <alignment vertical="center"/>
    </xf>
    <xf numFmtId="0" fontId="216"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0" fontId="214" fillId="3" borderId="0" applyNumberFormat="0" applyBorder="0" applyAlignment="0" applyProtection="0">
      <alignment vertical="center"/>
    </xf>
    <xf numFmtId="164" fontId="210" fillId="0" borderId="0" applyFont="0" applyFill="0" applyBorder="0" applyAlignment="0" applyProtection="0"/>
    <xf numFmtId="164" fontId="138" fillId="0" borderId="0">
      <protection locked="0"/>
    </xf>
    <xf numFmtId="0" fontId="210" fillId="0" borderId="0" applyFont="0" applyFill="0" applyBorder="0" applyAlignment="0" applyProtection="0"/>
    <xf numFmtId="0" fontId="138" fillId="0" borderId="0">
      <protection locked="0"/>
    </xf>
    <xf numFmtId="164" fontId="210" fillId="0" borderId="0" applyFont="0" applyFill="0" applyBorder="0" applyAlignment="0" applyProtection="0"/>
    <xf numFmtId="164" fontId="138" fillId="0" borderId="0">
      <protection locked="0"/>
    </xf>
    <xf numFmtId="0" fontId="210" fillId="0" borderId="0" applyFont="0" applyFill="0" applyBorder="0" applyAlignment="0" applyProtection="0"/>
    <xf numFmtId="0" fontId="138" fillId="0" borderId="0">
      <protection locked="0"/>
    </xf>
    <xf numFmtId="0" fontId="55" fillId="0" borderId="0" applyNumberFormat="0" applyFill="0" applyBorder="0" applyAlignment="0" applyProtection="0">
      <alignment vertical="top"/>
      <protection locked="0"/>
    </xf>
    <xf numFmtId="164" fontId="55"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217"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40" fontId="218" fillId="0" borderId="0" applyFont="0" applyFill="0" applyBorder="0" applyAlignment="0" applyProtection="0"/>
    <xf numFmtId="38" fontId="218"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0" fontId="51"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39"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0" fontId="71" fillId="8" borderId="8"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164" fontId="39"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164" fontId="66" fillId="49" borderId="60"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66" fillId="8" borderId="8" applyNumberFormat="0" applyFont="0" applyAlignment="0" applyProtection="0">
      <alignment vertical="center"/>
    </xf>
    <xf numFmtId="0" fontId="71" fillId="8" borderId="8" applyNumberFormat="0" applyFont="0" applyAlignment="0" applyProtection="0">
      <alignment vertical="center"/>
    </xf>
    <xf numFmtId="0" fontId="66"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0" fontId="71" fillId="8" borderId="8" applyNumberFormat="0" applyFont="0" applyAlignment="0" applyProtection="0">
      <alignment vertical="center"/>
    </xf>
    <xf numFmtId="164" fontId="218" fillId="0" borderId="0" applyFont="0" applyFill="0" applyBorder="0" applyAlignment="0" applyProtection="0"/>
    <xf numFmtId="164" fontId="218"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9" fontId="219" fillId="0" borderId="0" applyFont="0" applyFill="0" applyBorder="0" applyAlignment="0" applyProtection="0"/>
    <xf numFmtId="9" fontId="70" fillId="0" borderId="0" applyFont="0" applyFill="0" applyBorder="0" applyAlignment="0" applyProtection="0">
      <alignment vertical="center"/>
    </xf>
    <xf numFmtId="9" fontId="66" fillId="0" borderId="0" applyFont="0" applyFill="0" applyBorder="0" applyAlignment="0" applyProtection="0">
      <alignment vertical="center"/>
    </xf>
    <xf numFmtId="9" fontId="66" fillId="0" borderId="0" applyFont="0" applyFill="0" applyBorder="0" applyAlignment="0" applyProtection="0">
      <alignment vertical="center"/>
    </xf>
    <xf numFmtId="9" fontId="1" fillId="0" borderId="0" applyFont="0" applyFill="0" applyBorder="0" applyAlignment="0" applyProtection="0">
      <alignment vertical="center"/>
    </xf>
    <xf numFmtId="9" fontId="70" fillId="0" borderId="0" applyFont="0" applyFill="0" applyBorder="0" applyAlignment="0" applyProtection="0">
      <alignment vertical="center"/>
    </xf>
    <xf numFmtId="9" fontId="219" fillId="0" borderId="0" applyFont="0" applyFill="0" applyBorder="0" applyAlignment="0" applyProtection="0"/>
    <xf numFmtId="9" fontId="66" fillId="0" borderId="0" applyFont="0" applyFill="0" applyBorder="0" applyAlignment="0" applyProtection="0">
      <alignment vertical="center"/>
    </xf>
    <xf numFmtId="9" fontId="52" fillId="0" borderId="0" applyFont="0" applyFill="0" applyBorder="0" applyAlignment="0" applyProtection="0"/>
    <xf numFmtId="9" fontId="39" fillId="0" borderId="0" applyFont="0" applyFill="0" applyBorder="0" applyAlignment="0" applyProtection="0">
      <alignment vertical="center"/>
    </xf>
    <xf numFmtId="9" fontId="66" fillId="0" borderId="0" applyFont="0" applyFill="0" applyBorder="0" applyAlignment="0" applyProtection="0">
      <alignment vertical="center"/>
    </xf>
    <xf numFmtId="9" fontId="52" fillId="0" borderId="0" applyFont="0" applyFill="0" applyBorder="0" applyAlignment="0" applyProtection="0"/>
    <xf numFmtId="9" fontId="39" fillId="0" borderId="0" applyFont="0" applyFill="0" applyBorder="0" applyAlignment="0" applyProtection="0"/>
    <xf numFmtId="9" fontId="220" fillId="0" borderId="0" applyFont="0" applyFill="0" applyBorder="0" applyAlignment="0" applyProtection="0">
      <alignment vertical="center"/>
    </xf>
    <xf numFmtId="9" fontId="70" fillId="0" borderId="0" applyFont="0" applyFill="0" applyBorder="0" applyAlignment="0" applyProtection="0">
      <alignment vertical="center"/>
    </xf>
    <xf numFmtId="9" fontId="70" fillId="0" borderId="0" applyFont="0" applyFill="0" applyBorder="0" applyAlignment="0" applyProtection="0">
      <alignment vertical="center"/>
    </xf>
    <xf numFmtId="9" fontId="39" fillId="0" borderId="0" applyFont="0" applyFill="0" applyBorder="0" applyAlignment="0" applyProtection="0">
      <alignment vertical="center"/>
    </xf>
    <xf numFmtId="9" fontId="221" fillId="0" borderId="0" applyFont="0" applyFill="0" applyBorder="0" applyAlignment="0" applyProtection="0"/>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71" fillId="0" borderId="0" applyFont="0" applyFill="0" applyBorder="0" applyAlignment="0" applyProtection="0">
      <alignment vertical="center"/>
    </xf>
    <xf numFmtId="9" fontId="39" fillId="0" borderId="0" applyFont="0" applyFill="0" applyBorder="0" applyAlignment="0" applyProtection="0">
      <alignment vertical="center"/>
    </xf>
    <xf numFmtId="9" fontId="39" fillId="0" borderId="0" applyFont="0" applyFill="0" applyBorder="0" applyAlignment="0" applyProtection="0">
      <alignment vertical="center"/>
    </xf>
    <xf numFmtId="9" fontId="71" fillId="0" borderId="0" applyFont="0" applyFill="0" applyBorder="0" applyAlignment="0" applyProtection="0">
      <alignment vertical="center"/>
    </xf>
    <xf numFmtId="9" fontId="222" fillId="0" borderId="0" applyFont="0" applyFill="0" applyBorder="0" applyAlignment="0" applyProtection="0"/>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164" fontId="224" fillId="56" borderId="0" applyNumberFormat="0" applyBorder="0" applyAlignment="0" applyProtection="0">
      <alignment vertical="center"/>
    </xf>
    <xf numFmtId="0" fontId="223" fillId="4" borderId="0" applyNumberFormat="0" applyBorder="0" applyAlignment="0" applyProtection="0">
      <alignment vertical="center"/>
    </xf>
    <xf numFmtId="0" fontId="225" fillId="56" borderId="0" applyNumberFormat="0" applyBorder="0" applyAlignment="0" applyProtection="0">
      <alignment vertical="center"/>
    </xf>
    <xf numFmtId="0" fontId="223" fillId="4" borderId="0" applyNumberFormat="0" applyBorder="0" applyAlignment="0" applyProtection="0">
      <alignment vertical="center"/>
    </xf>
    <xf numFmtId="164" fontId="172" fillId="56" borderId="0" applyNumberFormat="0" applyBorder="0" applyAlignment="0" applyProtection="0">
      <alignment vertical="center"/>
    </xf>
    <xf numFmtId="0" fontId="226"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0" fontId="223" fillId="4" borderId="0" applyNumberFormat="0" applyBorder="0" applyAlignment="0" applyProtection="0">
      <alignment vertical="center"/>
    </xf>
    <xf numFmtId="164" fontId="227" fillId="0" borderId="0"/>
    <xf numFmtId="197" fontId="228" fillId="0" borderId="0" applyFont="0" applyFill="0" applyBorder="0" applyAlignment="0" applyProtection="0"/>
    <xf numFmtId="220" fontId="228" fillId="0" borderId="0" applyFont="0" applyFill="0" applyBorder="0" applyAlignment="0" applyProtection="0"/>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164" fontId="135"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30"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31"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29" fillId="0" borderId="0" applyNumberFormat="0" applyFill="0" applyBorder="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164" fontId="127" fillId="88" borderId="48" applyNumberFormat="0" applyAlignment="0" applyProtection="0">
      <alignment vertical="center"/>
    </xf>
    <xf numFmtId="0" fontId="232" fillId="7" borderId="7" applyNumberFormat="0" applyAlignment="0" applyProtection="0">
      <alignment vertical="center"/>
    </xf>
    <xf numFmtId="0" fontId="233" fillId="88" borderId="48" applyNumberFormat="0" applyAlignment="0" applyProtection="0">
      <alignment vertical="center"/>
    </xf>
    <xf numFmtId="0" fontId="232" fillId="7" borderId="7" applyNumberFormat="0" applyAlignment="0" applyProtection="0">
      <alignment vertical="center"/>
    </xf>
    <xf numFmtId="164" fontId="127" fillId="88" borderId="48" applyNumberFormat="0" applyAlignment="0" applyProtection="0">
      <alignment vertical="center"/>
    </xf>
    <xf numFmtId="0" fontId="234"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0" fontId="232" fillId="7" borderId="7" applyNumberFormat="0" applyAlignment="0" applyProtection="0">
      <alignment vertical="center"/>
    </xf>
    <xf numFmtId="164" fontId="39" fillId="0" borderId="0" applyFont="0" applyFill="0" applyBorder="0" applyAlignment="0" applyProtection="0"/>
    <xf numFmtId="164" fontId="235" fillId="0" borderId="0">
      <alignment vertical="center"/>
    </xf>
    <xf numFmtId="0" fontId="235" fillId="0" borderId="0">
      <alignment vertical="center"/>
    </xf>
    <xf numFmtId="164" fontId="236" fillId="0" borderId="0">
      <alignment vertical="center"/>
    </xf>
    <xf numFmtId="0" fontId="236" fillId="0" borderId="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39" fillId="0" borderId="0" applyFont="0" applyFill="0" applyBorder="0" applyAlignment="0" applyProtection="0">
      <alignment vertical="center"/>
    </xf>
    <xf numFmtId="168" fontId="52" fillId="0" borderId="0" applyFont="0" applyFill="0" applyBorder="0" applyAlignment="0" applyProtection="0"/>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71" fillId="0" borderId="0" applyFont="0" applyFill="0" applyBorder="0" applyAlignment="0" applyProtection="0">
      <alignment vertical="center"/>
    </xf>
    <xf numFmtId="168" fontId="52" fillId="0" borderId="0" applyFont="0" applyFill="0" applyBorder="0" applyAlignment="0" applyProtection="0"/>
    <xf numFmtId="168" fontId="39" fillId="0" borderId="0" applyFont="0" applyFill="0" applyBorder="0" applyAlignment="0" applyProtection="0">
      <alignment vertical="center"/>
    </xf>
    <xf numFmtId="168" fontId="52" fillId="0" borderId="0" applyFont="0" applyFill="0" applyBorder="0" applyAlignment="0" applyProtection="0"/>
    <xf numFmtId="168" fontId="39" fillId="0" borderId="0" applyFont="0" applyFill="0" applyBorder="0" applyAlignment="0" applyProtection="0">
      <alignment vertical="center"/>
    </xf>
    <xf numFmtId="168" fontId="52" fillId="0" borderId="0" applyFont="0" applyFill="0" applyBorder="0" applyAlignment="0" applyProtection="0"/>
    <xf numFmtId="168" fontId="39" fillId="0" borderId="0" applyFont="0" applyFill="0" applyBorder="0" applyAlignment="0" applyProtection="0">
      <alignment vertical="center"/>
    </xf>
    <xf numFmtId="168" fontId="52" fillId="0" borderId="0" applyFont="0" applyFill="0" applyBorder="0" applyAlignment="0" applyProtection="0"/>
    <xf numFmtId="168" fontId="52" fillId="0" borderId="0" applyFont="0" applyFill="0" applyBorder="0" applyAlignment="0" applyProtection="0"/>
    <xf numFmtId="168" fontId="70" fillId="0" borderId="0" applyFont="0" applyFill="0" applyBorder="0" applyAlignment="0" applyProtection="0">
      <alignment vertical="center"/>
    </xf>
    <xf numFmtId="168" fontId="39" fillId="0" borderId="0" applyFont="0" applyFill="0" applyBorder="0" applyAlignment="0" applyProtection="0"/>
    <xf numFmtId="168" fontId="39" fillId="0" borderId="0" applyFont="0" applyFill="0" applyBorder="0" applyAlignment="0" applyProtection="0"/>
    <xf numFmtId="168" fontId="39" fillId="0" borderId="0" applyFont="0" applyFill="0" applyBorder="0" applyAlignment="0" applyProtection="0"/>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66" fillId="0" borderId="0" applyFont="0" applyFill="0" applyBorder="0" applyAlignment="0" applyProtection="0">
      <alignment vertical="center"/>
    </xf>
    <xf numFmtId="168" fontId="39" fillId="0" borderId="0" applyFont="0" applyFill="0" applyBorder="0" applyAlignment="0" applyProtection="0"/>
    <xf numFmtId="168" fontId="66" fillId="0" borderId="0" applyFont="0" applyFill="0" applyBorder="0" applyAlignment="0" applyProtection="0">
      <alignment vertical="center"/>
    </xf>
    <xf numFmtId="168" fontId="39" fillId="0" borderId="0" applyFont="0" applyFill="0" applyBorder="0" applyAlignment="0" applyProtection="0">
      <alignment vertical="center"/>
    </xf>
    <xf numFmtId="168" fontId="39" fillId="0" borderId="0" applyFont="0" applyFill="0" applyBorder="0" applyAlignment="0" applyProtection="0"/>
    <xf numFmtId="168" fontId="39" fillId="0" borderId="0" applyFont="0" applyFill="0" applyBorder="0" applyAlignment="0" applyProtection="0">
      <alignment vertical="center"/>
    </xf>
    <xf numFmtId="168" fontId="39" fillId="0" borderId="0" applyFont="0" applyFill="0" applyBorder="0" applyAlignment="0" applyProtection="0">
      <alignment vertical="center"/>
    </xf>
    <xf numFmtId="168" fontId="237" fillId="0" borderId="0" applyFont="0" applyFill="0" applyBorder="0" applyAlignment="0" applyProtection="0">
      <alignment vertical="center"/>
    </xf>
    <xf numFmtId="168" fontId="54" fillId="0" borderId="0" applyFont="0" applyFill="0" applyBorder="0" applyAlignment="0" applyProtection="0">
      <alignment vertical="center"/>
    </xf>
    <xf numFmtId="168" fontId="54" fillId="0" borderId="0" applyFont="0" applyFill="0" applyBorder="0" applyAlignment="0" applyProtection="0">
      <alignment vertical="center"/>
    </xf>
    <xf numFmtId="168" fontId="51" fillId="0" borderId="0" applyFont="0" applyFill="0" applyBorder="0" applyAlignment="0" applyProtection="0"/>
    <xf numFmtId="168" fontId="221" fillId="0" borderId="0" applyFont="0" applyFill="0" applyBorder="0" applyAlignment="0" applyProtection="0"/>
    <xf numFmtId="0" fontId="38" fillId="0" borderId="0"/>
    <xf numFmtId="164" fontId="5" fillId="0" borderId="0"/>
    <xf numFmtId="0" fontId="53" fillId="0" borderId="0"/>
    <xf numFmtId="221" fontId="38" fillId="0" borderId="0" applyFont="0" applyFill="0" applyBorder="0" applyAlignment="0" applyProtection="0"/>
    <xf numFmtId="0" fontId="5" fillId="0" borderId="0"/>
    <xf numFmtId="0" fontId="53" fillId="0" borderId="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222" fontId="38" fillId="0" borderId="0" applyFont="0" applyFill="0" applyBorder="0" applyAlignment="0" applyProtection="0"/>
    <xf numFmtId="223" fontId="39" fillId="0" borderId="0" applyFont="0" applyFill="0" applyBorder="0" applyAlignment="0" applyProtection="0"/>
    <xf numFmtId="164" fontId="37" fillId="0" borderId="0" applyFont="0" applyFill="0" applyBorder="0" applyAlignment="0" applyProtection="0"/>
    <xf numFmtId="164" fontId="38" fillId="0" borderId="0" applyFont="0" applyFill="0" applyBorder="0" applyAlignment="0" applyProtection="0"/>
    <xf numFmtId="164" fontId="38" fillId="0" borderId="0" applyFont="0" applyFill="0" applyBorder="0" applyAlignment="0" applyProtection="0"/>
    <xf numFmtId="164" fontId="5" fillId="0" borderId="0"/>
    <xf numFmtId="164" fontId="5" fillId="0" borderId="0"/>
    <xf numFmtId="164" fontId="37" fillId="0" borderId="0" applyFont="0" applyFill="0" applyBorder="0" applyAlignment="0" applyProtection="0"/>
    <xf numFmtId="164" fontId="5" fillId="0" borderId="0" applyNumberFormat="0"/>
    <xf numFmtId="164" fontId="5" fillId="0" borderId="0" applyNumberFormat="0"/>
    <xf numFmtId="164" fontId="5" fillId="0" borderId="0" applyNumberFormat="0"/>
    <xf numFmtId="164" fontId="5" fillId="0" borderId="0"/>
    <xf numFmtId="164" fontId="5" fillId="0" borderId="0" applyNumberFormat="0"/>
    <xf numFmtId="164" fontId="5" fillId="0" borderId="0"/>
    <xf numFmtId="164" fontId="5" fillId="0" borderId="0" applyNumberFormat="0"/>
    <xf numFmtId="164" fontId="5" fillId="0" borderId="0"/>
    <xf numFmtId="164" fontId="5" fillId="0" borderId="0"/>
    <xf numFmtId="164" fontId="5" fillId="0" borderId="0"/>
    <xf numFmtId="164" fontId="37" fillId="0" borderId="0" applyFont="0" applyFill="0" applyBorder="0" applyAlignment="0" applyProtection="0"/>
    <xf numFmtId="164" fontId="5" fillId="0" borderId="0"/>
    <xf numFmtId="164" fontId="5" fillId="0" borderId="0"/>
    <xf numFmtId="164" fontId="5" fillId="0" borderId="0" applyNumberFormat="0"/>
    <xf numFmtId="164" fontId="5" fillId="0" borderId="0" applyNumberFormat="0"/>
    <xf numFmtId="164" fontId="5" fillId="0" borderId="0"/>
    <xf numFmtId="164" fontId="5" fillId="0" borderId="0"/>
    <xf numFmtId="164" fontId="5" fillId="0" borderId="0"/>
    <xf numFmtId="164" fontId="5" fillId="0" borderId="0" applyNumberFormat="0"/>
    <xf numFmtId="164" fontId="5" fillId="0" borderId="0"/>
    <xf numFmtId="164" fontId="5" fillId="0" borderId="0"/>
    <xf numFmtId="164" fontId="37" fillId="0" borderId="0" applyFont="0" applyFill="0" applyBorder="0" applyAlignment="0" applyProtection="0"/>
    <xf numFmtId="164" fontId="5" fillId="0" borderId="0"/>
    <xf numFmtId="164" fontId="5" fillId="0" borderId="0"/>
    <xf numFmtId="164" fontId="5" fillId="0" borderId="0"/>
    <xf numFmtId="164" fontId="5" fillId="0" borderId="0"/>
    <xf numFmtId="164" fontId="5" fillId="0" borderId="0"/>
    <xf numFmtId="164" fontId="5" fillId="0" borderId="0"/>
    <xf numFmtId="164" fontId="5" fillId="0" borderId="0" applyNumberFormat="0"/>
    <xf numFmtId="164" fontId="5" fillId="0" borderId="0"/>
    <xf numFmtId="164" fontId="5" fillId="0" borderId="0"/>
    <xf numFmtId="164" fontId="5" fillId="0" borderId="0" applyNumberFormat="0"/>
    <xf numFmtId="164" fontId="37" fillId="0" borderId="0" applyFont="0" applyFill="0" applyBorder="0" applyAlignment="0" applyProtection="0"/>
    <xf numFmtId="164" fontId="5" fillId="0" borderId="0"/>
    <xf numFmtId="164" fontId="5" fillId="0" borderId="0"/>
    <xf numFmtId="164" fontId="5" fillId="0" borderId="0" applyNumberFormat="0"/>
    <xf numFmtId="164" fontId="5" fillId="0" borderId="0" applyNumberFormat="0"/>
    <xf numFmtId="164" fontId="38"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164" fontId="37" fillId="0" borderId="0" applyFont="0" applyFill="0" applyBorder="0" applyAlignment="0" applyProtection="0"/>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164" fontId="194" fillId="0" borderId="69" applyNumberFormat="0" applyFill="0" applyAlignment="0" applyProtection="0">
      <alignment vertical="center"/>
    </xf>
    <xf numFmtId="0" fontId="238" fillId="0" borderId="6" applyNumberFormat="0" applyFill="0" applyAlignment="0" applyProtection="0">
      <alignment vertical="center"/>
    </xf>
    <xf numFmtId="0" fontId="239" fillId="0" borderId="58" applyNumberFormat="0" applyFill="0" applyAlignment="0" applyProtection="0">
      <alignment vertical="center"/>
    </xf>
    <xf numFmtId="0" fontId="238" fillId="0" borderId="6" applyNumberFormat="0" applyFill="0" applyAlignment="0" applyProtection="0">
      <alignment vertical="center"/>
    </xf>
    <xf numFmtId="164" fontId="165" fillId="0" borderId="58" applyNumberFormat="0" applyFill="0" applyAlignment="0" applyProtection="0">
      <alignment vertical="center"/>
    </xf>
    <xf numFmtId="0" fontId="240"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0" fontId="238" fillId="0" borderId="6" applyNumberFormat="0" applyFill="0" applyAlignment="0" applyProtection="0">
      <alignment vertical="center"/>
    </xf>
    <xf numFmtId="164" fontId="217" fillId="0" borderId="0" applyNumberFormat="0" applyFill="0" applyBorder="0" applyAlignment="0" applyProtection="0">
      <alignment vertical="top"/>
      <protection locked="0"/>
    </xf>
    <xf numFmtId="0" fontId="241" fillId="0" borderId="0" applyNumberFormat="0" applyFill="0" applyBorder="0" applyAlignment="0" applyProtection="0">
      <alignment vertical="top"/>
      <protection locked="0"/>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0" fontId="243" fillId="0" borderId="66"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164" fontId="190" fillId="0" borderId="70" applyNumberFormat="0" applyFill="0" applyAlignment="0" applyProtection="0">
      <alignment vertical="center"/>
    </xf>
    <xf numFmtId="0" fontId="242" fillId="0" borderId="9" applyNumberFormat="0" applyFill="0" applyAlignment="0" applyProtection="0">
      <alignment vertical="center"/>
    </xf>
    <xf numFmtId="0" fontId="243" fillId="0" borderId="66" applyNumberFormat="0" applyFill="0" applyAlignment="0" applyProtection="0">
      <alignment vertical="center"/>
    </xf>
    <xf numFmtId="0" fontId="242" fillId="0" borderId="9"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164" fontId="190" fillId="0" borderId="66" applyNumberFormat="0" applyFill="0" applyAlignment="0" applyProtection="0">
      <alignment vertical="center"/>
    </xf>
    <xf numFmtId="0" fontId="244"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2" fillId="0" borderId="9" applyNumberFormat="0" applyFill="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0" fontId="246" fillId="45"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164" fontId="161" fillId="56" borderId="47" applyNumberFormat="0" applyAlignment="0" applyProtection="0">
      <alignment vertical="center"/>
    </xf>
    <xf numFmtId="0" fontId="245" fillId="5" borderId="4" applyNumberFormat="0" applyAlignment="0" applyProtection="0">
      <alignment vertical="center"/>
    </xf>
    <xf numFmtId="0" fontId="246" fillId="45" borderId="47" applyNumberFormat="0" applyAlignment="0" applyProtection="0">
      <alignment vertical="center"/>
    </xf>
    <xf numFmtId="0" fontId="245" fillId="5" borderId="4"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164" fontId="161" fillId="45" borderId="47" applyNumberFormat="0" applyAlignment="0" applyProtection="0">
      <alignment vertical="center"/>
    </xf>
    <xf numFmtId="0" fontId="247"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0" fontId="245" fillId="5" borderId="4" applyNumberFormat="0" applyAlignment="0" applyProtection="0">
      <alignment vertical="center"/>
    </xf>
    <xf numFmtId="4" fontId="210" fillId="0" borderId="0" applyFont="0" applyFill="0" applyBorder="0" applyAlignment="0" applyProtection="0"/>
    <xf numFmtId="4" fontId="138" fillId="0" borderId="0">
      <protection locked="0"/>
    </xf>
    <xf numFmtId="4" fontId="210" fillId="0" borderId="0" applyFont="0" applyFill="0" applyBorder="0" applyAlignment="0" applyProtection="0"/>
    <xf numFmtId="3" fontId="210" fillId="0" borderId="0" applyFont="0" applyFill="0" applyBorder="0" applyAlignment="0" applyProtection="0"/>
    <xf numFmtId="164" fontId="38" fillId="0" borderId="0">
      <protection locked="0"/>
    </xf>
    <xf numFmtId="3" fontId="210" fillId="0" borderId="0" applyFont="0" applyFill="0" applyBorder="0" applyAlignment="0" applyProtection="0"/>
    <xf numFmtId="0" fontId="38" fillId="0" borderId="0">
      <protection locked="0"/>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164" fontId="249" fillId="0" borderId="71" applyNumberFormat="0" applyFill="0" applyAlignment="0" applyProtection="0">
      <alignment vertical="center"/>
    </xf>
    <xf numFmtId="0" fontId="248" fillId="0" borderId="1" applyNumberFormat="0" applyFill="0" applyAlignment="0" applyProtection="0">
      <alignment vertical="center"/>
    </xf>
    <xf numFmtId="0" fontId="250" fillId="0" borderId="51" applyNumberFormat="0" applyFill="0" applyAlignment="0" applyProtection="0">
      <alignment vertical="center"/>
    </xf>
    <xf numFmtId="0" fontId="248" fillId="0" borderId="1" applyNumberFormat="0" applyFill="0" applyAlignment="0" applyProtection="0">
      <alignment vertical="center"/>
    </xf>
    <xf numFmtId="164" fontId="146" fillId="0" borderId="51" applyNumberFormat="0" applyFill="0" applyAlignment="0" applyProtection="0">
      <alignment vertical="center"/>
    </xf>
    <xf numFmtId="0" fontId="251"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48" fillId="0" borderId="1" applyNumberFormat="0" applyFill="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164" fontId="254" fillId="0" borderId="72" applyNumberFormat="0" applyFill="0" applyAlignment="0" applyProtection="0">
      <alignment vertical="center"/>
    </xf>
    <xf numFmtId="0" fontId="253" fillId="0" borderId="2" applyNumberFormat="0" applyFill="0" applyAlignment="0" applyProtection="0">
      <alignment vertical="center"/>
    </xf>
    <xf numFmtId="0" fontId="255" fillId="0" borderId="53" applyNumberFormat="0" applyFill="0" applyAlignment="0" applyProtection="0">
      <alignment vertical="center"/>
    </xf>
    <xf numFmtId="0" fontId="253" fillId="0" borderId="2" applyNumberFormat="0" applyFill="0" applyAlignment="0" applyProtection="0">
      <alignment vertical="center"/>
    </xf>
    <xf numFmtId="164" fontId="150" fillId="0" borderId="53" applyNumberFormat="0" applyFill="0" applyAlignment="0" applyProtection="0">
      <alignment vertical="center"/>
    </xf>
    <xf numFmtId="0" fontId="256"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3" fillId="0" borderId="2"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164" fontId="258" fillId="0" borderId="73" applyNumberFormat="0" applyFill="0" applyAlignment="0" applyProtection="0">
      <alignment vertical="center"/>
    </xf>
    <xf numFmtId="0" fontId="257" fillId="0" borderId="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164" fontId="258" fillId="0" borderId="73" applyNumberFormat="0" applyFill="0" applyAlignment="0" applyProtection="0">
      <alignment vertical="center"/>
    </xf>
    <xf numFmtId="0" fontId="259" fillId="0" borderId="55" applyNumberFormat="0" applyFill="0" applyAlignment="0" applyProtection="0">
      <alignment vertical="center"/>
    </xf>
    <xf numFmtId="0" fontId="257" fillId="0" borderId="3"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164" fontId="155" fillId="0" borderId="55" applyNumberFormat="0" applyFill="0" applyAlignment="0" applyProtection="0">
      <alignment vertical="center"/>
    </xf>
    <xf numFmtId="0" fontId="260"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3" applyNumberFormat="0" applyFill="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164" fontId="258"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9" fillId="0" borderId="0" applyNumberFormat="0" applyFill="0" applyBorder="0" applyAlignment="0" applyProtection="0">
      <alignment vertical="center"/>
    </xf>
    <xf numFmtId="0" fontId="257" fillId="0" borderId="0" applyNumberFormat="0" applyFill="0" applyBorder="0" applyAlignment="0" applyProtection="0">
      <alignment vertical="center"/>
    </xf>
    <xf numFmtId="164" fontId="155" fillId="0" borderId="0" applyNumberFormat="0" applyFill="0" applyBorder="0" applyAlignment="0" applyProtection="0">
      <alignment vertical="center"/>
    </xf>
    <xf numFmtId="0" fontId="260"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7" fillId="0" borderId="0" applyNumberFormat="0" applyFill="0" applyBorder="0" applyAlignment="0" applyProtection="0">
      <alignment vertical="center"/>
    </xf>
    <xf numFmtId="0" fontId="252" fillId="0" borderId="0" applyNumberFormat="0" applyFill="0" applyBorder="0" applyAlignment="0" applyProtection="0">
      <alignment vertical="center"/>
    </xf>
    <xf numFmtId="164" fontId="186"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187" fillId="0" borderId="0" applyNumberFormat="0" applyFill="0" applyBorder="0" applyAlignment="0" applyProtection="0">
      <alignment vertical="center"/>
    </xf>
    <xf numFmtId="0" fontId="252" fillId="0" borderId="0" applyNumberFormat="0" applyFill="0" applyBorder="0" applyAlignment="0" applyProtection="0">
      <alignment vertical="center"/>
    </xf>
    <xf numFmtId="164" fontId="187" fillId="0" borderId="0" applyNumberFormat="0" applyFill="0" applyBorder="0" applyAlignment="0" applyProtection="0">
      <alignment vertical="center"/>
    </xf>
    <xf numFmtId="0" fontId="261"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52" fillId="0" borderId="0" applyNumberFormat="0" applyFill="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164" fontId="140" fillId="43" borderId="0" applyNumberFormat="0" applyBorder="0" applyAlignment="0" applyProtection="0">
      <alignment vertical="center"/>
    </xf>
    <xf numFmtId="0" fontId="262" fillId="2" borderId="0" applyNumberFormat="0" applyBorder="0" applyAlignment="0" applyProtection="0">
      <alignment vertical="center"/>
    </xf>
    <xf numFmtId="0" fontId="263" fillId="39" borderId="0" applyNumberFormat="0" applyBorder="0" applyAlignment="0" applyProtection="0">
      <alignment vertical="center"/>
    </xf>
    <xf numFmtId="0" fontId="262" fillId="2" borderId="0" applyNumberFormat="0" applyBorder="0" applyAlignment="0" applyProtection="0">
      <alignment vertical="center"/>
    </xf>
    <xf numFmtId="164" fontId="140" fillId="39" borderId="0" applyNumberFormat="0" applyBorder="0" applyAlignment="0" applyProtection="0">
      <alignment vertical="center"/>
    </xf>
    <xf numFmtId="0" fontId="262" fillId="2" borderId="0" applyNumberFormat="0" applyBorder="0" applyAlignment="0" applyProtection="0">
      <alignment vertical="center"/>
    </xf>
    <xf numFmtId="0" fontId="264"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0" fontId="262" fillId="2" borderId="0" applyNumberFormat="0" applyBorder="0" applyAlignment="0" applyProtection="0">
      <alignment vertical="center"/>
    </xf>
    <xf numFmtId="164" fontId="38" fillId="0" borderId="0"/>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0" fontId="266" fillId="8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164" fontId="179" fillId="105" borderId="61" applyNumberFormat="0" applyAlignment="0" applyProtection="0">
      <alignment vertical="center"/>
    </xf>
    <xf numFmtId="0" fontId="265" fillId="6" borderId="5" applyNumberFormat="0" applyAlignment="0" applyProtection="0">
      <alignment vertical="center"/>
    </xf>
    <xf numFmtId="0" fontId="266" fillId="85" borderId="61" applyNumberFormat="0" applyAlignment="0" applyProtection="0">
      <alignment vertical="center"/>
    </xf>
    <xf numFmtId="0" fontId="265" fillId="6" borderId="5"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164" fontId="179" fillId="85" borderId="61" applyNumberFormat="0" applyAlignment="0" applyProtection="0">
      <alignment vertical="center"/>
    </xf>
    <xf numFmtId="0" fontId="267"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0" fontId="265" fillId="6" borderId="5" applyNumberFormat="0" applyAlignment="0" applyProtection="0">
      <alignment vertical="center"/>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164" fontId="39" fillId="0" borderId="0" applyFont="0" applyFill="0" applyBorder="0" applyAlignment="0" applyProtection="0"/>
    <xf numFmtId="164" fontId="51" fillId="0" borderId="0" applyFont="0" applyFill="0" applyBorder="0" applyAlignment="0" applyProtection="0"/>
    <xf numFmtId="0" fontId="51" fillId="0" borderId="0" applyFont="0" applyFill="0" applyBorder="0" applyAlignment="0" applyProtection="0"/>
    <xf numFmtId="164" fontId="39" fillId="0" borderId="0" applyFont="0" applyFill="0" applyBorder="0" applyAlignment="0" applyProtection="0"/>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24" fontId="52" fillId="0" borderId="0" applyFont="0" applyFill="0" applyBorder="0" applyAlignment="0" applyProtection="0"/>
    <xf numFmtId="224" fontId="39" fillId="0" borderId="0" applyFont="0" applyFill="0" applyBorder="0" applyAlignment="0" applyProtection="0">
      <alignment vertical="center"/>
    </xf>
    <xf numFmtId="225" fontId="268" fillId="0" borderId="0" applyFont="0" applyFill="0" applyBorder="0" applyAlignment="0" applyProtection="0"/>
    <xf numFmtId="226" fontId="268" fillId="0" borderId="0" applyFont="0" applyFill="0" applyBorder="0" applyAlignment="0" applyProtection="0"/>
    <xf numFmtId="164" fontId="38" fillId="0" borderId="0" applyFont="0" applyFill="0" applyBorder="0" applyAlignment="0" applyProtection="0"/>
    <xf numFmtId="0" fontId="38" fillId="0" borderId="0" applyFont="0" applyFill="0" applyBorder="0" applyAlignment="0" applyProtection="0"/>
    <xf numFmtId="164" fontId="11" fillId="0" borderId="0"/>
    <xf numFmtId="10" fontId="210" fillId="0" borderId="0" applyFont="0" applyFill="0" applyBorder="0" applyAlignment="0" applyProtection="0"/>
    <xf numFmtId="164" fontId="38" fillId="0" borderId="0">
      <protection locked="0"/>
    </xf>
    <xf numFmtId="10" fontId="210" fillId="0" borderId="0" applyFont="0" applyFill="0" applyBorder="0" applyAlignment="0" applyProtection="0"/>
    <xf numFmtId="0" fontId="38"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9"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218" fontId="39" fillId="0" borderId="0">
      <protection locked="0"/>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237"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237"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178"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39" fillId="0" borderId="0"/>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54" fillId="0" borderId="0"/>
    <xf numFmtId="0" fontId="54" fillId="0" borderId="0"/>
    <xf numFmtId="0" fontId="54" fillId="0" borderId="0"/>
    <xf numFmtId="0" fontId="71" fillId="0" borderId="0">
      <alignment vertical="center"/>
    </xf>
    <xf numFmtId="164" fontId="71" fillId="0" borderId="0">
      <alignment vertical="center"/>
    </xf>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269" fillId="0" borderId="0"/>
    <xf numFmtId="0" fontId="269" fillId="0" borderId="0"/>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269" fillId="0" borderId="0"/>
    <xf numFmtId="0" fontId="269" fillId="0" borderId="0"/>
    <xf numFmtId="0" fontId="39" fillId="0" borderId="0"/>
    <xf numFmtId="0" fontId="71" fillId="0" borderId="0">
      <alignment vertical="center"/>
    </xf>
    <xf numFmtId="0" fontId="71" fillId="0" borderId="0">
      <alignment vertical="center"/>
    </xf>
    <xf numFmtId="0" fontId="39" fillId="0" borderId="0"/>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0" fillId="0" borderId="0">
      <alignment vertical="center"/>
    </xf>
    <xf numFmtId="164" fontId="54" fillId="0" borderId="0"/>
    <xf numFmtId="164" fontId="70" fillId="0" borderId="0">
      <alignment vertical="center"/>
    </xf>
    <xf numFmtId="0" fontId="54" fillId="0" borderId="0"/>
    <xf numFmtId="164" fontId="39" fillId="0" borderId="0">
      <alignment vertical="center"/>
    </xf>
    <xf numFmtId="164" fontId="70" fillId="0" borderId="0">
      <alignment vertical="center"/>
    </xf>
    <xf numFmtId="0" fontId="70" fillId="0" borderId="0">
      <alignment vertical="center"/>
    </xf>
    <xf numFmtId="164" fontId="70" fillId="0" borderId="0">
      <alignment vertical="center"/>
    </xf>
    <xf numFmtId="0" fontId="269" fillId="0" borderId="0"/>
    <xf numFmtId="164" fontId="70" fillId="0" borderId="0">
      <alignment vertical="center"/>
    </xf>
    <xf numFmtId="0" fontId="269" fillId="0" borderId="0"/>
    <xf numFmtId="164" fontId="70" fillId="0" borderId="0">
      <alignment vertical="center"/>
    </xf>
    <xf numFmtId="0" fontId="269" fillId="0" borderId="0"/>
    <xf numFmtId="164" fontId="70" fillId="0" borderId="0">
      <alignment vertical="center"/>
    </xf>
    <xf numFmtId="0" fontId="269" fillId="0" borderId="0"/>
    <xf numFmtId="164" fontId="70" fillId="0" borderId="0">
      <alignment vertical="center"/>
    </xf>
    <xf numFmtId="0" fontId="269" fillId="0" borderId="0"/>
    <xf numFmtId="164" fontId="70" fillId="0" borderId="0">
      <alignment vertical="center"/>
    </xf>
    <xf numFmtId="0" fontId="269" fillId="0" borderId="0"/>
    <xf numFmtId="164" fontId="70" fillId="0" borderId="0">
      <alignment vertical="center"/>
    </xf>
    <xf numFmtId="0" fontId="269" fillId="0" borderId="0"/>
    <xf numFmtId="164" fontId="70" fillId="0" borderId="0">
      <alignment vertical="center"/>
    </xf>
    <xf numFmtId="0" fontId="269" fillId="0" borderId="0"/>
    <xf numFmtId="0" fontId="219" fillId="0" borderId="0"/>
    <xf numFmtId="164" fontId="39" fillId="0" borderId="0"/>
    <xf numFmtId="0" fontId="39" fillId="0" borderId="0"/>
    <xf numFmtId="164" fontId="54" fillId="0" borderId="0"/>
    <xf numFmtId="0" fontId="52" fillId="0" borderId="0"/>
    <xf numFmtId="164"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70" fillId="0" borderId="0">
      <alignment vertical="center"/>
    </xf>
    <xf numFmtId="0" fontId="70" fillId="0" borderId="0">
      <alignment vertical="center"/>
    </xf>
    <xf numFmtId="0" fontId="70" fillId="0" borderId="0">
      <alignment vertical="center"/>
    </xf>
    <xf numFmtId="164" fontId="54" fillId="0" borderId="0"/>
    <xf numFmtId="164" fontId="39" fillId="0" borderId="0"/>
    <xf numFmtId="0" fontId="39" fillId="0" borderId="0"/>
    <xf numFmtId="164" fontId="39" fillId="0" borderId="0"/>
    <xf numFmtId="0" fontId="39" fillId="0" borderId="0"/>
    <xf numFmtId="164" fontId="54" fillId="0" borderId="0"/>
    <xf numFmtId="0" fontId="54" fillId="0" borderId="0"/>
    <xf numFmtId="0" fontId="39" fillId="0" borderId="0"/>
    <xf numFmtId="164" fontId="54" fillId="0" borderId="0"/>
    <xf numFmtId="0" fontId="54" fillId="0" borderId="0"/>
    <xf numFmtId="0" fontId="54" fillId="0" borderId="0"/>
    <xf numFmtId="164" fontId="39" fillId="0" borderId="0"/>
    <xf numFmtId="0" fontId="39" fillId="0" borderId="0"/>
    <xf numFmtId="164" fontId="39" fillId="0" borderId="0"/>
    <xf numFmtId="0" fontId="39" fillId="0" borderId="0"/>
    <xf numFmtId="164" fontId="54" fillId="0" borderId="0"/>
    <xf numFmtId="0" fontId="1" fillId="0" borderId="0">
      <alignment vertical="center"/>
    </xf>
    <xf numFmtId="0" fontId="39" fillId="0" borderId="0"/>
    <xf numFmtId="164" fontId="1" fillId="0" borderId="0">
      <alignment vertical="center"/>
    </xf>
    <xf numFmtId="0" fontId="70" fillId="0" borderId="0">
      <alignment vertical="center"/>
    </xf>
    <xf numFmtId="0" fontId="39" fillId="0" borderId="0"/>
    <xf numFmtId="164" fontId="54" fillId="0" borderId="0"/>
    <xf numFmtId="164" fontId="39" fillId="0" borderId="0"/>
    <xf numFmtId="0" fontId="39" fillId="0" borderId="0"/>
    <xf numFmtId="164" fontId="39" fillId="0" borderId="0"/>
    <xf numFmtId="0" fontId="39" fillId="0" borderId="0"/>
    <xf numFmtId="164" fontId="54" fillId="0" borderId="0"/>
    <xf numFmtId="0" fontId="54" fillId="0" borderId="0"/>
    <xf numFmtId="0" fontId="39" fillId="0" borderId="0"/>
    <xf numFmtId="164" fontId="54" fillId="0" borderId="0"/>
    <xf numFmtId="0" fontId="54" fillId="0" borderId="0"/>
    <xf numFmtId="164" fontId="39" fillId="0" borderId="0"/>
    <xf numFmtId="0" fontId="71" fillId="0" borderId="0">
      <alignment vertical="center"/>
    </xf>
    <xf numFmtId="164" fontId="70" fillId="0" borderId="0">
      <alignment vertical="center"/>
    </xf>
    <xf numFmtId="0" fontId="71" fillId="0" borderId="0">
      <alignment vertical="center"/>
    </xf>
    <xf numFmtId="164" fontId="71"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219" fillId="0" borderId="0"/>
    <xf numFmtId="0" fontId="71"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39" fillId="0" borderId="0">
      <alignment vertical="center"/>
    </xf>
    <xf numFmtId="0" fontId="269" fillId="0" borderId="0"/>
    <xf numFmtId="0" fontId="269" fillId="0" borderId="0"/>
    <xf numFmtId="164" fontId="39" fillId="0" borderId="0"/>
    <xf numFmtId="0" fontId="39" fillId="0" borderId="0"/>
    <xf numFmtId="0" fontId="269" fillId="0" borderId="0"/>
    <xf numFmtId="0" fontId="71" fillId="0" borderId="0">
      <alignment vertical="center"/>
    </xf>
    <xf numFmtId="164" fontId="52" fillId="0" borderId="0"/>
    <xf numFmtId="164" fontId="39" fillId="0" borderId="0"/>
    <xf numFmtId="0" fontId="39" fillId="0" borderId="0"/>
    <xf numFmtId="164" fontId="39" fillId="0" borderId="0"/>
    <xf numFmtId="0" fontId="39" fillId="0" borderId="0"/>
    <xf numFmtId="164" fontId="39" fillId="0" borderId="0"/>
    <xf numFmtId="0" fontId="39" fillId="0" borderId="0"/>
    <xf numFmtId="164" fontId="39" fillId="0" borderId="0"/>
    <xf numFmtId="164" fontId="54" fillId="0" borderId="0"/>
    <xf numFmtId="164" fontId="39" fillId="0" borderId="0"/>
    <xf numFmtId="164" fontId="54" fillId="0" borderId="0"/>
    <xf numFmtId="0" fontId="54" fillId="0" borderId="0"/>
    <xf numFmtId="164" fontId="54" fillId="0" borderId="0"/>
    <xf numFmtId="0" fontId="54" fillId="0" borderId="0"/>
    <xf numFmtId="164" fontId="39" fillId="0" borderId="0"/>
    <xf numFmtId="0" fontId="39" fillId="0" borderId="0"/>
    <xf numFmtId="0" fontId="54" fillId="0" borderId="0"/>
    <xf numFmtId="164" fontId="39" fillId="0" borderId="0"/>
    <xf numFmtId="0" fontId="39" fillId="0" borderId="0"/>
    <xf numFmtId="0" fontId="39" fillId="0" borderId="0"/>
    <xf numFmtId="164" fontId="54" fillId="0" borderId="0"/>
    <xf numFmtId="0" fontId="54" fillId="0" borderId="0"/>
    <xf numFmtId="164" fontId="54" fillId="0" borderId="0"/>
    <xf numFmtId="0" fontId="54" fillId="0" borderId="0"/>
    <xf numFmtId="0" fontId="54" fillId="0" borderId="0"/>
    <xf numFmtId="164" fontId="39" fillId="0" borderId="0"/>
    <xf numFmtId="164" fontId="54" fillId="0" borderId="0"/>
    <xf numFmtId="0" fontId="54" fillId="0" borderId="0"/>
    <xf numFmtId="164" fontId="54" fillId="0" borderId="0"/>
    <xf numFmtId="0" fontId="54" fillId="0" borderId="0"/>
    <xf numFmtId="164" fontId="39" fillId="0" borderId="0"/>
    <xf numFmtId="0" fontId="39" fillId="0" borderId="0"/>
    <xf numFmtId="0" fontId="54" fillId="0" borderId="0"/>
    <xf numFmtId="164" fontId="70" fillId="0" borderId="0">
      <alignment vertical="center"/>
    </xf>
    <xf numFmtId="0" fontId="269" fillId="0" borderId="0"/>
    <xf numFmtId="164" fontId="71" fillId="0" borderId="0">
      <alignment vertical="center"/>
    </xf>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70" fillId="0" borderId="0">
      <alignment vertical="center"/>
    </xf>
    <xf numFmtId="0" fontId="39" fillId="0" borderId="0"/>
    <xf numFmtId="164" fontId="54" fillId="0" borderId="0"/>
    <xf numFmtId="164" fontId="39" fillId="0" borderId="0">
      <alignment vertical="center"/>
    </xf>
    <xf numFmtId="164" fontId="54" fillId="0" borderId="0"/>
    <xf numFmtId="0" fontId="54" fillId="0" borderId="0"/>
    <xf numFmtId="164" fontId="54" fillId="0" borderId="0"/>
    <xf numFmtId="0" fontId="54" fillId="0" borderId="0"/>
    <xf numFmtId="164" fontId="39" fillId="0" borderId="0">
      <alignment vertical="center"/>
    </xf>
    <xf numFmtId="0" fontId="39" fillId="0" borderId="0">
      <alignment vertical="center"/>
    </xf>
    <xf numFmtId="0" fontId="54" fillId="0" borderId="0"/>
    <xf numFmtId="164" fontId="39" fillId="0" borderId="0">
      <alignment vertical="center"/>
    </xf>
    <xf numFmtId="0" fontId="39" fillId="0" borderId="0">
      <alignment vertical="center"/>
    </xf>
    <xf numFmtId="0" fontId="39" fillId="0" borderId="0">
      <alignment vertical="center"/>
    </xf>
    <xf numFmtId="164" fontId="54" fillId="0" borderId="0"/>
    <xf numFmtId="0" fontId="54" fillId="0" borderId="0"/>
    <xf numFmtId="164" fontId="54" fillId="0" borderId="0"/>
    <xf numFmtId="0" fontId="54" fillId="0" borderId="0"/>
    <xf numFmtId="164" fontId="39" fillId="0" borderId="0">
      <alignment vertical="center"/>
    </xf>
    <xf numFmtId="0" fontId="39" fillId="0" borderId="0"/>
    <xf numFmtId="0" fontId="71" fillId="0" borderId="0">
      <alignment vertical="center"/>
    </xf>
    <xf numFmtId="0" fontId="70" fillId="0" borderId="0">
      <alignment vertical="center"/>
    </xf>
    <xf numFmtId="0" fontId="71" fillId="0" borderId="0">
      <alignment vertical="center"/>
    </xf>
    <xf numFmtId="164" fontId="39" fillId="0" borderId="0">
      <alignment vertical="center"/>
    </xf>
    <xf numFmtId="164" fontId="54" fillId="0" borderId="0"/>
    <xf numFmtId="0" fontId="54" fillId="0" borderId="0"/>
    <xf numFmtId="164" fontId="54" fillId="0" borderId="0"/>
    <xf numFmtId="0" fontId="54" fillId="0" borderId="0"/>
    <xf numFmtId="164" fontId="39" fillId="0" borderId="0">
      <alignment vertical="center"/>
    </xf>
    <xf numFmtId="0" fontId="39" fillId="0" borderId="0">
      <alignment vertical="center"/>
    </xf>
    <xf numFmtId="0" fontId="54" fillId="0" borderId="0"/>
    <xf numFmtId="164" fontId="39" fillId="0" borderId="0">
      <alignment vertical="center"/>
    </xf>
    <xf numFmtId="0" fontId="39" fillId="0" borderId="0">
      <alignment vertical="center"/>
    </xf>
    <xf numFmtId="164" fontId="54" fillId="0" borderId="0"/>
    <xf numFmtId="0" fontId="1" fillId="0" borderId="0">
      <alignment vertical="center"/>
    </xf>
    <xf numFmtId="164" fontId="70" fillId="0" borderId="0">
      <alignment vertical="center"/>
    </xf>
    <xf numFmtId="0" fontId="71" fillId="0" borderId="0">
      <alignment vertical="center"/>
    </xf>
    <xf numFmtId="164" fontId="1" fillId="0" borderId="0">
      <alignment vertical="center"/>
    </xf>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269" fillId="0" borderId="0"/>
    <xf numFmtId="0" fontId="39" fillId="0" borderId="0"/>
    <xf numFmtId="0" fontId="39" fillId="0" borderId="0">
      <alignment vertical="center"/>
    </xf>
    <xf numFmtId="0" fontId="39" fillId="0" borderId="0"/>
    <xf numFmtId="164" fontId="54" fillId="0" borderId="0"/>
    <xf numFmtId="164" fontId="70" fillId="0" borderId="0">
      <alignment vertical="center"/>
    </xf>
    <xf numFmtId="0" fontId="54" fillId="0" borderId="0"/>
    <xf numFmtId="164" fontId="39" fillId="0" borderId="0"/>
    <xf numFmtId="0" fontId="39" fillId="0" borderId="0"/>
    <xf numFmtId="0" fontId="39" fillId="0" borderId="0"/>
    <xf numFmtId="0" fontId="39" fillId="0" borderId="0"/>
    <xf numFmtId="0" fontId="39" fillId="0" borderId="0"/>
    <xf numFmtId="0" fontId="70" fillId="0" borderId="0">
      <alignment vertical="center"/>
    </xf>
    <xf numFmtId="0" fontId="269" fillId="0" borderId="0"/>
    <xf numFmtId="0" fontId="39" fillId="0" borderId="0">
      <alignment vertical="center"/>
    </xf>
    <xf numFmtId="164" fontId="70" fillId="0" borderId="0">
      <alignment vertical="center"/>
    </xf>
    <xf numFmtId="0" fontId="39" fillId="0" borderId="0"/>
    <xf numFmtId="0" fontId="69" fillId="0" borderId="0">
      <alignment vertical="center"/>
    </xf>
    <xf numFmtId="0" fontId="39" fillId="0" borderId="0"/>
    <xf numFmtId="164" fontId="54" fillId="0" borderId="0"/>
    <xf numFmtId="164" fontId="70" fillId="0" borderId="0">
      <alignment vertical="center"/>
    </xf>
    <xf numFmtId="0" fontId="54" fillId="0" borderId="0"/>
    <xf numFmtId="164" fontId="39" fillId="0" borderId="0"/>
    <xf numFmtId="0" fontId="39" fillId="0" borderId="0"/>
    <xf numFmtId="164" fontId="54" fillId="0" borderId="0"/>
    <xf numFmtId="0" fontId="39" fillId="0" borderId="0"/>
    <xf numFmtId="164" fontId="70" fillId="0" borderId="0">
      <alignment vertical="center"/>
    </xf>
    <xf numFmtId="0" fontId="54" fillId="0" borderId="0"/>
    <xf numFmtId="164" fontId="54" fillId="0" borderId="0"/>
    <xf numFmtId="164" fontId="70" fillId="0" borderId="0">
      <alignment vertical="center"/>
    </xf>
    <xf numFmtId="0" fontId="54" fillId="0" borderId="0"/>
    <xf numFmtId="164" fontId="54" fillId="0" borderId="0"/>
    <xf numFmtId="164" fontId="39" fillId="0" borderId="0">
      <alignment vertical="center"/>
    </xf>
    <xf numFmtId="164" fontId="54" fillId="0" borderId="0"/>
    <xf numFmtId="164" fontId="39" fillId="0" borderId="0">
      <alignment vertical="center"/>
    </xf>
    <xf numFmtId="0" fontId="39" fillId="0" borderId="0">
      <alignment vertical="center"/>
    </xf>
    <xf numFmtId="164" fontId="39" fillId="0" borderId="0">
      <alignment vertical="center"/>
    </xf>
    <xf numFmtId="0" fontId="39" fillId="0" borderId="0">
      <alignment vertical="center"/>
    </xf>
    <xf numFmtId="164" fontId="54" fillId="0" borderId="0"/>
    <xf numFmtId="0" fontId="54" fillId="0" borderId="0"/>
    <xf numFmtId="0" fontId="39" fillId="0" borderId="0">
      <alignment vertical="center"/>
    </xf>
    <xf numFmtId="164" fontId="54" fillId="0" borderId="0"/>
    <xf numFmtId="0" fontId="54" fillId="0" borderId="0"/>
    <xf numFmtId="0" fontId="54" fillId="0" borderId="0"/>
    <xf numFmtId="164" fontId="39" fillId="0" borderId="0">
      <alignment vertical="center"/>
    </xf>
    <xf numFmtId="0" fontId="39" fillId="0" borderId="0">
      <alignment vertical="center"/>
    </xf>
    <xf numFmtId="164" fontId="39" fillId="0" borderId="0">
      <alignment vertical="center"/>
    </xf>
    <xf numFmtId="0" fontId="39" fillId="0" borderId="0">
      <alignment vertical="center"/>
    </xf>
    <xf numFmtId="164" fontId="70" fillId="0" borderId="0">
      <alignment vertical="center"/>
    </xf>
    <xf numFmtId="0" fontId="39" fillId="0" borderId="0">
      <alignment vertical="center"/>
    </xf>
    <xf numFmtId="164" fontId="54" fillId="0" borderId="0"/>
    <xf numFmtId="164" fontId="39" fillId="0" borderId="0">
      <alignment vertical="center"/>
    </xf>
    <xf numFmtId="0" fontId="39" fillId="0" borderId="0">
      <alignment vertical="center"/>
    </xf>
    <xf numFmtId="164" fontId="39" fillId="0" borderId="0">
      <alignment vertical="center"/>
    </xf>
    <xf numFmtId="0" fontId="39" fillId="0" borderId="0">
      <alignment vertical="center"/>
    </xf>
    <xf numFmtId="164" fontId="54" fillId="0" borderId="0"/>
    <xf numFmtId="0" fontId="54" fillId="0" borderId="0"/>
    <xf numFmtId="164" fontId="70" fillId="0" borderId="0">
      <alignment vertical="center"/>
    </xf>
    <xf numFmtId="0" fontId="39" fillId="0" borderId="0">
      <alignment vertical="center"/>
    </xf>
    <xf numFmtId="164" fontId="66"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39" fillId="0" borderId="0"/>
    <xf numFmtId="0" fontId="71" fillId="0" borderId="0">
      <alignment vertical="center"/>
    </xf>
    <xf numFmtId="0" fontId="39" fillId="0" borderId="0"/>
    <xf numFmtId="0" fontId="71" fillId="0" borderId="0">
      <alignment vertical="center"/>
    </xf>
    <xf numFmtId="0" fontId="39" fillId="0" borderId="0"/>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39" fillId="0" borderId="0"/>
    <xf numFmtId="0" fontId="39" fillId="0" borderId="0"/>
    <xf numFmtId="164" fontId="39" fillId="0" borderId="0"/>
    <xf numFmtId="0" fontId="270" fillId="0" borderId="0">
      <alignment vertical="center"/>
    </xf>
    <xf numFmtId="0" fontId="39" fillId="0" borderId="0"/>
    <xf numFmtId="0" fontId="71" fillId="0" borderId="0">
      <alignment vertical="center"/>
    </xf>
    <xf numFmtId="0" fontId="70" fillId="0" borderId="0">
      <alignment vertical="center"/>
    </xf>
    <xf numFmtId="0" fontId="71" fillId="0" borderId="0">
      <alignment vertical="center"/>
    </xf>
    <xf numFmtId="164" fontId="2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164" fontId="70"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164"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164"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164"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164"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39" fillId="0" borderId="0"/>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0" fillId="0" borderId="0">
      <alignment vertical="center"/>
    </xf>
    <xf numFmtId="0" fontId="70" fillId="0" borderId="0">
      <alignment vertical="center"/>
    </xf>
    <xf numFmtId="164"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39" fillId="0" borderId="0"/>
    <xf numFmtId="0" fontId="71" fillId="0" borderId="0">
      <alignment vertical="center"/>
    </xf>
    <xf numFmtId="164" fontId="54" fillId="0" borderId="0">
      <alignment vertical="center"/>
    </xf>
    <xf numFmtId="0" fontId="39" fillId="0" borderId="0"/>
    <xf numFmtId="0" fontId="39" fillId="0" borderId="0">
      <alignment vertical="center"/>
    </xf>
    <xf numFmtId="164"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70" fillId="0" borderId="0">
      <alignment vertical="center"/>
    </xf>
    <xf numFmtId="0" fontId="66" fillId="0" borderId="0">
      <alignment vertical="center"/>
    </xf>
    <xf numFmtId="0" fontId="71" fillId="0" borderId="0">
      <alignment vertical="center"/>
    </xf>
    <xf numFmtId="0" fontId="71" fillId="0" borderId="0">
      <alignment vertical="center"/>
    </xf>
    <xf numFmtId="0"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0" fontId="70" fillId="0" borderId="0">
      <alignment vertical="center"/>
    </xf>
    <xf numFmtId="0" fontId="70" fillId="0" borderId="0">
      <alignment vertical="center"/>
    </xf>
    <xf numFmtId="164" fontId="52" fillId="0" borderId="0">
      <alignment vertical="center"/>
    </xf>
    <xf numFmtId="0" fontId="220" fillId="0" borderId="0"/>
    <xf numFmtId="164" fontId="39" fillId="0" borderId="0">
      <alignment vertical="center"/>
    </xf>
    <xf numFmtId="0" fontId="39" fillId="0" borderId="0"/>
    <xf numFmtId="0" fontId="39"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164"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39" fillId="0" borderId="0"/>
    <xf numFmtId="164" fontId="70" fillId="0" borderId="0">
      <alignment vertical="center"/>
    </xf>
    <xf numFmtId="0" fontId="70" fillId="0" borderId="0">
      <alignment vertical="center"/>
    </xf>
    <xf numFmtId="0" fontId="71" fillId="0" borderId="0">
      <alignment vertical="center"/>
    </xf>
    <xf numFmtId="0" fontId="71" fillId="0" borderId="0">
      <alignment vertical="center"/>
    </xf>
    <xf numFmtId="164" fontId="70" fillId="0" borderId="0">
      <alignment vertical="center"/>
    </xf>
    <xf numFmtId="164" fontId="70" fillId="0" borderId="0">
      <alignment vertical="center"/>
    </xf>
    <xf numFmtId="0" fontId="70" fillId="0" borderId="0">
      <alignment vertical="center"/>
    </xf>
    <xf numFmtId="0" fontId="70" fillId="0" borderId="0">
      <alignment vertical="center"/>
    </xf>
    <xf numFmtId="164" fontId="70" fillId="0" borderId="0">
      <alignment vertical="center"/>
    </xf>
    <xf numFmtId="0" fontId="70" fillId="0" borderId="0">
      <alignment vertical="center"/>
    </xf>
    <xf numFmtId="164" fontId="39" fillId="0" borderId="0">
      <alignment vertical="center"/>
    </xf>
    <xf numFmtId="0" fontId="269" fillId="0" borderId="0"/>
    <xf numFmtId="0" fontId="237" fillId="0" borderId="0">
      <alignment vertical="center"/>
    </xf>
    <xf numFmtId="164"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0" fillId="0" borderId="0">
      <alignment vertical="center"/>
    </xf>
    <xf numFmtId="164" fontId="70" fillId="0" borderId="0">
      <alignment vertical="center"/>
    </xf>
    <xf numFmtId="0" fontId="70" fillId="0" borderId="0">
      <alignment vertical="center"/>
    </xf>
    <xf numFmtId="0" fontId="272" fillId="0" borderId="0">
      <alignment vertical="center"/>
    </xf>
    <xf numFmtId="0" fontId="70" fillId="0" borderId="0">
      <alignment vertical="center"/>
    </xf>
    <xf numFmtId="0" fontId="39" fillId="0" borderId="0"/>
    <xf numFmtId="164" fontId="70" fillId="0" borderId="0">
      <alignment vertical="center"/>
    </xf>
    <xf numFmtId="0" fontId="70" fillId="0" borderId="0">
      <alignment vertical="center"/>
    </xf>
    <xf numFmtId="0" fontId="70" fillId="0" borderId="0">
      <alignment vertical="center"/>
    </xf>
    <xf numFmtId="164" fontId="70" fillId="0" borderId="0">
      <alignment vertical="center"/>
    </xf>
    <xf numFmtId="0" fontId="70" fillId="0" borderId="0">
      <alignment vertical="center"/>
    </xf>
    <xf numFmtId="164" fontId="39" fillId="0" borderId="0">
      <alignment vertical="center"/>
    </xf>
    <xf numFmtId="0" fontId="273" fillId="0" borderId="0">
      <alignment vertical="center"/>
    </xf>
    <xf numFmtId="0" fontId="38"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132" fillId="34" borderId="0">
      <alignment horizontal="center"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39" fillId="0" borderId="0"/>
    <xf numFmtId="0" fontId="71" fillId="0" borderId="0">
      <alignment vertical="center"/>
    </xf>
    <xf numFmtId="0" fontId="70" fillId="0" borderId="0">
      <alignment vertical="center"/>
    </xf>
    <xf numFmtId="164" fontId="39"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269" fillId="0" borderId="0"/>
    <xf numFmtId="0" fontId="221"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164" fontId="39" fillId="0" borderId="0"/>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0"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71" fillId="0" borderId="0">
      <alignment vertical="center"/>
    </xf>
    <xf numFmtId="0" fontId="39" fillId="0" borderId="0">
      <alignment vertical="center"/>
    </xf>
    <xf numFmtId="0" fontId="54" fillId="0" borderId="0"/>
    <xf numFmtId="0" fontId="54" fillId="0" borderId="0"/>
    <xf numFmtId="0" fontId="54" fillId="0" borderId="0"/>
    <xf numFmtId="0" fontId="274" fillId="0" borderId="0"/>
    <xf numFmtId="164" fontId="275" fillId="0" borderId="0">
      <alignment vertical="center"/>
    </xf>
    <xf numFmtId="164" fontId="52" fillId="0" borderId="0">
      <alignment vertical="center"/>
    </xf>
    <xf numFmtId="164" fontId="39" fillId="0" borderId="0"/>
    <xf numFmtId="193" fontId="169" fillId="0" borderId="0" applyFont="0" applyFill="0" applyBorder="0" applyAlignment="0" applyProtection="0"/>
    <xf numFmtId="194" fontId="169" fillId="0" borderId="0" applyFont="0" applyFill="0" applyBorder="0" applyAlignment="0" applyProtection="0"/>
    <xf numFmtId="0" fontId="276" fillId="0" borderId="0" applyNumberFormat="0" applyFill="0" applyBorder="0" applyAlignment="0" applyProtection="0">
      <alignment vertical="top"/>
      <protection locked="0"/>
    </xf>
    <xf numFmtId="0" fontId="276" fillId="0" borderId="0" applyNumberFormat="0" applyFill="0" applyBorder="0" applyAlignment="0" applyProtection="0">
      <alignment vertical="top"/>
      <protection locked="0"/>
    </xf>
    <xf numFmtId="0" fontId="277" fillId="0" borderId="0" applyNumberFormat="0" applyFill="0" applyBorder="0" applyAlignment="0" applyProtection="0">
      <alignment vertical="top"/>
      <protection locked="0"/>
    </xf>
    <xf numFmtId="164" fontId="210" fillId="0" borderId="74" applyNumberFormat="0" applyFont="0" applyFill="0" applyAlignment="0" applyProtection="0"/>
    <xf numFmtId="164" fontId="138" fillId="0" borderId="74">
      <protection locked="0"/>
    </xf>
    <xf numFmtId="0" fontId="210" fillId="0" borderId="74" applyNumberFormat="0" applyFont="0" applyFill="0" applyAlignment="0" applyProtection="0"/>
    <xf numFmtId="0" fontId="138" fillId="0" borderId="74">
      <protection locked="0"/>
    </xf>
    <xf numFmtId="227" fontId="39" fillId="0" borderId="0" applyFont="0" applyFill="0" applyBorder="0" applyAlignment="0" applyProtection="0"/>
    <xf numFmtId="164" fontId="38" fillId="0" borderId="0">
      <protection locked="0"/>
    </xf>
    <xf numFmtId="227" fontId="39" fillId="0" borderId="0" applyFont="0" applyFill="0" applyBorder="0" applyAlignment="0" applyProtection="0"/>
    <xf numFmtId="0" fontId="38" fillId="0" borderId="0">
      <protection locked="0"/>
    </xf>
    <xf numFmtId="228" fontId="210" fillId="0" borderId="0" applyFont="0" applyFill="0" applyBorder="0" applyAlignment="0" applyProtection="0"/>
    <xf numFmtId="164" fontId="38" fillId="0" borderId="0">
      <protection locked="0"/>
    </xf>
    <xf numFmtId="228" fontId="210" fillId="0" borderId="0" applyFont="0" applyFill="0" applyBorder="0" applyAlignment="0" applyProtection="0"/>
    <xf numFmtId="0" fontId="38" fillId="0" borderId="0">
      <protection locked="0"/>
    </xf>
    <xf numFmtId="0" fontId="37" fillId="0" borderId="0"/>
    <xf numFmtId="168" fontId="39" fillId="0" borderId="0" applyFont="0" applyFill="0" applyBorder="0" applyAlignment="0" applyProtection="0"/>
    <xf numFmtId="210" fontId="39" fillId="0" borderId="0" applyFont="0" applyFill="0" applyBorder="0" applyAlignment="0" applyProtection="0"/>
    <xf numFmtId="168" fontId="278" fillId="0" borderId="0" applyFont="0" applyFill="0" applyBorder="0" applyAlignment="0" applyProtection="0"/>
    <xf numFmtId="210" fontId="278" fillId="0" borderId="0" applyFont="0" applyFill="0" applyBorder="0" applyAlignment="0" applyProtection="0"/>
    <xf numFmtId="196" fontId="279" fillId="0" borderId="0"/>
    <xf numFmtId="196" fontId="279" fillId="0" borderId="0"/>
    <xf numFmtId="196" fontId="279" fillId="0" borderId="0"/>
    <xf numFmtId="196" fontId="279" fillId="0" borderId="0"/>
    <xf numFmtId="196" fontId="279" fillId="0" borderId="0"/>
    <xf numFmtId="196" fontId="279" fillId="0" borderId="0"/>
    <xf numFmtId="196" fontId="279" fillId="0" borderId="0"/>
    <xf numFmtId="196" fontId="279" fillId="0" borderId="0"/>
    <xf numFmtId="196" fontId="279" fillId="0" borderId="0"/>
    <xf numFmtId="196" fontId="279" fillId="0" borderId="0"/>
    <xf numFmtId="196" fontId="279" fillId="0" borderId="0"/>
    <xf numFmtId="0" fontId="280" fillId="0" borderId="17">
      <alignment horizontal="right" vertical="center"/>
    </xf>
    <xf numFmtId="0" fontId="280" fillId="0" borderId="17">
      <alignment horizontal="right" vertical="center"/>
    </xf>
    <xf numFmtId="193" fontId="202" fillId="0" borderId="0" applyFont="0" applyFill="0" applyBorder="0" applyAlignment="0" applyProtection="0"/>
    <xf numFmtId="194" fontId="202" fillId="0" borderId="0" applyFont="0" applyFill="0" applyBorder="0" applyAlignment="0" applyProtection="0"/>
    <xf numFmtId="164" fontId="39" fillId="0" borderId="0"/>
    <xf numFmtId="10" fontId="281" fillId="0" borderId="0" applyFont="0" applyFill="0" applyBorder="0" applyAlignment="0" applyProtection="0"/>
    <xf numFmtId="0" fontId="47" fillId="0" borderId="0"/>
    <xf numFmtId="38" fontId="282" fillId="0" borderId="0" applyFont="0" applyFill="0" applyBorder="0" applyAlignment="0" applyProtection="0"/>
    <xf numFmtId="0" fontId="283" fillId="0" borderId="0"/>
    <xf numFmtId="192" fontId="284" fillId="0" borderId="0" applyFont="0" applyFill="0" applyBorder="0" applyAlignment="0" applyProtection="0"/>
    <xf numFmtId="164" fontId="50" fillId="0" borderId="0" applyFont="0" applyFill="0" applyBorder="0" applyAlignment="0" applyProtection="0"/>
    <xf numFmtId="9" fontId="169" fillId="0" borderId="0" applyFont="0" applyFill="0" applyBorder="0" applyAlignment="0" applyProtection="0"/>
    <xf numFmtId="0" fontId="55" fillId="0" borderId="0" applyNumberFormat="0" applyFill="0" applyBorder="0" applyAlignment="0" applyProtection="0">
      <alignment vertical="top"/>
      <protection locked="0"/>
    </xf>
    <xf numFmtId="164" fontId="285" fillId="0" borderId="0" applyNumberFormat="0" applyFill="0" applyBorder="0" applyAlignment="0" applyProtection="0">
      <alignment vertical="top"/>
      <protection locked="0"/>
    </xf>
    <xf numFmtId="229" fontId="278" fillId="0" borderId="0" applyFont="0" applyFill="0" applyBorder="0" applyAlignment="0" applyProtection="0"/>
    <xf numFmtId="230" fontId="279" fillId="0" borderId="0" applyFont="0" applyFill="0" applyBorder="0" applyAlignment="0" applyProtection="0"/>
    <xf numFmtId="231" fontId="278" fillId="0" borderId="0" applyFont="0" applyFill="0" applyBorder="0" applyAlignment="0" applyProtection="0"/>
    <xf numFmtId="224" fontId="39" fillId="0" borderId="0" applyFont="0" applyFill="0" applyBorder="0" applyAlignment="0" applyProtection="0"/>
    <xf numFmtId="184" fontId="39" fillId="0" borderId="0" applyFont="0" applyFill="0" applyBorder="0" applyAlignment="0" applyProtection="0"/>
    <xf numFmtId="232" fontId="286" fillId="0" borderId="0" applyFont="0" applyFill="0" applyBorder="0" applyAlignment="0" applyProtection="0"/>
    <xf numFmtId="233" fontId="286" fillId="0" borderId="0" applyFont="0" applyFill="0" applyBorder="0" applyAlignment="0" applyProtection="0"/>
    <xf numFmtId="164" fontId="281" fillId="0" borderId="0"/>
    <xf numFmtId="185" fontId="284" fillId="0" borderId="0" applyFont="0" applyFill="0" applyBorder="0" applyAlignment="0" applyProtection="0"/>
    <xf numFmtId="164" fontId="50" fillId="0" borderId="0" applyFont="0" applyFill="0" applyBorder="0" applyAlignment="0" applyProtection="0"/>
    <xf numFmtId="189" fontId="202" fillId="0" borderId="0" applyFont="0" applyFill="0" applyBorder="0" applyAlignment="0" applyProtection="0"/>
    <xf numFmtId="181" fontId="202" fillId="0" borderId="0" applyFont="0" applyFill="0" applyBorder="0" applyAlignment="0" applyProtection="0"/>
    <xf numFmtId="0" fontId="287" fillId="0" borderId="0"/>
    <xf numFmtId="0" fontId="289" fillId="0" borderId="0" applyProtection="0"/>
    <xf numFmtId="9" fontId="39" fillId="0" borderId="0" applyFont="0" applyFill="0" applyBorder="0" applyAlignment="0" applyProtection="0">
      <alignment vertical="center"/>
    </xf>
    <xf numFmtId="0" fontId="39" fillId="0" borderId="0">
      <alignment vertical="center"/>
    </xf>
    <xf numFmtId="0" fontId="219" fillId="0" borderId="0"/>
  </cellStyleXfs>
  <cellXfs count="271">
    <xf numFmtId="0" fontId="0" fillId="0" borderId="0" xfId="0"/>
    <xf numFmtId="0" fontId="4" fillId="0" borderId="10" xfId="0" applyFont="1" applyFill="1" applyBorder="1" applyAlignment="1" applyProtection="1">
      <alignment horizontal="center" vertical="center" wrapText="1"/>
    </xf>
    <xf numFmtId="0" fontId="5" fillId="0" borderId="0" xfId="0" applyFont="1" applyFill="1" applyAlignment="1" applyProtection="1">
      <alignment vertical="top"/>
    </xf>
    <xf numFmtId="14" fontId="4" fillId="0" borderId="10" xfId="0" applyNumberFormat="1" applyFont="1" applyFill="1" applyBorder="1" applyAlignment="1" applyProtection="1">
      <alignment horizontal="center" vertical="center" wrapText="1"/>
    </xf>
    <xf numFmtId="0" fontId="2" fillId="0" borderId="10" xfId="0" applyFont="1" applyFill="1" applyBorder="1" applyAlignment="1" applyProtection="1">
      <alignment vertical="center"/>
    </xf>
    <xf numFmtId="0" fontId="4" fillId="0" borderId="10" xfId="0" quotePrefix="1" applyFont="1" applyFill="1" applyBorder="1" applyAlignment="1" applyProtection="1">
      <alignment horizontal="center" vertical="center" wrapText="1"/>
    </xf>
    <xf numFmtId="0" fontId="10" fillId="0" borderId="10" xfId="0" applyFont="1" applyFill="1" applyBorder="1" applyAlignment="1" applyProtection="1">
      <alignment horizontal="center" vertical="center"/>
    </xf>
    <xf numFmtId="0" fontId="9" fillId="0" borderId="10" xfId="0" applyFont="1" applyFill="1" applyBorder="1" applyAlignment="1" applyProtection="1">
      <alignment vertical="center"/>
    </xf>
    <xf numFmtId="0" fontId="9" fillId="0" borderId="10" xfId="0" applyFont="1" applyFill="1" applyBorder="1" applyAlignment="1" applyProtection="1">
      <alignment vertical="center" wrapText="1"/>
    </xf>
    <xf numFmtId="0" fontId="9" fillId="0" borderId="10" xfId="0" applyFont="1" applyFill="1" applyBorder="1" applyAlignment="1" applyProtection="1">
      <alignment horizontal="center" vertical="center"/>
    </xf>
    <xf numFmtId="0" fontId="2" fillId="0" borderId="10" xfId="0" applyFont="1" applyFill="1" applyBorder="1" applyAlignment="1" applyProtection="1">
      <alignment horizontal="center" vertical="center"/>
    </xf>
    <xf numFmtId="0" fontId="16" fillId="0" borderId="10" xfId="2" applyFont="1" applyFill="1" applyBorder="1" applyAlignment="1" applyProtection="1">
      <alignment vertical="center"/>
    </xf>
    <xf numFmtId="0" fontId="11" fillId="0" borderId="0" xfId="0" applyFont="1" applyFill="1" applyBorder="1" applyAlignment="1" applyProtection="1">
      <alignment vertical="center"/>
    </xf>
    <xf numFmtId="0" fontId="11" fillId="0" borderId="0" xfId="0" applyFont="1" applyFill="1" applyAlignment="1" applyProtection="1">
      <alignment vertical="center"/>
    </xf>
    <xf numFmtId="0" fontId="18" fillId="33" borderId="10" xfId="0" applyFont="1" applyFill="1" applyBorder="1" applyAlignment="1">
      <alignment horizontal="left" vertical="top"/>
    </xf>
    <xf numFmtId="0" fontId="19" fillId="33" borderId="10" xfId="0" applyFont="1" applyFill="1" applyBorder="1" applyAlignment="1">
      <alignment horizontal="center" vertical="center" wrapText="1"/>
    </xf>
    <xf numFmtId="0" fontId="18" fillId="0" borderId="0" xfId="0" applyFont="1" applyFill="1" applyAlignment="1">
      <alignment horizontal="left" vertical="top"/>
    </xf>
    <xf numFmtId="0" fontId="20" fillId="0" borderId="0" xfId="0" applyFont="1" applyFill="1" applyAlignment="1">
      <alignment horizontal="left" vertical="top"/>
    </xf>
    <xf numFmtId="9" fontId="19" fillId="33" borderId="10" xfId="1" applyFont="1" applyFill="1" applyBorder="1" applyAlignment="1">
      <alignment horizontal="center" vertical="center" wrapText="1"/>
    </xf>
    <xf numFmtId="0" fontId="11" fillId="0" borderId="14" xfId="0" applyFont="1" applyFill="1" applyBorder="1" applyAlignment="1">
      <alignment horizontal="center" vertical="center" wrapText="1"/>
    </xf>
    <xf numFmtId="0" fontId="11" fillId="0" borderId="14" xfId="0" applyFont="1" applyFill="1" applyBorder="1" applyAlignment="1" applyProtection="1">
      <alignment horizontal="center" vertical="center"/>
    </xf>
    <xf numFmtId="0" fontId="21" fillId="0" borderId="14" xfId="0" applyFont="1" applyFill="1" applyBorder="1" applyAlignment="1" applyProtection="1">
      <alignment horizontal="center" vertical="center"/>
    </xf>
    <xf numFmtId="0" fontId="22" fillId="0" borderId="14" xfId="0" applyFont="1" applyFill="1" applyBorder="1" applyAlignment="1" applyProtection="1">
      <alignment horizontal="center" vertical="center" wrapText="1"/>
    </xf>
    <xf numFmtId="0" fontId="18" fillId="0" borderId="10" xfId="0" applyFont="1" applyFill="1" applyBorder="1" applyAlignment="1">
      <alignment horizontal="center" vertical="center"/>
    </xf>
    <xf numFmtId="0" fontId="11" fillId="0" borderId="10" xfId="0" applyFont="1" applyFill="1" applyBorder="1" applyAlignment="1">
      <alignment horizontal="center" vertical="center"/>
    </xf>
    <xf numFmtId="0" fontId="11" fillId="0" borderId="10" xfId="0" applyFont="1" applyFill="1" applyBorder="1" applyAlignment="1">
      <alignment horizontal="center" vertical="center" wrapText="1"/>
    </xf>
    <xf numFmtId="0" fontId="11" fillId="0" borderId="10" xfId="0" applyFont="1" applyFill="1" applyBorder="1" applyAlignment="1">
      <alignment vertical="top" wrapText="1"/>
    </xf>
    <xf numFmtId="0" fontId="21" fillId="0" borderId="10" xfId="0" applyFont="1" applyFill="1" applyBorder="1" applyAlignment="1">
      <alignment vertical="top" wrapText="1"/>
    </xf>
    <xf numFmtId="0" fontId="22" fillId="0" borderId="10" xfId="0" applyFont="1" applyFill="1" applyBorder="1" applyAlignment="1">
      <alignment horizontal="center" vertical="center" wrapText="1"/>
    </xf>
    <xf numFmtId="0" fontId="18" fillId="0" borderId="10" xfId="0" applyFont="1" applyFill="1" applyBorder="1" applyAlignment="1">
      <alignment horizontal="left" vertical="top" wrapText="1"/>
    </xf>
    <xf numFmtId="0" fontId="11" fillId="0" borderId="10" xfId="0" applyFont="1" applyBorder="1" applyAlignment="1">
      <alignment vertical="center" wrapText="1"/>
    </xf>
    <xf numFmtId="0" fontId="21" fillId="0" borderId="10" xfId="0" applyFont="1" applyFill="1" applyBorder="1" applyAlignment="1" applyProtection="1">
      <alignment vertical="center" wrapText="1"/>
    </xf>
    <xf numFmtId="0" fontId="11" fillId="0" borderId="10" xfId="3" applyFont="1" applyFill="1" applyBorder="1" applyAlignment="1">
      <alignment vertical="center" wrapText="1"/>
    </xf>
    <xf numFmtId="0" fontId="24" fillId="0" borderId="10" xfId="0" applyFont="1" applyFill="1" applyBorder="1" applyAlignment="1" applyProtection="1">
      <alignment horizontal="center" vertical="center" wrapText="1"/>
    </xf>
    <xf numFmtId="0" fontId="18" fillId="0" borderId="10" xfId="0" applyFont="1" applyFill="1" applyBorder="1" applyAlignment="1">
      <alignment horizontal="left" vertical="top"/>
    </xf>
    <xf numFmtId="0" fontId="18" fillId="0" borderId="10" xfId="0" applyFont="1" applyFill="1" applyBorder="1" applyAlignment="1">
      <alignment horizontal="left" vertical="center" wrapText="1"/>
    </xf>
    <xf numFmtId="0" fontId="18" fillId="0" borderId="10" xfId="0" applyFont="1" applyFill="1" applyBorder="1" applyAlignment="1" applyProtection="1">
      <alignment vertical="center"/>
    </xf>
    <xf numFmtId="0" fontId="25" fillId="0" borderId="10" xfId="0" applyFont="1" applyFill="1" applyBorder="1" applyAlignment="1" applyProtection="1">
      <alignment vertical="center"/>
    </xf>
    <xf numFmtId="0" fontId="19" fillId="0" borderId="10" xfId="0" applyFont="1" applyFill="1" applyBorder="1" applyAlignment="1" applyProtection="1">
      <alignment horizontal="center" vertical="center" wrapText="1"/>
    </xf>
    <xf numFmtId="0" fontId="18" fillId="0" borderId="0" xfId="0" applyFont="1" applyFill="1" applyAlignment="1">
      <alignment horizontal="left" vertical="center"/>
    </xf>
    <xf numFmtId="0" fontId="26" fillId="0" borderId="0" xfId="0" applyFont="1" applyFill="1" applyAlignment="1">
      <alignment horizontal="left" vertical="center"/>
    </xf>
    <xf numFmtId="0" fontId="11" fillId="0" borderId="10" xfId="0" applyFont="1" applyFill="1" applyBorder="1" applyAlignment="1">
      <alignment vertical="top"/>
    </xf>
    <xf numFmtId="0" fontId="11" fillId="0" borderId="0" xfId="0" applyFont="1" applyFill="1" applyAlignment="1">
      <alignment vertical="top"/>
    </xf>
    <xf numFmtId="0" fontId="5" fillId="0" borderId="0" xfId="0" applyFont="1" applyFill="1" applyAlignment="1">
      <alignment vertical="top"/>
    </xf>
    <xf numFmtId="0" fontId="11" fillId="0" borderId="14" xfId="0" applyFont="1" applyFill="1" applyBorder="1" applyAlignment="1">
      <alignment horizontal="left" vertical="center" wrapText="1"/>
    </xf>
    <xf numFmtId="0" fontId="11" fillId="0" borderId="14" xfId="0" applyFont="1" applyFill="1" applyBorder="1" applyAlignment="1" applyProtection="1">
      <alignment horizontal="left" vertical="center"/>
    </xf>
    <xf numFmtId="0" fontId="21" fillId="0" borderId="14" xfId="0" applyFont="1" applyFill="1" applyBorder="1" applyAlignment="1" applyProtection="1">
      <alignment horizontal="left" vertical="center"/>
    </xf>
    <xf numFmtId="0" fontId="29" fillId="0" borderId="10" xfId="0" applyFont="1" applyFill="1" applyBorder="1" applyAlignment="1">
      <alignment vertical="top"/>
    </xf>
    <xf numFmtId="0" fontId="29" fillId="0" borderId="0" xfId="0" applyFont="1" applyFill="1" applyAlignment="1">
      <alignment vertical="top"/>
    </xf>
    <xf numFmtId="0" fontId="30" fillId="0" borderId="0" xfId="0" applyFont="1" applyFill="1" applyAlignment="1">
      <alignment vertical="top"/>
    </xf>
    <xf numFmtId="0" fontId="18" fillId="0" borderId="14" xfId="0" applyFont="1" applyFill="1" applyBorder="1" applyAlignment="1">
      <alignment horizontal="left" vertical="center" wrapText="1"/>
    </xf>
    <xf numFmtId="0" fontId="18" fillId="0" borderId="14" xfId="0" applyFont="1" applyFill="1" applyBorder="1" applyAlignment="1" applyProtection="1">
      <alignment vertical="center"/>
    </xf>
    <xf numFmtId="0" fontId="25" fillId="0" borderId="14" xfId="0" applyFont="1" applyFill="1" applyBorder="1" applyAlignment="1" applyProtection="1">
      <alignment vertical="center"/>
    </xf>
    <xf numFmtId="0" fontId="11" fillId="0" borderId="10" xfId="0" applyFont="1" applyFill="1" applyBorder="1" applyAlignment="1">
      <alignment vertical="center" wrapText="1"/>
    </xf>
    <xf numFmtId="0" fontId="21" fillId="0" borderId="10" xfId="0" applyFont="1" applyFill="1" applyBorder="1" applyAlignment="1">
      <alignment vertical="center" wrapText="1"/>
    </xf>
    <xf numFmtId="0" fontId="11" fillId="0" borderId="10" xfId="0" applyFont="1" applyFill="1" applyBorder="1" applyAlignment="1">
      <alignment horizontal="left" vertical="center" wrapText="1"/>
    </xf>
    <xf numFmtId="0" fontId="11" fillId="0" borderId="10" xfId="0" applyFont="1" applyFill="1" applyBorder="1" applyAlignment="1">
      <alignment horizontal="left" vertical="top" wrapText="1"/>
    </xf>
    <xf numFmtId="0" fontId="11" fillId="0" borderId="10" xfId="0" applyFont="1" applyFill="1" applyBorder="1" applyAlignment="1" applyProtection="1">
      <alignment horizontal="center" vertical="center"/>
    </xf>
    <xf numFmtId="0" fontId="11" fillId="0" borderId="10" xfId="0" applyFont="1" applyFill="1" applyBorder="1" applyAlignment="1" applyProtection="1">
      <alignment vertical="center" wrapText="1"/>
    </xf>
    <xf numFmtId="0" fontId="22" fillId="0" borderId="10" xfId="0" applyFont="1" applyFill="1" applyBorder="1" applyAlignment="1" applyProtection="1">
      <alignment horizontal="center" vertical="center" wrapText="1"/>
    </xf>
    <xf numFmtId="0" fontId="11" fillId="0" borderId="10" xfId="0" applyFont="1" applyFill="1" applyBorder="1" applyAlignment="1" applyProtection="1">
      <alignment vertical="top" wrapText="1"/>
    </xf>
    <xf numFmtId="0" fontId="11" fillId="0" borderId="0" xfId="0" applyFont="1" applyFill="1" applyAlignment="1" applyProtection="1">
      <alignment vertical="top"/>
    </xf>
    <xf numFmtId="0" fontId="11" fillId="0" borderId="10" xfId="0" applyFont="1" applyFill="1" applyBorder="1" applyAlignment="1" applyProtection="1">
      <alignment vertical="top"/>
    </xf>
    <xf numFmtId="0" fontId="31" fillId="0" borderId="10" xfId="0" applyFont="1" applyFill="1" applyBorder="1" applyAlignment="1" applyProtection="1">
      <alignment vertical="top"/>
    </xf>
    <xf numFmtId="0" fontId="5" fillId="0" borderId="10" xfId="0" applyFont="1" applyFill="1" applyBorder="1" applyAlignment="1" applyProtection="1">
      <alignment vertical="top"/>
    </xf>
    <xf numFmtId="0" fontId="32" fillId="33" borderId="10" xfId="0" applyFont="1" applyFill="1" applyBorder="1" applyAlignment="1">
      <alignment horizontal="center" vertical="center" wrapText="1"/>
    </xf>
    <xf numFmtId="0" fontId="33" fillId="34" borderId="20" xfId="0" applyFont="1" applyFill="1" applyBorder="1" applyAlignment="1">
      <alignment horizontal="center" vertical="center" wrapText="1"/>
    </xf>
    <xf numFmtId="0" fontId="33" fillId="34" borderId="23" xfId="0" applyFont="1" applyFill="1" applyBorder="1" applyAlignment="1">
      <alignment horizontal="center" vertical="center" wrapText="1"/>
    </xf>
    <xf numFmtId="0" fontId="32" fillId="34" borderId="10" xfId="0" applyFont="1" applyFill="1" applyBorder="1" applyAlignment="1">
      <alignment horizontal="center" vertical="center" wrapText="1"/>
    </xf>
    <xf numFmtId="9" fontId="11" fillId="0" borderId="10" xfId="0" applyNumberFormat="1" applyFont="1" applyFill="1" applyBorder="1" applyAlignment="1" applyProtection="1">
      <alignment horizontal="center" vertical="center"/>
    </xf>
    <xf numFmtId="0" fontId="33" fillId="34" borderId="26" xfId="0" applyFont="1" applyFill="1" applyBorder="1" applyAlignment="1">
      <alignment horizontal="center" vertical="center" wrapText="1"/>
    </xf>
    <xf numFmtId="0" fontId="33" fillId="34" borderId="10" xfId="0" applyFont="1" applyFill="1" applyBorder="1" applyAlignment="1">
      <alignment horizontal="center" vertical="center" wrapText="1"/>
    </xf>
    <xf numFmtId="0" fontId="33" fillId="34" borderId="30" xfId="0" applyFont="1" applyFill="1" applyBorder="1" applyAlignment="1">
      <alignment horizontal="center" vertical="center" wrapText="1"/>
    </xf>
    <xf numFmtId="0" fontId="32" fillId="33" borderId="11" xfId="0" applyFont="1" applyFill="1" applyBorder="1" applyAlignment="1">
      <alignment horizontal="center" vertical="center" wrapText="1"/>
    </xf>
    <xf numFmtId="9" fontId="32" fillId="33" borderId="10" xfId="1" applyFont="1" applyFill="1" applyBorder="1" applyAlignment="1">
      <alignment horizontal="center" vertical="center" wrapText="1"/>
    </xf>
    <xf numFmtId="0" fontId="11" fillId="0" borderId="10" xfId="0" applyFont="1" applyFill="1" applyBorder="1" applyAlignment="1" applyProtection="1">
      <alignment horizontal="center" vertical="center" wrapText="1"/>
    </xf>
    <xf numFmtId="0" fontId="34" fillId="0" borderId="11" xfId="0" applyFont="1" applyFill="1" applyBorder="1" applyAlignment="1" applyProtection="1">
      <alignment horizontal="center" vertical="center" wrapText="1"/>
    </xf>
    <xf numFmtId="0" fontId="11" fillId="0" borderId="11" xfId="0" applyFont="1" applyFill="1" applyBorder="1" applyAlignment="1" applyProtection="1">
      <alignment vertical="center" wrapText="1"/>
    </xf>
    <xf numFmtId="0" fontId="11" fillId="0" borderId="11" xfId="0" applyFont="1" applyFill="1" applyBorder="1" applyAlignment="1" applyProtection="1">
      <alignment horizontal="center" vertical="center" wrapText="1"/>
    </xf>
    <xf numFmtId="0" fontId="18" fillId="0" borderId="10" xfId="0" applyFont="1" applyFill="1" applyBorder="1" applyAlignment="1" applyProtection="1">
      <alignment horizontal="center" vertical="center"/>
    </xf>
    <xf numFmtId="0" fontId="11" fillId="0" borderId="32" xfId="0" applyFont="1" applyFill="1" applyBorder="1" applyAlignment="1" applyProtection="1">
      <alignment horizontal="center" vertical="center"/>
    </xf>
    <xf numFmtId="0" fontId="21" fillId="0" borderId="32" xfId="0" applyFont="1" applyFill="1" applyBorder="1" applyAlignment="1" applyProtection="1">
      <alignment vertical="center"/>
    </xf>
    <xf numFmtId="0" fontId="11" fillId="0" borderId="32" xfId="0" applyFont="1" applyFill="1" applyBorder="1" applyAlignment="1" applyProtection="1">
      <alignment vertical="center"/>
    </xf>
    <xf numFmtId="0" fontId="11" fillId="0" borderId="36" xfId="0" applyFont="1" applyFill="1" applyBorder="1" applyAlignment="1" applyProtection="1">
      <alignment horizontal="center" vertical="center"/>
    </xf>
    <xf numFmtId="0" fontId="21" fillId="0" borderId="36" xfId="0" applyFont="1" applyFill="1" applyBorder="1" applyAlignment="1" applyProtection="1">
      <alignment vertical="center"/>
    </xf>
    <xf numFmtId="0" fontId="11" fillId="0" borderId="36" xfId="0" applyFont="1" applyFill="1" applyBorder="1" applyAlignment="1" applyProtection="1">
      <alignment vertical="center"/>
    </xf>
    <xf numFmtId="14" fontId="11" fillId="0" borderId="40" xfId="0" applyNumberFormat="1" applyFont="1" applyFill="1" applyBorder="1" applyAlignment="1" applyProtection="1">
      <alignment horizontal="center" vertical="center"/>
    </xf>
    <xf numFmtId="0" fontId="21" fillId="0" borderId="40" xfId="0" applyFont="1" applyFill="1" applyBorder="1" applyAlignment="1" applyProtection="1">
      <alignment vertical="center"/>
    </xf>
    <xf numFmtId="0" fontId="11" fillId="0" borderId="40" xfId="0" applyFont="1" applyFill="1" applyBorder="1" applyAlignment="1" applyProtection="1">
      <alignment vertical="center"/>
    </xf>
    <xf numFmtId="0" fontId="11" fillId="0" borderId="0" xfId="0" applyFont="1" applyFill="1" applyAlignment="1" applyProtection="1">
      <alignment horizontal="left" vertical="center"/>
    </xf>
    <xf numFmtId="0" fontId="22" fillId="0" borderId="0" xfId="0" applyFont="1" applyFill="1" applyAlignment="1" applyProtection="1">
      <alignment horizontal="center" vertical="center" wrapText="1"/>
    </xf>
    <xf numFmtId="0" fontId="5" fillId="0" borderId="0" xfId="0" applyFont="1" applyFill="1" applyAlignment="1" applyProtection="1">
      <alignment horizontal="center" vertical="top"/>
    </xf>
    <xf numFmtId="0" fontId="5" fillId="0" borderId="0" xfId="0" applyFont="1" applyFill="1" applyAlignment="1" applyProtection="1">
      <alignment vertical="top" wrapText="1"/>
    </xf>
    <xf numFmtId="0" fontId="36" fillId="0" borderId="0" xfId="0" applyFont="1" applyFill="1" applyAlignment="1" applyProtection="1">
      <alignment vertical="top"/>
    </xf>
    <xf numFmtId="0" fontId="24" fillId="0" borderId="0" xfId="0" applyFont="1" applyFill="1" applyAlignment="1" applyProtection="1">
      <alignment horizontal="center" vertical="center" wrapText="1"/>
    </xf>
    <xf numFmtId="0" fontId="288" fillId="106" borderId="0" xfId="51130" applyFont="1" applyFill="1" applyAlignment="1">
      <alignment vertical="center"/>
    </xf>
    <xf numFmtId="0" fontId="290" fillId="106" borderId="0" xfId="51131" applyNumberFormat="1" applyFont="1" applyFill="1" applyBorder="1" applyAlignment="1"/>
    <xf numFmtId="0" fontId="290" fillId="106" borderId="75" xfId="51131" applyNumberFormat="1" applyFont="1" applyFill="1" applyBorder="1" applyAlignment="1"/>
    <xf numFmtId="0" fontId="290" fillId="106" borderId="62" xfId="51131" applyNumberFormat="1" applyFont="1" applyFill="1" applyBorder="1" applyAlignment="1"/>
    <xf numFmtId="0" fontId="290" fillId="106" borderId="76" xfId="51131" applyNumberFormat="1" applyFont="1" applyFill="1" applyBorder="1" applyAlignment="1"/>
    <xf numFmtId="0" fontId="290" fillId="106" borderId="77" xfId="51131" applyNumberFormat="1" applyFont="1" applyFill="1" applyBorder="1" applyAlignment="1"/>
    <xf numFmtId="0" fontId="290" fillId="106" borderId="78" xfId="51131" applyNumberFormat="1" applyFont="1" applyFill="1" applyBorder="1" applyAlignment="1"/>
    <xf numFmtId="0" fontId="288" fillId="106" borderId="77" xfId="51130" applyFont="1" applyFill="1" applyBorder="1" applyAlignment="1">
      <alignment vertical="center"/>
    </xf>
    <xf numFmtId="0" fontId="288" fillId="106" borderId="0" xfId="51130" applyFont="1" applyFill="1" applyBorder="1" applyAlignment="1">
      <alignment vertical="center"/>
    </xf>
    <xf numFmtId="0" fontId="293" fillId="106" borderId="77" xfId="51131" applyNumberFormat="1" applyFont="1" applyFill="1" applyBorder="1" applyAlignment="1">
      <alignment horizontal="center"/>
    </xf>
    <xf numFmtId="0" fontId="292" fillId="106" borderId="0" xfId="51130" applyNumberFormat="1" applyFont="1" applyFill="1" applyBorder="1" applyAlignment="1">
      <alignment horizontal="right" vertical="center"/>
    </xf>
    <xf numFmtId="0" fontId="288" fillId="106" borderId="78" xfId="51130" applyFont="1" applyFill="1" applyBorder="1" applyAlignment="1">
      <alignment vertical="center"/>
    </xf>
    <xf numFmtId="0" fontId="295" fillId="106" borderId="0" xfId="51131" applyNumberFormat="1" applyFont="1" applyFill="1" applyBorder="1" applyAlignment="1"/>
    <xf numFmtId="0" fontId="290" fillId="106" borderId="79" xfId="51131" applyNumberFormat="1" applyFont="1" applyFill="1" applyBorder="1" applyAlignment="1"/>
    <xf numFmtId="0" fontId="290" fillId="106" borderId="59" xfId="51131" applyNumberFormat="1" applyFont="1" applyFill="1" applyBorder="1" applyAlignment="1"/>
    <xf numFmtId="0" fontId="290" fillId="106" borderId="80" xfId="51131" applyNumberFormat="1" applyFont="1" applyFill="1" applyBorder="1" applyAlignment="1"/>
    <xf numFmtId="0" fontId="296" fillId="0" borderId="0" xfId="51134" applyFont="1" applyAlignment="1">
      <alignment vertical="center"/>
    </xf>
    <xf numFmtId="0" fontId="297" fillId="0" borderId="0" xfId="51134" applyFont="1" applyAlignment="1">
      <alignment vertical="center"/>
    </xf>
    <xf numFmtId="0" fontId="298" fillId="0" borderId="0" xfId="51134" applyFont="1" applyAlignment="1">
      <alignment vertical="center"/>
    </xf>
    <xf numFmtId="0" fontId="299" fillId="0" borderId="0" xfId="51134" applyFont="1" applyAlignment="1">
      <alignment vertical="center"/>
    </xf>
    <xf numFmtId="0" fontId="300" fillId="0" borderId="0" xfId="51134" applyFont="1" applyAlignment="1">
      <alignment vertical="center"/>
    </xf>
    <xf numFmtId="0" fontId="304" fillId="0" borderId="0" xfId="51134" applyFont="1" applyAlignment="1">
      <alignment vertical="center"/>
    </xf>
    <xf numFmtId="0" fontId="299" fillId="0" borderId="14" xfId="51134" applyFont="1" applyBorder="1" applyAlignment="1">
      <alignment horizontal="center" vertical="center"/>
    </xf>
    <xf numFmtId="0" fontId="303" fillId="0" borderId="14" xfId="22416" applyFont="1" applyBorder="1" applyAlignment="1">
      <alignment horizontal="center" vertical="top" wrapText="1"/>
    </xf>
    <xf numFmtId="9" fontId="306" fillId="0" borderId="14" xfId="51132" applyNumberFormat="1" applyFont="1" applyBorder="1" applyAlignment="1">
      <alignment horizontal="center" vertical="center"/>
    </xf>
    <xf numFmtId="0" fontId="299" fillId="0" borderId="10" xfId="51134" applyFont="1" applyBorder="1" applyAlignment="1">
      <alignment horizontal="center" vertical="center"/>
    </xf>
    <xf numFmtId="0" fontId="303" fillId="0" borderId="10" xfId="22416" applyFont="1" applyBorder="1" applyAlignment="1">
      <alignment horizontal="center" vertical="top" wrapText="1"/>
    </xf>
    <xf numFmtId="9" fontId="306" fillId="0" borderId="10" xfId="51132" applyNumberFormat="1" applyFont="1" applyBorder="1" applyAlignment="1">
      <alignment horizontal="center" vertical="center"/>
    </xf>
    <xf numFmtId="0" fontId="297" fillId="0" borderId="0" xfId="51134" applyFont="1" applyBorder="1" applyAlignment="1">
      <alignment vertical="center"/>
    </xf>
    <xf numFmtId="0" fontId="311" fillId="0" borderId="0" xfId="22416" applyFont="1" applyBorder="1" applyAlignment="1">
      <alignment vertical="top" wrapText="1"/>
    </xf>
    <xf numFmtId="0" fontId="312" fillId="0" borderId="0" xfId="22416" applyFont="1" applyBorder="1" applyAlignment="1">
      <alignment horizontal="center" vertical="center" wrapText="1"/>
    </xf>
    <xf numFmtId="0" fontId="297" fillId="0" borderId="0" xfId="51134" applyFont="1" applyBorder="1" applyAlignment="1">
      <alignment horizontal="center" vertical="center"/>
    </xf>
    <xf numFmtId="0" fontId="304" fillId="0" borderId="0" xfId="51134" applyFont="1" applyAlignment="1">
      <alignment vertical="center" wrapText="1"/>
    </xf>
    <xf numFmtId="0" fontId="297" fillId="0" borderId="0" xfId="51134" applyFont="1" applyAlignment="1">
      <alignment horizontal="right" vertical="center"/>
    </xf>
    <xf numFmtId="0" fontId="297" fillId="0" borderId="0" xfId="51134" applyFont="1" applyAlignment="1">
      <alignment horizontal="left" vertical="center"/>
    </xf>
    <xf numFmtId="0" fontId="316" fillId="0" borderId="0" xfId="51134" applyFont="1" applyAlignment="1">
      <alignment vertical="center"/>
    </xf>
    <xf numFmtId="0" fontId="317" fillId="0" borderId="0" xfId="51133" applyFont="1" applyFill="1" applyAlignment="1">
      <alignment horizontal="center" vertical="center"/>
    </xf>
    <xf numFmtId="0" fontId="317" fillId="0" borderId="0" xfId="51133" applyFont="1" applyFill="1" applyAlignment="1">
      <alignment horizontal="left" vertical="center"/>
    </xf>
    <xf numFmtId="0" fontId="318" fillId="106" borderId="0" xfId="42256" applyFont="1" applyFill="1" applyBorder="1" applyAlignment="1">
      <alignment horizontal="center" vertical="center"/>
    </xf>
    <xf numFmtId="0" fontId="319" fillId="106" borderId="0" xfId="42256" applyFont="1" applyFill="1" applyBorder="1" applyAlignment="1">
      <alignment horizontal="center" vertical="center"/>
    </xf>
    <xf numFmtId="0" fontId="320" fillId="106" borderId="0" xfId="51133" applyFont="1" applyFill="1" applyBorder="1" applyAlignment="1">
      <alignment horizontal="center" vertical="center"/>
    </xf>
    <xf numFmtId="9" fontId="320" fillId="106" borderId="0" xfId="26290" applyFont="1" applyFill="1" applyBorder="1" applyAlignment="1">
      <alignment horizontal="center" vertical="center"/>
    </xf>
    <xf numFmtId="0" fontId="320" fillId="0" borderId="0" xfId="51133" applyFont="1" applyFill="1" applyBorder="1" applyAlignment="1">
      <alignment horizontal="center" vertical="center"/>
    </xf>
    <xf numFmtId="9" fontId="320" fillId="0" borderId="0" xfId="26290" applyFont="1" applyFill="1" applyBorder="1" applyAlignment="1">
      <alignment horizontal="center" vertical="center"/>
    </xf>
    <xf numFmtId="0" fontId="321" fillId="108" borderId="10" xfId="51133" applyFont="1" applyFill="1" applyBorder="1" applyAlignment="1">
      <alignment horizontal="center" vertical="center"/>
    </xf>
    <xf numFmtId="0" fontId="322" fillId="0" borderId="0" xfId="51133" applyFont="1" applyFill="1" applyAlignment="1">
      <alignment horizontal="center" vertical="center"/>
    </xf>
    <xf numFmtId="0" fontId="323" fillId="0" borderId="10" xfId="51133" applyFont="1" applyFill="1" applyBorder="1" applyAlignment="1">
      <alignment horizontal="center" vertical="center" wrapText="1"/>
    </xf>
    <xf numFmtId="0" fontId="317" fillId="0" borderId="10" xfId="51133" quotePrefix="1" applyFont="1" applyFill="1" applyBorder="1" applyAlignment="1">
      <alignment horizontal="left" vertical="center" wrapText="1"/>
    </xf>
    <xf numFmtId="0" fontId="317" fillId="0" borderId="10" xfId="51133" applyFont="1" applyFill="1" applyBorder="1" applyAlignment="1">
      <alignment horizontal="left" vertical="center" wrapText="1"/>
    </xf>
    <xf numFmtId="0" fontId="317" fillId="0" borderId="10" xfId="51075" quotePrefix="1" applyFont="1" applyFill="1" applyBorder="1" applyAlignment="1" applyProtection="1">
      <alignment horizontal="left" vertical="center" wrapText="1"/>
    </xf>
    <xf numFmtId="0" fontId="317" fillId="0" borderId="10" xfId="51133" applyFont="1" applyFill="1" applyBorder="1" applyAlignment="1">
      <alignment horizontal="center" vertical="center" wrapText="1"/>
    </xf>
    <xf numFmtId="49" fontId="321" fillId="0" borderId="10" xfId="51133" applyNumberFormat="1" applyFont="1" applyFill="1" applyBorder="1" applyAlignment="1">
      <alignment horizontal="center" vertical="center" wrapText="1"/>
    </xf>
    <xf numFmtId="0" fontId="317" fillId="0" borderId="10" xfId="51075" applyFont="1" applyFill="1" applyBorder="1" applyAlignment="1" applyProtection="1">
      <alignment horizontal="left" vertical="center" wrapText="1"/>
    </xf>
    <xf numFmtId="49" fontId="317" fillId="0" borderId="10" xfId="51133" applyNumberFormat="1" applyFont="1" applyFill="1" applyBorder="1" applyAlignment="1">
      <alignment horizontal="center" vertical="center"/>
    </xf>
    <xf numFmtId="14" fontId="317" fillId="0" borderId="10" xfId="51133" applyNumberFormat="1" applyFont="1" applyFill="1" applyBorder="1" applyAlignment="1">
      <alignment horizontal="center" vertical="center" wrapText="1"/>
    </xf>
    <xf numFmtId="0" fontId="317" fillId="0" borderId="10" xfId="51133" applyFont="1" applyFill="1" applyBorder="1" applyAlignment="1">
      <alignment horizontal="center" vertical="center"/>
    </xf>
    <xf numFmtId="49" fontId="321" fillId="0" borderId="10" xfId="51133" applyNumberFormat="1" applyFont="1" applyFill="1" applyBorder="1" applyAlignment="1">
      <alignment horizontal="center" vertical="center"/>
    </xf>
    <xf numFmtId="0" fontId="323" fillId="0" borderId="10" xfId="51133" applyFont="1" applyFill="1" applyBorder="1" applyAlignment="1">
      <alignment horizontal="center" vertical="top" wrapText="1"/>
    </xf>
    <xf numFmtId="0" fontId="317" fillId="0" borderId="10" xfId="38258" applyFont="1" applyBorder="1" applyAlignment="1">
      <alignment horizontal="left" vertical="center" wrapText="1"/>
    </xf>
    <xf numFmtId="0" fontId="317" fillId="106" borderId="10" xfId="51133" applyFont="1" applyFill="1" applyBorder="1" applyAlignment="1">
      <alignment horizontal="left" vertical="center" wrapText="1"/>
    </xf>
    <xf numFmtId="0" fontId="317" fillId="106" borderId="10" xfId="51133" applyFont="1" applyFill="1" applyBorder="1" applyAlignment="1">
      <alignment horizontal="center" vertical="center" wrapText="1"/>
    </xf>
    <xf numFmtId="49" fontId="317" fillId="106" borderId="10" xfId="51133" applyNumberFormat="1" applyFont="1" applyFill="1" applyBorder="1" applyAlignment="1">
      <alignment horizontal="center" vertical="center"/>
    </xf>
    <xf numFmtId="0" fontId="317" fillId="106" borderId="10" xfId="51075" applyFont="1" applyFill="1" applyBorder="1" applyAlignment="1" applyProtection="1">
      <alignment horizontal="left" vertical="center" wrapText="1"/>
    </xf>
    <xf numFmtId="0" fontId="317" fillId="0" borderId="10" xfId="51133" applyFont="1" applyFill="1" applyBorder="1" applyAlignment="1">
      <alignment horizontal="center" vertical="top" wrapText="1"/>
    </xf>
    <xf numFmtId="0" fontId="291" fillId="106" borderId="10" xfId="51130" applyNumberFormat="1" applyFont="1" applyFill="1" applyBorder="1" applyAlignment="1">
      <alignment horizontal="center" vertical="center" wrapText="1"/>
    </xf>
    <xf numFmtId="0" fontId="292" fillId="106" borderId="10" xfId="51130" applyNumberFormat="1" applyFont="1" applyFill="1" applyBorder="1" applyAlignment="1">
      <alignment horizontal="center" vertical="center" wrapText="1"/>
    </xf>
    <xf numFmtId="0" fontId="294" fillId="106" borderId="77" xfId="51131" applyNumberFormat="1" applyFont="1" applyFill="1" applyBorder="1" applyAlignment="1">
      <alignment horizontal="center"/>
    </xf>
    <xf numFmtId="0" fontId="294" fillId="106" borderId="0" xfId="51131" applyNumberFormat="1" applyFont="1" applyFill="1" applyBorder="1" applyAlignment="1">
      <alignment horizontal="center"/>
    </xf>
    <xf numFmtId="0" fontId="294" fillId="106" borderId="78" xfId="51131" applyNumberFormat="1" applyFont="1" applyFill="1" applyBorder="1" applyAlignment="1">
      <alignment horizontal="center"/>
    </xf>
    <xf numFmtId="0" fontId="291" fillId="106" borderId="77" xfId="51131" applyNumberFormat="1" applyFont="1" applyFill="1" applyBorder="1" applyAlignment="1">
      <alignment horizontal="center"/>
    </xf>
    <xf numFmtId="0" fontId="291" fillId="106" borderId="0" xfId="51131" applyNumberFormat="1" applyFont="1" applyFill="1" applyBorder="1" applyAlignment="1">
      <alignment horizontal="center"/>
    </xf>
    <xf numFmtId="0" fontId="291" fillId="106" borderId="78" xfId="51131" applyNumberFormat="1" applyFont="1" applyFill="1" applyBorder="1" applyAlignment="1">
      <alignment horizontal="center"/>
    </xf>
    <xf numFmtId="0" fontId="302" fillId="0" borderId="11" xfId="51134" applyFont="1" applyBorder="1" applyAlignment="1">
      <alignment horizontal="center" vertical="center"/>
    </xf>
    <xf numFmtId="0" fontId="302" fillId="0" borderId="12" xfId="51134" applyFont="1" applyBorder="1" applyAlignment="1">
      <alignment horizontal="center" vertical="center"/>
    </xf>
    <xf numFmtId="0" fontId="301" fillId="107" borderId="81" xfId="51134" applyFont="1" applyFill="1" applyBorder="1" applyAlignment="1">
      <alignment horizontal="center" vertical="center"/>
    </xf>
    <xf numFmtId="0" fontId="301" fillId="107" borderId="82" xfId="51134" applyFont="1" applyFill="1" applyBorder="1" applyAlignment="1">
      <alignment horizontal="center" vertical="center"/>
    </xf>
    <xf numFmtId="0" fontId="302" fillId="0" borderId="13" xfId="51134" applyFont="1" applyBorder="1" applyAlignment="1">
      <alignment horizontal="center" vertical="center"/>
    </xf>
    <xf numFmtId="0" fontId="301" fillId="107" borderId="10" xfId="51134" applyFont="1" applyFill="1" applyBorder="1" applyAlignment="1">
      <alignment horizontal="center" vertical="center"/>
    </xf>
    <xf numFmtId="234" fontId="302" fillId="0" borderId="10" xfId="51134" quotePrefix="1" applyNumberFormat="1" applyFont="1" applyFill="1" applyBorder="1" applyAlignment="1">
      <alignment horizontal="center" vertical="center"/>
    </xf>
    <xf numFmtId="234" fontId="302" fillId="0" borderId="10" xfId="51134" applyNumberFormat="1" applyFont="1" applyFill="1" applyBorder="1" applyAlignment="1">
      <alignment horizontal="center" vertical="center"/>
    </xf>
    <xf numFmtId="0" fontId="303" fillId="100" borderId="10" xfId="51134" applyFont="1" applyFill="1" applyBorder="1" applyAlignment="1">
      <alignment horizontal="center" vertical="center"/>
    </xf>
    <xf numFmtId="0" fontId="303" fillId="100" borderId="11" xfId="51134" applyFont="1" applyFill="1" applyBorder="1" applyAlignment="1">
      <alignment horizontal="center" vertical="center"/>
    </xf>
    <xf numFmtId="0" fontId="303" fillId="100" borderId="13" xfId="51134" applyFont="1" applyFill="1" applyBorder="1" applyAlignment="1">
      <alignment horizontal="center" vertical="center"/>
    </xf>
    <xf numFmtId="0" fontId="303" fillId="100" borderId="12" xfId="51134" applyFont="1" applyFill="1" applyBorder="1" applyAlignment="1">
      <alignment horizontal="center" vertical="center"/>
    </xf>
    <xf numFmtId="49" fontId="303" fillId="100" borderId="11" xfId="51134" applyNumberFormat="1" applyFont="1" applyFill="1" applyBorder="1" applyAlignment="1">
      <alignment horizontal="center" vertical="center" wrapText="1"/>
    </xf>
    <xf numFmtId="49" fontId="303" fillId="100" borderId="13" xfId="51134" applyNumberFormat="1" applyFont="1" applyFill="1" applyBorder="1" applyAlignment="1">
      <alignment horizontal="center" vertical="center" wrapText="1"/>
    </xf>
    <xf numFmtId="49" fontId="303" fillId="100" borderId="12" xfId="51134" applyNumberFormat="1" applyFont="1" applyFill="1" applyBorder="1" applyAlignment="1">
      <alignment horizontal="center" vertical="center" wrapText="1"/>
    </xf>
    <xf numFmtId="49" fontId="303" fillId="100" borderId="10" xfId="51134" applyNumberFormat="1" applyFont="1" applyFill="1" applyBorder="1" applyAlignment="1">
      <alignment horizontal="center" vertical="center" wrapText="1"/>
    </xf>
    <xf numFmtId="0" fontId="305" fillId="0" borderId="11" xfId="51132" applyNumberFormat="1" applyFont="1" applyBorder="1" applyAlignment="1">
      <alignment horizontal="center" vertical="top" wrapText="1"/>
    </xf>
    <xf numFmtId="0" fontId="305" fillId="0" borderId="13" xfId="51132" applyNumberFormat="1" applyFont="1" applyBorder="1" applyAlignment="1">
      <alignment horizontal="center" vertical="top" wrapText="1"/>
    </xf>
    <xf numFmtId="0" fontId="305" fillId="0" borderId="12" xfId="51132" applyNumberFormat="1" applyFont="1" applyBorder="1" applyAlignment="1">
      <alignment horizontal="center" vertical="top" wrapText="1"/>
    </xf>
    <xf numFmtId="195" fontId="305" fillId="0" borderId="11" xfId="22416" applyNumberFormat="1" applyFont="1" applyBorder="1" applyAlignment="1">
      <alignment horizontal="center" vertical="top" wrapText="1"/>
    </xf>
    <xf numFmtId="195" fontId="305" fillId="0" borderId="13" xfId="22416" applyNumberFormat="1" applyFont="1" applyBorder="1" applyAlignment="1">
      <alignment horizontal="center" vertical="top" wrapText="1"/>
    </xf>
    <xf numFmtId="195" fontId="305" fillId="0" borderId="12" xfId="22416" applyNumberFormat="1" applyFont="1" applyBorder="1" applyAlignment="1">
      <alignment horizontal="center" vertical="top" wrapText="1"/>
    </xf>
    <xf numFmtId="220" fontId="306" fillId="0" borderId="14" xfId="21654" applyNumberFormat="1" applyFont="1" applyBorder="1" applyAlignment="1">
      <alignment horizontal="center" vertical="center"/>
    </xf>
    <xf numFmtId="9" fontId="305" fillId="0" borderId="11" xfId="51132" applyNumberFormat="1" applyFont="1" applyBorder="1" applyAlignment="1">
      <alignment horizontal="center" vertical="top" wrapText="1"/>
    </xf>
    <xf numFmtId="0" fontId="307" fillId="46" borderId="10" xfId="51134" applyFont="1" applyFill="1" applyBorder="1" applyAlignment="1">
      <alignment horizontal="center" vertical="center"/>
    </xf>
    <xf numFmtId="235" fontId="306" fillId="46" borderId="10" xfId="51134" applyNumberFormat="1" applyFont="1" applyFill="1" applyBorder="1" applyAlignment="1">
      <alignment horizontal="center" vertical="center"/>
    </xf>
    <xf numFmtId="0" fontId="306" fillId="46" borderId="11" xfId="51134" applyFont="1" applyFill="1" applyBorder="1" applyAlignment="1">
      <alignment horizontal="center" vertical="center"/>
    </xf>
    <xf numFmtId="0" fontId="306" fillId="46" borderId="12" xfId="51134" applyFont="1" applyFill="1" applyBorder="1" applyAlignment="1">
      <alignment horizontal="center" vertical="center"/>
    </xf>
    <xf numFmtId="236" fontId="310" fillId="46" borderId="10" xfId="51132" applyNumberFormat="1" applyFont="1" applyFill="1" applyBorder="1" applyAlignment="1">
      <alignment horizontal="center" vertical="center"/>
    </xf>
    <xf numFmtId="0" fontId="308" fillId="0" borderId="11" xfId="22416" applyFont="1" applyBorder="1" applyAlignment="1">
      <alignment horizontal="center" vertical="center" wrapText="1"/>
    </xf>
    <xf numFmtId="0" fontId="308" fillId="0" borderId="13" xfId="22416" applyFont="1" applyBorder="1" applyAlignment="1">
      <alignment horizontal="center" vertical="center" wrapText="1"/>
    </xf>
    <xf numFmtId="0" fontId="308" fillId="0" borderId="12" xfId="22416" applyFont="1" applyBorder="1" applyAlignment="1">
      <alignment horizontal="center" vertical="center" wrapText="1"/>
    </xf>
    <xf numFmtId="0" fontId="303" fillId="0" borderId="11" xfId="22416" applyFont="1" applyBorder="1" applyAlignment="1">
      <alignment horizontal="center" vertical="top" wrapText="1"/>
    </xf>
    <xf numFmtId="0" fontId="303" fillId="0" borderId="12" xfId="22416" applyFont="1" applyBorder="1" applyAlignment="1">
      <alignment horizontal="center" vertical="top" wrapText="1"/>
    </xf>
    <xf numFmtId="0" fontId="305" fillId="0" borderId="11" xfId="22416" applyFont="1" applyBorder="1" applyAlignment="1">
      <alignment horizontal="center" vertical="center" wrapText="1"/>
    </xf>
    <xf numFmtId="0" fontId="305" fillId="0" borderId="13" xfId="22416" applyFont="1" applyBorder="1" applyAlignment="1">
      <alignment horizontal="center" vertical="center" wrapText="1"/>
    </xf>
    <xf numFmtId="0" fontId="305" fillId="0" borderId="12" xfId="22416" applyFont="1" applyBorder="1" applyAlignment="1">
      <alignment horizontal="center" vertical="center" wrapText="1"/>
    </xf>
    <xf numFmtId="0" fontId="313" fillId="0" borderId="10" xfId="22416" applyFont="1" applyBorder="1" applyAlignment="1">
      <alignment horizontal="center" vertical="top" wrapText="1"/>
    </xf>
    <xf numFmtId="0" fontId="314" fillId="0" borderId="11" xfId="22416" applyFont="1" applyBorder="1" applyAlignment="1">
      <alignment horizontal="center" vertical="center" wrapText="1"/>
    </xf>
    <xf numFmtId="0" fontId="314" fillId="0" borderId="13" xfId="22416" applyFont="1" applyBorder="1" applyAlignment="1">
      <alignment horizontal="center" vertical="center" wrapText="1"/>
    </xf>
    <xf numFmtId="0" fontId="314" fillId="0" borderId="12" xfId="22416" applyFont="1" applyBorder="1" applyAlignment="1">
      <alignment horizontal="center" vertical="center" wrapText="1"/>
    </xf>
    <xf numFmtId="0" fontId="298" fillId="0" borderId="0" xfId="51134" applyFont="1" applyAlignment="1">
      <alignment horizontal="center" vertical="center"/>
    </xf>
    <xf numFmtId="0" fontId="303" fillId="0" borderId="10" xfId="51134" applyFont="1" applyBorder="1" applyAlignment="1">
      <alignment horizontal="center" vertical="center"/>
    </xf>
    <xf numFmtId="0" fontId="299" fillId="0" borderId="10" xfId="51134" applyFont="1" applyBorder="1" applyAlignment="1">
      <alignment horizontal="center" vertical="center"/>
    </xf>
    <xf numFmtId="0" fontId="321" fillId="108" borderId="10" xfId="51133" applyFont="1" applyFill="1" applyBorder="1" applyAlignment="1">
      <alignment horizontal="center" vertical="center" wrapText="1"/>
    </xf>
    <xf numFmtId="0" fontId="321" fillId="108" borderId="10" xfId="51133" applyFont="1" applyFill="1" applyBorder="1" applyAlignment="1">
      <alignment horizontal="center" vertical="center"/>
    </xf>
    <xf numFmtId="0" fontId="11" fillId="0" borderId="15" xfId="0" applyFont="1" applyFill="1" applyBorder="1" applyAlignment="1" applyProtection="1">
      <alignment horizontal="center" vertical="center" wrapText="1"/>
    </xf>
    <xf numFmtId="0" fontId="11" fillId="0" borderId="36" xfId="0" applyFont="1" applyFill="1" applyBorder="1" applyAlignment="1" applyProtection="1">
      <alignment horizontal="center" vertical="center"/>
    </xf>
    <xf numFmtId="0" fontId="22" fillId="0" borderId="37" xfId="0" applyFont="1" applyFill="1" applyBorder="1" applyAlignment="1" applyProtection="1">
      <alignment horizontal="center" vertical="center" wrapText="1"/>
    </xf>
    <xf numFmtId="0" fontId="22" fillId="0" borderId="38" xfId="0" applyFont="1" applyFill="1" applyBorder="1" applyAlignment="1" applyProtection="1">
      <alignment horizontal="center" vertical="center" wrapText="1"/>
    </xf>
    <xf numFmtId="0" fontId="22" fillId="0" borderId="39" xfId="0" applyFont="1" applyFill="1" applyBorder="1" applyAlignment="1" applyProtection="1">
      <alignment horizontal="center" vertical="center" wrapText="1"/>
    </xf>
    <xf numFmtId="0" fontId="11" fillId="0" borderId="40" xfId="0" applyFont="1" applyFill="1" applyBorder="1" applyAlignment="1" applyProtection="1">
      <alignment horizontal="center" vertical="center"/>
    </xf>
    <xf numFmtId="0" fontId="22" fillId="0" borderId="41" xfId="0" applyFont="1" applyFill="1" applyBorder="1" applyAlignment="1" applyProtection="1">
      <alignment horizontal="center" vertical="center" wrapText="1"/>
    </xf>
    <xf numFmtId="0" fontId="22" fillId="0" borderId="42" xfId="0" applyFont="1" applyFill="1" applyBorder="1" applyAlignment="1" applyProtection="1">
      <alignment horizontal="center" vertical="center" wrapText="1"/>
    </xf>
    <xf numFmtId="0" fontId="22" fillId="0" borderId="43" xfId="0" applyFont="1" applyFill="1" applyBorder="1" applyAlignment="1" applyProtection="1">
      <alignment horizontal="center" vertical="center" wrapText="1"/>
    </xf>
    <xf numFmtId="0" fontId="11" fillId="0" borderId="31" xfId="0" applyFont="1" applyFill="1" applyBorder="1" applyAlignment="1" applyProtection="1">
      <alignment horizontal="center" vertical="center"/>
    </xf>
    <xf numFmtId="0" fontId="22" fillId="0" borderId="33" xfId="0" applyFont="1" applyFill="1" applyBorder="1" applyAlignment="1" applyProtection="1">
      <alignment horizontal="center" vertical="center" wrapText="1"/>
    </xf>
    <xf numFmtId="0" fontId="22" fillId="0" borderId="34" xfId="0" applyFont="1" applyFill="1" applyBorder="1" applyAlignment="1" applyProtection="1">
      <alignment horizontal="center" vertical="center" wrapText="1"/>
    </xf>
    <xf numFmtId="0" fontId="22" fillId="0" borderId="35" xfId="0" applyFont="1" applyFill="1" applyBorder="1" applyAlignment="1" applyProtection="1">
      <alignment horizontal="center" vertical="center" wrapText="1"/>
    </xf>
    <xf numFmtId="0" fontId="18" fillId="0" borderId="10" xfId="0" applyFont="1" applyFill="1" applyBorder="1" applyAlignment="1" applyProtection="1">
      <alignment horizontal="center" vertical="center"/>
    </xf>
    <xf numFmtId="0" fontId="33" fillId="34" borderId="28" xfId="0" applyFont="1" applyFill="1" applyBorder="1" applyAlignment="1">
      <alignment horizontal="center" vertical="center" wrapText="1"/>
    </xf>
    <xf numFmtId="0" fontId="33" fillId="34" borderId="29" xfId="0" applyFont="1" applyFill="1" applyBorder="1" applyAlignment="1">
      <alignment horizontal="center" vertical="center" wrapText="1"/>
    </xf>
    <xf numFmtId="0" fontId="32" fillId="34" borderId="11" xfId="0" applyFont="1" applyFill="1" applyBorder="1" applyAlignment="1">
      <alignment horizontal="center" vertical="center" wrapText="1"/>
    </xf>
    <xf numFmtId="0" fontId="32" fillId="34" borderId="12" xfId="0" applyFont="1" applyFill="1" applyBorder="1" applyAlignment="1">
      <alignment horizontal="center" vertical="center" wrapText="1"/>
    </xf>
    <xf numFmtId="0" fontId="32" fillId="33" borderId="11" xfId="0" applyFont="1" applyFill="1" applyBorder="1" applyAlignment="1">
      <alignment horizontal="center" vertical="center" wrapText="1"/>
    </xf>
    <xf numFmtId="0" fontId="32" fillId="33" borderId="13" xfId="0" applyFont="1" applyFill="1" applyBorder="1" applyAlignment="1">
      <alignment horizontal="center" vertical="center" wrapText="1"/>
    </xf>
    <xf numFmtId="0" fontId="32" fillId="33" borderId="12" xfId="0" applyFont="1" applyFill="1" applyBorder="1" applyAlignment="1">
      <alignment horizontal="center" vertical="center" wrapText="1"/>
    </xf>
    <xf numFmtId="0" fontId="32" fillId="33" borderId="10" xfId="0" applyFont="1" applyFill="1" applyBorder="1" applyAlignment="1">
      <alignment horizontal="center" vertical="center" wrapText="1"/>
    </xf>
    <xf numFmtId="0" fontId="25" fillId="0" borderId="10" xfId="0" applyFont="1" applyFill="1" applyBorder="1" applyAlignment="1" applyProtection="1">
      <alignment horizontal="center" vertical="center"/>
    </xf>
    <xf numFmtId="0" fontId="19" fillId="0" borderId="11" xfId="0" applyFont="1" applyFill="1" applyBorder="1" applyAlignment="1" applyProtection="1">
      <alignment horizontal="center" vertical="center" wrapText="1"/>
    </xf>
    <xf numFmtId="0" fontId="19" fillId="0" borderId="13" xfId="0" applyFont="1" applyFill="1" applyBorder="1" applyAlignment="1" applyProtection="1">
      <alignment horizontal="center" vertical="center" wrapText="1"/>
    </xf>
    <xf numFmtId="0" fontId="19" fillId="0" borderId="12" xfId="0" applyFont="1" applyFill="1" applyBorder="1" applyAlignment="1" applyProtection="1">
      <alignment horizontal="center" vertical="center" wrapText="1"/>
    </xf>
    <xf numFmtId="0" fontId="21" fillId="0" borderId="10" xfId="0" applyFont="1" applyFill="1" applyBorder="1" applyAlignment="1" applyProtection="1">
      <alignment horizontal="left" vertical="center" wrapText="1"/>
    </xf>
    <xf numFmtId="0" fontId="22" fillId="0" borderId="10" xfId="0" applyFont="1" applyFill="1" applyBorder="1" applyAlignment="1" applyProtection="1">
      <alignment horizontal="center" vertical="center" wrapText="1"/>
    </xf>
    <xf numFmtId="0" fontId="21" fillId="0" borderId="16" xfId="0" applyFont="1" applyFill="1" applyBorder="1" applyAlignment="1" applyProtection="1">
      <alignment horizontal="left" vertical="center" wrapText="1"/>
    </xf>
    <xf numFmtId="0" fontId="21" fillId="0" borderId="17" xfId="0" applyFont="1" applyFill="1" applyBorder="1" applyAlignment="1" applyProtection="1">
      <alignment horizontal="left" vertical="center" wrapText="1"/>
    </xf>
    <xf numFmtId="0" fontId="21" fillId="0" borderId="18" xfId="0" applyFont="1" applyFill="1" applyBorder="1" applyAlignment="1" applyProtection="1">
      <alignment horizontal="left" vertical="center" wrapText="1"/>
    </xf>
    <xf numFmtId="0" fontId="21" fillId="0" borderId="19" xfId="0" applyFont="1" applyFill="1" applyBorder="1" applyAlignment="1" applyProtection="1">
      <alignment horizontal="left" vertical="center" wrapText="1"/>
    </xf>
    <xf numFmtId="0" fontId="33" fillId="34" borderId="24" xfId="0" applyFont="1" applyFill="1" applyBorder="1" applyAlignment="1">
      <alignment horizontal="center" vertical="center" wrapText="1"/>
    </xf>
    <xf numFmtId="0" fontId="33" fillId="34" borderId="25" xfId="0" applyFont="1" applyFill="1" applyBorder="1" applyAlignment="1">
      <alignment horizontal="center" vertical="center" wrapText="1"/>
    </xf>
    <xf numFmtId="0" fontId="33" fillId="34" borderId="27" xfId="0" applyFont="1" applyFill="1" applyBorder="1" applyAlignment="1">
      <alignment horizontal="center" vertical="center" wrapText="1"/>
    </xf>
    <xf numFmtId="0" fontId="33" fillId="34" borderId="21" xfId="0" applyFont="1" applyFill="1" applyBorder="1" applyAlignment="1">
      <alignment horizontal="center" vertical="center" wrapText="1"/>
    </xf>
    <xf numFmtId="0" fontId="33" fillId="34" borderId="22" xfId="0" applyFont="1" applyFill="1" applyBorder="1" applyAlignment="1">
      <alignment horizontal="center" vertical="center" wrapText="1"/>
    </xf>
    <xf numFmtId="0" fontId="17" fillId="0" borderId="15" xfId="0" applyFont="1" applyFill="1" applyBorder="1" applyAlignment="1">
      <alignment horizontal="center" vertical="center"/>
    </xf>
    <xf numFmtId="0" fontId="32" fillId="33" borderId="16" xfId="0" applyFont="1" applyFill="1" applyBorder="1" applyAlignment="1">
      <alignment horizontal="center" vertical="center" wrapText="1"/>
    </xf>
    <xf numFmtId="0" fontId="32" fillId="33" borderId="17" xfId="0" applyFont="1" applyFill="1" applyBorder="1" applyAlignment="1">
      <alignment horizontal="center" vertical="center" wrapText="1"/>
    </xf>
    <xf numFmtId="0" fontId="32" fillId="33" borderId="18" xfId="0" applyFont="1" applyFill="1" applyBorder="1" applyAlignment="1">
      <alignment horizontal="center" vertical="center" wrapText="1"/>
    </xf>
    <xf numFmtId="0" fontId="32" fillId="33" borderId="19" xfId="0" applyFont="1" applyFill="1" applyBorder="1" applyAlignment="1">
      <alignment horizontal="center" vertical="center" wrapText="1"/>
    </xf>
    <xf numFmtId="0" fontId="18" fillId="33" borderId="10" xfId="0" applyFont="1" applyFill="1" applyBorder="1" applyAlignment="1">
      <alignment horizontal="left" vertical="center"/>
    </xf>
    <xf numFmtId="0" fontId="9" fillId="0" borderId="10" xfId="0" applyFont="1" applyFill="1" applyBorder="1" applyAlignment="1" applyProtection="1">
      <alignment horizontal="center" vertical="center"/>
    </xf>
    <xf numFmtId="0" fontId="2" fillId="0" borderId="11" xfId="0" applyFont="1" applyFill="1" applyBorder="1" applyAlignment="1" applyProtection="1">
      <alignment horizontal="center" vertical="center"/>
    </xf>
    <xf numFmtId="0" fontId="2" fillId="0" borderId="12" xfId="0" applyFont="1" applyFill="1" applyBorder="1" applyAlignment="1" applyProtection="1">
      <alignment horizontal="center" vertical="center"/>
    </xf>
    <xf numFmtId="0" fontId="2" fillId="0" borderId="10" xfId="0" quotePrefix="1" applyFont="1" applyFill="1" applyBorder="1" applyAlignment="1" applyProtection="1">
      <alignment horizontal="center" vertical="center"/>
    </xf>
    <xf numFmtId="0" fontId="2" fillId="0" borderId="10" xfId="0" applyFont="1" applyFill="1" applyBorder="1" applyAlignment="1" applyProtection="1">
      <alignment horizontal="center" vertical="center"/>
    </xf>
    <xf numFmtId="0" fontId="17" fillId="0" borderId="11" xfId="0" applyFont="1" applyFill="1" applyBorder="1" applyAlignment="1">
      <alignment horizontal="center" vertical="center"/>
    </xf>
    <xf numFmtId="0" fontId="17" fillId="0" borderId="13" xfId="0" applyFont="1" applyFill="1" applyBorder="1" applyAlignment="1">
      <alignment horizontal="center" vertical="center"/>
    </xf>
    <xf numFmtId="0" fontId="17" fillId="0" borderId="12" xfId="0" applyFont="1" applyFill="1" applyBorder="1" applyAlignment="1">
      <alignment horizontal="center" vertical="center"/>
    </xf>
    <xf numFmtId="0" fontId="9" fillId="0" borderId="13" xfId="0" applyFont="1" applyFill="1" applyBorder="1" applyAlignment="1" applyProtection="1">
      <alignment horizontal="center" vertical="center"/>
    </xf>
    <xf numFmtId="0" fontId="9" fillId="0" borderId="12" xfId="0" applyFont="1" applyFill="1" applyBorder="1" applyAlignment="1" applyProtection="1">
      <alignment horizontal="center" vertical="center"/>
    </xf>
    <xf numFmtId="0" fontId="9" fillId="0" borderId="11" xfId="0" applyFont="1" applyFill="1" applyBorder="1" applyAlignment="1" applyProtection="1">
      <alignment horizontal="center" vertical="center"/>
    </xf>
    <xf numFmtId="0" fontId="9" fillId="0" borderId="11" xfId="0" applyFont="1" applyFill="1" applyBorder="1" applyAlignment="1" applyProtection="1">
      <alignment horizontal="center" vertical="center" wrapText="1"/>
    </xf>
    <xf numFmtId="0" fontId="3" fillId="0" borderId="10" xfId="0" applyFont="1" applyFill="1" applyBorder="1" applyAlignment="1" applyProtection="1">
      <alignment horizontal="center" vertical="center"/>
    </xf>
    <xf numFmtId="0" fontId="4" fillId="0" borderId="11" xfId="0" applyFont="1" applyFill="1" applyBorder="1" applyAlignment="1" applyProtection="1">
      <alignment horizontal="center" vertical="center" wrapText="1"/>
    </xf>
    <xf numFmtId="0" fontId="4" fillId="0" borderId="12" xfId="0" applyFont="1" applyFill="1" applyBorder="1" applyAlignment="1" applyProtection="1">
      <alignment horizontal="center" vertical="center" wrapText="1"/>
    </xf>
  </cellXfs>
  <cellStyles count="51135">
    <cellStyle name="_x0002_" xfId="4"/>
    <cellStyle name="_x0006__x0012_" xfId="5"/>
    <cellStyle name="_x0006__x0012_ 2" xfId="6"/>
    <cellStyle name=" 䰀愀猀攀爀䨀攀琀 㠀　　　 䐀一 倀䌀䰀 㘀" xfId="7"/>
    <cellStyle name="_x0002_._x0011__x0002_._x001b__x0002_ _x0015_%_x0018__x0001_" xfId="8"/>
    <cellStyle name=";" xfId="9"/>
    <cellStyle name="?" xfId="10"/>
    <cellStyle name="_x0003_?#_x0004_" xfId="11"/>
    <cellStyle name="??" xfId="12"/>
    <cellStyle name="?? [0.00]_PRODUCT DETAIL Q1" xfId="13"/>
    <cellStyle name="?? [0]" xfId="14"/>
    <cellStyle name="??&amp;O?&amp;H?_x0008__x000f__x0007_?_x0007__x0001__x0001_" xfId="15"/>
    <cellStyle name="??&amp;O?&amp;H?_x0008__x000f__x0007_?_x0007__x0001__x0001_ 2" xfId="16"/>
    <cellStyle name="??&amp;O?&amp;H?_x0008_??_x0007__x0001__x0001_" xfId="17"/>
    <cellStyle name="??&amp;O?&amp;H?_x0008_??_x0007__x0001__x0001_ 2" xfId="18"/>
    <cellStyle name="??&amp;O?&amp;H?_x0008_x_x000b_P_x000c__x0007__x0001__x0001_" xfId="19"/>
    <cellStyle name="???­ [0]_±??¸_¼????? (³?°? 83¾?) " xfId="20"/>
    <cellStyle name="???? [0.00]_PRODUCT DETAIL Q1" xfId="21"/>
    <cellStyle name="_x0003_???_x0015__x0004_???&quot;_x0004_!_x0004_?_x000c__x0004_??_x000f__x000b__x0004__x001d__x0004__x001e__x0004_?_x0005__x0004__x000f_?_x0011__x0004__x000f_??_x0010__x0004_?????#_x0004_" xfId="22"/>
    <cellStyle name="_x0003_?_x0010__x0004_?????#_x0004_" xfId="23"/>
    <cellStyle name="_x0001_???????????L" xfId="24"/>
    <cellStyle name="????_PRODUCT DETAIL Q1" xfId="25"/>
    <cellStyle name="???[0]_Book1" xfId="26"/>
    <cellStyle name="???­_±??¸_¼????? (³?°? 83¾?) " xfId="27"/>
    <cellStyle name="???_95" xfId="28"/>
    <cellStyle name="???Ø_±¹Æ?_`96.9¿?Ø? " xfId="29"/>
    <cellStyle name="??[0]_H4DPG7RfezGCKgvTcNxjaUm2G" xfId="30"/>
    <cellStyle name="??_(????)??????" xfId="31"/>
    <cellStyle name="??欺傅?" xfId="32"/>
    <cellStyle name="?Ⅱ_x001b__x0005_@?" xfId="33"/>
    <cellStyle name="?Ⅱ_x001b__x0005_@? 2" xfId="34"/>
    <cellStyle name="?Þ¸¶ [0]_¼???°??¹(SMD) " xfId="35"/>
    <cellStyle name="?Þ¸¶_±??¸_¼????? (³?°? 83¾?) " xfId="36"/>
    <cellStyle name="?W?_laroux" xfId="37"/>
    <cellStyle name="?盒?_老老前??? " xfId="38"/>
    <cellStyle name="?霖_   " xfId="39"/>
    <cellStyle name="@" xfId="40"/>
    <cellStyle name="@_9월-12월" xfId="41"/>
    <cellStyle name="@_9월-12월_ PULL  LIST-1 (2007년)" xfId="42"/>
    <cellStyle name="@_9월-12월_1월-4월" xfId="43"/>
    <cellStyle name="@_9월-12월_1월-4월_ PULL  LIST-1 (2007년)" xfId="44"/>
    <cellStyle name="@_9월-12월_1월-4월_PULL  LIST-1 (2004년)" xfId="45"/>
    <cellStyle name="@_9월-12월_1월-4월_PULL  LIST-1 (2004년)_Book1" xfId="46"/>
    <cellStyle name="@_9월-12월_1월-4월_PULL  LIST-1 (2004년)_Book1_ PULL  LIST-1 (2007년)" xfId="47"/>
    <cellStyle name="@_9월-12월_1월-4월_PULL  LIST-1 (2004년)_Book1_PULL  LIST-1 (2005년)" xfId="48"/>
    <cellStyle name="@_9월-12월_1월-4월_PULL  LIST-1 (2004년)_Book1_PULL  LIST-1 (2005년)_PULL  LIST-1 (2005년)" xfId="49"/>
    <cellStyle name="@_9월-12월_1월-4월_PULL  LIST-1 (2004년)_Book1_PULL  LIST-1 (2005년)_PULL  LIST-1 (2005년)_ PULL  LIST-1 (2007년)" xfId="50"/>
    <cellStyle name="@_9월-12월_1월-4월_PULL  LIST-1 (2004년)_Book1_PULL  LIST-1 (2005년)_PULL  LIST-1 (2005년)_PULL  LIST-1 (2006년)" xfId="51"/>
    <cellStyle name="@_9월-12월_1월-4월_PULL  LIST-1 (2004년)_Book1_PULL  LIST-1 (2005년)_PULL  LIST-1 (2005년)_PULL  LIST-1 (2006년)_PULL  LIST-1 (2006년)" xfId="52"/>
    <cellStyle name="@_9월-12월_1월-4월_PULL  LIST-1 (2004년)_Book1_PULL  LIST-1 (2005년)_PULL  LIST-1 (2005년)_PULL  LIST-1 (2006년)_PULL  LIST-1 (2006년)_ PULL  LIST-1 (2007년)" xfId="53"/>
    <cellStyle name="@_9월-12월_1월-4월_PULL  LIST-1 (2004년)_Book1_PULL  LIST-1 (2005년)_PULL  LIST-1 (2006년)" xfId="54"/>
    <cellStyle name="@_9월-12월_1월-4월_PULL  LIST-1 (2004년)_Book1_PULL  LIST-1 (2005년)_PULL  LIST-1 (2006년)_ PULL  LIST-1 (2007년)" xfId="55"/>
    <cellStyle name="@_9월-12월_1월-4월_PULL  LIST-1 (2004년)_Book1_PULL  LIST-1 (2005년)_PULL  LIST-1 (2006년)_PULL  LIST-1 (2006년)" xfId="56"/>
    <cellStyle name="@_9월-12월_1월-4월_PULL  LIST-1 (2004년)_Book1_PULL  LIST-1 (2005년)_PULL  LIST-1 (2006년)_PULL  LIST-1 (2006년)_PULL  LIST-1 (2006년)" xfId="57"/>
    <cellStyle name="@_9월-12월_1월-4월_PULL  LIST-1 (2004년)_Book1_PULL  LIST-1 (2005년)_PULL  LIST-1 (2006년)_PULL  LIST-1 (2006년)_PULL  LIST-1 (2006년)_ PULL  LIST-1 (2007년)" xfId="58"/>
    <cellStyle name="@_9월-12월_1월-4월_PULL  LIST-1 (2004년)_Book1_PULL  LIST-1 (2005년)_원가인하9월30일" xfId="59"/>
    <cellStyle name="@_9월-12월_1월-4월_PULL  LIST-1 (2004년)_Book1_PULL  LIST-1 (2005년)_원가인하9월30일_ PULL  LIST-1 (2007년)" xfId="60"/>
    <cellStyle name="@_9월-12월_1월-4월_PULL  LIST-1 (2004년)_Book1_PULL  LIST-1 (2005년)_원가인하9월30일_PULL  LIST-1 (2006년)" xfId="61"/>
    <cellStyle name="@_9월-12월_1월-4월_PULL  LIST-1 (2004년)_Book1_PULL  LIST-1 (2005년)_원가인하9월30일_PULL  LIST-1 (2006년)_PULL  LIST-1 (2006년)" xfId="62"/>
    <cellStyle name="@_9월-12월_1월-4월_PULL  LIST-1 (2004년)_Book1_PULL  LIST-1 (2005년)_원가인하9월30일_PULL  LIST-1 (2006년)_PULL  LIST-1 (2006년)_ PULL  LIST-1 (2007년)" xfId="63"/>
    <cellStyle name="@_9월-12월_1월-4월_PULL  LIST-1 (2004년)_Book1_PULL  LIST-1 (2006년)" xfId="64"/>
    <cellStyle name="@_9월-12월_1월-4월_PULL  LIST-1 (2004년)_Book1_PULL  LIST-1 (2006년)_PULL  LIST-1 (2006년)" xfId="65"/>
    <cellStyle name="@_9월-12월_1월-4월_PULL  LIST-1 (2004년)_Book1_PULL  LIST-1 (2006년)_PULL  LIST-1 (2006년)_ PULL  LIST-1 (2007년)" xfId="66"/>
    <cellStyle name="@_9월-12월_1월-4월_PULL  LIST-1 (2004년)_PULL  LIST-1 (2004년)" xfId="67"/>
    <cellStyle name="@_9월-12월_1월-4월_PULL  LIST-1 (2004년)_PULL  LIST-1 (2004년)_ PULL  LIST-1 (2007년)" xfId="68"/>
    <cellStyle name="@_9월-12월_1월-4월_PULL  LIST-1 (2004년)_PULL  LIST-1 (2004년)_PULL  LIST-1 (2004년)" xfId="69"/>
    <cellStyle name="@_9월-12월_1월-4월_PULL  LIST-1 (2004년)_PULL  LIST-1 (2004년)_PULL  LIST-1 (2004년)_Book1" xfId="70"/>
    <cellStyle name="@_9월-12월_1월-4월_PULL  LIST-1 (2004년)_PULL  LIST-1 (2004년)_PULL  LIST-1 (2004년)_Book1_ PULL  LIST-1 (2007년)" xfId="71"/>
    <cellStyle name="@_9월-12월_1월-4월_PULL  LIST-1 (2004년)_PULL  LIST-1 (2004년)_PULL  LIST-1 (2004년)_Book1_PULL  LIST-1 (2005년)" xfId="72"/>
    <cellStyle name="@_9월-12월_1월-4월_PULL  LIST-1 (2004년)_PULL  LIST-1 (2004년)_PULL  LIST-1 (2004년)_Book1_PULL  LIST-1 (2005년)_PULL  LIST-1 (2005년)" xfId="73"/>
    <cellStyle name="@_9월-12월_1월-4월_PULL  LIST-1 (2004년)_PULL  LIST-1 (2004년)_PULL  LIST-1 (2004년)_Book1_PULL  LIST-1 (2005년)_PULL  LIST-1 (2005년)_ PULL  LIST-1 (2007년)" xfId="74"/>
    <cellStyle name="@_9월-12월_1월-4월_PULL  LIST-1 (2004년)_PULL  LIST-1 (2004년)_PULL  LIST-1 (2004년)_Book1_PULL  LIST-1 (2005년)_PULL  LIST-1 (2005년)_PULL  LIST-1 (2006년)" xfId="75"/>
    <cellStyle name="@_9월-12월_1월-4월_PULL  LIST-1 (2004년)_PULL  LIST-1 (2004년)_PULL  LIST-1 (2004년)_Book1_PULL  LIST-1 (2005년)_PULL  LIST-1 (2005년)_PULL  LIST-1 (2006년)_PULL  LIST-1 (2006년)" xfId="76"/>
    <cellStyle name="@_9월-12월_1월-4월_PULL  LIST-1 (2004년)_PULL  LIST-1 (2004년)_PULL  LIST-1 (2004년)_Book1_PULL  LIST-1 (2005년)_PULL  LIST-1 (2005년)_PULL  LIST-1 (2006년)_PULL  LIST-1 (2006년)_ PULL  LIST-1 (2007년)" xfId="77"/>
    <cellStyle name="@_9월-12월_1월-4월_PULL  LIST-1 (2004년)_PULL  LIST-1 (2004년)_PULL  LIST-1 (2004년)_Book1_PULL  LIST-1 (2005년)_PULL  LIST-1 (2006년)" xfId="78"/>
    <cellStyle name="@_9월-12월_1월-4월_PULL  LIST-1 (2004년)_PULL  LIST-1 (2004년)_PULL  LIST-1 (2004년)_Book1_PULL  LIST-1 (2005년)_PULL  LIST-1 (2006년)_ PULL  LIST-1 (2007년)" xfId="79"/>
    <cellStyle name="@_9월-12월_1월-4월_PULL  LIST-1 (2004년)_PULL  LIST-1 (2004년)_PULL  LIST-1 (2004년)_Book1_PULL  LIST-1 (2005년)_PULL  LIST-1 (2006년)_PULL  LIST-1 (2006년)" xfId="80"/>
    <cellStyle name="@_9월-12월_1월-4월_PULL  LIST-1 (2004년)_PULL  LIST-1 (2004년)_PULL  LIST-1 (2004년)_Book1_PULL  LIST-1 (2005년)_PULL  LIST-1 (2006년)_PULL  LIST-1 (2006년)_PULL  LIST-1 (2006년)" xfId="81"/>
    <cellStyle name="@_9월-12월_1월-4월_PULL  LIST-1 (2004년)_PULL  LIST-1 (2004년)_PULL  LIST-1 (2004년)_Book1_PULL  LIST-1 (2005년)_PULL  LIST-1 (2006년)_PULL  LIST-1 (2006년)_PULL  LIST-1 (2006년)_ PULL  LIST-1 (2007년)" xfId="82"/>
    <cellStyle name="@_9월-12월_1월-4월_PULL  LIST-1 (2004년)_PULL  LIST-1 (2004년)_PULL  LIST-1 (2004년)_Book1_PULL  LIST-1 (2005년)_원가인하9월30일" xfId="83"/>
    <cellStyle name="@_9월-12월_1월-4월_PULL  LIST-1 (2004년)_PULL  LIST-1 (2004년)_PULL  LIST-1 (2004년)_Book1_PULL  LIST-1 (2005년)_원가인하9월30일_ PULL  LIST-1 (2007년)" xfId="84"/>
    <cellStyle name="@_9월-12월_1월-4월_PULL  LIST-1 (2004년)_PULL  LIST-1 (2004년)_PULL  LIST-1 (2004년)_Book1_PULL  LIST-1 (2005년)_원가인하9월30일_PULL  LIST-1 (2006년)" xfId="85"/>
    <cellStyle name="@_9월-12월_1월-4월_PULL  LIST-1 (2004년)_PULL  LIST-1 (2004년)_PULL  LIST-1 (2004년)_Book1_PULL  LIST-1 (2005년)_원가인하9월30일_PULL  LIST-1 (2006년)_PULL  LIST-1 (2006년)" xfId="86"/>
    <cellStyle name="@_9월-12월_1월-4월_PULL  LIST-1 (2004년)_PULL  LIST-1 (2004년)_PULL  LIST-1 (2004년)_Book1_PULL  LIST-1 (2005년)_원가인하9월30일_PULL  LIST-1 (2006년)_PULL  LIST-1 (2006년)_ PULL  LIST-1 (2007년)" xfId="87"/>
    <cellStyle name="@_9월-12월_1월-4월_PULL  LIST-1 (2004년)_PULL  LIST-1 (2004년)_PULL  LIST-1 (2004년)_Book1_PULL  LIST-1 (2006년)" xfId="88"/>
    <cellStyle name="@_9월-12월_1월-4월_PULL  LIST-1 (2004년)_PULL  LIST-1 (2004년)_PULL  LIST-1 (2004년)_Book1_PULL  LIST-1 (2006년)_PULL  LIST-1 (2006년)" xfId="89"/>
    <cellStyle name="@_9월-12월_1월-4월_PULL  LIST-1 (2004년)_PULL  LIST-1 (2004년)_PULL  LIST-1 (2004년)_Book1_PULL  LIST-1 (2006년)_PULL  LIST-1 (2006년)_ PULL  LIST-1 (2007년)" xfId="90"/>
    <cellStyle name="@_9월-12월_1월-4월_PULL  LIST-1 (2004년)_PULL  LIST-1 (2004년)_PULL  LIST-1 (2004년)_PULL  LIST-1 (2005년)" xfId="91"/>
    <cellStyle name="@_9월-12월_1월-4월_PULL  LIST-1 (2004년)_PULL  LIST-1 (2004년)_PULL  LIST-1 (2004년)_PULL  LIST-1 (2005년)_ PULL  LIST-1 (2007년)" xfId="92"/>
    <cellStyle name="@_9월-12월_1월-4월_PULL  LIST-1 (2004년)_PULL  LIST-1 (2004년)_PULL  LIST-1 (2004년)_PULL  LIST-1 (2005년)_PULL  LIST-1 (2006년)" xfId="93"/>
    <cellStyle name="@_9월-12월_1월-4월_PULL  LIST-1 (2004년)_PULL  LIST-1 (2004년)_PULL  LIST-1 (2004년)_PULL  LIST-1 (2005년)_PULL  LIST-1 (2006년)_PULL  LIST-1 (2006년)" xfId="94"/>
    <cellStyle name="@_9월-12월_1월-4월_PULL  LIST-1 (2004년)_PULL  LIST-1 (2004년)_PULL  LIST-1 (2004년)_PULL  LIST-1 (2005년)_PULL  LIST-1 (2006년)_PULL  LIST-1 (2006년)_ PULL  LIST-1 (2007년)" xfId="95"/>
    <cellStyle name="@_9월-12월_1월-4월_PULL  LIST-1 (2004년)_PULL  LIST-1 (2004년)_PULL  LIST-1 (2004년)_PULL  LIST-1 (2006년)" xfId="96"/>
    <cellStyle name="@_9월-12월_1월-4월_PULL  LIST-1 (2004년)_PULL  LIST-1 (2004년)_PULL  LIST-1 (2004년)_PULL  LIST-1 (2006년)_ PULL  LIST-1 (2007년)" xfId="97"/>
    <cellStyle name="@_9월-12월_1월-4월_PULL  LIST-1 (2004년)_PULL  LIST-1 (2004년)_PULL  LIST-1 (2004년)_PULL  LIST-1 (2006년)_PULL  LIST-1 (2006년)" xfId="98"/>
    <cellStyle name="@_9월-12월_1월-4월_PULL  LIST-1 (2004년)_PULL  LIST-1 (2004년)_PULL  LIST-1 (2004년)_PULL  LIST-1 (2006년)_PULL  LIST-1 (2006년)_PULL  LIST-1 (2006년)" xfId="99"/>
    <cellStyle name="@_9월-12월_1월-4월_PULL  LIST-1 (2004년)_PULL  LIST-1 (2004년)_PULL  LIST-1 (2004년)_PULL  LIST-1 (2006년)_PULL  LIST-1 (2006년)_PULL  LIST-1 (2006년)_ PULL  LIST-1 (2007년)" xfId="100"/>
    <cellStyle name="@_9월-12월_1월-4월_PULL  LIST-1 (2004년)_PULL  LIST-1 (2004년)_PULL  LIST-1 (2004년)_원가인하9월30일" xfId="101"/>
    <cellStyle name="@_9월-12월_1월-4월_PULL  LIST-1 (2004년)_PULL  LIST-1 (2004년)_PULL  LIST-1 (2004년)_원가인하9월30일_ PULL  LIST-1 (2007년)" xfId="102"/>
    <cellStyle name="@_9월-12월_1월-4월_PULL  LIST-1 (2004년)_PULL  LIST-1 (2004년)_PULL  LIST-1 (2004년)_원가인하9월30일_PULL  LIST-1 (2006년)" xfId="103"/>
    <cellStyle name="@_9월-12월_1월-4월_PULL  LIST-1 (2004년)_PULL  LIST-1 (2004년)_PULL  LIST-1 (2004년)_원가인하9월30일_PULL  LIST-1 (2006년)_PULL  LIST-1 (2006년)" xfId="104"/>
    <cellStyle name="@_9월-12월_1월-4월_PULL  LIST-1 (2004년)_PULL  LIST-1 (2004년)_PULL  LIST-1 (2004년)_원가인하9월30일_PULL  LIST-1 (2006년)_PULL  LIST-1 (2006년)_ PULL  LIST-1 (2007년)" xfId="105"/>
    <cellStyle name="@_9월-12월_1월-4월_PULL  LIST-1 (2004년)_PULL  LIST-1 (2004년)_PULL  LIST-1 (2005년)" xfId="106"/>
    <cellStyle name="@_9월-12월_1월-4월_PULL  LIST-1 (2004년)_PULL  LIST-1 (2004년)_PULL  LIST-1 (2005년)_PULL  LIST-1 (2005년)" xfId="107"/>
    <cellStyle name="@_9월-12월_1월-4월_PULL  LIST-1 (2004년)_PULL  LIST-1 (2004년)_PULL  LIST-1 (2005년)_PULL  LIST-1 (2005년)_ PULL  LIST-1 (2007년)" xfId="108"/>
    <cellStyle name="@_9월-12월_1월-4월_PULL  LIST-1 (2004년)_PULL  LIST-1 (2004년)_PULL  LIST-1 (2005년)_PULL  LIST-1 (2005년)_PULL  LIST-1 (2006년)" xfId="109"/>
    <cellStyle name="@_9월-12월_1월-4월_PULL  LIST-1 (2004년)_PULL  LIST-1 (2004년)_PULL  LIST-1 (2005년)_PULL  LIST-1 (2005년)_PULL  LIST-1 (2006년)_PULL  LIST-1 (2006년)" xfId="110"/>
    <cellStyle name="@_9월-12월_1월-4월_PULL  LIST-1 (2004년)_PULL  LIST-1 (2004년)_PULL  LIST-1 (2005년)_PULL  LIST-1 (2005년)_PULL  LIST-1 (2006년)_PULL  LIST-1 (2006년)_ PULL  LIST-1 (2007년)" xfId="111"/>
    <cellStyle name="@_9월-12월_1월-4월_PULL  LIST-1 (2004년)_PULL  LIST-1 (2004년)_PULL  LIST-1 (2005년)_PULL  LIST-1 (2006년)" xfId="112"/>
    <cellStyle name="@_9월-12월_1월-4월_PULL  LIST-1 (2004년)_PULL  LIST-1 (2004년)_PULL  LIST-1 (2005년)_PULL  LIST-1 (2006년)_ PULL  LIST-1 (2007년)" xfId="113"/>
    <cellStyle name="@_9월-12월_1월-4월_PULL  LIST-1 (2004년)_PULL  LIST-1 (2004년)_PULL  LIST-1 (2005년)_PULL  LIST-1 (2006년)_PULL  LIST-1 (2006년)" xfId="114"/>
    <cellStyle name="@_9월-12월_1월-4월_PULL  LIST-1 (2004년)_PULL  LIST-1 (2004년)_PULL  LIST-1 (2005년)_PULL  LIST-1 (2006년)_PULL  LIST-1 (2006년)_PULL  LIST-1 (2006년)" xfId="115"/>
    <cellStyle name="@_9월-12월_1월-4월_PULL  LIST-1 (2004년)_PULL  LIST-1 (2004년)_PULL  LIST-1 (2005년)_PULL  LIST-1 (2006년)_PULL  LIST-1 (2006년)_PULL  LIST-1 (2006년)_ PULL  LIST-1 (2007년)" xfId="116"/>
    <cellStyle name="@_9월-12월_1월-4월_PULL  LIST-1 (2004년)_PULL  LIST-1 (2004년)_PULL  LIST-1 (2005년)_원가인하9월30일" xfId="117"/>
    <cellStyle name="@_9월-12월_1월-4월_PULL  LIST-1 (2004년)_PULL  LIST-1 (2004년)_PULL  LIST-1 (2005년)_원가인하9월30일_ PULL  LIST-1 (2007년)" xfId="118"/>
    <cellStyle name="@_9월-12월_1월-4월_PULL  LIST-1 (2004년)_PULL  LIST-1 (2004년)_PULL  LIST-1 (2005년)_원가인하9월30일_PULL  LIST-1 (2006년)" xfId="119"/>
    <cellStyle name="@_9월-12월_1월-4월_PULL  LIST-1 (2004년)_PULL  LIST-1 (2004년)_PULL  LIST-1 (2005년)_원가인하9월30일_PULL  LIST-1 (2006년)_PULL  LIST-1 (2006년)" xfId="120"/>
    <cellStyle name="@_9월-12월_1월-4월_PULL  LIST-1 (2004년)_PULL  LIST-1 (2004년)_PULL  LIST-1 (2005년)_원가인하9월30일_PULL  LIST-1 (2006년)_PULL  LIST-1 (2006년)_ PULL  LIST-1 (2007년)" xfId="121"/>
    <cellStyle name="@_9월-12월_1월-4월_PULL  LIST-1 (2004년)_PULL  LIST-1 (2004년)_PULL  LIST-1 (2006년)" xfId="122"/>
    <cellStyle name="@_9월-12월_1월-4월_PULL  LIST-1 (2004년)_PULL  LIST-1 (2004년)_PULL  LIST-1 (2006년)_PULL  LIST-1 (2006년)" xfId="123"/>
    <cellStyle name="@_9월-12월_1월-4월_PULL  LIST-1 (2004년)_PULL  LIST-1 (2004년)_PULL  LIST-1 (2006년)_PULL  LIST-1 (2006년)_ PULL  LIST-1 (2007년)" xfId="124"/>
    <cellStyle name="@_9월-12월_1월-4월_PULL  LIST-1 (2004년)_PULL  LIST-1 (2005년)" xfId="125"/>
    <cellStyle name="@_9월-12월_1월-4월_PULL  LIST-1 (2004년)_PULL  LIST-1 (2005년)_ PULL  LIST-1 (2007년)" xfId="126"/>
    <cellStyle name="@_9월-12월_1월-4월_PULL  LIST-1 (2004년)_PULL  LIST-1 (2005년)_PULL  LIST-1 (2006년)" xfId="127"/>
    <cellStyle name="@_9월-12월_1월-4월_PULL  LIST-1 (2004년)_PULL  LIST-1 (2005년)_PULL  LIST-1 (2006년)_PULL  LIST-1 (2006년)" xfId="128"/>
    <cellStyle name="@_9월-12월_1월-4월_PULL  LIST-1 (2004년)_PULL  LIST-1 (2005년)_PULL  LIST-1 (2006년)_PULL  LIST-1 (2006년)_ PULL  LIST-1 (2007년)" xfId="129"/>
    <cellStyle name="@_9월-12월_1월-4월_PULL  LIST-1 (2004년)_PULL  LIST-1 (2006년)" xfId="130"/>
    <cellStyle name="@_9월-12월_1월-4월_PULL  LIST-1 (2004년)_PULL  LIST-1 (2006년)_ PULL  LIST-1 (2007년)" xfId="131"/>
    <cellStyle name="@_9월-12월_1월-4월_PULL  LIST-1 (2004년)_PULL  LIST-1 (2006년)_PULL  LIST-1 (2006년)" xfId="132"/>
    <cellStyle name="@_9월-12월_1월-4월_PULL  LIST-1 (2004년)_PULL  LIST-1 (2006년)_PULL  LIST-1 (2006년)_PULL  LIST-1 (2006년)" xfId="133"/>
    <cellStyle name="@_9월-12월_1월-4월_PULL  LIST-1 (2004년)_PULL  LIST-1 (2006년)_PULL  LIST-1 (2006년)_PULL  LIST-1 (2006년)_ PULL  LIST-1 (2007년)" xfId="134"/>
    <cellStyle name="@_9월-12월_1월-4월_PULL  LIST-1 (2004년)_원가인하9월30일" xfId="135"/>
    <cellStyle name="@_9월-12월_1월-4월_PULL  LIST-1 (2004년)_원가인하9월30일_ PULL  LIST-1 (2007년)" xfId="136"/>
    <cellStyle name="@_9월-12월_1월-4월_PULL  LIST-1 (2004년)_원가인하9월30일_PULL  LIST-1 (2006년)" xfId="137"/>
    <cellStyle name="@_9월-12월_1월-4월_PULL  LIST-1 (2004년)_원가인하9월30일_PULL  LIST-1 (2006년)_PULL  LIST-1 (2006년)" xfId="138"/>
    <cellStyle name="@_9월-12월_1월-4월_PULL  LIST-1 (2004년)_원가인하9월30일_PULL  LIST-1 (2006년)_PULL  LIST-1 (2006년)_ PULL  LIST-1 (2007년)" xfId="139"/>
    <cellStyle name="@_9월-12월_1월-4월_PULL  LIST-1 (2005년)" xfId="140"/>
    <cellStyle name="@_9월-12월_1월-4월_PULL  LIST-1 (2005년)_PULL  LIST-1 (2005년)" xfId="141"/>
    <cellStyle name="@_9월-12월_1월-4월_PULL  LIST-1 (2005년)_PULL  LIST-1 (2005년)_ PULL  LIST-1 (2007년)" xfId="142"/>
    <cellStyle name="@_9월-12월_1월-4월_PULL  LIST-1 (2005년)_PULL  LIST-1 (2005년)_PULL  LIST-1 (2006년)" xfId="143"/>
    <cellStyle name="@_9월-12월_1월-4월_PULL  LIST-1 (2005년)_PULL  LIST-1 (2005년)_PULL  LIST-1 (2006년)_PULL  LIST-1 (2006년)" xfId="144"/>
    <cellStyle name="@_9월-12월_1월-4월_PULL  LIST-1 (2005년)_PULL  LIST-1 (2005년)_PULL  LIST-1 (2006년)_PULL  LIST-1 (2006년)_ PULL  LIST-1 (2007년)" xfId="145"/>
    <cellStyle name="@_9월-12월_1월-4월_PULL  LIST-1 (2005년)_PULL  LIST-1 (2006년)" xfId="146"/>
    <cellStyle name="@_9월-12월_1월-4월_PULL  LIST-1 (2005년)_PULL  LIST-1 (2006년)_ PULL  LIST-1 (2007년)" xfId="147"/>
    <cellStyle name="@_9월-12월_1월-4월_PULL  LIST-1 (2005년)_PULL  LIST-1 (2006년)_PULL  LIST-1 (2006년)" xfId="148"/>
    <cellStyle name="@_9월-12월_1월-4월_PULL  LIST-1 (2005년)_PULL  LIST-1 (2006년)_PULL  LIST-1 (2006년)_PULL  LIST-1 (2006년)" xfId="149"/>
    <cellStyle name="@_9월-12월_1월-4월_PULL  LIST-1 (2005년)_PULL  LIST-1 (2006년)_PULL  LIST-1 (2006년)_PULL  LIST-1 (2006년)_ PULL  LIST-1 (2007년)" xfId="150"/>
    <cellStyle name="@_9월-12월_1월-4월_PULL  LIST-1 (2005년)_원가인하9월30일" xfId="151"/>
    <cellStyle name="@_9월-12월_1월-4월_PULL  LIST-1 (2005년)_원가인하9월30일_ PULL  LIST-1 (2007년)" xfId="152"/>
    <cellStyle name="@_9월-12월_1월-4월_PULL  LIST-1 (2005년)_원가인하9월30일_PULL  LIST-1 (2006년)" xfId="153"/>
    <cellStyle name="@_9월-12월_1월-4월_PULL  LIST-1 (2005년)_원가인하9월30일_PULL  LIST-1 (2006년)_PULL  LIST-1 (2006년)" xfId="154"/>
    <cellStyle name="@_9월-12월_1월-4월_PULL  LIST-1 (2005년)_원가인하9월30일_PULL  LIST-1 (2006년)_PULL  LIST-1 (2006년)_ PULL  LIST-1 (2007년)" xfId="155"/>
    <cellStyle name="@_9월-12월_1월-4월_PULL  LIST-1 (2006년)" xfId="156"/>
    <cellStyle name="@_9월-12월_1월-4월_PULL  LIST-1 (2006년)_PULL  LIST-1 (2006년)" xfId="157"/>
    <cellStyle name="@_9월-12월_1월-4월_PULL  LIST-1 (2006년)_PULL  LIST-1 (2006년)_ PULL  LIST-1 (2007년)" xfId="158"/>
    <cellStyle name="@_9월-12월_9월-12월" xfId="159"/>
    <cellStyle name="@_9월-12월_9월-12월_ PULL  LIST-1 (2007년)" xfId="160"/>
    <cellStyle name="@_9월-12월_9월-12월_9월-12월" xfId="161"/>
    <cellStyle name="@_9월-12월_9월-12월_9월-12월_ PULL  LIST-1 (2007년)" xfId="162"/>
    <cellStyle name="@_9월-12월_9월-12월_9월-12월_1월-4월" xfId="163"/>
    <cellStyle name="@_9월-12월_9월-12월_9월-12월_1월-4월_ PULL  LIST-1 (2007년)" xfId="164"/>
    <cellStyle name="@_9월-12월_9월-12월_9월-12월_1월-4월_PULL  LIST-1 (2004년)" xfId="165"/>
    <cellStyle name="@_9월-12월_9월-12월_9월-12월_1월-4월_PULL  LIST-1 (2004년)_Book1" xfId="166"/>
    <cellStyle name="@_9월-12월_9월-12월_9월-12월_1월-4월_PULL  LIST-1 (2004년)_Book1_ PULL  LIST-1 (2007년)" xfId="167"/>
    <cellStyle name="@_9월-12월_9월-12월_9월-12월_1월-4월_PULL  LIST-1 (2004년)_Book1_PULL  LIST-1 (2005년)" xfId="168"/>
    <cellStyle name="@_9월-12월_9월-12월_9월-12월_1월-4월_PULL  LIST-1 (2004년)_Book1_PULL  LIST-1 (2005년)_PULL  LIST-1 (2005년)" xfId="169"/>
    <cellStyle name="@_9월-12월_9월-12월_9월-12월_1월-4월_PULL  LIST-1 (2004년)_Book1_PULL  LIST-1 (2005년)_PULL  LIST-1 (2005년)_ PULL  LIST-1 (2007년)" xfId="170"/>
    <cellStyle name="@_9월-12월_9월-12월_9월-12월_1월-4월_PULL  LIST-1 (2004년)_Book1_PULL  LIST-1 (2005년)_PULL  LIST-1 (2005년)_PULL  LIST-1 (2006년)" xfId="171"/>
    <cellStyle name="@_9월-12월_9월-12월_9월-12월_1월-4월_PULL  LIST-1 (2004년)_Book1_PULL  LIST-1 (2005년)_PULL  LIST-1 (2005년)_PULL  LIST-1 (2006년)_PULL  LIST-1 (2006년)" xfId="172"/>
    <cellStyle name="@_9월-12월_9월-12월_9월-12월_1월-4월_PULL  LIST-1 (2004년)_Book1_PULL  LIST-1 (2005년)_PULL  LIST-1 (2005년)_PULL  LIST-1 (2006년)_PULL  LIST-1 (2006년)_ PULL  LIST-1 (2007년)" xfId="173"/>
    <cellStyle name="@_9월-12월_9월-12월_9월-12월_1월-4월_PULL  LIST-1 (2004년)_Book1_PULL  LIST-1 (2005년)_PULL  LIST-1 (2006년)" xfId="174"/>
    <cellStyle name="@_9월-12월_9월-12월_9월-12월_1월-4월_PULL  LIST-1 (2004년)_Book1_PULL  LIST-1 (2005년)_PULL  LIST-1 (2006년)_ PULL  LIST-1 (2007년)" xfId="175"/>
    <cellStyle name="@_9월-12월_9월-12월_9월-12월_1월-4월_PULL  LIST-1 (2004년)_Book1_PULL  LIST-1 (2005년)_PULL  LIST-1 (2006년)_PULL  LIST-1 (2006년)" xfId="176"/>
    <cellStyle name="@_9월-12월_9월-12월_9월-12월_1월-4월_PULL  LIST-1 (2004년)_Book1_PULL  LIST-1 (2005년)_PULL  LIST-1 (2006년)_PULL  LIST-1 (2006년)_PULL  LIST-1 (2006년)" xfId="177"/>
    <cellStyle name="@_9월-12월_9월-12월_9월-12월_1월-4월_PULL  LIST-1 (2004년)_Book1_PULL  LIST-1 (2005년)_PULL  LIST-1 (2006년)_PULL  LIST-1 (2006년)_PULL  LIST-1 (2006년)_ PULL  LIST-1 (2007년)" xfId="178"/>
    <cellStyle name="@_9월-12월_9월-12월_9월-12월_1월-4월_PULL  LIST-1 (2004년)_Book1_PULL  LIST-1 (2005년)_원가인하9월30일" xfId="179"/>
    <cellStyle name="@_9월-12월_9월-12월_9월-12월_1월-4월_PULL  LIST-1 (2004년)_Book1_PULL  LIST-1 (2005년)_원가인하9월30일_ PULL  LIST-1 (2007년)" xfId="180"/>
    <cellStyle name="@_9월-12월_9월-12월_9월-12월_1월-4월_PULL  LIST-1 (2004년)_Book1_PULL  LIST-1 (2005년)_원가인하9월30일_PULL  LIST-1 (2006년)" xfId="181"/>
    <cellStyle name="@_9월-12월_9월-12월_9월-12월_1월-4월_PULL  LIST-1 (2004년)_Book1_PULL  LIST-1 (2005년)_원가인하9월30일_PULL  LIST-1 (2006년)_PULL  LIST-1 (2006년)" xfId="182"/>
    <cellStyle name="@_9월-12월_9월-12월_9월-12월_1월-4월_PULL  LIST-1 (2004년)_Book1_PULL  LIST-1 (2005년)_원가인하9월30일_PULL  LIST-1 (2006년)_PULL  LIST-1 (2006년)_ PULL  LIST-1 (2007년)" xfId="183"/>
    <cellStyle name="@_9월-12월_9월-12월_9월-12월_1월-4월_PULL  LIST-1 (2004년)_Book1_PULL  LIST-1 (2006년)" xfId="184"/>
    <cellStyle name="@_9월-12월_9월-12월_9월-12월_1월-4월_PULL  LIST-1 (2004년)_Book1_PULL  LIST-1 (2006년)_PULL  LIST-1 (2006년)" xfId="185"/>
    <cellStyle name="@_9월-12월_9월-12월_9월-12월_1월-4월_PULL  LIST-1 (2004년)_Book1_PULL  LIST-1 (2006년)_PULL  LIST-1 (2006년)_ PULL  LIST-1 (2007년)" xfId="186"/>
    <cellStyle name="@_9월-12월_9월-12월_9월-12월_1월-4월_PULL  LIST-1 (2004년)_PULL  LIST-1 (2004년)" xfId="187"/>
    <cellStyle name="@_9월-12월_9월-12월_9월-12월_1월-4월_PULL  LIST-1 (2004년)_PULL  LIST-1 (2004년)_ PULL  LIST-1 (2007년)" xfId="188"/>
    <cellStyle name="@_9월-12월_9월-12월_9월-12월_1월-4월_PULL  LIST-1 (2004년)_PULL  LIST-1 (2004년)_PULL  LIST-1 (2004년)" xfId="189"/>
    <cellStyle name="@_9월-12월_9월-12월_9월-12월_1월-4월_PULL  LIST-1 (2004년)_PULL  LIST-1 (2004년)_PULL  LIST-1 (2004년)_Book1" xfId="190"/>
    <cellStyle name="@_9월-12월_9월-12월_9월-12월_1월-4월_PULL  LIST-1 (2004년)_PULL  LIST-1 (2004년)_PULL  LIST-1 (2004년)_Book1_ PULL  LIST-1 (2007년)" xfId="191"/>
    <cellStyle name="@_9월-12월_9월-12월_9월-12월_1월-4월_PULL  LIST-1 (2004년)_PULL  LIST-1 (2004년)_PULL  LIST-1 (2004년)_Book1_PULL  LIST-1 (2005년)" xfId="192"/>
    <cellStyle name="@_9월-12월_9월-12월_9월-12월_1월-4월_PULL  LIST-1 (2004년)_PULL  LIST-1 (2004년)_PULL  LIST-1 (2004년)_Book1_PULL  LIST-1 (2005년)_PULL  LIST-1 (2005년)" xfId="193"/>
    <cellStyle name="@_9월-12월_9월-12월_9월-12월_1월-4월_PULL  LIST-1 (2004년)_PULL  LIST-1 (2004년)_PULL  LIST-1 (2004년)_Book1_PULL  LIST-1 (2005년)_PULL  LIST-1 (2005년)_ PULL  LIST-1 (2007년)" xfId="194"/>
    <cellStyle name="@_9월-12월_9월-12월_9월-12월_1월-4월_PULL  LIST-1 (2004년)_PULL  LIST-1 (2004년)_PULL  LIST-1 (2004년)_Book1_PULL  LIST-1 (2005년)_PULL  LIST-1 (2005년)_PULL  LIST-1 (2006년)" xfId="195"/>
    <cellStyle name="@_9월-12월_9월-12월_9월-12월_1월-4월_PULL  LIST-1 (2004년)_PULL  LIST-1 (2004년)_PULL  LIST-1 (2004년)_Book1_PULL  LIST-1 (2005년)_PULL  LIST-1 (2005년)_PULL  LIST-1 (2006년)_PULL  LIST-1 (2006년)" xfId="196"/>
    <cellStyle name="@_9월-12월_9월-12월_9월-12월_1월-4월_PULL  LIST-1 (2004년)_PULL  LIST-1 (2004년)_PULL  LIST-1 (2004년)_Book1_PULL  LIST-1 (2005년)_PULL  LIST-1 (2005년)_PULL  LIST-1 (2006년)_PULL  LIST-1 (2006년)_ PULL  LIST-1 (2007년)" xfId="197"/>
    <cellStyle name="@_9월-12월_9월-12월_9월-12월_1월-4월_PULL  LIST-1 (2004년)_PULL  LIST-1 (2004년)_PULL  LIST-1 (2004년)_Book1_PULL  LIST-1 (2005년)_PULL  LIST-1 (2006년)" xfId="198"/>
    <cellStyle name="@_9월-12월_9월-12월_9월-12월_1월-4월_PULL  LIST-1 (2004년)_PULL  LIST-1 (2004년)_PULL  LIST-1 (2004년)_Book1_PULL  LIST-1 (2005년)_PULL  LIST-1 (2006년)_ PULL  LIST-1 (2007년)" xfId="199"/>
    <cellStyle name="@_9월-12월_9월-12월_9월-12월_1월-4월_PULL  LIST-1 (2004년)_PULL  LIST-1 (2004년)_PULL  LIST-1 (2004년)_Book1_PULL  LIST-1 (2005년)_PULL  LIST-1 (2006년)_PULL  LIST-1 (2006년)" xfId="200"/>
    <cellStyle name="@_9월-12월_9월-12월_9월-12월_1월-4월_PULL  LIST-1 (2004년)_PULL  LIST-1 (2004년)_PULL  LIST-1 (2004년)_Book1_PULL  LIST-1 (2005년)_PULL  LIST-1 (2006년)_PULL  LIST-1 (2006년)_PULL  LIST-1 (2006년)" xfId="201"/>
    <cellStyle name="@_9월-12월_9월-12월_9월-12월_1월-4월_PULL  LIST-1 (2004년)_PULL  LIST-1 (2004년)_PULL  LIST-1 (2004년)_Book1_PULL  LIST-1 (2005년)_PULL  LIST-1 (2006년)_PULL  LIST-1 (2006년)_PULL  LIST-1 (2006년)_ PULL  LIST-1 (2007년)" xfId="202"/>
    <cellStyle name="@_9월-12월_9월-12월_9월-12월_1월-4월_PULL  LIST-1 (2004년)_PULL  LIST-1 (2004년)_PULL  LIST-1 (2004년)_Book1_PULL  LIST-1 (2005년)_원가인하9월30일" xfId="203"/>
    <cellStyle name="@_9월-12월_9월-12월_9월-12월_1월-4월_PULL  LIST-1 (2004년)_PULL  LIST-1 (2004년)_PULL  LIST-1 (2004년)_Book1_PULL  LIST-1 (2005년)_원가인하9월30일_ PULL  LIST-1 (2007년)" xfId="204"/>
    <cellStyle name="@_9월-12월_9월-12월_9월-12월_1월-4월_PULL  LIST-1 (2004년)_PULL  LIST-1 (2004년)_PULL  LIST-1 (2004년)_Book1_PULL  LIST-1 (2005년)_원가인하9월30일_PULL  LIST-1 (2006년)" xfId="205"/>
    <cellStyle name="@_9월-12월_9월-12월_9월-12월_1월-4월_PULL  LIST-1 (2004년)_PULL  LIST-1 (2004년)_PULL  LIST-1 (2004년)_Book1_PULL  LIST-1 (2005년)_원가인하9월30일_PULL  LIST-1 (2006년)_PULL  LIST-1 (2006년)" xfId="206"/>
    <cellStyle name="@_9월-12월_9월-12월_9월-12월_1월-4월_PULL  LIST-1 (2004년)_PULL  LIST-1 (2004년)_PULL  LIST-1 (2004년)_Book1_PULL  LIST-1 (2005년)_원가인하9월30일_PULL  LIST-1 (2006년)_PULL  LIST-1 (2006년)_ PULL  LIST-1 (2007년)" xfId="207"/>
    <cellStyle name="@_9월-12월_9월-12월_9월-12월_1월-4월_PULL  LIST-1 (2004년)_PULL  LIST-1 (2004년)_PULL  LIST-1 (2004년)_Book1_PULL  LIST-1 (2006년)" xfId="208"/>
    <cellStyle name="@_9월-12월_9월-12월_9월-12월_1월-4월_PULL  LIST-1 (2004년)_PULL  LIST-1 (2004년)_PULL  LIST-1 (2004년)_Book1_PULL  LIST-1 (2006년)_PULL  LIST-1 (2006년)" xfId="209"/>
    <cellStyle name="@_9월-12월_9월-12월_9월-12월_1월-4월_PULL  LIST-1 (2004년)_PULL  LIST-1 (2004년)_PULL  LIST-1 (2004년)_Book1_PULL  LIST-1 (2006년)_PULL  LIST-1 (2006년)_ PULL  LIST-1 (2007년)" xfId="210"/>
    <cellStyle name="@_9월-12월_9월-12월_9월-12월_1월-4월_PULL  LIST-1 (2004년)_PULL  LIST-1 (2004년)_PULL  LIST-1 (2004년)_PULL  LIST-1 (2005년)" xfId="211"/>
    <cellStyle name="@_9월-12월_9월-12월_9월-12월_1월-4월_PULL  LIST-1 (2004년)_PULL  LIST-1 (2004년)_PULL  LIST-1 (2004년)_PULL  LIST-1 (2005년)_ PULL  LIST-1 (2007년)" xfId="212"/>
    <cellStyle name="@_9월-12월_9월-12월_9월-12월_1월-4월_PULL  LIST-1 (2004년)_PULL  LIST-1 (2004년)_PULL  LIST-1 (2004년)_PULL  LIST-1 (2005년)_PULL  LIST-1 (2006년)" xfId="213"/>
    <cellStyle name="@_9월-12월_9월-12월_9월-12월_1월-4월_PULL  LIST-1 (2004년)_PULL  LIST-1 (2004년)_PULL  LIST-1 (2004년)_PULL  LIST-1 (2005년)_PULL  LIST-1 (2006년)_PULL  LIST-1 (2006년)" xfId="214"/>
    <cellStyle name="@_9월-12월_9월-12월_9월-12월_1월-4월_PULL  LIST-1 (2004년)_PULL  LIST-1 (2004년)_PULL  LIST-1 (2004년)_PULL  LIST-1 (2005년)_PULL  LIST-1 (2006년)_PULL  LIST-1 (2006년)_ PULL  LIST-1 (2007년)" xfId="215"/>
    <cellStyle name="@_9월-12월_9월-12월_9월-12월_1월-4월_PULL  LIST-1 (2004년)_PULL  LIST-1 (2004년)_PULL  LIST-1 (2004년)_PULL  LIST-1 (2006년)" xfId="216"/>
    <cellStyle name="@_9월-12월_9월-12월_9월-12월_1월-4월_PULL  LIST-1 (2004년)_PULL  LIST-1 (2004년)_PULL  LIST-1 (2004년)_PULL  LIST-1 (2006년)_ PULL  LIST-1 (2007년)" xfId="217"/>
    <cellStyle name="@_9월-12월_9월-12월_9월-12월_1월-4월_PULL  LIST-1 (2004년)_PULL  LIST-1 (2004년)_PULL  LIST-1 (2004년)_PULL  LIST-1 (2006년)_PULL  LIST-1 (2006년)" xfId="218"/>
    <cellStyle name="@_9월-12월_9월-12월_9월-12월_1월-4월_PULL  LIST-1 (2004년)_PULL  LIST-1 (2004년)_PULL  LIST-1 (2004년)_PULL  LIST-1 (2006년)_PULL  LIST-1 (2006년)_PULL  LIST-1 (2006년)" xfId="219"/>
    <cellStyle name="@_9월-12월_9월-12월_9월-12월_1월-4월_PULL  LIST-1 (2004년)_PULL  LIST-1 (2004년)_PULL  LIST-1 (2004년)_PULL  LIST-1 (2006년)_PULL  LIST-1 (2006년)_PULL  LIST-1 (2006년)_ PULL  LIST-1 (2007년)" xfId="220"/>
    <cellStyle name="@_9월-12월_9월-12월_9월-12월_1월-4월_PULL  LIST-1 (2004년)_PULL  LIST-1 (2004년)_PULL  LIST-1 (2004년)_원가인하9월30일" xfId="221"/>
    <cellStyle name="@_9월-12월_9월-12월_9월-12월_1월-4월_PULL  LIST-1 (2004년)_PULL  LIST-1 (2004년)_PULL  LIST-1 (2004년)_원가인하9월30일_ PULL  LIST-1 (2007년)" xfId="222"/>
    <cellStyle name="@_9월-12월_9월-12월_9월-12월_1월-4월_PULL  LIST-1 (2004년)_PULL  LIST-1 (2004년)_PULL  LIST-1 (2004년)_원가인하9월30일_PULL  LIST-1 (2006년)" xfId="223"/>
    <cellStyle name="@_9월-12월_9월-12월_9월-12월_1월-4월_PULL  LIST-1 (2004년)_PULL  LIST-1 (2004년)_PULL  LIST-1 (2004년)_원가인하9월30일_PULL  LIST-1 (2006년)_PULL  LIST-1 (2006년)" xfId="224"/>
    <cellStyle name="@_9월-12월_9월-12월_9월-12월_1월-4월_PULL  LIST-1 (2004년)_PULL  LIST-1 (2004년)_PULL  LIST-1 (2004년)_원가인하9월30일_PULL  LIST-1 (2006년)_PULL  LIST-1 (2006년)_ PULL  LIST-1 (2007년)" xfId="225"/>
    <cellStyle name="@_9월-12월_9월-12월_9월-12월_1월-4월_PULL  LIST-1 (2004년)_PULL  LIST-1 (2004년)_PULL  LIST-1 (2005년)" xfId="226"/>
    <cellStyle name="@_9월-12월_9월-12월_9월-12월_1월-4월_PULL  LIST-1 (2004년)_PULL  LIST-1 (2004년)_PULL  LIST-1 (2005년)_PULL  LIST-1 (2005년)" xfId="227"/>
    <cellStyle name="@_9월-12월_9월-12월_9월-12월_1월-4월_PULL  LIST-1 (2004년)_PULL  LIST-1 (2004년)_PULL  LIST-1 (2005년)_PULL  LIST-1 (2005년)_ PULL  LIST-1 (2007년)" xfId="228"/>
    <cellStyle name="@_9월-12월_9월-12월_9월-12월_1월-4월_PULL  LIST-1 (2004년)_PULL  LIST-1 (2004년)_PULL  LIST-1 (2005년)_PULL  LIST-1 (2005년)_PULL  LIST-1 (2006년)" xfId="229"/>
    <cellStyle name="@_9월-12월_9월-12월_9월-12월_1월-4월_PULL  LIST-1 (2004년)_PULL  LIST-1 (2004년)_PULL  LIST-1 (2005년)_PULL  LIST-1 (2005년)_PULL  LIST-1 (2006년)_PULL  LIST-1 (2006년)" xfId="230"/>
    <cellStyle name="@_9월-12월_9월-12월_9월-12월_1월-4월_PULL  LIST-1 (2004년)_PULL  LIST-1 (2004년)_PULL  LIST-1 (2005년)_PULL  LIST-1 (2005년)_PULL  LIST-1 (2006년)_PULL  LIST-1 (2006년)_ PULL  LIST-1 (2007년)" xfId="231"/>
    <cellStyle name="@_9월-12월_9월-12월_9월-12월_1월-4월_PULL  LIST-1 (2004년)_PULL  LIST-1 (2004년)_PULL  LIST-1 (2005년)_PULL  LIST-1 (2006년)" xfId="232"/>
    <cellStyle name="@_9월-12월_9월-12월_9월-12월_1월-4월_PULL  LIST-1 (2004년)_PULL  LIST-1 (2004년)_PULL  LIST-1 (2005년)_PULL  LIST-1 (2006년)_ PULL  LIST-1 (2007년)" xfId="233"/>
    <cellStyle name="@_9월-12월_9월-12월_9월-12월_1월-4월_PULL  LIST-1 (2004년)_PULL  LIST-1 (2004년)_PULL  LIST-1 (2005년)_PULL  LIST-1 (2006년)_PULL  LIST-1 (2006년)" xfId="234"/>
    <cellStyle name="@_9월-12월_9월-12월_9월-12월_1월-4월_PULL  LIST-1 (2004년)_PULL  LIST-1 (2004년)_PULL  LIST-1 (2005년)_PULL  LIST-1 (2006년)_PULL  LIST-1 (2006년)_PULL  LIST-1 (2006년)" xfId="235"/>
    <cellStyle name="@_9월-12월_9월-12월_9월-12월_1월-4월_PULL  LIST-1 (2004년)_PULL  LIST-1 (2004년)_PULL  LIST-1 (2005년)_PULL  LIST-1 (2006년)_PULL  LIST-1 (2006년)_PULL  LIST-1 (2006년)_ PULL  LIST-1 (2007년)" xfId="236"/>
    <cellStyle name="@_9월-12월_9월-12월_9월-12월_1월-4월_PULL  LIST-1 (2004년)_PULL  LIST-1 (2004년)_PULL  LIST-1 (2005년)_원가인하9월30일" xfId="237"/>
    <cellStyle name="@_9월-12월_9월-12월_9월-12월_1월-4월_PULL  LIST-1 (2004년)_PULL  LIST-1 (2004년)_PULL  LIST-1 (2005년)_원가인하9월30일_ PULL  LIST-1 (2007년)" xfId="238"/>
    <cellStyle name="@_9월-12월_9월-12월_9월-12월_1월-4월_PULL  LIST-1 (2004년)_PULL  LIST-1 (2004년)_PULL  LIST-1 (2005년)_원가인하9월30일_PULL  LIST-1 (2006년)" xfId="239"/>
    <cellStyle name="@_9월-12월_9월-12월_9월-12월_1월-4월_PULL  LIST-1 (2004년)_PULL  LIST-1 (2004년)_PULL  LIST-1 (2005년)_원가인하9월30일_PULL  LIST-1 (2006년)_PULL  LIST-1 (2006년)" xfId="240"/>
    <cellStyle name="@_9월-12월_9월-12월_9월-12월_1월-4월_PULL  LIST-1 (2004년)_PULL  LIST-1 (2004년)_PULL  LIST-1 (2005년)_원가인하9월30일_PULL  LIST-1 (2006년)_PULL  LIST-1 (2006년)_ PULL  LIST-1 (2007년)" xfId="241"/>
    <cellStyle name="@_9월-12월_9월-12월_9월-12월_1월-4월_PULL  LIST-1 (2004년)_PULL  LIST-1 (2004년)_PULL  LIST-1 (2006년)" xfId="242"/>
    <cellStyle name="@_9월-12월_9월-12월_9월-12월_1월-4월_PULL  LIST-1 (2004년)_PULL  LIST-1 (2004년)_PULL  LIST-1 (2006년)_PULL  LIST-1 (2006년)" xfId="243"/>
    <cellStyle name="@_9월-12월_9월-12월_9월-12월_1월-4월_PULL  LIST-1 (2004년)_PULL  LIST-1 (2004년)_PULL  LIST-1 (2006년)_PULL  LIST-1 (2006년)_ PULL  LIST-1 (2007년)" xfId="244"/>
    <cellStyle name="@_9월-12월_9월-12월_9월-12월_1월-4월_PULL  LIST-1 (2004년)_PULL  LIST-1 (2005년)" xfId="245"/>
    <cellStyle name="@_9월-12월_9월-12월_9월-12월_1월-4월_PULL  LIST-1 (2004년)_PULL  LIST-1 (2005년)_ PULL  LIST-1 (2007년)" xfId="246"/>
    <cellStyle name="@_9월-12월_9월-12월_9월-12월_1월-4월_PULL  LIST-1 (2004년)_PULL  LIST-1 (2005년)_PULL  LIST-1 (2006년)" xfId="247"/>
    <cellStyle name="@_9월-12월_9월-12월_9월-12월_1월-4월_PULL  LIST-1 (2004년)_PULL  LIST-1 (2005년)_PULL  LIST-1 (2006년)_PULL  LIST-1 (2006년)" xfId="248"/>
    <cellStyle name="@_9월-12월_9월-12월_9월-12월_1월-4월_PULL  LIST-1 (2004년)_PULL  LIST-1 (2005년)_PULL  LIST-1 (2006년)_PULL  LIST-1 (2006년)_ PULL  LIST-1 (2007년)" xfId="249"/>
    <cellStyle name="@_9월-12월_9월-12월_9월-12월_1월-4월_PULL  LIST-1 (2004년)_PULL  LIST-1 (2006년)" xfId="250"/>
    <cellStyle name="@_9월-12월_9월-12월_9월-12월_1월-4월_PULL  LIST-1 (2004년)_PULL  LIST-1 (2006년)_ PULL  LIST-1 (2007년)" xfId="251"/>
    <cellStyle name="@_9월-12월_9월-12월_9월-12월_1월-4월_PULL  LIST-1 (2004년)_PULL  LIST-1 (2006년)_PULL  LIST-1 (2006년)" xfId="252"/>
    <cellStyle name="@_9월-12월_9월-12월_9월-12월_1월-4월_PULL  LIST-1 (2004년)_PULL  LIST-1 (2006년)_PULL  LIST-1 (2006년)_PULL  LIST-1 (2006년)" xfId="253"/>
    <cellStyle name="@_9월-12월_9월-12월_9월-12월_1월-4월_PULL  LIST-1 (2004년)_PULL  LIST-1 (2006년)_PULL  LIST-1 (2006년)_PULL  LIST-1 (2006년)_ PULL  LIST-1 (2007년)" xfId="254"/>
    <cellStyle name="@_9월-12월_9월-12월_9월-12월_1월-4월_PULL  LIST-1 (2004년)_원가인하9월30일" xfId="255"/>
    <cellStyle name="@_9월-12월_9월-12월_9월-12월_1월-4월_PULL  LIST-1 (2004년)_원가인하9월30일_ PULL  LIST-1 (2007년)" xfId="256"/>
    <cellStyle name="@_9월-12월_9월-12월_9월-12월_1월-4월_PULL  LIST-1 (2004년)_원가인하9월30일_PULL  LIST-1 (2006년)" xfId="257"/>
    <cellStyle name="@_9월-12월_9월-12월_9월-12월_1월-4월_PULL  LIST-1 (2004년)_원가인하9월30일_PULL  LIST-1 (2006년)_PULL  LIST-1 (2006년)" xfId="258"/>
    <cellStyle name="@_9월-12월_9월-12월_9월-12월_1월-4월_PULL  LIST-1 (2004년)_원가인하9월30일_PULL  LIST-1 (2006년)_PULL  LIST-1 (2006년)_ PULL  LIST-1 (2007년)" xfId="259"/>
    <cellStyle name="@_9월-12월_9월-12월_9월-12월_1월-4월_PULL  LIST-1 (2005년)" xfId="260"/>
    <cellStyle name="@_9월-12월_9월-12월_9월-12월_1월-4월_PULL  LIST-1 (2005년)_PULL  LIST-1 (2005년)" xfId="261"/>
    <cellStyle name="@_9월-12월_9월-12월_9월-12월_1월-4월_PULL  LIST-1 (2005년)_PULL  LIST-1 (2005년)_ PULL  LIST-1 (2007년)" xfId="262"/>
    <cellStyle name="@_9월-12월_9월-12월_9월-12월_1월-4월_PULL  LIST-1 (2005년)_PULL  LIST-1 (2005년)_PULL  LIST-1 (2006년)" xfId="263"/>
    <cellStyle name="@_9월-12월_9월-12월_9월-12월_1월-4월_PULL  LIST-1 (2005년)_PULL  LIST-1 (2005년)_PULL  LIST-1 (2006년)_PULL  LIST-1 (2006년)" xfId="264"/>
    <cellStyle name="@_9월-12월_9월-12월_9월-12월_1월-4월_PULL  LIST-1 (2005년)_PULL  LIST-1 (2005년)_PULL  LIST-1 (2006년)_PULL  LIST-1 (2006년)_ PULL  LIST-1 (2007년)" xfId="265"/>
    <cellStyle name="@_9월-12월_9월-12월_9월-12월_1월-4월_PULL  LIST-1 (2005년)_PULL  LIST-1 (2006년)" xfId="266"/>
    <cellStyle name="@_9월-12월_9월-12월_9월-12월_1월-4월_PULL  LIST-1 (2005년)_PULL  LIST-1 (2006년)_ PULL  LIST-1 (2007년)" xfId="267"/>
    <cellStyle name="@_9월-12월_9월-12월_9월-12월_1월-4월_PULL  LIST-1 (2005년)_PULL  LIST-1 (2006년)_PULL  LIST-1 (2006년)" xfId="268"/>
    <cellStyle name="@_9월-12월_9월-12월_9월-12월_1월-4월_PULL  LIST-1 (2005년)_PULL  LIST-1 (2006년)_PULL  LIST-1 (2006년)_PULL  LIST-1 (2006년)" xfId="269"/>
    <cellStyle name="@_9월-12월_9월-12월_9월-12월_1월-4월_PULL  LIST-1 (2005년)_PULL  LIST-1 (2006년)_PULL  LIST-1 (2006년)_PULL  LIST-1 (2006년)_ PULL  LIST-1 (2007년)" xfId="270"/>
    <cellStyle name="@_9월-12월_9월-12월_9월-12월_1월-4월_PULL  LIST-1 (2005년)_원가인하9월30일" xfId="271"/>
    <cellStyle name="@_9월-12월_9월-12월_9월-12월_1월-4월_PULL  LIST-1 (2005년)_원가인하9월30일_ PULL  LIST-1 (2007년)" xfId="272"/>
    <cellStyle name="@_9월-12월_9월-12월_9월-12월_1월-4월_PULL  LIST-1 (2005년)_원가인하9월30일_PULL  LIST-1 (2006년)" xfId="273"/>
    <cellStyle name="@_9월-12월_9월-12월_9월-12월_1월-4월_PULL  LIST-1 (2005년)_원가인하9월30일_PULL  LIST-1 (2006년)_PULL  LIST-1 (2006년)" xfId="274"/>
    <cellStyle name="@_9월-12월_9월-12월_9월-12월_1월-4월_PULL  LIST-1 (2005년)_원가인하9월30일_PULL  LIST-1 (2006년)_PULL  LIST-1 (2006년)_ PULL  LIST-1 (2007년)" xfId="275"/>
    <cellStyle name="@_9월-12월_9월-12월_9월-12월_1월-4월_PULL  LIST-1 (2006년)" xfId="276"/>
    <cellStyle name="@_9월-12월_9월-12월_9월-12월_1월-4월_PULL  LIST-1 (2006년)_PULL  LIST-1 (2006년)" xfId="277"/>
    <cellStyle name="@_9월-12월_9월-12월_9월-12월_1월-4월_PULL  LIST-1 (2006년)_PULL  LIST-1 (2006년)_ PULL  LIST-1 (2007년)" xfId="278"/>
    <cellStyle name="@_9월-12월_9월-12월_9월-12월_9월-12월" xfId="279"/>
    <cellStyle name="@_9월-12월_9월-12월_9월-12월_9월-12월_ PULL  LIST-1 (2007년)" xfId="280"/>
    <cellStyle name="@_9월-12월_9월-12월_9월-12월_9월-12월_PULL  LIST-1 (2004년)" xfId="281"/>
    <cellStyle name="@_9월-12월_9월-12월_9월-12월_9월-12월_PULL  LIST-1 (2004년)_Book1" xfId="282"/>
    <cellStyle name="@_9월-12월_9월-12월_9월-12월_9월-12월_PULL  LIST-1 (2004년)_Book1_ PULL  LIST-1 (2007년)" xfId="283"/>
    <cellStyle name="@_9월-12월_9월-12월_9월-12월_9월-12월_PULL  LIST-1 (2004년)_Book1_PULL  LIST-1 (2005년)" xfId="284"/>
    <cellStyle name="@_9월-12월_9월-12월_9월-12월_9월-12월_PULL  LIST-1 (2004년)_Book1_PULL  LIST-1 (2005년)_PULL  LIST-1 (2005년)" xfId="285"/>
    <cellStyle name="@_9월-12월_9월-12월_9월-12월_9월-12월_PULL  LIST-1 (2004년)_Book1_PULL  LIST-1 (2005년)_PULL  LIST-1 (2005년)_ PULL  LIST-1 (2007년)" xfId="286"/>
    <cellStyle name="@_9월-12월_9월-12월_9월-12월_9월-12월_PULL  LIST-1 (2004년)_Book1_PULL  LIST-1 (2005년)_PULL  LIST-1 (2005년)_PULL  LIST-1 (2006년)" xfId="287"/>
    <cellStyle name="@_9월-12월_9월-12월_9월-12월_9월-12월_PULL  LIST-1 (2004년)_Book1_PULL  LIST-1 (2005년)_PULL  LIST-1 (2005년)_PULL  LIST-1 (2006년)_PULL  LIST-1 (2006년)" xfId="288"/>
    <cellStyle name="@_9월-12월_9월-12월_9월-12월_9월-12월_PULL  LIST-1 (2004년)_Book1_PULL  LIST-1 (2005년)_PULL  LIST-1 (2005년)_PULL  LIST-1 (2006년)_PULL  LIST-1 (2006년)_ PULL  LIST-1 (2007년)" xfId="289"/>
    <cellStyle name="@_9월-12월_9월-12월_9월-12월_9월-12월_PULL  LIST-1 (2004년)_Book1_PULL  LIST-1 (2005년)_PULL  LIST-1 (2006년)" xfId="290"/>
    <cellStyle name="@_9월-12월_9월-12월_9월-12월_9월-12월_PULL  LIST-1 (2004년)_Book1_PULL  LIST-1 (2005년)_PULL  LIST-1 (2006년)_ PULL  LIST-1 (2007년)" xfId="291"/>
    <cellStyle name="@_9월-12월_9월-12월_9월-12월_9월-12월_PULL  LIST-1 (2004년)_Book1_PULL  LIST-1 (2005년)_PULL  LIST-1 (2006년)_PULL  LIST-1 (2006년)" xfId="292"/>
    <cellStyle name="@_9월-12월_9월-12월_9월-12월_9월-12월_PULL  LIST-1 (2004년)_Book1_PULL  LIST-1 (2005년)_PULL  LIST-1 (2006년)_PULL  LIST-1 (2006년)_PULL  LIST-1 (2006년)" xfId="293"/>
    <cellStyle name="@_9월-12월_9월-12월_9월-12월_9월-12월_PULL  LIST-1 (2004년)_Book1_PULL  LIST-1 (2005년)_PULL  LIST-1 (2006년)_PULL  LIST-1 (2006년)_PULL  LIST-1 (2006년)_ PULL  LIST-1 (2007년)" xfId="294"/>
    <cellStyle name="@_9월-12월_9월-12월_9월-12월_9월-12월_PULL  LIST-1 (2004년)_Book1_PULL  LIST-1 (2005년)_원가인하9월30일" xfId="295"/>
    <cellStyle name="@_9월-12월_9월-12월_9월-12월_9월-12월_PULL  LIST-1 (2004년)_Book1_PULL  LIST-1 (2005년)_원가인하9월30일_ PULL  LIST-1 (2007년)" xfId="296"/>
    <cellStyle name="@_9월-12월_9월-12월_9월-12월_9월-12월_PULL  LIST-1 (2004년)_Book1_PULL  LIST-1 (2005년)_원가인하9월30일_PULL  LIST-1 (2006년)" xfId="297"/>
    <cellStyle name="@_9월-12월_9월-12월_9월-12월_9월-12월_PULL  LIST-1 (2004년)_Book1_PULL  LIST-1 (2005년)_원가인하9월30일_PULL  LIST-1 (2006년)_PULL  LIST-1 (2006년)" xfId="298"/>
    <cellStyle name="@_9월-12월_9월-12월_9월-12월_9월-12월_PULL  LIST-1 (2004년)_Book1_PULL  LIST-1 (2005년)_원가인하9월30일_PULL  LIST-1 (2006년)_PULL  LIST-1 (2006년)_ PULL  LIST-1 (2007년)" xfId="299"/>
    <cellStyle name="@_9월-12월_9월-12월_9월-12월_9월-12월_PULL  LIST-1 (2004년)_Book1_PULL  LIST-1 (2006년)" xfId="300"/>
    <cellStyle name="@_9월-12월_9월-12월_9월-12월_9월-12월_PULL  LIST-1 (2004년)_Book1_PULL  LIST-1 (2006년)_PULL  LIST-1 (2006년)" xfId="301"/>
    <cellStyle name="@_9월-12월_9월-12월_9월-12월_9월-12월_PULL  LIST-1 (2004년)_Book1_PULL  LIST-1 (2006년)_PULL  LIST-1 (2006년)_ PULL  LIST-1 (2007년)" xfId="302"/>
    <cellStyle name="@_9월-12월_9월-12월_9월-12월_9월-12월_PULL  LIST-1 (2004년)_PULL  LIST-1 (2004년)" xfId="303"/>
    <cellStyle name="@_9월-12월_9월-12월_9월-12월_9월-12월_PULL  LIST-1 (2004년)_PULL  LIST-1 (2004년)_ PULL  LIST-1 (2007년)" xfId="304"/>
    <cellStyle name="@_9월-12월_9월-12월_9월-12월_9월-12월_PULL  LIST-1 (2004년)_PULL  LIST-1 (2004년)_PULL  LIST-1 (2004년)" xfId="305"/>
    <cellStyle name="@_9월-12월_9월-12월_9월-12월_9월-12월_PULL  LIST-1 (2004년)_PULL  LIST-1 (2004년)_PULL  LIST-1 (2004년)_Book1" xfId="306"/>
    <cellStyle name="@_9월-12월_9월-12월_9월-12월_9월-12월_PULL  LIST-1 (2004년)_PULL  LIST-1 (2004년)_PULL  LIST-1 (2004년)_Book1_ PULL  LIST-1 (2007년)" xfId="307"/>
    <cellStyle name="@_9월-12월_9월-12월_9월-12월_9월-12월_PULL  LIST-1 (2004년)_PULL  LIST-1 (2004년)_PULL  LIST-1 (2004년)_Book1_PULL  LIST-1 (2005년)" xfId="308"/>
    <cellStyle name="@_9월-12월_9월-12월_9월-12월_9월-12월_PULL  LIST-1 (2004년)_PULL  LIST-1 (2004년)_PULL  LIST-1 (2004년)_Book1_PULL  LIST-1 (2005년)_PULL  LIST-1 (2005년)" xfId="309"/>
    <cellStyle name="@_9월-12월_9월-12월_9월-12월_9월-12월_PULL  LIST-1 (2004년)_PULL  LIST-1 (2004년)_PULL  LIST-1 (2004년)_Book1_PULL  LIST-1 (2005년)_PULL  LIST-1 (2005년)_ PULL  LIST-1 (2007년)" xfId="310"/>
    <cellStyle name="@_9월-12월_9월-12월_9월-12월_9월-12월_PULL  LIST-1 (2004년)_PULL  LIST-1 (2004년)_PULL  LIST-1 (2004년)_Book1_PULL  LIST-1 (2005년)_PULL  LIST-1 (2005년)_PULL  LIST-1 (2006년)" xfId="311"/>
    <cellStyle name="@_9월-12월_9월-12월_9월-12월_9월-12월_PULL  LIST-1 (2004년)_PULL  LIST-1 (2004년)_PULL  LIST-1 (2004년)_Book1_PULL  LIST-1 (2005년)_PULL  LIST-1 (2005년)_PULL  LIST-1 (2006년)_PULL  LIST-1 (2006년)" xfId="312"/>
    <cellStyle name="@_9월-12월_9월-12월_9월-12월_9월-12월_PULL  LIST-1 (2004년)_PULL  LIST-1 (2004년)_PULL  LIST-1 (2004년)_Book1_PULL  LIST-1 (2005년)_PULL  LIST-1 (2005년)_PULL  LIST-1 (2006년)_PULL  LIST-1 (2006년)_ PULL  LIST-1 (2007년)" xfId="313"/>
    <cellStyle name="@_9월-12월_9월-12월_9월-12월_9월-12월_PULL  LIST-1 (2004년)_PULL  LIST-1 (2004년)_PULL  LIST-1 (2004년)_Book1_PULL  LIST-1 (2005년)_PULL  LIST-1 (2006년)" xfId="314"/>
    <cellStyle name="@_9월-12월_9월-12월_9월-12월_9월-12월_PULL  LIST-1 (2004년)_PULL  LIST-1 (2004년)_PULL  LIST-1 (2004년)_Book1_PULL  LIST-1 (2005년)_PULL  LIST-1 (2006년)_ PULL  LIST-1 (2007년)" xfId="315"/>
    <cellStyle name="@_9월-12월_9월-12월_9월-12월_9월-12월_PULL  LIST-1 (2004년)_PULL  LIST-1 (2004년)_PULL  LIST-1 (2004년)_Book1_PULL  LIST-1 (2005년)_PULL  LIST-1 (2006년)_PULL  LIST-1 (2006년)" xfId="316"/>
    <cellStyle name="@_9월-12월_9월-12월_9월-12월_9월-12월_PULL  LIST-1 (2004년)_PULL  LIST-1 (2004년)_PULL  LIST-1 (2004년)_Book1_PULL  LIST-1 (2005년)_PULL  LIST-1 (2006년)_PULL  LIST-1 (2006년)_PULL  LIST-1 (2006년)" xfId="317"/>
    <cellStyle name="@_9월-12월_9월-12월_9월-12월_9월-12월_PULL  LIST-1 (2004년)_PULL  LIST-1 (2004년)_PULL  LIST-1 (2004년)_Book1_PULL  LIST-1 (2005년)_PULL  LIST-1 (2006년)_PULL  LIST-1 (2006년)_PULL  LIST-1 (2006년)_ PULL  LIST-1 (2007년)" xfId="318"/>
    <cellStyle name="@_9월-12월_9월-12월_9월-12월_9월-12월_PULL  LIST-1 (2004년)_PULL  LIST-1 (2004년)_PULL  LIST-1 (2004년)_Book1_PULL  LIST-1 (2005년)_원가인하9월30일" xfId="319"/>
    <cellStyle name="@_9월-12월_9월-12월_9월-12월_9월-12월_PULL  LIST-1 (2004년)_PULL  LIST-1 (2004년)_PULL  LIST-1 (2004년)_Book1_PULL  LIST-1 (2005년)_원가인하9월30일_ PULL  LIST-1 (2007년)" xfId="320"/>
    <cellStyle name="@_9월-12월_9월-12월_9월-12월_9월-12월_PULL  LIST-1 (2004년)_PULL  LIST-1 (2004년)_PULL  LIST-1 (2004년)_Book1_PULL  LIST-1 (2005년)_원가인하9월30일_PULL  LIST-1 (2006년)" xfId="321"/>
    <cellStyle name="@_9월-12월_9월-12월_9월-12월_9월-12월_PULL  LIST-1 (2004년)_PULL  LIST-1 (2004년)_PULL  LIST-1 (2004년)_Book1_PULL  LIST-1 (2005년)_원가인하9월30일_PULL  LIST-1 (2006년)_PULL  LIST-1 (2006년)" xfId="322"/>
    <cellStyle name="@_9월-12월_9월-12월_9월-12월_9월-12월_PULL  LIST-1 (2004년)_PULL  LIST-1 (2004년)_PULL  LIST-1 (2004년)_Book1_PULL  LIST-1 (2005년)_원가인하9월30일_PULL  LIST-1 (2006년)_PULL  LIST-1 (2006년)_ PULL  LIST-1 (2007년)" xfId="323"/>
    <cellStyle name="@_9월-12월_9월-12월_9월-12월_9월-12월_PULL  LIST-1 (2004년)_PULL  LIST-1 (2004년)_PULL  LIST-1 (2004년)_Book1_PULL  LIST-1 (2006년)" xfId="324"/>
    <cellStyle name="@_9월-12월_9월-12월_9월-12월_9월-12월_PULL  LIST-1 (2004년)_PULL  LIST-1 (2004년)_PULL  LIST-1 (2004년)_Book1_PULL  LIST-1 (2006년)_PULL  LIST-1 (2006년)" xfId="325"/>
    <cellStyle name="@_9월-12월_9월-12월_9월-12월_9월-12월_PULL  LIST-1 (2004년)_PULL  LIST-1 (2004년)_PULL  LIST-1 (2004년)_Book1_PULL  LIST-1 (2006년)_PULL  LIST-1 (2006년)_ PULL  LIST-1 (2007년)" xfId="326"/>
    <cellStyle name="@_9월-12월_9월-12월_9월-12월_9월-12월_PULL  LIST-1 (2004년)_PULL  LIST-1 (2004년)_PULL  LIST-1 (2004년)_PULL  LIST-1 (2005년)" xfId="327"/>
    <cellStyle name="@_9월-12월_9월-12월_9월-12월_9월-12월_PULL  LIST-1 (2004년)_PULL  LIST-1 (2004년)_PULL  LIST-1 (2004년)_PULL  LIST-1 (2005년)_ PULL  LIST-1 (2007년)" xfId="328"/>
    <cellStyle name="@_9월-12월_9월-12월_9월-12월_9월-12월_PULL  LIST-1 (2004년)_PULL  LIST-1 (2004년)_PULL  LIST-1 (2004년)_PULL  LIST-1 (2005년)_PULL  LIST-1 (2006년)" xfId="329"/>
    <cellStyle name="@_9월-12월_9월-12월_9월-12월_9월-12월_PULL  LIST-1 (2004년)_PULL  LIST-1 (2004년)_PULL  LIST-1 (2004년)_PULL  LIST-1 (2005년)_PULL  LIST-1 (2006년)_PULL  LIST-1 (2006년)" xfId="330"/>
    <cellStyle name="@_9월-12월_9월-12월_9월-12월_9월-12월_PULL  LIST-1 (2004년)_PULL  LIST-1 (2004년)_PULL  LIST-1 (2004년)_PULL  LIST-1 (2005년)_PULL  LIST-1 (2006년)_PULL  LIST-1 (2006년)_ PULL  LIST-1 (2007년)" xfId="331"/>
    <cellStyle name="@_9월-12월_9월-12월_9월-12월_9월-12월_PULL  LIST-1 (2004년)_PULL  LIST-1 (2004년)_PULL  LIST-1 (2004년)_PULL  LIST-1 (2006년)" xfId="332"/>
    <cellStyle name="@_9월-12월_9월-12월_9월-12월_9월-12월_PULL  LIST-1 (2004년)_PULL  LIST-1 (2004년)_PULL  LIST-1 (2004년)_PULL  LIST-1 (2006년)_ PULL  LIST-1 (2007년)" xfId="333"/>
    <cellStyle name="@_9월-12월_9월-12월_9월-12월_9월-12월_PULL  LIST-1 (2004년)_PULL  LIST-1 (2004년)_PULL  LIST-1 (2004년)_PULL  LIST-1 (2006년)_PULL  LIST-1 (2006년)" xfId="334"/>
    <cellStyle name="@_9월-12월_9월-12월_9월-12월_9월-12월_PULL  LIST-1 (2004년)_PULL  LIST-1 (2004년)_PULL  LIST-1 (2004년)_PULL  LIST-1 (2006년)_PULL  LIST-1 (2006년)_PULL  LIST-1 (2006년)" xfId="335"/>
    <cellStyle name="@_9월-12월_9월-12월_9월-12월_9월-12월_PULL  LIST-1 (2004년)_PULL  LIST-1 (2004년)_PULL  LIST-1 (2004년)_PULL  LIST-1 (2006년)_PULL  LIST-1 (2006년)_PULL  LIST-1 (2006년)_ PULL  LIST-1 (2007년)" xfId="336"/>
    <cellStyle name="@_9월-12월_9월-12월_9월-12월_9월-12월_PULL  LIST-1 (2004년)_PULL  LIST-1 (2004년)_PULL  LIST-1 (2004년)_원가인하9월30일" xfId="337"/>
    <cellStyle name="@_9월-12월_9월-12월_9월-12월_9월-12월_PULL  LIST-1 (2004년)_PULL  LIST-1 (2004년)_PULL  LIST-1 (2004년)_원가인하9월30일_ PULL  LIST-1 (2007년)" xfId="338"/>
    <cellStyle name="@_9월-12월_9월-12월_9월-12월_9월-12월_PULL  LIST-1 (2004년)_PULL  LIST-1 (2004년)_PULL  LIST-1 (2004년)_원가인하9월30일_PULL  LIST-1 (2006년)" xfId="339"/>
    <cellStyle name="@_9월-12월_9월-12월_9월-12월_9월-12월_PULL  LIST-1 (2004년)_PULL  LIST-1 (2004년)_PULL  LIST-1 (2004년)_원가인하9월30일_PULL  LIST-1 (2006년)_PULL  LIST-1 (2006년)" xfId="340"/>
    <cellStyle name="@_9월-12월_9월-12월_9월-12월_9월-12월_PULL  LIST-1 (2004년)_PULL  LIST-1 (2004년)_PULL  LIST-1 (2004년)_원가인하9월30일_PULL  LIST-1 (2006년)_PULL  LIST-1 (2006년)_ PULL  LIST-1 (2007년)" xfId="341"/>
    <cellStyle name="@_9월-12월_9월-12월_9월-12월_9월-12월_PULL  LIST-1 (2004년)_PULL  LIST-1 (2004년)_PULL  LIST-1 (2005년)" xfId="342"/>
    <cellStyle name="@_9월-12월_9월-12월_9월-12월_9월-12월_PULL  LIST-1 (2004년)_PULL  LIST-1 (2004년)_PULL  LIST-1 (2005년)_PULL  LIST-1 (2005년)" xfId="343"/>
    <cellStyle name="@_9월-12월_9월-12월_9월-12월_9월-12월_PULL  LIST-1 (2004년)_PULL  LIST-1 (2004년)_PULL  LIST-1 (2005년)_PULL  LIST-1 (2005년)_ PULL  LIST-1 (2007년)" xfId="344"/>
    <cellStyle name="@_9월-12월_9월-12월_9월-12월_9월-12월_PULL  LIST-1 (2004년)_PULL  LIST-1 (2004년)_PULL  LIST-1 (2005년)_PULL  LIST-1 (2005년)_PULL  LIST-1 (2006년)" xfId="345"/>
    <cellStyle name="@_9월-12월_9월-12월_9월-12월_9월-12월_PULL  LIST-1 (2004년)_PULL  LIST-1 (2004년)_PULL  LIST-1 (2005년)_PULL  LIST-1 (2005년)_PULL  LIST-1 (2006년)_PULL  LIST-1 (2006년)" xfId="346"/>
    <cellStyle name="@_9월-12월_9월-12월_9월-12월_9월-12월_PULL  LIST-1 (2004년)_PULL  LIST-1 (2004년)_PULL  LIST-1 (2005년)_PULL  LIST-1 (2005년)_PULL  LIST-1 (2006년)_PULL  LIST-1 (2006년)_ PULL  LIST-1 (2007년)" xfId="347"/>
    <cellStyle name="@_9월-12월_9월-12월_9월-12월_9월-12월_PULL  LIST-1 (2004년)_PULL  LIST-1 (2004년)_PULL  LIST-1 (2005년)_PULL  LIST-1 (2006년)" xfId="348"/>
    <cellStyle name="@_9월-12월_9월-12월_9월-12월_9월-12월_PULL  LIST-1 (2004년)_PULL  LIST-1 (2004년)_PULL  LIST-1 (2005년)_PULL  LIST-1 (2006년)_ PULL  LIST-1 (2007년)" xfId="349"/>
    <cellStyle name="@_9월-12월_9월-12월_9월-12월_9월-12월_PULL  LIST-1 (2004년)_PULL  LIST-1 (2004년)_PULL  LIST-1 (2005년)_PULL  LIST-1 (2006년)_PULL  LIST-1 (2006년)" xfId="350"/>
    <cellStyle name="@_9월-12월_9월-12월_9월-12월_9월-12월_PULL  LIST-1 (2004년)_PULL  LIST-1 (2004년)_PULL  LIST-1 (2005년)_PULL  LIST-1 (2006년)_PULL  LIST-1 (2006년)_PULL  LIST-1 (2006년)" xfId="351"/>
    <cellStyle name="@_9월-12월_9월-12월_9월-12월_9월-12월_PULL  LIST-1 (2004년)_PULL  LIST-1 (2004년)_PULL  LIST-1 (2005년)_PULL  LIST-1 (2006년)_PULL  LIST-1 (2006년)_PULL  LIST-1 (2006년)_ PULL  LIST-1 (2007년)" xfId="352"/>
    <cellStyle name="@_9월-12월_9월-12월_9월-12월_9월-12월_PULL  LIST-1 (2004년)_PULL  LIST-1 (2004년)_PULL  LIST-1 (2005년)_원가인하9월30일" xfId="353"/>
    <cellStyle name="@_9월-12월_9월-12월_9월-12월_9월-12월_PULL  LIST-1 (2004년)_PULL  LIST-1 (2004년)_PULL  LIST-1 (2005년)_원가인하9월30일_ PULL  LIST-1 (2007년)" xfId="354"/>
    <cellStyle name="@_9월-12월_9월-12월_9월-12월_9월-12월_PULL  LIST-1 (2004년)_PULL  LIST-1 (2004년)_PULL  LIST-1 (2005년)_원가인하9월30일_PULL  LIST-1 (2006년)" xfId="355"/>
    <cellStyle name="@_9월-12월_9월-12월_9월-12월_9월-12월_PULL  LIST-1 (2004년)_PULL  LIST-1 (2004년)_PULL  LIST-1 (2005년)_원가인하9월30일_PULL  LIST-1 (2006년)_PULL  LIST-1 (2006년)" xfId="356"/>
    <cellStyle name="@_9월-12월_9월-12월_9월-12월_9월-12월_PULL  LIST-1 (2004년)_PULL  LIST-1 (2004년)_PULL  LIST-1 (2005년)_원가인하9월30일_PULL  LIST-1 (2006년)_PULL  LIST-1 (2006년)_ PULL  LIST-1 (2007년)" xfId="357"/>
    <cellStyle name="@_9월-12월_9월-12월_9월-12월_9월-12월_PULL  LIST-1 (2004년)_PULL  LIST-1 (2004년)_PULL  LIST-1 (2006년)" xfId="358"/>
    <cellStyle name="@_9월-12월_9월-12월_9월-12월_9월-12월_PULL  LIST-1 (2004년)_PULL  LIST-1 (2004년)_PULL  LIST-1 (2006년)_PULL  LIST-1 (2006년)" xfId="359"/>
    <cellStyle name="@_9월-12월_9월-12월_9월-12월_9월-12월_PULL  LIST-1 (2004년)_PULL  LIST-1 (2004년)_PULL  LIST-1 (2006년)_PULL  LIST-1 (2006년)_ PULL  LIST-1 (2007년)" xfId="360"/>
    <cellStyle name="@_9월-12월_9월-12월_9월-12월_9월-12월_PULL  LIST-1 (2004년)_PULL  LIST-1 (2005년)" xfId="361"/>
    <cellStyle name="@_9월-12월_9월-12월_9월-12월_9월-12월_PULL  LIST-1 (2004년)_PULL  LIST-1 (2005년)_ PULL  LIST-1 (2007년)" xfId="362"/>
    <cellStyle name="@_9월-12월_9월-12월_9월-12월_9월-12월_PULL  LIST-1 (2004년)_PULL  LIST-1 (2005년)_PULL  LIST-1 (2006년)" xfId="363"/>
    <cellStyle name="@_9월-12월_9월-12월_9월-12월_9월-12월_PULL  LIST-1 (2004년)_PULL  LIST-1 (2005년)_PULL  LIST-1 (2006년)_PULL  LIST-1 (2006년)" xfId="364"/>
    <cellStyle name="@_9월-12월_9월-12월_9월-12월_9월-12월_PULL  LIST-1 (2004년)_PULL  LIST-1 (2005년)_PULL  LIST-1 (2006년)_PULL  LIST-1 (2006년)_ PULL  LIST-1 (2007년)" xfId="365"/>
    <cellStyle name="@_9월-12월_9월-12월_9월-12월_9월-12월_PULL  LIST-1 (2004년)_PULL  LIST-1 (2006년)" xfId="366"/>
    <cellStyle name="@_9월-12월_9월-12월_9월-12월_9월-12월_PULL  LIST-1 (2004년)_PULL  LIST-1 (2006년)_ PULL  LIST-1 (2007년)" xfId="367"/>
    <cellStyle name="@_9월-12월_9월-12월_9월-12월_9월-12월_PULL  LIST-1 (2004년)_PULL  LIST-1 (2006년)_PULL  LIST-1 (2006년)" xfId="368"/>
    <cellStyle name="@_9월-12월_9월-12월_9월-12월_9월-12월_PULL  LIST-1 (2004년)_PULL  LIST-1 (2006년)_PULL  LIST-1 (2006년)_PULL  LIST-1 (2006년)" xfId="369"/>
    <cellStyle name="@_9월-12월_9월-12월_9월-12월_9월-12월_PULL  LIST-1 (2004년)_PULL  LIST-1 (2006년)_PULL  LIST-1 (2006년)_PULL  LIST-1 (2006년)_ PULL  LIST-1 (2007년)" xfId="370"/>
    <cellStyle name="@_9월-12월_9월-12월_9월-12월_9월-12월_PULL  LIST-1 (2004년)_원가인하9월30일" xfId="371"/>
    <cellStyle name="@_9월-12월_9월-12월_9월-12월_9월-12월_PULL  LIST-1 (2004년)_원가인하9월30일_ PULL  LIST-1 (2007년)" xfId="372"/>
    <cellStyle name="@_9월-12월_9월-12월_9월-12월_9월-12월_PULL  LIST-1 (2004년)_원가인하9월30일_PULL  LIST-1 (2006년)" xfId="373"/>
    <cellStyle name="@_9월-12월_9월-12월_9월-12월_9월-12월_PULL  LIST-1 (2004년)_원가인하9월30일_PULL  LIST-1 (2006년)_PULL  LIST-1 (2006년)" xfId="374"/>
    <cellStyle name="@_9월-12월_9월-12월_9월-12월_9월-12월_PULL  LIST-1 (2004년)_원가인하9월30일_PULL  LIST-1 (2006년)_PULL  LIST-1 (2006년)_ PULL  LIST-1 (2007년)" xfId="375"/>
    <cellStyle name="@_9월-12월_9월-12월_9월-12월_9월-12월_PULL  LIST-1 (2005년)" xfId="376"/>
    <cellStyle name="@_9월-12월_9월-12월_9월-12월_9월-12월_PULL  LIST-1 (2005년)_PULL  LIST-1 (2005년)" xfId="377"/>
    <cellStyle name="@_9월-12월_9월-12월_9월-12월_9월-12월_PULL  LIST-1 (2005년)_PULL  LIST-1 (2005년)_ PULL  LIST-1 (2007년)" xfId="378"/>
    <cellStyle name="@_9월-12월_9월-12월_9월-12월_9월-12월_PULL  LIST-1 (2005년)_PULL  LIST-1 (2005년)_PULL  LIST-1 (2006년)" xfId="379"/>
    <cellStyle name="@_9월-12월_9월-12월_9월-12월_9월-12월_PULL  LIST-1 (2005년)_PULL  LIST-1 (2005년)_PULL  LIST-1 (2006년)_PULL  LIST-1 (2006년)" xfId="380"/>
    <cellStyle name="@_9월-12월_9월-12월_9월-12월_9월-12월_PULL  LIST-1 (2005년)_PULL  LIST-1 (2005년)_PULL  LIST-1 (2006년)_PULL  LIST-1 (2006년)_ PULL  LIST-1 (2007년)" xfId="381"/>
    <cellStyle name="@_9월-12월_9월-12월_9월-12월_9월-12월_PULL  LIST-1 (2005년)_PULL  LIST-1 (2006년)" xfId="382"/>
    <cellStyle name="@_9월-12월_9월-12월_9월-12월_9월-12월_PULL  LIST-1 (2005년)_PULL  LIST-1 (2006년)_ PULL  LIST-1 (2007년)" xfId="383"/>
    <cellStyle name="@_9월-12월_9월-12월_9월-12월_9월-12월_PULL  LIST-1 (2005년)_PULL  LIST-1 (2006년)_PULL  LIST-1 (2006년)" xfId="384"/>
    <cellStyle name="@_9월-12월_9월-12월_9월-12월_9월-12월_PULL  LIST-1 (2005년)_PULL  LIST-1 (2006년)_PULL  LIST-1 (2006년)_PULL  LIST-1 (2006년)" xfId="385"/>
    <cellStyle name="@_9월-12월_9월-12월_9월-12월_9월-12월_PULL  LIST-1 (2005년)_PULL  LIST-1 (2006년)_PULL  LIST-1 (2006년)_PULL  LIST-1 (2006년)_ PULL  LIST-1 (2007년)" xfId="386"/>
    <cellStyle name="@_9월-12월_9월-12월_9월-12월_9월-12월_PULL  LIST-1 (2005년)_원가인하9월30일" xfId="387"/>
    <cellStyle name="@_9월-12월_9월-12월_9월-12월_9월-12월_PULL  LIST-1 (2005년)_원가인하9월30일_ PULL  LIST-1 (2007년)" xfId="388"/>
    <cellStyle name="@_9월-12월_9월-12월_9월-12월_9월-12월_PULL  LIST-1 (2005년)_원가인하9월30일_PULL  LIST-1 (2006년)" xfId="389"/>
    <cellStyle name="@_9월-12월_9월-12월_9월-12월_9월-12월_PULL  LIST-1 (2005년)_원가인하9월30일_PULL  LIST-1 (2006년)_PULL  LIST-1 (2006년)" xfId="390"/>
    <cellStyle name="@_9월-12월_9월-12월_9월-12월_9월-12월_PULL  LIST-1 (2005년)_원가인하9월30일_PULL  LIST-1 (2006년)_PULL  LIST-1 (2006년)_ PULL  LIST-1 (2007년)" xfId="391"/>
    <cellStyle name="@_9월-12월_9월-12월_9월-12월_9월-12월_PULL  LIST-1 (2006년)" xfId="392"/>
    <cellStyle name="@_9월-12월_9월-12월_9월-12월_9월-12월_PULL  LIST-1 (2006년)_PULL  LIST-1 (2006년)" xfId="393"/>
    <cellStyle name="@_9월-12월_9월-12월_9월-12월_9월-12월_PULL  LIST-1 (2006년)_PULL  LIST-1 (2006년)_ PULL  LIST-1 (2007년)" xfId="394"/>
    <cellStyle name="@_9월-12월_9월-12월_9월-12월_PULL  LIST-1 (2004년)" xfId="395"/>
    <cellStyle name="@_9월-12월_9월-12월_9월-12월_PULL  LIST-1 (2004년)_Book1" xfId="396"/>
    <cellStyle name="@_9월-12월_9월-12월_9월-12월_PULL  LIST-1 (2004년)_Book1_ PULL  LIST-1 (2007년)" xfId="397"/>
    <cellStyle name="@_9월-12월_9월-12월_9월-12월_PULL  LIST-1 (2004년)_Book1_PULL  LIST-1 (2005년)" xfId="398"/>
    <cellStyle name="@_9월-12월_9월-12월_9월-12월_PULL  LIST-1 (2004년)_Book1_PULL  LIST-1 (2005년)_PULL  LIST-1 (2005년)" xfId="399"/>
    <cellStyle name="@_9월-12월_9월-12월_9월-12월_PULL  LIST-1 (2004년)_Book1_PULL  LIST-1 (2005년)_PULL  LIST-1 (2005년)_ PULL  LIST-1 (2007년)" xfId="400"/>
    <cellStyle name="@_9월-12월_9월-12월_9월-12월_PULL  LIST-1 (2004년)_Book1_PULL  LIST-1 (2005년)_PULL  LIST-1 (2005년)_PULL  LIST-1 (2006년)" xfId="401"/>
    <cellStyle name="@_9월-12월_9월-12월_9월-12월_PULL  LIST-1 (2004년)_Book1_PULL  LIST-1 (2005년)_PULL  LIST-1 (2005년)_PULL  LIST-1 (2006년)_PULL  LIST-1 (2006년)" xfId="402"/>
    <cellStyle name="@_9월-12월_9월-12월_9월-12월_PULL  LIST-1 (2004년)_Book1_PULL  LIST-1 (2005년)_PULL  LIST-1 (2005년)_PULL  LIST-1 (2006년)_PULL  LIST-1 (2006년)_ PULL  LIST-1 (2007년)" xfId="403"/>
    <cellStyle name="@_9월-12월_9월-12월_9월-12월_PULL  LIST-1 (2004년)_Book1_PULL  LIST-1 (2005년)_PULL  LIST-1 (2006년)" xfId="404"/>
    <cellStyle name="@_9월-12월_9월-12월_9월-12월_PULL  LIST-1 (2004년)_Book1_PULL  LIST-1 (2005년)_PULL  LIST-1 (2006년)_ PULL  LIST-1 (2007년)" xfId="405"/>
    <cellStyle name="@_9월-12월_9월-12월_9월-12월_PULL  LIST-1 (2004년)_Book1_PULL  LIST-1 (2005년)_PULL  LIST-1 (2006년)_PULL  LIST-1 (2006년)" xfId="406"/>
    <cellStyle name="@_9월-12월_9월-12월_9월-12월_PULL  LIST-1 (2004년)_Book1_PULL  LIST-1 (2005년)_PULL  LIST-1 (2006년)_PULL  LIST-1 (2006년)_PULL  LIST-1 (2006년)" xfId="407"/>
    <cellStyle name="@_9월-12월_9월-12월_9월-12월_PULL  LIST-1 (2004년)_Book1_PULL  LIST-1 (2005년)_PULL  LIST-1 (2006년)_PULL  LIST-1 (2006년)_PULL  LIST-1 (2006년)_ PULL  LIST-1 (2007년)" xfId="408"/>
    <cellStyle name="@_9월-12월_9월-12월_9월-12월_PULL  LIST-1 (2004년)_Book1_PULL  LIST-1 (2005년)_원가인하9월30일" xfId="409"/>
    <cellStyle name="@_9월-12월_9월-12월_9월-12월_PULL  LIST-1 (2004년)_Book1_PULL  LIST-1 (2005년)_원가인하9월30일_ PULL  LIST-1 (2007년)" xfId="410"/>
    <cellStyle name="@_9월-12월_9월-12월_9월-12월_PULL  LIST-1 (2004년)_Book1_PULL  LIST-1 (2005년)_원가인하9월30일_PULL  LIST-1 (2006년)" xfId="411"/>
    <cellStyle name="@_9월-12월_9월-12월_9월-12월_PULL  LIST-1 (2004년)_Book1_PULL  LIST-1 (2005년)_원가인하9월30일_PULL  LIST-1 (2006년)_PULL  LIST-1 (2006년)" xfId="412"/>
    <cellStyle name="@_9월-12월_9월-12월_9월-12월_PULL  LIST-1 (2004년)_Book1_PULL  LIST-1 (2005년)_원가인하9월30일_PULL  LIST-1 (2006년)_PULL  LIST-1 (2006년)_ PULL  LIST-1 (2007년)" xfId="413"/>
    <cellStyle name="@_9월-12월_9월-12월_9월-12월_PULL  LIST-1 (2004년)_Book1_PULL  LIST-1 (2006년)" xfId="414"/>
    <cellStyle name="@_9월-12월_9월-12월_9월-12월_PULL  LIST-1 (2004년)_Book1_PULL  LIST-1 (2006년)_PULL  LIST-1 (2006년)" xfId="415"/>
    <cellStyle name="@_9월-12월_9월-12월_9월-12월_PULL  LIST-1 (2004년)_Book1_PULL  LIST-1 (2006년)_PULL  LIST-1 (2006년)_ PULL  LIST-1 (2007년)" xfId="416"/>
    <cellStyle name="@_9월-12월_9월-12월_9월-12월_PULL  LIST-1 (2004년)_PULL  LIST-1 (2004년)" xfId="417"/>
    <cellStyle name="@_9월-12월_9월-12월_9월-12월_PULL  LIST-1 (2004년)_PULL  LIST-1 (2004년)_ PULL  LIST-1 (2007년)" xfId="418"/>
    <cellStyle name="@_9월-12월_9월-12월_9월-12월_PULL  LIST-1 (2004년)_PULL  LIST-1 (2004년)_PULL  LIST-1 (2004년)" xfId="419"/>
    <cellStyle name="@_9월-12월_9월-12월_9월-12월_PULL  LIST-1 (2004년)_PULL  LIST-1 (2004년)_PULL  LIST-1 (2004년)_Book1" xfId="420"/>
    <cellStyle name="@_9월-12월_9월-12월_9월-12월_PULL  LIST-1 (2004년)_PULL  LIST-1 (2004년)_PULL  LIST-1 (2004년)_Book1_ PULL  LIST-1 (2007년)" xfId="421"/>
    <cellStyle name="@_9월-12월_9월-12월_9월-12월_PULL  LIST-1 (2004년)_PULL  LIST-1 (2004년)_PULL  LIST-1 (2004년)_Book1_PULL  LIST-1 (2005년)" xfId="422"/>
    <cellStyle name="@_9월-12월_9월-12월_9월-12월_PULL  LIST-1 (2004년)_PULL  LIST-1 (2004년)_PULL  LIST-1 (2004년)_Book1_PULL  LIST-1 (2005년)_PULL  LIST-1 (2005년)" xfId="423"/>
    <cellStyle name="@_9월-12월_9월-12월_9월-12월_PULL  LIST-1 (2004년)_PULL  LIST-1 (2004년)_PULL  LIST-1 (2004년)_Book1_PULL  LIST-1 (2005년)_PULL  LIST-1 (2005년)_ PULL  LIST-1 (2007년)" xfId="424"/>
    <cellStyle name="@_9월-12월_9월-12월_9월-12월_PULL  LIST-1 (2004년)_PULL  LIST-1 (2004년)_PULL  LIST-1 (2004년)_Book1_PULL  LIST-1 (2005년)_PULL  LIST-1 (2005년)_PULL  LIST-1 (2006년)" xfId="425"/>
    <cellStyle name="@_9월-12월_9월-12월_9월-12월_PULL  LIST-1 (2004년)_PULL  LIST-1 (2004년)_PULL  LIST-1 (2004년)_Book1_PULL  LIST-1 (2005년)_PULL  LIST-1 (2005년)_PULL  LIST-1 (2006년)_PULL  LIST-1 (2006년)" xfId="426"/>
    <cellStyle name="@_9월-12월_9월-12월_9월-12월_PULL  LIST-1 (2004년)_PULL  LIST-1 (2004년)_PULL  LIST-1 (2004년)_Book1_PULL  LIST-1 (2005년)_PULL  LIST-1 (2005년)_PULL  LIST-1 (2006년)_PULL  LIST-1 (2006년)_ PULL  LIST-1 (2007년)" xfId="427"/>
    <cellStyle name="@_9월-12월_9월-12월_9월-12월_PULL  LIST-1 (2004년)_PULL  LIST-1 (2004년)_PULL  LIST-1 (2004년)_Book1_PULL  LIST-1 (2005년)_PULL  LIST-1 (2006년)" xfId="428"/>
    <cellStyle name="@_9월-12월_9월-12월_9월-12월_PULL  LIST-1 (2004년)_PULL  LIST-1 (2004년)_PULL  LIST-1 (2004년)_Book1_PULL  LIST-1 (2005년)_PULL  LIST-1 (2006년)_ PULL  LIST-1 (2007년)" xfId="429"/>
    <cellStyle name="@_9월-12월_9월-12월_9월-12월_PULL  LIST-1 (2004년)_PULL  LIST-1 (2004년)_PULL  LIST-1 (2004년)_Book1_PULL  LIST-1 (2005년)_PULL  LIST-1 (2006년)_PULL  LIST-1 (2006년)" xfId="430"/>
    <cellStyle name="@_9월-12월_9월-12월_9월-12월_PULL  LIST-1 (2004년)_PULL  LIST-1 (2004년)_PULL  LIST-1 (2004년)_Book1_PULL  LIST-1 (2005년)_PULL  LIST-1 (2006년)_PULL  LIST-1 (2006년)_PULL  LIST-1 (2006년)" xfId="431"/>
    <cellStyle name="@_9월-12월_9월-12월_9월-12월_PULL  LIST-1 (2004년)_PULL  LIST-1 (2004년)_PULL  LIST-1 (2004년)_Book1_PULL  LIST-1 (2005년)_PULL  LIST-1 (2006년)_PULL  LIST-1 (2006년)_PULL  LIST-1 (2006년)_ PULL  LIST-1 (2007년)" xfId="432"/>
    <cellStyle name="@_9월-12월_9월-12월_9월-12월_PULL  LIST-1 (2004년)_PULL  LIST-1 (2004년)_PULL  LIST-1 (2004년)_Book1_PULL  LIST-1 (2005년)_원가인하9월30일" xfId="433"/>
    <cellStyle name="@_9월-12월_9월-12월_9월-12월_PULL  LIST-1 (2004년)_PULL  LIST-1 (2004년)_PULL  LIST-1 (2004년)_Book1_PULL  LIST-1 (2005년)_원가인하9월30일_ PULL  LIST-1 (2007년)" xfId="434"/>
    <cellStyle name="@_9월-12월_9월-12월_9월-12월_PULL  LIST-1 (2004년)_PULL  LIST-1 (2004년)_PULL  LIST-1 (2004년)_Book1_PULL  LIST-1 (2005년)_원가인하9월30일_PULL  LIST-1 (2006년)" xfId="435"/>
    <cellStyle name="@_9월-12월_9월-12월_9월-12월_PULL  LIST-1 (2004년)_PULL  LIST-1 (2004년)_PULL  LIST-1 (2004년)_Book1_PULL  LIST-1 (2005년)_원가인하9월30일_PULL  LIST-1 (2006년)_PULL  LIST-1 (2006년)" xfId="436"/>
    <cellStyle name="@_9월-12월_9월-12월_9월-12월_PULL  LIST-1 (2004년)_PULL  LIST-1 (2004년)_PULL  LIST-1 (2004년)_Book1_PULL  LIST-1 (2005년)_원가인하9월30일_PULL  LIST-1 (2006년)_PULL  LIST-1 (2006년)_ PULL  LIST-1 (2007년)" xfId="437"/>
    <cellStyle name="@_9월-12월_9월-12월_9월-12월_PULL  LIST-1 (2004년)_PULL  LIST-1 (2004년)_PULL  LIST-1 (2004년)_Book1_PULL  LIST-1 (2006년)" xfId="438"/>
    <cellStyle name="@_9월-12월_9월-12월_9월-12월_PULL  LIST-1 (2004년)_PULL  LIST-1 (2004년)_PULL  LIST-1 (2004년)_Book1_PULL  LIST-1 (2006년)_PULL  LIST-1 (2006년)" xfId="439"/>
    <cellStyle name="@_9월-12월_9월-12월_9월-12월_PULL  LIST-1 (2004년)_PULL  LIST-1 (2004년)_PULL  LIST-1 (2004년)_Book1_PULL  LIST-1 (2006년)_PULL  LIST-1 (2006년)_ PULL  LIST-1 (2007년)" xfId="440"/>
    <cellStyle name="@_9월-12월_9월-12월_9월-12월_PULL  LIST-1 (2004년)_PULL  LIST-1 (2004년)_PULL  LIST-1 (2004년)_PULL  LIST-1 (2005년)" xfId="441"/>
    <cellStyle name="@_9월-12월_9월-12월_9월-12월_PULL  LIST-1 (2004년)_PULL  LIST-1 (2004년)_PULL  LIST-1 (2004년)_PULL  LIST-1 (2005년)_ PULL  LIST-1 (2007년)" xfId="442"/>
    <cellStyle name="@_9월-12월_9월-12월_9월-12월_PULL  LIST-1 (2004년)_PULL  LIST-1 (2004년)_PULL  LIST-1 (2004년)_PULL  LIST-1 (2005년)_PULL  LIST-1 (2006년)" xfId="443"/>
    <cellStyle name="@_9월-12월_9월-12월_9월-12월_PULL  LIST-1 (2004년)_PULL  LIST-1 (2004년)_PULL  LIST-1 (2004년)_PULL  LIST-1 (2005년)_PULL  LIST-1 (2006년)_PULL  LIST-1 (2006년)" xfId="444"/>
    <cellStyle name="@_9월-12월_9월-12월_9월-12월_PULL  LIST-1 (2004년)_PULL  LIST-1 (2004년)_PULL  LIST-1 (2004년)_PULL  LIST-1 (2005년)_PULL  LIST-1 (2006년)_PULL  LIST-1 (2006년)_ PULL  LIST-1 (2007년)" xfId="445"/>
    <cellStyle name="@_9월-12월_9월-12월_9월-12월_PULL  LIST-1 (2004년)_PULL  LIST-1 (2004년)_PULL  LIST-1 (2004년)_PULL  LIST-1 (2006년)" xfId="446"/>
    <cellStyle name="@_9월-12월_9월-12월_9월-12월_PULL  LIST-1 (2004년)_PULL  LIST-1 (2004년)_PULL  LIST-1 (2004년)_PULL  LIST-1 (2006년)_ PULL  LIST-1 (2007년)" xfId="447"/>
    <cellStyle name="@_9월-12월_9월-12월_9월-12월_PULL  LIST-1 (2004년)_PULL  LIST-1 (2004년)_PULL  LIST-1 (2004년)_PULL  LIST-1 (2006년)_PULL  LIST-1 (2006년)" xfId="448"/>
    <cellStyle name="@_9월-12월_9월-12월_9월-12월_PULL  LIST-1 (2004년)_PULL  LIST-1 (2004년)_PULL  LIST-1 (2004년)_PULL  LIST-1 (2006년)_PULL  LIST-1 (2006년)_PULL  LIST-1 (2006년)" xfId="449"/>
    <cellStyle name="@_9월-12월_9월-12월_9월-12월_PULL  LIST-1 (2004년)_PULL  LIST-1 (2004년)_PULL  LIST-1 (2004년)_PULL  LIST-1 (2006년)_PULL  LIST-1 (2006년)_PULL  LIST-1 (2006년)_ PULL  LIST-1 (2007년)" xfId="450"/>
    <cellStyle name="@_9월-12월_9월-12월_9월-12월_PULL  LIST-1 (2004년)_PULL  LIST-1 (2004년)_PULL  LIST-1 (2004년)_원가인하9월30일" xfId="451"/>
    <cellStyle name="@_9월-12월_9월-12월_9월-12월_PULL  LIST-1 (2004년)_PULL  LIST-1 (2004년)_PULL  LIST-1 (2004년)_원가인하9월30일_ PULL  LIST-1 (2007년)" xfId="452"/>
    <cellStyle name="@_9월-12월_9월-12월_9월-12월_PULL  LIST-1 (2004년)_PULL  LIST-1 (2004년)_PULL  LIST-1 (2004년)_원가인하9월30일_PULL  LIST-1 (2006년)" xfId="453"/>
    <cellStyle name="@_9월-12월_9월-12월_9월-12월_PULL  LIST-1 (2004년)_PULL  LIST-1 (2004년)_PULL  LIST-1 (2004년)_원가인하9월30일_PULL  LIST-1 (2006년)_PULL  LIST-1 (2006년)" xfId="454"/>
    <cellStyle name="@_9월-12월_9월-12월_9월-12월_PULL  LIST-1 (2004년)_PULL  LIST-1 (2004년)_PULL  LIST-1 (2004년)_원가인하9월30일_PULL  LIST-1 (2006년)_PULL  LIST-1 (2006년)_ PULL  LIST-1 (2007년)" xfId="455"/>
    <cellStyle name="@_9월-12월_9월-12월_9월-12월_PULL  LIST-1 (2004년)_PULL  LIST-1 (2004년)_PULL  LIST-1 (2005년)" xfId="456"/>
    <cellStyle name="@_9월-12월_9월-12월_9월-12월_PULL  LIST-1 (2004년)_PULL  LIST-1 (2004년)_PULL  LIST-1 (2005년)_PULL  LIST-1 (2005년)" xfId="457"/>
    <cellStyle name="@_9월-12월_9월-12월_9월-12월_PULL  LIST-1 (2004년)_PULL  LIST-1 (2004년)_PULL  LIST-1 (2005년)_PULL  LIST-1 (2005년)_ PULL  LIST-1 (2007년)" xfId="458"/>
    <cellStyle name="@_9월-12월_9월-12월_9월-12월_PULL  LIST-1 (2004년)_PULL  LIST-1 (2004년)_PULL  LIST-1 (2005년)_PULL  LIST-1 (2005년)_PULL  LIST-1 (2006년)" xfId="459"/>
    <cellStyle name="@_9월-12월_9월-12월_9월-12월_PULL  LIST-1 (2004년)_PULL  LIST-1 (2004년)_PULL  LIST-1 (2005년)_PULL  LIST-1 (2005년)_PULL  LIST-1 (2006년)_PULL  LIST-1 (2006년)" xfId="460"/>
    <cellStyle name="@_9월-12월_9월-12월_9월-12월_PULL  LIST-1 (2004년)_PULL  LIST-1 (2004년)_PULL  LIST-1 (2005년)_PULL  LIST-1 (2005년)_PULL  LIST-1 (2006년)_PULL  LIST-1 (2006년)_ PULL  LIST-1 (2007년)" xfId="461"/>
    <cellStyle name="@_9월-12월_9월-12월_9월-12월_PULL  LIST-1 (2004년)_PULL  LIST-1 (2004년)_PULL  LIST-1 (2005년)_PULL  LIST-1 (2006년)" xfId="462"/>
    <cellStyle name="@_9월-12월_9월-12월_9월-12월_PULL  LIST-1 (2004년)_PULL  LIST-1 (2004년)_PULL  LIST-1 (2005년)_PULL  LIST-1 (2006년)_ PULL  LIST-1 (2007년)" xfId="463"/>
    <cellStyle name="@_9월-12월_9월-12월_9월-12월_PULL  LIST-1 (2004년)_PULL  LIST-1 (2004년)_PULL  LIST-1 (2005년)_PULL  LIST-1 (2006년)_PULL  LIST-1 (2006년)" xfId="464"/>
    <cellStyle name="@_9월-12월_9월-12월_9월-12월_PULL  LIST-1 (2004년)_PULL  LIST-1 (2004년)_PULL  LIST-1 (2005년)_PULL  LIST-1 (2006년)_PULL  LIST-1 (2006년)_PULL  LIST-1 (2006년)" xfId="465"/>
    <cellStyle name="@_9월-12월_9월-12월_9월-12월_PULL  LIST-1 (2004년)_PULL  LIST-1 (2004년)_PULL  LIST-1 (2005년)_PULL  LIST-1 (2006년)_PULL  LIST-1 (2006년)_PULL  LIST-1 (2006년)_ PULL  LIST-1 (2007년)" xfId="466"/>
    <cellStyle name="@_9월-12월_9월-12월_9월-12월_PULL  LIST-1 (2004년)_PULL  LIST-1 (2004년)_PULL  LIST-1 (2005년)_원가인하9월30일" xfId="467"/>
    <cellStyle name="@_9월-12월_9월-12월_9월-12월_PULL  LIST-1 (2004년)_PULL  LIST-1 (2004년)_PULL  LIST-1 (2005년)_원가인하9월30일_ PULL  LIST-1 (2007년)" xfId="468"/>
    <cellStyle name="@_9월-12월_9월-12월_9월-12월_PULL  LIST-1 (2004년)_PULL  LIST-1 (2004년)_PULL  LIST-1 (2005년)_원가인하9월30일_PULL  LIST-1 (2006년)" xfId="469"/>
    <cellStyle name="@_9월-12월_9월-12월_9월-12월_PULL  LIST-1 (2004년)_PULL  LIST-1 (2004년)_PULL  LIST-1 (2005년)_원가인하9월30일_PULL  LIST-1 (2006년)_PULL  LIST-1 (2006년)" xfId="470"/>
    <cellStyle name="@_9월-12월_9월-12월_9월-12월_PULL  LIST-1 (2004년)_PULL  LIST-1 (2004년)_PULL  LIST-1 (2005년)_원가인하9월30일_PULL  LIST-1 (2006년)_PULL  LIST-1 (2006년)_ PULL  LIST-1 (2007년)" xfId="471"/>
    <cellStyle name="@_9월-12월_9월-12월_9월-12월_PULL  LIST-1 (2004년)_PULL  LIST-1 (2004년)_PULL  LIST-1 (2006년)" xfId="472"/>
    <cellStyle name="@_9월-12월_9월-12월_9월-12월_PULL  LIST-1 (2004년)_PULL  LIST-1 (2004년)_PULL  LIST-1 (2006년)_PULL  LIST-1 (2006년)" xfId="473"/>
    <cellStyle name="@_9월-12월_9월-12월_9월-12월_PULL  LIST-1 (2004년)_PULL  LIST-1 (2004년)_PULL  LIST-1 (2006년)_PULL  LIST-1 (2006년)_ PULL  LIST-1 (2007년)" xfId="474"/>
    <cellStyle name="@_9월-12월_9월-12월_9월-12월_PULL  LIST-1 (2004년)_PULL  LIST-1 (2005년)" xfId="475"/>
    <cellStyle name="@_9월-12월_9월-12월_9월-12월_PULL  LIST-1 (2004년)_PULL  LIST-1 (2005년)_ PULL  LIST-1 (2007년)" xfId="476"/>
    <cellStyle name="@_9월-12월_9월-12월_9월-12월_PULL  LIST-1 (2004년)_PULL  LIST-1 (2005년)_PULL  LIST-1 (2006년)" xfId="477"/>
    <cellStyle name="@_9월-12월_9월-12월_9월-12월_PULL  LIST-1 (2004년)_PULL  LIST-1 (2005년)_PULL  LIST-1 (2006년)_PULL  LIST-1 (2006년)" xfId="478"/>
    <cellStyle name="@_9월-12월_9월-12월_9월-12월_PULL  LIST-1 (2004년)_PULL  LIST-1 (2005년)_PULL  LIST-1 (2006년)_PULL  LIST-1 (2006년)_ PULL  LIST-1 (2007년)" xfId="479"/>
    <cellStyle name="@_9월-12월_9월-12월_9월-12월_PULL  LIST-1 (2004년)_PULL  LIST-1 (2006년)" xfId="480"/>
    <cellStyle name="@_9월-12월_9월-12월_9월-12월_PULL  LIST-1 (2004년)_PULL  LIST-1 (2006년)_ PULL  LIST-1 (2007년)" xfId="481"/>
    <cellStyle name="@_9월-12월_9월-12월_9월-12월_PULL  LIST-1 (2004년)_PULL  LIST-1 (2006년)_PULL  LIST-1 (2006년)" xfId="482"/>
    <cellStyle name="@_9월-12월_9월-12월_9월-12월_PULL  LIST-1 (2004년)_PULL  LIST-1 (2006년)_PULL  LIST-1 (2006년)_PULL  LIST-1 (2006년)" xfId="483"/>
    <cellStyle name="@_9월-12월_9월-12월_9월-12월_PULL  LIST-1 (2004년)_PULL  LIST-1 (2006년)_PULL  LIST-1 (2006년)_PULL  LIST-1 (2006년)_ PULL  LIST-1 (2007년)" xfId="484"/>
    <cellStyle name="@_9월-12월_9월-12월_9월-12월_PULL  LIST-1 (2004년)_원가인하9월30일" xfId="485"/>
    <cellStyle name="@_9월-12월_9월-12월_9월-12월_PULL  LIST-1 (2004년)_원가인하9월30일_ PULL  LIST-1 (2007년)" xfId="486"/>
    <cellStyle name="@_9월-12월_9월-12월_9월-12월_PULL  LIST-1 (2004년)_원가인하9월30일_PULL  LIST-1 (2006년)" xfId="487"/>
    <cellStyle name="@_9월-12월_9월-12월_9월-12월_PULL  LIST-1 (2004년)_원가인하9월30일_PULL  LIST-1 (2006년)_PULL  LIST-1 (2006년)" xfId="488"/>
    <cellStyle name="@_9월-12월_9월-12월_9월-12월_PULL  LIST-1 (2004년)_원가인하9월30일_PULL  LIST-1 (2006년)_PULL  LIST-1 (2006년)_ PULL  LIST-1 (2007년)" xfId="489"/>
    <cellStyle name="@_9월-12월_9월-12월_9월-12월_PULL  LIST-1 (2005년)" xfId="490"/>
    <cellStyle name="@_9월-12월_9월-12월_9월-12월_PULL  LIST-1 (2005년)_PULL  LIST-1 (2005년)" xfId="491"/>
    <cellStyle name="@_9월-12월_9월-12월_9월-12월_PULL  LIST-1 (2005년)_PULL  LIST-1 (2005년)_ PULL  LIST-1 (2007년)" xfId="492"/>
    <cellStyle name="@_9월-12월_9월-12월_9월-12월_PULL  LIST-1 (2005년)_PULL  LIST-1 (2005년)_PULL  LIST-1 (2006년)" xfId="493"/>
    <cellStyle name="@_9월-12월_9월-12월_9월-12월_PULL  LIST-1 (2005년)_PULL  LIST-1 (2005년)_PULL  LIST-1 (2006년)_PULL  LIST-1 (2006년)" xfId="494"/>
    <cellStyle name="@_9월-12월_9월-12월_9월-12월_PULL  LIST-1 (2005년)_PULL  LIST-1 (2005년)_PULL  LIST-1 (2006년)_PULL  LIST-1 (2006년)_ PULL  LIST-1 (2007년)" xfId="495"/>
    <cellStyle name="@_9월-12월_9월-12월_9월-12월_PULL  LIST-1 (2005년)_PULL  LIST-1 (2006년)" xfId="496"/>
    <cellStyle name="@_9월-12월_9월-12월_9월-12월_PULL  LIST-1 (2005년)_PULL  LIST-1 (2006년)_ PULL  LIST-1 (2007년)" xfId="497"/>
    <cellStyle name="@_9월-12월_9월-12월_9월-12월_PULL  LIST-1 (2005년)_PULL  LIST-1 (2006년)_PULL  LIST-1 (2006년)" xfId="498"/>
    <cellStyle name="@_9월-12월_9월-12월_9월-12월_PULL  LIST-1 (2005년)_PULL  LIST-1 (2006년)_PULL  LIST-1 (2006년)_PULL  LIST-1 (2006년)" xfId="499"/>
    <cellStyle name="@_9월-12월_9월-12월_9월-12월_PULL  LIST-1 (2005년)_PULL  LIST-1 (2006년)_PULL  LIST-1 (2006년)_PULL  LIST-1 (2006년)_ PULL  LIST-1 (2007년)" xfId="500"/>
    <cellStyle name="@_9월-12월_9월-12월_9월-12월_PULL  LIST-1 (2005년)_원가인하9월30일" xfId="501"/>
    <cellStyle name="@_9월-12월_9월-12월_9월-12월_PULL  LIST-1 (2005년)_원가인하9월30일_ PULL  LIST-1 (2007년)" xfId="502"/>
    <cellStyle name="@_9월-12월_9월-12월_9월-12월_PULL  LIST-1 (2005년)_원가인하9월30일_PULL  LIST-1 (2006년)" xfId="503"/>
    <cellStyle name="@_9월-12월_9월-12월_9월-12월_PULL  LIST-1 (2005년)_원가인하9월30일_PULL  LIST-1 (2006년)_PULL  LIST-1 (2006년)" xfId="504"/>
    <cellStyle name="@_9월-12월_9월-12월_9월-12월_PULL  LIST-1 (2005년)_원가인하9월30일_PULL  LIST-1 (2006년)_PULL  LIST-1 (2006년)_ PULL  LIST-1 (2007년)" xfId="505"/>
    <cellStyle name="@_9월-12월_9월-12월_9월-12월_PULL  LIST-1 (2006년)" xfId="506"/>
    <cellStyle name="@_9월-12월_9월-12월_9월-12월_PULL  LIST-1 (2006년)_PULL  LIST-1 (2006년)" xfId="507"/>
    <cellStyle name="@_9월-12월_9월-12월_9월-12월_PULL  LIST-1 (2006년)_PULL  LIST-1 (2006년)_ PULL  LIST-1 (2007년)" xfId="508"/>
    <cellStyle name="@_9월-12월_9월-12월_PULL  LIST-1 (2004년)" xfId="509"/>
    <cellStyle name="@_9월-12월_9월-12월_PULL  LIST-1 (2004년)_Book1" xfId="510"/>
    <cellStyle name="@_9월-12월_9월-12월_PULL  LIST-1 (2004년)_Book1_ PULL  LIST-1 (2007년)" xfId="511"/>
    <cellStyle name="@_9월-12월_9월-12월_PULL  LIST-1 (2004년)_Book1_PULL  LIST-1 (2005년)" xfId="512"/>
    <cellStyle name="@_9월-12월_9월-12월_PULL  LIST-1 (2004년)_Book1_PULL  LIST-1 (2005년)_PULL  LIST-1 (2005년)" xfId="513"/>
    <cellStyle name="@_9월-12월_9월-12월_PULL  LIST-1 (2004년)_Book1_PULL  LIST-1 (2005년)_PULL  LIST-1 (2005년)_ PULL  LIST-1 (2007년)" xfId="514"/>
    <cellStyle name="@_9월-12월_9월-12월_PULL  LIST-1 (2004년)_Book1_PULL  LIST-1 (2005년)_PULL  LIST-1 (2005년)_PULL  LIST-1 (2006년)" xfId="515"/>
    <cellStyle name="@_9월-12월_9월-12월_PULL  LIST-1 (2004년)_Book1_PULL  LIST-1 (2005년)_PULL  LIST-1 (2005년)_PULL  LIST-1 (2006년)_PULL  LIST-1 (2006년)" xfId="516"/>
    <cellStyle name="@_9월-12월_9월-12월_PULL  LIST-1 (2004년)_Book1_PULL  LIST-1 (2005년)_PULL  LIST-1 (2005년)_PULL  LIST-1 (2006년)_PULL  LIST-1 (2006년)_ PULL  LIST-1 (2007년)" xfId="517"/>
    <cellStyle name="@_9월-12월_9월-12월_PULL  LIST-1 (2004년)_Book1_PULL  LIST-1 (2005년)_PULL  LIST-1 (2006년)" xfId="518"/>
    <cellStyle name="@_9월-12월_9월-12월_PULL  LIST-1 (2004년)_Book1_PULL  LIST-1 (2005년)_PULL  LIST-1 (2006년)_ PULL  LIST-1 (2007년)" xfId="519"/>
    <cellStyle name="@_9월-12월_9월-12월_PULL  LIST-1 (2004년)_Book1_PULL  LIST-1 (2005년)_PULL  LIST-1 (2006년)_PULL  LIST-1 (2006년)" xfId="520"/>
    <cellStyle name="@_9월-12월_9월-12월_PULL  LIST-1 (2004년)_Book1_PULL  LIST-1 (2005년)_PULL  LIST-1 (2006년)_PULL  LIST-1 (2006년)_PULL  LIST-1 (2006년)" xfId="521"/>
    <cellStyle name="@_9월-12월_9월-12월_PULL  LIST-1 (2004년)_Book1_PULL  LIST-1 (2005년)_PULL  LIST-1 (2006년)_PULL  LIST-1 (2006년)_PULL  LIST-1 (2006년)_ PULL  LIST-1 (2007년)" xfId="522"/>
    <cellStyle name="@_9월-12월_9월-12월_PULL  LIST-1 (2004년)_Book1_PULL  LIST-1 (2005년)_원가인하9월30일" xfId="523"/>
    <cellStyle name="@_9월-12월_9월-12월_PULL  LIST-1 (2004년)_Book1_PULL  LIST-1 (2005년)_원가인하9월30일_ PULL  LIST-1 (2007년)" xfId="524"/>
    <cellStyle name="@_9월-12월_9월-12월_PULL  LIST-1 (2004년)_Book1_PULL  LIST-1 (2005년)_원가인하9월30일_PULL  LIST-1 (2006년)" xfId="525"/>
    <cellStyle name="@_9월-12월_9월-12월_PULL  LIST-1 (2004년)_Book1_PULL  LIST-1 (2005년)_원가인하9월30일_PULL  LIST-1 (2006년)_PULL  LIST-1 (2006년)" xfId="526"/>
    <cellStyle name="@_9월-12월_9월-12월_PULL  LIST-1 (2004년)_Book1_PULL  LIST-1 (2005년)_원가인하9월30일_PULL  LIST-1 (2006년)_PULL  LIST-1 (2006년)_ PULL  LIST-1 (2007년)" xfId="527"/>
    <cellStyle name="@_9월-12월_9월-12월_PULL  LIST-1 (2004년)_Book1_PULL  LIST-1 (2006년)" xfId="528"/>
    <cellStyle name="@_9월-12월_9월-12월_PULL  LIST-1 (2004년)_Book1_PULL  LIST-1 (2006년)_PULL  LIST-1 (2006년)" xfId="529"/>
    <cellStyle name="@_9월-12월_9월-12월_PULL  LIST-1 (2004년)_Book1_PULL  LIST-1 (2006년)_PULL  LIST-1 (2006년)_ PULL  LIST-1 (2007년)" xfId="530"/>
    <cellStyle name="@_9월-12월_9월-12월_PULL  LIST-1 (2004년)_PULL  LIST-1 (2004년)" xfId="531"/>
    <cellStyle name="@_9월-12월_9월-12월_PULL  LIST-1 (2004년)_PULL  LIST-1 (2004년)_ PULL  LIST-1 (2007년)" xfId="532"/>
    <cellStyle name="@_9월-12월_9월-12월_PULL  LIST-1 (2004년)_PULL  LIST-1 (2004년)_PULL  LIST-1 (2004년)" xfId="533"/>
    <cellStyle name="@_9월-12월_9월-12월_PULL  LIST-1 (2004년)_PULL  LIST-1 (2004년)_PULL  LIST-1 (2004년)_Book1" xfId="534"/>
    <cellStyle name="@_9월-12월_9월-12월_PULL  LIST-1 (2004년)_PULL  LIST-1 (2004년)_PULL  LIST-1 (2004년)_Book1_ PULL  LIST-1 (2007년)" xfId="535"/>
    <cellStyle name="@_9월-12월_9월-12월_PULL  LIST-1 (2004년)_PULL  LIST-1 (2004년)_PULL  LIST-1 (2004년)_Book1_PULL  LIST-1 (2005년)" xfId="536"/>
    <cellStyle name="@_9월-12월_9월-12월_PULL  LIST-1 (2004년)_PULL  LIST-1 (2004년)_PULL  LIST-1 (2004년)_Book1_PULL  LIST-1 (2005년)_PULL  LIST-1 (2005년)" xfId="537"/>
    <cellStyle name="@_9월-12월_9월-12월_PULL  LIST-1 (2004년)_PULL  LIST-1 (2004년)_PULL  LIST-1 (2004년)_Book1_PULL  LIST-1 (2005년)_PULL  LIST-1 (2005년)_ PULL  LIST-1 (2007년)" xfId="538"/>
    <cellStyle name="@_9월-12월_9월-12월_PULL  LIST-1 (2004년)_PULL  LIST-1 (2004년)_PULL  LIST-1 (2004년)_Book1_PULL  LIST-1 (2005년)_PULL  LIST-1 (2005년)_PULL  LIST-1 (2006년)" xfId="539"/>
    <cellStyle name="@_9월-12월_9월-12월_PULL  LIST-1 (2004년)_PULL  LIST-1 (2004년)_PULL  LIST-1 (2004년)_Book1_PULL  LIST-1 (2005년)_PULL  LIST-1 (2005년)_PULL  LIST-1 (2006년)_PULL  LIST-1 (2006년)" xfId="540"/>
    <cellStyle name="@_9월-12월_9월-12월_PULL  LIST-1 (2004년)_PULL  LIST-1 (2004년)_PULL  LIST-1 (2004년)_Book1_PULL  LIST-1 (2005년)_PULL  LIST-1 (2005년)_PULL  LIST-1 (2006년)_PULL  LIST-1 (2006년)_ PULL  LIST-1 (2007년)" xfId="541"/>
    <cellStyle name="@_9월-12월_9월-12월_PULL  LIST-1 (2004년)_PULL  LIST-1 (2004년)_PULL  LIST-1 (2004년)_Book1_PULL  LIST-1 (2005년)_PULL  LIST-1 (2006년)" xfId="542"/>
    <cellStyle name="@_9월-12월_9월-12월_PULL  LIST-1 (2004년)_PULL  LIST-1 (2004년)_PULL  LIST-1 (2004년)_Book1_PULL  LIST-1 (2005년)_PULL  LIST-1 (2006년)_ PULL  LIST-1 (2007년)" xfId="543"/>
    <cellStyle name="@_9월-12월_9월-12월_PULL  LIST-1 (2004년)_PULL  LIST-1 (2004년)_PULL  LIST-1 (2004년)_Book1_PULL  LIST-1 (2005년)_PULL  LIST-1 (2006년)_PULL  LIST-1 (2006년)" xfId="544"/>
    <cellStyle name="@_9월-12월_9월-12월_PULL  LIST-1 (2004년)_PULL  LIST-1 (2004년)_PULL  LIST-1 (2004년)_Book1_PULL  LIST-1 (2005년)_PULL  LIST-1 (2006년)_PULL  LIST-1 (2006년)_PULL  LIST-1 (2006년)" xfId="545"/>
    <cellStyle name="@_9월-12월_9월-12월_PULL  LIST-1 (2004년)_PULL  LIST-1 (2004년)_PULL  LIST-1 (2004년)_Book1_PULL  LIST-1 (2005년)_PULL  LIST-1 (2006년)_PULL  LIST-1 (2006년)_PULL  LIST-1 (2006년)_ PULL  LIST-1 (2007년)" xfId="546"/>
    <cellStyle name="@_9월-12월_9월-12월_PULL  LIST-1 (2004년)_PULL  LIST-1 (2004년)_PULL  LIST-1 (2004년)_Book1_PULL  LIST-1 (2005년)_원가인하9월30일" xfId="547"/>
    <cellStyle name="@_9월-12월_9월-12월_PULL  LIST-1 (2004년)_PULL  LIST-1 (2004년)_PULL  LIST-1 (2004년)_Book1_PULL  LIST-1 (2005년)_원가인하9월30일_ PULL  LIST-1 (2007년)" xfId="548"/>
    <cellStyle name="@_9월-12월_9월-12월_PULL  LIST-1 (2004년)_PULL  LIST-1 (2004년)_PULL  LIST-1 (2004년)_Book1_PULL  LIST-1 (2005년)_원가인하9월30일_PULL  LIST-1 (2006년)" xfId="549"/>
    <cellStyle name="@_9월-12월_9월-12월_PULL  LIST-1 (2004년)_PULL  LIST-1 (2004년)_PULL  LIST-1 (2004년)_Book1_PULL  LIST-1 (2005년)_원가인하9월30일_PULL  LIST-1 (2006년)_PULL  LIST-1 (2006년)" xfId="550"/>
    <cellStyle name="@_9월-12월_9월-12월_PULL  LIST-1 (2004년)_PULL  LIST-1 (2004년)_PULL  LIST-1 (2004년)_Book1_PULL  LIST-1 (2005년)_원가인하9월30일_PULL  LIST-1 (2006년)_PULL  LIST-1 (2006년)_ PULL  LIST-1 (2007년)" xfId="551"/>
    <cellStyle name="@_9월-12월_9월-12월_PULL  LIST-1 (2004년)_PULL  LIST-1 (2004년)_PULL  LIST-1 (2004년)_Book1_PULL  LIST-1 (2006년)" xfId="552"/>
    <cellStyle name="@_9월-12월_9월-12월_PULL  LIST-1 (2004년)_PULL  LIST-1 (2004년)_PULL  LIST-1 (2004년)_Book1_PULL  LIST-1 (2006년)_PULL  LIST-1 (2006년)" xfId="553"/>
    <cellStyle name="@_9월-12월_9월-12월_PULL  LIST-1 (2004년)_PULL  LIST-1 (2004년)_PULL  LIST-1 (2004년)_Book1_PULL  LIST-1 (2006년)_PULL  LIST-1 (2006년)_ PULL  LIST-1 (2007년)" xfId="554"/>
    <cellStyle name="@_9월-12월_9월-12월_PULL  LIST-1 (2004년)_PULL  LIST-1 (2004년)_PULL  LIST-1 (2004년)_PULL  LIST-1 (2005년)" xfId="555"/>
    <cellStyle name="@_9월-12월_9월-12월_PULL  LIST-1 (2004년)_PULL  LIST-1 (2004년)_PULL  LIST-1 (2004년)_PULL  LIST-1 (2005년)_ PULL  LIST-1 (2007년)" xfId="556"/>
    <cellStyle name="@_9월-12월_9월-12월_PULL  LIST-1 (2004년)_PULL  LIST-1 (2004년)_PULL  LIST-1 (2004년)_PULL  LIST-1 (2005년)_PULL  LIST-1 (2006년)" xfId="557"/>
    <cellStyle name="@_9월-12월_9월-12월_PULL  LIST-1 (2004년)_PULL  LIST-1 (2004년)_PULL  LIST-1 (2004년)_PULL  LIST-1 (2005년)_PULL  LIST-1 (2006년)_PULL  LIST-1 (2006년)" xfId="558"/>
    <cellStyle name="@_9월-12월_9월-12월_PULL  LIST-1 (2004년)_PULL  LIST-1 (2004년)_PULL  LIST-1 (2004년)_PULL  LIST-1 (2005년)_PULL  LIST-1 (2006년)_PULL  LIST-1 (2006년)_ PULL  LIST-1 (2007년)" xfId="559"/>
    <cellStyle name="@_9월-12월_9월-12월_PULL  LIST-1 (2004년)_PULL  LIST-1 (2004년)_PULL  LIST-1 (2004년)_PULL  LIST-1 (2006년)" xfId="560"/>
    <cellStyle name="@_9월-12월_9월-12월_PULL  LIST-1 (2004년)_PULL  LIST-1 (2004년)_PULL  LIST-1 (2004년)_PULL  LIST-1 (2006년)_ PULL  LIST-1 (2007년)" xfId="561"/>
    <cellStyle name="@_9월-12월_9월-12월_PULL  LIST-1 (2004년)_PULL  LIST-1 (2004년)_PULL  LIST-1 (2004년)_PULL  LIST-1 (2006년)_PULL  LIST-1 (2006년)" xfId="562"/>
    <cellStyle name="@_9월-12월_9월-12월_PULL  LIST-1 (2004년)_PULL  LIST-1 (2004년)_PULL  LIST-1 (2004년)_PULL  LIST-1 (2006년)_PULL  LIST-1 (2006년)_PULL  LIST-1 (2006년)" xfId="563"/>
    <cellStyle name="@_9월-12월_9월-12월_PULL  LIST-1 (2004년)_PULL  LIST-1 (2004년)_PULL  LIST-1 (2004년)_PULL  LIST-1 (2006년)_PULL  LIST-1 (2006년)_PULL  LIST-1 (2006년)_ PULL  LIST-1 (2007년)" xfId="564"/>
    <cellStyle name="@_9월-12월_9월-12월_PULL  LIST-1 (2004년)_PULL  LIST-1 (2004년)_PULL  LIST-1 (2004년)_원가인하9월30일" xfId="565"/>
    <cellStyle name="@_9월-12월_9월-12월_PULL  LIST-1 (2004년)_PULL  LIST-1 (2004년)_PULL  LIST-1 (2004년)_원가인하9월30일_ PULL  LIST-1 (2007년)" xfId="566"/>
    <cellStyle name="@_9월-12월_9월-12월_PULL  LIST-1 (2004년)_PULL  LIST-1 (2004년)_PULL  LIST-1 (2004년)_원가인하9월30일_PULL  LIST-1 (2006년)" xfId="567"/>
    <cellStyle name="@_9월-12월_9월-12월_PULL  LIST-1 (2004년)_PULL  LIST-1 (2004년)_PULL  LIST-1 (2004년)_원가인하9월30일_PULL  LIST-1 (2006년)_PULL  LIST-1 (2006년)" xfId="568"/>
    <cellStyle name="@_9월-12월_9월-12월_PULL  LIST-1 (2004년)_PULL  LIST-1 (2004년)_PULL  LIST-1 (2004년)_원가인하9월30일_PULL  LIST-1 (2006년)_PULL  LIST-1 (2006년)_ PULL  LIST-1 (2007년)" xfId="569"/>
    <cellStyle name="@_9월-12월_9월-12월_PULL  LIST-1 (2004년)_PULL  LIST-1 (2004년)_PULL  LIST-1 (2005년)" xfId="570"/>
    <cellStyle name="@_9월-12월_9월-12월_PULL  LIST-1 (2004년)_PULL  LIST-1 (2004년)_PULL  LIST-1 (2005년)_PULL  LIST-1 (2005년)" xfId="571"/>
    <cellStyle name="@_9월-12월_9월-12월_PULL  LIST-1 (2004년)_PULL  LIST-1 (2004년)_PULL  LIST-1 (2005년)_PULL  LIST-1 (2005년)_ PULL  LIST-1 (2007년)" xfId="572"/>
    <cellStyle name="@_9월-12월_9월-12월_PULL  LIST-1 (2004년)_PULL  LIST-1 (2004년)_PULL  LIST-1 (2005년)_PULL  LIST-1 (2005년)_PULL  LIST-1 (2006년)" xfId="573"/>
    <cellStyle name="@_9월-12월_9월-12월_PULL  LIST-1 (2004년)_PULL  LIST-1 (2004년)_PULL  LIST-1 (2005년)_PULL  LIST-1 (2005년)_PULL  LIST-1 (2006년)_PULL  LIST-1 (2006년)" xfId="574"/>
    <cellStyle name="@_9월-12월_9월-12월_PULL  LIST-1 (2004년)_PULL  LIST-1 (2004년)_PULL  LIST-1 (2005년)_PULL  LIST-1 (2005년)_PULL  LIST-1 (2006년)_PULL  LIST-1 (2006년)_ PULL  LIST-1 (2007년)" xfId="575"/>
    <cellStyle name="@_9월-12월_9월-12월_PULL  LIST-1 (2004년)_PULL  LIST-1 (2004년)_PULL  LIST-1 (2005년)_PULL  LIST-1 (2006년)" xfId="576"/>
    <cellStyle name="@_9월-12월_9월-12월_PULL  LIST-1 (2004년)_PULL  LIST-1 (2004년)_PULL  LIST-1 (2005년)_PULL  LIST-1 (2006년)_ PULL  LIST-1 (2007년)" xfId="577"/>
    <cellStyle name="@_9월-12월_9월-12월_PULL  LIST-1 (2004년)_PULL  LIST-1 (2004년)_PULL  LIST-1 (2005년)_PULL  LIST-1 (2006년)_PULL  LIST-1 (2006년)" xfId="578"/>
    <cellStyle name="@_9월-12월_9월-12월_PULL  LIST-1 (2004년)_PULL  LIST-1 (2004년)_PULL  LIST-1 (2005년)_PULL  LIST-1 (2006년)_PULL  LIST-1 (2006년)_PULL  LIST-1 (2006년)" xfId="579"/>
    <cellStyle name="@_9월-12월_9월-12월_PULL  LIST-1 (2004년)_PULL  LIST-1 (2004년)_PULL  LIST-1 (2005년)_PULL  LIST-1 (2006년)_PULL  LIST-1 (2006년)_PULL  LIST-1 (2006년)_ PULL  LIST-1 (2007년)" xfId="580"/>
    <cellStyle name="@_9월-12월_9월-12월_PULL  LIST-1 (2004년)_PULL  LIST-1 (2004년)_PULL  LIST-1 (2005년)_원가인하9월30일" xfId="581"/>
    <cellStyle name="@_9월-12월_9월-12월_PULL  LIST-1 (2004년)_PULL  LIST-1 (2004년)_PULL  LIST-1 (2005년)_원가인하9월30일_ PULL  LIST-1 (2007년)" xfId="582"/>
    <cellStyle name="@_9월-12월_9월-12월_PULL  LIST-1 (2004년)_PULL  LIST-1 (2004년)_PULL  LIST-1 (2005년)_원가인하9월30일_PULL  LIST-1 (2006년)" xfId="583"/>
    <cellStyle name="@_9월-12월_9월-12월_PULL  LIST-1 (2004년)_PULL  LIST-1 (2004년)_PULL  LIST-1 (2005년)_원가인하9월30일_PULL  LIST-1 (2006년)_PULL  LIST-1 (2006년)" xfId="584"/>
    <cellStyle name="@_9월-12월_9월-12월_PULL  LIST-1 (2004년)_PULL  LIST-1 (2004년)_PULL  LIST-1 (2005년)_원가인하9월30일_PULL  LIST-1 (2006년)_PULL  LIST-1 (2006년)_ PULL  LIST-1 (2007년)" xfId="585"/>
    <cellStyle name="@_9월-12월_9월-12월_PULL  LIST-1 (2004년)_PULL  LIST-1 (2004년)_PULL  LIST-1 (2006년)" xfId="586"/>
    <cellStyle name="@_9월-12월_9월-12월_PULL  LIST-1 (2004년)_PULL  LIST-1 (2004년)_PULL  LIST-1 (2006년)_PULL  LIST-1 (2006년)" xfId="587"/>
    <cellStyle name="@_9월-12월_9월-12월_PULL  LIST-1 (2004년)_PULL  LIST-1 (2004년)_PULL  LIST-1 (2006년)_PULL  LIST-1 (2006년)_ PULL  LIST-1 (2007년)" xfId="588"/>
    <cellStyle name="@_9월-12월_9월-12월_PULL  LIST-1 (2004년)_PULL  LIST-1 (2005년)" xfId="589"/>
    <cellStyle name="@_9월-12월_9월-12월_PULL  LIST-1 (2004년)_PULL  LIST-1 (2005년)_ PULL  LIST-1 (2007년)" xfId="590"/>
    <cellStyle name="@_9월-12월_9월-12월_PULL  LIST-1 (2004년)_PULL  LIST-1 (2005년)_PULL  LIST-1 (2006년)" xfId="591"/>
    <cellStyle name="@_9월-12월_9월-12월_PULL  LIST-1 (2004년)_PULL  LIST-1 (2005년)_PULL  LIST-1 (2006년)_PULL  LIST-1 (2006년)" xfId="592"/>
    <cellStyle name="@_9월-12월_9월-12월_PULL  LIST-1 (2004년)_PULL  LIST-1 (2005년)_PULL  LIST-1 (2006년)_PULL  LIST-1 (2006년)_ PULL  LIST-1 (2007년)" xfId="593"/>
    <cellStyle name="@_9월-12월_9월-12월_PULL  LIST-1 (2004년)_PULL  LIST-1 (2006년)" xfId="594"/>
    <cellStyle name="@_9월-12월_9월-12월_PULL  LIST-1 (2004년)_PULL  LIST-1 (2006년)_ PULL  LIST-1 (2007년)" xfId="595"/>
    <cellStyle name="@_9월-12월_9월-12월_PULL  LIST-1 (2004년)_PULL  LIST-1 (2006년)_PULL  LIST-1 (2006년)" xfId="596"/>
    <cellStyle name="@_9월-12월_9월-12월_PULL  LIST-1 (2004년)_PULL  LIST-1 (2006년)_PULL  LIST-1 (2006년)_PULL  LIST-1 (2006년)" xfId="597"/>
    <cellStyle name="@_9월-12월_9월-12월_PULL  LIST-1 (2004년)_PULL  LIST-1 (2006년)_PULL  LIST-1 (2006년)_PULL  LIST-1 (2006년)_ PULL  LIST-1 (2007년)" xfId="598"/>
    <cellStyle name="@_9월-12월_9월-12월_PULL  LIST-1 (2004년)_원가인하9월30일" xfId="599"/>
    <cellStyle name="@_9월-12월_9월-12월_PULL  LIST-1 (2004년)_원가인하9월30일_ PULL  LIST-1 (2007년)" xfId="600"/>
    <cellStyle name="@_9월-12월_9월-12월_PULL  LIST-1 (2004년)_원가인하9월30일_PULL  LIST-1 (2006년)" xfId="601"/>
    <cellStyle name="@_9월-12월_9월-12월_PULL  LIST-1 (2004년)_원가인하9월30일_PULL  LIST-1 (2006년)_PULL  LIST-1 (2006년)" xfId="602"/>
    <cellStyle name="@_9월-12월_9월-12월_PULL  LIST-1 (2004년)_원가인하9월30일_PULL  LIST-1 (2006년)_PULL  LIST-1 (2006년)_ PULL  LIST-1 (2007년)" xfId="603"/>
    <cellStyle name="@_9월-12월_9월-12월_PULL  LIST-1 (2005년)" xfId="604"/>
    <cellStyle name="@_9월-12월_9월-12월_PULL  LIST-1 (2005년)_PULL  LIST-1 (2005년)" xfId="605"/>
    <cellStyle name="@_9월-12월_9월-12월_PULL  LIST-1 (2005년)_PULL  LIST-1 (2005년)_ PULL  LIST-1 (2007년)" xfId="606"/>
    <cellStyle name="@_9월-12월_9월-12월_PULL  LIST-1 (2005년)_PULL  LIST-1 (2005년)_PULL  LIST-1 (2006년)" xfId="607"/>
    <cellStyle name="@_9월-12월_9월-12월_PULL  LIST-1 (2005년)_PULL  LIST-1 (2005년)_PULL  LIST-1 (2006년)_PULL  LIST-1 (2006년)" xfId="608"/>
    <cellStyle name="@_9월-12월_9월-12월_PULL  LIST-1 (2005년)_PULL  LIST-1 (2005년)_PULL  LIST-1 (2006년)_PULL  LIST-1 (2006년)_ PULL  LIST-1 (2007년)" xfId="609"/>
    <cellStyle name="@_9월-12월_9월-12월_PULL  LIST-1 (2005년)_PULL  LIST-1 (2006년)" xfId="610"/>
    <cellStyle name="@_9월-12월_9월-12월_PULL  LIST-1 (2005년)_PULL  LIST-1 (2006년)_ PULL  LIST-1 (2007년)" xfId="611"/>
    <cellStyle name="@_9월-12월_9월-12월_PULL  LIST-1 (2005년)_PULL  LIST-1 (2006년)_PULL  LIST-1 (2006년)" xfId="612"/>
    <cellStyle name="@_9월-12월_9월-12월_PULL  LIST-1 (2005년)_PULL  LIST-1 (2006년)_PULL  LIST-1 (2006년)_PULL  LIST-1 (2006년)" xfId="613"/>
    <cellStyle name="@_9월-12월_9월-12월_PULL  LIST-1 (2005년)_PULL  LIST-1 (2006년)_PULL  LIST-1 (2006년)_PULL  LIST-1 (2006년)_ PULL  LIST-1 (2007년)" xfId="614"/>
    <cellStyle name="@_9월-12월_9월-12월_PULL  LIST-1 (2005년)_원가인하9월30일" xfId="615"/>
    <cellStyle name="@_9월-12월_9월-12월_PULL  LIST-1 (2005년)_원가인하9월30일_ PULL  LIST-1 (2007년)" xfId="616"/>
    <cellStyle name="@_9월-12월_9월-12월_PULL  LIST-1 (2005년)_원가인하9월30일_PULL  LIST-1 (2006년)" xfId="617"/>
    <cellStyle name="@_9월-12월_9월-12월_PULL  LIST-1 (2005년)_원가인하9월30일_PULL  LIST-1 (2006년)_PULL  LIST-1 (2006년)" xfId="618"/>
    <cellStyle name="@_9월-12월_9월-12월_PULL  LIST-1 (2005년)_원가인하9월30일_PULL  LIST-1 (2006년)_PULL  LIST-1 (2006년)_ PULL  LIST-1 (2007년)" xfId="619"/>
    <cellStyle name="@_9월-12월_9월-12월_PULL  LIST-1 (2006년)" xfId="620"/>
    <cellStyle name="@_9월-12월_9월-12월_PULL  LIST-1 (2006년)_PULL  LIST-1 (2006년)" xfId="621"/>
    <cellStyle name="@_9월-12월_9월-12월_PULL  LIST-1 (2006년)_PULL  LIST-1 (2006년)_ PULL  LIST-1 (2007년)" xfId="622"/>
    <cellStyle name="@_9월-12월_PULL  LIST-1 (2004년)" xfId="623"/>
    <cellStyle name="@_9월-12월_PULL  LIST-1 (2004년)_Book1" xfId="624"/>
    <cellStyle name="@_9월-12월_PULL  LIST-1 (2004년)_Book1_ PULL  LIST-1 (2007년)" xfId="625"/>
    <cellStyle name="@_9월-12월_PULL  LIST-1 (2004년)_Book1_PULL  LIST-1 (2005년)" xfId="626"/>
    <cellStyle name="@_9월-12월_PULL  LIST-1 (2004년)_Book1_PULL  LIST-1 (2005년)_PULL  LIST-1 (2005년)" xfId="627"/>
    <cellStyle name="@_9월-12월_PULL  LIST-1 (2004년)_Book1_PULL  LIST-1 (2005년)_PULL  LIST-1 (2005년)_ PULL  LIST-1 (2007년)" xfId="628"/>
    <cellStyle name="@_9월-12월_PULL  LIST-1 (2004년)_Book1_PULL  LIST-1 (2005년)_PULL  LIST-1 (2005년)_PULL  LIST-1 (2006년)" xfId="629"/>
    <cellStyle name="@_9월-12월_PULL  LIST-1 (2004년)_Book1_PULL  LIST-1 (2005년)_PULL  LIST-1 (2005년)_PULL  LIST-1 (2006년)_PULL  LIST-1 (2006년)" xfId="630"/>
    <cellStyle name="@_9월-12월_PULL  LIST-1 (2004년)_Book1_PULL  LIST-1 (2005년)_PULL  LIST-1 (2005년)_PULL  LIST-1 (2006년)_PULL  LIST-1 (2006년)_ PULL  LIST-1 (2007년)" xfId="631"/>
    <cellStyle name="@_9월-12월_PULL  LIST-1 (2004년)_Book1_PULL  LIST-1 (2005년)_PULL  LIST-1 (2006년)" xfId="632"/>
    <cellStyle name="@_9월-12월_PULL  LIST-1 (2004년)_Book1_PULL  LIST-1 (2005년)_PULL  LIST-1 (2006년)_ PULL  LIST-1 (2007년)" xfId="633"/>
    <cellStyle name="@_9월-12월_PULL  LIST-1 (2004년)_Book1_PULL  LIST-1 (2005년)_PULL  LIST-1 (2006년)_PULL  LIST-1 (2006년)" xfId="634"/>
    <cellStyle name="@_9월-12월_PULL  LIST-1 (2004년)_Book1_PULL  LIST-1 (2005년)_PULL  LIST-1 (2006년)_PULL  LIST-1 (2006년)_PULL  LIST-1 (2006년)" xfId="635"/>
    <cellStyle name="@_9월-12월_PULL  LIST-1 (2004년)_Book1_PULL  LIST-1 (2005년)_PULL  LIST-1 (2006년)_PULL  LIST-1 (2006년)_PULL  LIST-1 (2006년)_ PULL  LIST-1 (2007년)" xfId="636"/>
    <cellStyle name="@_9월-12월_PULL  LIST-1 (2004년)_Book1_PULL  LIST-1 (2005년)_원가인하9월30일" xfId="637"/>
    <cellStyle name="@_9월-12월_PULL  LIST-1 (2004년)_Book1_PULL  LIST-1 (2005년)_원가인하9월30일_ PULL  LIST-1 (2007년)" xfId="638"/>
    <cellStyle name="@_9월-12월_PULL  LIST-1 (2004년)_Book1_PULL  LIST-1 (2005년)_원가인하9월30일_PULL  LIST-1 (2006년)" xfId="639"/>
    <cellStyle name="@_9월-12월_PULL  LIST-1 (2004년)_Book1_PULL  LIST-1 (2005년)_원가인하9월30일_PULL  LIST-1 (2006년)_PULL  LIST-1 (2006년)" xfId="640"/>
    <cellStyle name="@_9월-12월_PULL  LIST-1 (2004년)_Book1_PULL  LIST-1 (2005년)_원가인하9월30일_PULL  LIST-1 (2006년)_PULL  LIST-1 (2006년)_ PULL  LIST-1 (2007년)" xfId="641"/>
    <cellStyle name="@_9월-12월_PULL  LIST-1 (2004년)_Book1_PULL  LIST-1 (2006년)" xfId="642"/>
    <cellStyle name="@_9월-12월_PULL  LIST-1 (2004년)_Book1_PULL  LIST-1 (2006년)_PULL  LIST-1 (2006년)" xfId="643"/>
    <cellStyle name="@_9월-12월_PULL  LIST-1 (2004년)_Book1_PULL  LIST-1 (2006년)_PULL  LIST-1 (2006년)_ PULL  LIST-1 (2007년)" xfId="644"/>
    <cellStyle name="@_9월-12월_PULL  LIST-1 (2004년)_PULL  LIST-1 (2004년)" xfId="645"/>
    <cellStyle name="@_9월-12월_PULL  LIST-1 (2004년)_PULL  LIST-1 (2004년)_ PULL  LIST-1 (2007년)" xfId="646"/>
    <cellStyle name="@_9월-12월_PULL  LIST-1 (2004년)_PULL  LIST-1 (2004년)_PULL  LIST-1 (2004년)" xfId="647"/>
    <cellStyle name="@_9월-12월_PULL  LIST-1 (2004년)_PULL  LIST-1 (2004년)_PULL  LIST-1 (2004년)_Book1" xfId="648"/>
    <cellStyle name="@_9월-12월_PULL  LIST-1 (2004년)_PULL  LIST-1 (2004년)_PULL  LIST-1 (2004년)_Book1_ PULL  LIST-1 (2007년)" xfId="649"/>
    <cellStyle name="@_9월-12월_PULL  LIST-1 (2004년)_PULL  LIST-1 (2004년)_PULL  LIST-1 (2004년)_Book1_PULL  LIST-1 (2005년)" xfId="650"/>
    <cellStyle name="@_9월-12월_PULL  LIST-1 (2004년)_PULL  LIST-1 (2004년)_PULL  LIST-1 (2004년)_Book1_PULL  LIST-1 (2005년)_PULL  LIST-1 (2005년)" xfId="651"/>
    <cellStyle name="@_9월-12월_PULL  LIST-1 (2004년)_PULL  LIST-1 (2004년)_PULL  LIST-1 (2004년)_Book1_PULL  LIST-1 (2005년)_PULL  LIST-1 (2005년)_ PULL  LIST-1 (2007년)" xfId="652"/>
    <cellStyle name="@_9월-12월_PULL  LIST-1 (2004년)_PULL  LIST-1 (2004년)_PULL  LIST-1 (2004년)_Book1_PULL  LIST-1 (2005년)_PULL  LIST-1 (2005년)_PULL  LIST-1 (2006년)" xfId="653"/>
    <cellStyle name="@_9월-12월_PULL  LIST-1 (2004년)_PULL  LIST-1 (2004년)_PULL  LIST-1 (2004년)_Book1_PULL  LIST-1 (2005년)_PULL  LIST-1 (2005년)_PULL  LIST-1 (2006년)_PULL  LIST-1 (2006년)" xfId="654"/>
    <cellStyle name="@_9월-12월_PULL  LIST-1 (2004년)_PULL  LIST-1 (2004년)_PULL  LIST-1 (2004년)_Book1_PULL  LIST-1 (2005년)_PULL  LIST-1 (2005년)_PULL  LIST-1 (2006년)_PULL  LIST-1 (2006년)_ PULL  LIST-1 (2007년)" xfId="655"/>
    <cellStyle name="@_9월-12월_PULL  LIST-1 (2004년)_PULL  LIST-1 (2004년)_PULL  LIST-1 (2004년)_Book1_PULL  LIST-1 (2005년)_PULL  LIST-1 (2006년)" xfId="656"/>
    <cellStyle name="@_9월-12월_PULL  LIST-1 (2004년)_PULL  LIST-1 (2004년)_PULL  LIST-1 (2004년)_Book1_PULL  LIST-1 (2005년)_PULL  LIST-1 (2006년)_ PULL  LIST-1 (2007년)" xfId="657"/>
    <cellStyle name="@_9월-12월_PULL  LIST-1 (2004년)_PULL  LIST-1 (2004년)_PULL  LIST-1 (2004년)_Book1_PULL  LIST-1 (2005년)_PULL  LIST-1 (2006년)_PULL  LIST-1 (2006년)" xfId="658"/>
    <cellStyle name="@_9월-12월_PULL  LIST-1 (2004년)_PULL  LIST-1 (2004년)_PULL  LIST-1 (2004년)_Book1_PULL  LIST-1 (2005년)_PULL  LIST-1 (2006년)_PULL  LIST-1 (2006년)_PULL  LIST-1 (2006년)" xfId="659"/>
    <cellStyle name="@_9월-12월_PULL  LIST-1 (2004년)_PULL  LIST-1 (2004년)_PULL  LIST-1 (2004년)_Book1_PULL  LIST-1 (2005년)_PULL  LIST-1 (2006년)_PULL  LIST-1 (2006년)_PULL  LIST-1 (2006년)_ PULL  LIST-1 (2007년)" xfId="660"/>
    <cellStyle name="@_9월-12월_PULL  LIST-1 (2004년)_PULL  LIST-1 (2004년)_PULL  LIST-1 (2004년)_Book1_PULL  LIST-1 (2005년)_원가인하9월30일" xfId="661"/>
    <cellStyle name="@_9월-12월_PULL  LIST-1 (2004년)_PULL  LIST-1 (2004년)_PULL  LIST-1 (2004년)_Book1_PULL  LIST-1 (2005년)_원가인하9월30일_ PULL  LIST-1 (2007년)" xfId="662"/>
    <cellStyle name="@_9월-12월_PULL  LIST-1 (2004년)_PULL  LIST-1 (2004년)_PULL  LIST-1 (2004년)_Book1_PULL  LIST-1 (2005년)_원가인하9월30일_PULL  LIST-1 (2006년)" xfId="663"/>
    <cellStyle name="@_9월-12월_PULL  LIST-1 (2004년)_PULL  LIST-1 (2004년)_PULL  LIST-1 (2004년)_Book1_PULL  LIST-1 (2005년)_원가인하9월30일_PULL  LIST-1 (2006년)_PULL  LIST-1 (2006년)" xfId="664"/>
    <cellStyle name="@_9월-12월_PULL  LIST-1 (2004년)_PULL  LIST-1 (2004년)_PULL  LIST-1 (2004년)_Book1_PULL  LIST-1 (2005년)_원가인하9월30일_PULL  LIST-1 (2006년)_PULL  LIST-1 (2006년)_ PULL  LIST-1 (2007년)" xfId="665"/>
    <cellStyle name="@_9월-12월_PULL  LIST-1 (2004년)_PULL  LIST-1 (2004년)_PULL  LIST-1 (2004년)_Book1_PULL  LIST-1 (2006년)" xfId="666"/>
    <cellStyle name="@_9월-12월_PULL  LIST-1 (2004년)_PULL  LIST-1 (2004년)_PULL  LIST-1 (2004년)_Book1_PULL  LIST-1 (2006년)_PULL  LIST-1 (2006년)" xfId="667"/>
    <cellStyle name="@_9월-12월_PULL  LIST-1 (2004년)_PULL  LIST-1 (2004년)_PULL  LIST-1 (2004년)_Book1_PULL  LIST-1 (2006년)_PULL  LIST-1 (2006년)_ PULL  LIST-1 (2007년)" xfId="668"/>
    <cellStyle name="@_9월-12월_PULL  LIST-1 (2004년)_PULL  LIST-1 (2004년)_PULL  LIST-1 (2004년)_PULL  LIST-1 (2005년)" xfId="669"/>
    <cellStyle name="@_9월-12월_PULL  LIST-1 (2004년)_PULL  LIST-1 (2004년)_PULL  LIST-1 (2004년)_PULL  LIST-1 (2005년)_ PULL  LIST-1 (2007년)" xfId="670"/>
    <cellStyle name="@_9월-12월_PULL  LIST-1 (2004년)_PULL  LIST-1 (2004년)_PULL  LIST-1 (2004년)_PULL  LIST-1 (2005년)_PULL  LIST-1 (2006년)" xfId="671"/>
    <cellStyle name="@_9월-12월_PULL  LIST-1 (2004년)_PULL  LIST-1 (2004년)_PULL  LIST-1 (2004년)_PULL  LIST-1 (2005년)_PULL  LIST-1 (2006년)_PULL  LIST-1 (2006년)" xfId="672"/>
    <cellStyle name="@_9월-12월_PULL  LIST-1 (2004년)_PULL  LIST-1 (2004년)_PULL  LIST-1 (2004년)_PULL  LIST-1 (2005년)_PULL  LIST-1 (2006년)_PULL  LIST-1 (2006년)_ PULL  LIST-1 (2007년)" xfId="673"/>
    <cellStyle name="@_9월-12월_PULL  LIST-1 (2004년)_PULL  LIST-1 (2004년)_PULL  LIST-1 (2004년)_PULL  LIST-1 (2006년)" xfId="674"/>
    <cellStyle name="@_9월-12월_PULL  LIST-1 (2004년)_PULL  LIST-1 (2004년)_PULL  LIST-1 (2004년)_PULL  LIST-1 (2006년)_ PULL  LIST-1 (2007년)" xfId="675"/>
    <cellStyle name="@_9월-12월_PULL  LIST-1 (2004년)_PULL  LIST-1 (2004년)_PULL  LIST-1 (2004년)_PULL  LIST-1 (2006년)_PULL  LIST-1 (2006년)" xfId="676"/>
    <cellStyle name="@_9월-12월_PULL  LIST-1 (2004년)_PULL  LIST-1 (2004년)_PULL  LIST-1 (2004년)_PULL  LIST-1 (2006년)_PULL  LIST-1 (2006년)_PULL  LIST-1 (2006년)" xfId="677"/>
    <cellStyle name="@_9월-12월_PULL  LIST-1 (2004년)_PULL  LIST-1 (2004년)_PULL  LIST-1 (2004년)_PULL  LIST-1 (2006년)_PULL  LIST-1 (2006년)_PULL  LIST-1 (2006년)_ PULL  LIST-1 (2007년)" xfId="678"/>
    <cellStyle name="@_9월-12월_PULL  LIST-1 (2004년)_PULL  LIST-1 (2004년)_PULL  LIST-1 (2004년)_원가인하9월30일" xfId="679"/>
    <cellStyle name="@_9월-12월_PULL  LIST-1 (2004년)_PULL  LIST-1 (2004년)_PULL  LIST-1 (2004년)_원가인하9월30일_ PULL  LIST-1 (2007년)" xfId="680"/>
    <cellStyle name="@_9월-12월_PULL  LIST-1 (2004년)_PULL  LIST-1 (2004년)_PULL  LIST-1 (2004년)_원가인하9월30일_PULL  LIST-1 (2006년)" xfId="681"/>
    <cellStyle name="@_9월-12월_PULL  LIST-1 (2004년)_PULL  LIST-1 (2004년)_PULL  LIST-1 (2004년)_원가인하9월30일_PULL  LIST-1 (2006년)_PULL  LIST-1 (2006년)" xfId="682"/>
    <cellStyle name="@_9월-12월_PULL  LIST-1 (2004년)_PULL  LIST-1 (2004년)_PULL  LIST-1 (2004년)_원가인하9월30일_PULL  LIST-1 (2006년)_PULL  LIST-1 (2006년)_ PULL  LIST-1 (2007년)" xfId="683"/>
    <cellStyle name="@_9월-12월_PULL  LIST-1 (2004년)_PULL  LIST-1 (2004년)_PULL  LIST-1 (2005년)" xfId="684"/>
    <cellStyle name="@_9월-12월_PULL  LIST-1 (2004년)_PULL  LIST-1 (2004년)_PULL  LIST-1 (2005년)_PULL  LIST-1 (2005년)" xfId="685"/>
    <cellStyle name="@_9월-12월_PULL  LIST-1 (2004년)_PULL  LIST-1 (2004년)_PULL  LIST-1 (2005년)_PULL  LIST-1 (2005년)_ PULL  LIST-1 (2007년)" xfId="686"/>
    <cellStyle name="@_9월-12월_PULL  LIST-1 (2004년)_PULL  LIST-1 (2004년)_PULL  LIST-1 (2005년)_PULL  LIST-1 (2005년)_PULL  LIST-1 (2006년)" xfId="687"/>
    <cellStyle name="@_9월-12월_PULL  LIST-1 (2004년)_PULL  LIST-1 (2004년)_PULL  LIST-1 (2005년)_PULL  LIST-1 (2005년)_PULL  LIST-1 (2006년)_PULL  LIST-1 (2006년)" xfId="688"/>
    <cellStyle name="@_9월-12월_PULL  LIST-1 (2004년)_PULL  LIST-1 (2004년)_PULL  LIST-1 (2005년)_PULL  LIST-1 (2005년)_PULL  LIST-1 (2006년)_PULL  LIST-1 (2006년)_ PULL  LIST-1 (2007년)" xfId="689"/>
    <cellStyle name="@_9월-12월_PULL  LIST-1 (2004년)_PULL  LIST-1 (2004년)_PULL  LIST-1 (2005년)_PULL  LIST-1 (2006년)" xfId="690"/>
    <cellStyle name="@_9월-12월_PULL  LIST-1 (2004년)_PULL  LIST-1 (2004년)_PULL  LIST-1 (2005년)_PULL  LIST-1 (2006년)_ PULL  LIST-1 (2007년)" xfId="691"/>
    <cellStyle name="@_9월-12월_PULL  LIST-1 (2004년)_PULL  LIST-1 (2004년)_PULL  LIST-1 (2005년)_PULL  LIST-1 (2006년)_PULL  LIST-1 (2006년)" xfId="692"/>
    <cellStyle name="@_9월-12월_PULL  LIST-1 (2004년)_PULL  LIST-1 (2004년)_PULL  LIST-1 (2005년)_PULL  LIST-1 (2006년)_PULL  LIST-1 (2006년)_PULL  LIST-1 (2006년)" xfId="693"/>
    <cellStyle name="@_9월-12월_PULL  LIST-1 (2004년)_PULL  LIST-1 (2004년)_PULL  LIST-1 (2005년)_PULL  LIST-1 (2006년)_PULL  LIST-1 (2006년)_PULL  LIST-1 (2006년)_ PULL  LIST-1 (2007년)" xfId="694"/>
    <cellStyle name="@_9월-12월_PULL  LIST-1 (2004년)_PULL  LIST-1 (2004년)_PULL  LIST-1 (2005년)_원가인하9월30일" xfId="695"/>
    <cellStyle name="@_9월-12월_PULL  LIST-1 (2004년)_PULL  LIST-1 (2004년)_PULL  LIST-1 (2005년)_원가인하9월30일_ PULL  LIST-1 (2007년)" xfId="696"/>
    <cellStyle name="@_9월-12월_PULL  LIST-1 (2004년)_PULL  LIST-1 (2004년)_PULL  LIST-1 (2005년)_원가인하9월30일_PULL  LIST-1 (2006년)" xfId="697"/>
    <cellStyle name="@_9월-12월_PULL  LIST-1 (2004년)_PULL  LIST-1 (2004년)_PULL  LIST-1 (2005년)_원가인하9월30일_PULL  LIST-1 (2006년)_PULL  LIST-1 (2006년)" xfId="698"/>
    <cellStyle name="@_9월-12월_PULL  LIST-1 (2004년)_PULL  LIST-1 (2004년)_PULL  LIST-1 (2005년)_원가인하9월30일_PULL  LIST-1 (2006년)_PULL  LIST-1 (2006년)_ PULL  LIST-1 (2007년)" xfId="699"/>
    <cellStyle name="@_9월-12월_PULL  LIST-1 (2004년)_PULL  LIST-1 (2004년)_PULL  LIST-1 (2006년)" xfId="700"/>
    <cellStyle name="@_9월-12월_PULL  LIST-1 (2004년)_PULL  LIST-1 (2004년)_PULL  LIST-1 (2006년)_PULL  LIST-1 (2006년)" xfId="701"/>
    <cellStyle name="@_9월-12월_PULL  LIST-1 (2004년)_PULL  LIST-1 (2004년)_PULL  LIST-1 (2006년)_PULL  LIST-1 (2006년)_ PULL  LIST-1 (2007년)" xfId="702"/>
    <cellStyle name="@_9월-12월_PULL  LIST-1 (2004년)_PULL  LIST-1 (2005년)" xfId="703"/>
    <cellStyle name="@_9월-12월_PULL  LIST-1 (2004년)_PULL  LIST-1 (2005년)_ PULL  LIST-1 (2007년)" xfId="704"/>
    <cellStyle name="@_9월-12월_PULL  LIST-1 (2004년)_PULL  LIST-1 (2005년)_PULL  LIST-1 (2006년)" xfId="705"/>
    <cellStyle name="@_9월-12월_PULL  LIST-1 (2004년)_PULL  LIST-1 (2005년)_PULL  LIST-1 (2006년)_PULL  LIST-1 (2006년)" xfId="706"/>
    <cellStyle name="@_9월-12월_PULL  LIST-1 (2004년)_PULL  LIST-1 (2005년)_PULL  LIST-1 (2006년)_PULL  LIST-1 (2006년)_ PULL  LIST-1 (2007년)" xfId="707"/>
    <cellStyle name="@_9월-12월_PULL  LIST-1 (2004년)_PULL  LIST-1 (2006년)" xfId="708"/>
    <cellStyle name="@_9월-12월_PULL  LIST-1 (2004년)_PULL  LIST-1 (2006년)_ PULL  LIST-1 (2007년)" xfId="709"/>
    <cellStyle name="@_9월-12월_PULL  LIST-1 (2004년)_PULL  LIST-1 (2006년)_PULL  LIST-1 (2006년)" xfId="710"/>
    <cellStyle name="@_9월-12월_PULL  LIST-1 (2004년)_PULL  LIST-1 (2006년)_PULL  LIST-1 (2006년)_PULL  LIST-1 (2006년)" xfId="711"/>
    <cellStyle name="@_9월-12월_PULL  LIST-1 (2004년)_PULL  LIST-1 (2006년)_PULL  LIST-1 (2006년)_PULL  LIST-1 (2006년)_ PULL  LIST-1 (2007년)" xfId="712"/>
    <cellStyle name="@_9월-12월_PULL  LIST-1 (2004년)_원가인하9월30일" xfId="713"/>
    <cellStyle name="@_9월-12월_PULL  LIST-1 (2004년)_원가인하9월30일_ PULL  LIST-1 (2007년)" xfId="714"/>
    <cellStyle name="@_9월-12월_PULL  LIST-1 (2004년)_원가인하9월30일_PULL  LIST-1 (2006년)" xfId="715"/>
    <cellStyle name="@_9월-12월_PULL  LIST-1 (2004년)_원가인하9월30일_PULL  LIST-1 (2006년)_PULL  LIST-1 (2006년)" xfId="716"/>
    <cellStyle name="@_9월-12월_PULL  LIST-1 (2004년)_원가인하9월30일_PULL  LIST-1 (2006년)_PULL  LIST-1 (2006년)_ PULL  LIST-1 (2007년)" xfId="717"/>
    <cellStyle name="@_9월-12월_PULL  LIST-1 (2005년)" xfId="718"/>
    <cellStyle name="@_9월-12월_PULL  LIST-1 (2005년)_PULL  LIST-1 (2005년)" xfId="719"/>
    <cellStyle name="@_9월-12월_PULL  LIST-1 (2005년)_PULL  LIST-1 (2005년)_ PULL  LIST-1 (2007년)" xfId="720"/>
    <cellStyle name="@_9월-12월_PULL  LIST-1 (2005년)_PULL  LIST-1 (2005년)_PULL  LIST-1 (2006년)" xfId="721"/>
    <cellStyle name="@_9월-12월_PULL  LIST-1 (2005년)_PULL  LIST-1 (2005년)_PULL  LIST-1 (2006년)_PULL  LIST-1 (2006년)" xfId="722"/>
    <cellStyle name="@_9월-12월_PULL  LIST-1 (2005년)_PULL  LIST-1 (2005년)_PULL  LIST-1 (2006년)_PULL  LIST-1 (2006년)_ PULL  LIST-1 (2007년)" xfId="723"/>
    <cellStyle name="@_9월-12월_PULL  LIST-1 (2005년)_PULL  LIST-1 (2006년)" xfId="724"/>
    <cellStyle name="@_9월-12월_PULL  LIST-1 (2005년)_PULL  LIST-1 (2006년)_ PULL  LIST-1 (2007년)" xfId="725"/>
    <cellStyle name="@_9월-12월_PULL  LIST-1 (2005년)_PULL  LIST-1 (2006년)_PULL  LIST-1 (2006년)" xfId="726"/>
    <cellStyle name="@_9월-12월_PULL  LIST-1 (2005년)_PULL  LIST-1 (2006년)_PULL  LIST-1 (2006년)_PULL  LIST-1 (2006년)" xfId="727"/>
    <cellStyle name="@_9월-12월_PULL  LIST-1 (2005년)_PULL  LIST-1 (2006년)_PULL  LIST-1 (2006년)_PULL  LIST-1 (2006년)_ PULL  LIST-1 (2007년)" xfId="728"/>
    <cellStyle name="@_9월-12월_PULL  LIST-1 (2005년)_원가인하9월30일" xfId="729"/>
    <cellStyle name="@_9월-12월_PULL  LIST-1 (2005년)_원가인하9월30일_ PULL  LIST-1 (2007년)" xfId="730"/>
    <cellStyle name="@_9월-12월_PULL  LIST-1 (2005년)_원가인하9월30일_PULL  LIST-1 (2006년)" xfId="731"/>
    <cellStyle name="@_9월-12월_PULL  LIST-1 (2005년)_원가인하9월30일_PULL  LIST-1 (2006년)_PULL  LIST-1 (2006년)" xfId="732"/>
    <cellStyle name="@_9월-12월_PULL  LIST-1 (2005년)_원가인하9월30일_PULL  LIST-1 (2006년)_PULL  LIST-1 (2006년)_ PULL  LIST-1 (2007년)" xfId="733"/>
    <cellStyle name="@_9월-12월_PULL  LIST-1 (2006년)" xfId="734"/>
    <cellStyle name="@_9월-12월_PULL  LIST-1 (2006년)_PULL  LIST-1 (2006년)" xfId="735"/>
    <cellStyle name="@_9월-12월_PULL  LIST-1 (2006년)_PULL  LIST-1 (2006년)_ PULL  LIST-1 (2007년)" xfId="736"/>
    <cellStyle name="@_Book1" xfId="737"/>
    <cellStyle name="@_Book1_ PULL  LIST-1 (2007년)" xfId="738"/>
    <cellStyle name="@_Book1_PULL  LIST-1 (2005년)" xfId="739"/>
    <cellStyle name="@_Book1_PULL  LIST-1 (2005년)_PULL  LIST-1 (2005년)" xfId="740"/>
    <cellStyle name="@_Book1_PULL  LIST-1 (2005년)_PULL  LIST-1 (2005년)_ PULL  LIST-1 (2007년)" xfId="741"/>
    <cellStyle name="@_Book1_PULL  LIST-1 (2005년)_PULL  LIST-1 (2005년)_PULL  LIST-1 (2006년)" xfId="742"/>
    <cellStyle name="@_Book1_PULL  LIST-1 (2005년)_PULL  LIST-1 (2005년)_PULL  LIST-1 (2006년)_PULL  LIST-1 (2006년)" xfId="743"/>
    <cellStyle name="@_Book1_PULL  LIST-1 (2005년)_PULL  LIST-1 (2005년)_PULL  LIST-1 (2006년)_PULL  LIST-1 (2006년)_ PULL  LIST-1 (2007년)" xfId="744"/>
    <cellStyle name="@_Book1_PULL  LIST-1 (2005년)_PULL  LIST-1 (2006년)" xfId="745"/>
    <cellStyle name="@_Book1_PULL  LIST-1 (2005년)_PULL  LIST-1 (2006년)_ PULL  LIST-1 (2007년)" xfId="746"/>
    <cellStyle name="@_Book1_PULL  LIST-1 (2005년)_PULL  LIST-1 (2006년)_PULL  LIST-1 (2006년)" xfId="747"/>
    <cellStyle name="@_Book1_PULL  LIST-1 (2005년)_PULL  LIST-1 (2006년)_PULL  LIST-1 (2006년)_PULL  LIST-1 (2006년)" xfId="748"/>
    <cellStyle name="@_Book1_PULL  LIST-1 (2005년)_PULL  LIST-1 (2006년)_PULL  LIST-1 (2006년)_PULL  LIST-1 (2006년)_ PULL  LIST-1 (2007년)" xfId="749"/>
    <cellStyle name="@_Book1_PULL  LIST-1 (2005년)_원가인하9월30일" xfId="750"/>
    <cellStyle name="@_Book1_PULL  LIST-1 (2005년)_원가인하9월30일_ PULL  LIST-1 (2007년)" xfId="751"/>
    <cellStyle name="@_Book1_PULL  LIST-1 (2005년)_원가인하9월30일_ PULL  LIST-1 (2007년) 2" xfId="752"/>
    <cellStyle name="@_Book1_PULL  LIST-1 (2005년)_원가인하9월30일_ PULL  LIST-1 (2007년)_SM321  CON'V (전면우좌)견적서(070123)" xfId="753"/>
    <cellStyle name="@_Book1_PULL  LIST-1 (2005년)_원가인하9월30일_PULL  LIST-1 (2006년)" xfId="754"/>
    <cellStyle name="@_Book1_PULL  LIST-1 (2005년)_원가인하9월30일_PULL  LIST-1 (2006년)_PULL  LIST-1 (2006년)" xfId="755"/>
    <cellStyle name="@_Book1_PULL  LIST-1 (2005년)_원가인하9월30일_PULL  LIST-1 (2006년)_PULL  LIST-1 (2006년)_ PULL  LIST-1 (2007년)" xfId="756"/>
    <cellStyle name="@_Book1_PULL  LIST-1 (2006년)" xfId="757"/>
    <cellStyle name="@_Book1_PULL  LIST-1 (2006년)_PULL  LIST-1 (2006년)" xfId="758"/>
    <cellStyle name="@_Book1_PULL  LIST-1 (2006년)_PULL  LIST-1 (2006년)_ PULL  LIST-1 (2007년)" xfId="759"/>
    <cellStyle name="@_laroux" xfId="760"/>
    <cellStyle name="@_laroux_2" xfId="761"/>
    <cellStyle name="@_laroux_2_가속기 상세설계 품평회 자료_PM_060424" xfId="762"/>
    <cellStyle name="@_laroux_ACP-1~1_총괄표 " xfId="763"/>
    <cellStyle name="@_laroux_ACP-1~1_총괄표 _2.외주관리_가속기" xfId="764"/>
    <cellStyle name="@_laroux_ACP-1~1_총괄표 _외주관리_가속기" xfId="765"/>
    <cellStyle name="@_laroux_M-SAM_총괄표 " xfId="766"/>
    <cellStyle name="@_laroux_M-SAM_총괄표 _2.외주관리_가속기" xfId="767"/>
    <cellStyle name="@_laroux_M-SAM_총괄표 _외주관리_가속기" xfId="768"/>
    <cellStyle name="@_laroux_간접재료비(총투입)_총괄표 " xfId="769"/>
    <cellStyle name="@_laroux_간접재료비(총투입)_총괄표 _2.외주관리_가속기" xfId="770"/>
    <cellStyle name="@_laroux_간접재료비(총투입)_총괄표 _외주관리_가속기" xfId="771"/>
    <cellStyle name="@_laroux_간접재료비단가_'01년 양산(1차 업체제출가)_총괄표 " xfId="772"/>
    <cellStyle name="@_laroux_간접재료비단가_'01년 양산(1차 업체제출가)_총괄표 _2.외주관리_가속기" xfId="773"/>
    <cellStyle name="@_laroux_간접재료비단가_'01년 양산(1차 업체제출가)_총괄표 _외주관리_가속기" xfId="774"/>
    <cellStyle name="@_laroux_간접재료비단가_계약원가(제출)_총괄표 " xfId="775"/>
    <cellStyle name="@_laroux_간접재료비단가_계약원가(제출)_총괄표 _2.외주관리_가속기" xfId="776"/>
    <cellStyle name="@_laroux_간접재료비단가_계약원가(제출)_총괄표 _외주관리_가속기" xfId="777"/>
    <cellStyle name="@_laroux_간접재료비단가_변동(제출)_총괄표 " xfId="778"/>
    <cellStyle name="@_laroux_간접재료비단가_변동(제출)_총괄표 _2.외주관리_가속기" xfId="779"/>
    <cellStyle name="@_laroux_간접재료비단가_변동(제출)_총괄표 _외주관리_가속기" xfId="780"/>
    <cellStyle name="@_laroux_간접재료비단가_총괄표 " xfId="781"/>
    <cellStyle name="@_laroux_간접재료비단가_총괄표 _2.외주관리_가속기" xfId="782"/>
    <cellStyle name="@_laroux_간접재료비단가_총괄표 _외주관리_가속기" xfId="783"/>
    <cellStyle name="@_laroux_감가상각비_'01년 양산(1차 업체제출가)_총괄표 " xfId="784"/>
    <cellStyle name="@_laroux_감가상각비_'01년 양산(1차 업체제출가)_총괄표 _2.외주관리_가속기" xfId="785"/>
    <cellStyle name="@_laroux_감가상각비_'01년 양산(1차 업체제출가)_총괄표 _외주관리_가속기" xfId="786"/>
    <cellStyle name="@_laroux_감가상각비_계약원가(제출)_총괄표 " xfId="787"/>
    <cellStyle name="@_laroux_감가상각비_계약원가(제출)_총괄표 _2.외주관리_가속기" xfId="788"/>
    <cellStyle name="@_laroux_감가상각비_계약원가(제출)_총괄표 _외주관리_가속기" xfId="789"/>
    <cellStyle name="@_laroux_감가상각비_변동(제출)_총괄표 " xfId="790"/>
    <cellStyle name="@_laroux_감가상각비_변동(제출)_총괄표 _2.외주관리_가속기" xfId="791"/>
    <cellStyle name="@_laroux_감가상각비_변동(제출)_총괄표 _외주관리_가속기" xfId="792"/>
    <cellStyle name="@_laroux_감가상각비_총괄표 " xfId="793"/>
    <cellStyle name="@_laroux_감가상각비_총괄표 _2.외주관리_가속기" xfId="794"/>
    <cellStyle name="@_laroux_감가상각비_총괄표 _외주관리_가속기" xfId="795"/>
    <cellStyle name="@_laroux_갑지_총괄표 " xfId="796"/>
    <cellStyle name="@_laroux_갑지_총괄표 _2.외주관리_가속기" xfId="797"/>
    <cellStyle name="@_laroux_갑지_총괄표 _외주관리_가속기" xfId="798"/>
    <cellStyle name="@_laroux_갑지A_총괄표 " xfId="799"/>
    <cellStyle name="@_laroux_갑지A_총괄표 _2.외주관리_가속기" xfId="800"/>
    <cellStyle name="@_laroux_갑지A_총괄표 _외주관리_가속기" xfId="801"/>
    <cellStyle name="@_laroux_국내재료비_총괄표 " xfId="802"/>
    <cellStyle name="@_laroux_국내재료비_총괄표 _2.외주관리_가속기" xfId="803"/>
    <cellStyle name="@_laroux_국내재료비_총괄표 _외주관리_가속기" xfId="804"/>
    <cellStyle name="@_laroux_내열재 I_갑지_총괄표 " xfId="805"/>
    <cellStyle name="@_laroux_내열재 I_갑지_총괄표 _2.외주관리_가속기" xfId="806"/>
    <cellStyle name="@_laroux_내열재 I_갑지_총괄표 _외주관리_가속기" xfId="807"/>
    <cellStyle name="@_laroux_내열재 I_계약원가(제출)_총괄표 " xfId="808"/>
    <cellStyle name="@_laroux_내열재 I_계약원가(제출)_총괄표 _2.외주관리_가속기" xfId="809"/>
    <cellStyle name="@_laroux_내열재 I_계약원가(제출)_총괄표 _외주관리_가속기" xfId="810"/>
    <cellStyle name="@_laroux_내열재 I_내열재 I_갑지_총괄표 " xfId="811"/>
    <cellStyle name="@_laroux_내열재 I_내열재 I_갑지_총괄표 _2.외주관리_가속기" xfId="812"/>
    <cellStyle name="@_laroux_내열재 I_내열재 I_갑지_총괄표 _외주관리_가속기" xfId="813"/>
    <cellStyle name="@_laroux_내열재 I_내열재 I_계약원가(제출)_총괄표 " xfId="814"/>
    <cellStyle name="@_laroux_내열재 I_내열재 I_계약원가(제출)_총괄표 _2.외주관리_가속기" xfId="815"/>
    <cellStyle name="@_laroux_내열재 I_내열재 I_계약원가(제출)_총괄표 _외주관리_가속기" xfId="816"/>
    <cellStyle name="@_laroux_내열재 I_내열재 I_총괄표 " xfId="817"/>
    <cellStyle name="@_laroux_내열재 I_내열재 I_총괄표 _2.외주관리_가속기" xfId="818"/>
    <cellStyle name="@_laroux_내열재 I_내열재 I_총괄표 _외주관리_가속기" xfId="819"/>
    <cellStyle name="@_laroux_내열재 I_내열재 I_추산서_총괄표 " xfId="820"/>
    <cellStyle name="@_laroux_내열재 I_내열재 I_추산서_총괄표 _2.외주관리_가속기" xfId="821"/>
    <cellStyle name="@_laroux_내열재 I_내열재 I_추산서_총괄표 _외주관리_가속기" xfId="822"/>
    <cellStyle name="@_laroux_내열재 I_총괄표 " xfId="823"/>
    <cellStyle name="@_laroux_내열재 I_총괄표 _2.외주관리_가속기" xfId="824"/>
    <cellStyle name="@_laroux_내열재 I_총괄표 _외주관리_가속기" xfId="825"/>
    <cellStyle name="@_laroux_내열재 I_추산서_총괄표 " xfId="826"/>
    <cellStyle name="@_laroux_내열재 I_추산서_총괄표 _2.외주관리_가속기" xfId="827"/>
    <cellStyle name="@_laroux_내열재 I_추산서_총괄표 _외주관리_가속기" xfId="828"/>
    <cellStyle name="@_laroux_수입재료비_총괄표 " xfId="829"/>
    <cellStyle name="@_laroux_수입재료비_총괄표 _2.외주관리_가속기" xfId="830"/>
    <cellStyle name="@_laroux_수입재료비_총괄표 _외주관리_가속기" xfId="831"/>
    <cellStyle name="@_laroux_시제제작(제출)_총괄표 " xfId="832"/>
    <cellStyle name="@_laroux_시제제작(제출)_총괄표 _2.외주관리_가속기" xfId="833"/>
    <cellStyle name="@_laroux_시제제작(제출)_총괄표 _외주관리_가속기" xfId="834"/>
    <cellStyle name="@_laroux_외주가공비_총괄표 " xfId="835"/>
    <cellStyle name="@_laroux_외주가공비_총괄표 _2.외주관리_가속기" xfId="836"/>
    <cellStyle name="@_laroux_외주가공비_총괄표 _외주관리_가속기" xfId="837"/>
    <cellStyle name="@_laroux_원가(K)_'01년 양산(1차 결재)_총괄표 " xfId="838"/>
    <cellStyle name="@_laroux_원가(K)_'01년 양산(1차 결재)_총괄표 _2.외주관리_가속기" xfId="839"/>
    <cellStyle name="@_laroux_원가(K)_'01년 양산(1차 결재)_총괄표 _외주관리_가속기" xfId="840"/>
    <cellStyle name="@_laroux_원가(K)_'01년 양산(1차 업체제출가)_총괄표 " xfId="841"/>
    <cellStyle name="@_laroux_원가(K)_'01년 양산(1차 업체제출가)_총괄표 _2.외주관리_가속기" xfId="842"/>
    <cellStyle name="@_laroux_원가(K)_'01년 양산(1차 업체제출가)_총괄표 _외주관리_가속기" xfId="843"/>
    <cellStyle name="@_laroux_원가(K)_M-SAM_총괄표 " xfId="844"/>
    <cellStyle name="@_laroux_원가(K)_M-SAM_총괄표 _2.외주관리_가속기" xfId="845"/>
    <cellStyle name="@_laroux_원가(K)_M-SAM_총괄표 _외주관리_가속기" xfId="846"/>
    <cellStyle name="@_laroux_원가(K)_간접재료비-1_총괄표 " xfId="847"/>
    <cellStyle name="@_laroux_원가(K)_간접재료비-1_총괄표 _2.외주관리_가속기" xfId="848"/>
    <cellStyle name="@_laroux_원가(K)_간접재료비-1_총괄표 _외주관리_가속기" xfId="849"/>
    <cellStyle name="@_laroux_원가(K)_감가상각비_총괄표 " xfId="850"/>
    <cellStyle name="@_laroux_원가(K)_감가상각비_총괄표 _2.외주관리_가속기" xfId="851"/>
    <cellStyle name="@_laroux_원가(K)_감가상각비_총괄표 _외주관리_가속기" xfId="852"/>
    <cellStyle name="@_laroux_원가(K)_갑지_총괄표 " xfId="853"/>
    <cellStyle name="@_laroux_원가(K)_갑지_총괄표 _2.외주관리_가속기" xfId="854"/>
    <cellStyle name="@_laroux_원가(K)_갑지_총괄표 _외주관리_가속기" xfId="855"/>
    <cellStyle name="@_laroux_원가(K)_계약원가(제출)_총괄표 " xfId="856"/>
    <cellStyle name="@_laroux_원가(K)_계약원가(제출)_총괄표 _2.외주관리_가속기" xfId="857"/>
    <cellStyle name="@_laroux_원가(K)_계약원가(제출)_총괄표 _외주관리_가속기" xfId="858"/>
    <cellStyle name="@_laroux_원가(K)_국내재료비_총괄표 " xfId="859"/>
    <cellStyle name="@_laroux_원가(K)_국내재료비_총괄표 _2.외주관리_가속기" xfId="860"/>
    <cellStyle name="@_laroux_원가(K)_국내재료비_총괄표 _외주관리_가속기" xfId="861"/>
    <cellStyle name="@_laroux_원가(K)_내열재 I_갑지_총괄표 " xfId="862"/>
    <cellStyle name="@_laroux_원가(K)_내열재 I_갑지_총괄표 _2.외주관리_가속기" xfId="863"/>
    <cellStyle name="@_laroux_원가(K)_내열재 I_갑지_총괄표 _외주관리_가속기" xfId="864"/>
    <cellStyle name="@_laroux_원가(K)_내열재 I_계약원가(제출)_총괄표 " xfId="865"/>
    <cellStyle name="@_laroux_원가(K)_내열재 I_계약원가(제출)_총괄표 _2.외주관리_가속기" xfId="866"/>
    <cellStyle name="@_laroux_원가(K)_내열재 I_계약원가(제출)_총괄표 _외주관리_가속기" xfId="867"/>
    <cellStyle name="@_laroux_원가(K)_내열재 I_내열재 I_갑지_총괄표 " xfId="868"/>
    <cellStyle name="@_laroux_원가(K)_내열재 I_내열재 I_갑지_총괄표 _2.외주관리_가속기" xfId="869"/>
    <cellStyle name="@_laroux_원가(K)_내열재 I_내열재 I_갑지_총괄표 _외주관리_가속기" xfId="870"/>
    <cellStyle name="@_laroux_원가(K)_내열재 I_내열재 I_계약원가(제출)_총괄표 " xfId="871"/>
    <cellStyle name="@_laroux_원가(K)_내열재 I_내열재 I_계약원가(제출)_총괄표 _2.외주관리_가속기" xfId="872"/>
    <cellStyle name="@_laroux_원가(K)_내열재 I_내열재 I_계약원가(제출)_총괄표 _외주관리_가속기" xfId="873"/>
    <cellStyle name="@_laroux_원가(K)_내열재 I_내열재 I_총괄표 " xfId="874"/>
    <cellStyle name="@_laroux_원가(K)_내열재 I_내열재 I_총괄표 _2.외주관리_가속기" xfId="875"/>
    <cellStyle name="@_laroux_원가(K)_내열재 I_내열재 I_총괄표 _외주관리_가속기" xfId="876"/>
    <cellStyle name="@_laroux_원가(K)_내열재 I_내열재 I_추산서_총괄표 " xfId="877"/>
    <cellStyle name="@_laroux_원가(K)_내열재 I_내열재 I_추산서_총괄표 _2.외주관리_가속기" xfId="878"/>
    <cellStyle name="@_laroux_원가(K)_내열재 I_내열재 I_추산서_총괄표 _외주관리_가속기" xfId="879"/>
    <cellStyle name="@_laroux_원가(K)_내열재 I_총괄표 " xfId="880"/>
    <cellStyle name="@_laroux_원가(K)_내열재 I_총괄표 _2.외주관리_가속기" xfId="881"/>
    <cellStyle name="@_laroux_원가(K)_내열재 I_총괄표 _외주관리_가속기" xfId="882"/>
    <cellStyle name="@_laroux_원가(K)_내열재 I_추산서_총괄표 " xfId="883"/>
    <cellStyle name="@_laroux_원가(K)_내열재 I_추산서_총괄표 _2.외주관리_가속기" xfId="884"/>
    <cellStyle name="@_laroux_원가(K)_내열재 I_추산서_총괄표 _외주관리_가속기" xfId="885"/>
    <cellStyle name="@_laroux_원가(K)_변동(제출)_총괄표 " xfId="886"/>
    <cellStyle name="@_laroux_원가(K)_변동(제출)_총괄표 _2.외주관리_가속기" xfId="887"/>
    <cellStyle name="@_laroux_원가(K)_변동(제출)_총괄표 _외주관리_가속기" xfId="888"/>
    <cellStyle name="@_laroux_원가(K)_수입재료비_총괄표 " xfId="889"/>
    <cellStyle name="@_laroux_원가(K)_수입재료비_총괄표 _2.외주관리_가속기" xfId="890"/>
    <cellStyle name="@_laroux_원가(K)_수입재료비_총괄표 _외주관리_가속기" xfId="891"/>
    <cellStyle name="@_laroux_원가(K)_직접노무비_총괄표 " xfId="892"/>
    <cellStyle name="@_laroux_원가(K)_직접노무비_총괄표 _2.외주관리_가속기" xfId="893"/>
    <cellStyle name="@_laroux_원가(K)_직접노무비_총괄표 _외주관리_가속기" xfId="894"/>
    <cellStyle name="@_laroux_원가(K)_총괄표 " xfId="895"/>
    <cellStyle name="@_laroux_원가(K)_총괄표 _2.외주관리_가속기" xfId="896"/>
    <cellStyle name="@_laroux_원가(K)_총괄표 _외주관리_가속기" xfId="897"/>
    <cellStyle name="@_laroux_원가(K)_추산서_총괄표 " xfId="898"/>
    <cellStyle name="@_laroux_원가(K)_추산서_총괄표 _2.외주관리_가속기" xfId="899"/>
    <cellStyle name="@_laroux_원가(K)_추산서_총괄표 _외주관리_가속기" xfId="900"/>
    <cellStyle name="@_laroux_원가(K)_함대함발사대시제_총괄표 " xfId="901"/>
    <cellStyle name="@_laroux_원가(K)_함대함발사대시제_총괄표 _2.외주관리_가속기" xfId="902"/>
    <cellStyle name="@_laroux_원가(K)_함대함발사대시제_총괄표 _외주관리_가속기" xfId="903"/>
    <cellStyle name="@_laroux_원가(LCC)2_'01년 양산(1차 결재)_총괄표 " xfId="904"/>
    <cellStyle name="@_laroux_원가(LCC)2_'01년 양산(1차 결재)_총괄표 _2.외주관리_가속기" xfId="905"/>
    <cellStyle name="@_laroux_원가(LCC)2_'01년 양산(1차 결재)_총괄표 _외주관리_가속기" xfId="906"/>
    <cellStyle name="@_laroux_원가(LCC)2_'01년 양산(1차 업체제출가)_총괄표 " xfId="907"/>
    <cellStyle name="@_laroux_원가(LCC)2_'01년 양산(1차 업체제출가)_총괄표 _2.외주관리_가속기" xfId="908"/>
    <cellStyle name="@_laroux_원가(LCC)2_'01년 양산(1차 업체제출가)_총괄표 _외주관리_가속기" xfId="909"/>
    <cellStyle name="@_laroux_원가(LCC)2_M-SAM_총괄표 " xfId="910"/>
    <cellStyle name="@_laroux_원가(LCC)2_M-SAM_총괄표 _2.외주관리_가속기" xfId="911"/>
    <cellStyle name="@_laroux_원가(LCC)2_M-SAM_총괄표 _외주관리_가속기" xfId="912"/>
    <cellStyle name="@_laroux_원가(LCC)2_간접재료비-1_총괄표 " xfId="913"/>
    <cellStyle name="@_laroux_원가(LCC)2_간접재료비-1_총괄표 _2.외주관리_가속기" xfId="914"/>
    <cellStyle name="@_laroux_원가(LCC)2_간접재료비-1_총괄표 _외주관리_가속기" xfId="915"/>
    <cellStyle name="@_laroux_원가(LCC)2_감가상각비_총괄표 " xfId="916"/>
    <cellStyle name="@_laroux_원가(LCC)2_감가상각비_총괄표 _2.외주관리_가속기" xfId="917"/>
    <cellStyle name="@_laroux_원가(LCC)2_감가상각비_총괄표 _외주관리_가속기" xfId="918"/>
    <cellStyle name="@_laroux_원가(LCC)2_갑지_총괄표 " xfId="919"/>
    <cellStyle name="@_laroux_원가(LCC)2_갑지_총괄표 _2.외주관리_가속기" xfId="920"/>
    <cellStyle name="@_laroux_원가(LCC)2_갑지_총괄표 _외주관리_가속기" xfId="921"/>
    <cellStyle name="@_laroux_원가(LCC)2_계약원가(제출)_총괄표 " xfId="922"/>
    <cellStyle name="@_laroux_원가(LCC)2_계약원가(제출)_총괄표 _2.외주관리_가속기" xfId="923"/>
    <cellStyle name="@_laroux_원가(LCC)2_계약원가(제출)_총괄표 _외주관리_가속기" xfId="924"/>
    <cellStyle name="@_laroux_원가(LCC)2_국내재료비_총괄표 " xfId="925"/>
    <cellStyle name="@_laroux_원가(LCC)2_국내재료비_총괄표 _2.외주관리_가속기" xfId="926"/>
    <cellStyle name="@_laroux_원가(LCC)2_국내재료비_총괄표 _외주관리_가속기" xfId="927"/>
    <cellStyle name="@_laroux_원가(LCC)2_내열재 I_갑지_총괄표 " xfId="928"/>
    <cellStyle name="@_laroux_원가(LCC)2_내열재 I_갑지_총괄표 _2.외주관리_가속기" xfId="929"/>
    <cellStyle name="@_laroux_원가(LCC)2_내열재 I_갑지_총괄표 _외주관리_가속기" xfId="930"/>
    <cellStyle name="@_laroux_원가(LCC)2_내열재 I_계약원가(제출)_총괄표 " xfId="931"/>
    <cellStyle name="@_laroux_원가(LCC)2_내열재 I_계약원가(제출)_총괄표 _2.외주관리_가속기" xfId="932"/>
    <cellStyle name="@_laroux_원가(LCC)2_내열재 I_계약원가(제출)_총괄표 _외주관리_가속기" xfId="933"/>
    <cellStyle name="@_laroux_원가(LCC)2_내열재 I_내열재 I_갑지_총괄표 " xfId="934"/>
    <cellStyle name="@_laroux_원가(LCC)2_내열재 I_내열재 I_갑지_총괄표 _2.외주관리_가속기" xfId="935"/>
    <cellStyle name="@_laroux_원가(LCC)2_내열재 I_내열재 I_갑지_총괄표 _외주관리_가속기" xfId="936"/>
    <cellStyle name="@_laroux_원가(LCC)2_내열재 I_내열재 I_계약원가(제출)_총괄표 " xfId="937"/>
    <cellStyle name="@_laroux_원가(LCC)2_내열재 I_내열재 I_계약원가(제출)_총괄표 _2.외주관리_가속기" xfId="938"/>
    <cellStyle name="@_laroux_원가(LCC)2_내열재 I_내열재 I_계약원가(제출)_총괄표 _외주관리_가속기" xfId="939"/>
    <cellStyle name="@_laroux_원가(LCC)2_내열재 I_내열재 I_총괄표 " xfId="940"/>
    <cellStyle name="@_laroux_원가(LCC)2_내열재 I_내열재 I_총괄표 _2.외주관리_가속기" xfId="941"/>
    <cellStyle name="@_laroux_원가(LCC)2_내열재 I_내열재 I_총괄표 _외주관리_가속기" xfId="942"/>
    <cellStyle name="@_laroux_원가(LCC)2_내열재 I_내열재 I_추산서_총괄표 " xfId="943"/>
    <cellStyle name="@_laroux_원가(LCC)2_내열재 I_내열재 I_추산서_총괄표 _2.외주관리_가속기" xfId="944"/>
    <cellStyle name="@_laroux_원가(LCC)2_내열재 I_내열재 I_추산서_총괄표 _외주관리_가속기" xfId="945"/>
    <cellStyle name="@_laroux_원가(LCC)2_내열재 I_총괄표 " xfId="946"/>
    <cellStyle name="@_laroux_원가(LCC)2_내열재 I_총괄표 _2.외주관리_가속기" xfId="947"/>
    <cellStyle name="@_laroux_원가(LCC)2_내열재 I_총괄표 _외주관리_가속기" xfId="948"/>
    <cellStyle name="@_laroux_원가(LCC)2_내열재 I_추산서_총괄표 " xfId="949"/>
    <cellStyle name="@_laroux_원가(LCC)2_내열재 I_추산서_총괄표 _2.외주관리_가속기" xfId="950"/>
    <cellStyle name="@_laroux_원가(LCC)2_내열재 I_추산서_총괄표 _외주관리_가속기" xfId="951"/>
    <cellStyle name="@_laroux_원가(LCC)2_변동(제출)_총괄표 " xfId="952"/>
    <cellStyle name="@_laroux_원가(LCC)2_변동(제출)_총괄표 _2.외주관리_가속기" xfId="953"/>
    <cellStyle name="@_laroux_원가(LCC)2_변동(제출)_총괄표 _외주관리_가속기" xfId="954"/>
    <cellStyle name="@_laroux_원가(LCC)2_수입재료비_총괄표 " xfId="955"/>
    <cellStyle name="@_laroux_원가(LCC)2_수입재료비_총괄표 _2.외주관리_가속기" xfId="956"/>
    <cellStyle name="@_laroux_원가(LCC)2_수입재료비_총괄표 _외주관리_가속기" xfId="957"/>
    <cellStyle name="@_laroux_원가(LCC)2_직접노무비_총괄표 " xfId="958"/>
    <cellStyle name="@_laroux_원가(LCC)2_직접노무비_총괄표 _2.외주관리_가속기" xfId="959"/>
    <cellStyle name="@_laroux_원가(LCC)2_직접노무비_총괄표 _외주관리_가속기" xfId="960"/>
    <cellStyle name="@_laroux_원가(LCC)2_총괄표 " xfId="961"/>
    <cellStyle name="@_laroux_원가(LCC)2_총괄표 _2.외주관리_가속기" xfId="962"/>
    <cellStyle name="@_laroux_원가(LCC)2_총괄표 _외주관리_가속기" xfId="963"/>
    <cellStyle name="@_laroux_원가(LCC)2_추산서_총괄표 " xfId="964"/>
    <cellStyle name="@_laroux_원가(LCC)2_추산서_총괄표 _2.외주관리_가속기" xfId="965"/>
    <cellStyle name="@_laroux_원가(LCC)2_추산서_총괄표 _외주관리_가속기" xfId="966"/>
    <cellStyle name="@_laroux_원가(LCC)2_함대함발사대시제_총괄표 " xfId="967"/>
    <cellStyle name="@_laroux_원가(LCC)2_함대함발사대시제_총괄표 _2.외주관리_가속기" xfId="968"/>
    <cellStyle name="@_laroux_원가(LCC)2_함대함발사대시제_총괄표 _외주관리_가속기" xfId="969"/>
    <cellStyle name="@_laroux_제트베인" xfId="970"/>
    <cellStyle name="@_laroux_제트베인_1" xfId="971"/>
    <cellStyle name="@_laroux_제트베인_1_#23,24윈터키트수정" xfId="972"/>
    <cellStyle name="@_laroux_제트베인_1_#23,24윈터키트수정_2.외주관리_가속기" xfId="973"/>
    <cellStyle name="@_laroux_제트베인_1_#23,24윈터키트수정_외주관리_가속기" xfId="974"/>
    <cellStyle name="@_laroux_제트베인_1_2.외주관리_가속기" xfId="975"/>
    <cellStyle name="@_laroux_제트베인_1_3-1.복합재 보강패널시편 외 2종제작" xfId="976"/>
    <cellStyle name="@_laroux_제트베인_1_3-1.복합재 보강패널시편 외 2종제작_#23,24윈터키트수정" xfId="977"/>
    <cellStyle name="@_laroux_제트베인_1_3-1.복합재 보강패널시편 외 2종제작_#23,24윈터키트수정_2.외주관리_가속기" xfId="978"/>
    <cellStyle name="@_laroux_제트베인_1_3-1.복합재 보강패널시편 외 2종제작_#23,24윈터키트수정_외주관리_가속기" xfId="979"/>
    <cellStyle name="@_laroux_제트베인_1_3-1.복합재 보강패널시편 외 2종제작_2.외주관리_가속기" xfId="980"/>
    <cellStyle name="@_laroux_제트베인_1_3-1.복합재 보강패널시편 외 2종제작_M-SAM노즐내열재(방산물자)" xfId="981"/>
    <cellStyle name="@_laroux_제트베인_1_3-1.복합재 보강패널시편 외 2종제작_M-SAM노즐내열재(방산물자)_2.외주관리_가속기" xfId="982"/>
    <cellStyle name="@_laroux_제트베인_1_3-1.복합재 보강패널시편 외 2종제작_M-SAM노즐내열재(방산물자)_산출갑지모음" xfId="983"/>
    <cellStyle name="@_laroux_제트베인_1_3-1.복합재 보강패널시편 외 2종제작_M-SAM노즐내열재(방산물자)_산출갑지모음_2.외주관리_가속기" xfId="984"/>
    <cellStyle name="@_laroux_제트베인_1_3-1.복합재 보강패널시편 외 2종제작_M-SAM노즐내열재(방산물자)_산출갑지모음_외주관리_가속기" xfId="985"/>
    <cellStyle name="@_laroux_제트베인_1_3-1.복합재 보강패널시편 외 2종제작_M-SAM노즐내열재(방산물자)_외주관리_가속기" xfId="986"/>
    <cellStyle name="@_laroux_제트베인_1_3-1.복합재 보강패널시편 외 2종제작_PKX 탐색레이더 샘플6종" xfId="987"/>
    <cellStyle name="@_laroux_제트베인_1_3-1.복합재 보강패널시편 외 2종제작_PKX 탐색레이더 샘플6종_2.외주관리_가속기" xfId="988"/>
    <cellStyle name="@_laroux_제트베인_1_3-1.복합재 보강패널시편 외 2종제작_PKX 탐색레이더 샘플6종_외주관리_가속기" xfId="989"/>
    <cellStyle name="@_laroux_제트베인_1_3-1.복합재 보강패널시편 외 2종제작_UAV 동체구조물 조립체" xfId="990"/>
    <cellStyle name="@_laroux_제트베인_1_3-1.복합재 보강패널시편 외 2종제작_UAV 동체구조물 조립체_2.외주관리_가속기" xfId="991"/>
    <cellStyle name="@_laroux_제트베인_1_3-1.복합재 보강패널시편 외 2종제작_UAV 동체구조물 조립체_외주관리_가속기" xfId="992"/>
    <cellStyle name="@_laroux_제트베인_1_3-1.복합재 보강패널시편 외 2종제작_UAV 동체구조물 조립체외14종" xfId="993"/>
    <cellStyle name="@_laroux_제트베인_1_3-1.복합재 보강패널시편 외 2종제작_UAV 동체구조물 조립체외14종_2.외주관리_가속기" xfId="994"/>
    <cellStyle name="@_laroux_제트베인_1_3-1.복합재 보강패널시편 외 2종제작_UAV 동체구조물 조립체외14종_외주관리_가속기" xfId="995"/>
    <cellStyle name="@_laroux_제트베인_1_3-1.복합재 보강패널시편 외 2종제작_산출갑지모음" xfId="996"/>
    <cellStyle name="@_laroux_제트베인_1_3-1.복합재 보강패널시편 외 2종제작_산출갑지모음_2.외주관리_가속기" xfId="997"/>
    <cellStyle name="@_laroux_제트베인_1_3-1.복합재 보강패널시편 외 2종제작_산출갑지모음_외주관리_가속기" xfId="998"/>
    <cellStyle name="@_laroux_제트베인_1_3-1.복합재 보강패널시편 외 2종제작_외주관리_가속기" xfId="999"/>
    <cellStyle name="@_laroux_제트베인_1_3-1.복합재 보강패널시편 외 2종제작_콘구조물시편 2종" xfId="1000"/>
    <cellStyle name="@_laroux_제트베인_1_3-1.복합재 보강패널시편 외 2종제작_콘구조물시편 2종_2.외주관리_가속기" xfId="1001"/>
    <cellStyle name="@_laroux_제트베인_1_3-1.복합재 보강패널시편 외 2종제작_콘구조물시편 2종_외주관리_가속기" xfId="1002"/>
    <cellStyle name="@_laroux_제트베인_1_M-SAM노즐내열재(방산물자)" xfId="1003"/>
    <cellStyle name="@_laroux_제트베인_1_M-SAM노즐내열재(방산물자)_2.외주관리_가속기" xfId="1004"/>
    <cellStyle name="@_laroux_제트베인_1_M-SAM노즐내열재(방산물자)_산출갑지모음" xfId="1005"/>
    <cellStyle name="@_laroux_제트베인_1_M-SAM노즐내열재(방산물자)_산출갑지모음_2.외주관리_가속기" xfId="1006"/>
    <cellStyle name="@_laroux_제트베인_1_M-SAM노즐내열재(방산물자)_산출갑지모음_외주관리_가속기" xfId="1007"/>
    <cellStyle name="@_laroux_제트베인_1_M-SAM노즐내열재(방산물자)_외주관리_가속기" xfId="1008"/>
    <cellStyle name="@_laroux_제트베인_1_PKX 탐색레이더 샘플6종" xfId="1009"/>
    <cellStyle name="@_laroux_제트베인_1_PKX 탐색레이더 샘플6종_2.외주관리_가속기" xfId="1010"/>
    <cellStyle name="@_laroux_제트베인_1_PKX 탐색레이더 샘플6종_외주관리_가속기" xfId="1011"/>
    <cellStyle name="@_laroux_제트베인_1_UAV 동체구조물 조립체" xfId="1012"/>
    <cellStyle name="@_laroux_제트베인_1_UAV 동체구조물 조립체_2.외주관리_가속기" xfId="1013"/>
    <cellStyle name="@_laroux_제트베인_1_UAV 동체구조물 조립체_외주관리_가속기" xfId="1014"/>
    <cellStyle name="@_laroux_제트베인_1_UAV 동체구조물 조립체외14종" xfId="1015"/>
    <cellStyle name="@_laroux_제트베인_1_UAV 동체구조물 조립체외14종_2.외주관리_가속기" xfId="1016"/>
    <cellStyle name="@_laroux_제트베인_1_UAV 동체구조물 조립체외14종_외주관리_가속기" xfId="1017"/>
    <cellStyle name="@_laroux_제트베인_1_복합적층장갑 부분구조 시편" xfId="1018"/>
    <cellStyle name="@_laroux_제트베인_1_복합적층장갑 부분구조 시편_#23,24윈터키트수정" xfId="1019"/>
    <cellStyle name="@_laroux_제트베인_1_복합적층장갑 부분구조 시편_#23,24윈터키트수정_2.외주관리_가속기" xfId="1020"/>
    <cellStyle name="@_laroux_제트베인_1_복합적층장갑 부분구조 시편_#23,24윈터키트수정_외주관리_가속기" xfId="1021"/>
    <cellStyle name="@_laroux_제트베인_1_복합적층장갑 부분구조 시편_2.외주관리_가속기" xfId="1022"/>
    <cellStyle name="@_laroux_제트베인_1_복합적층장갑 부분구조 시편_PKX 탐색레이더 샘플6종" xfId="1023"/>
    <cellStyle name="@_laroux_제트베인_1_복합적층장갑 부분구조 시편_PKX 탐색레이더 샘플6종_2.외주관리_가속기" xfId="1024"/>
    <cellStyle name="@_laroux_제트베인_1_복합적층장갑 부분구조 시편_PKX 탐색레이더 샘플6종_외주관리_가속기" xfId="1025"/>
    <cellStyle name="@_laroux_제트베인_1_복합적층장갑 부분구조 시편_UAV 동체구조물 조립체" xfId="1026"/>
    <cellStyle name="@_laroux_제트베인_1_복합적층장갑 부분구조 시편_UAV 동체구조물 조립체_2.외주관리_가속기" xfId="1027"/>
    <cellStyle name="@_laroux_제트베인_1_복합적층장갑 부분구조 시편_UAV 동체구조물 조립체_외주관리_가속기" xfId="1028"/>
    <cellStyle name="@_laroux_제트베인_1_복합적층장갑 부분구조 시편_UAV 동체구조물 조립체외14종" xfId="1029"/>
    <cellStyle name="@_laroux_제트베인_1_복합적층장갑 부분구조 시편_UAV 동체구조물 조립체외14종_2.외주관리_가속기" xfId="1030"/>
    <cellStyle name="@_laroux_제트베인_1_복합적층장갑 부분구조 시편_UAV 동체구조물 조립체외14종_외주관리_가속기" xfId="1031"/>
    <cellStyle name="@_laroux_제트베인_1_복합적층장갑 부분구조 시편_외주관리_가속기" xfId="1032"/>
    <cellStyle name="@_laroux_제트베인_1_복합적층장갑 부분구조 시편_콘구조물시편 2종" xfId="1033"/>
    <cellStyle name="@_laroux_제트베인_1_복합적층장갑 부분구조 시편_콘구조물시편 2종_2.외주관리_가속기" xfId="1034"/>
    <cellStyle name="@_laroux_제트베인_1_복합적층장갑 부분구조 시편_콘구조물시편 2종_외주관리_가속기" xfId="1035"/>
    <cellStyle name="@_laroux_제트베인_1_산출갑지모음" xfId="1036"/>
    <cellStyle name="@_laroux_제트베인_1_산출갑지모음_2.외주관리_가속기" xfId="1037"/>
    <cellStyle name="@_laroux_제트베인_1_산출갑지모음_외주관리_가속기" xfId="1038"/>
    <cellStyle name="@_laroux_제트베인_1_외주관리_가속기" xfId="1039"/>
    <cellStyle name="@_laroux_제트베인_1_총괄표(양식)" xfId="1040"/>
    <cellStyle name="@_laroux_제트베인_1_총괄표(양식)_2.외주관리_가속기" xfId="1041"/>
    <cellStyle name="@_laroux_제트베인_1_총괄표(양식)_외주관리_가속기" xfId="1042"/>
    <cellStyle name="@_laroux_제트베인_1_총괄표(양식)_총괄표(양식)" xfId="1043"/>
    <cellStyle name="@_laroux_제트베인_1_총괄표(양식)_총괄표(양식)_2.외주관리_가속기" xfId="1044"/>
    <cellStyle name="@_laroux_제트베인_1_총괄표(양식)_총괄표(양식)_외주관리_가속기" xfId="1045"/>
    <cellStyle name="@_laroux_제트베인_1_총괄표(양식)_총괄표(양식)_총괄표_협력(uav)" xfId="1046"/>
    <cellStyle name="@_laroux_제트베인_1_총괄표(양식)_총괄표(양식)_총괄표_협력(uav)_2.외주관리_가속기" xfId="1047"/>
    <cellStyle name="@_laroux_제트베인_1_총괄표(양식)_총괄표(양식)_총괄표_협력(uav)_외주관리_가속기" xfId="1048"/>
    <cellStyle name="@_laroux_제트베인_1_총괄표(양식)_총괄표_협력(uav)" xfId="1049"/>
    <cellStyle name="@_laroux_제트베인_1_총괄표(양식)_총괄표_협력(uav)_2.외주관리_가속기" xfId="1050"/>
    <cellStyle name="@_laroux_제트베인_1_총괄표(양식)_총괄표_협력(uav)_외주관리_가속기" xfId="1051"/>
    <cellStyle name="@_laroux_제트베인_1_총괄표_협력(uav)" xfId="1052"/>
    <cellStyle name="@_laroux_제트베인_1_총괄표_협력(uav)_2.외주관리_가속기" xfId="1053"/>
    <cellStyle name="@_laroux_제트베인_1_총괄표_협력(uav)_외주관리_가속기" xfId="1054"/>
    <cellStyle name="@_laroux_제트베인_1_콘구조물시편 2종" xfId="1055"/>
    <cellStyle name="@_laroux_제트베인_1_콘구조물시편 2종_2.외주관리_가속기" xfId="1056"/>
    <cellStyle name="@_laroux_제트베인_1_콘구조물시편 2종_외주관리_가속기" xfId="1057"/>
    <cellStyle name="@_laroux_직접노무비_총괄표 " xfId="1058"/>
    <cellStyle name="@_laroux_직접노무비_총괄표 _2.외주관리_가속기" xfId="1059"/>
    <cellStyle name="@_laroux_직접노무비_총괄표 _외주관리_가속기" xfId="1060"/>
    <cellStyle name="@_laroux_총괄표 " xfId="1061"/>
    <cellStyle name="@_laroux_총괄표 _2.외주관리_가속기" xfId="1062"/>
    <cellStyle name="@_laroux_총괄표 _외주관리_가속기" xfId="1063"/>
    <cellStyle name="@_laroux_추산서_총괄표 " xfId="1064"/>
    <cellStyle name="@_laroux_추산서_총괄표 _2.외주관리_가속기" xfId="1065"/>
    <cellStyle name="@_laroux_추산서_총괄표 _외주관리_가속기" xfId="1066"/>
    <cellStyle name="@_laroux_함대함발사대시제_총괄표 " xfId="1067"/>
    <cellStyle name="@_laroux_함대함발사대시제_총괄표 _2.외주관리_가속기" xfId="1068"/>
    <cellStyle name="@_laroux_함대함발사대시제_총괄표 _외주관리_가속기" xfId="1069"/>
    <cellStyle name="@_laroux_함함원가_총괄표 " xfId="1070"/>
    <cellStyle name="@_laroux_함함원가_총괄표 _2.외주관리_가속기" xfId="1071"/>
    <cellStyle name="@_laroux_함함원가_총괄표 _외주관리_가속기" xfId="1072"/>
    <cellStyle name="@_PULL  LIST-1 (2004년)" xfId="1073"/>
    <cellStyle name="@_PULL  LIST-1 (2004년)_ PULL  LIST-1 (2007년)" xfId="1074"/>
    <cellStyle name="@_PULL  LIST-1 (2004년)_PULL  LIST-1 (2004년)" xfId="1075"/>
    <cellStyle name="@_PULL  LIST-1 (2004년)_PULL  LIST-1 (2004년)_Book1" xfId="1076"/>
    <cellStyle name="@_PULL  LIST-1 (2004년)_PULL  LIST-1 (2004년)_Book1_ PULL  LIST-1 (2007년)" xfId="1077"/>
    <cellStyle name="@_PULL  LIST-1 (2004년)_PULL  LIST-1 (2004년)_Book1_PULL  LIST-1 (2005년)" xfId="1078"/>
    <cellStyle name="@_PULL  LIST-1 (2004년)_PULL  LIST-1 (2004년)_Book1_PULL  LIST-1 (2005년)_PULL  LIST-1 (2005년)" xfId="1079"/>
    <cellStyle name="@_PULL  LIST-1 (2004년)_PULL  LIST-1 (2004년)_Book1_PULL  LIST-1 (2005년)_PULL  LIST-1 (2005년)_ PULL  LIST-1 (2007년)" xfId="1080"/>
    <cellStyle name="@_PULL  LIST-1 (2004년)_PULL  LIST-1 (2004년)_Book1_PULL  LIST-1 (2005년)_PULL  LIST-1 (2005년)_PULL  LIST-1 (2006년)" xfId="1081"/>
    <cellStyle name="@_PULL  LIST-1 (2004년)_PULL  LIST-1 (2004년)_Book1_PULL  LIST-1 (2005년)_PULL  LIST-1 (2005년)_PULL  LIST-1 (2006년)_PULL  LIST-1 (2006년)" xfId="1082"/>
    <cellStyle name="@_PULL  LIST-1 (2004년)_PULL  LIST-1 (2004년)_Book1_PULL  LIST-1 (2005년)_PULL  LIST-1 (2005년)_PULL  LIST-1 (2006년)_PULL  LIST-1 (2006년)_ PULL  LIST-1 (2007년)" xfId="1083"/>
    <cellStyle name="@_PULL  LIST-1 (2004년)_PULL  LIST-1 (2004년)_Book1_PULL  LIST-1 (2005년)_PULL  LIST-1 (2006년)" xfId="1084"/>
    <cellStyle name="@_PULL  LIST-1 (2004년)_PULL  LIST-1 (2004년)_Book1_PULL  LIST-1 (2005년)_PULL  LIST-1 (2006년)_ PULL  LIST-1 (2007년)" xfId="1085"/>
    <cellStyle name="@_PULL  LIST-1 (2004년)_PULL  LIST-1 (2004년)_Book1_PULL  LIST-1 (2005년)_PULL  LIST-1 (2006년)_PULL  LIST-1 (2006년)" xfId="1086"/>
    <cellStyle name="@_PULL  LIST-1 (2004년)_PULL  LIST-1 (2004년)_Book1_PULL  LIST-1 (2005년)_PULL  LIST-1 (2006년)_PULL  LIST-1 (2006년)_PULL  LIST-1 (2006년)" xfId="1087"/>
    <cellStyle name="@_PULL  LIST-1 (2004년)_PULL  LIST-1 (2004년)_Book1_PULL  LIST-1 (2005년)_PULL  LIST-1 (2006년)_PULL  LIST-1 (2006년)_PULL  LIST-1 (2006년)_ PULL  LIST-1 (2007년)" xfId="1088"/>
    <cellStyle name="@_PULL  LIST-1 (2004년)_PULL  LIST-1 (2004년)_Book1_PULL  LIST-1 (2005년)_원가인하9월30일" xfId="1089"/>
    <cellStyle name="@_PULL  LIST-1 (2004년)_PULL  LIST-1 (2004년)_Book1_PULL  LIST-1 (2005년)_원가인하9월30일_ PULL  LIST-1 (2007년)" xfId="1090"/>
    <cellStyle name="@_PULL  LIST-1 (2004년)_PULL  LIST-1 (2004년)_Book1_PULL  LIST-1 (2005년)_원가인하9월30일_PULL  LIST-1 (2006년)" xfId="1091"/>
    <cellStyle name="@_PULL  LIST-1 (2004년)_PULL  LIST-1 (2004년)_Book1_PULL  LIST-1 (2005년)_원가인하9월30일_PULL  LIST-1 (2006년)_PULL  LIST-1 (2006년)" xfId="1092"/>
    <cellStyle name="@_PULL  LIST-1 (2004년)_PULL  LIST-1 (2004년)_Book1_PULL  LIST-1 (2005년)_원가인하9월30일_PULL  LIST-1 (2006년)_PULL  LIST-1 (2006년)_ PULL  LIST-1 (2007년)" xfId="1093"/>
    <cellStyle name="@_PULL  LIST-1 (2004년)_PULL  LIST-1 (2004년)_Book1_PULL  LIST-1 (2006년)" xfId="1094"/>
    <cellStyle name="@_PULL  LIST-1 (2004년)_PULL  LIST-1 (2004년)_Book1_PULL  LIST-1 (2006년)_PULL  LIST-1 (2006년)" xfId="1095"/>
    <cellStyle name="@_PULL  LIST-1 (2004년)_PULL  LIST-1 (2004년)_Book1_PULL  LIST-1 (2006년)_PULL  LIST-1 (2006년)_ PULL  LIST-1 (2007년)" xfId="1096"/>
    <cellStyle name="@_PULL  LIST-1 (2004년)_PULL  LIST-1 (2004년)_PULL  LIST-1 (2005년)" xfId="1097"/>
    <cellStyle name="@_PULL  LIST-1 (2004년)_PULL  LIST-1 (2004년)_PULL  LIST-1 (2005년)_ PULL  LIST-1 (2007년)" xfId="1098"/>
    <cellStyle name="@_PULL  LIST-1 (2004년)_PULL  LIST-1 (2004년)_PULL  LIST-1 (2005년)_PULL  LIST-1 (2006년)" xfId="1099"/>
    <cellStyle name="@_PULL  LIST-1 (2004년)_PULL  LIST-1 (2004년)_PULL  LIST-1 (2005년)_PULL  LIST-1 (2006년)_PULL  LIST-1 (2006년)" xfId="1100"/>
    <cellStyle name="@_PULL  LIST-1 (2004년)_PULL  LIST-1 (2004년)_PULL  LIST-1 (2005년)_PULL  LIST-1 (2006년)_PULL  LIST-1 (2006년)_ PULL  LIST-1 (2007년)" xfId="1101"/>
    <cellStyle name="@_PULL  LIST-1 (2004년)_PULL  LIST-1 (2004년)_PULL  LIST-1 (2006년)" xfId="1102"/>
    <cellStyle name="@_PULL  LIST-1 (2004년)_PULL  LIST-1 (2004년)_PULL  LIST-1 (2006년)_ PULL  LIST-1 (2007년)" xfId="1103"/>
    <cellStyle name="@_PULL  LIST-1 (2004년)_PULL  LIST-1 (2004년)_PULL  LIST-1 (2006년)_PULL  LIST-1 (2006년)" xfId="1104"/>
    <cellStyle name="@_PULL  LIST-1 (2004년)_PULL  LIST-1 (2004년)_PULL  LIST-1 (2006년)_PULL  LIST-1 (2006년)_PULL  LIST-1 (2006년)" xfId="1105"/>
    <cellStyle name="@_PULL  LIST-1 (2004년)_PULL  LIST-1 (2004년)_PULL  LIST-1 (2006년)_PULL  LIST-1 (2006년)_PULL  LIST-1 (2006년)_ PULL  LIST-1 (2007년)" xfId="1106"/>
    <cellStyle name="@_PULL  LIST-1 (2004년)_PULL  LIST-1 (2004년)_원가인하9월30일" xfId="1107"/>
    <cellStyle name="@_PULL  LIST-1 (2004년)_PULL  LIST-1 (2004년)_원가인하9월30일_ PULL  LIST-1 (2007년)" xfId="1108"/>
    <cellStyle name="@_PULL  LIST-1 (2004년)_PULL  LIST-1 (2004년)_원가인하9월30일_PULL  LIST-1 (2006년)" xfId="1109"/>
    <cellStyle name="@_PULL  LIST-1 (2004년)_PULL  LIST-1 (2004년)_원가인하9월30일_PULL  LIST-1 (2006년)_PULL  LIST-1 (2006년)" xfId="1110"/>
    <cellStyle name="@_PULL  LIST-1 (2004년)_PULL  LIST-1 (2004년)_원가인하9월30일_PULL  LIST-1 (2006년)_PULL  LIST-1 (2006년)_ PULL  LIST-1 (2007년)" xfId="1111"/>
    <cellStyle name="@_PULL  LIST-1 (2004년)_PULL  LIST-1 (2005년)" xfId="1112"/>
    <cellStyle name="@_PULL  LIST-1 (2004년)_PULL  LIST-1 (2005년)_PULL  LIST-1 (2005년)" xfId="1113"/>
    <cellStyle name="@_PULL  LIST-1 (2004년)_PULL  LIST-1 (2005년)_PULL  LIST-1 (2005년)_ PULL  LIST-1 (2007년)" xfId="1114"/>
    <cellStyle name="@_PULL  LIST-1 (2004년)_PULL  LIST-1 (2005년)_PULL  LIST-1 (2005년)_PULL  LIST-1 (2006년)" xfId="1115"/>
    <cellStyle name="@_PULL  LIST-1 (2004년)_PULL  LIST-1 (2005년)_PULL  LIST-1 (2005년)_PULL  LIST-1 (2006년)_PULL  LIST-1 (2006년)" xfId="1116"/>
    <cellStyle name="@_PULL  LIST-1 (2004년)_PULL  LIST-1 (2005년)_PULL  LIST-1 (2005년)_PULL  LIST-1 (2006년)_PULL  LIST-1 (2006년)_ PULL  LIST-1 (2007년)" xfId="1117"/>
    <cellStyle name="@_PULL  LIST-1 (2004년)_PULL  LIST-1 (2005년)_PULL  LIST-1 (2006년)" xfId="1118"/>
    <cellStyle name="@_PULL  LIST-1 (2004년)_PULL  LIST-1 (2005년)_PULL  LIST-1 (2006년)_ PULL  LIST-1 (2007년)" xfId="1119"/>
    <cellStyle name="@_PULL  LIST-1 (2004년)_PULL  LIST-1 (2005년)_PULL  LIST-1 (2006년)_PULL  LIST-1 (2006년)" xfId="1120"/>
    <cellStyle name="@_PULL  LIST-1 (2004년)_PULL  LIST-1 (2005년)_PULL  LIST-1 (2006년)_PULL  LIST-1 (2006년)_PULL  LIST-1 (2006년)" xfId="1121"/>
    <cellStyle name="@_PULL  LIST-1 (2004년)_PULL  LIST-1 (2005년)_PULL  LIST-1 (2006년)_PULL  LIST-1 (2006년)_PULL  LIST-1 (2006년)_ PULL  LIST-1 (2007년)" xfId="1122"/>
    <cellStyle name="@_PULL  LIST-1 (2004년)_PULL  LIST-1 (2005년)_원가인하9월30일" xfId="1123"/>
    <cellStyle name="@_PULL  LIST-1 (2004년)_PULL  LIST-1 (2005년)_원가인하9월30일_ PULL  LIST-1 (2007년)" xfId="1124"/>
    <cellStyle name="@_PULL  LIST-1 (2004년)_PULL  LIST-1 (2005년)_원가인하9월30일_PULL  LIST-1 (2006년)" xfId="1125"/>
    <cellStyle name="@_PULL  LIST-1 (2004년)_PULL  LIST-1 (2005년)_원가인하9월30일_PULL  LIST-1 (2006년)_PULL  LIST-1 (2006년)" xfId="1126"/>
    <cellStyle name="@_PULL  LIST-1 (2004년)_PULL  LIST-1 (2005년)_원가인하9월30일_PULL  LIST-1 (2006년)_PULL  LIST-1 (2006년)_ PULL  LIST-1 (2007년)" xfId="1127"/>
    <cellStyle name="@_PULL  LIST-1 (2004년)_PULL  LIST-1 (2006년)" xfId="1128"/>
    <cellStyle name="@_PULL  LIST-1 (2004년)_PULL  LIST-1 (2006년)_PULL  LIST-1 (2006년)" xfId="1129"/>
    <cellStyle name="@_PULL  LIST-1 (2004년)_PULL  LIST-1 (2006년)_PULL  LIST-1 (2006년)_ PULL  LIST-1 (2007년)" xfId="1130"/>
    <cellStyle name="@_PULL  LIST-1 (2005년)" xfId="1131"/>
    <cellStyle name="@_PULL  LIST-1 (2005년)_ PULL  LIST-1 (2007년)" xfId="1132"/>
    <cellStyle name="@_PULL  LIST-1 (2005년)_PULL  LIST-1 (2006년)" xfId="1133"/>
    <cellStyle name="@_PULL  LIST-1 (2005년)_PULL  LIST-1 (2006년)_PULL  LIST-1 (2006년)" xfId="1134"/>
    <cellStyle name="@_PULL  LIST-1 (2005년)_PULL  LIST-1 (2006년)_PULL  LIST-1 (2006년)_ PULL  LIST-1 (2007년)" xfId="1135"/>
    <cellStyle name="@_PULL  LIST-1 (2006년)" xfId="1136"/>
    <cellStyle name="@_PULL  LIST-1 (2006년)_ PULL  LIST-1 (2007년)" xfId="1137"/>
    <cellStyle name="@_PULL  LIST-1 (2006년)_PULL  LIST-1 (2006년)" xfId="1138"/>
    <cellStyle name="@_PULL  LIST-1 (2006년)_PULL  LIST-1 (2006년)_PULL  LIST-1 (2006년)" xfId="1139"/>
    <cellStyle name="@_PULL  LIST-1 (2006년)_PULL  LIST-1 (2006년)_PULL  LIST-1 (2006년)_ PULL  LIST-1 (2007년)" xfId="1140"/>
    <cellStyle name="@_SM1_PL_(견적)" xfId="1141"/>
    <cellStyle name="@_SM1_PL_(견적)_ PULL  LIST-1 (2007년)" xfId="1142"/>
    <cellStyle name="@_SM1_PL_(견적)_PULL  LIST-1 (2004년)" xfId="1143"/>
    <cellStyle name="@_SM1_PL_(견적)_PULL  LIST-1 (2004년)_Book1" xfId="1144"/>
    <cellStyle name="@_SM1_PL_(견적)_PULL  LIST-1 (2004년)_Book1_ PULL  LIST-1 (2007년)" xfId="1145"/>
    <cellStyle name="@_SM1_PL_(견적)_PULL  LIST-1 (2004년)_Book1_PULL  LIST-1 (2005년)" xfId="1146"/>
    <cellStyle name="@_SM1_PL_(견적)_PULL  LIST-1 (2004년)_Book1_PULL  LIST-1 (2005년)_PULL  LIST-1 (2005년)" xfId="1147"/>
    <cellStyle name="@_SM1_PL_(견적)_PULL  LIST-1 (2004년)_Book1_PULL  LIST-1 (2005년)_PULL  LIST-1 (2005년)_ PULL  LIST-1 (2007년)" xfId="1148"/>
    <cellStyle name="@_SM1_PL_(견적)_PULL  LIST-1 (2004년)_Book1_PULL  LIST-1 (2005년)_PULL  LIST-1 (2005년)_PULL  LIST-1 (2006년)" xfId="1149"/>
    <cellStyle name="@_SM1_PL_(견적)_PULL  LIST-1 (2004년)_Book1_PULL  LIST-1 (2005년)_PULL  LIST-1 (2005년)_PULL  LIST-1 (2006년)_PULL  LIST-1 (2006년)" xfId="1150"/>
    <cellStyle name="@_SM1_PL_(견적)_PULL  LIST-1 (2004년)_Book1_PULL  LIST-1 (2005년)_PULL  LIST-1 (2005년)_PULL  LIST-1 (2006년)_PULL  LIST-1 (2006년)_ PULL  LIST-1 (2007년)" xfId="1151"/>
    <cellStyle name="@_SM1_PL_(견적)_PULL  LIST-1 (2004년)_Book1_PULL  LIST-1 (2005년)_PULL  LIST-1 (2006년)" xfId="1152"/>
    <cellStyle name="@_SM1_PL_(견적)_PULL  LIST-1 (2004년)_Book1_PULL  LIST-1 (2005년)_PULL  LIST-1 (2006년)_ PULL  LIST-1 (2007년)" xfId="1153"/>
    <cellStyle name="@_SM1_PL_(견적)_PULL  LIST-1 (2004년)_Book1_PULL  LIST-1 (2005년)_PULL  LIST-1 (2006년)_PULL  LIST-1 (2006년)" xfId="1154"/>
    <cellStyle name="@_SM1_PL_(견적)_PULL  LIST-1 (2004년)_Book1_PULL  LIST-1 (2005년)_PULL  LIST-1 (2006년)_PULL  LIST-1 (2006년)_PULL  LIST-1 (2006년)" xfId="1155"/>
    <cellStyle name="@_SM1_PL_(견적)_PULL  LIST-1 (2004년)_Book1_PULL  LIST-1 (2005년)_PULL  LIST-1 (2006년)_PULL  LIST-1 (2006년)_PULL  LIST-1 (2006년)_ PULL  LIST-1 (2007년)" xfId="1156"/>
    <cellStyle name="@_SM1_PL_(견적)_PULL  LIST-1 (2004년)_Book1_PULL  LIST-1 (2005년)_원가인하9월30일" xfId="1157"/>
    <cellStyle name="@_SM1_PL_(견적)_PULL  LIST-1 (2004년)_Book1_PULL  LIST-1 (2005년)_원가인하9월30일_ PULL  LIST-1 (2007년)" xfId="1158"/>
    <cellStyle name="@_SM1_PL_(견적)_PULL  LIST-1 (2004년)_Book1_PULL  LIST-1 (2005년)_원가인하9월30일_PULL  LIST-1 (2006년)" xfId="1159"/>
    <cellStyle name="@_SM1_PL_(견적)_PULL  LIST-1 (2004년)_Book1_PULL  LIST-1 (2005년)_원가인하9월30일_PULL  LIST-1 (2006년)_PULL  LIST-1 (2006년)" xfId="1160"/>
    <cellStyle name="@_SM1_PL_(견적)_PULL  LIST-1 (2004년)_Book1_PULL  LIST-1 (2005년)_원가인하9월30일_PULL  LIST-1 (2006년)_PULL  LIST-1 (2006년)_ PULL  LIST-1 (2007년)" xfId="1161"/>
    <cellStyle name="@_SM1_PL_(견적)_PULL  LIST-1 (2004년)_Book1_PULL  LIST-1 (2006년)" xfId="1162"/>
    <cellStyle name="@_SM1_PL_(견적)_PULL  LIST-1 (2004년)_Book1_PULL  LIST-1 (2006년)_PULL  LIST-1 (2006년)" xfId="1163"/>
    <cellStyle name="@_SM1_PL_(견적)_PULL  LIST-1 (2004년)_Book1_PULL  LIST-1 (2006년)_PULL  LIST-1 (2006년)_ PULL  LIST-1 (2007년)" xfId="1164"/>
    <cellStyle name="@_SM1_PL_(견적)_PULL  LIST-1 (2004년)_PULL  LIST-1 (2004년)" xfId="1165"/>
    <cellStyle name="@_SM1_PL_(견적)_PULL  LIST-1 (2004년)_PULL  LIST-1 (2004년)_ PULL  LIST-1 (2007년)" xfId="1166"/>
    <cellStyle name="@_SM1_PL_(견적)_PULL  LIST-1 (2004년)_PULL  LIST-1 (2004년)_PULL  LIST-1 (2004년)" xfId="1167"/>
    <cellStyle name="@_SM1_PL_(견적)_PULL  LIST-1 (2004년)_PULL  LIST-1 (2004년)_PULL  LIST-1 (2004년)_Book1" xfId="1168"/>
    <cellStyle name="@_SM1_PL_(견적)_PULL  LIST-1 (2004년)_PULL  LIST-1 (2004년)_PULL  LIST-1 (2004년)_Book1_ PULL  LIST-1 (2007년)" xfId="1169"/>
    <cellStyle name="@_SM1_PL_(견적)_PULL  LIST-1 (2004년)_PULL  LIST-1 (2004년)_PULL  LIST-1 (2004년)_Book1_PULL  LIST-1 (2005년)" xfId="1170"/>
    <cellStyle name="@_SM1_PL_(견적)_PULL  LIST-1 (2004년)_PULL  LIST-1 (2004년)_PULL  LIST-1 (2004년)_Book1_PULL  LIST-1 (2005년)_PULL  LIST-1 (2005년)" xfId="1171"/>
    <cellStyle name="@_SM1_PL_(견적)_PULL  LIST-1 (2004년)_PULL  LIST-1 (2004년)_PULL  LIST-1 (2004년)_Book1_PULL  LIST-1 (2005년)_PULL  LIST-1 (2005년)_ PULL  LIST-1 (2007년)" xfId="1172"/>
    <cellStyle name="@_SM1_PL_(견적)_PULL  LIST-1 (2004년)_PULL  LIST-1 (2004년)_PULL  LIST-1 (2004년)_Book1_PULL  LIST-1 (2005년)_PULL  LIST-1 (2005년)_PULL  LIST-1 (2006년)" xfId="1173"/>
    <cellStyle name="@_SM1_PL_(견적)_PULL  LIST-1 (2004년)_PULL  LIST-1 (2004년)_PULL  LIST-1 (2004년)_Book1_PULL  LIST-1 (2005년)_PULL  LIST-1 (2005년)_PULL  LIST-1 (2006년)_PULL  LIST-1 (2006년)" xfId="1174"/>
    <cellStyle name="@_SM1_PL_(견적)_PULL  LIST-1 (2004년)_PULL  LIST-1 (2004년)_PULL  LIST-1 (2004년)_Book1_PULL  LIST-1 (2005년)_PULL  LIST-1 (2005년)_PULL  LIST-1 (2006년)_PULL  LIST-1 (2006년)_ PULL  LIST-1 (2007년)" xfId="1175"/>
    <cellStyle name="@_SM1_PL_(견적)_PULL  LIST-1 (2004년)_PULL  LIST-1 (2004년)_PULL  LIST-1 (2004년)_Book1_PULL  LIST-1 (2005년)_PULL  LIST-1 (2006년)" xfId="1176"/>
    <cellStyle name="@_SM1_PL_(견적)_PULL  LIST-1 (2004년)_PULL  LIST-1 (2004년)_PULL  LIST-1 (2004년)_Book1_PULL  LIST-1 (2005년)_PULL  LIST-1 (2006년)_ PULL  LIST-1 (2007년)" xfId="1177"/>
    <cellStyle name="@_SM1_PL_(견적)_PULL  LIST-1 (2004년)_PULL  LIST-1 (2004년)_PULL  LIST-1 (2004년)_Book1_PULL  LIST-1 (2005년)_PULL  LIST-1 (2006년)_PULL  LIST-1 (2006년)" xfId="1178"/>
    <cellStyle name="@_SM1_PL_(견적)_PULL  LIST-1 (2004년)_PULL  LIST-1 (2004년)_PULL  LIST-1 (2004년)_Book1_PULL  LIST-1 (2005년)_PULL  LIST-1 (2006년)_PULL  LIST-1 (2006년)_PULL  LIST-1 (2006년)" xfId="1179"/>
    <cellStyle name="@_SM1_PL_(견적)_PULL  LIST-1 (2004년)_PULL  LIST-1 (2004년)_PULL  LIST-1 (2004년)_Book1_PULL  LIST-1 (2005년)_PULL  LIST-1 (2006년)_PULL  LIST-1 (2006년)_PULL  LIST-1 (2006년)_ PULL  LIST-1 (2007년)" xfId="1180"/>
    <cellStyle name="@_SM1_PL_(견적)_PULL  LIST-1 (2004년)_PULL  LIST-1 (2004년)_PULL  LIST-1 (2004년)_Book1_PULL  LIST-1 (2005년)_원가인하9월30일" xfId="1181"/>
    <cellStyle name="@_SM1_PL_(견적)_PULL  LIST-1 (2004년)_PULL  LIST-1 (2004년)_PULL  LIST-1 (2004년)_Book1_PULL  LIST-1 (2005년)_원가인하9월30일_ PULL  LIST-1 (2007년)" xfId="1182"/>
    <cellStyle name="@_SM1_PL_(견적)_PULL  LIST-1 (2004년)_PULL  LIST-1 (2004년)_PULL  LIST-1 (2004년)_Book1_PULL  LIST-1 (2005년)_원가인하9월30일_PULL  LIST-1 (2006년)" xfId="1183"/>
    <cellStyle name="@_SM1_PL_(견적)_PULL  LIST-1 (2004년)_PULL  LIST-1 (2004년)_PULL  LIST-1 (2004년)_Book1_PULL  LIST-1 (2005년)_원가인하9월30일_PULL  LIST-1 (2006년)_PULL  LIST-1 (2006년)" xfId="1184"/>
    <cellStyle name="@_SM1_PL_(견적)_PULL  LIST-1 (2004년)_PULL  LIST-1 (2004년)_PULL  LIST-1 (2004년)_Book1_PULL  LIST-1 (2005년)_원가인하9월30일_PULL  LIST-1 (2006년)_PULL  LIST-1 (2006년)_ PULL  LIST-1 (2007년)" xfId="1185"/>
    <cellStyle name="@_SM1_PL_(견적)_PULL  LIST-1 (2004년)_PULL  LIST-1 (2004년)_PULL  LIST-1 (2004년)_Book1_PULL  LIST-1 (2006년)" xfId="1186"/>
    <cellStyle name="@_SM1_PL_(견적)_PULL  LIST-1 (2004년)_PULL  LIST-1 (2004년)_PULL  LIST-1 (2004년)_Book1_PULL  LIST-1 (2006년)_PULL  LIST-1 (2006년)" xfId="1187"/>
    <cellStyle name="@_SM1_PL_(견적)_PULL  LIST-1 (2004년)_PULL  LIST-1 (2004년)_PULL  LIST-1 (2004년)_Book1_PULL  LIST-1 (2006년)_PULL  LIST-1 (2006년)_ PULL  LIST-1 (2007년)" xfId="1188"/>
    <cellStyle name="@_SM1_PL_(견적)_PULL  LIST-1 (2004년)_PULL  LIST-1 (2004년)_PULL  LIST-1 (2004년)_PULL  LIST-1 (2005년)" xfId="1189"/>
    <cellStyle name="@_SM1_PL_(견적)_PULL  LIST-1 (2004년)_PULL  LIST-1 (2004년)_PULL  LIST-1 (2004년)_PULL  LIST-1 (2005년)_ PULL  LIST-1 (2007년)" xfId="1190"/>
    <cellStyle name="@_SM1_PL_(견적)_PULL  LIST-1 (2004년)_PULL  LIST-1 (2004년)_PULL  LIST-1 (2004년)_PULL  LIST-1 (2005년)_PULL  LIST-1 (2006년)" xfId="1191"/>
    <cellStyle name="@_SM1_PL_(견적)_PULL  LIST-1 (2004년)_PULL  LIST-1 (2004년)_PULL  LIST-1 (2004년)_PULL  LIST-1 (2005년)_PULL  LIST-1 (2006년)_PULL  LIST-1 (2006년)" xfId="1192"/>
    <cellStyle name="@_SM1_PL_(견적)_PULL  LIST-1 (2004년)_PULL  LIST-1 (2004년)_PULL  LIST-1 (2004년)_PULL  LIST-1 (2005년)_PULL  LIST-1 (2006년)_PULL  LIST-1 (2006년)_ PULL  LIST-1 (2007년)" xfId="1193"/>
    <cellStyle name="@_SM1_PL_(견적)_PULL  LIST-1 (2004년)_PULL  LIST-1 (2004년)_PULL  LIST-1 (2004년)_PULL  LIST-1 (2006년)" xfId="1194"/>
    <cellStyle name="@_SM1_PL_(견적)_PULL  LIST-1 (2004년)_PULL  LIST-1 (2004년)_PULL  LIST-1 (2004년)_PULL  LIST-1 (2006년)_ PULL  LIST-1 (2007년)" xfId="1195"/>
    <cellStyle name="@_SM1_PL_(견적)_PULL  LIST-1 (2004년)_PULL  LIST-1 (2004년)_PULL  LIST-1 (2004년)_PULL  LIST-1 (2006년)_PULL  LIST-1 (2006년)" xfId="1196"/>
    <cellStyle name="@_SM1_PL_(견적)_PULL  LIST-1 (2004년)_PULL  LIST-1 (2004년)_PULL  LIST-1 (2004년)_PULL  LIST-1 (2006년)_PULL  LIST-1 (2006년)_PULL  LIST-1 (2006년)" xfId="1197"/>
    <cellStyle name="@_SM1_PL_(견적)_PULL  LIST-1 (2004년)_PULL  LIST-1 (2004년)_PULL  LIST-1 (2004년)_PULL  LIST-1 (2006년)_PULL  LIST-1 (2006년)_PULL  LIST-1 (2006년)_ PULL  LIST-1 (2007년)" xfId="1198"/>
    <cellStyle name="@_SM1_PL_(견적)_PULL  LIST-1 (2004년)_PULL  LIST-1 (2004년)_PULL  LIST-1 (2004년)_원가인하9월30일" xfId="1199"/>
    <cellStyle name="@_SM1_PL_(견적)_PULL  LIST-1 (2004년)_PULL  LIST-1 (2004년)_PULL  LIST-1 (2004년)_원가인하9월30일_ PULL  LIST-1 (2007년)" xfId="1200"/>
    <cellStyle name="@_SM1_PL_(견적)_PULL  LIST-1 (2004년)_PULL  LIST-1 (2004년)_PULL  LIST-1 (2004년)_원가인하9월30일_PULL  LIST-1 (2006년)" xfId="1201"/>
    <cellStyle name="@_SM1_PL_(견적)_PULL  LIST-1 (2004년)_PULL  LIST-1 (2004년)_PULL  LIST-1 (2004년)_원가인하9월30일_PULL  LIST-1 (2006년)_PULL  LIST-1 (2006년)" xfId="1202"/>
    <cellStyle name="@_SM1_PL_(견적)_PULL  LIST-1 (2004년)_PULL  LIST-1 (2004년)_PULL  LIST-1 (2004년)_원가인하9월30일_PULL  LIST-1 (2006년)_PULL  LIST-1 (2006년)_ PULL  LIST-1 (2007년)" xfId="1203"/>
    <cellStyle name="@_SM1_PL_(견적)_PULL  LIST-1 (2004년)_PULL  LIST-1 (2004년)_PULL  LIST-1 (2005년)" xfId="1204"/>
    <cellStyle name="@_SM1_PL_(견적)_PULL  LIST-1 (2004년)_PULL  LIST-1 (2004년)_PULL  LIST-1 (2005년)_PULL  LIST-1 (2005년)" xfId="1205"/>
    <cellStyle name="@_SM1_PL_(견적)_PULL  LIST-1 (2004년)_PULL  LIST-1 (2004년)_PULL  LIST-1 (2005년)_PULL  LIST-1 (2005년)_ PULL  LIST-1 (2007년)" xfId="1206"/>
    <cellStyle name="@_SM1_PL_(견적)_PULL  LIST-1 (2004년)_PULL  LIST-1 (2004년)_PULL  LIST-1 (2005년)_PULL  LIST-1 (2005년)_PULL  LIST-1 (2006년)" xfId="1207"/>
    <cellStyle name="@_SM1_PL_(견적)_PULL  LIST-1 (2004년)_PULL  LIST-1 (2004년)_PULL  LIST-1 (2005년)_PULL  LIST-1 (2005년)_PULL  LIST-1 (2006년)_PULL  LIST-1 (2006년)" xfId="1208"/>
    <cellStyle name="@_SM1_PL_(견적)_PULL  LIST-1 (2004년)_PULL  LIST-1 (2004년)_PULL  LIST-1 (2005년)_PULL  LIST-1 (2005년)_PULL  LIST-1 (2006년)_PULL  LIST-1 (2006년)_ PULL  LIST-1 (2007년)" xfId="1209"/>
    <cellStyle name="@_SM1_PL_(견적)_PULL  LIST-1 (2004년)_PULL  LIST-1 (2004년)_PULL  LIST-1 (2005년)_PULL  LIST-1 (2006년)" xfId="1210"/>
    <cellStyle name="@_SM1_PL_(견적)_PULL  LIST-1 (2004년)_PULL  LIST-1 (2004년)_PULL  LIST-1 (2005년)_PULL  LIST-1 (2006년)_ PULL  LIST-1 (2007년)" xfId="1211"/>
    <cellStyle name="@_SM1_PL_(견적)_PULL  LIST-1 (2004년)_PULL  LIST-1 (2004년)_PULL  LIST-1 (2005년)_PULL  LIST-1 (2006년)_PULL  LIST-1 (2006년)" xfId="1212"/>
    <cellStyle name="@_SM1_PL_(견적)_PULL  LIST-1 (2004년)_PULL  LIST-1 (2004년)_PULL  LIST-1 (2005년)_PULL  LIST-1 (2006년)_PULL  LIST-1 (2006년)_PULL  LIST-1 (2006년)" xfId="1213"/>
    <cellStyle name="@_SM1_PL_(견적)_PULL  LIST-1 (2004년)_PULL  LIST-1 (2004년)_PULL  LIST-1 (2005년)_PULL  LIST-1 (2006년)_PULL  LIST-1 (2006년)_PULL  LIST-1 (2006년)_ PULL  LIST-1 (2007년)" xfId="1214"/>
    <cellStyle name="@_SM1_PL_(견적)_PULL  LIST-1 (2004년)_PULL  LIST-1 (2004년)_PULL  LIST-1 (2005년)_원가인하9월30일" xfId="1215"/>
    <cellStyle name="@_SM1_PL_(견적)_PULL  LIST-1 (2004년)_PULL  LIST-1 (2004년)_PULL  LIST-1 (2005년)_원가인하9월30일_ PULL  LIST-1 (2007년)" xfId="1216"/>
    <cellStyle name="@_SM1_PL_(견적)_PULL  LIST-1 (2004년)_PULL  LIST-1 (2004년)_PULL  LIST-1 (2005년)_원가인하9월30일_PULL  LIST-1 (2006년)" xfId="1217"/>
    <cellStyle name="@_SM1_PL_(견적)_PULL  LIST-1 (2004년)_PULL  LIST-1 (2004년)_PULL  LIST-1 (2005년)_원가인하9월30일_PULL  LIST-1 (2006년)_PULL  LIST-1 (2006년)" xfId="1218"/>
    <cellStyle name="@_SM1_PL_(견적)_PULL  LIST-1 (2004년)_PULL  LIST-1 (2004년)_PULL  LIST-1 (2005년)_원가인하9월30일_PULL  LIST-1 (2006년)_PULL  LIST-1 (2006년)_ PULL  LIST-1 (2007년)" xfId="1219"/>
    <cellStyle name="@_SM1_PL_(견적)_PULL  LIST-1 (2004년)_PULL  LIST-1 (2004년)_PULL  LIST-1 (2006년)" xfId="1220"/>
    <cellStyle name="@_SM1_PL_(견적)_PULL  LIST-1 (2004년)_PULL  LIST-1 (2004년)_PULL  LIST-1 (2006년)_PULL  LIST-1 (2006년)" xfId="1221"/>
    <cellStyle name="@_SM1_PL_(견적)_PULL  LIST-1 (2004년)_PULL  LIST-1 (2004년)_PULL  LIST-1 (2006년)_PULL  LIST-1 (2006년)_ PULL  LIST-1 (2007년)" xfId="1222"/>
    <cellStyle name="@_SM1_PL_(견적)_PULL  LIST-1 (2004년)_PULL  LIST-1 (2005년)" xfId="1223"/>
    <cellStyle name="@_SM1_PL_(견적)_PULL  LIST-1 (2004년)_PULL  LIST-1 (2005년)_ PULL  LIST-1 (2007년)" xfId="1224"/>
    <cellStyle name="@_SM1_PL_(견적)_PULL  LIST-1 (2004년)_PULL  LIST-1 (2005년)_PULL  LIST-1 (2006년)" xfId="1225"/>
    <cellStyle name="@_SM1_PL_(견적)_PULL  LIST-1 (2004년)_PULL  LIST-1 (2005년)_PULL  LIST-1 (2006년)_PULL  LIST-1 (2006년)" xfId="1226"/>
    <cellStyle name="@_SM1_PL_(견적)_PULL  LIST-1 (2004년)_PULL  LIST-1 (2005년)_PULL  LIST-1 (2006년)_PULL  LIST-1 (2006년)_ PULL  LIST-1 (2007년)" xfId="1227"/>
    <cellStyle name="@_SM1_PL_(견적)_PULL  LIST-1 (2004년)_PULL  LIST-1 (2006년)" xfId="1228"/>
    <cellStyle name="@_SM1_PL_(견적)_PULL  LIST-1 (2004년)_PULL  LIST-1 (2006년)_ PULL  LIST-1 (2007년)" xfId="1229"/>
    <cellStyle name="@_SM1_PL_(견적)_PULL  LIST-1 (2004년)_PULL  LIST-1 (2006년)_PULL  LIST-1 (2006년)" xfId="1230"/>
    <cellStyle name="@_SM1_PL_(견적)_PULL  LIST-1 (2004년)_PULL  LIST-1 (2006년)_PULL  LIST-1 (2006년)_PULL  LIST-1 (2006년)" xfId="1231"/>
    <cellStyle name="@_SM1_PL_(견적)_PULL  LIST-1 (2004년)_PULL  LIST-1 (2006년)_PULL  LIST-1 (2006년)_PULL  LIST-1 (2006년)_ PULL  LIST-1 (2007년)" xfId="1232"/>
    <cellStyle name="@_SM1_PL_(견적)_PULL  LIST-1 (2004년)_원가인하9월30일" xfId="1233"/>
    <cellStyle name="@_SM1_PL_(견적)_PULL  LIST-1 (2004년)_원가인하9월30일_ PULL  LIST-1 (2007년)" xfId="1234"/>
    <cellStyle name="@_SM1_PL_(견적)_PULL  LIST-1 (2004년)_원가인하9월30일_PULL  LIST-1 (2006년)" xfId="1235"/>
    <cellStyle name="@_SM1_PL_(견적)_PULL  LIST-1 (2004년)_원가인하9월30일_PULL  LIST-1 (2006년)_PULL  LIST-1 (2006년)" xfId="1236"/>
    <cellStyle name="@_SM1_PL_(견적)_PULL  LIST-1 (2004년)_원가인하9월30일_PULL  LIST-1 (2006년)_PULL  LIST-1 (2006년)_ PULL  LIST-1 (2007년)" xfId="1237"/>
    <cellStyle name="@_SM1_PL_(견적)_PULL  LIST-1 (2005년)" xfId="1238"/>
    <cellStyle name="@_SM1_PL_(견적)_PULL  LIST-1 (2005년)_PULL  LIST-1 (2005년)" xfId="1239"/>
    <cellStyle name="@_SM1_PL_(견적)_PULL  LIST-1 (2005년)_PULL  LIST-1 (2005년)_ PULL  LIST-1 (2007년)" xfId="1240"/>
    <cellStyle name="@_SM1_PL_(견적)_PULL  LIST-1 (2005년)_PULL  LIST-1 (2005년)_PULL  LIST-1 (2006년)" xfId="1241"/>
    <cellStyle name="@_SM1_PL_(견적)_PULL  LIST-1 (2005년)_PULL  LIST-1 (2005년)_PULL  LIST-1 (2006년)_PULL  LIST-1 (2006년)" xfId="1242"/>
    <cellStyle name="@_SM1_PL_(견적)_PULL  LIST-1 (2005년)_PULL  LIST-1 (2005년)_PULL  LIST-1 (2006년)_PULL  LIST-1 (2006년)_ PULL  LIST-1 (2007년)" xfId="1243"/>
    <cellStyle name="@_SM1_PL_(견적)_PULL  LIST-1 (2005년)_PULL  LIST-1 (2006년)" xfId="1244"/>
    <cellStyle name="@_SM1_PL_(견적)_PULL  LIST-1 (2005년)_PULL  LIST-1 (2006년)_ PULL  LIST-1 (2007년)" xfId="1245"/>
    <cellStyle name="@_SM1_PL_(견적)_PULL  LIST-1 (2005년)_PULL  LIST-1 (2006년)_PULL  LIST-1 (2006년)" xfId="1246"/>
    <cellStyle name="@_SM1_PL_(견적)_PULL  LIST-1 (2005년)_PULL  LIST-1 (2006년)_PULL  LIST-1 (2006년)_PULL  LIST-1 (2006년)" xfId="1247"/>
    <cellStyle name="@_SM1_PL_(견적)_PULL  LIST-1 (2005년)_PULL  LIST-1 (2006년)_PULL  LIST-1 (2006년)_PULL  LIST-1 (2006년)_ PULL  LIST-1 (2007년)" xfId="1248"/>
    <cellStyle name="@_SM1_PL_(견적)_PULL  LIST-1 (2005년)_원가인하9월30일" xfId="1249"/>
    <cellStyle name="@_SM1_PL_(견적)_PULL  LIST-1 (2005년)_원가인하9월30일_ PULL  LIST-1 (2007년)" xfId="1250"/>
    <cellStyle name="@_SM1_PL_(견적)_PULL  LIST-1 (2005년)_원가인하9월30일_PULL  LIST-1 (2006년)" xfId="1251"/>
    <cellStyle name="@_SM1_PL_(견적)_PULL  LIST-1 (2005년)_원가인하9월30일_PULL  LIST-1 (2006년)_PULL  LIST-1 (2006년)" xfId="1252"/>
    <cellStyle name="@_SM1_PL_(견적)_PULL  LIST-1 (2005년)_원가인하9월30일_PULL  LIST-1 (2006년)_PULL  LIST-1 (2006년)_ PULL  LIST-1 (2007년)" xfId="1253"/>
    <cellStyle name="@_SM1_PL_(견적)_PULL  LIST-1 (2006년)" xfId="1254"/>
    <cellStyle name="@_SM1_PL_(견적)_PULL  LIST-1 (2006년)_PULL  LIST-1 (2006년)" xfId="1255"/>
    <cellStyle name="@_SM1_PL_(견적)_PULL  LIST-1 (2006년)_PULL  LIST-1 (2006년)_ PULL  LIST-1 (2007년)" xfId="1256"/>
    <cellStyle name="@_원가인하9월30일" xfId="1257"/>
    <cellStyle name="@_원가인하9월30일_ PULL  LIST-1 (2007년)" xfId="1258"/>
    <cellStyle name="@_원가인하9월30일_PULL  LIST-1 (2006년)" xfId="1259"/>
    <cellStyle name="@_원가인하9월30일_PULL  LIST-1 (2006년)_PULL  LIST-1 (2006년)" xfId="1260"/>
    <cellStyle name="@_원가인하9월30일_PULL  LIST-1 (2006년)_PULL  LIST-1 (2006년)_ PULL  LIST-1 (2007년)" xfId="1261"/>
    <cellStyle name="_01년도HILS케이블" xfId="1262"/>
    <cellStyle name="_01년도연탄계약자료2" xfId="1263"/>
    <cellStyle name="_01년도유도계약자료" xfId="1264"/>
    <cellStyle name="_01년도핑어계약자료2" xfId="1265"/>
    <cellStyle name="_03_평가계획" xfId="1266"/>
    <cellStyle name="_05년 4_x005f_x005F_x005f_x007E_5월 SQ평가일정 카렌다 (050328)-초안" xfId="1267"/>
    <cellStyle name="_05년 4_x005f_x005F_x005f_x007E_5월 SQ평가일정 카렌다 (050328)-초안 2" xfId="1268"/>
    <cellStyle name="_10월결산K" xfId="1269"/>
    <cellStyle name="_2002년도 평가보고-기안-0314" xfId="1270"/>
    <cellStyle name="_2002년도 평가보고-기안-0314 2" xfId="1271"/>
    <cellStyle name="_2003년상반기 SQ-MARK 종합보고-0709" xfId="1272"/>
    <cellStyle name="_2003년상반기 SQ-MARK 종합보고-0709 2" xfId="1273"/>
    <cellStyle name="_4월 RXC SS" xfId="1274"/>
    <cellStyle name="_5. 재료비(국내자재비) " xfId="1275"/>
    <cellStyle name="_EC1" xfId="1276"/>
    <cellStyle name="_EC1_1" xfId="1277"/>
    <cellStyle name="_EC1_2" xfId="1278"/>
    <cellStyle name="_EC1_3" xfId="1279"/>
    <cellStyle name="_EC1_4" xfId="1280"/>
    <cellStyle name="_EC1_5" xfId="1281"/>
    <cellStyle name="_lbsouy`6_622k1" xfId="1282"/>
    <cellStyle name="_PDBJKR5506A(미래기전 공정감사 보고서)" xfId="1283"/>
    <cellStyle name="_PDBJKR5506A(미래기전 공정감사 보고서) 2" xfId="1284"/>
    <cellStyle name="_PDKHSF5530A(2005년 공정감사 일정 통보건)" xfId="1285"/>
    <cellStyle name="_PDKHSF5530A(2005년 공정감사 일정 통보건) 2" xfId="1286"/>
    <cellStyle name="_PDKKJR5510A(영진정공 공정감사 보고서)" xfId="1287"/>
    <cellStyle name="_PDKKJR5510A(영진정공 공정감사 보고서) 2" xfId="1288"/>
    <cellStyle name="_PRG 리프스프링이음1213(1)" xfId="1289"/>
    <cellStyle name="_PRG 리프스프링이음1213(1) 2" xfId="1290"/>
    <cellStyle name="_Q WBS" xfId="1291"/>
    <cellStyle name="_Q WS 평가계획_080429" xfId="1292"/>
    <cellStyle name="_SMP400S 평가 계획서(080415)" xfId="1293"/>
    <cellStyle name="_SQ인증대상업체(용접 05.4~8)" xfId="1294"/>
    <cellStyle name="_SQ인증대상업체(용접 05.4~8) 2" xfId="1295"/>
    <cellStyle name="_STW BALANCE(20091111)" xfId="1296"/>
    <cellStyle name="_WBS" xfId="1297"/>
    <cellStyle name="_WBS_0622" xfId="1298"/>
    <cellStyle name="_WBS_2Gantry" xfId="1299"/>
    <cellStyle name="_WS 평가계획(Q)_080410" xfId="1300"/>
    <cellStyle name="_WS 평가계획(Q)_080429" xfId="1301"/>
    <cellStyle name="_YU" xfId="1302"/>
    <cellStyle name="_YU 2" xfId="1303"/>
    <cellStyle name="_가속기 상세설계 품평회 자료_PM_060424" xfId="1304"/>
    <cellStyle name="_가속기 체계시제 실행_매출계획_060317" xfId="1305"/>
    <cellStyle name="_가속기엔진 호기별 제작_시험 일정_060327" xfId="1306"/>
    <cellStyle name="_갑모음(ILS) (2)" xfId="1307"/>
    <cellStyle name="_갑지2" xfId="1308"/>
    <cellStyle name="_개발원가추산서(011110계약기초자료)" xfId="1309"/>
    <cellStyle name="_개발원가추산서(011110계약기초자료-전자)" xfId="1310"/>
    <cellStyle name="_개발원가추산서(011126계약기초자료-전자기계통합)" xfId="1311"/>
    <cellStyle name="_개발원가추산서(샘플-계약자료용)" xfId="1312"/>
    <cellStyle name="_개선사례(칭다오시그마)" xfId="1313"/>
    <cellStyle name="_개선사례(칭다오시그마) 2" xfId="1314"/>
    <cellStyle name="_공정감사(신풍011129)" xfId="1315"/>
    <cellStyle name="_공정감사(신풍011129) 2" xfId="1316"/>
    <cellStyle name="_공정감사보고서(종합)" xfId="1317"/>
    <cellStyle name="_공정감사보고서(종합) 2" xfId="1318"/>
    <cellStyle name="_공정감사보고서_화승R&amp;A_041216" xfId="1319"/>
    <cellStyle name="_공정감사보고서_화승R&amp;A_041216 2" xfId="1320"/>
    <cellStyle name="_과제관리_6시그마 융합(가속기)_060619" xfId="1321"/>
    <cellStyle name="_국내개발센서보드레벨" xfId="1322"/>
    <cellStyle name="_국내개발센서보드레벨_GCUBD별pl2" xfId="1323"/>
    <cellStyle name="_국내개발센서보드레벨_데이터베이스구축" xfId="1324"/>
    <cellStyle name="_금형평가 추가확인사항(050621)" xfId="1325"/>
    <cellStyle name="_금형평가 추가확인사항(050621) 2" xfId="1326"/>
    <cellStyle name="_기안" xfId="1327"/>
    <cellStyle name="_기안_1" xfId="1328"/>
    <cellStyle name="_기안_2" xfId="1329"/>
    <cellStyle name="_기안_2_03연구소율" xfId="1330"/>
    <cellStyle name="_기안_2_03연구소율(용역)" xfId="1331"/>
    <cellStyle name="_기안_2_백상어시뮬레이터추산서0128" xfId="1332"/>
    <cellStyle name="_기안_2_백상어시뮬레이터추산서0129" xfId="1333"/>
    <cellStyle name="_기안_2_수정원가계산양식" xfId="1334"/>
    <cellStyle name="_기안_2_수정원가현황" xfId="1335"/>
    <cellStyle name="_기안_2_함대함 마이크로파 탐색기" xfId="1336"/>
    <cellStyle name="_기안_2_함대함유도탄종합점검장비2차 DT보완외시제 원가추산서2" xfId="1337"/>
    <cellStyle name="_기안_3" xfId="1338"/>
    <cellStyle name="_기안_4" xfId="1339"/>
    <cellStyle name="_기존센서보드레벨" xfId="1340"/>
    <cellStyle name="_기존센서보드레벨_GCUBD별pl2" xfId="1341"/>
    <cellStyle name="_기존센서보드레벨_국내개발센서보드레벨" xfId="1342"/>
    <cellStyle name="_기존센서보드레벨_데이터베이스구축" xfId="1343"/>
    <cellStyle name="_담당자" xfId="1344"/>
    <cellStyle name="_백상어시뮬레이터추산서0128-1안" xfId="1345"/>
    <cellStyle name="_본사송부(WSS020409)" xfId="1346"/>
    <cellStyle name="_본사송부(WSS030127)" xfId="1347"/>
    <cellStyle name="_상각비율" xfId="1348"/>
    <cellStyle name="_수정경비율1120" xfId="1349"/>
    <cellStyle name="_시제원가추산(추정)" xfId="1350"/>
    <cellStyle name="_원가절감PL_김보미_071031" xfId="1351"/>
    <cellStyle name="_원가추산서(0318조정제출)" xfId="1352"/>
    <cellStyle name="_일정" xfId="1353"/>
    <cellStyle name="_주단조 경고미실시(050120)" xfId="1354"/>
    <cellStyle name="_주단조 경고미실시(050120) 2" xfId="1355"/>
    <cellStyle name="_주단조 정기평가결과(050118)" xfId="1356"/>
    <cellStyle name="_주단조 정기평가결과(050118) 2" xfId="1357"/>
    <cellStyle name="_주단조 정기평가품의(20040830)" xfId="1358"/>
    <cellStyle name="_주단조 정기평가품의(20040830) 2" xfId="1359"/>
    <cellStyle name="_주단조 평가완료및 미실시업체(050118)" xfId="1360"/>
    <cellStyle name="_주단조 평가완료및 미실시업체(050118) 2" xfId="1361"/>
    <cellStyle name="_청상어체계개발원가추산1" xfId="1362"/>
    <cellStyle name="_특별평가요청서" xfId="1363"/>
    <cellStyle name="_특별평가요청서 2" xfId="1364"/>
    <cellStyle name="_품질보증계획_가속기_0603_v1.0_060413" xfId="1365"/>
    <cellStyle name="_함대함ILS_노무공수" xfId="1366"/>
    <cellStyle name="_納期回答 090520_41184" xfId="1367"/>
    <cellStyle name="`MCvt/ASP" xfId="1368"/>
    <cellStyle name="`NACSP1.YMM0_x0001_ဠ" xfId="1369"/>
    <cellStyle name="¡ERIiU¡ERE?¡ERER ¡ERE?A¡ERE¡ERIA CIAI¡ER￠R¡¿￠RERU¡ERE¡ER¨I¡ⓒ¡ERIiA¡ER￠R¡¿I" xfId="1370"/>
    <cellStyle name="’E‰Y [0.00]_laroux" xfId="1371"/>
    <cellStyle name="’E‰Y_laroux" xfId="1372"/>
    <cellStyle name="￠R¡×Ioe¡ER￠R¡¿¡ER¨I¡ⓒ¡ER￠R¡¿¡EREA￠R¡×I¡ERA_AIAIC￠RER￠R¡×¡ERAuCoE￠R¡×I¡ERA " xfId="1373"/>
    <cellStyle name="¤@?e_TEST-1 " xfId="1374"/>
    <cellStyle name="©öe¨¬¨¢A©÷_AIAIC¡ÆAuCoE©÷ " xfId="1375"/>
    <cellStyle name="°iA¤Aa·A1_10¿u2WA¸ºI " xfId="1376"/>
    <cellStyle name="°iA¤Aa·A2_10¿u2WA¸ºI " xfId="1377"/>
    <cellStyle name="0뾍R_x0005_?뾍b_x0005_" xfId="1378"/>
    <cellStyle name="0뾍R_x0005_?뾍b_x0005_ 2" xfId="1379"/>
    <cellStyle name="1" xfId="1380"/>
    <cellStyle name="1 2" xfId="1381"/>
    <cellStyle name="1 3" xfId="1382"/>
    <cellStyle name="1_J7053785A" xfId="1383"/>
    <cellStyle name="1_J7153399A" xfId="1384"/>
    <cellStyle name="1_J7153400A" xfId="1385"/>
    <cellStyle name="10" xfId="1386"/>
    <cellStyle name="100" xfId="1387"/>
    <cellStyle name="100 2" xfId="1388"/>
    <cellStyle name="100 2 2" xfId="1389"/>
    <cellStyle name="100 3" xfId="1390"/>
    <cellStyle name="100 3 2" xfId="1391"/>
    <cellStyle name="100 4" xfId="1392"/>
    <cellStyle name="100 4 2" xfId="1393"/>
    <cellStyle name="100 5" xfId="1394"/>
    <cellStyle name="100 5 2" xfId="1395"/>
    <cellStyle name="100 6" xfId="1396"/>
    <cellStyle name="100 6 2" xfId="1397"/>
    <cellStyle name="100 7" xfId="1398"/>
    <cellStyle name="100 7 2" xfId="1399"/>
    <cellStyle name="100 8" xfId="1400"/>
    <cellStyle name="100 8 2" xfId="1401"/>
    <cellStyle name="100 9" xfId="1402"/>
    <cellStyle name="100 9 2" xfId="1403"/>
    <cellStyle name="120" xfId="1404"/>
    <cellStyle name="120 2" xfId="1405"/>
    <cellStyle name="120 2 2" xfId="1406"/>
    <cellStyle name="120 3" xfId="1407"/>
    <cellStyle name="120 3 2" xfId="1408"/>
    <cellStyle name="120 4" xfId="1409"/>
    <cellStyle name="120 4 2" xfId="1410"/>
    <cellStyle name="120 5" xfId="1411"/>
    <cellStyle name="120 5 2" xfId="1412"/>
    <cellStyle name="120 6" xfId="1413"/>
    <cellStyle name="120 6 2" xfId="1414"/>
    <cellStyle name="120 7" xfId="1415"/>
    <cellStyle name="120 7 2" xfId="1416"/>
    <cellStyle name="120 8" xfId="1417"/>
    <cellStyle name="120 8 2" xfId="1418"/>
    <cellStyle name="120 9" xfId="1419"/>
    <cellStyle name="120 9 2" xfId="1420"/>
    <cellStyle name="¹eºÐA²_±aA¸" xfId="1421"/>
    <cellStyle name="¹éºÐÀ²_ÀÏÀÏÇ°ÁúÇöÈ² " xfId="1422"/>
    <cellStyle name="20% - Accent1 2" xfId="1423"/>
    <cellStyle name="20% - Accent1 2 2" xfId="1424"/>
    <cellStyle name="20% - Accent1 3" xfId="1425"/>
    <cellStyle name="20% - Accent1 3 2" xfId="1426"/>
    <cellStyle name="20% - Accent1 3 2 2" xfId="1427"/>
    <cellStyle name="20% - Accent1 4" xfId="1428"/>
    <cellStyle name="20% - Accent2 2" xfId="1429"/>
    <cellStyle name="20% - Accent2 2 2" xfId="1430"/>
    <cellStyle name="20% - Accent2 3" xfId="1431"/>
    <cellStyle name="20% - Accent2 3 2" xfId="1432"/>
    <cellStyle name="20% - Accent2 3 2 2" xfId="1433"/>
    <cellStyle name="20% - Accent2 4" xfId="1434"/>
    <cellStyle name="20% - Accent3 2" xfId="1435"/>
    <cellStyle name="20% - Accent3 2 2" xfId="1436"/>
    <cellStyle name="20% - Accent3 3" xfId="1437"/>
    <cellStyle name="20% - Accent3 3 2" xfId="1438"/>
    <cellStyle name="20% - Accent3 3 2 2" xfId="1439"/>
    <cellStyle name="20% - Accent3 4" xfId="1440"/>
    <cellStyle name="20% - Accent4 2" xfId="1441"/>
    <cellStyle name="20% - Accent4 2 2" xfId="1442"/>
    <cellStyle name="20% - Accent4 3" xfId="1443"/>
    <cellStyle name="20% - Accent4 3 2" xfId="1444"/>
    <cellStyle name="20% - Accent4 3 2 2" xfId="1445"/>
    <cellStyle name="20% - Accent4 4" xfId="1446"/>
    <cellStyle name="20% - Accent5 2" xfId="1447"/>
    <cellStyle name="20% - Accent5 2 2" xfId="1448"/>
    <cellStyle name="20% - Accent5 3" xfId="1449"/>
    <cellStyle name="20% - Accent5 3 2" xfId="1450"/>
    <cellStyle name="20% - Accent5 3 2 2" xfId="1451"/>
    <cellStyle name="20% - Accent5 4" xfId="1452"/>
    <cellStyle name="20% - Accent6 2" xfId="1453"/>
    <cellStyle name="20% - Accent6 2 2" xfId="1454"/>
    <cellStyle name="20% - Accent6 3" xfId="1455"/>
    <cellStyle name="20% - Accent6 3 2" xfId="1456"/>
    <cellStyle name="20% - Accent6 3 2 2" xfId="1457"/>
    <cellStyle name="20% - Accent6 4" xfId="1458"/>
    <cellStyle name="20% - 강조색1 10" xfId="1459"/>
    <cellStyle name="20% - 강조색1 10 2" xfId="1460"/>
    <cellStyle name="20% - 강조색1 10 2 2" xfId="1461"/>
    <cellStyle name="20% - 강조색1 10 2 2 2" xfId="1462"/>
    <cellStyle name="20% - 강조색1 10 2 2 2 2" xfId="1463"/>
    <cellStyle name="20% - 강조색1 10 2 2 2 3" xfId="1464"/>
    <cellStyle name="20% - 강조색1 10 2 2 3" xfId="1465"/>
    <cellStyle name="20% - 강조색1 10 2 2 4" xfId="1466"/>
    <cellStyle name="20% - 강조색1 10 2 3" xfId="1467"/>
    <cellStyle name="20% - 강조색1 10 2 3 2" xfId="1468"/>
    <cellStyle name="20% - 강조색1 10 2 3 3" xfId="1469"/>
    <cellStyle name="20% - 강조색1 10 2 4" xfId="1470"/>
    <cellStyle name="20% - 강조색1 10 2 5" xfId="1471"/>
    <cellStyle name="20% - 강조색1 10 3" xfId="1472"/>
    <cellStyle name="20% - 강조색1 10 3 2" xfId="1473"/>
    <cellStyle name="20% - 강조색1 10 3 2 2" xfId="1474"/>
    <cellStyle name="20% - 강조색1 10 3 2 2 2" xfId="1475"/>
    <cellStyle name="20% - 강조색1 10 3 2 2 3" xfId="1476"/>
    <cellStyle name="20% - 강조색1 10 3 2 3" xfId="1477"/>
    <cellStyle name="20% - 강조색1 10 3 2 4" xfId="1478"/>
    <cellStyle name="20% - 강조색1 10 3 3" xfId="1479"/>
    <cellStyle name="20% - 강조색1 10 3 3 2" xfId="1480"/>
    <cellStyle name="20% - 강조색1 10 3 3 3" xfId="1481"/>
    <cellStyle name="20% - 강조색1 10 3 4" xfId="1482"/>
    <cellStyle name="20% - 강조색1 10 3 5" xfId="1483"/>
    <cellStyle name="20% - 강조색1 10 4" xfId="1484"/>
    <cellStyle name="20% - 강조색1 10 4 2" xfId="1485"/>
    <cellStyle name="20% - 강조색1 10 4 2 2" xfId="1486"/>
    <cellStyle name="20% - 강조색1 10 4 2 3" xfId="1487"/>
    <cellStyle name="20% - 강조색1 10 4 3" xfId="1488"/>
    <cellStyle name="20% - 강조색1 10 4 4" xfId="1489"/>
    <cellStyle name="20% - 강조색1 10 5" xfId="1490"/>
    <cellStyle name="20% - 강조색1 10 5 2" xfId="1491"/>
    <cellStyle name="20% - 강조색1 10 5 3" xfId="1492"/>
    <cellStyle name="20% - 강조색1 10 6" xfId="1493"/>
    <cellStyle name="20% - 강조색1 10 7" xfId="1494"/>
    <cellStyle name="20% - 강조색1 11" xfId="1495"/>
    <cellStyle name="20% - 강조색1 11 2" xfId="1496"/>
    <cellStyle name="20% - 강조색1 11 2 2" xfId="1497"/>
    <cellStyle name="20% - 강조색1 11 2 2 2" xfId="1498"/>
    <cellStyle name="20% - 강조색1 11 2 2 3" xfId="1499"/>
    <cellStyle name="20% - 강조색1 11 2 3" xfId="1500"/>
    <cellStyle name="20% - 강조색1 11 2 4" xfId="1501"/>
    <cellStyle name="20% - 강조색1 11 3" xfId="1502"/>
    <cellStyle name="20% - 강조색1 11 3 2" xfId="1503"/>
    <cellStyle name="20% - 강조색1 11 3 3" xfId="1504"/>
    <cellStyle name="20% - 강조색1 11 4" xfId="1505"/>
    <cellStyle name="20% - 강조색1 11 5" xfId="1506"/>
    <cellStyle name="20% - 강조색1 12" xfId="1507"/>
    <cellStyle name="20% - 강조색1 12 2" xfId="1508"/>
    <cellStyle name="20% - 강조색1 12 2 2" xfId="1509"/>
    <cellStyle name="20% - 강조색1 12 2 2 2" xfId="1510"/>
    <cellStyle name="20% - 강조색1 12 2 2 3" xfId="1511"/>
    <cellStyle name="20% - 강조색1 12 2 3" xfId="1512"/>
    <cellStyle name="20% - 강조색1 12 2 4" xfId="1513"/>
    <cellStyle name="20% - 강조색1 12 3" xfId="1514"/>
    <cellStyle name="20% - 강조색1 12 3 2" xfId="1515"/>
    <cellStyle name="20% - 강조색1 12 3 3" xfId="1516"/>
    <cellStyle name="20% - 강조색1 12 4" xfId="1517"/>
    <cellStyle name="20% - 강조색1 12 5" xfId="1518"/>
    <cellStyle name="20% - 강조색1 13" xfId="1519"/>
    <cellStyle name="20% - 강조색1 13 2" xfId="1520"/>
    <cellStyle name="20% - 강조색1 13 2 2" xfId="1521"/>
    <cellStyle name="20% - 강조색1 13 2 3" xfId="1522"/>
    <cellStyle name="20% - 강조색1 13 3" xfId="1523"/>
    <cellStyle name="20% - 강조색1 13 4" xfId="1524"/>
    <cellStyle name="20% - 강조색1 14" xfId="1525"/>
    <cellStyle name="20% - 강조색1 14 2" xfId="1526"/>
    <cellStyle name="20% - 강조색1 14 2 2" xfId="1527"/>
    <cellStyle name="20% - 강조색1 14 2 3" xfId="1528"/>
    <cellStyle name="20% - 강조색1 14 3" xfId="1529"/>
    <cellStyle name="20% - 강조색1 14 4" xfId="1530"/>
    <cellStyle name="20% - 강조색1 15" xfId="1531"/>
    <cellStyle name="20% - 강조색1 15 2" xfId="1532"/>
    <cellStyle name="20% - 강조색1 15 3" xfId="1533"/>
    <cellStyle name="20% - 강조색1 16" xfId="1534"/>
    <cellStyle name="20% - 강조색1 16 2" xfId="1535"/>
    <cellStyle name="20% - 강조색1 16 3" xfId="1536"/>
    <cellStyle name="20% - 강조색1 16 4" xfId="1537"/>
    <cellStyle name="20% - 강조색1 17" xfId="1538"/>
    <cellStyle name="20% - 강조색1 17 2" xfId="1539"/>
    <cellStyle name="20% - 강조색1 17 3" xfId="1540"/>
    <cellStyle name="20% - 강조색1 18" xfId="1541"/>
    <cellStyle name="20% - 강조색1 18 2" xfId="1542"/>
    <cellStyle name="20% - 강조색1 18 3" xfId="1543"/>
    <cellStyle name="20% - 강조색1 19" xfId="1544"/>
    <cellStyle name="20% - 강조색1 19 2" xfId="1545"/>
    <cellStyle name="20% - 강조색1 19 3" xfId="1546"/>
    <cellStyle name="20% - 강조색1 2" xfId="1547"/>
    <cellStyle name="20% - 강조색1 2 2" xfId="1548"/>
    <cellStyle name="20% - 강조색1 2 2 2" xfId="1549"/>
    <cellStyle name="20% - 강조색1 2 2 2 2" xfId="1550"/>
    <cellStyle name="20% - 강조색1 2 2 3" xfId="1551"/>
    <cellStyle name="20% - 강조색1 2 3" xfId="1552"/>
    <cellStyle name="20% - 강조색1 2 3 2" xfId="1553"/>
    <cellStyle name="20% - 강조색1 2 3 2 2" xfId="1554"/>
    <cellStyle name="20% - 강조색1 2 3 3" xfId="1555"/>
    <cellStyle name="20% - 강조색1 2 4" xfId="1556"/>
    <cellStyle name="20% - 강조색1 2 4 2" xfId="1557"/>
    <cellStyle name="20% - 강조색1 2 5" xfId="1558"/>
    <cellStyle name="20% - 강조색1 2 6" xfId="1559"/>
    <cellStyle name="20% - 강조색1 20" xfId="1560"/>
    <cellStyle name="20% - 강조색1 20 2" xfId="1561"/>
    <cellStyle name="20% - 강조색1 20 3" xfId="1562"/>
    <cellStyle name="20% - 강조색1 21" xfId="1563"/>
    <cellStyle name="20% - 강조색1 21 2" xfId="1564"/>
    <cellStyle name="20% - 강조색1 21 3" xfId="1565"/>
    <cellStyle name="20% - 강조색1 22" xfId="1566"/>
    <cellStyle name="20% - 강조색1 22 2" xfId="1567"/>
    <cellStyle name="20% - 강조색1 22 3" xfId="1568"/>
    <cellStyle name="20% - 강조색1 23" xfId="1569"/>
    <cellStyle name="20% - 강조색1 23 2" xfId="1570"/>
    <cellStyle name="20% - 강조색1 23 3" xfId="1571"/>
    <cellStyle name="20% - 강조색1 24" xfId="1572"/>
    <cellStyle name="20% - 강조색1 24 2" xfId="1573"/>
    <cellStyle name="20% - 강조색1 25" xfId="1574"/>
    <cellStyle name="20% - 강조색1 25 2" xfId="1575"/>
    <cellStyle name="20% - 강조색1 26" xfId="1576"/>
    <cellStyle name="20% - 강조색1 26 2" xfId="1577"/>
    <cellStyle name="20% - 강조색1 27" xfId="1578"/>
    <cellStyle name="20% - 강조색1 27 2" xfId="1579"/>
    <cellStyle name="20% - 강조색1 28" xfId="1580"/>
    <cellStyle name="20% - 강조색1 28 2" xfId="1581"/>
    <cellStyle name="20% - 강조색1 29" xfId="1582"/>
    <cellStyle name="20% - 강조색1 29 2" xfId="1583"/>
    <cellStyle name="20% - 강조색1 3" xfId="1584"/>
    <cellStyle name="20% - 강조색1 3 10" xfId="1585"/>
    <cellStyle name="20% - 강조색1 3 10 2" xfId="1586"/>
    <cellStyle name="20% - 강조색1 3 10 2 2" xfId="1587"/>
    <cellStyle name="20% - 강조색1 3 10 2 3" xfId="1588"/>
    <cellStyle name="20% - 강조색1 3 10 3" xfId="1589"/>
    <cellStyle name="20% - 강조색1 3 10 4" xfId="1590"/>
    <cellStyle name="20% - 강조색1 3 11" xfId="1591"/>
    <cellStyle name="20% - 강조색1 3 11 2" xfId="1592"/>
    <cellStyle name="20% - 강조색1 3 11 3" xfId="1593"/>
    <cellStyle name="20% - 강조색1 3 12" xfId="1594"/>
    <cellStyle name="20% - 강조색1 3 13" xfId="1595"/>
    <cellStyle name="20% - 강조색1 3 14" xfId="1596"/>
    <cellStyle name="20% - 강조색1 3 15" xfId="1597"/>
    <cellStyle name="20% - 강조색1 3 2" xfId="1598"/>
    <cellStyle name="20% - 강조색1 3 2 10" xfId="1599"/>
    <cellStyle name="20% - 강조색1 3 2 11" xfId="1600"/>
    <cellStyle name="20% - 강조색1 3 2 12" xfId="1601"/>
    <cellStyle name="20% - 강조색1 3 2 2" xfId="1602"/>
    <cellStyle name="20% - 강조색1 3 2 2 2" xfId="1603"/>
    <cellStyle name="20% - 강조색1 3 2 2 2 2" xfId="1604"/>
    <cellStyle name="20% - 강조색1 3 2 2 2 2 2" xfId="1605"/>
    <cellStyle name="20% - 강조색1 3 2 2 2 2 2 2" xfId="1606"/>
    <cellStyle name="20% - 강조색1 3 2 2 2 2 2 3" xfId="1607"/>
    <cellStyle name="20% - 강조색1 3 2 2 2 2 3" xfId="1608"/>
    <cellStyle name="20% - 강조색1 3 2 2 2 2 4" xfId="1609"/>
    <cellStyle name="20% - 강조색1 3 2 2 2 3" xfId="1610"/>
    <cellStyle name="20% - 강조색1 3 2 2 2 3 2" xfId="1611"/>
    <cellStyle name="20% - 강조색1 3 2 2 2 3 3" xfId="1612"/>
    <cellStyle name="20% - 강조색1 3 2 2 2 4" xfId="1613"/>
    <cellStyle name="20% - 강조색1 3 2 2 2 5" xfId="1614"/>
    <cellStyle name="20% - 강조색1 3 2 2 3" xfId="1615"/>
    <cellStyle name="20% - 강조색1 3 2 2 3 2" xfId="1616"/>
    <cellStyle name="20% - 강조색1 3 2 2 3 2 2" xfId="1617"/>
    <cellStyle name="20% - 강조색1 3 2 2 3 2 2 2" xfId="1618"/>
    <cellStyle name="20% - 강조색1 3 2 2 3 2 2 3" xfId="1619"/>
    <cellStyle name="20% - 강조색1 3 2 2 3 2 3" xfId="1620"/>
    <cellStyle name="20% - 강조색1 3 2 2 3 2 4" xfId="1621"/>
    <cellStyle name="20% - 강조색1 3 2 2 3 3" xfId="1622"/>
    <cellStyle name="20% - 강조색1 3 2 2 3 3 2" xfId="1623"/>
    <cellStyle name="20% - 강조색1 3 2 2 3 3 3" xfId="1624"/>
    <cellStyle name="20% - 강조색1 3 2 2 3 4" xfId="1625"/>
    <cellStyle name="20% - 강조색1 3 2 2 3 5" xfId="1626"/>
    <cellStyle name="20% - 강조색1 3 2 2 4" xfId="1627"/>
    <cellStyle name="20% - 강조색1 3 2 2 4 2" xfId="1628"/>
    <cellStyle name="20% - 강조색1 3 2 2 4 2 2" xfId="1629"/>
    <cellStyle name="20% - 강조색1 3 2 2 4 2 3" xfId="1630"/>
    <cellStyle name="20% - 강조색1 3 2 2 4 3" xfId="1631"/>
    <cellStyle name="20% - 강조색1 3 2 2 4 4" xfId="1632"/>
    <cellStyle name="20% - 강조색1 3 2 2 5" xfId="1633"/>
    <cellStyle name="20% - 강조색1 3 2 2 5 2" xfId="1634"/>
    <cellStyle name="20% - 강조색1 3 2 2 5 3" xfId="1635"/>
    <cellStyle name="20% - 강조색1 3 2 2 6" xfId="1636"/>
    <cellStyle name="20% - 강조색1 3 2 2 7" xfId="1637"/>
    <cellStyle name="20% - 강조색1 3 2 2 8" xfId="1638"/>
    <cellStyle name="20% - 강조색1 3 2 2 9" xfId="1639"/>
    <cellStyle name="20% - 강조색1 3 2 3" xfId="1640"/>
    <cellStyle name="20% - 강조색1 3 2 3 2" xfId="1641"/>
    <cellStyle name="20% - 강조색1 3 2 3 2 2" xfId="1642"/>
    <cellStyle name="20% - 강조색1 3 2 3 2 2 2" xfId="1643"/>
    <cellStyle name="20% - 강조색1 3 2 3 2 2 2 2" xfId="1644"/>
    <cellStyle name="20% - 강조색1 3 2 3 2 2 2 3" xfId="1645"/>
    <cellStyle name="20% - 강조색1 3 2 3 2 2 3" xfId="1646"/>
    <cellStyle name="20% - 강조색1 3 2 3 2 2 4" xfId="1647"/>
    <cellStyle name="20% - 강조색1 3 2 3 2 3" xfId="1648"/>
    <cellStyle name="20% - 강조색1 3 2 3 2 3 2" xfId="1649"/>
    <cellStyle name="20% - 강조색1 3 2 3 2 3 3" xfId="1650"/>
    <cellStyle name="20% - 강조색1 3 2 3 2 4" xfId="1651"/>
    <cellStyle name="20% - 강조색1 3 2 3 2 5" xfId="1652"/>
    <cellStyle name="20% - 강조색1 3 2 3 3" xfId="1653"/>
    <cellStyle name="20% - 강조색1 3 2 3 3 2" xfId="1654"/>
    <cellStyle name="20% - 강조색1 3 2 3 3 2 2" xfId="1655"/>
    <cellStyle name="20% - 강조색1 3 2 3 3 2 2 2" xfId="1656"/>
    <cellStyle name="20% - 강조색1 3 2 3 3 2 2 3" xfId="1657"/>
    <cellStyle name="20% - 강조색1 3 2 3 3 2 3" xfId="1658"/>
    <cellStyle name="20% - 강조색1 3 2 3 3 2 4" xfId="1659"/>
    <cellStyle name="20% - 강조색1 3 2 3 3 3" xfId="1660"/>
    <cellStyle name="20% - 강조색1 3 2 3 3 3 2" xfId="1661"/>
    <cellStyle name="20% - 강조색1 3 2 3 3 3 3" xfId="1662"/>
    <cellStyle name="20% - 강조색1 3 2 3 3 4" xfId="1663"/>
    <cellStyle name="20% - 강조색1 3 2 3 3 5" xfId="1664"/>
    <cellStyle name="20% - 강조색1 3 2 3 4" xfId="1665"/>
    <cellStyle name="20% - 강조색1 3 2 3 4 2" xfId="1666"/>
    <cellStyle name="20% - 강조색1 3 2 3 4 2 2" xfId="1667"/>
    <cellStyle name="20% - 강조색1 3 2 3 4 2 3" xfId="1668"/>
    <cellStyle name="20% - 강조색1 3 2 3 4 3" xfId="1669"/>
    <cellStyle name="20% - 강조색1 3 2 3 4 4" xfId="1670"/>
    <cellStyle name="20% - 강조색1 3 2 3 5" xfId="1671"/>
    <cellStyle name="20% - 강조색1 3 2 3 5 2" xfId="1672"/>
    <cellStyle name="20% - 강조색1 3 2 3 5 3" xfId="1673"/>
    <cellStyle name="20% - 강조색1 3 2 3 6" xfId="1674"/>
    <cellStyle name="20% - 강조색1 3 2 3 7" xfId="1675"/>
    <cellStyle name="20% - 강조색1 3 2 4" xfId="1676"/>
    <cellStyle name="20% - 강조색1 3 2 4 2" xfId="1677"/>
    <cellStyle name="20% - 강조색1 3 2 4 2 2" xfId="1678"/>
    <cellStyle name="20% - 강조색1 3 2 4 2 2 2" xfId="1679"/>
    <cellStyle name="20% - 강조색1 3 2 4 2 2 3" xfId="1680"/>
    <cellStyle name="20% - 강조색1 3 2 4 2 3" xfId="1681"/>
    <cellStyle name="20% - 강조색1 3 2 4 2 4" xfId="1682"/>
    <cellStyle name="20% - 강조색1 3 2 4 3" xfId="1683"/>
    <cellStyle name="20% - 강조색1 3 2 4 3 2" xfId="1684"/>
    <cellStyle name="20% - 강조색1 3 2 4 3 3" xfId="1685"/>
    <cellStyle name="20% - 강조색1 3 2 4 4" xfId="1686"/>
    <cellStyle name="20% - 강조색1 3 2 4 5" xfId="1687"/>
    <cellStyle name="20% - 강조색1 3 2 5" xfId="1688"/>
    <cellStyle name="20% - 강조색1 3 2 5 2" xfId="1689"/>
    <cellStyle name="20% - 강조색1 3 2 5 2 2" xfId="1690"/>
    <cellStyle name="20% - 강조색1 3 2 5 2 2 2" xfId="1691"/>
    <cellStyle name="20% - 강조색1 3 2 5 2 2 3" xfId="1692"/>
    <cellStyle name="20% - 강조색1 3 2 5 2 3" xfId="1693"/>
    <cellStyle name="20% - 강조색1 3 2 5 2 4" xfId="1694"/>
    <cellStyle name="20% - 강조색1 3 2 5 3" xfId="1695"/>
    <cellStyle name="20% - 강조색1 3 2 5 3 2" xfId="1696"/>
    <cellStyle name="20% - 강조색1 3 2 5 3 3" xfId="1697"/>
    <cellStyle name="20% - 강조색1 3 2 5 4" xfId="1698"/>
    <cellStyle name="20% - 강조색1 3 2 5 5" xfId="1699"/>
    <cellStyle name="20% - 강조색1 3 2 6" xfId="1700"/>
    <cellStyle name="20% - 강조색1 3 2 6 2" xfId="1701"/>
    <cellStyle name="20% - 강조색1 3 2 6 2 2" xfId="1702"/>
    <cellStyle name="20% - 강조색1 3 2 6 2 2 2" xfId="1703"/>
    <cellStyle name="20% - 강조색1 3 2 6 2 2 3" xfId="1704"/>
    <cellStyle name="20% - 강조색1 3 2 6 2 3" xfId="1705"/>
    <cellStyle name="20% - 강조색1 3 2 6 2 4" xfId="1706"/>
    <cellStyle name="20% - 강조색1 3 2 6 3" xfId="1707"/>
    <cellStyle name="20% - 강조색1 3 2 6 3 2" xfId="1708"/>
    <cellStyle name="20% - 강조색1 3 2 6 3 3" xfId="1709"/>
    <cellStyle name="20% - 강조색1 3 2 6 4" xfId="1710"/>
    <cellStyle name="20% - 강조색1 3 2 6 5" xfId="1711"/>
    <cellStyle name="20% - 강조색1 3 2 7" xfId="1712"/>
    <cellStyle name="20% - 강조색1 3 2 7 2" xfId="1713"/>
    <cellStyle name="20% - 강조색1 3 2 7 2 2" xfId="1714"/>
    <cellStyle name="20% - 강조색1 3 2 7 2 3" xfId="1715"/>
    <cellStyle name="20% - 강조색1 3 2 7 3" xfId="1716"/>
    <cellStyle name="20% - 강조색1 3 2 7 4" xfId="1717"/>
    <cellStyle name="20% - 강조색1 3 2 8" xfId="1718"/>
    <cellStyle name="20% - 강조색1 3 2 8 2" xfId="1719"/>
    <cellStyle name="20% - 강조색1 3 2 8 3" xfId="1720"/>
    <cellStyle name="20% - 강조색1 3 2 9" xfId="1721"/>
    <cellStyle name="20% - 강조색1 3 3" xfId="1722"/>
    <cellStyle name="20% - 강조색1 3 3 10" xfId="1723"/>
    <cellStyle name="20% - 강조색1 3 3 11" xfId="1724"/>
    <cellStyle name="20% - 강조색1 3 3 12" xfId="1725"/>
    <cellStyle name="20% - 강조색1 3 3 2" xfId="1726"/>
    <cellStyle name="20% - 강조색1 3 3 2 2" xfId="1727"/>
    <cellStyle name="20% - 강조색1 3 3 2 2 2" xfId="1728"/>
    <cellStyle name="20% - 강조색1 3 3 2 2 2 2" xfId="1729"/>
    <cellStyle name="20% - 강조색1 3 3 2 2 2 2 2" xfId="1730"/>
    <cellStyle name="20% - 강조색1 3 3 2 2 2 2 3" xfId="1731"/>
    <cellStyle name="20% - 강조색1 3 3 2 2 2 3" xfId="1732"/>
    <cellStyle name="20% - 강조색1 3 3 2 2 2 4" xfId="1733"/>
    <cellStyle name="20% - 강조색1 3 3 2 2 3" xfId="1734"/>
    <cellStyle name="20% - 강조색1 3 3 2 2 3 2" xfId="1735"/>
    <cellStyle name="20% - 강조색1 3 3 2 2 3 3" xfId="1736"/>
    <cellStyle name="20% - 강조색1 3 3 2 2 4" xfId="1737"/>
    <cellStyle name="20% - 강조색1 3 3 2 2 5" xfId="1738"/>
    <cellStyle name="20% - 강조색1 3 3 2 3" xfId="1739"/>
    <cellStyle name="20% - 강조색1 3 3 2 3 2" xfId="1740"/>
    <cellStyle name="20% - 강조색1 3 3 2 3 2 2" xfId="1741"/>
    <cellStyle name="20% - 강조색1 3 3 2 3 2 2 2" xfId="1742"/>
    <cellStyle name="20% - 강조색1 3 3 2 3 2 2 3" xfId="1743"/>
    <cellStyle name="20% - 강조색1 3 3 2 3 2 3" xfId="1744"/>
    <cellStyle name="20% - 강조색1 3 3 2 3 2 4" xfId="1745"/>
    <cellStyle name="20% - 강조색1 3 3 2 3 3" xfId="1746"/>
    <cellStyle name="20% - 강조색1 3 3 2 3 3 2" xfId="1747"/>
    <cellStyle name="20% - 강조색1 3 3 2 3 3 3" xfId="1748"/>
    <cellStyle name="20% - 강조색1 3 3 2 3 4" xfId="1749"/>
    <cellStyle name="20% - 강조색1 3 3 2 3 5" xfId="1750"/>
    <cellStyle name="20% - 강조색1 3 3 2 4" xfId="1751"/>
    <cellStyle name="20% - 강조색1 3 3 2 4 2" xfId="1752"/>
    <cellStyle name="20% - 강조색1 3 3 2 4 2 2" xfId="1753"/>
    <cellStyle name="20% - 강조색1 3 3 2 4 2 3" xfId="1754"/>
    <cellStyle name="20% - 강조색1 3 3 2 4 3" xfId="1755"/>
    <cellStyle name="20% - 강조색1 3 3 2 4 4" xfId="1756"/>
    <cellStyle name="20% - 강조색1 3 3 2 5" xfId="1757"/>
    <cellStyle name="20% - 강조색1 3 3 2 5 2" xfId="1758"/>
    <cellStyle name="20% - 강조색1 3 3 2 5 3" xfId="1759"/>
    <cellStyle name="20% - 강조색1 3 3 2 6" xfId="1760"/>
    <cellStyle name="20% - 강조색1 3 3 2 7" xfId="1761"/>
    <cellStyle name="20% - 강조색1 3 3 2 8" xfId="1762"/>
    <cellStyle name="20% - 강조색1 3 3 2 9" xfId="1763"/>
    <cellStyle name="20% - 강조색1 3 3 3" xfId="1764"/>
    <cellStyle name="20% - 강조색1 3 3 3 2" xfId="1765"/>
    <cellStyle name="20% - 강조색1 3 3 3 2 2" xfId="1766"/>
    <cellStyle name="20% - 강조색1 3 3 3 2 2 2" xfId="1767"/>
    <cellStyle name="20% - 강조색1 3 3 3 2 2 2 2" xfId="1768"/>
    <cellStyle name="20% - 강조색1 3 3 3 2 2 2 3" xfId="1769"/>
    <cellStyle name="20% - 강조색1 3 3 3 2 2 3" xfId="1770"/>
    <cellStyle name="20% - 강조색1 3 3 3 2 2 4" xfId="1771"/>
    <cellStyle name="20% - 강조색1 3 3 3 2 3" xfId="1772"/>
    <cellStyle name="20% - 강조색1 3 3 3 2 3 2" xfId="1773"/>
    <cellStyle name="20% - 강조색1 3 3 3 2 3 3" xfId="1774"/>
    <cellStyle name="20% - 강조색1 3 3 3 2 4" xfId="1775"/>
    <cellStyle name="20% - 강조색1 3 3 3 2 5" xfId="1776"/>
    <cellStyle name="20% - 강조색1 3 3 3 3" xfId="1777"/>
    <cellStyle name="20% - 강조색1 3 3 3 3 2" xfId="1778"/>
    <cellStyle name="20% - 강조색1 3 3 3 3 2 2" xfId="1779"/>
    <cellStyle name="20% - 강조색1 3 3 3 3 2 2 2" xfId="1780"/>
    <cellStyle name="20% - 강조색1 3 3 3 3 2 2 3" xfId="1781"/>
    <cellStyle name="20% - 강조색1 3 3 3 3 2 3" xfId="1782"/>
    <cellStyle name="20% - 강조색1 3 3 3 3 2 4" xfId="1783"/>
    <cellStyle name="20% - 강조색1 3 3 3 3 3" xfId="1784"/>
    <cellStyle name="20% - 강조색1 3 3 3 3 3 2" xfId="1785"/>
    <cellStyle name="20% - 강조색1 3 3 3 3 3 3" xfId="1786"/>
    <cellStyle name="20% - 강조색1 3 3 3 3 4" xfId="1787"/>
    <cellStyle name="20% - 강조색1 3 3 3 3 5" xfId="1788"/>
    <cellStyle name="20% - 강조색1 3 3 3 4" xfId="1789"/>
    <cellStyle name="20% - 강조색1 3 3 3 4 2" xfId="1790"/>
    <cellStyle name="20% - 강조색1 3 3 3 4 2 2" xfId="1791"/>
    <cellStyle name="20% - 강조색1 3 3 3 4 2 3" xfId="1792"/>
    <cellStyle name="20% - 강조색1 3 3 3 4 3" xfId="1793"/>
    <cellStyle name="20% - 강조색1 3 3 3 4 4" xfId="1794"/>
    <cellStyle name="20% - 강조색1 3 3 3 5" xfId="1795"/>
    <cellStyle name="20% - 강조색1 3 3 3 5 2" xfId="1796"/>
    <cellStyle name="20% - 강조색1 3 3 3 5 3" xfId="1797"/>
    <cellStyle name="20% - 강조색1 3 3 3 6" xfId="1798"/>
    <cellStyle name="20% - 강조색1 3 3 3 7" xfId="1799"/>
    <cellStyle name="20% - 강조색1 3 3 4" xfId="1800"/>
    <cellStyle name="20% - 강조색1 3 3 4 2" xfId="1801"/>
    <cellStyle name="20% - 강조색1 3 3 4 2 2" xfId="1802"/>
    <cellStyle name="20% - 강조색1 3 3 4 2 2 2" xfId="1803"/>
    <cellStyle name="20% - 강조색1 3 3 4 2 2 3" xfId="1804"/>
    <cellStyle name="20% - 강조색1 3 3 4 2 3" xfId="1805"/>
    <cellStyle name="20% - 강조색1 3 3 4 2 4" xfId="1806"/>
    <cellStyle name="20% - 강조색1 3 3 4 3" xfId="1807"/>
    <cellStyle name="20% - 강조색1 3 3 4 3 2" xfId="1808"/>
    <cellStyle name="20% - 강조색1 3 3 4 3 3" xfId="1809"/>
    <cellStyle name="20% - 강조색1 3 3 4 4" xfId="1810"/>
    <cellStyle name="20% - 강조색1 3 3 4 5" xfId="1811"/>
    <cellStyle name="20% - 강조색1 3 3 5" xfId="1812"/>
    <cellStyle name="20% - 강조색1 3 3 5 2" xfId="1813"/>
    <cellStyle name="20% - 강조색1 3 3 5 2 2" xfId="1814"/>
    <cellStyle name="20% - 강조색1 3 3 5 2 2 2" xfId="1815"/>
    <cellStyle name="20% - 강조색1 3 3 5 2 2 3" xfId="1816"/>
    <cellStyle name="20% - 강조색1 3 3 5 2 3" xfId="1817"/>
    <cellStyle name="20% - 강조색1 3 3 5 2 4" xfId="1818"/>
    <cellStyle name="20% - 강조색1 3 3 5 3" xfId="1819"/>
    <cellStyle name="20% - 강조색1 3 3 5 3 2" xfId="1820"/>
    <cellStyle name="20% - 강조색1 3 3 5 3 3" xfId="1821"/>
    <cellStyle name="20% - 강조색1 3 3 5 4" xfId="1822"/>
    <cellStyle name="20% - 강조색1 3 3 5 5" xfId="1823"/>
    <cellStyle name="20% - 강조색1 3 3 6" xfId="1824"/>
    <cellStyle name="20% - 강조색1 3 3 6 2" xfId="1825"/>
    <cellStyle name="20% - 강조색1 3 3 6 2 2" xfId="1826"/>
    <cellStyle name="20% - 강조색1 3 3 6 2 2 2" xfId="1827"/>
    <cellStyle name="20% - 강조색1 3 3 6 2 2 3" xfId="1828"/>
    <cellStyle name="20% - 강조색1 3 3 6 2 3" xfId="1829"/>
    <cellStyle name="20% - 강조색1 3 3 6 2 4" xfId="1830"/>
    <cellStyle name="20% - 강조색1 3 3 6 3" xfId="1831"/>
    <cellStyle name="20% - 강조색1 3 3 6 3 2" xfId="1832"/>
    <cellStyle name="20% - 강조색1 3 3 6 3 3" xfId="1833"/>
    <cellStyle name="20% - 강조색1 3 3 6 4" xfId="1834"/>
    <cellStyle name="20% - 강조색1 3 3 6 5" xfId="1835"/>
    <cellStyle name="20% - 강조색1 3 3 7" xfId="1836"/>
    <cellStyle name="20% - 강조색1 3 3 7 2" xfId="1837"/>
    <cellStyle name="20% - 강조색1 3 3 7 2 2" xfId="1838"/>
    <cellStyle name="20% - 강조색1 3 3 7 2 3" xfId="1839"/>
    <cellStyle name="20% - 강조색1 3 3 7 3" xfId="1840"/>
    <cellStyle name="20% - 강조색1 3 3 7 4" xfId="1841"/>
    <cellStyle name="20% - 강조색1 3 3 8" xfId="1842"/>
    <cellStyle name="20% - 강조색1 3 3 8 2" xfId="1843"/>
    <cellStyle name="20% - 강조색1 3 3 8 3" xfId="1844"/>
    <cellStyle name="20% - 강조색1 3 3 9" xfId="1845"/>
    <cellStyle name="20% - 강조색1 3 4" xfId="1846"/>
    <cellStyle name="20% - 강조색1 3 4 10" xfId="1847"/>
    <cellStyle name="20% - 강조색1 3 4 11" xfId="1848"/>
    <cellStyle name="20% - 강조색1 3 4 12" xfId="1849"/>
    <cellStyle name="20% - 강조색1 3 4 2" xfId="1850"/>
    <cellStyle name="20% - 강조색1 3 4 2 2" xfId="1851"/>
    <cellStyle name="20% - 강조색1 3 4 2 2 2" xfId="1852"/>
    <cellStyle name="20% - 강조색1 3 4 2 2 2 2" xfId="1853"/>
    <cellStyle name="20% - 강조색1 3 4 2 2 2 2 2" xfId="1854"/>
    <cellStyle name="20% - 강조색1 3 4 2 2 2 2 3" xfId="1855"/>
    <cellStyle name="20% - 강조색1 3 4 2 2 2 3" xfId="1856"/>
    <cellStyle name="20% - 강조색1 3 4 2 2 2 4" xfId="1857"/>
    <cellStyle name="20% - 강조색1 3 4 2 2 3" xfId="1858"/>
    <cellStyle name="20% - 강조색1 3 4 2 2 3 2" xfId="1859"/>
    <cellStyle name="20% - 강조색1 3 4 2 2 3 3" xfId="1860"/>
    <cellStyle name="20% - 강조색1 3 4 2 2 4" xfId="1861"/>
    <cellStyle name="20% - 강조색1 3 4 2 2 5" xfId="1862"/>
    <cellStyle name="20% - 강조색1 3 4 2 3" xfId="1863"/>
    <cellStyle name="20% - 강조색1 3 4 2 3 2" xfId="1864"/>
    <cellStyle name="20% - 강조색1 3 4 2 3 2 2" xfId="1865"/>
    <cellStyle name="20% - 강조색1 3 4 2 3 2 2 2" xfId="1866"/>
    <cellStyle name="20% - 강조색1 3 4 2 3 2 2 3" xfId="1867"/>
    <cellStyle name="20% - 강조색1 3 4 2 3 2 3" xfId="1868"/>
    <cellStyle name="20% - 강조색1 3 4 2 3 2 4" xfId="1869"/>
    <cellStyle name="20% - 강조색1 3 4 2 3 3" xfId="1870"/>
    <cellStyle name="20% - 강조색1 3 4 2 3 3 2" xfId="1871"/>
    <cellStyle name="20% - 강조색1 3 4 2 3 3 3" xfId="1872"/>
    <cellStyle name="20% - 강조색1 3 4 2 3 4" xfId="1873"/>
    <cellStyle name="20% - 강조색1 3 4 2 3 5" xfId="1874"/>
    <cellStyle name="20% - 강조색1 3 4 2 4" xfId="1875"/>
    <cellStyle name="20% - 강조색1 3 4 2 4 2" xfId="1876"/>
    <cellStyle name="20% - 강조색1 3 4 2 4 2 2" xfId="1877"/>
    <cellStyle name="20% - 강조색1 3 4 2 4 2 3" xfId="1878"/>
    <cellStyle name="20% - 강조색1 3 4 2 4 3" xfId="1879"/>
    <cellStyle name="20% - 강조색1 3 4 2 4 4" xfId="1880"/>
    <cellStyle name="20% - 강조색1 3 4 2 5" xfId="1881"/>
    <cellStyle name="20% - 강조색1 3 4 2 5 2" xfId="1882"/>
    <cellStyle name="20% - 강조색1 3 4 2 5 3" xfId="1883"/>
    <cellStyle name="20% - 강조색1 3 4 2 6" xfId="1884"/>
    <cellStyle name="20% - 강조색1 3 4 2 7" xfId="1885"/>
    <cellStyle name="20% - 강조색1 3 4 3" xfId="1886"/>
    <cellStyle name="20% - 강조색1 3 4 3 2" xfId="1887"/>
    <cellStyle name="20% - 강조색1 3 4 3 2 2" xfId="1888"/>
    <cellStyle name="20% - 강조색1 3 4 3 2 2 2" xfId="1889"/>
    <cellStyle name="20% - 강조색1 3 4 3 2 2 2 2" xfId="1890"/>
    <cellStyle name="20% - 강조색1 3 4 3 2 2 2 3" xfId="1891"/>
    <cellStyle name="20% - 강조색1 3 4 3 2 2 3" xfId="1892"/>
    <cellStyle name="20% - 강조색1 3 4 3 2 2 4" xfId="1893"/>
    <cellStyle name="20% - 강조색1 3 4 3 2 3" xfId="1894"/>
    <cellStyle name="20% - 강조색1 3 4 3 2 3 2" xfId="1895"/>
    <cellStyle name="20% - 강조색1 3 4 3 2 3 3" xfId="1896"/>
    <cellStyle name="20% - 강조색1 3 4 3 2 4" xfId="1897"/>
    <cellStyle name="20% - 강조색1 3 4 3 2 5" xfId="1898"/>
    <cellStyle name="20% - 강조색1 3 4 3 3" xfId="1899"/>
    <cellStyle name="20% - 강조색1 3 4 3 3 2" xfId="1900"/>
    <cellStyle name="20% - 강조색1 3 4 3 3 2 2" xfId="1901"/>
    <cellStyle name="20% - 강조색1 3 4 3 3 2 2 2" xfId="1902"/>
    <cellStyle name="20% - 강조색1 3 4 3 3 2 2 3" xfId="1903"/>
    <cellStyle name="20% - 강조색1 3 4 3 3 2 3" xfId="1904"/>
    <cellStyle name="20% - 강조색1 3 4 3 3 2 4" xfId="1905"/>
    <cellStyle name="20% - 강조색1 3 4 3 3 3" xfId="1906"/>
    <cellStyle name="20% - 강조색1 3 4 3 3 3 2" xfId="1907"/>
    <cellStyle name="20% - 강조색1 3 4 3 3 3 3" xfId="1908"/>
    <cellStyle name="20% - 강조색1 3 4 3 3 4" xfId="1909"/>
    <cellStyle name="20% - 강조색1 3 4 3 3 5" xfId="1910"/>
    <cellStyle name="20% - 강조색1 3 4 3 4" xfId="1911"/>
    <cellStyle name="20% - 강조색1 3 4 3 4 2" xfId="1912"/>
    <cellStyle name="20% - 강조색1 3 4 3 4 2 2" xfId="1913"/>
    <cellStyle name="20% - 강조색1 3 4 3 4 2 3" xfId="1914"/>
    <cellStyle name="20% - 강조색1 3 4 3 4 3" xfId="1915"/>
    <cellStyle name="20% - 강조색1 3 4 3 4 4" xfId="1916"/>
    <cellStyle name="20% - 강조색1 3 4 3 5" xfId="1917"/>
    <cellStyle name="20% - 강조색1 3 4 3 5 2" xfId="1918"/>
    <cellStyle name="20% - 강조색1 3 4 3 5 3" xfId="1919"/>
    <cellStyle name="20% - 강조색1 3 4 3 6" xfId="1920"/>
    <cellStyle name="20% - 강조색1 3 4 3 7" xfId="1921"/>
    <cellStyle name="20% - 강조색1 3 4 4" xfId="1922"/>
    <cellStyle name="20% - 강조색1 3 4 4 2" xfId="1923"/>
    <cellStyle name="20% - 강조색1 3 4 4 2 2" xfId="1924"/>
    <cellStyle name="20% - 강조색1 3 4 4 2 2 2" xfId="1925"/>
    <cellStyle name="20% - 강조색1 3 4 4 2 2 3" xfId="1926"/>
    <cellStyle name="20% - 강조색1 3 4 4 2 3" xfId="1927"/>
    <cellStyle name="20% - 강조색1 3 4 4 2 4" xfId="1928"/>
    <cellStyle name="20% - 강조색1 3 4 4 3" xfId="1929"/>
    <cellStyle name="20% - 강조색1 3 4 4 3 2" xfId="1930"/>
    <cellStyle name="20% - 강조색1 3 4 4 3 3" xfId="1931"/>
    <cellStyle name="20% - 강조색1 3 4 4 4" xfId="1932"/>
    <cellStyle name="20% - 강조색1 3 4 4 5" xfId="1933"/>
    <cellStyle name="20% - 강조색1 3 4 5" xfId="1934"/>
    <cellStyle name="20% - 강조색1 3 4 5 2" xfId="1935"/>
    <cellStyle name="20% - 강조색1 3 4 5 2 2" xfId="1936"/>
    <cellStyle name="20% - 강조색1 3 4 5 2 2 2" xfId="1937"/>
    <cellStyle name="20% - 강조색1 3 4 5 2 2 3" xfId="1938"/>
    <cellStyle name="20% - 강조색1 3 4 5 2 3" xfId="1939"/>
    <cellStyle name="20% - 강조색1 3 4 5 2 4" xfId="1940"/>
    <cellStyle name="20% - 강조색1 3 4 5 3" xfId="1941"/>
    <cellStyle name="20% - 강조색1 3 4 5 3 2" xfId="1942"/>
    <cellStyle name="20% - 강조색1 3 4 5 3 3" xfId="1943"/>
    <cellStyle name="20% - 강조색1 3 4 5 4" xfId="1944"/>
    <cellStyle name="20% - 강조색1 3 4 5 5" xfId="1945"/>
    <cellStyle name="20% - 강조색1 3 4 6" xfId="1946"/>
    <cellStyle name="20% - 강조색1 3 4 6 2" xfId="1947"/>
    <cellStyle name="20% - 강조색1 3 4 6 2 2" xfId="1948"/>
    <cellStyle name="20% - 강조색1 3 4 6 2 2 2" xfId="1949"/>
    <cellStyle name="20% - 강조색1 3 4 6 2 2 3" xfId="1950"/>
    <cellStyle name="20% - 강조색1 3 4 6 2 3" xfId="1951"/>
    <cellStyle name="20% - 강조색1 3 4 6 2 4" xfId="1952"/>
    <cellStyle name="20% - 강조색1 3 4 6 3" xfId="1953"/>
    <cellStyle name="20% - 강조색1 3 4 6 3 2" xfId="1954"/>
    <cellStyle name="20% - 강조색1 3 4 6 3 3" xfId="1955"/>
    <cellStyle name="20% - 강조색1 3 4 6 4" xfId="1956"/>
    <cellStyle name="20% - 강조색1 3 4 6 5" xfId="1957"/>
    <cellStyle name="20% - 강조색1 3 4 7" xfId="1958"/>
    <cellStyle name="20% - 강조색1 3 4 7 2" xfId="1959"/>
    <cellStyle name="20% - 강조색1 3 4 7 2 2" xfId="1960"/>
    <cellStyle name="20% - 강조색1 3 4 7 2 3" xfId="1961"/>
    <cellStyle name="20% - 강조색1 3 4 7 3" xfId="1962"/>
    <cellStyle name="20% - 강조색1 3 4 7 4" xfId="1963"/>
    <cellStyle name="20% - 강조색1 3 4 8" xfId="1964"/>
    <cellStyle name="20% - 강조색1 3 4 8 2" xfId="1965"/>
    <cellStyle name="20% - 강조색1 3 4 8 3" xfId="1966"/>
    <cellStyle name="20% - 강조색1 3 4 9" xfId="1967"/>
    <cellStyle name="20% - 강조색1 3 5" xfId="1968"/>
    <cellStyle name="20% - 강조색1 3 5 2" xfId="1969"/>
    <cellStyle name="20% - 강조색1 3 5 2 2" xfId="1970"/>
    <cellStyle name="20% - 강조색1 3 5 2 2 2" xfId="1971"/>
    <cellStyle name="20% - 강조색1 3 5 2 2 2 2" xfId="1972"/>
    <cellStyle name="20% - 강조색1 3 5 2 2 2 3" xfId="1973"/>
    <cellStyle name="20% - 강조색1 3 5 2 2 3" xfId="1974"/>
    <cellStyle name="20% - 강조색1 3 5 2 2 4" xfId="1975"/>
    <cellStyle name="20% - 강조색1 3 5 2 3" xfId="1976"/>
    <cellStyle name="20% - 강조색1 3 5 2 3 2" xfId="1977"/>
    <cellStyle name="20% - 강조색1 3 5 2 3 3" xfId="1978"/>
    <cellStyle name="20% - 강조색1 3 5 2 4" xfId="1979"/>
    <cellStyle name="20% - 강조색1 3 5 2 5" xfId="1980"/>
    <cellStyle name="20% - 강조색1 3 5 3" xfId="1981"/>
    <cellStyle name="20% - 강조색1 3 5 3 2" xfId="1982"/>
    <cellStyle name="20% - 강조색1 3 5 3 2 2" xfId="1983"/>
    <cellStyle name="20% - 강조색1 3 5 3 2 2 2" xfId="1984"/>
    <cellStyle name="20% - 강조색1 3 5 3 2 2 3" xfId="1985"/>
    <cellStyle name="20% - 강조색1 3 5 3 2 3" xfId="1986"/>
    <cellStyle name="20% - 강조색1 3 5 3 2 4" xfId="1987"/>
    <cellStyle name="20% - 강조색1 3 5 3 3" xfId="1988"/>
    <cellStyle name="20% - 강조색1 3 5 3 3 2" xfId="1989"/>
    <cellStyle name="20% - 강조색1 3 5 3 3 3" xfId="1990"/>
    <cellStyle name="20% - 강조색1 3 5 3 4" xfId="1991"/>
    <cellStyle name="20% - 강조색1 3 5 3 5" xfId="1992"/>
    <cellStyle name="20% - 강조색1 3 5 4" xfId="1993"/>
    <cellStyle name="20% - 강조색1 3 5 4 2" xfId="1994"/>
    <cellStyle name="20% - 강조색1 3 5 4 2 2" xfId="1995"/>
    <cellStyle name="20% - 강조색1 3 5 4 2 3" xfId="1996"/>
    <cellStyle name="20% - 강조색1 3 5 4 3" xfId="1997"/>
    <cellStyle name="20% - 강조색1 3 5 4 4" xfId="1998"/>
    <cellStyle name="20% - 강조색1 3 5 5" xfId="1999"/>
    <cellStyle name="20% - 강조색1 3 5 5 2" xfId="2000"/>
    <cellStyle name="20% - 강조색1 3 5 5 3" xfId="2001"/>
    <cellStyle name="20% - 강조색1 3 5 6" xfId="2002"/>
    <cellStyle name="20% - 강조색1 3 5 7" xfId="2003"/>
    <cellStyle name="20% - 강조색1 3 5 8" xfId="2004"/>
    <cellStyle name="20% - 강조색1 3 6" xfId="2005"/>
    <cellStyle name="20% - 강조색1 3 6 2" xfId="2006"/>
    <cellStyle name="20% - 강조색1 3 6 2 2" xfId="2007"/>
    <cellStyle name="20% - 강조색1 3 6 2 2 2" xfId="2008"/>
    <cellStyle name="20% - 강조색1 3 6 2 2 2 2" xfId="2009"/>
    <cellStyle name="20% - 강조색1 3 6 2 2 2 3" xfId="2010"/>
    <cellStyle name="20% - 강조색1 3 6 2 2 3" xfId="2011"/>
    <cellStyle name="20% - 강조색1 3 6 2 2 4" xfId="2012"/>
    <cellStyle name="20% - 강조색1 3 6 2 3" xfId="2013"/>
    <cellStyle name="20% - 강조색1 3 6 2 3 2" xfId="2014"/>
    <cellStyle name="20% - 강조색1 3 6 2 3 3" xfId="2015"/>
    <cellStyle name="20% - 강조색1 3 6 2 4" xfId="2016"/>
    <cellStyle name="20% - 강조색1 3 6 2 5" xfId="2017"/>
    <cellStyle name="20% - 강조색1 3 6 3" xfId="2018"/>
    <cellStyle name="20% - 강조색1 3 6 3 2" xfId="2019"/>
    <cellStyle name="20% - 강조색1 3 6 3 2 2" xfId="2020"/>
    <cellStyle name="20% - 강조색1 3 6 3 2 2 2" xfId="2021"/>
    <cellStyle name="20% - 강조색1 3 6 3 2 2 3" xfId="2022"/>
    <cellStyle name="20% - 강조색1 3 6 3 2 3" xfId="2023"/>
    <cellStyle name="20% - 강조색1 3 6 3 2 4" xfId="2024"/>
    <cellStyle name="20% - 강조색1 3 6 3 3" xfId="2025"/>
    <cellStyle name="20% - 강조색1 3 6 3 3 2" xfId="2026"/>
    <cellStyle name="20% - 강조색1 3 6 3 3 3" xfId="2027"/>
    <cellStyle name="20% - 강조색1 3 6 3 4" xfId="2028"/>
    <cellStyle name="20% - 강조색1 3 6 3 5" xfId="2029"/>
    <cellStyle name="20% - 강조색1 3 6 4" xfId="2030"/>
    <cellStyle name="20% - 강조색1 3 6 4 2" xfId="2031"/>
    <cellStyle name="20% - 강조색1 3 6 4 2 2" xfId="2032"/>
    <cellStyle name="20% - 강조색1 3 6 4 2 3" xfId="2033"/>
    <cellStyle name="20% - 강조색1 3 6 4 3" xfId="2034"/>
    <cellStyle name="20% - 강조색1 3 6 4 4" xfId="2035"/>
    <cellStyle name="20% - 강조색1 3 6 5" xfId="2036"/>
    <cellStyle name="20% - 강조색1 3 6 5 2" xfId="2037"/>
    <cellStyle name="20% - 강조색1 3 6 5 3" xfId="2038"/>
    <cellStyle name="20% - 강조색1 3 6 6" xfId="2039"/>
    <cellStyle name="20% - 강조색1 3 6 7" xfId="2040"/>
    <cellStyle name="20% - 강조색1 3 7" xfId="2041"/>
    <cellStyle name="20% - 강조색1 3 7 2" xfId="2042"/>
    <cellStyle name="20% - 강조색1 3 7 2 2" xfId="2043"/>
    <cellStyle name="20% - 강조색1 3 7 2 2 2" xfId="2044"/>
    <cellStyle name="20% - 강조색1 3 7 2 2 3" xfId="2045"/>
    <cellStyle name="20% - 강조색1 3 7 2 3" xfId="2046"/>
    <cellStyle name="20% - 강조색1 3 7 2 4" xfId="2047"/>
    <cellStyle name="20% - 강조색1 3 7 3" xfId="2048"/>
    <cellStyle name="20% - 강조색1 3 7 3 2" xfId="2049"/>
    <cellStyle name="20% - 강조색1 3 7 3 3" xfId="2050"/>
    <cellStyle name="20% - 강조색1 3 7 4" xfId="2051"/>
    <cellStyle name="20% - 강조색1 3 7 5" xfId="2052"/>
    <cellStyle name="20% - 강조색1 3 8" xfId="2053"/>
    <cellStyle name="20% - 강조색1 3 8 2" xfId="2054"/>
    <cellStyle name="20% - 강조색1 3 8 2 2" xfId="2055"/>
    <cellStyle name="20% - 강조색1 3 8 2 2 2" xfId="2056"/>
    <cellStyle name="20% - 강조색1 3 8 2 2 3" xfId="2057"/>
    <cellStyle name="20% - 강조색1 3 8 2 3" xfId="2058"/>
    <cellStyle name="20% - 강조색1 3 8 2 4" xfId="2059"/>
    <cellStyle name="20% - 강조색1 3 8 3" xfId="2060"/>
    <cellStyle name="20% - 강조색1 3 8 3 2" xfId="2061"/>
    <cellStyle name="20% - 강조색1 3 8 3 3" xfId="2062"/>
    <cellStyle name="20% - 강조색1 3 8 4" xfId="2063"/>
    <cellStyle name="20% - 강조색1 3 8 5" xfId="2064"/>
    <cellStyle name="20% - 강조색1 3 9" xfId="2065"/>
    <cellStyle name="20% - 강조색1 3 9 2" xfId="2066"/>
    <cellStyle name="20% - 강조색1 3 9 2 2" xfId="2067"/>
    <cellStyle name="20% - 강조색1 3 9 2 2 2" xfId="2068"/>
    <cellStyle name="20% - 강조색1 3 9 2 2 3" xfId="2069"/>
    <cellStyle name="20% - 강조색1 3 9 2 3" xfId="2070"/>
    <cellStyle name="20% - 강조색1 3 9 2 4" xfId="2071"/>
    <cellStyle name="20% - 강조색1 3 9 3" xfId="2072"/>
    <cellStyle name="20% - 강조색1 3 9 3 2" xfId="2073"/>
    <cellStyle name="20% - 강조색1 3 9 3 3" xfId="2074"/>
    <cellStyle name="20% - 강조색1 3 9 4" xfId="2075"/>
    <cellStyle name="20% - 강조색1 3 9 5" xfId="2076"/>
    <cellStyle name="20% - 강조색1 30" xfId="2077"/>
    <cellStyle name="20% - 강조색1 30 2" xfId="2078"/>
    <cellStyle name="20% - 강조색1 31" xfId="2079"/>
    <cellStyle name="20% - 강조색1 31 2" xfId="2080"/>
    <cellStyle name="20% - 강조색1 32" xfId="2081"/>
    <cellStyle name="20% - 강조색1 32 2" xfId="2082"/>
    <cellStyle name="20% - 강조색1 33" xfId="2083"/>
    <cellStyle name="20% - 강조색1 33 2" xfId="2084"/>
    <cellStyle name="20% - 강조색1 34" xfId="2085"/>
    <cellStyle name="20% - 강조색1 34 2" xfId="2086"/>
    <cellStyle name="20% - 강조색1 35" xfId="2087"/>
    <cellStyle name="20% - 강조색1 36" xfId="2088"/>
    <cellStyle name="20% - 강조색1 37" xfId="2089"/>
    <cellStyle name="20% - 강조색1 38" xfId="2090"/>
    <cellStyle name="20% - 강조색1 39" xfId="2091"/>
    <cellStyle name="20% - 강조색1 4" xfId="2092"/>
    <cellStyle name="20% - 강조색1 4 10" xfId="2093"/>
    <cellStyle name="20% - 강조색1 4 10 2" xfId="2094"/>
    <cellStyle name="20% - 강조색1 4 10 2 2" xfId="2095"/>
    <cellStyle name="20% - 강조색1 4 10 2 3" xfId="2096"/>
    <cellStyle name="20% - 강조색1 4 10 3" xfId="2097"/>
    <cellStyle name="20% - 강조색1 4 10 4" xfId="2098"/>
    <cellStyle name="20% - 강조색1 4 11" xfId="2099"/>
    <cellStyle name="20% - 강조색1 4 11 2" xfId="2100"/>
    <cellStyle name="20% - 강조색1 4 11 3" xfId="2101"/>
    <cellStyle name="20% - 강조색1 4 12" xfId="2102"/>
    <cellStyle name="20% - 강조색1 4 13" xfId="2103"/>
    <cellStyle name="20% - 강조색1 4 14" xfId="2104"/>
    <cellStyle name="20% - 강조색1 4 2" xfId="2105"/>
    <cellStyle name="20% - 강조색1 4 2 10" xfId="2106"/>
    <cellStyle name="20% - 강조색1 4 2 2" xfId="2107"/>
    <cellStyle name="20% - 강조색1 4 2 2 2" xfId="2108"/>
    <cellStyle name="20% - 강조색1 4 2 2 2 2" xfId="2109"/>
    <cellStyle name="20% - 강조색1 4 2 2 2 2 2" xfId="2110"/>
    <cellStyle name="20% - 강조색1 4 2 2 2 2 2 2" xfId="2111"/>
    <cellStyle name="20% - 강조색1 4 2 2 2 2 2 3" xfId="2112"/>
    <cellStyle name="20% - 강조색1 4 2 2 2 2 3" xfId="2113"/>
    <cellStyle name="20% - 강조색1 4 2 2 2 2 4" xfId="2114"/>
    <cellStyle name="20% - 강조색1 4 2 2 2 3" xfId="2115"/>
    <cellStyle name="20% - 강조색1 4 2 2 2 3 2" xfId="2116"/>
    <cellStyle name="20% - 강조색1 4 2 2 2 3 3" xfId="2117"/>
    <cellStyle name="20% - 강조색1 4 2 2 2 4" xfId="2118"/>
    <cellStyle name="20% - 강조색1 4 2 2 2 5" xfId="2119"/>
    <cellStyle name="20% - 강조색1 4 2 2 3" xfId="2120"/>
    <cellStyle name="20% - 강조색1 4 2 2 3 2" xfId="2121"/>
    <cellStyle name="20% - 강조색1 4 2 2 3 2 2" xfId="2122"/>
    <cellStyle name="20% - 강조색1 4 2 2 3 2 2 2" xfId="2123"/>
    <cellStyle name="20% - 강조색1 4 2 2 3 2 2 3" xfId="2124"/>
    <cellStyle name="20% - 강조색1 4 2 2 3 2 3" xfId="2125"/>
    <cellStyle name="20% - 강조색1 4 2 2 3 2 4" xfId="2126"/>
    <cellStyle name="20% - 강조색1 4 2 2 3 3" xfId="2127"/>
    <cellStyle name="20% - 강조색1 4 2 2 3 3 2" xfId="2128"/>
    <cellStyle name="20% - 강조색1 4 2 2 3 3 3" xfId="2129"/>
    <cellStyle name="20% - 강조색1 4 2 2 3 4" xfId="2130"/>
    <cellStyle name="20% - 강조색1 4 2 2 3 5" xfId="2131"/>
    <cellStyle name="20% - 강조색1 4 2 2 4" xfId="2132"/>
    <cellStyle name="20% - 강조색1 4 2 2 4 2" xfId="2133"/>
    <cellStyle name="20% - 강조색1 4 2 2 4 2 2" xfId="2134"/>
    <cellStyle name="20% - 강조색1 4 2 2 4 2 3" xfId="2135"/>
    <cellStyle name="20% - 강조색1 4 2 2 4 3" xfId="2136"/>
    <cellStyle name="20% - 강조색1 4 2 2 4 4" xfId="2137"/>
    <cellStyle name="20% - 강조색1 4 2 2 5" xfId="2138"/>
    <cellStyle name="20% - 강조색1 4 2 2 5 2" xfId="2139"/>
    <cellStyle name="20% - 강조색1 4 2 2 5 3" xfId="2140"/>
    <cellStyle name="20% - 강조색1 4 2 2 6" xfId="2141"/>
    <cellStyle name="20% - 강조색1 4 2 2 7" xfId="2142"/>
    <cellStyle name="20% - 강조색1 4 2 3" xfId="2143"/>
    <cellStyle name="20% - 강조색1 4 2 3 2" xfId="2144"/>
    <cellStyle name="20% - 강조색1 4 2 3 2 2" xfId="2145"/>
    <cellStyle name="20% - 강조색1 4 2 3 2 2 2" xfId="2146"/>
    <cellStyle name="20% - 강조색1 4 2 3 2 2 2 2" xfId="2147"/>
    <cellStyle name="20% - 강조색1 4 2 3 2 2 2 3" xfId="2148"/>
    <cellStyle name="20% - 강조색1 4 2 3 2 2 3" xfId="2149"/>
    <cellStyle name="20% - 강조색1 4 2 3 2 2 4" xfId="2150"/>
    <cellStyle name="20% - 강조색1 4 2 3 2 3" xfId="2151"/>
    <cellStyle name="20% - 강조색1 4 2 3 2 3 2" xfId="2152"/>
    <cellStyle name="20% - 강조색1 4 2 3 2 3 3" xfId="2153"/>
    <cellStyle name="20% - 강조색1 4 2 3 2 4" xfId="2154"/>
    <cellStyle name="20% - 강조색1 4 2 3 2 5" xfId="2155"/>
    <cellStyle name="20% - 강조색1 4 2 3 3" xfId="2156"/>
    <cellStyle name="20% - 강조색1 4 2 3 3 2" xfId="2157"/>
    <cellStyle name="20% - 강조색1 4 2 3 3 2 2" xfId="2158"/>
    <cellStyle name="20% - 강조색1 4 2 3 3 2 2 2" xfId="2159"/>
    <cellStyle name="20% - 강조색1 4 2 3 3 2 2 3" xfId="2160"/>
    <cellStyle name="20% - 강조색1 4 2 3 3 2 3" xfId="2161"/>
    <cellStyle name="20% - 강조색1 4 2 3 3 2 4" xfId="2162"/>
    <cellStyle name="20% - 강조색1 4 2 3 3 3" xfId="2163"/>
    <cellStyle name="20% - 강조색1 4 2 3 3 3 2" xfId="2164"/>
    <cellStyle name="20% - 강조색1 4 2 3 3 3 3" xfId="2165"/>
    <cellStyle name="20% - 강조색1 4 2 3 3 4" xfId="2166"/>
    <cellStyle name="20% - 강조색1 4 2 3 3 5" xfId="2167"/>
    <cellStyle name="20% - 강조색1 4 2 3 4" xfId="2168"/>
    <cellStyle name="20% - 강조색1 4 2 3 4 2" xfId="2169"/>
    <cellStyle name="20% - 강조색1 4 2 3 4 2 2" xfId="2170"/>
    <cellStyle name="20% - 강조색1 4 2 3 4 2 3" xfId="2171"/>
    <cellStyle name="20% - 강조색1 4 2 3 4 3" xfId="2172"/>
    <cellStyle name="20% - 강조색1 4 2 3 4 4" xfId="2173"/>
    <cellStyle name="20% - 강조색1 4 2 3 5" xfId="2174"/>
    <cellStyle name="20% - 강조색1 4 2 3 5 2" xfId="2175"/>
    <cellStyle name="20% - 강조색1 4 2 3 5 3" xfId="2176"/>
    <cellStyle name="20% - 강조색1 4 2 3 6" xfId="2177"/>
    <cellStyle name="20% - 강조색1 4 2 3 7" xfId="2178"/>
    <cellStyle name="20% - 강조색1 4 2 4" xfId="2179"/>
    <cellStyle name="20% - 강조색1 4 2 4 2" xfId="2180"/>
    <cellStyle name="20% - 강조색1 4 2 4 2 2" xfId="2181"/>
    <cellStyle name="20% - 강조색1 4 2 4 2 2 2" xfId="2182"/>
    <cellStyle name="20% - 강조색1 4 2 4 2 2 3" xfId="2183"/>
    <cellStyle name="20% - 강조색1 4 2 4 2 3" xfId="2184"/>
    <cellStyle name="20% - 강조색1 4 2 4 2 4" xfId="2185"/>
    <cellStyle name="20% - 강조색1 4 2 4 3" xfId="2186"/>
    <cellStyle name="20% - 강조색1 4 2 4 3 2" xfId="2187"/>
    <cellStyle name="20% - 강조색1 4 2 4 3 3" xfId="2188"/>
    <cellStyle name="20% - 강조색1 4 2 4 4" xfId="2189"/>
    <cellStyle name="20% - 강조색1 4 2 4 5" xfId="2190"/>
    <cellStyle name="20% - 강조색1 4 2 5" xfId="2191"/>
    <cellStyle name="20% - 강조색1 4 2 5 2" xfId="2192"/>
    <cellStyle name="20% - 강조색1 4 2 5 2 2" xfId="2193"/>
    <cellStyle name="20% - 강조색1 4 2 5 2 2 2" xfId="2194"/>
    <cellStyle name="20% - 강조색1 4 2 5 2 2 3" xfId="2195"/>
    <cellStyle name="20% - 강조색1 4 2 5 2 3" xfId="2196"/>
    <cellStyle name="20% - 강조색1 4 2 5 2 4" xfId="2197"/>
    <cellStyle name="20% - 강조색1 4 2 5 3" xfId="2198"/>
    <cellStyle name="20% - 강조색1 4 2 5 3 2" xfId="2199"/>
    <cellStyle name="20% - 강조색1 4 2 5 3 3" xfId="2200"/>
    <cellStyle name="20% - 강조색1 4 2 5 4" xfId="2201"/>
    <cellStyle name="20% - 강조색1 4 2 5 5" xfId="2202"/>
    <cellStyle name="20% - 강조색1 4 2 6" xfId="2203"/>
    <cellStyle name="20% - 강조색1 4 2 6 2" xfId="2204"/>
    <cellStyle name="20% - 강조색1 4 2 6 2 2" xfId="2205"/>
    <cellStyle name="20% - 강조색1 4 2 6 2 2 2" xfId="2206"/>
    <cellStyle name="20% - 강조색1 4 2 6 2 2 3" xfId="2207"/>
    <cellStyle name="20% - 강조색1 4 2 6 2 3" xfId="2208"/>
    <cellStyle name="20% - 강조색1 4 2 6 2 4" xfId="2209"/>
    <cellStyle name="20% - 강조색1 4 2 6 3" xfId="2210"/>
    <cellStyle name="20% - 강조색1 4 2 6 3 2" xfId="2211"/>
    <cellStyle name="20% - 강조색1 4 2 6 3 3" xfId="2212"/>
    <cellStyle name="20% - 강조색1 4 2 6 4" xfId="2213"/>
    <cellStyle name="20% - 강조색1 4 2 6 5" xfId="2214"/>
    <cellStyle name="20% - 강조색1 4 2 7" xfId="2215"/>
    <cellStyle name="20% - 강조색1 4 2 7 2" xfId="2216"/>
    <cellStyle name="20% - 강조색1 4 2 7 2 2" xfId="2217"/>
    <cellStyle name="20% - 강조색1 4 2 7 2 3" xfId="2218"/>
    <cellStyle name="20% - 강조색1 4 2 7 3" xfId="2219"/>
    <cellStyle name="20% - 강조색1 4 2 7 4" xfId="2220"/>
    <cellStyle name="20% - 강조색1 4 2 8" xfId="2221"/>
    <cellStyle name="20% - 강조색1 4 2 8 2" xfId="2222"/>
    <cellStyle name="20% - 강조색1 4 2 8 3" xfId="2223"/>
    <cellStyle name="20% - 강조색1 4 2 9" xfId="2224"/>
    <cellStyle name="20% - 강조색1 4 3" xfId="2225"/>
    <cellStyle name="20% - 강조색1 4 3 10" xfId="2226"/>
    <cellStyle name="20% - 강조색1 4 3 2" xfId="2227"/>
    <cellStyle name="20% - 강조색1 4 3 2 2" xfId="2228"/>
    <cellStyle name="20% - 강조색1 4 3 2 2 2" xfId="2229"/>
    <cellStyle name="20% - 강조색1 4 3 2 2 2 2" xfId="2230"/>
    <cellStyle name="20% - 강조색1 4 3 2 2 2 2 2" xfId="2231"/>
    <cellStyle name="20% - 강조색1 4 3 2 2 2 2 3" xfId="2232"/>
    <cellStyle name="20% - 강조색1 4 3 2 2 2 3" xfId="2233"/>
    <cellStyle name="20% - 강조색1 4 3 2 2 2 4" xfId="2234"/>
    <cellStyle name="20% - 강조색1 4 3 2 2 3" xfId="2235"/>
    <cellStyle name="20% - 강조색1 4 3 2 2 3 2" xfId="2236"/>
    <cellStyle name="20% - 강조색1 4 3 2 2 3 3" xfId="2237"/>
    <cellStyle name="20% - 강조색1 4 3 2 2 4" xfId="2238"/>
    <cellStyle name="20% - 강조색1 4 3 2 2 5" xfId="2239"/>
    <cellStyle name="20% - 강조색1 4 3 2 3" xfId="2240"/>
    <cellStyle name="20% - 강조색1 4 3 2 3 2" xfId="2241"/>
    <cellStyle name="20% - 강조색1 4 3 2 3 2 2" xfId="2242"/>
    <cellStyle name="20% - 강조색1 4 3 2 3 2 2 2" xfId="2243"/>
    <cellStyle name="20% - 강조색1 4 3 2 3 2 2 3" xfId="2244"/>
    <cellStyle name="20% - 강조색1 4 3 2 3 2 3" xfId="2245"/>
    <cellStyle name="20% - 강조색1 4 3 2 3 2 4" xfId="2246"/>
    <cellStyle name="20% - 강조색1 4 3 2 3 3" xfId="2247"/>
    <cellStyle name="20% - 강조색1 4 3 2 3 3 2" xfId="2248"/>
    <cellStyle name="20% - 강조색1 4 3 2 3 3 3" xfId="2249"/>
    <cellStyle name="20% - 강조색1 4 3 2 3 4" xfId="2250"/>
    <cellStyle name="20% - 강조색1 4 3 2 3 5" xfId="2251"/>
    <cellStyle name="20% - 강조색1 4 3 2 4" xfId="2252"/>
    <cellStyle name="20% - 강조색1 4 3 2 4 2" xfId="2253"/>
    <cellStyle name="20% - 강조색1 4 3 2 4 2 2" xfId="2254"/>
    <cellStyle name="20% - 강조색1 4 3 2 4 2 3" xfId="2255"/>
    <cellStyle name="20% - 강조색1 4 3 2 4 3" xfId="2256"/>
    <cellStyle name="20% - 강조색1 4 3 2 4 4" xfId="2257"/>
    <cellStyle name="20% - 강조색1 4 3 2 5" xfId="2258"/>
    <cellStyle name="20% - 강조색1 4 3 2 5 2" xfId="2259"/>
    <cellStyle name="20% - 강조색1 4 3 2 5 3" xfId="2260"/>
    <cellStyle name="20% - 강조색1 4 3 2 6" xfId="2261"/>
    <cellStyle name="20% - 강조색1 4 3 2 7" xfId="2262"/>
    <cellStyle name="20% - 강조색1 4 3 3" xfId="2263"/>
    <cellStyle name="20% - 강조색1 4 3 3 2" xfId="2264"/>
    <cellStyle name="20% - 강조색1 4 3 3 2 2" xfId="2265"/>
    <cellStyle name="20% - 강조색1 4 3 3 2 2 2" xfId="2266"/>
    <cellStyle name="20% - 강조색1 4 3 3 2 2 2 2" xfId="2267"/>
    <cellStyle name="20% - 강조색1 4 3 3 2 2 2 3" xfId="2268"/>
    <cellStyle name="20% - 강조색1 4 3 3 2 2 3" xfId="2269"/>
    <cellStyle name="20% - 강조색1 4 3 3 2 2 4" xfId="2270"/>
    <cellStyle name="20% - 강조색1 4 3 3 2 3" xfId="2271"/>
    <cellStyle name="20% - 강조색1 4 3 3 2 3 2" xfId="2272"/>
    <cellStyle name="20% - 강조색1 4 3 3 2 3 3" xfId="2273"/>
    <cellStyle name="20% - 강조색1 4 3 3 2 4" xfId="2274"/>
    <cellStyle name="20% - 강조색1 4 3 3 2 5" xfId="2275"/>
    <cellStyle name="20% - 강조색1 4 3 3 3" xfId="2276"/>
    <cellStyle name="20% - 강조색1 4 3 3 3 2" xfId="2277"/>
    <cellStyle name="20% - 강조색1 4 3 3 3 2 2" xfId="2278"/>
    <cellStyle name="20% - 강조색1 4 3 3 3 2 2 2" xfId="2279"/>
    <cellStyle name="20% - 강조색1 4 3 3 3 2 2 3" xfId="2280"/>
    <cellStyle name="20% - 강조색1 4 3 3 3 2 3" xfId="2281"/>
    <cellStyle name="20% - 강조색1 4 3 3 3 2 4" xfId="2282"/>
    <cellStyle name="20% - 강조색1 4 3 3 3 3" xfId="2283"/>
    <cellStyle name="20% - 강조색1 4 3 3 3 3 2" xfId="2284"/>
    <cellStyle name="20% - 강조색1 4 3 3 3 3 3" xfId="2285"/>
    <cellStyle name="20% - 강조색1 4 3 3 3 4" xfId="2286"/>
    <cellStyle name="20% - 강조색1 4 3 3 3 5" xfId="2287"/>
    <cellStyle name="20% - 강조색1 4 3 3 4" xfId="2288"/>
    <cellStyle name="20% - 강조색1 4 3 3 4 2" xfId="2289"/>
    <cellStyle name="20% - 강조색1 4 3 3 4 2 2" xfId="2290"/>
    <cellStyle name="20% - 강조색1 4 3 3 4 2 3" xfId="2291"/>
    <cellStyle name="20% - 강조색1 4 3 3 4 3" xfId="2292"/>
    <cellStyle name="20% - 강조색1 4 3 3 4 4" xfId="2293"/>
    <cellStyle name="20% - 강조색1 4 3 3 5" xfId="2294"/>
    <cellStyle name="20% - 강조색1 4 3 3 5 2" xfId="2295"/>
    <cellStyle name="20% - 강조색1 4 3 3 5 3" xfId="2296"/>
    <cellStyle name="20% - 강조색1 4 3 3 6" xfId="2297"/>
    <cellStyle name="20% - 강조색1 4 3 3 7" xfId="2298"/>
    <cellStyle name="20% - 강조색1 4 3 4" xfId="2299"/>
    <cellStyle name="20% - 강조색1 4 3 4 2" xfId="2300"/>
    <cellStyle name="20% - 강조색1 4 3 4 2 2" xfId="2301"/>
    <cellStyle name="20% - 강조색1 4 3 4 2 2 2" xfId="2302"/>
    <cellStyle name="20% - 강조색1 4 3 4 2 2 3" xfId="2303"/>
    <cellStyle name="20% - 강조색1 4 3 4 2 3" xfId="2304"/>
    <cellStyle name="20% - 강조색1 4 3 4 2 4" xfId="2305"/>
    <cellStyle name="20% - 강조색1 4 3 4 3" xfId="2306"/>
    <cellStyle name="20% - 강조색1 4 3 4 3 2" xfId="2307"/>
    <cellStyle name="20% - 강조색1 4 3 4 3 3" xfId="2308"/>
    <cellStyle name="20% - 강조색1 4 3 4 4" xfId="2309"/>
    <cellStyle name="20% - 강조색1 4 3 4 5" xfId="2310"/>
    <cellStyle name="20% - 강조색1 4 3 5" xfId="2311"/>
    <cellStyle name="20% - 강조색1 4 3 5 2" xfId="2312"/>
    <cellStyle name="20% - 강조색1 4 3 5 2 2" xfId="2313"/>
    <cellStyle name="20% - 강조색1 4 3 5 2 2 2" xfId="2314"/>
    <cellStyle name="20% - 강조색1 4 3 5 2 2 3" xfId="2315"/>
    <cellStyle name="20% - 강조색1 4 3 5 2 3" xfId="2316"/>
    <cellStyle name="20% - 강조색1 4 3 5 2 4" xfId="2317"/>
    <cellStyle name="20% - 강조색1 4 3 5 3" xfId="2318"/>
    <cellStyle name="20% - 강조색1 4 3 5 3 2" xfId="2319"/>
    <cellStyle name="20% - 강조색1 4 3 5 3 3" xfId="2320"/>
    <cellStyle name="20% - 강조색1 4 3 5 4" xfId="2321"/>
    <cellStyle name="20% - 강조색1 4 3 5 5" xfId="2322"/>
    <cellStyle name="20% - 강조색1 4 3 6" xfId="2323"/>
    <cellStyle name="20% - 강조색1 4 3 6 2" xfId="2324"/>
    <cellStyle name="20% - 강조색1 4 3 6 2 2" xfId="2325"/>
    <cellStyle name="20% - 강조색1 4 3 6 2 2 2" xfId="2326"/>
    <cellStyle name="20% - 강조색1 4 3 6 2 2 3" xfId="2327"/>
    <cellStyle name="20% - 강조색1 4 3 6 2 3" xfId="2328"/>
    <cellStyle name="20% - 강조색1 4 3 6 2 4" xfId="2329"/>
    <cellStyle name="20% - 강조색1 4 3 6 3" xfId="2330"/>
    <cellStyle name="20% - 강조색1 4 3 6 3 2" xfId="2331"/>
    <cellStyle name="20% - 강조색1 4 3 6 3 3" xfId="2332"/>
    <cellStyle name="20% - 강조색1 4 3 6 4" xfId="2333"/>
    <cellStyle name="20% - 강조색1 4 3 6 5" xfId="2334"/>
    <cellStyle name="20% - 강조색1 4 3 7" xfId="2335"/>
    <cellStyle name="20% - 강조색1 4 3 7 2" xfId="2336"/>
    <cellStyle name="20% - 강조색1 4 3 7 2 2" xfId="2337"/>
    <cellStyle name="20% - 강조색1 4 3 7 2 3" xfId="2338"/>
    <cellStyle name="20% - 강조색1 4 3 7 3" xfId="2339"/>
    <cellStyle name="20% - 강조색1 4 3 7 4" xfId="2340"/>
    <cellStyle name="20% - 강조색1 4 3 8" xfId="2341"/>
    <cellStyle name="20% - 강조색1 4 3 8 2" xfId="2342"/>
    <cellStyle name="20% - 강조색1 4 3 8 3" xfId="2343"/>
    <cellStyle name="20% - 강조색1 4 3 9" xfId="2344"/>
    <cellStyle name="20% - 강조색1 4 4" xfId="2345"/>
    <cellStyle name="20% - 강조색1 4 4 10" xfId="2346"/>
    <cellStyle name="20% - 강조색1 4 4 2" xfId="2347"/>
    <cellStyle name="20% - 강조색1 4 4 2 2" xfId="2348"/>
    <cellStyle name="20% - 강조색1 4 4 2 2 2" xfId="2349"/>
    <cellStyle name="20% - 강조색1 4 4 2 2 2 2" xfId="2350"/>
    <cellStyle name="20% - 강조색1 4 4 2 2 2 2 2" xfId="2351"/>
    <cellStyle name="20% - 강조색1 4 4 2 2 2 2 3" xfId="2352"/>
    <cellStyle name="20% - 강조색1 4 4 2 2 2 3" xfId="2353"/>
    <cellStyle name="20% - 강조색1 4 4 2 2 2 4" xfId="2354"/>
    <cellStyle name="20% - 강조색1 4 4 2 2 3" xfId="2355"/>
    <cellStyle name="20% - 강조색1 4 4 2 2 3 2" xfId="2356"/>
    <cellStyle name="20% - 강조색1 4 4 2 2 3 3" xfId="2357"/>
    <cellStyle name="20% - 강조색1 4 4 2 2 4" xfId="2358"/>
    <cellStyle name="20% - 강조색1 4 4 2 2 5" xfId="2359"/>
    <cellStyle name="20% - 강조색1 4 4 2 3" xfId="2360"/>
    <cellStyle name="20% - 강조색1 4 4 2 3 2" xfId="2361"/>
    <cellStyle name="20% - 강조색1 4 4 2 3 2 2" xfId="2362"/>
    <cellStyle name="20% - 강조색1 4 4 2 3 2 2 2" xfId="2363"/>
    <cellStyle name="20% - 강조색1 4 4 2 3 2 2 3" xfId="2364"/>
    <cellStyle name="20% - 강조색1 4 4 2 3 2 3" xfId="2365"/>
    <cellStyle name="20% - 강조색1 4 4 2 3 2 4" xfId="2366"/>
    <cellStyle name="20% - 강조색1 4 4 2 3 3" xfId="2367"/>
    <cellStyle name="20% - 강조색1 4 4 2 3 3 2" xfId="2368"/>
    <cellStyle name="20% - 강조색1 4 4 2 3 3 3" xfId="2369"/>
    <cellStyle name="20% - 강조색1 4 4 2 3 4" xfId="2370"/>
    <cellStyle name="20% - 강조색1 4 4 2 3 5" xfId="2371"/>
    <cellStyle name="20% - 강조색1 4 4 2 4" xfId="2372"/>
    <cellStyle name="20% - 강조색1 4 4 2 4 2" xfId="2373"/>
    <cellStyle name="20% - 강조색1 4 4 2 4 2 2" xfId="2374"/>
    <cellStyle name="20% - 강조색1 4 4 2 4 2 3" xfId="2375"/>
    <cellStyle name="20% - 강조색1 4 4 2 4 3" xfId="2376"/>
    <cellStyle name="20% - 강조색1 4 4 2 4 4" xfId="2377"/>
    <cellStyle name="20% - 강조색1 4 4 2 5" xfId="2378"/>
    <cellStyle name="20% - 강조색1 4 4 2 5 2" xfId="2379"/>
    <cellStyle name="20% - 강조색1 4 4 2 5 3" xfId="2380"/>
    <cellStyle name="20% - 강조색1 4 4 2 6" xfId="2381"/>
    <cellStyle name="20% - 강조색1 4 4 2 7" xfId="2382"/>
    <cellStyle name="20% - 강조색1 4 4 3" xfId="2383"/>
    <cellStyle name="20% - 강조색1 4 4 3 2" xfId="2384"/>
    <cellStyle name="20% - 강조색1 4 4 3 2 2" xfId="2385"/>
    <cellStyle name="20% - 강조색1 4 4 3 2 2 2" xfId="2386"/>
    <cellStyle name="20% - 강조색1 4 4 3 2 2 2 2" xfId="2387"/>
    <cellStyle name="20% - 강조색1 4 4 3 2 2 2 3" xfId="2388"/>
    <cellStyle name="20% - 강조색1 4 4 3 2 2 3" xfId="2389"/>
    <cellStyle name="20% - 강조색1 4 4 3 2 2 4" xfId="2390"/>
    <cellStyle name="20% - 강조색1 4 4 3 2 3" xfId="2391"/>
    <cellStyle name="20% - 강조색1 4 4 3 2 3 2" xfId="2392"/>
    <cellStyle name="20% - 강조색1 4 4 3 2 3 3" xfId="2393"/>
    <cellStyle name="20% - 강조색1 4 4 3 2 4" xfId="2394"/>
    <cellStyle name="20% - 강조색1 4 4 3 2 5" xfId="2395"/>
    <cellStyle name="20% - 강조색1 4 4 3 3" xfId="2396"/>
    <cellStyle name="20% - 강조색1 4 4 3 3 2" xfId="2397"/>
    <cellStyle name="20% - 강조색1 4 4 3 3 2 2" xfId="2398"/>
    <cellStyle name="20% - 강조색1 4 4 3 3 2 2 2" xfId="2399"/>
    <cellStyle name="20% - 강조색1 4 4 3 3 2 2 3" xfId="2400"/>
    <cellStyle name="20% - 강조색1 4 4 3 3 2 3" xfId="2401"/>
    <cellStyle name="20% - 강조색1 4 4 3 3 2 4" xfId="2402"/>
    <cellStyle name="20% - 강조색1 4 4 3 3 3" xfId="2403"/>
    <cellStyle name="20% - 강조색1 4 4 3 3 3 2" xfId="2404"/>
    <cellStyle name="20% - 강조색1 4 4 3 3 3 3" xfId="2405"/>
    <cellStyle name="20% - 강조색1 4 4 3 3 4" xfId="2406"/>
    <cellStyle name="20% - 강조색1 4 4 3 3 5" xfId="2407"/>
    <cellStyle name="20% - 강조색1 4 4 3 4" xfId="2408"/>
    <cellStyle name="20% - 강조색1 4 4 3 4 2" xfId="2409"/>
    <cellStyle name="20% - 강조색1 4 4 3 4 2 2" xfId="2410"/>
    <cellStyle name="20% - 강조색1 4 4 3 4 2 3" xfId="2411"/>
    <cellStyle name="20% - 강조색1 4 4 3 4 3" xfId="2412"/>
    <cellStyle name="20% - 강조색1 4 4 3 4 4" xfId="2413"/>
    <cellStyle name="20% - 강조색1 4 4 3 5" xfId="2414"/>
    <cellStyle name="20% - 강조색1 4 4 3 5 2" xfId="2415"/>
    <cellStyle name="20% - 강조색1 4 4 3 5 3" xfId="2416"/>
    <cellStyle name="20% - 강조색1 4 4 3 6" xfId="2417"/>
    <cellStyle name="20% - 강조색1 4 4 3 7" xfId="2418"/>
    <cellStyle name="20% - 강조색1 4 4 4" xfId="2419"/>
    <cellStyle name="20% - 강조색1 4 4 4 2" xfId="2420"/>
    <cellStyle name="20% - 강조색1 4 4 4 2 2" xfId="2421"/>
    <cellStyle name="20% - 강조색1 4 4 4 2 2 2" xfId="2422"/>
    <cellStyle name="20% - 강조색1 4 4 4 2 2 3" xfId="2423"/>
    <cellStyle name="20% - 강조색1 4 4 4 2 3" xfId="2424"/>
    <cellStyle name="20% - 강조색1 4 4 4 2 4" xfId="2425"/>
    <cellStyle name="20% - 강조색1 4 4 4 3" xfId="2426"/>
    <cellStyle name="20% - 강조색1 4 4 4 3 2" xfId="2427"/>
    <cellStyle name="20% - 강조색1 4 4 4 3 3" xfId="2428"/>
    <cellStyle name="20% - 강조색1 4 4 4 4" xfId="2429"/>
    <cellStyle name="20% - 강조색1 4 4 4 5" xfId="2430"/>
    <cellStyle name="20% - 강조색1 4 4 5" xfId="2431"/>
    <cellStyle name="20% - 강조색1 4 4 5 2" xfId="2432"/>
    <cellStyle name="20% - 강조색1 4 4 5 2 2" xfId="2433"/>
    <cellStyle name="20% - 강조색1 4 4 5 2 2 2" xfId="2434"/>
    <cellStyle name="20% - 강조색1 4 4 5 2 2 3" xfId="2435"/>
    <cellStyle name="20% - 강조색1 4 4 5 2 3" xfId="2436"/>
    <cellStyle name="20% - 강조색1 4 4 5 2 4" xfId="2437"/>
    <cellStyle name="20% - 강조색1 4 4 5 3" xfId="2438"/>
    <cellStyle name="20% - 강조색1 4 4 5 3 2" xfId="2439"/>
    <cellStyle name="20% - 강조색1 4 4 5 3 3" xfId="2440"/>
    <cellStyle name="20% - 강조색1 4 4 5 4" xfId="2441"/>
    <cellStyle name="20% - 강조색1 4 4 5 5" xfId="2442"/>
    <cellStyle name="20% - 강조색1 4 4 6" xfId="2443"/>
    <cellStyle name="20% - 강조색1 4 4 6 2" xfId="2444"/>
    <cellStyle name="20% - 강조색1 4 4 6 2 2" xfId="2445"/>
    <cellStyle name="20% - 강조색1 4 4 6 2 2 2" xfId="2446"/>
    <cellStyle name="20% - 강조색1 4 4 6 2 2 3" xfId="2447"/>
    <cellStyle name="20% - 강조색1 4 4 6 2 3" xfId="2448"/>
    <cellStyle name="20% - 강조색1 4 4 6 2 4" xfId="2449"/>
    <cellStyle name="20% - 강조색1 4 4 6 3" xfId="2450"/>
    <cellStyle name="20% - 강조색1 4 4 6 3 2" xfId="2451"/>
    <cellStyle name="20% - 강조색1 4 4 6 3 3" xfId="2452"/>
    <cellStyle name="20% - 강조색1 4 4 6 4" xfId="2453"/>
    <cellStyle name="20% - 강조색1 4 4 6 5" xfId="2454"/>
    <cellStyle name="20% - 강조색1 4 4 7" xfId="2455"/>
    <cellStyle name="20% - 강조색1 4 4 7 2" xfId="2456"/>
    <cellStyle name="20% - 강조색1 4 4 7 2 2" xfId="2457"/>
    <cellStyle name="20% - 강조색1 4 4 7 2 3" xfId="2458"/>
    <cellStyle name="20% - 강조색1 4 4 7 3" xfId="2459"/>
    <cellStyle name="20% - 강조색1 4 4 7 4" xfId="2460"/>
    <cellStyle name="20% - 강조색1 4 4 8" xfId="2461"/>
    <cellStyle name="20% - 강조색1 4 4 8 2" xfId="2462"/>
    <cellStyle name="20% - 강조색1 4 4 8 3" xfId="2463"/>
    <cellStyle name="20% - 강조색1 4 4 9" xfId="2464"/>
    <cellStyle name="20% - 강조색1 4 5" xfId="2465"/>
    <cellStyle name="20% - 강조색1 4 5 2" xfId="2466"/>
    <cellStyle name="20% - 강조색1 4 5 2 2" xfId="2467"/>
    <cellStyle name="20% - 강조색1 4 5 2 2 2" xfId="2468"/>
    <cellStyle name="20% - 강조색1 4 5 2 2 2 2" xfId="2469"/>
    <cellStyle name="20% - 강조색1 4 5 2 2 2 3" xfId="2470"/>
    <cellStyle name="20% - 강조색1 4 5 2 2 3" xfId="2471"/>
    <cellStyle name="20% - 강조색1 4 5 2 2 4" xfId="2472"/>
    <cellStyle name="20% - 강조색1 4 5 2 3" xfId="2473"/>
    <cellStyle name="20% - 강조색1 4 5 2 3 2" xfId="2474"/>
    <cellStyle name="20% - 강조색1 4 5 2 3 3" xfId="2475"/>
    <cellStyle name="20% - 강조색1 4 5 2 4" xfId="2476"/>
    <cellStyle name="20% - 강조색1 4 5 2 5" xfId="2477"/>
    <cellStyle name="20% - 강조색1 4 5 3" xfId="2478"/>
    <cellStyle name="20% - 강조색1 4 5 3 2" xfId="2479"/>
    <cellStyle name="20% - 강조색1 4 5 3 2 2" xfId="2480"/>
    <cellStyle name="20% - 강조색1 4 5 3 2 2 2" xfId="2481"/>
    <cellStyle name="20% - 강조색1 4 5 3 2 2 3" xfId="2482"/>
    <cellStyle name="20% - 강조색1 4 5 3 2 3" xfId="2483"/>
    <cellStyle name="20% - 강조색1 4 5 3 2 4" xfId="2484"/>
    <cellStyle name="20% - 강조색1 4 5 3 3" xfId="2485"/>
    <cellStyle name="20% - 강조색1 4 5 3 3 2" xfId="2486"/>
    <cellStyle name="20% - 강조색1 4 5 3 3 3" xfId="2487"/>
    <cellStyle name="20% - 강조색1 4 5 3 4" xfId="2488"/>
    <cellStyle name="20% - 강조색1 4 5 3 5" xfId="2489"/>
    <cellStyle name="20% - 강조색1 4 5 4" xfId="2490"/>
    <cellStyle name="20% - 강조색1 4 5 4 2" xfId="2491"/>
    <cellStyle name="20% - 강조색1 4 5 4 2 2" xfId="2492"/>
    <cellStyle name="20% - 강조색1 4 5 4 2 3" xfId="2493"/>
    <cellStyle name="20% - 강조색1 4 5 4 3" xfId="2494"/>
    <cellStyle name="20% - 강조색1 4 5 4 4" xfId="2495"/>
    <cellStyle name="20% - 강조색1 4 5 5" xfId="2496"/>
    <cellStyle name="20% - 강조색1 4 5 5 2" xfId="2497"/>
    <cellStyle name="20% - 강조색1 4 5 5 3" xfId="2498"/>
    <cellStyle name="20% - 강조색1 4 5 6" xfId="2499"/>
    <cellStyle name="20% - 강조색1 4 5 7" xfId="2500"/>
    <cellStyle name="20% - 강조색1 4 6" xfId="2501"/>
    <cellStyle name="20% - 강조색1 4 6 2" xfId="2502"/>
    <cellStyle name="20% - 강조색1 4 6 2 2" xfId="2503"/>
    <cellStyle name="20% - 강조색1 4 6 2 2 2" xfId="2504"/>
    <cellStyle name="20% - 강조색1 4 6 2 2 2 2" xfId="2505"/>
    <cellStyle name="20% - 강조색1 4 6 2 2 2 3" xfId="2506"/>
    <cellStyle name="20% - 강조색1 4 6 2 2 3" xfId="2507"/>
    <cellStyle name="20% - 강조색1 4 6 2 2 4" xfId="2508"/>
    <cellStyle name="20% - 강조색1 4 6 2 3" xfId="2509"/>
    <cellStyle name="20% - 강조색1 4 6 2 3 2" xfId="2510"/>
    <cellStyle name="20% - 강조색1 4 6 2 3 3" xfId="2511"/>
    <cellStyle name="20% - 강조색1 4 6 2 4" xfId="2512"/>
    <cellStyle name="20% - 강조색1 4 6 2 5" xfId="2513"/>
    <cellStyle name="20% - 강조색1 4 6 3" xfId="2514"/>
    <cellStyle name="20% - 강조색1 4 6 3 2" xfId="2515"/>
    <cellStyle name="20% - 강조색1 4 6 3 2 2" xfId="2516"/>
    <cellStyle name="20% - 강조색1 4 6 3 2 2 2" xfId="2517"/>
    <cellStyle name="20% - 강조색1 4 6 3 2 2 3" xfId="2518"/>
    <cellStyle name="20% - 강조색1 4 6 3 2 3" xfId="2519"/>
    <cellStyle name="20% - 강조색1 4 6 3 2 4" xfId="2520"/>
    <cellStyle name="20% - 강조색1 4 6 3 3" xfId="2521"/>
    <cellStyle name="20% - 강조색1 4 6 3 3 2" xfId="2522"/>
    <cellStyle name="20% - 강조색1 4 6 3 3 3" xfId="2523"/>
    <cellStyle name="20% - 강조색1 4 6 3 4" xfId="2524"/>
    <cellStyle name="20% - 강조색1 4 6 3 5" xfId="2525"/>
    <cellStyle name="20% - 강조색1 4 6 4" xfId="2526"/>
    <cellStyle name="20% - 강조색1 4 6 4 2" xfId="2527"/>
    <cellStyle name="20% - 강조색1 4 6 4 2 2" xfId="2528"/>
    <cellStyle name="20% - 강조색1 4 6 4 2 3" xfId="2529"/>
    <cellStyle name="20% - 강조색1 4 6 4 3" xfId="2530"/>
    <cellStyle name="20% - 강조색1 4 6 4 4" xfId="2531"/>
    <cellStyle name="20% - 강조색1 4 6 5" xfId="2532"/>
    <cellStyle name="20% - 강조색1 4 6 5 2" xfId="2533"/>
    <cellStyle name="20% - 강조색1 4 6 5 3" xfId="2534"/>
    <cellStyle name="20% - 강조색1 4 6 6" xfId="2535"/>
    <cellStyle name="20% - 강조색1 4 6 7" xfId="2536"/>
    <cellStyle name="20% - 강조색1 4 7" xfId="2537"/>
    <cellStyle name="20% - 강조색1 4 7 2" xfId="2538"/>
    <cellStyle name="20% - 강조색1 4 7 2 2" xfId="2539"/>
    <cellStyle name="20% - 강조색1 4 7 2 2 2" xfId="2540"/>
    <cellStyle name="20% - 강조색1 4 7 2 2 3" xfId="2541"/>
    <cellStyle name="20% - 강조색1 4 7 2 3" xfId="2542"/>
    <cellStyle name="20% - 강조색1 4 7 2 4" xfId="2543"/>
    <cellStyle name="20% - 강조색1 4 7 3" xfId="2544"/>
    <cellStyle name="20% - 강조색1 4 7 3 2" xfId="2545"/>
    <cellStyle name="20% - 강조색1 4 7 3 3" xfId="2546"/>
    <cellStyle name="20% - 강조색1 4 7 4" xfId="2547"/>
    <cellStyle name="20% - 강조색1 4 7 5" xfId="2548"/>
    <cellStyle name="20% - 강조색1 4 8" xfId="2549"/>
    <cellStyle name="20% - 강조색1 4 8 2" xfId="2550"/>
    <cellStyle name="20% - 강조색1 4 8 2 2" xfId="2551"/>
    <cellStyle name="20% - 강조색1 4 8 2 2 2" xfId="2552"/>
    <cellStyle name="20% - 강조색1 4 8 2 2 3" xfId="2553"/>
    <cellStyle name="20% - 강조색1 4 8 2 3" xfId="2554"/>
    <cellStyle name="20% - 강조색1 4 8 2 4" xfId="2555"/>
    <cellStyle name="20% - 강조색1 4 8 3" xfId="2556"/>
    <cellStyle name="20% - 강조색1 4 8 3 2" xfId="2557"/>
    <cellStyle name="20% - 강조색1 4 8 3 3" xfId="2558"/>
    <cellStyle name="20% - 강조색1 4 8 4" xfId="2559"/>
    <cellStyle name="20% - 강조색1 4 8 5" xfId="2560"/>
    <cellStyle name="20% - 강조색1 4 9" xfId="2561"/>
    <cellStyle name="20% - 강조색1 4 9 2" xfId="2562"/>
    <cellStyle name="20% - 강조색1 4 9 2 2" xfId="2563"/>
    <cellStyle name="20% - 강조색1 4 9 2 2 2" xfId="2564"/>
    <cellStyle name="20% - 강조색1 4 9 2 2 3" xfId="2565"/>
    <cellStyle name="20% - 강조색1 4 9 2 3" xfId="2566"/>
    <cellStyle name="20% - 강조색1 4 9 2 4" xfId="2567"/>
    <cellStyle name="20% - 강조색1 4 9 3" xfId="2568"/>
    <cellStyle name="20% - 강조색1 4 9 3 2" xfId="2569"/>
    <cellStyle name="20% - 강조색1 4 9 3 3" xfId="2570"/>
    <cellStyle name="20% - 강조색1 4 9 4" xfId="2571"/>
    <cellStyle name="20% - 강조색1 4 9 5" xfId="2572"/>
    <cellStyle name="20% - 강조색1 40" xfId="2573"/>
    <cellStyle name="20% - 강조색1 41" xfId="2574"/>
    <cellStyle name="20% - 강조색1 42" xfId="2575"/>
    <cellStyle name="20% - 강조색1 43" xfId="2576"/>
    <cellStyle name="20% - 강조색1 44" xfId="2577"/>
    <cellStyle name="20% - 강조색1 45" xfId="2578"/>
    <cellStyle name="20% - 강조색1 46" xfId="2579"/>
    <cellStyle name="20% - 강조색1 47" xfId="2580"/>
    <cellStyle name="20% - 강조색1 48" xfId="2581"/>
    <cellStyle name="20% - 강조색1 49" xfId="2582"/>
    <cellStyle name="20% - 강조색1 5" xfId="2583"/>
    <cellStyle name="20% - 강조색1 5 10" xfId="2584"/>
    <cellStyle name="20% - 강조색1 5 11" xfId="2585"/>
    <cellStyle name="20% - 강조색1 5 2" xfId="2586"/>
    <cellStyle name="20% - 강조색1 5 2 2" xfId="2587"/>
    <cellStyle name="20% - 강조색1 5 2 2 2" xfId="2588"/>
    <cellStyle name="20% - 강조색1 5 2 2 2 2" xfId="2589"/>
    <cellStyle name="20% - 강조색1 5 2 2 2 2 2" xfId="2590"/>
    <cellStyle name="20% - 강조색1 5 2 2 2 2 3" xfId="2591"/>
    <cellStyle name="20% - 강조색1 5 2 2 2 3" xfId="2592"/>
    <cellStyle name="20% - 강조색1 5 2 2 2 4" xfId="2593"/>
    <cellStyle name="20% - 강조색1 5 2 2 3" xfId="2594"/>
    <cellStyle name="20% - 강조색1 5 2 2 3 2" xfId="2595"/>
    <cellStyle name="20% - 강조색1 5 2 2 3 3" xfId="2596"/>
    <cellStyle name="20% - 강조색1 5 2 2 4" xfId="2597"/>
    <cellStyle name="20% - 강조색1 5 2 2 5" xfId="2598"/>
    <cellStyle name="20% - 강조색1 5 2 3" xfId="2599"/>
    <cellStyle name="20% - 강조색1 5 2 3 2" xfId="2600"/>
    <cellStyle name="20% - 강조색1 5 2 3 2 2" xfId="2601"/>
    <cellStyle name="20% - 강조색1 5 2 3 2 2 2" xfId="2602"/>
    <cellStyle name="20% - 강조색1 5 2 3 2 2 3" xfId="2603"/>
    <cellStyle name="20% - 강조색1 5 2 3 2 3" xfId="2604"/>
    <cellStyle name="20% - 강조색1 5 2 3 2 4" xfId="2605"/>
    <cellStyle name="20% - 강조색1 5 2 3 3" xfId="2606"/>
    <cellStyle name="20% - 강조색1 5 2 3 3 2" xfId="2607"/>
    <cellStyle name="20% - 강조색1 5 2 3 3 3" xfId="2608"/>
    <cellStyle name="20% - 강조색1 5 2 3 4" xfId="2609"/>
    <cellStyle name="20% - 강조색1 5 2 3 5" xfId="2610"/>
    <cellStyle name="20% - 강조색1 5 2 4" xfId="2611"/>
    <cellStyle name="20% - 강조색1 5 2 4 2" xfId="2612"/>
    <cellStyle name="20% - 강조색1 5 2 4 2 2" xfId="2613"/>
    <cellStyle name="20% - 강조색1 5 2 4 2 3" xfId="2614"/>
    <cellStyle name="20% - 강조색1 5 2 4 3" xfId="2615"/>
    <cellStyle name="20% - 강조색1 5 2 4 4" xfId="2616"/>
    <cellStyle name="20% - 강조색1 5 2 5" xfId="2617"/>
    <cellStyle name="20% - 강조색1 5 2 5 2" xfId="2618"/>
    <cellStyle name="20% - 강조색1 5 2 5 3" xfId="2619"/>
    <cellStyle name="20% - 강조색1 5 2 6" xfId="2620"/>
    <cellStyle name="20% - 강조색1 5 2 7" xfId="2621"/>
    <cellStyle name="20% - 강조색1 5 3" xfId="2622"/>
    <cellStyle name="20% - 강조색1 5 3 2" xfId="2623"/>
    <cellStyle name="20% - 강조색1 5 3 2 2" xfId="2624"/>
    <cellStyle name="20% - 강조색1 5 3 2 2 2" xfId="2625"/>
    <cellStyle name="20% - 강조색1 5 3 2 2 2 2" xfId="2626"/>
    <cellStyle name="20% - 강조색1 5 3 2 2 2 3" xfId="2627"/>
    <cellStyle name="20% - 강조색1 5 3 2 2 3" xfId="2628"/>
    <cellStyle name="20% - 강조색1 5 3 2 2 4" xfId="2629"/>
    <cellStyle name="20% - 강조색1 5 3 2 3" xfId="2630"/>
    <cellStyle name="20% - 강조색1 5 3 2 3 2" xfId="2631"/>
    <cellStyle name="20% - 강조색1 5 3 2 3 3" xfId="2632"/>
    <cellStyle name="20% - 강조색1 5 3 2 4" xfId="2633"/>
    <cellStyle name="20% - 강조색1 5 3 2 5" xfId="2634"/>
    <cellStyle name="20% - 강조색1 5 3 3" xfId="2635"/>
    <cellStyle name="20% - 강조색1 5 3 3 2" xfId="2636"/>
    <cellStyle name="20% - 강조색1 5 3 3 2 2" xfId="2637"/>
    <cellStyle name="20% - 강조색1 5 3 3 2 2 2" xfId="2638"/>
    <cellStyle name="20% - 강조색1 5 3 3 2 2 3" xfId="2639"/>
    <cellStyle name="20% - 강조색1 5 3 3 2 3" xfId="2640"/>
    <cellStyle name="20% - 강조색1 5 3 3 2 4" xfId="2641"/>
    <cellStyle name="20% - 강조색1 5 3 3 3" xfId="2642"/>
    <cellStyle name="20% - 강조색1 5 3 3 3 2" xfId="2643"/>
    <cellStyle name="20% - 강조색1 5 3 3 3 3" xfId="2644"/>
    <cellStyle name="20% - 강조색1 5 3 3 4" xfId="2645"/>
    <cellStyle name="20% - 강조색1 5 3 3 5" xfId="2646"/>
    <cellStyle name="20% - 강조색1 5 3 4" xfId="2647"/>
    <cellStyle name="20% - 강조색1 5 3 4 2" xfId="2648"/>
    <cellStyle name="20% - 강조색1 5 3 4 2 2" xfId="2649"/>
    <cellStyle name="20% - 강조색1 5 3 4 2 3" xfId="2650"/>
    <cellStyle name="20% - 강조색1 5 3 4 3" xfId="2651"/>
    <cellStyle name="20% - 강조색1 5 3 4 4" xfId="2652"/>
    <cellStyle name="20% - 강조색1 5 3 5" xfId="2653"/>
    <cellStyle name="20% - 강조색1 5 3 5 2" xfId="2654"/>
    <cellStyle name="20% - 강조색1 5 3 5 3" xfId="2655"/>
    <cellStyle name="20% - 강조색1 5 3 6" xfId="2656"/>
    <cellStyle name="20% - 강조색1 5 3 7" xfId="2657"/>
    <cellStyle name="20% - 강조색1 5 4" xfId="2658"/>
    <cellStyle name="20% - 강조색1 5 4 2" xfId="2659"/>
    <cellStyle name="20% - 강조색1 5 4 2 2" xfId="2660"/>
    <cellStyle name="20% - 강조색1 5 4 2 2 2" xfId="2661"/>
    <cellStyle name="20% - 강조색1 5 4 2 2 3" xfId="2662"/>
    <cellStyle name="20% - 강조색1 5 4 2 3" xfId="2663"/>
    <cellStyle name="20% - 강조색1 5 4 2 4" xfId="2664"/>
    <cellStyle name="20% - 강조색1 5 4 3" xfId="2665"/>
    <cellStyle name="20% - 강조색1 5 4 3 2" xfId="2666"/>
    <cellStyle name="20% - 강조색1 5 4 3 3" xfId="2667"/>
    <cellStyle name="20% - 강조색1 5 4 4" xfId="2668"/>
    <cellStyle name="20% - 강조색1 5 4 5" xfId="2669"/>
    <cellStyle name="20% - 강조색1 5 5" xfId="2670"/>
    <cellStyle name="20% - 강조색1 5 5 2" xfId="2671"/>
    <cellStyle name="20% - 강조색1 5 5 2 2" xfId="2672"/>
    <cellStyle name="20% - 강조색1 5 5 2 2 2" xfId="2673"/>
    <cellStyle name="20% - 강조색1 5 5 2 2 3" xfId="2674"/>
    <cellStyle name="20% - 강조색1 5 5 2 3" xfId="2675"/>
    <cellStyle name="20% - 강조색1 5 5 2 4" xfId="2676"/>
    <cellStyle name="20% - 강조색1 5 5 3" xfId="2677"/>
    <cellStyle name="20% - 강조색1 5 5 3 2" xfId="2678"/>
    <cellStyle name="20% - 강조색1 5 5 3 3" xfId="2679"/>
    <cellStyle name="20% - 강조색1 5 5 4" xfId="2680"/>
    <cellStyle name="20% - 강조색1 5 5 5" xfId="2681"/>
    <cellStyle name="20% - 강조색1 5 6" xfId="2682"/>
    <cellStyle name="20% - 강조색1 5 6 2" xfId="2683"/>
    <cellStyle name="20% - 강조색1 5 6 2 2" xfId="2684"/>
    <cellStyle name="20% - 강조색1 5 6 2 2 2" xfId="2685"/>
    <cellStyle name="20% - 강조색1 5 6 2 2 3" xfId="2686"/>
    <cellStyle name="20% - 강조색1 5 6 2 3" xfId="2687"/>
    <cellStyle name="20% - 강조색1 5 6 2 4" xfId="2688"/>
    <cellStyle name="20% - 강조색1 5 6 3" xfId="2689"/>
    <cellStyle name="20% - 강조색1 5 6 3 2" xfId="2690"/>
    <cellStyle name="20% - 강조색1 5 6 3 3" xfId="2691"/>
    <cellStyle name="20% - 강조색1 5 6 4" xfId="2692"/>
    <cellStyle name="20% - 강조색1 5 6 5" xfId="2693"/>
    <cellStyle name="20% - 강조색1 5 7" xfId="2694"/>
    <cellStyle name="20% - 강조색1 5 7 2" xfId="2695"/>
    <cellStyle name="20% - 강조색1 5 7 2 2" xfId="2696"/>
    <cellStyle name="20% - 강조색1 5 7 2 3" xfId="2697"/>
    <cellStyle name="20% - 강조색1 5 7 3" xfId="2698"/>
    <cellStyle name="20% - 강조색1 5 7 4" xfId="2699"/>
    <cellStyle name="20% - 강조색1 5 8" xfId="2700"/>
    <cellStyle name="20% - 강조색1 5 8 2" xfId="2701"/>
    <cellStyle name="20% - 강조색1 5 8 3" xfId="2702"/>
    <cellStyle name="20% - 강조색1 5 9" xfId="2703"/>
    <cellStyle name="20% - 강조색1 50" xfId="2704"/>
    <cellStyle name="20% - 강조색1 51" xfId="2705"/>
    <cellStyle name="20% - 강조색1 52" xfId="2706"/>
    <cellStyle name="20% - 강조색1 53" xfId="2707"/>
    <cellStyle name="20% - 강조색1 54" xfId="2708"/>
    <cellStyle name="20% - 강조색1 55" xfId="2709"/>
    <cellStyle name="20% - 강조색1 56" xfId="2710"/>
    <cellStyle name="20% - 강조색1 57" xfId="2711"/>
    <cellStyle name="20% - 강조색1 58" xfId="2712"/>
    <cellStyle name="20% - 강조색1 59" xfId="2713"/>
    <cellStyle name="20% - 강조색1 6" xfId="2714"/>
    <cellStyle name="20% - 강조색1 6 10" xfId="2715"/>
    <cellStyle name="20% - 강조색1 6 2" xfId="2716"/>
    <cellStyle name="20% - 강조색1 6 2 2" xfId="2717"/>
    <cellStyle name="20% - 강조색1 6 2 2 2" xfId="2718"/>
    <cellStyle name="20% - 강조색1 6 2 2 2 2" xfId="2719"/>
    <cellStyle name="20% - 강조색1 6 2 2 2 2 2" xfId="2720"/>
    <cellStyle name="20% - 강조색1 6 2 2 2 2 3" xfId="2721"/>
    <cellStyle name="20% - 강조색1 6 2 2 2 3" xfId="2722"/>
    <cellStyle name="20% - 강조색1 6 2 2 2 4" xfId="2723"/>
    <cellStyle name="20% - 강조색1 6 2 2 3" xfId="2724"/>
    <cellStyle name="20% - 강조색1 6 2 2 3 2" xfId="2725"/>
    <cellStyle name="20% - 강조색1 6 2 2 3 3" xfId="2726"/>
    <cellStyle name="20% - 강조색1 6 2 2 4" xfId="2727"/>
    <cellStyle name="20% - 강조색1 6 2 2 5" xfId="2728"/>
    <cellStyle name="20% - 강조색1 6 2 3" xfId="2729"/>
    <cellStyle name="20% - 강조색1 6 2 3 2" xfId="2730"/>
    <cellStyle name="20% - 강조색1 6 2 3 2 2" xfId="2731"/>
    <cellStyle name="20% - 강조색1 6 2 3 2 2 2" xfId="2732"/>
    <cellStyle name="20% - 강조색1 6 2 3 2 2 3" xfId="2733"/>
    <cellStyle name="20% - 강조색1 6 2 3 2 3" xfId="2734"/>
    <cellStyle name="20% - 강조색1 6 2 3 2 4" xfId="2735"/>
    <cellStyle name="20% - 강조색1 6 2 3 3" xfId="2736"/>
    <cellStyle name="20% - 강조색1 6 2 3 3 2" xfId="2737"/>
    <cellStyle name="20% - 강조색1 6 2 3 3 3" xfId="2738"/>
    <cellStyle name="20% - 강조색1 6 2 3 4" xfId="2739"/>
    <cellStyle name="20% - 강조색1 6 2 3 5" xfId="2740"/>
    <cellStyle name="20% - 강조색1 6 2 4" xfId="2741"/>
    <cellStyle name="20% - 강조색1 6 2 4 2" xfId="2742"/>
    <cellStyle name="20% - 강조색1 6 2 4 2 2" xfId="2743"/>
    <cellStyle name="20% - 강조색1 6 2 4 2 3" xfId="2744"/>
    <cellStyle name="20% - 강조색1 6 2 4 3" xfId="2745"/>
    <cellStyle name="20% - 강조색1 6 2 4 4" xfId="2746"/>
    <cellStyle name="20% - 강조색1 6 2 5" xfId="2747"/>
    <cellStyle name="20% - 강조색1 6 2 5 2" xfId="2748"/>
    <cellStyle name="20% - 강조색1 6 2 5 3" xfId="2749"/>
    <cellStyle name="20% - 강조색1 6 2 6" xfId="2750"/>
    <cellStyle name="20% - 강조색1 6 2 7" xfId="2751"/>
    <cellStyle name="20% - 강조색1 6 3" xfId="2752"/>
    <cellStyle name="20% - 강조색1 6 3 2" xfId="2753"/>
    <cellStyle name="20% - 강조색1 6 3 2 2" xfId="2754"/>
    <cellStyle name="20% - 강조색1 6 3 2 2 2" xfId="2755"/>
    <cellStyle name="20% - 강조색1 6 3 2 2 2 2" xfId="2756"/>
    <cellStyle name="20% - 강조색1 6 3 2 2 2 3" xfId="2757"/>
    <cellStyle name="20% - 강조색1 6 3 2 2 3" xfId="2758"/>
    <cellStyle name="20% - 강조색1 6 3 2 2 4" xfId="2759"/>
    <cellStyle name="20% - 강조색1 6 3 2 3" xfId="2760"/>
    <cellStyle name="20% - 강조색1 6 3 2 3 2" xfId="2761"/>
    <cellStyle name="20% - 강조색1 6 3 2 3 3" xfId="2762"/>
    <cellStyle name="20% - 강조색1 6 3 2 4" xfId="2763"/>
    <cellStyle name="20% - 강조색1 6 3 2 5" xfId="2764"/>
    <cellStyle name="20% - 강조색1 6 3 3" xfId="2765"/>
    <cellStyle name="20% - 강조색1 6 3 3 2" xfId="2766"/>
    <cellStyle name="20% - 강조색1 6 3 3 2 2" xfId="2767"/>
    <cellStyle name="20% - 강조색1 6 3 3 2 2 2" xfId="2768"/>
    <cellStyle name="20% - 강조색1 6 3 3 2 2 3" xfId="2769"/>
    <cellStyle name="20% - 강조색1 6 3 3 2 3" xfId="2770"/>
    <cellStyle name="20% - 강조색1 6 3 3 2 4" xfId="2771"/>
    <cellStyle name="20% - 강조색1 6 3 3 3" xfId="2772"/>
    <cellStyle name="20% - 강조색1 6 3 3 3 2" xfId="2773"/>
    <cellStyle name="20% - 강조색1 6 3 3 3 3" xfId="2774"/>
    <cellStyle name="20% - 강조색1 6 3 3 4" xfId="2775"/>
    <cellStyle name="20% - 강조색1 6 3 3 5" xfId="2776"/>
    <cellStyle name="20% - 강조색1 6 3 4" xfId="2777"/>
    <cellStyle name="20% - 강조색1 6 3 4 2" xfId="2778"/>
    <cellStyle name="20% - 강조색1 6 3 4 2 2" xfId="2779"/>
    <cellStyle name="20% - 강조색1 6 3 4 2 3" xfId="2780"/>
    <cellStyle name="20% - 강조색1 6 3 4 3" xfId="2781"/>
    <cellStyle name="20% - 강조색1 6 3 4 4" xfId="2782"/>
    <cellStyle name="20% - 강조색1 6 3 5" xfId="2783"/>
    <cellStyle name="20% - 강조색1 6 3 5 2" xfId="2784"/>
    <cellStyle name="20% - 강조색1 6 3 5 3" xfId="2785"/>
    <cellStyle name="20% - 강조색1 6 3 6" xfId="2786"/>
    <cellStyle name="20% - 강조색1 6 3 7" xfId="2787"/>
    <cellStyle name="20% - 강조색1 6 4" xfId="2788"/>
    <cellStyle name="20% - 강조색1 6 4 2" xfId="2789"/>
    <cellStyle name="20% - 강조색1 6 4 2 2" xfId="2790"/>
    <cellStyle name="20% - 강조색1 6 4 2 2 2" xfId="2791"/>
    <cellStyle name="20% - 강조색1 6 4 2 2 3" xfId="2792"/>
    <cellStyle name="20% - 강조색1 6 4 2 3" xfId="2793"/>
    <cellStyle name="20% - 강조색1 6 4 2 4" xfId="2794"/>
    <cellStyle name="20% - 강조색1 6 4 3" xfId="2795"/>
    <cellStyle name="20% - 강조색1 6 4 3 2" xfId="2796"/>
    <cellStyle name="20% - 강조색1 6 4 3 3" xfId="2797"/>
    <cellStyle name="20% - 강조색1 6 4 4" xfId="2798"/>
    <cellStyle name="20% - 강조색1 6 4 5" xfId="2799"/>
    <cellStyle name="20% - 강조색1 6 5" xfId="2800"/>
    <cellStyle name="20% - 강조색1 6 5 2" xfId="2801"/>
    <cellStyle name="20% - 강조색1 6 5 2 2" xfId="2802"/>
    <cellStyle name="20% - 강조색1 6 5 2 2 2" xfId="2803"/>
    <cellStyle name="20% - 강조색1 6 5 2 2 3" xfId="2804"/>
    <cellStyle name="20% - 강조색1 6 5 2 3" xfId="2805"/>
    <cellStyle name="20% - 강조색1 6 5 2 4" xfId="2806"/>
    <cellStyle name="20% - 강조색1 6 5 3" xfId="2807"/>
    <cellStyle name="20% - 강조색1 6 5 3 2" xfId="2808"/>
    <cellStyle name="20% - 강조색1 6 5 3 3" xfId="2809"/>
    <cellStyle name="20% - 강조색1 6 5 4" xfId="2810"/>
    <cellStyle name="20% - 강조색1 6 5 5" xfId="2811"/>
    <cellStyle name="20% - 강조색1 6 6" xfId="2812"/>
    <cellStyle name="20% - 강조색1 6 6 2" xfId="2813"/>
    <cellStyle name="20% - 강조색1 6 6 2 2" xfId="2814"/>
    <cellStyle name="20% - 강조색1 6 6 2 2 2" xfId="2815"/>
    <cellStyle name="20% - 강조색1 6 6 2 2 3" xfId="2816"/>
    <cellStyle name="20% - 강조색1 6 6 2 3" xfId="2817"/>
    <cellStyle name="20% - 강조색1 6 6 2 4" xfId="2818"/>
    <cellStyle name="20% - 강조색1 6 6 3" xfId="2819"/>
    <cellStyle name="20% - 강조색1 6 6 3 2" xfId="2820"/>
    <cellStyle name="20% - 강조색1 6 6 3 3" xfId="2821"/>
    <cellStyle name="20% - 강조색1 6 6 4" xfId="2822"/>
    <cellStyle name="20% - 강조색1 6 6 5" xfId="2823"/>
    <cellStyle name="20% - 강조색1 6 7" xfId="2824"/>
    <cellStyle name="20% - 강조색1 6 7 2" xfId="2825"/>
    <cellStyle name="20% - 강조색1 6 7 2 2" xfId="2826"/>
    <cellStyle name="20% - 강조색1 6 7 2 3" xfId="2827"/>
    <cellStyle name="20% - 강조색1 6 7 3" xfId="2828"/>
    <cellStyle name="20% - 강조색1 6 7 4" xfId="2829"/>
    <cellStyle name="20% - 강조색1 6 8" xfId="2830"/>
    <cellStyle name="20% - 강조색1 6 8 2" xfId="2831"/>
    <cellStyle name="20% - 강조색1 6 8 3" xfId="2832"/>
    <cellStyle name="20% - 강조색1 6 9" xfId="2833"/>
    <cellStyle name="20% - 강조색1 60" xfId="2834"/>
    <cellStyle name="20% - 강조색1 61" xfId="2835"/>
    <cellStyle name="20% - 강조색1 62" xfId="2836"/>
    <cellStyle name="20% - 강조색1 63" xfId="2837"/>
    <cellStyle name="20% - 강조색1 64" xfId="2838"/>
    <cellStyle name="20% - 강조색1 65" xfId="2839"/>
    <cellStyle name="20% - 강조색1 66" xfId="2840"/>
    <cellStyle name="20% - 강조색1 67" xfId="2841"/>
    <cellStyle name="20% - 강조색1 68" xfId="2842"/>
    <cellStyle name="20% - 강조색1 69" xfId="2843"/>
    <cellStyle name="20% - 강조색1 7" xfId="2844"/>
    <cellStyle name="20% - 강조색1 7 10" xfId="2845"/>
    <cellStyle name="20% - 강조색1 7 2" xfId="2846"/>
    <cellStyle name="20% - 강조색1 7 2 2" xfId="2847"/>
    <cellStyle name="20% - 강조색1 7 2 2 2" xfId="2848"/>
    <cellStyle name="20% - 강조색1 7 2 2 2 2" xfId="2849"/>
    <cellStyle name="20% - 강조색1 7 2 2 2 2 2" xfId="2850"/>
    <cellStyle name="20% - 강조색1 7 2 2 2 2 3" xfId="2851"/>
    <cellStyle name="20% - 강조색1 7 2 2 2 3" xfId="2852"/>
    <cellStyle name="20% - 강조색1 7 2 2 2 4" xfId="2853"/>
    <cellStyle name="20% - 강조색1 7 2 2 3" xfId="2854"/>
    <cellStyle name="20% - 강조색1 7 2 2 3 2" xfId="2855"/>
    <cellStyle name="20% - 강조색1 7 2 2 3 3" xfId="2856"/>
    <cellStyle name="20% - 강조색1 7 2 2 4" xfId="2857"/>
    <cellStyle name="20% - 강조색1 7 2 2 5" xfId="2858"/>
    <cellStyle name="20% - 강조색1 7 2 3" xfId="2859"/>
    <cellStyle name="20% - 강조색1 7 2 3 2" xfId="2860"/>
    <cellStyle name="20% - 강조색1 7 2 3 2 2" xfId="2861"/>
    <cellStyle name="20% - 강조색1 7 2 3 2 2 2" xfId="2862"/>
    <cellStyle name="20% - 강조색1 7 2 3 2 2 3" xfId="2863"/>
    <cellStyle name="20% - 강조색1 7 2 3 2 3" xfId="2864"/>
    <cellStyle name="20% - 강조색1 7 2 3 2 4" xfId="2865"/>
    <cellStyle name="20% - 강조색1 7 2 3 3" xfId="2866"/>
    <cellStyle name="20% - 강조색1 7 2 3 3 2" xfId="2867"/>
    <cellStyle name="20% - 강조색1 7 2 3 3 3" xfId="2868"/>
    <cellStyle name="20% - 강조색1 7 2 3 4" xfId="2869"/>
    <cellStyle name="20% - 강조색1 7 2 3 5" xfId="2870"/>
    <cellStyle name="20% - 강조색1 7 2 4" xfId="2871"/>
    <cellStyle name="20% - 강조색1 7 2 4 2" xfId="2872"/>
    <cellStyle name="20% - 강조색1 7 2 4 2 2" xfId="2873"/>
    <cellStyle name="20% - 강조색1 7 2 4 2 3" xfId="2874"/>
    <cellStyle name="20% - 강조색1 7 2 4 3" xfId="2875"/>
    <cellStyle name="20% - 강조색1 7 2 4 4" xfId="2876"/>
    <cellStyle name="20% - 강조색1 7 2 5" xfId="2877"/>
    <cellStyle name="20% - 강조색1 7 2 5 2" xfId="2878"/>
    <cellStyle name="20% - 강조색1 7 2 5 3" xfId="2879"/>
    <cellStyle name="20% - 강조색1 7 2 6" xfId="2880"/>
    <cellStyle name="20% - 강조색1 7 2 7" xfId="2881"/>
    <cellStyle name="20% - 강조색1 7 3" xfId="2882"/>
    <cellStyle name="20% - 강조색1 7 3 2" xfId="2883"/>
    <cellStyle name="20% - 강조색1 7 3 2 2" xfId="2884"/>
    <cellStyle name="20% - 강조색1 7 3 2 2 2" xfId="2885"/>
    <cellStyle name="20% - 강조색1 7 3 2 2 2 2" xfId="2886"/>
    <cellStyle name="20% - 강조색1 7 3 2 2 2 3" xfId="2887"/>
    <cellStyle name="20% - 강조색1 7 3 2 2 3" xfId="2888"/>
    <cellStyle name="20% - 강조색1 7 3 2 2 4" xfId="2889"/>
    <cellStyle name="20% - 강조색1 7 3 2 3" xfId="2890"/>
    <cellStyle name="20% - 강조색1 7 3 2 3 2" xfId="2891"/>
    <cellStyle name="20% - 강조색1 7 3 2 3 3" xfId="2892"/>
    <cellStyle name="20% - 강조색1 7 3 2 4" xfId="2893"/>
    <cellStyle name="20% - 강조색1 7 3 2 5" xfId="2894"/>
    <cellStyle name="20% - 강조색1 7 3 3" xfId="2895"/>
    <cellStyle name="20% - 강조색1 7 3 3 2" xfId="2896"/>
    <cellStyle name="20% - 강조색1 7 3 3 2 2" xfId="2897"/>
    <cellStyle name="20% - 강조색1 7 3 3 2 2 2" xfId="2898"/>
    <cellStyle name="20% - 강조색1 7 3 3 2 2 3" xfId="2899"/>
    <cellStyle name="20% - 강조색1 7 3 3 2 3" xfId="2900"/>
    <cellStyle name="20% - 강조색1 7 3 3 2 4" xfId="2901"/>
    <cellStyle name="20% - 강조색1 7 3 3 3" xfId="2902"/>
    <cellStyle name="20% - 강조색1 7 3 3 3 2" xfId="2903"/>
    <cellStyle name="20% - 강조색1 7 3 3 3 3" xfId="2904"/>
    <cellStyle name="20% - 강조색1 7 3 3 4" xfId="2905"/>
    <cellStyle name="20% - 강조색1 7 3 3 5" xfId="2906"/>
    <cellStyle name="20% - 강조색1 7 3 4" xfId="2907"/>
    <cellStyle name="20% - 강조색1 7 3 4 2" xfId="2908"/>
    <cellStyle name="20% - 강조색1 7 3 4 2 2" xfId="2909"/>
    <cellStyle name="20% - 강조색1 7 3 4 2 3" xfId="2910"/>
    <cellStyle name="20% - 강조색1 7 3 4 3" xfId="2911"/>
    <cellStyle name="20% - 강조색1 7 3 4 4" xfId="2912"/>
    <cellStyle name="20% - 강조색1 7 3 5" xfId="2913"/>
    <cellStyle name="20% - 강조색1 7 3 5 2" xfId="2914"/>
    <cellStyle name="20% - 강조색1 7 3 5 3" xfId="2915"/>
    <cellStyle name="20% - 강조색1 7 3 6" xfId="2916"/>
    <cellStyle name="20% - 강조색1 7 3 7" xfId="2917"/>
    <cellStyle name="20% - 강조색1 7 4" xfId="2918"/>
    <cellStyle name="20% - 강조색1 7 4 2" xfId="2919"/>
    <cellStyle name="20% - 강조색1 7 4 2 2" xfId="2920"/>
    <cellStyle name="20% - 강조색1 7 4 2 2 2" xfId="2921"/>
    <cellStyle name="20% - 강조색1 7 4 2 2 3" xfId="2922"/>
    <cellStyle name="20% - 강조색1 7 4 2 3" xfId="2923"/>
    <cellStyle name="20% - 강조색1 7 4 2 4" xfId="2924"/>
    <cellStyle name="20% - 강조색1 7 4 3" xfId="2925"/>
    <cellStyle name="20% - 강조색1 7 4 3 2" xfId="2926"/>
    <cellStyle name="20% - 강조색1 7 4 3 3" xfId="2927"/>
    <cellStyle name="20% - 강조색1 7 4 4" xfId="2928"/>
    <cellStyle name="20% - 강조색1 7 4 5" xfId="2929"/>
    <cellStyle name="20% - 강조색1 7 5" xfId="2930"/>
    <cellStyle name="20% - 강조색1 7 5 2" xfId="2931"/>
    <cellStyle name="20% - 강조색1 7 5 2 2" xfId="2932"/>
    <cellStyle name="20% - 강조색1 7 5 2 2 2" xfId="2933"/>
    <cellStyle name="20% - 강조색1 7 5 2 2 3" xfId="2934"/>
    <cellStyle name="20% - 강조색1 7 5 2 3" xfId="2935"/>
    <cellStyle name="20% - 강조색1 7 5 2 4" xfId="2936"/>
    <cellStyle name="20% - 강조색1 7 5 3" xfId="2937"/>
    <cellStyle name="20% - 강조색1 7 5 3 2" xfId="2938"/>
    <cellStyle name="20% - 강조색1 7 5 3 3" xfId="2939"/>
    <cellStyle name="20% - 강조색1 7 5 4" xfId="2940"/>
    <cellStyle name="20% - 강조색1 7 5 5" xfId="2941"/>
    <cellStyle name="20% - 강조색1 7 6" xfId="2942"/>
    <cellStyle name="20% - 강조색1 7 6 2" xfId="2943"/>
    <cellStyle name="20% - 강조색1 7 6 2 2" xfId="2944"/>
    <cellStyle name="20% - 강조색1 7 6 2 2 2" xfId="2945"/>
    <cellStyle name="20% - 강조색1 7 6 2 2 3" xfId="2946"/>
    <cellStyle name="20% - 강조색1 7 6 2 3" xfId="2947"/>
    <cellStyle name="20% - 강조색1 7 6 2 4" xfId="2948"/>
    <cellStyle name="20% - 강조색1 7 6 3" xfId="2949"/>
    <cellStyle name="20% - 강조색1 7 6 3 2" xfId="2950"/>
    <cellStyle name="20% - 강조색1 7 6 3 3" xfId="2951"/>
    <cellStyle name="20% - 강조색1 7 6 4" xfId="2952"/>
    <cellStyle name="20% - 강조색1 7 6 5" xfId="2953"/>
    <cellStyle name="20% - 강조색1 7 7" xfId="2954"/>
    <cellStyle name="20% - 강조색1 7 7 2" xfId="2955"/>
    <cellStyle name="20% - 강조색1 7 7 2 2" xfId="2956"/>
    <cellStyle name="20% - 강조색1 7 7 2 3" xfId="2957"/>
    <cellStyle name="20% - 강조색1 7 7 3" xfId="2958"/>
    <cellStyle name="20% - 강조색1 7 7 4" xfId="2959"/>
    <cellStyle name="20% - 강조색1 7 8" xfId="2960"/>
    <cellStyle name="20% - 강조색1 7 8 2" xfId="2961"/>
    <cellStyle name="20% - 강조색1 7 8 3" xfId="2962"/>
    <cellStyle name="20% - 강조색1 7 9" xfId="2963"/>
    <cellStyle name="20% - 강조색1 8" xfId="2964"/>
    <cellStyle name="20% - 강조색1 8 2" xfId="2965"/>
    <cellStyle name="20% - 강조색1 8 2 2" xfId="2966"/>
    <cellStyle name="20% - 강조색1 8 2 2 2" xfId="2967"/>
    <cellStyle name="20% - 강조색1 8 2 2 2 2" xfId="2968"/>
    <cellStyle name="20% - 강조색1 8 2 2 2 3" xfId="2969"/>
    <cellStyle name="20% - 강조색1 8 2 2 3" xfId="2970"/>
    <cellStyle name="20% - 강조색1 8 2 2 4" xfId="2971"/>
    <cellStyle name="20% - 강조색1 8 2 3" xfId="2972"/>
    <cellStyle name="20% - 강조색1 8 2 3 2" xfId="2973"/>
    <cellStyle name="20% - 강조색1 8 2 3 3" xfId="2974"/>
    <cellStyle name="20% - 강조색1 8 2 4" xfId="2975"/>
    <cellStyle name="20% - 강조색1 8 2 5" xfId="2976"/>
    <cellStyle name="20% - 강조색1 8 3" xfId="2977"/>
    <cellStyle name="20% - 강조색1 8 3 2" xfId="2978"/>
    <cellStyle name="20% - 강조색1 8 3 2 2" xfId="2979"/>
    <cellStyle name="20% - 강조색1 8 3 2 2 2" xfId="2980"/>
    <cellStyle name="20% - 강조색1 8 3 2 2 3" xfId="2981"/>
    <cellStyle name="20% - 강조색1 8 3 2 3" xfId="2982"/>
    <cellStyle name="20% - 강조색1 8 3 2 4" xfId="2983"/>
    <cellStyle name="20% - 강조색1 8 3 3" xfId="2984"/>
    <cellStyle name="20% - 강조색1 8 3 3 2" xfId="2985"/>
    <cellStyle name="20% - 강조색1 8 3 3 3" xfId="2986"/>
    <cellStyle name="20% - 강조색1 8 3 4" xfId="2987"/>
    <cellStyle name="20% - 강조색1 8 3 5" xfId="2988"/>
    <cellStyle name="20% - 강조색1 8 4" xfId="2989"/>
    <cellStyle name="20% - 강조색1 8 4 2" xfId="2990"/>
    <cellStyle name="20% - 강조색1 8 4 2 2" xfId="2991"/>
    <cellStyle name="20% - 강조색1 8 4 2 3" xfId="2992"/>
    <cellStyle name="20% - 강조색1 8 4 3" xfId="2993"/>
    <cellStyle name="20% - 강조색1 8 4 4" xfId="2994"/>
    <cellStyle name="20% - 강조색1 8 5" xfId="2995"/>
    <cellStyle name="20% - 강조색1 8 5 2" xfId="2996"/>
    <cellStyle name="20% - 강조색1 8 5 3" xfId="2997"/>
    <cellStyle name="20% - 강조색1 8 6" xfId="2998"/>
    <cellStyle name="20% - 강조색1 8 7" xfId="2999"/>
    <cellStyle name="20% - 강조색1 9" xfId="3000"/>
    <cellStyle name="20% - 강조색1 9 2" xfId="3001"/>
    <cellStyle name="20% - 강조색1 9 2 2" xfId="3002"/>
    <cellStyle name="20% - 강조색1 9 2 2 2" xfId="3003"/>
    <cellStyle name="20% - 강조색1 9 2 2 2 2" xfId="3004"/>
    <cellStyle name="20% - 강조색1 9 2 2 2 3" xfId="3005"/>
    <cellStyle name="20% - 강조색1 9 2 2 3" xfId="3006"/>
    <cellStyle name="20% - 강조색1 9 2 2 4" xfId="3007"/>
    <cellStyle name="20% - 강조색1 9 2 3" xfId="3008"/>
    <cellStyle name="20% - 강조색1 9 2 3 2" xfId="3009"/>
    <cellStyle name="20% - 강조색1 9 2 3 3" xfId="3010"/>
    <cellStyle name="20% - 강조색1 9 2 4" xfId="3011"/>
    <cellStyle name="20% - 강조색1 9 2 5" xfId="3012"/>
    <cellStyle name="20% - 강조색1 9 3" xfId="3013"/>
    <cellStyle name="20% - 강조색1 9 3 2" xfId="3014"/>
    <cellStyle name="20% - 강조색1 9 3 2 2" xfId="3015"/>
    <cellStyle name="20% - 강조색1 9 3 2 2 2" xfId="3016"/>
    <cellStyle name="20% - 강조색1 9 3 2 2 3" xfId="3017"/>
    <cellStyle name="20% - 강조색1 9 3 2 3" xfId="3018"/>
    <cellStyle name="20% - 강조색1 9 3 2 4" xfId="3019"/>
    <cellStyle name="20% - 강조색1 9 3 3" xfId="3020"/>
    <cellStyle name="20% - 강조색1 9 3 3 2" xfId="3021"/>
    <cellStyle name="20% - 강조색1 9 3 3 3" xfId="3022"/>
    <cellStyle name="20% - 강조색1 9 3 4" xfId="3023"/>
    <cellStyle name="20% - 강조색1 9 3 5" xfId="3024"/>
    <cellStyle name="20% - 강조색1 9 4" xfId="3025"/>
    <cellStyle name="20% - 강조색1 9 4 2" xfId="3026"/>
    <cellStyle name="20% - 강조색1 9 4 2 2" xfId="3027"/>
    <cellStyle name="20% - 강조색1 9 4 2 3" xfId="3028"/>
    <cellStyle name="20% - 강조색1 9 4 3" xfId="3029"/>
    <cellStyle name="20% - 강조색1 9 4 4" xfId="3030"/>
    <cellStyle name="20% - 강조색1 9 5" xfId="3031"/>
    <cellStyle name="20% - 강조색1 9 5 2" xfId="3032"/>
    <cellStyle name="20% - 강조색1 9 5 3" xfId="3033"/>
    <cellStyle name="20% - 강조색1 9 6" xfId="3034"/>
    <cellStyle name="20% - 강조색1 9 7" xfId="3035"/>
    <cellStyle name="20% - 강조색2 10" xfId="3036"/>
    <cellStyle name="20% - 강조색2 10 2" xfId="3037"/>
    <cellStyle name="20% - 강조색2 10 2 2" xfId="3038"/>
    <cellStyle name="20% - 강조색2 10 2 2 2" xfId="3039"/>
    <cellStyle name="20% - 강조색2 10 2 2 2 2" xfId="3040"/>
    <cellStyle name="20% - 강조색2 10 2 2 2 3" xfId="3041"/>
    <cellStyle name="20% - 강조색2 10 2 2 3" xfId="3042"/>
    <cellStyle name="20% - 강조색2 10 2 2 4" xfId="3043"/>
    <cellStyle name="20% - 강조색2 10 2 3" xfId="3044"/>
    <cellStyle name="20% - 강조색2 10 2 3 2" xfId="3045"/>
    <cellStyle name="20% - 강조색2 10 2 3 3" xfId="3046"/>
    <cellStyle name="20% - 강조색2 10 2 4" xfId="3047"/>
    <cellStyle name="20% - 강조색2 10 2 5" xfId="3048"/>
    <cellStyle name="20% - 강조색2 10 3" xfId="3049"/>
    <cellStyle name="20% - 강조색2 10 3 2" xfId="3050"/>
    <cellStyle name="20% - 강조색2 10 3 2 2" xfId="3051"/>
    <cellStyle name="20% - 강조색2 10 3 2 2 2" xfId="3052"/>
    <cellStyle name="20% - 강조색2 10 3 2 2 3" xfId="3053"/>
    <cellStyle name="20% - 강조색2 10 3 2 3" xfId="3054"/>
    <cellStyle name="20% - 강조색2 10 3 2 4" xfId="3055"/>
    <cellStyle name="20% - 강조색2 10 3 3" xfId="3056"/>
    <cellStyle name="20% - 강조색2 10 3 3 2" xfId="3057"/>
    <cellStyle name="20% - 강조색2 10 3 3 3" xfId="3058"/>
    <cellStyle name="20% - 강조색2 10 3 4" xfId="3059"/>
    <cellStyle name="20% - 강조색2 10 3 5" xfId="3060"/>
    <cellStyle name="20% - 강조색2 10 4" xfId="3061"/>
    <cellStyle name="20% - 강조색2 10 4 2" xfId="3062"/>
    <cellStyle name="20% - 강조색2 10 4 2 2" xfId="3063"/>
    <cellStyle name="20% - 강조색2 10 4 2 3" xfId="3064"/>
    <cellStyle name="20% - 강조색2 10 4 3" xfId="3065"/>
    <cellStyle name="20% - 강조색2 10 4 4" xfId="3066"/>
    <cellStyle name="20% - 강조색2 10 5" xfId="3067"/>
    <cellStyle name="20% - 강조색2 10 5 2" xfId="3068"/>
    <cellStyle name="20% - 강조색2 10 5 3" xfId="3069"/>
    <cellStyle name="20% - 강조색2 10 6" xfId="3070"/>
    <cellStyle name="20% - 강조색2 10 7" xfId="3071"/>
    <cellStyle name="20% - 강조색2 11" xfId="3072"/>
    <cellStyle name="20% - 강조색2 11 2" xfId="3073"/>
    <cellStyle name="20% - 강조색2 11 2 2" xfId="3074"/>
    <cellStyle name="20% - 강조색2 11 2 2 2" xfId="3075"/>
    <cellStyle name="20% - 강조색2 11 2 2 3" xfId="3076"/>
    <cellStyle name="20% - 강조색2 11 2 3" xfId="3077"/>
    <cellStyle name="20% - 강조색2 11 2 4" xfId="3078"/>
    <cellStyle name="20% - 강조색2 11 3" xfId="3079"/>
    <cellStyle name="20% - 강조색2 11 3 2" xfId="3080"/>
    <cellStyle name="20% - 강조색2 11 3 3" xfId="3081"/>
    <cellStyle name="20% - 강조색2 11 4" xfId="3082"/>
    <cellStyle name="20% - 강조색2 11 5" xfId="3083"/>
    <cellStyle name="20% - 강조색2 12" xfId="3084"/>
    <cellStyle name="20% - 강조색2 12 2" xfId="3085"/>
    <cellStyle name="20% - 강조색2 12 2 2" xfId="3086"/>
    <cellStyle name="20% - 강조색2 12 2 2 2" xfId="3087"/>
    <cellStyle name="20% - 강조색2 12 2 2 3" xfId="3088"/>
    <cellStyle name="20% - 강조색2 12 2 3" xfId="3089"/>
    <cellStyle name="20% - 강조색2 12 2 4" xfId="3090"/>
    <cellStyle name="20% - 강조색2 12 3" xfId="3091"/>
    <cellStyle name="20% - 강조색2 12 3 2" xfId="3092"/>
    <cellStyle name="20% - 강조색2 12 3 3" xfId="3093"/>
    <cellStyle name="20% - 강조색2 12 4" xfId="3094"/>
    <cellStyle name="20% - 강조색2 12 5" xfId="3095"/>
    <cellStyle name="20% - 강조색2 13" xfId="3096"/>
    <cellStyle name="20% - 강조색2 13 2" xfId="3097"/>
    <cellStyle name="20% - 강조색2 13 2 2" xfId="3098"/>
    <cellStyle name="20% - 강조색2 13 2 3" xfId="3099"/>
    <cellStyle name="20% - 강조색2 13 3" xfId="3100"/>
    <cellStyle name="20% - 강조색2 13 4" xfId="3101"/>
    <cellStyle name="20% - 강조색2 14" xfId="3102"/>
    <cellStyle name="20% - 강조색2 14 2" xfId="3103"/>
    <cellStyle name="20% - 강조색2 14 2 2" xfId="3104"/>
    <cellStyle name="20% - 강조색2 14 2 3" xfId="3105"/>
    <cellStyle name="20% - 강조색2 14 3" xfId="3106"/>
    <cellStyle name="20% - 강조색2 14 4" xfId="3107"/>
    <cellStyle name="20% - 강조색2 15" xfId="3108"/>
    <cellStyle name="20% - 강조색2 15 2" xfId="3109"/>
    <cellStyle name="20% - 강조색2 15 3" xfId="3110"/>
    <cellStyle name="20% - 강조색2 16" xfId="3111"/>
    <cellStyle name="20% - 강조색2 16 2" xfId="3112"/>
    <cellStyle name="20% - 강조색2 16 3" xfId="3113"/>
    <cellStyle name="20% - 강조색2 16 4" xfId="3114"/>
    <cellStyle name="20% - 강조색2 17" xfId="3115"/>
    <cellStyle name="20% - 강조색2 17 2" xfId="3116"/>
    <cellStyle name="20% - 강조색2 17 3" xfId="3117"/>
    <cellStyle name="20% - 강조색2 18" xfId="3118"/>
    <cellStyle name="20% - 강조색2 18 2" xfId="3119"/>
    <cellStyle name="20% - 강조색2 18 3" xfId="3120"/>
    <cellStyle name="20% - 강조색2 19" xfId="3121"/>
    <cellStyle name="20% - 강조색2 19 2" xfId="3122"/>
    <cellStyle name="20% - 강조색2 19 3" xfId="3123"/>
    <cellStyle name="20% - 강조색2 2" xfId="3124"/>
    <cellStyle name="20% - 강조색2 2 2" xfId="3125"/>
    <cellStyle name="20% - 강조색2 2 2 2" xfId="3126"/>
    <cellStyle name="20% - 강조색2 2 2 2 2" xfId="3127"/>
    <cellStyle name="20% - 강조색2 2 2 3" xfId="3128"/>
    <cellStyle name="20% - 강조색2 2 3" xfId="3129"/>
    <cellStyle name="20% - 강조색2 2 3 2" xfId="3130"/>
    <cellStyle name="20% - 강조색2 2 3 2 2" xfId="3131"/>
    <cellStyle name="20% - 강조색2 2 3 3" xfId="3132"/>
    <cellStyle name="20% - 강조색2 2 4" xfId="3133"/>
    <cellStyle name="20% - 강조색2 2 4 2" xfId="3134"/>
    <cellStyle name="20% - 강조색2 2 5" xfId="3135"/>
    <cellStyle name="20% - 강조색2 2 6" xfId="3136"/>
    <cellStyle name="20% - 강조색2 20" xfId="3137"/>
    <cellStyle name="20% - 강조색2 20 2" xfId="3138"/>
    <cellStyle name="20% - 강조색2 20 3" xfId="3139"/>
    <cellStyle name="20% - 강조색2 21" xfId="3140"/>
    <cellStyle name="20% - 강조색2 21 2" xfId="3141"/>
    <cellStyle name="20% - 강조색2 21 3" xfId="3142"/>
    <cellStyle name="20% - 강조색2 22" xfId="3143"/>
    <cellStyle name="20% - 강조색2 22 2" xfId="3144"/>
    <cellStyle name="20% - 강조색2 22 3" xfId="3145"/>
    <cellStyle name="20% - 강조색2 23" xfId="3146"/>
    <cellStyle name="20% - 강조색2 23 2" xfId="3147"/>
    <cellStyle name="20% - 강조색2 23 3" xfId="3148"/>
    <cellStyle name="20% - 강조색2 24" xfId="3149"/>
    <cellStyle name="20% - 강조색2 24 2" xfId="3150"/>
    <cellStyle name="20% - 강조색2 25" xfId="3151"/>
    <cellStyle name="20% - 강조색2 25 2" xfId="3152"/>
    <cellStyle name="20% - 강조색2 26" xfId="3153"/>
    <cellStyle name="20% - 강조색2 26 2" xfId="3154"/>
    <cellStyle name="20% - 강조색2 27" xfId="3155"/>
    <cellStyle name="20% - 강조색2 27 2" xfId="3156"/>
    <cellStyle name="20% - 강조색2 28" xfId="3157"/>
    <cellStyle name="20% - 강조색2 28 2" xfId="3158"/>
    <cellStyle name="20% - 강조색2 29" xfId="3159"/>
    <cellStyle name="20% - 강조색2 29 2" xfId="3160"/>
    <cellStyle name="20% - 강조색2 3" xfId="3161"/>
    <cellStyle name="20% - 강조색2 3 10" xfId="3162"/>
    <cellStyle name="20% - 강조색2 3 10 2" xfId="3163"/>
    <cellStyle name="20% - 강조색2 3 10 2 2" xfId="3164"/>
    <cellStyle name="20% - 강조색2 3 10 2 3" xfId="3165"/>
    <cellStyle name="20% - 강조색2 3 10 3" xfId="3166"/>
    <cellStyle name="20% - 강조색2 3 10 4" xfId="3167"/>
    <cellStyle name="20% - 강조색2 3 11" xfId="3168"/>
    <cellStyle name="20% - 강조색2 3 11 2" xfId="3169"/>
    <cellStyle name="20% - 강조색2 3 11 3" xfId="3170"/>
    <cellStyle name="20% - 강조색2 3 12" xfId="3171"/>
    <cellStyle name="20% - 강조색2 3 13" xfId="3172"/>
    <cellStyle name="20% - 강조색2 3 14" xfId="3173"/>
    <cellStyle name="20% - 강조색2 3 15" xfId="3174"/>
    <cellStyle name="20% - 강조색2 3 2" xfId="3175"/>
    <cellStyle name="20% - 강조색2 3 2 10" xfId="3176"/>
    <cellStyle name="20% - 강조색2 3 2 11" xfId="3177"/>
    <cellStyle name="20% - 강조색2 3 2 12" xfId="3178"/>
    <cellStyle name="20% - 강조색2 3 2 2" xfId="3179"/>
    <cellStyle name="20% - 강조색2 3 2 2 2" xfId="3180"/>
    <cellStyle name="20% - 강조색2 3 2 2 2 2" xfId="3181"/>
    <cellStyle name="20% - 강조색2 3 2 2 2 2 2" xfId="3182"/>
    <cellStyle name="20% - 강조색2 3 2 2 2 2 2 2" xfId="3183"/>
    <cellStyle name="20% - 강조색2 3 2 2 2 2 2 3" xfId="3184"/>
    <cellStyle name="20% - 강조색2 3 2 2 2 2 3" xfId="3185"/>
    <cellStyle name="20% - 강조색2 3 2 2 2 2 4" xfId="3186"/>
    <cellStyle name="20% - 강조색2 3 2 2 2 3" xfId="3187"/>
    <cellStyle name="20% - 강조색2 3 2 2 2 3 2" xfId="3188"/>
    <cellStyle name="20% - 강조색2 3 2 2 2 3 3" xfId="3189"/>
    <cellStyle name="20% - 강조색2 3 2 2 2 4" xfId="3190"/>
    <cellStyle name="20% - 강조색2 3 2 2 2 5" xfId="3191"/>
    <cellStyle name="20% - 강조색2 3 2 2 3" xfId="3192"/>
    <cellStyle name="20% - 강조색2 3 2 2 3 2" xfId="3193"/>
    <cellStyle name="20% - 강조색2 3 2 2 3 2 2" xfId="3194"/>
    <cellStyle name="20% - 강조색2 3 2 2 3 2 2 2" xfId="3195"/>
    <cellStyle name="20% - 강조색2 3 2 2 3 2 2 3" xfId="3196"/>
    <cellStyle name="20% - 강조색2 3 2 2 3 2 3" xfId="3197"/>
    <cellStyle name="20% - 강조색2 3 2 2 3 2 4" xfId="3198"/>
    <cellStyle name="20% - 강조색2 3 2 2 3 3" xfId="3199"/>
    <cellStyle name="20% - 강조색2 3 2 2 3 3 2" xfId="3200"/>
    <cellStyle name="20% - 강조색2 3 2 2 3 3 3" xfId="3201"/>
    <cellStyle name="20% - 강조색2 3 2 2 3 4" xfId="3202"/>
    <cellStyle name="20% - 강조색2 3 2 2 3 5" xfId="3203"/>
    <cellStyle name="20% - 강조색2 3 2 2 4" xfId="3204"/>
    <cellStyle name="20% - 강조색2 3 2 2 4 2" xfId="3205"/>
    <cellStyle name="20% - 강조색2 3 2 2 4 2 2" xfId="3206"/>
    <cellStyle name="20% - 강조색2 3 2 2 4 2 3" xfId="3207"/>
    <cellStyle name="20% - 강조색2 3 2 2 4 3" xfId="3208"/>
    <cellStyle name="20% - 강조색2 3 2 2 4 4" xfId="3209"/>
    <cellStyle name="20% - 강조색2 3 2 2 5" xfId="3210"/>
    <cellStyle name="20% - 강조색2 3 2 2 5 2" xfId="3211"/>
    <cellStyle name="20% - 강조색2 3 2 2 5 3" xfId="3212"/>
    <cellStyle name="20% - 강조색2 3 2 2 6" xfId="3213"/>
    <cellStyle name="20% - 강조색2 3 2 2 7" xfId="3214"/>
    <cellStyle name="20% - 강조색2 3 2 2 8" xfId="3215"/>
    <cellStyle name="20% - 강조색2 3 2 2 9" xfId="3216"/>
    <cellStyle name="20% - 강조색2 3 2 3" xfId="3217"/>
    <cellStyle name="20% - 강조색2 3 2 3 2" xfId="3218"/>
    <cellStyle name="20% - 강조색2 3 2 3 2 2" xfId="3219"/>
    <cellStyle name="20% - 강조색2 3 2 3 2 2 2" xfId="3220"/>
    <cellStyle name="20% - 강조색2 3 2 3 2 2 2 2" xfId="3221"/>
    <cellStyle name="20% - 강조색2 3 2 3 2 2 2 3" xfId="3222"/>
    <cellStyle name="20% - 강조색2 3 2 3 2 2 3" xfId="3223"/>
    <cellStyle name="20% - 강조색2 3 2 3 2 2 4" xfId="3224"/>
    <cellStyle name="20% - 강조색2 3 2 3 2 3" xfId="3225"/>
    <cellStyle name="20% - 강조색2 3 2 3 2 3 2" xfId="3226"/>
    <cellStyle name="20% - 강조색2 3 2 3 2 3 3" xfId="3227"/>
    <cellStyle name="20% - 강조색2 3 2 3 2 4" xfId="3228"/>
    <cellStyle name="20% - 강조색2 3 2 3 2 5" xfId="3229"/>
    <cellStyle name="20% - 강조색2 3 2 3 3" xfId="3230"/>
    <cellStyle name="20% - 강조색2 3 2 3 3 2" xfId="3231"/>
    <cellStyle name="20% - 강조색2 3 2 3 3 2 2" xfId="3232"/>
    <cellStyle name="20% - 강조색2 3 2 3 3 2 2 2" xfId="3233"/>
    <cellStyle name="20% - 강조색2 3 2 3 3 2 2 3" xfId="3234"/>
    <cellStyle name="20% - 강조색2 3 2 3 3 2 3" xfId="3235"/>
    <cellStyle name="20% - 강조색2 3 2 3 3 2 4" xfId="3236"/>
    <cellStyle name="20% - 강조색2 3 2 3 3 3" xfId="3237"/>
    <cellStyle name="20% - 강조색2 3 2 3 3 3 2" xfId="3238"/>
    <cellStyle name="20% - 강조색2 3 2 3 3 3 3" xfId="3239"/>
    <cellStyle name="20% - 강조색2 3 2 3 3 4" xfId="3240"/>
    <cellStyle name="20% - 강조색2 3 2 3 3 5" xfId="3241"/>
    <cellStyle name="20% - 강조색2 3 2 3 4" xfId="3242"/>
    <cellStyle name="20% - 강조색2 3 2 3 4 2" xfId="3243"/>
    <cellStyle name="20% - 강조색2 3 2 3 4 2 2" xfId="3244"/>
    <cellStyle name="20% - 강조색2 3 2 3 4 2 3" xfId="3245"/>
    <cellStyle name="20% - 강조색2 3 2 3 4 3" xfId="3246"/>
    <cellStyle name="20% - 강조색2 3 2 3 4 4" xfId="3247"/>
    <cellStyle name="20% - 강조색2 3 2 3 5" xfId="3248"/>
    <cellStyle name="20% - 강조색2 3 2 3 5 2" xfId="3249"/>
    <cellStyle name="20% - 강조색2 3 2 3 5 3" xfId="3250"/>
    <cellStyle name="20% - 강조색2 3 2 3 6" xfId="3251"/>
    <cellStyle name="20% - 강조색2 3 2 3 7" xfId="3252"/>
    <cellStyle name="20% - 강조색2 3 2 4" xfId="3253"/>
    <cellStyle name="20% - 강조색2 3 2 4 2" xfId="3254"/>
    <cellStyle name="20% - 강조색2 3 2 4 2 2" xfId="3255"/>
    <cellStyle name="20% - 강조색2 3 2 4 2 2 2" xfId="3256"/>
    <cellStyle name="20% - 강조색2 3 2 4 2 2 3" xfId="3257"/>
    <cellStyle name="20% - 강조색2 3 2 4 2 3" xfId="3258"/>
    <cellStyle name="20% - 강조색2 3 2 4 2 4" xfId="3259"/>
    <cellStyle name="20% - 강조색2 3 2 4 3" xfId="3260"/>
    <cellStyle name="20% - 강조색2 3 2 4 3 2" xfId="3261"/>
    <cellStyle name="20% - 강조색2 3 2 4 3 3" xfId="3262"/>
    <cellStyle name="20% - 강조색2 3 2 4 4" xfId="3263"/>
    <cellStyle name="20% - 강조색2 3 2 4 5" xfId="3264"/>
    <cellStyle name="20% - 강조색2 3 2 5" xfId="3265"/>
    <cellStyle name="20% - 강조색2 3 2 5 2" xfId="3266"/>
    <cellStyle name="20% - 강조색2 3 2 5 2 2" xfId="3267"/>
    <cellStyle name="20% - 강조색2 3 2 5 2 2 2" xfId="3268"/>
    <cellStyle name="20% - 강조색2 3 2 5 2 2 3" xfId="3269"/>
    <cellStyle name="20% - 강조색2 3 2 5 2 3" xfId="3270"/>
    <cellStyle name="20% - 강조색2 3 2 5 2 4" xfId="3271"/>
    <cellStyle name="20% - 강조색2 3 2 5 3" xfId="3272"/>
    <cellStyle name="20% - 강조색2 3 2 5 3 2" xfId="3273"/>
    <cellStyle name="20% - 강조색2 3 2 5 3 3" xfId="3274"/>
    <cellStyle name="20% - 강조색2 3 2 5 4" xfId="3275"/>
    <cellStyle name="20% - 강조색2 3 2 5 5" xfId="3276"/>
    <cellStyle name="20% - 강조색2 3 2 6" xfId="3277"/>
    <cellStyle name="20% - 강조색2 3 2 6 2" xfId="3278"/>
    <cellStyle name="20% - 강조색2 3 2 6 2 2" xfId="3279"/>
    <cellStyle name="20% - 강조색2 3 2 6 2 2 2" xfId="3280"/>
    <cellStyle name="20% - 강조색2 3 2 6 2 2 3" xfId="3281"/>
    <cellStyle name="20% - 강조색2 3 2 6 2 3" xfId="3282"/>
    <cellStyle name="20% - 강조색2 3 2 6 2 4" xfId="3283"/>
    <cellStyle name="20% - 강조색2 3 2 6 3" xfId="3284"/>
    <cellStyle name="20% - 강조색2 3 2 6 3 2" xfId="3285"/>
    <cellStyle name="20% - 강조색2 3 2 6 3 3" xfId="3286"/>
    <cellStyle name="20% - 강조색2 3 2 6 4" xfId="3287"/>
    <cellStyle name="20% - 강조색2 3 2 6 5" xfId="3288"/>
    <cellStyle name="20% - 강조색2 3 2 7" xfId="3289"/>
    <cellStyle name="20% - 강조색2 3 2 7 2" xfId="3290"/>
    <cellStyle name="20% - 강조색2 3 2 7 2 2" xfId="3291"/>
    <cellStyle name="20% - 강조색2 3 2 7 2 3" xfId="3292"/>
    <cellStyle name="20% - 강조색2 3 2 7 3" xfId="3293"/>
    <cellStyle name="20% - 강조색2 3 2 7 4" xfId="3294"/>
    <cellStyle name="20% - 강조색2 3 2 8" xfId="3295"/>
    <cellStyle name="20% - 강조색2 3 2 8 2" xfId="3296"/>
    <cellStyle name="20% - 강조색2 3 2 8 3" xfId="3297"/>
    <cellStyle name="20% - 강조색2 3 2 9" xfId="3298"/>
    <cellStyle name="20% - 강조색2 3 3" xfId="3299"/>
    <cellStyle name="20% - 강조색2 3 3 10" xfId="3300"/>
    <cellStyle name="20% - 강조색2 3 3 11" xfId="3301"/>
    <cellStyle name="20% - 강조색2 3 3 12" xfId="3302"/>
    <cellStyle name="20% - 강조색2 3 3 2" xfId="3303"/>
    <cellStyle name="20% - 강조색2 3 3 2 2" xfId="3304"/>
    <cellStyle name="20% - 강조색2 3 3 2 2 2" xfId="3305"/>
    <cellStyle name="20% - 강조색2 3 3 2 2 2 2" xfId="3306"/>
    <cellStyle name="20% - 강조색2 3 3 2 2 2 2 2" xfId="3307"/>
    <cellStyle name="20% - 강조색2 3 3 2 2 2 2 3" xfId="3308"/>
    <cellStyle name="20% - 강조색2 3 3 2 2 2 3" xfId="3309"/>
    <cellStyle name="20% - 강조색2 3 3 2 2 2 4" xfId="3310"/>
    <cellStyle name="20% - 강조색2 3 3 2 2 3" xfId="3311"/>
    <cellStyle name="20% - 강조색2 3 3 2 2 3 2" xfId="3312"/>
    <cellStyle name="20% - 강조색2 3 3 2 2 3 3" xfId="3313"/>
    <cellStyle name="20% - 강조색2 3 3 2 2 4" xfId="3314"/>
    <cellStyle name="20% - 강조색2 3 3 2 2 5" xfId="3315"/>
    <cellStyle name="20% - 강조색2 3 3 2 3" xfId="3316"/>
    <cellStyle name="20% - 강조색2 3 3 2 3 2" xfId="3317"/>
    <cellStyle name="20% - 강조색2 3 3 2 3 2 2" xfId="3318"/>
    <cellStyle name="20% - 강조색2 3 3 2 3 2 2 2" xfId="3319"/>
    <cellStyle name="20% - 강조색2 3 3 2 3 2 2 3" xfId="3320"/>
    <cellStyle name="20% - 강조색2 3 3 2 3 2 3" xfId="3321"/>
    <cellStyle name="20% - 강조색2 3 3 2 3 2 4" xfId="3322"/>
    <cellStyle name="20% - 강조색2 3 3 2 3 3" xfId="3323"/>
    <cellStyle name="20% - 강조색2 3 3 2 3 3 2" xfId="3324"/>
    <cellStyle name="20% - 강조색2 3 3 2 3 3 3" xfId="3325"/>
    <cellStyle name="20% - 강조색2 3 3 2 3 4" xfId="3326"/>
    <cellStyle name="20% - 강조색2 3 3 2 3 5" xfId="3327"/>
    <cellStyle name="20% - 강조색2 3 3 2 4" xfId="3328"/>
    <cellStyle name="20% - 강조색2 3 3 2 4 2" xfId="3329"/>
    <cellStyle name="20% - 강조색2 3 3 2 4 2 2" xfId="3330"/>
    <cellStyle name="20% - 강조색2 3 3 2 4 2 3" xfId="3331"/>
    <cellStyle name="20% - 강조색2 3 3 2 4 3" xfId="3332"/>
    <cellStyle name="20% - 강조색2 3 3 2 4 4" xfId="3333"/>
    <cellStyle name="20% - 강조색2 3 3 2 5" xfId="3334"/>
    <cellStyle name="20% - 강조색2 3 3 2 5 2" xfId="3335"/>
    <cellStyle name="20% - 강조색2 3 3 2 5 3" xfId="3336"/>
    <cellStyle name="20% - 강조색2 3 3 2 6" xfId="3337"/>
    <cellStyle name="20% - 강조색2 3 3 2 7" xfId="3338"/>
    <cellStyle name="20% - 강조색2 3 3 2 8" xfId="3339"/>
    <cellStyle name="20% - 강조색2 3 3 2 9" xfId="3340"/>
    <cellStyle name="20% - 강조색2 3 3 3" xfId="3341"/>
    <cellStyle name="20% - 강조색2 3 3 3 2" xfId="3342"/>
    <cellStyle name="20% - 강조색2 3 3 3 2 2" xfId="3343"/>
    <cellStyle name="20% - 강조색2 3 3 3 2 2 2" xfId="3344"/>
    <cellStyle name="20% - 강조색2 3 3 3 2 2 2 2" xfId="3345"/>
    <cellStyle name="20% - 강조색2 3 3 3 2 2 2 3" xfId="3346"/>
    <cellStyle name="20% - 강조색2 3 3 3 2 2 3" xfId="3347"/>
    <cellStyle name="20% - 강조색2 3 3 3 2 2 4" xfId="3348"/>
    <cellStyle name="20% - 강조색2 3 3 3 2 3" xfId="3349"/>
    <cellStyle name="20% - 강조색2 3 3 3 2 3 2" xfId="3350"/>
    <cellStyle name="20% - 강조색2 3 3 3 2 3 3" xfId="3351"/>
    <cellStyle name="20% - 강조색2 3 3 3 2 4" xfId="3352"/>
    <cellStyle name="20% - 강조색2 3 3 3 2 5" xfId="3353"/>
    <cellStyle name="20% - 강조색2 3 3 3 3" xfId="3354"/>
    <cellStyle name="20% - 강조색2 3 3 3 3 2" xfId="3355"/>
    <cellStyle name="20% - 강조색2 3 3 3 3 2 2" xfId="3356"/>
    <cellStyle name="20% - 강조색2 3 3 3 3 2 2 2" xfId="3357"/>
    <cellStyle name="20% - 강조색2 3 3 3 3 2 2 3" xfId="3358"/>
    <cellStyle name="20% - 강조색2 3 3 3 3 2 3" xfId="3359"/>
    <cellStyle name="20% - 강조색2 3 3 3 3 2 4" xfId="3360"/>
    <cellStyle name="20% - 강조색2 3 3 3 3 3" xfId="3361"/>
    <cellStyle name="20% - 강조색2 3 3 3 3 3 2" xfId="3362"/>
    <cellStyle name="20% - 강조색2 3 3 3 3 3 3" xfId="3363"/>
    <cellStyle name="20% - 강조색2 3 3 3 3 4" xfId="3364"/>
    <cellStyle name="20% - 강조색2 3 3 3 3 5" xfId="3365"/>
    <cellStyle name="20% - 강조색2 3 3 3 4" xfId="3366"/>
    <cellStyle name="20% - 강조색2 3 3 3 4 2" xfId="3367"/>
    <cellStyle name="20% - 강조색2 3 3 3 4 2 2" xfId="3368"/>
    <cellStyle name="20% - 강조색2 3 3 3 4 2 3" xfId="3369"/>
    <cellStyle name="20% - 강조색2 3 3 3 4 3" xfId="3370"/>
    <cellStyle name="20% - 강조색2 3 3 3 4 4" xfId="3371"/>
    <cellStyle name="20% - 강조색2 3 3 3 5" xfId="3372"/>
    <cellStyle name="20% - 강조색2 3 3 3 5 2" xfId="3373"/>
    <cellStyle name="20% - 강조색2 3 3 3 5 3" xfId="3374"/>
    <cellStyle name="20% - 강조색2 3 3 3 6" xfId="3375"/>
    <cellStyle name="20% - 강조색2 3 3 3 7" xfId="3376"/>
    <cellStyle name="20% - 강조색2 3 3 4" xfId="3377"/>
    <cellStyle name="20% - 강조색2 3 3 4 2" xfId="3378"/>
    <cellStyle name="20% - 강조색2 3 3 4 2 2" xfId="3379"/>
    <cellStyle name="20% - 강조색2 3 3 4 2 2 2" xfId="3380"/>
    <cellStyle name="20% - 강조색2 3 3 4 2 2 3" xfId="3381"/>
    <cellStyle name="20% - 강조색2 3 3 4 2 3" xfId="3382"/>
    <cellStyle name="20% - 강조색2 3 3 4 2 4" xfId="3383"/>
    <cellStyle name="20% - 강조색2 3 3 4 3" xfId="3384"/>
    <cellStyle name="20% - 강조색2 3 3 4 3 2" xfId="3385"/>
    <cellStyle name="20% - 강조색2 3 3 4 3 3" xfId="3386"/>
    <cellStyle name="20% - 강조색2 3 3 4 4" xfId="3387"/>
    <cellStyle name="20% - 강조색2 3 3 4 5" xfId="3388"/>
    <cellStyle name="20% - 강조색2 3 3 5" xfId="3389"/>
    <cellStyle name="20% - 강조색2 3 3 5 2" xfId="3390"/>
    <cellStyle name="20% - 강조색2 3 3 5 2 2" xfId="3391"/>
    <cellStyle name="20% - 강조색2 3 3 5 2 2 2" xfId="3392"/>
    <cellStyle name="20% - 강조색2 3 3 5 2 2 3" xfId="3393"/>
    <cellStyle name="20% - 강조색2 3 3 5 2 3" xfId="3394"/>
    <cellStyle name="20% - 강조색2 3 3 5 2 4" xfId="3395"/>
    <cellStyle name="20% - 강조색2 3 3 5 3" xfId="3396"/>
    <cellStyle name="20% - 강조색2 3 3 5 3 2" xfId="3397"/>
    <cellStyle name="20% - 강조색2 3 3 5 3 3" xfId="3398"/>
    <cellStyle name="20% - 강조색2 3 3 5 4" xfId="3399"/>
    <cellStyle name="20% - 강조색2 3 3 5 5" xfId="3400"/>
    <cellStyle name="20% - 강조색2 3 3 6" xfId="3401"/>
    <cellStyle name="20% - 강조색2 3 3 6 2" xfId="3402"/>
    <cellStyle name="20% - 강조색2 3 3 6 2 2" xfId="3403"/>
    <cellStyle name="20% - 강조색2 3 3 6 2 2 2" xfId="3404"/>
    <cellStyle name="20% - 강조색2 3 3 6 2 2 3" xfId="3405"/>
    <cellStyle name="20% - 강조색2 3 3 6 2 3" xfId="3406"/>
    <cellStyle name="20% - 강조색2 3 3 6 2 4" xfId="3407"/>
    <cellStyle name="20% - 강조색2 3 3 6 3" xfId="3408"/>
    <cellStyle name="20% - 강조색2 3 3 6 3 2" xfId="3409"/>
    <cellStyle name="20% - 강조색2 3 3 6 3 3" xfId="3410"/>
    <cellStyle name="20% - 강조색2 3 3 6 4" xfId="3411"/>
    <cellStyle name="20% - 강조색2 3 3 6 5" xfId="3412"/>
    <cellStyle name="20% - 강조색2 3 3 7" xfId="3413"/>
    <cellStyle name="20% - 강조색2 3 3 7 2" xfId="3414"/>
    <cellStyle name="20% - 강조색2 3 3 7 2 2" xfId="3415"/>
    <cellStyle name="20% - 강조색2 3 3 7 2 3" xfId="3416"/>
    <cellStyle name="20% - 강조색2 3 3 7 3" xfId="3417"/>
    <cellStyle name="20% - 강조색2 3 3 7 4" xfId="3418"/>
    <cellStyle name="20% - 강조색2 3 3 8" xfId="3419"/>
    <cellStyle name="20% - 강조색2 3 3 8 2" xfId="3420"/>
    <cellStyle name="20% - 강조색2 3 3 8 3" xfId="3421"/>
    <cellStyle name="20% - 강조색2 3 3 9" xfId="3422"/>
    <cellStyle name="20% - 강조색2 3 4" xfId="3423"/>
    <cellStyle name="20% - 강조색2 3 4 10" xfId="3424"/>
    <cellStyle name="20% - 강조색2 3 4 11" xfId="3425"/>
    <cellStyle name="20% - 강조색2 3 4 12" xfId="3426"/>
    <cellStyle name="20% - 강조색2 3 4 2" xfId="3427"/>
    <cellStyle name="20% - 강조색2 3 4 2 2" xfId="3428"/>
    <cellStyle name="20% - 강조색2 3 4 2 2 2" xfId="3429"/>
    <cellStyle name="20% - 강조색2 3 4 2 2 2 2" xfId="3430"/>
    <cellStyle name="20% - 강조색2 3 4 2 2 2 2 2" xfId="3431"/>
    <cellStyle name="20% - 강조색2 3 4 2 2 2 2 3" xfId="3432"/>
    <cellStyle name="20% - 강조색2 3 4 2 2 2 3" xfId="3433"/>
    <cellStyle name="20% - 강조색2 3 4 2 2 2 4" xfId="3434"/>
    <cellStyle name="20% - 강조색2 3 4 2 2 3" xfId="3435"/>
    <cellStyle name="20% - 강조색2 3 4 2 2 3 2" xfId="3436"/>
    <cellStyle name="20% - 강조색2 3 4 2 2 3 3" xfId="3437"/>
    <cellStyle name="20% - 강조색2 3 4 2 2 4" xfId="3438"/>
    <cellStyle name="20% - 강조색2 3 4 2 2 5" xfId="3439"/>
    <cellStyle name="20% - 강조색2 3 4 2 3" xfId="3440"/>
    <cellStyle name="20% - 강조색2 3 4 2 3 2" xfId="3441"/>
    <cellStyle name="20% - 강조색2 3 4 2 3 2 2" xfId="3442"/>
    <cellStyle name="20% - 강조색2 3 4 2 3 2 2 2" xfId="3443"/>
    <cellStyle name="20% - 강조색2 3 4 2 3 2 2 3" xfId="3444"/>
    <cellStyle name="20% - 강조색2 3 4 2 3 2 3" xfId="3445"/>
    <cellStyle name="20% - 강조색2 3 4 2 3 2 4" xfId="3446"/>
    <cellStyle name="20% - 강조색2 3 4 2 3 3" xfId="3447"/>
    <cellStyle name="20% - 강조색2 3 4 2 3 3 2" xfId="3448"/>
    <cellStyle name="20% - 강조색2 3 4 2 3 3 3" xfId="3449"/>
    <cellStyle name="20% - 강조색2 3 4 2 3 4" xfId="3450"/>
    <cellStyle name="20% - 강조색2 3 4 2 3 5" xfId="3451"/>
    <cellStyle name="20% - 강조색2 3 4 2 4" xfId="3452"/>
    <cellStyle name="20% - 강조색2 3 4 2 4 2" xfId="3453"/>
    <cellStyle name="20% - 강조색2 3 4 2 4 2 2" xfId="3454"/>
    <cellStyle name="20% - 강조색2 3 4 2 4 2 3" xfId="3455"/>
    <cellStyle name="20% - 강조색2 3 4 2 4 3" xfId="3456"/>
    <cellStyle name="20% - 강조색2 3 4 2 4 4" xfId="3457"/>
    <cellStyle name="20% - 강조색2 3 4 2 5" xfId="3458"/>
    <cellStyle name="20% - 강조색2 3 4 2 5 2" xfId="3459"/>
    <cellStyle name="20% - 강조색2 3 4 2 5 3" xfId="3460"/>
    <cellStyle name="20% - 강조색2 3 4 2 6" xfId="3461"/>
    <cellStyle name="20% - 강조색2 3 4 2 7" xfId="3462"/>
    <cellStyle name="20% - 강조색2 3 4 3" xfId="3463"/>
    <cellStyle name="20% - 강조색2 3 4 3 2" xfId="3464"/>
    <cellStyle name="20% - 강조색2 3 4 3 2 2" xfId="3465"/>
    <cellStyle name="20% - 강조색2 3 4 3 2 2 2" xfId="3466"/>
    <cellStyle name="20% - 강조색2 3 4 3 2 2 2 2" xfId="3467"/>
    <cellStyle name="20% - 강조색2 3 4 3 2 2 2 3" xfId="3468"/>
    <cellStyle name="20% - 강조색2 3 4 3 2 2 3" xfId="3469"/>
    <cellStyle name="20% - 강조색2 3 4 3 2 2 4" xfId="3470"/>
    <cellStyle name="20% - 강조색2 3 4 3 2 3" xfId="3471"/>
    <cellStyle name="20% - 강조색2 3 4 3 2 3 2" xfId="3472"/>
    <cellStyle name="20% - 강조색2 3 4 3 2 3 3" xfId="3473"/>
    <cellStyle name="20% - 강조색2 3 4 3 2 4" xfId="3474"/>
    <cellStyle name="20% - 강조색2 3 4 3 2 5" xfId="3475"/>
    <cellStyle name="20% - 강조색2 3 4 3 3" xfId="3476"/>
    <cellStyle name="20% - 강조색2 3 4 3 3 2" xfId="3477"/>
    <cellStyle name="20% - 강조색2 3 4 3 3 2 2" xfId="3478"/>
    <cellStyle name="20% - 강조색2 3 4 3 3 2 2 2" xfId="3479"/>
    <cellStyle name="20% - 강조색2 3 4 3 3 2 2 3" xfId="3480"/>
    <cellStyle name="20% - 강조색2 3 4 3 3 2 3" xfId="3481"/>
    <cellStyle name="20% - 강조색2 3 4 3 3 2 4" xfId="3482"/>
    <cellStyle name="20% - 강조색2 3 4 3 3 3" xfId="3483"/>
    <cellStyle name="20% - 강조색2 3 4 3 3 3 2" xfId="3484"/>
    <cellStyle name="20% - 강조색2 3 4 3 3 3 3" xfId="3485"/>
    <cellStyle name="20% - 강조색2 3 4 3 3 4" xfId="3486"/>
    <cellStyle name="20% - 강조색2 3 4 3 3 5" xfId="3487"/>
    <cellStyle name="20% - 강조색2 3 4 3 4" xfId="3488"/>
    <cellStyle name="20% - 강조색2 3 4 3 4 2" xfId="3489"/>
    <cellStyle name="20% - 강조색2 3 4 3 4 2 2" xfId="3490"/>
    <cellStyle name="20% - 강조색2 3 4 3 4 2 3" xfId="3491"/>
    <cellStyle name="20% - 강조색2 3 4 3 4 3" xfId="3492"/>
    <cellStyle name="20% - 강조색2 3 4 3 4 4" xfId="3493"/>
    <cellStyle name="20% - 강조색2 3 4 3 5" xfId="3494"/>
    <cellStyle name="20% - 강조색2 3 4 3 5 2" xfId="3495"/>
    <cellStyle name="20% - 강조색2 3 4 3 5 3" xfId="3496"/>
    <cellStyle name="20% - 강조색2 3 4 3 6" xfId="3497"/>
    <cellStyle name="20% - 강조색2 3 4 3 7" xfId="3498"/>
    <cellStyle name="20% - 강조색2 3 4 4" xfId="3499"/>
    <cellStyle name="20% - 강조색2 3 4 4 2" xfId="3500"/>
    <cellStyle name="20% - 강조색2 3 4 4 2 2" xfId="3501"/>
    <cellStyle name="20% - 강조색2 3 4 4 2 2 2" xfId="3502"/>
    <cellStyle name="20% - 강조색2 3 4 4 2 2 3" xfId="3503"/>
    <cellStyle name="20% - 강조색2 3 4 4 2 3" xfId="3504"/>
    <cellStyle name="20% - 강조색2 3 4 4 2 4" xfId="3505"/>
    <cellStyle name="20% - 강조색2 3 4 4 3" xfId="3506"/>
    <cellStyle name="20% - 강조색2 3 4 4 3 2" xfId="3507"/>
    <cellStyle name="20% - 강조색2 3 4 4 3 3" xfId="3508"/>
    <cellStyle name="20% - 강조색2 3 4 4 4" xfId="3509"/>
    <cellStyle name="20% - 강조색2 3 4 4 5" xfId="3510"/>
    <cellStyle name="20% - 강조색2 3 4 5" xfId="3511"/>
    <cellStyle name="20% - 강조색2 3 4 5 2" xfId="3512"/>
    <cellStyle name="20% - 강조색2 3 4 5 2 2" xfId="3513"/>
    <cellStyle name="20% - 강조색2 3 4 5 2 2 2" xfId="3514"/>
    <cellStyle name="20% - 강조색2 3 4 5 2 2 3" xfId="3515"/>
    <cellStyle name="20% - 강조색2 3 4 5 2 3" xfId="3516"/>
    <cellStyle name="20% - 강조색2 3 4 5 2 4" xfId="3517"/>
    <cellStyle name="20% - 강조색2 3 4 5 3" xfId="3518"/>
    <cellStyle name="20% - 강조색2 3 4 5 3 2" xfId="3519"/>
    <cellStyle name="20% - 강조색2 3 4 5 3 3" xfId="3520"/>
    <cellStyle name="20% - 강조색2 3 4 5 4" xfId="3521"/>
    <cellStyle name="20% - 강조색2 3 4 5 5" xfId="3522"/>
    <cellStyle name="20% - 강조색2 3 4 6" xfId="3523"/>
    <cellStyle name="20% - 강조색2 3 4 6 2" xfId="3524"/>
    <cellStyle name="20% - 강조색2 3 4 6 2 2" xfId="3525"/>
    <cellStyle name="20% - 강조색2 3 4 6 2 2 2" xfId="3526"/>
    <cellStyle name="20% - 강조색2 3 4 6 2 2 3" xfId="3527"/>
    <cellStyle name="20% - 강조색2 3 4 6 2 3" xfId="3528"/>
    <cellStyle name="20% - 강조색2 3 4 6 2 4" xfId="3529"/>
    <cellStyle name="20% - 강조색2 3 4 6 3" xfId="3530"/>
    <cellStyle name="20% - 강조색2 3 4 6 3 2" xfId="3531"/>
    <cellStyle name="20% - 강조색2 3 4 6 3 3" xfId="3532"/>
    <cellStyle name="20% - 강조색2 3 4 6 4" xfId="3533"/>
    <cellStyle name="20% - 강조색2 3 4 6 5" xfId="3534"/>
    <cellStyle name="20% - 강조색2 3 4 7" xfId="3535"/>
    <cellStyle name="20% - 강조색2 3 4 7 2" xfId="3536"/>
    <cellStyle name="20% - 강조색2 3 4 7 2 2" xfId="3537"/>
    <cellStyle name="20% - 강조색2 3 4 7 2 3" xfId="3538"/>
    <cellStyle name="20% - 강조색2 3 4 7 3" xfId="3539"/>
    <cellStyle name="20% - 강조색2 3 4 7 4" xfId="3540"/>
    <cellStyle name="20% - 강조색2 3 4 8" xfId="3541"/>
    <cellStyle name="20% - 강조색2 3 4 8 2" xfId="3542"/>
    <cellStyle name="20% - 강조색2 3 4 8 3" xfId="3543"/>
    <cellStyle name="20% - 강조색2 3 4 9" xfId="3544"/>
    <cellStyle name="20% - 강조색2 3 5" xfId="3545"/>
    <cellStyle name="20% - 강조색2 3 5 2" xfId="3546"/>
    <cellStyle name="20% - 강조색2 3 5 2 2" xfId="3547"/>
    <cellStyle name="20% - 강조색2 3 5 2 2 2" xfId="3548"/>
    <cellStyle name="20% - 강조색2 3 5 2 2 2 2" xfId="3549"/>
    <cellStyle name="20% - 강조색2 3 5 2 2 2 3" xfId="3550"/>
    <cellStyle name="20% - 강조색2 3 5 2 2 3" xfId="3551"/>
    <cellStyle name="20% - 강조색2 3 5 2 2 4" xfId="3552"/>
    <cellStyle name="20% - 강조색2 3 5 2 3" xfId="3553"/>
    <cellStyle name="20% - 강조색2 3 5 2 3 2" xfId="3554"/>
    <cellStyle name="20% - 강조색2 3 5 2 3 3" xfId="3555"/>
    <cellStyle name="20% - 강조색2 3 5 2 4" xfId="3556"/>
    <cellStyle name="20% - 강조색2 3 5 2 5" xfId="3557"/>
    <cellStyle name="20% - 강조색2 3 5 3" xfId="3558"/>
    <cellStyle name="20% - 강조색2 3 5 3 2" xfId="3559"/>
    <cellStyle name="20% - 강조색2 3 5 3 2 2" xfId="3560"/>
    <cellStyle name="20% - 강조색2 3 5 3 2 2 2" xfId="3561"/>
    <cellStyle name="20% - 강조색2 3 5 3 2 2 3" xfId="3562"/>
    <cellStyle name="20% - 강조색2 3 5 3 2 3" xfId="3563"/>
    <cellStyle name="20% - 강조색2 3 5 3 2 4" xfId="3564"/>
    <cellStyle name="20% - 강조색2 3 5 3 3" xfId="3565"/>
    <cellStyle name="20% - 강조색2 3 5 3 3 2" xfId="3566"/>
    <cellStyle name="20% - 강조색2 3 5 3 3 3" xfId="3567"/>
    <cellStyle name="20% - 강조색2 3 5 3 4" xfId="3568"/>
    <cellStyle name="20% - 강조색2 3 5 3 5" xfId="3569"/>
    <cellStyle name="20% - 강조색2 3 5 4" xfId="3570"/>
    <cellStyle name="20% - 강조색2 3 5 4 2" xfId="3571"/>
    <cellStyle name="20% - 강조색2 3 5 4 2 2" xfId="3572"/>
    <cellStyle name="20% - 강조색2 3 5 4 2 3" xfId="3573"/>
    <cellStyle name="20% - 강조색2 3 5 4 3" xfId="3574"/>
    <cellStyle name="20% - 강조색2 3 5 4 4" xfId="3575"/>
    <cellStyle name="20% - 강조색2 3 5 5" xfId="3576"/>
    <cellStyle name="20% - 강조색2 3 5 5 2" xfId="3577"/>
    <cellStyle name="20% - 강조색2 3 5 5 3" xfId="3578"/>
    <cellStyle name="20% - 강조색2 3 5 6" xfId="3579"/>
    <cellStyle name="20% - 강조색2 3 5 7" xfId="3580"/>
    <cellStyle name="20% - 강조색2 3 5 8" xfId="3581"/>
    <cellStyle name="20% - 강조색2 3 6" xfId="3582"/>
    <cellStyle name="20% - 강조색2 3 6 2" xfId="3583"/>
    <cellStyle name="20% - 강조색2 3 6 2 2" xfId="3584"/>
    <cellStyle name="20% - 강조색2 3 6 2 2 2" xfId="3585"/>
    <cellStyle name="20% - 강조색2 3 6 2 2 2 2" xfId="3586"/>
    <cellStyle name="20% - 강조색2 3 6 2 2 2 3" xfId="3587"/>
    <cellStyle name="20% - 강조색2 3 6 2 2 3" xfId="3588"/>
    <cellStyle name="20% - 강조색2 3 6 2 2 4" xfId="3589"/>
    <cellStyle name="20% - 강조색2 3 6 2 3" xfId="3590"/>
    <cellStyle name="20% - 강조색2 3 6 2 3 2" xfId="3591"/>
    <cellStyle name="20% - 강조색2 3 6 2 3 3" xfId="3592"/>
    <cellStyle name="20% - 강조색2 3 6 2 4" xfId="3593"/>
    <cellStyle name="20% - 강조색2 3 6 2 5" xfId="3594"/>
    <cellStyle name="20% - 강조색2 3 6 3" xfId="3595"/>
    <cellStyle name="20% - 강조색2 3 6 3 2" xfId="3596"/>
    <cellStyle name="20% - 강조색2 3 6 3 2 2" xfId="3597"/>
    <cellStyle name="20% - 강조색2 3 6 3 2 2 2" xfId="3598"/>
    <cellStyle name="20% - 강조색2 3 6 3 2 2 3" xfId="3599"/>
    <cellStyle name="20% - 강조색2 3 6 3 2 3" xfId="3600"/>
    <cellStyle name="20% - 강조색2 3 6 3 2 4" xfId="3601"/>
    <cellStyle name="20% - 강조색2 3 6 3 3" xfId="3602"/>
    <cellStyle name="20% - 강조색2 3 6 3 3 2" xfId="3603"/>
    <cellStyle name="20% - 강조색2 3 6 3 3 3" xfId="3604"/>
    <cellStyle name="20% - 강조색2 3 6 3 4" xfId="3605"/>
    <cellStyle name="20% - 강조색2 3 6 3 5" xfId="3606"/>
    <cellStyle name="20% - 강조색2 3 6 4" xfId="3607"/>
    <cellStyle name="20% - 강조색2 3 6 4 2" xfId="3608"/>
    <cellStyle name="20% - 강조색2 3 6 4 2 2" xfId="3609"/>
    <cellStyle name="20% - 강조색2 3 6 4 2 3" xfId="3610"/>
    <cellStyle name="20% - 강조색2 3 6 4 3" xfId="3611"/>
    <cellStyle name="20% - 강조색2 3 6 4 4" xfId="3612"/>
    <cellStyle name="20% - 강조색2 3 6 5" xfId="3613"/>
    <cellStyle name="20% - 강조색2 3 6 5 2" xfId="3614"/>
    <cellStyle name="20% - 강조색2 3 6 5 3" xfId="3615"/>
    <cellStyle name="20% - 강조색2 3 6 6" xfId="3616"/>
    <cellStyle name="20% - 강조색2 3 6 7" xfId="3617"/>
    <cellStyle name="20% - 강조색2 3 7" xfId="3618"/>
    <cellStyle name="20% - 강조색2 3 7 2" xfId="3619"/>
    <cellStyle name="20% - 강조색2 3 7 2 2" xfId="3620"/>
    <cellStyle name="20% - 강조색2 3 7 2 2 2" xfId="3621"/>
    <cellStyle name="20% - 강조색2 3 7 2 2 3" xfId="3622"/>
    <cellStyle name="20% - 강조색2 3 7 2 3" xfId="3623"/>
    <cellStyle name="20% - 강조색2 3 7 2 4" xfId="3624"/>
    <cellStyle name="20% - 강조색2 3 7 3" xfId="3625"/>
    <cellStyle name="20% - 강조색2 3 7 3 2" xfId="3626"/>
    <cellStyle name="20% - 강조색2 3 7 3 3" xfId="3627"/>
    <cellStyle name="20% - 강조색2 3 7 4" xfId="3628"/>
    <cellStyle name="20% - 강조색2 3 7 5" xfId="3629"/>
    <cellStyle name="20% - 강조색2 3 8" xfId="3630"/>
    <cellStyle name="20% - 강조색2 3 8 2" xfId="3631"/>
    <cellStyle name="20% - 강조색2 3 8 2 2" xfId="3632"/>
    <cellStyle name="20% - 강조색2 3 8 2 2 2" xfId="3633"/>
    <cellStyle name="20% - 강조색2 3 8 2 2 3" xfId="3634"/>
    <cellStyle name="20% - 강조색2 3 8 2 3" xfId="3635"/>
    <cellStyle name="20% - 강조색2 3 8 2 4" xfId="3636"/>
    <cellStyle name="20% - 강조색2 3 8 3" xfId="3637"/>
    <cellStyle name="20% - 강조색2 3 8 3 2" xfId="3638"/>
    <cellStyle name="20% - 강조색2 3 8 3 3" xfId="3639"/>
    <cellStyle name="20% - 강조색2 3 8 4" xfId="3640"/>
    <cellStyle name="20% - 강조색2 3 8 5" xfId="3641"/>
    <cellStyle name="20% - 강조색2 3 9" xfId="3642"/>
    <cellStyle name="20% - 강조색2 3 9 2" xfId="3643"/>
    <cellStyle name="20% - 강조색2 3 9 2 2" xfId="3644"/>
    <cellStyle name="20% - 강조색2 3 9 2 2 2" xfId="3645"/>
    <cellStyle name="20% - 강조색2 3 9 2 2 3" xfId="3646"/>
    <cellStyle name="20% - 강조색2 3 9 2 3" xfId="3647"/>
    <cellStyle name="20% - 강조색2 3 9 2 4" xfId="3648"/>
    <cellStyle name="20% - 강조색2 3 9 3" xfId="3649"/>
    <cellStyle name="20% - 강조색2 3 9 3 2" xfId="3650"/>
    <cellStyle name="20% - 강조색2 3 9 3 3" xfId="3651"/>
    <cellStyle name="20% - 강조색2 3 9 4" xfId="3652"/>
    <cellStyle name="20% - 강조색2 3 9 5" xfId="3653"/>
    <cellStyle name="20% - 강조색2 30" xfId="3654"/>
    <cellStyle name="20% - 강조색2 30 2" xfId="3655"/>
    <cellStyle name="20% - 강조색2 31" xfId="3656"/>
    <cellStyle name="20% - 강조색2 31 2" xfId="3657"/>
    <cellStyle name="20% - 강조색2 32" xfId="3658"/>
    <cellStyle name="20% - 강조색2 32 2" xfId="3659"/>
    <cellStyle name="20% - 강조색2 33" xfId="3660"/>
    <cellStyle name="20% - 강조색2 33 2" xfId="3661"/>
    <cellStyle name="20% - 강조색2 34" xfId="3662"/>
    <cellStyle name="20% - 강조색2 34 2" xfId="3663"/>
    <cellStyle name="20% - 강조색2 35" xfId="3664"/>
    <cellStyle name="20% - 강조색2 36" xfId="3665"/>
    <cellStyle name="20% - 강조색2 37" xfId="3666"/>
    <cellStyle name="20% - 강조색2 38" xfId="3667"/>
    <cellStyle name="20% - 강조색2 39" xfId="3668"/>
    <cellStyle name="20% - 강조색2 4" xfId="3669"/>
    <cellStyle name="20% - 강조색2 4 10" xfId="3670"/>
    <cellStyle name="20% - 강조색2 4 10 2" xfId="3671"/>
    <cellStyle name="20% - 강조색2 4 10 2 2" xfId="3672"/>
    <cellStyle name="20% - 강조색2 4 10 2 3" xfId="3673"/>
    <cellStyle name="20% - 강조색2 4 10 3" xfId="3674"/>
    <cellStyle name="20% - 강조색2 4 10 4" xfId="3675"/>
    <cellStyle name="20% - 강조색2 4 11" xfId="3676"/>
    <cellStyle name="20% - 강조색2 4 11 2" xfId="3677"/>
    <cellStyle name="20% - 강조색2 4 11 3" xfId="3678"/>
    <cellStyle name="20% - 강조색2 4 12" xfId="3679"/>
    <cellStyle name="20% - 강조색2 4 13" xfId="3680"/>
    <cellStyle name="20% - 강조색2 4 14" xfId="3681"/>
    <cellStyle name="20% - 강조색2 4 2" xfId="3682"/>
    <cellStyle name="20% - 강조색2 4 2 10" xfId="3683"/>
    <cellStyle name="20% - 강조색2 4 2 2" xfId="3684"/>
    <cellStyle name="20% - 강조색2 4 2 2 2" xfId="3685"/>
    <cellStyle name="20% - 강조색2 4 2 2 2 2" xfId="3686"/>
    <cellStyle name="20% - 강조색2 4 2 2 2 2 2" xfId="3687"/>
    <cellStyle name="20% - 강조색2 4 2 2 2 2 2 2" xfId="3688"/>
    <cellStyle name="20% - 강조색2 4 2 2 2 2 2 3" xfId="3689"/>
    <cellStyle name="20% - 강조색2 4 2 2 2 2 3" xfId="3690"/>
    <cellStyle name="20% - 강조색2 4 2 2 2 2 4" xfId="3691"/>
    <cellStyle name="20% - 강조색2 4 2 2 2 3" xfId="3692"/>
    <cellStyle name="20% - 강조색2 4 2 2 2 3 2" xfId="3693"/>
    <cellStyle name="20% - 강조색2 4 2 2 2 3 3" xfId="3694"/>
    <cellStyle name="20% - 강조색2 4 2 2 2 4" xfId="3695"/>
    <cellStyle name="20% - 강조색2 4 2 2 2 5" xfId="3696"/>
    <cellStyle name="20% - 강조색2 4 2 2 3" xfId="3697"/>
    <cellStyle name="20% - 강조색2 4 2 2 3 2" xfId="3698"/>
    <cellStyle name="20% - 강조색2 4 2 2 3 2 2" xfId="3699"/>
    <cellStyle name="20% - 강조색2 4 2 2 3 2 2 2" xfId="3700"/>
    <cellStyle name="20% - 강조색2 4 2 2 3 2 2 3" xfId="3701"/>
    <cellStyle name="20% - 강조색2 4 2 2 3 2 3" xfId="3702"/>
    <cellStyle name="20% - 강조색2 4 2 2 3 2 4" xfId="3703"/>
    <cellStyle name="20% - 강조색2 4 2 2 3 3" xfId="3704"/>
    <cellStyle name="20% - 강조색2 4 2 2 3 3 2" xfId="3705"/>
    <cellStyle name="20% - 강조색2 4 2 2 3 3 3" xfId="3706"/>
    <cellStyle name="20% - 강조색2 4 2 2 3 4" xfId="3707"/>
    <cellStyle name="20% - 강조색2 4 2 2 3 5" xfId="3708"/>
    <cellStyle name="20% - 강조색2 4 2 2 4" xfId="3709"/>
    <cellStyle name="20% - 강조색2 4 2 2 4 2" xfId="3710"/>
    <cellStyle name="20% - 강조색2 4 2 2 4 2 2" xfId="3711"/>
    <cellStyle name="20% - 강조색2 4 2 2 4 2 3" xfId="3712"/>
    <cellStyle name="20% - 강조색2 4 2 2 4 3" xfId="3713"/>
    <cellStyle name="20% - 강조색2 4 2 2 4 4" xfId="3714"/>
    <cellStyle name="20% - 강조색2 4 2 2 5" xfId="3715"/>
    <cellStyle name="20% - 강조색2 4 2 2 5 2" xfId="3716"/>
    <cellStyle name="20% - 강조색2 4 2 2 5 3" xfId="3717"/>
    <cellStyle name="20% - 강조색2 4 2 2 6" xfId="3718"/>
    <cellStyle name="20% - 강조색2 4 2 2 7" xfId="3719"/>
    <cellStyle name="20% - 강조색2 4 2 3" xfId="3720"/>
    <cellStyle name="20% - 강조색2 4 2 3 2" xfId="3721"/>
    <cellStyle name="20% - 강조색2 4 2 3 2 2" xfId="3722"/>
    <cellStyle name="20% - 강조색2 4 2 3 2 2 2" xfId="3723"/>
    <cellStyle name="20% - 강조색2 4 2 3 2 2 2 2" xfId="3724"/>
    <cellStyle name="20% - 강조색2 4 2 3 2 2 2 3" xfId="3725"/>
    <cellStyle name="20% - 강조색2 4 2 3 2 2 3" xfId="3726"/>
    <cellStyle name="20% - 강조색2 4 2 3 2 2 4" xfId="3727"/>
    <cellStyle name="20% - 강조색2 4 2 3 2 3" xfId="3728"/>
    <cellStyle name="20% - 강조색2 4 2 3 2 3 2" xfId="3729"/>
    <cellStyle name="20% - 강조색2 4 2 3 2 3 3" xfId="3730"/>
    <cellStyle name="20% - 강조색2 4 2 3 2 4" xfId="3731"/>
    <cellStyle name="20% - 강조색2 4 2 3 2 5" xfId="3732"/>
    <cellStyle name="20% - 강조색2 4 2 3 3" xfId="3733"/>
    <cellStyle name="20% - 강조색2 4 2 3 3 2" xfId="3734"/>
    <cellStyle name="20% - 강조색2 4 2 3 3 2 2" xfId="3735"/>
    <cellStyle name="20% - 강조색2 4 2 3 3 2 2 2" xfId="3736"/>
    <cellStyle name="20% - 강조색2 4 2 3 3 2 2 3" xfId="3737"/>
    <cellStyle name="20% - 강조색2 4 2 3 3 2 3" xfId="3738"/>
    <cellStyle name="20% - 강조색2 4 2 3 3 2 4" xfId="3739"/>
    <cellStyle name="20% - 강조색2 4 2 3 3 3" xfId="3740"/>
    <cellStyle name="20% - 강조색2 4 2 3 3 3 2" xfId="3741"/>
    <cellStyle name="20% - 강조색2 4 2 3 3 3 3" xfId="3742"/>
    <cellStyle name="20% - 강조색2 4 2 3 3 4" xfId="3743"/>
    <cellStyle name="20% - 강조색2 4 2 3 3 5" xfId="3744"/>
    <cellStyle name="20% - 강조색2 4 2 3 4" xfId="3745"/>
    <cellStyle name="20% - 강조색2 4 2 3 4 2" xfId="3746"/>
    <cellStyle name="20% - 강조색2 4 2 3 4 2 2" xfId="3747"/>
    <cellStyle name="20% - 강조색2 4 2 3 4 2 3" xfId="3748"/>
    <cellStyle name="20% - 강조색2 4 2 3 4 3" xfId="3749"/>
    <cellStyle name="20% - 강조색2 4 2 3 4 4" xfId="3750"/>
    <cellStyle name="20% - 강조색2 4 2 3 5" xfId="3751"/>
    <cellStyle name="20% - 강조색2 4 2 3 5 2" xfId="3752"/>
    <cellStyle name="20% - 강조색2 4 2 3 5 3" xfId="3753"/>
    <cellStyle name="20% - 강조색2 4 2 3 6" xfId="3754"/>
    <cellStyle name="20% - 강조색2 4 2 3 7" xfId="3755"/>
    <cellStyle name="20% - 강조색2 4 2 4" xfId="3756"/>
    <cellStyle name="20% - 강조색2 4 2 4 2" xfId="3757"/>
    <cellStyle name="20% - 강조색2 4 2 4 2 2" xfId="3758"/>
    <cellStyle name="20% - 강조색2 4 2 4 2 2 2" xfId="3759"/>
    <cellStyle name="20% - 강조색2 4 2 4 2 2 3" xfId="3760"/>
    <cellStyle name="20% - 강조색2 4 2 4 2 3" xfId="3761"/>
    <cellStyle name="20% - 강조색2 4 2 4 2 4" xfId="3762"/>
    <cellStyle name="20% - 강조색2 4 2 4 3" xfId="3763"/>
    <cellStyle name="20% - 강조색2 4 2 4 3 2" xfId="3764"/>
    <cellStyle name="20% - 강조색2 4 2 4 3 3" xfId="3765"/>
    <cellStyle name="20% - 강조색2 4 2 4 4" xfId="3766"/>
    <cellStyle name="20% - 강조색2 4 2 4 5" xfId="3767"/>
    <cellStyle name="20% - 강조색2 4 2 5" xfId="3768"/>
    <cellStyle name="20% - 강조색2 4 2 5 2" xfId="3769"/>
    <cellStyle name="20% - 강조색2 4 2 5 2 2" xfId="3770"/>
    <cellStyle name="20% - 강조색2 4 2 5 2 2 2" xfId="3771"/>
    <cellStyle name="20% - 강조색2 4 2 5 2 2 3" xfId="3772"/>
    <cellStyle name="20% - 강조색2 4 2 5 2 3" xfId="3773"/>
    <cellStyle name="20% - 강조색2 4 2 5 2 4" xfId="3774"/>
    <cellStyle name="20% - 강조색2 4 2 5 3" xfId="3775"/>
    <cellStyle name="20% - 강조색2 4 2 5 3 2" xfId="3776"/>
    <cellStyle name="20% - 강조색2 4 2 5 3 3" xfId="3777"/>
    <cellStyle name="20% - 강조색2 4 2 5 4" xfId="3778"/>
    <cellStyle name="20% - 강조색2 4 2 5 5" xfId="3779"/>
    <cellStyle name="20% - 강조색2 4 2 6" xfId="3780"/>
    <cellStyle name="20% - 강조색2 4 2 6 2" xfId="3781"/>
    <cellStyle name="20% - 강조색2 4 2 6 2 2" xfId="3782"/>
    <cellStyle name="20% - 강조색2 4 2 6 2 2 2" xfId="3783"/>
    <cellStyle name="20% - 강조색2 4 2 6 2 2 3" xfId="3784"/>
    <cellStyle name="20% - 강조색2 4 2 6 2 3" xfId="3785"/>
    <cellStyle name="20% - 강조색2 4 2 6 2 4" xfId="3786"/>
    <cellStyle name="20% - 강조색2 4 2 6 3" xfId="3787"/>
    <cellStyle name="20% - 강조색2 4 2 6 3 2" xfId="3788"/>
    <cellStyle name="20% - 강조색2 4 2 6 3 3" xfId="3789"/>
    <cellStyle name="20% - 강조색2 4 2 6 4" xfId="3790"/>
    <cellStyle name="20% - 강조색2 4 2 6 5" xfId="3791"/>
    <cellStyle name="20% - 강조색2 4 2 7" xfId="3792"/>
    <cellStyle name="20% - 강조색2 4 2 7 2" xfId="3793"/>
    <cellStyle name="20% - 강조색2 4 2 7 2 2" xfId="3794"/>
    <cellStyle name="20% - 강조색2 4 2 7 2 3" xfId="3795"/>
    <cellStyle name="20% - 강조색2 4 2 7 3" xfId="3796"/>
    <cellStyle name="20% - 강조색2 4 2 7 4" xfId="3797"/>
    <cellStyle name="20% - 강조색2 4 2 8" xfId="3798"/>
    <cellStyle name="20% - 강조색2 4 2 8 2" xfId="3799"/>
    <cellStyle name="20% - 강조색2 4 2 8 3" xfId="3800"/>
    <cellStyle name="20% - 강조색2 4 2 9" xfId="3801"/>
    <cellStyle name="20% - 강조색2 4 3" xfId="3802"/>
    <cellStyle name="20% - 강조색2 4 3 10" xfId="3803"/>
    <cellStyle name="20% - 강조색2 4 3 2" xfId="3804"/>
    <cellStyle name="20% - 강조색2 4 3 2 2" xfId="3805"/>
    <cellStyle name="20% - 강조색2 4 3 2 2 2" xfId="3806"/>
    <cellStyle name="20% - 강조색2 4 3 2 2 2 2" xfId="3807"/>
    <cellStyle name="20% - 강조색2 4 3 2 2 2 2 2" xfId="3808"/>
    <cellStyle name="20% - 강조색2 4 3 2 2 2 2 3" xfId="3809"/>
    <cellStyle name="20% - 강조색2 4 3 2 2 2 3" xfId="3810"/>
    <cellStyle name="20% - 강조색2 4 3 2 2 2 4" xfId="3811"/>
    <cellStyle name="20% - 강조색2 4 3 2 2 3" xfId="3812"/>
    <cellStyle name="20% - 강조색2 4 3 2 2 3 2" xfId="3813"/>
    <cellStyle name="20% - 강조색2 4 3 2 2 3 3" xfId="3814"/>
    <cellStyle name="20% - 강조색2 4 3 2 2 4" xfId="3815"/>
    <cellStyle name="20% - 강조색2 4 3 2 2 5" xfId="3816"/>
    <cellStyle name="20% - 강조색2 4 3 2 3" xfId="3817"/>
    <cellStyle name="20% - 강조색2 4 3 2 3 2" xfId="3818"/>
    <cellStyle name="20% - 강조색2 4 3 2 3 2 2" xfId="3819"/>
    <cellStyle name="20% - 강조색2 4 3 2 3 2 2 2" xfId="3820"/>
    <cellStyle name="20% - 강조색2 4 3 2 3 2 2 3" xfId="3821"/>
    <cellStyle name="20% - 강조색2 4 3 2 3 2 3" xfId="3822"/>
    <cellStyle name="20% - 강조색2 4 3 2 3 2 4" xfId="3823"/>
    <cellStyle name="20% - 강조색2 4 3 2 3 3" xfId="3824"/>
    <cellStyle name="20% - 강조색2 4 3 2 3 3 2" xfId="3825"/>
    <cellStyle name="20% - 강조색2 4 3 2 3 3 3" xfId="3826"/>
    <cellStyle name="20% - 강조색2 4 3 2 3 4" xfId="3827"/>
    <cellStyle name="20% - 강조색2 4 3 2 3 5" xfId="3828"/>
    <cellStyle name="20% - 강조색2 4 3 2 4" xfId="3829"/>
    <cellStyle name="20% - 강조색2 4 3 2 4 2" xfId="3830"/>
    <cellStyle name="20% - 강조색2 4 3 2 4 2 2" xfId="3831"/>
    <cellStyle name="20% - 강조색2 4 3 2 4 2 3" xfId="3832"/>
    <cellStyle name="20% - 강조색2 4 3 2 4 3" xfId="3833"/>
    <cellStyle name="20% - 강조색2 4 3 2 4 4" xfId="3834"/>
    <cellStyle name="20% - 강조색2 4 3 2 5" xfId="3835"/>
    <cellStyle name="20% - 강조색2 4 3 2 5 2" xfId="3836"/>
    <cellStyle name="20% - 강조색2 4 3 2 5 3" xfId="3837"/>
    <cellStyle name="20% - 강조색2 4 3 2 6" xfId="3838"/>
    <cellStyle name="20% - 강조색2 4 3 2 7" xfId="3839"/>
    <cellStyle name="20% - 강조색2 4 3 3" xfId="3840"/>
    <cellStyle name="20% - 강조색2 4 3 3 2" xfId="3841"/>
    <cellStyle name="20% - 강조색2 4 3 3 2 2" xfId="3842"/>
    <cellStyle name="20% - 강조색2 4 3 3 2 2 2" xfId="3843"/>
    <cellStyle name="20% - 강조색2 4 3 3 2 2 2 2" xfId="3844"/>
    <cellStyle name="20% - 강조색2 4 3 3 2 2 2 3" xfId="3845"/>
    <cellStyle name="20% - 강조색2 4 3 3 2 2 3" xfId="3846"/>
    <cellStyle name="20% - 강조색2 4 3 3 2 2 4" xfId="3847"/>
    <cellStyle name="20% - 강조색2 4 3 3 2 3" xfId="3848"/>
    <cellStyle name="20% - 강조색2 4 3 3 2 3 2" xfId="3849"/>
    <cellStyle name="20% - 강조색2 4 3 3 2 3 3" xfId="3850"/>
    <cellStyle name="20% - 강조색2 4 3 3 2 4" xfId="3851"/>
    <cellStyle name="20% - 강조색2 4 3 3 2 5" xfId="3852"/>
    <cellStyle name="20% - 강조색2 4 3 3 3" xfId="3853"/>
    <cellStyle name="20% - 강조색2 4 3 3 3 2" xfId="3854"/>
    <cellStyle name="20% - 강조색2 4 3 3 3 2 2" xfId="3855"/>
    <cellStyle name="20% - 강조색2 4 3 3 3 2 2 2" xfId="3856"/>
    <cellStyle name="20% - 강조색2 4 3 3 3 2 2 3" xfId="3857"/>
    <cellStyle name="20% - 강조색2 4 3 3 3 2 3" xfId="3858"/>
    <cellStyle name="20% - 강조색2 4 3 3 3 2 4" xfId="3859"/>
    <cellStyle name="20% - 강조색2 4 3 3 3 3" xfId="3860"/>
    <cellStyle name="20% - 강조색2 4 3 3 3 3 2" xfId="3861"/>
    <cellStyle name="20% - 강조색2 4 3 3 3 3 3" xfId="3862"/>
    <cellStyle name="20% - 강조색2 4 3 3 3 4" xfId="3863"/>
    <cellStyle name="20% - 강조색2 4 3 3 3 5" xfId="3864"/>
    <cellStyle name="20% - 강조색2 4 3 3 4" xfId="3865"/>
    <cellStyle name="20% - 강조색2 4 3 3 4 2" xfId="3866"/>
    <cellStyle name="20% - 강조색2 4 3 3 4 2 2" xfId="3867"/>
    <cellStyle name="20% - 강조색2 4 3 3 4 2 3" xfId="3868"/>
    <cellStyle name="20% - 강조색2 4 3 3 4 3" xfId="3869"/>
    <cellStyle name="20% - 강조색2 4 3 3 4 4" xfId="3870"/>
    <cellStyle name="20% - 강조색2 4 3 3 5" xfId="3871"/>
    <cellStyle name="20% - 강조색2 4 3 3 5 2" xfId="3872"/>
    <cellStyle name="20% - 강조색2 4 3 3 5 3" xfId="3873"/>
    <cellStyle name="20% - 강조색2 4 3 3 6" xfId="3874"/>
    <cellStyle name="20% - 강조색2 4 3 3 7" xfId="3875"/>
    <cellStyle name="20% - 강조색2 4 3 4" xfId="3876"/>
    <cellStyle name="20% - 강조색2 4 3 4 2" xfId="3877"/>
    <cellStyle name="20% - 강조색2 4 3 4 2 2" xfId="3878"/>
    <cellStyle name="20% - 강조색2 4 3 4 2 2 2" xfId="3879"/>
    <cellStyle name="20% - 강조색2 4 3 4 2 2 3" xfId="3880"/>
    <cellStyle name="20% - 강조색2 4 3 4 2 3" xfId="3881"/>
    <cellStyle name="20% - 강조색2 4 3 4 2 4" xfId="3882"/>
    <cellStyle name="20% - 강조색2 4 3 4 3" xfId="3883"/>
    <cellStyle name="20% - 강조색2 4 3 4 3 2" xfId="3884"/>
    <cellStyle name="20% - 강조색2 4 3 4 3 3" xfId="3885"/>
    <cellStyle name="20% - 강조색2 4 3 4 4" xfId="3886"/>
    <cellStyle name="20% - 강조색2 4 3 4 5" xfId="3887"/>
    <cellStyle name="20% - 강조색2 4 3 5" xfId="3888"/>
    <cellStyle name="20% - 강조색2 4 3 5 2" xfId="3889"/>
    <cellStyle name="20% - 강조색2 4 3 5 2 2" xfId="3890"/>
    <cellStyle name="20% - 강조색2 4 3 5 2 2 2" xfId="3891"/>
    <cellStyle name="20% - 강조색2 4 3 5 2 2 3" xfId="3892"/>
    <cellStyle name="20% - 강조색2 4 3 5 2 3" xfId="3893"/>
    <cellStyle name="20% - 강조색2 4 3 5 2 4" xfId="3894"/>
    <cellStyle name="20% - 강조색2 4 3 5 3" xfId="3895"/>
    <cellStyle name="20% - 강조색2 4 3 5 3 2" xfId="3896"/>
    <cellStyle name="20% - 강조색2 4 3 5 3 3" xfId="3897"/>
    <cellStyle name="20% - 강조색2 4 3 5 4" xfId="3898"/>
    <cellStyle name="20% - 강조색2 4 3 5 5" xfId="3899"/>
    <cellStyle name="20% - 강조색2 4 3 6" xfId="3900"/>
    <cellStyle name="20% - 강조색2 4 3 6 2" xfId="3901"/>
    <cellStyle name="20% - 강조색2 4 3 6 2 2" xfId="3902"/>
    <cellStyle name="20% - 강조색2 4 3 6 2 2 2" xfId="3903"/>
    <cellStyle name="20% - 강조색2 4 3 6 2 2 3" xfId="3904"/>
    <cellStyle name="20% - 강조색2 4 3 6 2 3" xfId="3905"/>
    <cellStyle name="20% - 강조색2 4 3 6 2 4" xfId="3906"/>
    <cellStyle name="20% - 강조색2 4 3 6 3" xfId="3907"/>
    <cellStyle name="20% - 강조색2 4 3 6 3 2" xfId="3908"/>
    <cellStyle name="20% - 강조색2 4 3 6 3 3" xfId="3909"/>
    <cellStyle name="20% - 강조색2 4 3 6 4" xfId="3910"/>
    <cellStyle name="20% - 강조색2 4 3 6 5" xfId="3911"/>
    <cellStyle name="20% - 강조색2 4 3 7" xfId="3912"/>
    <cellStyle name="20% - 강조색2 4 3 7 2" xfId="3913"/>
    <cellStyle name="20% - 강조색2 4 3 7 2 2" xfId="3914"/>
    <cellStyle name="20% - 강조색2 4 3 7 2 3" xfId="3915"/>
    <cellStyle name="20% - 강조색2 4 3 7 3" xfId="3916"/>
    <cellStyle name="20% - 강조색2 4 3 7 4" xfId="3917"/>
    <cellStyle name="20% - 강조색2 4 3 8" xfId="3918"/>
    <cellStyle name="20% - 강조색2 4 3 8 2" xfId="3919"/>
    <cellStyle name="20% - 강조색2 4 3 8 3" xfId="3920"/>
    <cellStyle name="20% - 강조색2 4 3 9" xfId="3921"/>
    <cellStyle name="20% - 강조색2 4 4" xfId="3922"/>
    <cellStyle name="20% - 강조색2 4 4 10" xfId="3923"/>
    <cellStyle name="20% - 강조색2 4 4 2" xfId="3924"/>
    <cellStyle name="20% - 강조색2 4 4 2 2" xfId="3925"/>
    <cellStyle name="20% - 강조색2 4 4 2 2 2" xfId="3926"/>
    <cellStyle name="20% - 강조색2 4 4 2 2 2 2" xfId="3927"/>
    <cellStyle name="20% - 강조색2 4 4 2 2 2 2 2" xfId="3928"/>
    <cellStyle name="20% - 강조색2 4 4 2 2 2 2 3" xfId="3929"/>
    <cellStyle name="20% - 강조색2 4 4 2 2 2 3" xfId="3930"/>
    <cellStyle name="20% - 강조색2 4 4 2 2 2 4" xfId="3931"/>
    <cellStyle name="20% - 강조색2 4 4 2 2 3" xfId="3932"/>
    <cellStyle name="20% - 강조색2 4 4 2 2 3 2" xfId="3933"/>
    <cellStyle name="20% - 강조색2 4 4 2 2 3 3" xfId="3934"/>
    <cellStyle name="20% - 강조색2 4 4 2 2 4" xfId="3935"/>
    <cellStyle name="20% - 강조색2 4 4 2 2 5" xfId="3936"/>
    <cellStyle name="20% - 강조색2 4 4 2 3" xfId="3937"/>
    <cellStyle name="20% - 강조색2 4 4 2 3 2" xfId="3938"/>
    <cellStyle name="20% - 강조색2 4 4 2 3 2 2" xfId="3939"/>
    <cellStyle name="20% - 강조색2 4 4 2 3 2 2 2" xfId="3940"/>
    <cellStyle name="20% - 강조색2 4 4 2 3 2 2 3" xfId="3941"/>
    <cellStyle name="20% - 강조색2 4 4 2 3 2 3" xfId="3942"/>
    <cellStyle name="20% - 강조색2 4 4 2 3 2 4" xfId="3943"/>
    <cellStyle name="20% - 강조색2 4 4 2 3 3" xfId="3944"/>
    <cellStyle name="20% - 강조색2 4 4 2 3 3 2" xfId="3945"/>
    <cellStyle name="20% - 강조색2 4 4 2 3 3 3" xfId="3946"/>
    <cellStyle name="20% - 강조색2 4 4 2 3 4" xfId="3947"/>
    <cellStyle name="20% - 강조색2 4 4 2 3 5" xfId="3948"/>
    <cellStyle name="20% - 강조색2 4 4 2 4" xfId="3949"/>
    <cellStyle name="20% - 강조색2 4 4 2 4 2" xfId="3950"/>
    <cellStyle name="20% - 강조색2 4 4 2 4 2 2" xfId="3951"/>
    <cellStyle name="20% - 강조색2 4 4 2 4 2 3" xfId="3952"/>
    <cellStyle name="20% - 강조색2 4 4 2 4 3" xfId="3953"/>
    <cellStyle name="20% - 강조색2 4 4 2 4 4" xfId="3954"/>
    <cellStyle name="20% - 강조색2 4 4 2 5" xfId="3955"/>
    <cellStyle name="20% - 강조색2 4 4 2 5 2" xfId="3956"/>
    <cellStyle name="20% - 강조색2 4 4 2 5 3" xfId="3957"/>
    <cellStyle name="20% - 강조색2 4 4 2 6" xfId="3958"/>
    <cellStyle name="20% - 강조색2 4 4 2 7" xfId="3959"/>
    <cellStyle name="20% - 강조색2 4 4 3" xfId="3960"/>
    <cellStyle name="20% - 강조색2 4 4 3 2" xfId="3961"/>
    <cellStyle name="20% - 강조색2 4 4 3 2 2" xfId="3962"/>
    <cellStyle name="20% - 강조색2 4 4 3 2 2 2" xfId="3963"/>
    <cellStyle name="20% - 강조색2 4 4 3 2 2 2 2" xfId="3964"/>
    <cellStyle name="20% - 강조색2 4 4 3 2 2 2 3" xfId="3965"/>
    <cellStyle name="20% - 강조색2 4 4 3 2 2 3" xfId="3966"/>
    <cellStyle name="20% - 강조색2 4 4 3 2 2 4" xfId="3967"/>
    <cellStyle name="20% - 강조색2 4 4 3 2 3" xfId="3968"/>
    <cellStyle name="20% - 강조색2 4 4 3 2 3 2" xfId="3969"/>
    <cellStyle name="20% - 강조색2 4 4 3 2 3 3" xfId="3970"/>
    <cellStyle name="20% - 강조색2 4 4 3 2 4" xfId="3971"/>
    <cellStyle name="20% - 강조색2 4 4 3 2 5" xfId="3972"/>
    <cellStyle name="20% - 강조색2 4 4 3 3" xfId="3973"/>
    <cellStyle name="20% - 강조색2 4 4 3 3 2" xfId="3974"/>
    <cellStyle name="20% - 강조색2 4 4 3 3 2 2" xfId="3975"/>
    <cellStyle name="20% - 강조색2 4 4 3 3 2 2 2" xfId="3976"/>
    <cellStyle name="20% - 강조색2 4 4 3 3 2 2 3" xfId="3977"/>
    <cellStyle name="20% - 강조색2 4 4 3 3 2 3" xfId="3978"/>
    <cellStyle name="20% - 강조색2 4 4 3 3 2 4" xfId="3979"/>
    <cellStyle name="20% - 강조색2 4 4 3 3 3" xfId="3980"/>
    <cellStyle name="20% - 강조색2 4 4 3 3 3 2" xfId="3981"/>
    <cellStyle name="20% - 강조색2 4 4 3 3 3 3" xfId="3982"/>
    <cellStyle name="20% - 강조색2 4 4 3 3 4" xfId="3983"/>
    <cellStyle name="20% - 강조색2 4 4 3 3 5" xfId="3984"/>
    <cellStyle name="20% - 강조색2 4 4 3 4" xfId="3985"/>
    <cellStyle name="20% - 강조색2 4 4 3 4 2" xfId="3986"/>
    <cellStyle name="20% - 강조색2 4 4 3 4 2 2" xfId="3987"/>
    <cellStyle name="20% - 강조색2 4 4 3 4 2 3" xfId="3988"/>
    <cellStyle name="20% - 강조색2 4 4 3 4 3" xfId="3989"/>
    <cellStyle name="20% - 강조색2 4 4 3 4 4" xfId="3990"/>
    <cellStyle name="20% - 강조색2 4 4 3 5" xfId="3991"/>
    <cellStyle name="20% - 강조색2 4 4 3 5 2" xfId="3992"/>
    <cellStyle name="20% - 강조색2 4 4 3 5 3" xfId="3993"/>
    <cellStyle name="20% - 강조색2 4 4 3 6" xfId="3994"/>
    <cellStyle name="20% - 강조색2 4 4 3 7" xfId="3995"/>
    <cellStyle name="20% - 강조색2 4 4 4" xfId="3996"/>
    <cellStyle name="20% - 강조색2 4 4 4 2" xfId="3997"/>
    <cellStyle name="20% - 강조색2 4 4 4 2 2" xfId="3998"/>
    <cellStyle name="20% - 강조색2 4 4 4 2 2 2" xfId="3999"/>
    <cellStyle name="20% - 강조색2 4 4 4 2 2 3" xfId="4000"/>
    <cellStyle name="20% - 강조색2 4 4 4 2 3" xfId="4001"/>
    <cellStyle name="20% - 강조색2 4 4 4 2 4" xfId="4002"/>
    <cellStyle name="20% - 강조색2 4 4 4 3" xfId="4003"/>
    <cellStyle name="20% - 강조색2 4 4 4 3 2" xfId="4004"/>
    <cellStyle name="20% - 강조색2 4 4 4 3 3" xfId="4005"/>
    <cellStyle name="20% - 강조색2 4 4 4 4" xfId="4006"/>
    <cellStyle name="20% - 강조색2 4 4 4 5" xfId="4007"/>
    <cellStyle name="20% - 강조색2 4 4 5" xfId="4008"/>
    <cellStyle name="20% - 강조색2 4 4 5 2" xfId="4009"/>
    <cellStyle name="20% - 강조색2 4 4 5 2 2" xfId="4010"/>
    <cellStyle name="20% - 강조색2 4 4 5 2 2 2" xfId="4011"/>
    <cellStyle name="20% - 강조색2 4 4 5 2 2 3" xfId="4012"/>
    <cellStyle name="20% - 강조색2 4 4 5 2 3" xfId="4013"/>
    <cellStyle name="20% - 강조색2 4 4 5 2 4" xfId="4014"/>
    <cellStyle name="20% - 강조색2 4 4 5 3" xfId="4015"/>
    <cellStyle name="20% - 강조색2 4 4 5 3 2" xfId="4016"/>
    <cellStyle name="20% - 강조색2 4 4 5 3 3" xfId="4017"/>
    <cellStyle name="20% - 강조색2 4 4 5 4" xfId="4018"/>
    <cellStyle name="20% - 강조색2 4 4 5 5" xfId="4019"/>
    <cellStyle name="20% - 강조색2 4 4 6" xfId="4020"/>
    <cellStyle name="20% - 강조색2 4 4 6 2" xfId="4021"/>
    <cellStyle name="20% - 강조색2 4 4 6 2 2" xfId="4022"/>
    <cellStyle name="20% - 강조색2 4 4 6 2 2 2" xfId="4023"/>
    <cellStyle name="20% - 강조색2 4 4 6 2 2 3" xfId="4024"/>
    <cellStyle name="20% - 강조색2 4 4 6 2 3" xfId="4025"/>
    <cellStyle name="20% - 강조색2 4 4 6 2 4" xfId="4026"/>
    <cellStyle name="20% - 강조색2 4 4 6 3" xfId="4027"/>
    <cellStyle name="20% - 강조색2 4 4 6 3 2" xfId="4028"/>
    <cellStyle name="20% - 강조색2 4 4 6 3 3" xfId="4029"/>
    <cellStyle name="20% - 강조색2 4 4 6 4" xfId="4030"/>
    <cellStyle name="20% - 강조색2 4 4 6 5" xfId="4031"/>
    <cellStyle name="20% - 강조색2 4 4 7" xfId="4032"/>
    <cellStyle name="20% - 강조색2 4 4 7 2" xfId="4033"/>
    <cellStyle name="20% - 강조색2 4 4 7 2 2" xfId="4034"/>
    <cellStyle name="20% - 강조색2 4 4 7 2 3" xfId="4035"/>
    <cellStyle name="20% - 강조색2 4 4 7 3" xfId="4036"/>
    <cellStyle name="20% - 강조색2 4 4 7 4" xfId="4037"/>
    <cellStyle name="20% - 강조색2 4 4 8" xfId="4038"/>
    <cellStyle name="20% - 강조색2 4 4 8 2" xfId="4039"/>
    <cellStyle name="20% - 강조색2 4 4 8 3" xfId="4040"/>
    <cellStyle name="20% - 강조색2 4 4 9" xfId="4041"/>
    <cellStyle name="20% - 강조색2 4 5" xfId="4042"/>
    <cellStyle name="20% - 강조색2 4 5 2" xfId="4043"/>
    <cellStyle name="20% - 강조색2 4 5 2 2" xfId="4044"/>
    <cellStyle name="20% - 강조색2 4 5 2 2 2" xfId="4045"/>
    <cellStyle name="20% - 강조색2 4 5 2 2 2 2" xfId="4046"/>
    <cellStyle name="20% - 강조색2 4 5 2 2 2 3" xfId="4047"/>
    <cellStyle name="20% - 강조색2 4 5 2 2 3" xfId="4048"/>
    <cellStyle name="20% - 강조색2 4 5 2 2 4" xfId="4049"/>
    <cellStyle name="20% - 강조색2 4 5 2 3" xfId="4050"/>
    <cellStyle name="20% - 강조색2 4 5 2 3 2" xfId="4051"/>
    <cellStyle name="20% - 강조색2 4 5 2 3 3" xfId="4052"/>
    <cellStyle name="20% - 강조색2 4 5 2 4" xfId="4053"/>
    <cellStyle name="20% - 강조색2 4 5 2 5" xfId="4054"/>
    <cellStyle name="20% - 강조색2 4 5 3" xfId="4055"/>
    <cellStyle name="20% - 강조색2 4 5 3 2" xfId="4056"/>
    <cellStyle name="20% - 강조색2 4 5 3 2 2" xfId="4057"/>
    <cellStyle name="20% - 강조색2 4 5 3 2 2 2" xfId="4058"/>
    <cellStyle name="20% - 강조색2 4 5 3 2 2 3" xfId="4059"/>
    <cellStyle name="20% - 강조색2 4 5 3 2 3" xfId="4060"/>
    <cellStyle name="20% - 강조색2 4 5 3 2 4" xfId="4061"/>
    <cellStyle name="20% - 강조색2 4 5 3 3" xfId="4062"/>
    <cellStyle name="20% - 강조색2 4 5 3 3 2" xfId="4063"/>
    <cellStyle name="20% - 강조색2 4 5 3 3 3" xfId="4064"/>
    <cellStyle name="20% - 강조색2 4 5 3 4" xfId="4065"/>
    <cellStyle name="20% - 강조색2 4 5 3 5" xfId="4066"/>
    <cellStyle name="20% - 강조색2 4 5 4" xfId="4067"/>
    <cellStyle name="20% - 강조색2 4 5 4 2" xfId="4068"/>
    <cellStyle name="20% - 강조색2 4 5 4 2 2" xfId="4069"/>
    <cellStyle name="20% - 강조색2 4 5 4 2 3" xfId="4070"/>
    <cellStyle name="20% - 강조색2 4 5 4 3" xfId="4071"/>
    <cellStyle name="20% - 강조색2 4 5 4 4" xfId="4072"/>
    <cellStyle name="20% - 강조색2 4 5 5" xfId="4073"/>
    <cellStyle name="20% - 강조색2 4 5 5 2" xfId="4074"/>
    <cellStyle name="20% - 강조색2 4 5 5 3" xfId="4075"/>
    <cellStyle name="20% - 강조색2 4 5 6" xfId="4076"/>
    <cellStyle name="20% - 강조색2 4 5 7" xfId="4077"/>
    <cellStyle name="20% - 강조색2 4 6" xfId="4078"/>
    <cellStyle name="20% - 강조색2 4 6 2" xfId="4079"/>
    <cellStyle name="20% - 강조색2 4 6 2 2" xfId="4080"/>
    <cellStyle name="20% - 강조색2 4 6 2 2 2" xfId="4081"/>
    <cellStyle name="20% - 강조색2 4 6 2 2 2 2" xfId="4082"/>
    <cellStyle name="20% - 강조색2 4 6 2 2 2 3" xfId="4083"/>
    <cellStyle name="20% - 강조색2 4 6 2 2 3" xfId="4084"/>
    <cellStyle name="20% - 강조색2 4 6 2 2 4" xfId="4085"/>
    <cellStyle name="20% - 강조색2 4 6 2 3" xfId="4086"/>
    <cellStyle name="20% - 강조색2 4 6 2 3 2" xfId="4087"/>
    <cellStyle name="20% - 강조색2 4 6 2 3 3" xfId="4088"/>
    <cellStyle name="20% - 강조색2 4 6 2 4" xfId="4089"/>
    <cellStyle name="20% - 강조색2 4 6 2 5" xfId="4090"/>
    <cellStyle name="20% - 강조색2 4 6 3" xfId="4091"/>
    <cellStyle name="20% - 강조색2 4 6 3 2" xfId="4092"/>
    <cellStyle name="20% - 강조색2 4 6 3 2 2" xfId="4093"/>
    <cellStyle name="20% - 강조색2 4 6 3 2 2 2" xfId="4094"/>
    <cellStyle name="20% - 강조색2 4 6 3 2 2 3" xfId="4095"/>
    <cellStyle name="20% - 강조색2 4 6 3 2 3" xfId="4096"/>
    <cellStyle name="20% - 강조색2 4 6 3 2 4" xfId="4097"/>
    <cellStyle name="20% - 강조색2 4 6 3 3" xfId="4098"/>
    <cellStyle name="20% - 강조색2 4 6 3 3 2" xfId="4099"/>
    <cellStyle name="20% - 강조색2 4 6 3 3 3" xfId="4100"/>
    <cellStyle name="20% - 강조색2 4 6 3 4" xfId="4101"/>
    <cellStyle name="20% - 강조색2 4 6 3 5" xfId="4102"/>
    <cellStyle name="20% - 강조색2 4 6 4" xfId="4103"/>
    <cellStyle name="20% - 강조색2 4 6 4 2" xfId="4104"/>
    <cellStyle name="20% - 강조색2 4 6 4 2 2" xfId="4105"/>
    <cellStyle name="20% - 강조색2 4 6 4 2 3" xfId="4106"/>
    <cellStyle name="20% - 강조색2 4 6 4 3" xfId="4107"/>
    <cellStyle name="20% - 강조색2 4 6 4 4" xfId="4108"/>
    <cellStyle name="20% - 강조색2 4 6 5" xfId="4109"/>
    <cellStyle name="20% - 강조색2 4 6 5 2" xfId="4110"/>
    <cellStyle name="20% - 강조색2 4 6 5 3" xfId="4111"/>
    <cellStyle name="20% - 강조색2 4 6 6" xfId="4112"/>
    <cellStyle name="20% - 강조색2 4 6 7" xfId="4113"/>
    <cellStyle name="20% - 강조색2 4 7" xfId="4114"/>
    <cellStyle name="20% - 강조색2 4 7 2" xfId="4115"/>
    <cellStyle name="20% - 강조색2 4 7 2 2" xfId="4116"/>
    <cellStyle name="20% - 강조색2 4 7 2 2 2" xfId="4117"/>
    <cellStyle name="20% - 강조색2 4 7 2 2 3" xfId="4118"/>
    <cellStyle name="20% - 강조색2 4 7 2 3" xfId="4119"/>
    <cellStyle name="20% - 강조색2 4 7 2 4" xfId="4120"/>
    <cellStyle name="20% - 강조색2 4 7 3" xfId="4121"/>
    <cellStyle name="20% - 강조색2 4 7 3 2" xfId="4122"/>
    <cellStyle name="20% - 강조색2 4 7 3 3" xfId="4123"/>
    <cellStyle name="20% - 강조색2 4 7 4" xfId="4124"/>
    <cellStyle name="20% - 강조색2 4 7 5" xfId="4125"/>
    <cellStyle name="20% - 강조색2 4 8" xfId="4126"/>
    <cellStyle name="20% - 강조색2 4 8 2" xfId="4127"/>
    <cellStyle name="20% - 강조색2 4 8 2 2" xfId="4128"/>
    <cellStyle name="20% - 강조색2 4 8 2 2 2" xfId="4129"/>
    <cellStyle name="20% - 강조색2 4 8 2 2 3" xfId="4130"/>
    <cellStyle name="20% - 강조색2 4 8 2 3" xfId="4131"/>
    <cellStyle name="20% - 강조색2 4 8 2 4" xfId="4132"/>
    <cellStyle name="20% - 강조색2 4 8 3" xfId="4133"/>
    <cellStyle name="20% - 강조색2 4 8 3 2" xfId="4134"/>
    <cellStyle name="20% - 강조색2 4 8 3 3" xfId="4135"/>
    <cellStyle name="20% - 강조색2 4 8 4" xfId="4136"/>
    <cellStyle name="20% - 강조색2 4 8 5" xfId="4137"/>
    <cellStyle name="20% - 강조색2 4 9" xfId="4138"/>
    <cellStyle name="20% - 강조색2 4 9 2" xfId="4139"/>
    <cellStyle name="20% - 강조색2 4 9 2 2" xfId="4140"/>
    <cellStyle name="20% - 강조색2 4 9 2 2 2" xfId="4141"/>
    <cellStyle name="20% - 강조색2 4 9 2 2 3" xfId="4142"/>
    <cellStyle name="20% - 강조색2 4 9 2 3" xfId="4143"/>
    <cellStyle name="20% - 강조색2 4 9 2 4" xfId="4144"/>
    <cellStyle name="20% - 강조색2 4 9 3" xfId="4145"/>
    <cellStyle name="20% - 강조색2 4 9 3 2" xfId="4146"/>
    <cellStyle name="20% - 강조색2 4 9 3 3" xfId="4147"/>
    <cellStyle name="20% - 강조색2 4 9 4" xfId="4148"/>
    <cellStyle name="20% - 강조색2 4 9 5" xfId="4149"/>
    <cellStyle name="20% - 강조색2 40" xfId="4150"/>
    <cellStyle name="20% - 강조색2 41" xfId="4151"/>
    <cellStyle name="20% - 강조색2 42" xfId="4152"/>
    <cellStyle name="20% - 강조색2 43" xfId="4153"/>
    <cellStyle name="20% - 강조색2 44" xfId="4154"/>
    <cellStyle name="20% - 강조색2 45" xfId="4155"/>
    <cellStyle name="20% - 강조색2 46" xfId="4156"/>
    <cellStyle name="20% - 강조색2 47" xfId="4157"/>
    <cellStyle name="20% - 강조색2 48" xfId="4158"/>
    <cellStyle name="20% - 강조색2 49" xfId="4159"/>
    <cellStyle name="20% - 강조색2 5" xfId="4160"/>
    <cellStyle name="20% - 강조색2 5 10" xfId="4161"/>
    <cellStyle name="20% - 강조색2 5 11" xfId="4162"/>
    <cellStyle name="20% - 강조색2 5 2" xfId="4163"/>
    <cellStyle name="20% - 강조색2 5 2 2" xfId="4164"/>
    <cellStyle name="20% - 강조색2 5 2 2 2" xfId="4165"/>
    <cellStyle name="20% - 강조색2 5 2 2 2 2" xfId="4166"/>
    <cellStyle name="20% - 강조색2 5 2 2 2 2 2" xfId="4167"/>
    <cellStyle name="20% - 강조색2 5 2 2 2 2 3" xfId="4168"/>
    <cellStyle name="20% - 강조색2 5 2 2 2 3" xfId="4169"/>
    <cellStyle name="20% - 강조색2 5 2 2 2 4" xfId="4170"/>
    <cellStyle name="20% - 강조색2 5 2 2 3" xfId="4171"/>
    <cellStyle name="20% - 강조색2 5 2 2 3 2" xfId="4172"/>
    <cellStyle name="20% - 강조색2 5 2 2 3 3" xfId="4173"/>
    <cellStyle name="20% - 강조색2 5 2 2 4" xfId="4174"/>
    <cellStyle name="20% - 강조색2 5 2 2 5" xfId="4175"/>
    <cellStyle name="20% - 강조색2 5 2 3" xfId="4176"/>
    <cellStyle name="20% - 강조색2 5 2 3 2" xfId="4177"/>
    <cellStyle name="20% - 강조색2 5 2 3 2 2" xfId="4178"/>
    <cellStyle name="20% - 강조색2 5 2 3 2 2 2" xfId="4179"/>
    <cellStyle name="20% - 강조색2 5 2 3 2 2 3" xfId="4180"/>
    <cellStyle name="20% - 강조색2 5 2 3 2 3" xfId="4181"/>
    <cellStyle name="20% - 강조색2 5 2 3 2 4" xfId="4182"/>
    <cellStyle name="20% - 강조색2 5 2 3 3" xfId="4183"/>
    <cellStyle name="20% - 강조색2 5 2 3 3 2" xfId="4184"/>
    <cellStyle name="20% - 강조색2 5 2 3 3 3" xfId="4185"/>
    <cellStyle name="20% - 강조색2 5 2 3 4" xfId="4186"/>
    <cellStyle name="20% - 강조색2 5 2 3 5" xfId="4187"/>
    <cellStyle name="20% - 강조색2 5 2 4" xfId="4188"/>
    <cellStyle name="20% - 강조색2 5 2 4 2" xfId="4189"/>
    <cellStyle name="20% - 강조색2 5 2 4 2 2" xfId="4190"/>
    <cellStyle name="20% - 강조색2 5 2 4 2 3" xfId="4191"/>
    <cellStyle name="20% - 강조색2 5 2 4 3" xfId="4192"/>
    <cellStyle name="20% - 강조색2 5 2 4 4" xfId="4193"/>
    <cellStyle name="20% - 강조색2 5 2 5" xfId="4194"/>
    <cellStyle name="20% - 강조색2 5 2 5 2" xfId="4195"/>
    <cellStyle name="20% - 강조색2 5 2 5 3" xfId="4196"/>
    <cellStyle name="20% - 강조색2 5 2 6" xfId="4197"/>
    <cellStyle name="20% - 강조색2 5 2 7" xfId="4198"/>
    <cellStyle name="20% - 강조색2 5 3" xfId="4199"/>
    <cellStyle name="20% - 강조색2 5 3 2" xfId="4200"/>
    <cellStyle name="20% - 강조색2 5 3 2 2" xfId="4201"/>
    <cellStyle name="20% - 강조색2 5 3 2 2 2" xfId="4202"/>
    <cellStyle name="20% - 강조색2 5 3 2 2 2 2" xfId="4203"/>
    <cellStyle name="20% - 강조색2 5 3 2 2 2 3" xfId="4204"/>
    <cellStyle name="20% - 강조색2 5 3 2 2 3" xfId="4205"/>
    <cellStyle name="20% - 강조색2 5 3 2 2 4" xfId="4206"/>
    <cellStyle name="20% - 강조색2 5 3 2 3" xfId="4207"/>
    <cellStyle name="20% - 강조색2 5 3 2 3 2" xfId="4208"/>
    <cellStyle name="20% - 강조색2 5 3 2 3 3" xfId="4209"/>
    <cellStyle name="20% - 강조색2 5 3 2 4" xfId="4210"/>
    <cellStyle name="20% - 강조색2 5 3 2 5" xfId="4211"/>
    <cellStyle name="20% - 강조색2 5 3 3" xfId="4212"/>
    <cellStyle name="20% - 강조색2 5 3 3 2" xfId="4213"/>
    <cellStyle name="20% - 강조색2 5 3 3 2 2" xfId="4214"/>
    <cellStyle name="20% - 강조색2 5 3 3 2 2 2" xfId="4215"/>
    <cellStyle name="20% - 강조색2 5 3 3 2 2 3" xfId="4216"/>
    <cellStyle name="20% - 강조색2 5 3 3 2 3" xfId="4217"/>
    <cellStyle name="20% - 강조색2 5 3 3 2 4" xfId="4218"/>
    <cellStyle name="20% - 강조색2 5 3 3 3" xfId="4219"/>
    <cellStyle name="20% - 강조색2 5 3 3 3 2" xfId="4220"/>
    <cellStyle name="20% - 강조색2 5 3 3 3 3" xfId="4221"/>
    <cellStyle name="20% - 강조색2 5 3 3 4" xfId="4222"/>
    <cellStyle name="20% - 강조색2 5 3 3 5" xfId="4223"/>
    <cellStyle name="20% - 강조색2 5 3 4" xfId="4224"/>
    <cellStyle name="20% - 강조색2 5 3 4 2" xfId="4225"/>
    <cellStyle name="20% - 강조색2 5 3 4 2 2" xfId="4226"/>
    <cellStyle name="20% - 강조색2 5 3 4 2 3" xfId="4227"/>
    <cellStyle name="20% - 강조색2 5 3 4 3" xfId="4228"/>
    <cellStyle name="20% - 강조색2 5 3 4 4" xfId="4229"/>
    <cellStyle name="20% - 강조색2 5 3 5" xfId="4230"/>
    <cellStyle name="20% - 강조색2 5 3 5 2" xfId="4231"/>
    <cellStyle name="20% - 강조색2 5 3 5 3" xfId="4232"/>
    <cellStyle name="20% - 강조색2 5 3 6" xfId="4233"/>
    <cellStyle name="20% - 강조색2 5 3 7" xfId="4234"/>
    <cellStyle name="20% - 강조색2 5 4" xfId="4235"/>
    <cellStyle name="20% - 강조색2 5 4 2" xfId="4236"/>
    <cellStyle name="20% - 강조색2 5 4 2 2" xfId="4237"/>
    <cellStyle name="20% - 강조색2 5 4 2 2 2" xfId="4238"/>
    <cellStyle name="20% - 강조색2 5 4 2 2 3" xfId="4239"/>
    <cellStyle name="20% - 강조색2 5 4 2 3" xfId="4240"/>
    <cellStyle name="20% - 강조색2 5 4 2 4" xfId="4241"/>
    <cellStyle name="20% - 강조색2 5 4 3" xfId="4242"/>
    <cellStyle name="20% - 강조색2 5 4 3 2" xfId="4243"/>
    <cellStyle name="20% - 강조색2 5 4 3 3" xfId="4244"/>
    <cellStyle name="20% - 강조색2 5 4 4" xfId="4245"/>
    <cellStyle name="20% - 강조색2 5 4 5" xfId="4246"/>
    <cellStyle name="20% - 강조색2 5 5" xfId="4247"/>
    <cellStyle name="20% - 강조색2 5 5 2" xfId="4248"/>
    <cellStyle name="20% - 강조색2 5 5 2 2" xfId="4249"/>
    <cellStyle name="20% - 강조색2 5 5 2 2 2" xfId="4250"/>
    <cellStyle name="20% - 강조색2 5 5 2 2 3" xfId="4251"/>
    <cellStyle name="20% - 강조색2 5 5 2 3" xfId="4252"/>
    <cellStyle name="20% - 강조색2 5 5 2 4" xfId="4253"/>
    <cellStyle name="20% - 강조색2 5 5 3" xfId="4254"/>
    <cellStyle name="20% - 강조색2 5 5 3 2" xfId="4255"/>
    <cellStyle name="20% - 강조색2 5 5 3 3" xfId="4256"/>
    <cellStyle name="20% - 강조색2 5 5 4" xfId="4257"/>
    <cellStyle name="20% - 강조색2 5 5 5" xfId="4258"/>
    <cellStyle name="20% - 강조색2 5 6" xfId="4259"/>
    <cellStyle name="20% - 강조색2 5 6 2" xfId="4260"/>
    <cellStyle name="20% - 강조색2 5 6 2 2" xfId="4261"/>
    <cellStyle name="20% - 강조색2 5 6 2 2 2" xfId="4262"/>
    <cellStyle name="20% - 강조색2 5 6 2 2 3" xfId="4263"/>
    <cellStyle name="20% - 강조색2 5 6 2 3" xfId="4264"/>
    <cellStyle name="20% - 강조색2 5 6 2 4" xfId="4265"/>
    <cellStyle name="20% - 강조색2 5 6 3" xfId="4266"/>
    <cellStyle name="20% - 강조색2 5 6 3 2" xfId="4267"/>
    <cellStyle name="20% - 강조색2 5 6 3 3" xfId="4268"/>
    <cellStyle name="20% - 강조색2 5 6 4" xfId="4269"/>
    <cellStyle name="20% - 강조색2 5 6 5" xfId="4270"/>
    <cellStyle name="20% - 강조색2 5 7" xfId="4271"/>
    <cellStyle name="20% - 강조색2 5 7 2" xfId="4272"/>
    <cellStyle name="20% - 강조색2 5 7 2 2" xfId="4273"/>
    <cellStyle name="20% - 강조색2 5 7 2 3" xfId="4274"/>
    <cellStyle name="20% - 강조색2 5 7 3" xfId="4275"/>
    <cellStyle name="20% - 강조색2 5 7 4" xfId="4276"/>
    <cellStyle name="20% - 강조색2 5 8" xfId="4277"/>
    <cellStyle name="20% - 강조색2 5 8 2" xfId="4278"/>
    <cellStyle name="20% - 강조색2 5 8 3" xfId="4279"/>
    <cellStyle name="20% - 강조색2 5 9" xfId="4280"/>
    <cellStyle name="20% - 강조색2 50" xfId="4281"/>
    <cellStyle name="20% - 강조색2 51" xfId="4282"/>
    <cellStyle name="20% - 강조색2 52" xfId="4283"/>
    <cellStyle name="20% - 강조색2 53" xfId="4284"/>
    <cellStyle name="20% - 강조색2 54" xfId="4285"/>
    <cellStyle name="20% - 강조색2 55" xfId="4286"/>
    <cellStyle name="20% - 강조색2 56" xfId="4287"/>
    <cellStyle name="20% - 강조색2 57" xfId="4288"/>
    <cellStyle name="20% - 강조색2 58" xfId="4289"/>
    <cellStyle name="20% - 강조색2 59" xfId="4290"/>
    <cellStyle name="20% - 강조색2 6" xfId="4291"/>
    <cellStyle name="20% - 강조색2 6 10" xfId="4292"/>
    <cellStyle name="20% - 강조색2 6 2" xfId="4293"/>
    <cellStyle name="20% - 강조색2 6 2 2" xfId="4294"/>
    <cellStyle name="20% - 강조색2 6 2 2 2" xfId="4295"/>
    <cellStyle name="20% - 강조색2 6 2 2 2 2" xfId="4296"/>
    <cellStyle name="20% - 강조색2 6 2 2 2 2 2" xfId="4297"/>
    <cellStyle name="20% - 강조색2 6 2 2 2 2 3" xfId="4298"/>
    <cellStyle name="20% - 강조색2 6 2 2 2 3" xfId="4299"/>
    <cellStyle name="20% - 강조색2 6 2 2 2 4" xfId="4300"/>
    <cellStyle name="20% - 강조색2 6 2 2 3" xfId="4301"/>
    <cellStyle name="20% - 강조색2 6 2 2 3 2" xfId="4302"/>
    <cellStyle name="20% - 강조색2 6 2 2 3 3" xfId="4303"/>
    <cellStyle name="20% - 강조색2 6 2 2 4" xfId="4304"/>
    <cellStyle name="20% - 강조색2 6 2 2 5" xfId="4305"/>
    <cellStyle name="20% - 강조색2 6 2 3" xfId="4306"/>
    <cellStyle name="20% - 강조색2 6 2 3 2" xfId="4307"/>
    <cellStyle name="20% - 강조색2 6 2 3 2 2" xfId="4308"/>
    <cellStyle name="20% - 강조색2 6 2 3 2 2 2" xfId="4309"/>
    <cellStyle name="20% - 강조색2 6 2 3 2 2 3" xfId="4310"/>
    <cellStyle name="20% - 강조색2 6 2 3 2 3" xfId="4311"/>
    <cellStyle name="20% - 강조색2 6 2 3 2 4" xfId="4312"/>
    <cellStyle name="20% - 강조색2 6 2 3 3" xfId="4313"/>
    <cellStyle name="20% - 강조색2 6 2 3 3 2" xfId="4314"/>
    <cellStyle name="20% - 강조색2 6 2 3 3 3" xfId="4315"/>
    <cellStyle name="20% - 강조색2 6 2 3 4" xfId="4316"/>
    <cellStyle name="20% - 강조색2 6 2 3 5" xfId="4317"/>
    <cellStyle name="20% - 강조색2 6 2 4" xfId="4318"/>
    <cellStyle name="20% - 강조색2 6 2 4 2" xfId="4319"/>
    <cellStyle name="20% - 강조색2 6 2 4 2 2" xfId="4320"/>
    <cellStyle name="20% - 강조색2 6 2 4 2 3" xfId="4321"/>
    <cellStyle name="20% - 강조색2 6 2 4 3" xfId="4322"/>
    <cellStyle name="20% - 강조색2 6 2 4 4" xfId="4323"/>
    <cellStyle name="20% - 강조색2 6 2 5" xfId="4324"/>
    <cellStyle name="20% - 강조색2 6 2 5 2" xfId="4325"/>
    <cellStyle name="20% - 강조색2 6 2 5 3" xfId="4326"/>
    <cellStyle name="20% - 강조색2 6 2 6" xfId="4327"/>
    <cellStyle name="20% - 강조색2 6 2 7" xfId="4328"/>
    <cellStyle name="20% - 강조색2 6 3" xfId="4329"/>
    <cellStyle name="20% - 강조색2 6 3 2" xfId="4330"/>
    <cellStyle name="20% - 강조색2 6 3 2 2" xfId="4331"/>
    <cellStyle name="20% - 강조색2 6 3 2 2 2" xfId="4332"/>
    <cellStyle name="20% - 강조색2 6 3 2 2 2 2" xfId="4333"/>
    <cellStyle name="20% - 강조색2 6 3 2 2 2 3" xfId="4334"/>
    <cellStyle name="20% - 강조색2 6 3 2 2 3" xfId="4335"/>
    <cellStyle name="20% - 강조색2 6 3 2 2 4" xfId="4336"/>
    <cellStyle name="20% - 강조색2 6 3 2 3" xfId="4337"/>
    <cellStyle name="20% - 강조색2 6 3 2 3 2" xfId="4338"/>
    <cellStyle name="20% - 강조색2 6 3 2 3 3" xfId="4339"/>
    <cellStyle name="20% - 강조색2 6 3 2 4" xfId="4340"/>
    <cellStyle name="20% - 강조색2 6 3 2 5" xfId="4341"/>
    <cellStyle name="20% - 강조색2 6 3 3" xfId="4342"/>
    <cellStyle name="20% - 강조색2 6 3 3 2" xfId="4343"/>
    <cellStyle name="20% - 강조색2 6 3 3 2 2" xfId="4344"/>
    <cellStyle name="20% - 강조색2 6 3 3 2 2 2" xfId="4345"/>
    <cellStyle name="20% - 강조색2 6 3 3 2 2 3" xfId="4346"/>
    <cellStyle name="20% - 강조색2 6 3 3 2 3" xfId="4347"/>
    <cellStyle name="20% - 강조색2 6 3 3 2 4" xfId="4348"/>
    <cellStyle name="20% - 강조색2 6 3 3 3" xfId="4349"/>
    <cellStyle name="20% - 강조색2 6 3 3 3 2" xfId="4350"/>
    <cellStyle name="20% - 강조색2 6 3 3 3 3" xfId="4351"/>
    <cellStyle name="20% - 강조색2 6 3 3 4" xfId="4352"/>
    <cellStyle name="20% - 강조색2 6 3 3 5" xfId="4353"/>
    <cellStyle name="20% - 강조색2 6 3 4" xfId="4354"/>
    <cellStyle name="20% - 강조색2 6 3 4 2" xfId="4355"/>
    <cellStyle name="20% - 강조색2 6 3 4 2 2" xfId="4356"/>
    <cellStyle name="20% - 강조색2 6 3 4 2 3" xfId="4357"/>
    <cellStyle name="20% - 강조색2 6 3 4 3" xfId="4358"/>
    <cellStyle name="20% - 강조색2 6 3 4 4" xfId="4359"/>
    <cellStyle name="20% - 강조색2 6 3 5" xfId="4360"/>
    <cellStyle name="20% - 강조색2 6 3 5 2" xfId="4361"/>
    <cellStyle name="20% - 강조색2 6 3 5 3" xfId="4362"/>
    <cellStyle name="20% - 강조색2 6 3 6" xfId="4363"/>
    <cellStyle name="20% - 강조색2 6 3 7" xfId="4364"/>
    <cellStyle name="20% - 강조색2 6 4" xfId="4365"/>
    <cellStyle name="20% - 강조색2 6 4 2" xfId="4366"/>
    <cellStyle name="20% - 강조색2 6 4 2 2" xfId="4367"/>
    <cellStyle name="20% - 강조색2 6 4 2 2 2" xfId="4368"/>
    <cellStyle name="20% - 강조색2 6 4 2 2 3" xfId="4369"/>
    <cellStyle name="20% - 강조색2 6 4 2 3" xfId="4370"/>
    <cellStyle name="20% - 강조색2 6 4 2 4" xfId="4371"/>
    <cellStyle name="20% - 강조색2 6 4 3" xfId="4372"/>
    <cellStyle name="20% - 강조색2 6 4 3 2" xfId="4373"/>
    <cellStyle name="20% - 강조색2 6 4 3 3" xfId="4374"/>
    <cellStyle name="20% - 강조색2 6 4 4" xfId="4375"/>
    <cellStyle name="20% - 강조색2 6 4 5" xfId="4376"/>
    <cellStyle name="20% - 강조색2 6 5" xfId="4377"/>
    <cellStyle name="20% - 강조색2 6 5 2" xfId="4378"/>
    <cellStyle name="20% - 강조색2 6 5 2 2" xfId="4379"/>
    <cellStyle name="20% - 강조색2 6 5 2 2 2" xfId="4380"/>
    <cellStyle name="20% - 강조색2 6 5 2 2 3" xfId="4381"/>
    <cellStyle name="20% - 강조색2 6 5 2 3" xfId="4382"/>
    <cellStyle name="20% - 강조색2 6 5 2 4" xfId="4383"/>
    <cellStyle name="20% - 강조색2 6 5 3" xfId="4384"/>
    <cellStyle name="20% - 강조색2 6 5 3 2" xfId="4385"/>
    <cellStyle name="20% - 강조색2 6 5 3 3" xfId="4386"/>
    <cellStyle name="20% - 강조색2 6 5 4" xfId="4387"/>
    <cellStyle name="20% - 강조색2 6 5 5" xfId="4388"/>
    <cellStyle name="20% - 강조색2 6 6" xfId="4389"/>
    <cellStyle name="20% - 강조색2 6 6 2" xfId="4390"/>
    <cellStyle name="20% - 강조색2 6 6 2 2" xfId="4391"/>
    <cellStyle name="20% - 강조색2 6 6 2 2 2" xfId="4392"/>
    <cellStyle name="20% - 강조색2 6 6 2 2 3" xfId="4393"/>
    <cellStyle name="20% - 강조색2 6 6 2 3" xfId="4394"/>
    <cellStyle name="20% - 강조색2 6 6 2 4" xfId="4395"/>
    <cellStyle name="20% - 강조색2 6 6 3" xfId="4396"/>
    <cellStyle name="20% - 강조색2 6 6 3 2" xfId="4397"/>
    <cellStyle name="20% - 강조색2 6 6 3 3" xfId="4398"/>
    <cellStyle name="20% - 강조색2 6 6 4" xfId="4399"/>
    <cellStyle name="20% - 강조색2 6 6 5" xfId="4400"/>
    <cellStyle name="20% - 강조색2 6 7" xfId="4401"/>
    <cellStyle name="20% - 강조색2 6 7 2" xfId="4402"/>
    <cellStyle name="20% - 강조색2 6 7 2 2" xfId="4403"/>
    <cellStyle name="20% - 강조색2 6 7 2 3" xfId="4404"/>
    <cellStyle name="20% - 강조색2 6 7 3" xfId="4405"/>
    <cellStyle name="20% - 강조색2 6 7 4" xfId="4406"/>
    <cellStyle name="20% - 강조색2 6 8" xfId="4407"/>
    <cellStyle name="20% - 강조색2 6 8 2" xfId="4408"/>
    <cellStyle name="20% - 강조색2 6 8 3" xfId="4409"/>
    <cellStyle name="20% - 강조색2 6 9" xfId="4410"/>
    <cellStyle name="20% - 강조색2 60" xfId="4411"/>
    <cellStyle name="20% - 강조색2 61" xfId="4412"/>
    <cellStyle name="20% - 강조색2 62" xfId="4413"/>
    <cellStyle name="20% - 강조색2 63" xfId="4414"/>
    <cellStyle name="20% - 강조색2 64" xfId="4415"/>
    <cellStyle name="20% - 강조색2 65" xfId="4416"/>
    <cellStyle name="20% - 강조색2 66" xfId="4417"/>
    <cellStyle name="20% - 강조색2 67" xfId="4418"/>
    <cellStyle name="20% - 강조색2 68" xfId="4419"/>
    <cellStyle name="20% - 강조색2 69" xfId="4420"/>
    <cellStyle name="20% - 강조색2 7" xfId="4421"/>
    <cellStyle name="20% - 강조색2 7 10" xfId="4422"/>
    <cellStyle name="20% - 강조색2 7 2" xfId="4423"/>
    <cellStyle name="20% - 강조색2 7 2 2" xfId="4424"/>
    <cellStyle name="20% - 강조색2 7 2 2 2" xfId="4425"/>
    <cellStyle name="20% - 강조색2 7 2 2 2 2" xfId="4426"/>
    <cellStyle name="20% - 강조색2 7 2 2 2 2 2" xfId="4427"/>
    <cellStyle name="20% - 강조색2 7 2 2 2 2 3" xfId="4428"/>
    <cellStyle name="20% - 강조색2 7 2 2 2 3" xfId="4429"/>
    <cellStyle name="20% - 강조색2 7 2 2 2 4" xfId="4430"/>
    <cellStyle name="20% - 강조색2 7 2 2 3" xfId="4431"/>
    <cellStyle name="20% - 강조색2 7 2 2 3 2" xfId="4432"/>
    <cellStyle name="20% - 강조색2 7 2 2 3 3" xfId="4433"/>
    <cellStyle name="20% - 강조색2 7 2 2 4" xfId="4434"/>
    <cellStyle name="20% - 강조색2 7 2 2 5" xfId="4435"/>
    <cellStyle name="20% - 강조색2 7 2 3" xfId="4436"/>
    <cellStyle name="20% - 강조색2 7 2 3 2" xfId="4437"/>
    <cellStyle name="20% - 강조색2 7 2 3 2 2" xfId="4438"/>
    <cellStyle name="20% - 강조색2 7 2 3 2 2 2" xfId="4439"/>
    <cellStyle name="20% - 강조색2 7 2 3 2 2 3" xfId="4440"/>
    <cellStyle name="20% - 강조색2 7 2 3 2 3" xfId="4441"/>
    <cellStyle name="20% - 강조색2 7 2 3 2 4" xfId="4442"/>
    <cellStyle name="20% - 강조색2 7 2 3 3" xfId="4443"/>
    <cellStyle name="20% - 강조색2 7 2 3 3 2" xfId="4444"/>
    <cellStyle name="20% - 강조색2 7 2 3 3 3" xfId="4445"/>
    <cellStyle name="20% - 강조색2 7 2 3 4" xfId="4446"/>
    <cellStyle name="20% - 강조색2 7 2 3 5" xfId="4447"/>
    <cellStyle name="20% - 강조색2 7 2 4" xfId="4448"/>
    <cellStyle name="20% - 강조색2 7 2 4 2" xfId="4449"/>
    <cellStyle name="20% - 강조색2 7 2 4 2 2" xfId="4450"/>
    <cellStyle name="20% - 강조색2 7 2 4 2 3" xfId="4451"/>
    <cellStyle name="20% - 강조색2 7 2 4 3" xfId="4452"/>
    <cellStyle name="20% - 강조색2 7 2 4 4" xfId="4453"/>
    <cellStyle name="20% - 강조색2 7 2 5" xfId="4454"/>
    <cellStyle name="20% - 강조색2 7 2 5 2" xfId="4455"/>
    <cellStyle name="20% - 강조색2 7 2 5 3" xfId="4456"/>
    <cellStyle name="20% - 강조색2 7 2 6" xfId="4457"/>
    <cellStyle name="20% - 강조색2 7 2 7" xfId="4458"/>
    <cellStyle name="20% - 강조색2 7 3" xfId="4459"/>
    <cellStyle name="20% - 강조색2 7 3 2" xfId="4460"/>
    <cellStyle name="20% - 강조색2 7 3 2 2" xfId="4461"/>
    <cellStyle name="20% - 강조색2 7 3 2 2 2" xfId="4462"/>
    <cellStyle name="20% - 강조색2 7 3 2 2 2 2" xfId="4463"/>
    <cellStyle name="20% - 강조색2 7 3 2 2 2 3" xfId="4464"/>
    <cellStyle name="20% - 강조색2 7 3 2 2 3" xfId="4465"/>
    <cellStyle name="20% - 강조색2 7 3 2 2 4" xfId="4466"/>
    <cellStyle name="20% - 강조색2 7 3 2 3" xfId="4467"/>
    <cellStyle name="20% - 강조색2 7 3 2 3 2" xfId="4468"/>
    <cellStyle name="20% - 강조색2 7 3 2 3 3" xfId="4469"/>
    <cellStyle name="20% - 강조색2 7 3 2 4" xfId="4470"/>
    <cellStyle name="20% - 강조색2 7 3 2 5" xfId="4471"/>
    <cellStyle name="20% - 강조색2 7 3 3" xfId="4472"/>
    <cellStyle name="20% - 강조색2 7 3 3 2" xfId="4473"/>
    <cellStyle name="20% - 강조색2 7 3 3 2 2" xfId="4474"/>
    <cellStyle name="20% - 강조색2 7 3 3 2 2 2" xfId="4475"/>
    <cellStyle name="20% - 강조색2 7 3 3 2 2 3" xfId="4476"/>
    <cellStyle name="20% - 강조색2 7 3 3 2 3" xfId="4477"/>
    <cellStyle name="20% - 강조색2 7 3 3 2 4" xfId="4478"/>
    <cellStyle name="20% - 강조색2 7 3 3 3" xfId="4479"/>
    <cellStyle name="20% - 강조색2 7 3 3 3 2" xfId="4480"/>
    <cellStyle name="20% - 강조색2 7 3 3 3 3" xfId="4481"/>
    <cellStyle name="20% - 강조색2 7 3 3 4" xfId="4482"/>
    <cellStyle name="20% - 강조색2 7 3 3 5" xfId="4483"/>
    <cellStyle name="20% - 강조색2 7 3 4" xfId="4484"/>
    <cellStyle name="20% - 강조색2 7 3 4 2" xfId="4485"/>
    <cellStyle name="20% - 강조색2 7 3 4 2 2" xfId="4486"/>
    <cellStyle name="20% - 강조색2 7 3 4 2 3" xfId="4487"/>
    <cellStyle name="20% - 강조색2 7 3 4 3" xfId="4488"/>
    <cellStyle name="20% - 강조색2 7 3 4 4" xfId="4489"/>
    <cellStyle name="20% - 강조색2 7 3 5" xfId="4490"/>
    <cellStyle name="20% - 강조색2 7 3 5 2" xfId="4491"/>
    <cellStyle name="20% - 강조색2 7 3 5 3" xfId="4492"/>
    <cellStyle name="20% - 강조색2 7 3 6" xfId="4493"/>
    <cellStyle name="20% - 강조색2 7 3 7" xfId="4494"/>
    <cellStyle name="20% - 강조색2 7 4" xfId="4495"/>
    <cellStyle name="20% - 강조색2 7 4 2" xfId="4496"/>
    <cellStyle name="20% - 강조색2 7 4 2 2" xfId="4497"/>
    <cellStyle name="20% - 강조색2 7 4 2 2 2" xfId="4498"/>
    <cellStyle name="20% - 강조색2 7 4 2 2 3" xfId="4499"/>
    <cellStyle name="20% - 강조색2 7 4 2 3" xfId="4500"/>
    <cellStyle name="20% - 강조색2 7 4 2 4" xfId="4501"/>
    <cellStyle name="20% - 강조색2 7 4 3" xfId="4502"/>
    <cellStyle name="20% - 강조색2 7 4 3 2" xfId="4503"/>
    <cellStyle name="20% - 강조색2 7 4 3 3" xfId="4504"/>
    <cellStyle name="20% - 강조색2 7 4 4" xfId="4505"/>
    <cellStyle name="20% - 강조색2 7 4 5" xfId="4506"/>
    <cellStyle name="20% - 강조색2 7 5" xfId="4507"/>
    <cellStyle name="20% - 강조색2 7 5 2" xfId="4508"/>
    <cellStyle name="20% - 강조색2 7 5 2 2" xfId="4509"/>
    <cellStyle name="20% - 강조색2 7 5 2 2 2" xfId="4510"/>
    <cellStyle name="20% - 강조색2 7 5 2 2 3" xfId="4511"/>
    <cellStyle name="20% - 강조색2 7 5 2 3" xfId="4512"/>
    <cellStyle name="20% - 강조색2 7 5 2 4" xfId="4513"/>
    <cellStyle name="20% - 강조색2 7 5 3" xfId="4514"/>
    <cellStyle name="20% - 강조색2 7 5 3 2" xfId="4515"/>
    <cellStyle name="20% - 강조색2 7 5 3 3" xfId="4516"/>
    <cellStyle name="20% - 강조색2 7 5 4" xfId="4517"/>
    <cellStyle name="20% - 강조색2 7 5 5" xfId="4518"/>
    <cellStyle name="20% - 강조색2 7 6" xfId="4519"/>
    <cellStyle name="20% - 강조색2 7 6 2" xfId="4520"/>
    <cellStyle name="20% - 강조색2 7 6 2 2" xfId="4521"/>
    <cellStyle name="20% - 강조색2 7 6 2 2 2" xfId="4522"/>
    <cellStyle name="20% - 강조색2 7 6 2 2 3" xfId="4523"/>
    <cellStyle name="20% - 강조색2 7 6 2 3" xfId="4524"/>
    <cellStyle name="20% - 강조색2 7 6 2 4" xfId="4525"/>
    <cellStyle name="20% - 강조색2 7 6 3" xfId="4526"/>
    <cellStyle name="20% - 강조색2 7 6 3 2" xfId="4527"/>
    <cellStyle name="20% - 강조색2 7 6 3 3" xfId="4528"/>
    <cellStyle name="20% - 강조색2 7 6 4" xfId="4529"/>
    <cellStyle name="20% - 강조색2 7 6 5" xfId="4530"/>
    <cellStyle name="20% - 강조색2 7 7" xfId="4531"/>
    <cellStyle name="20% - 강조색2 7 7 2" xfId="4532"/>
    <cellStyle name="20% - 강조색2 7 7 2 2" xfId="4533"/>
    <cellStyle name="20% - 강조색2 7 7 2 3" xfId="4534"/>
    <cellStyle name="20% - 강조색2 7 7 3" xfId="4535"/>
    <cellStyle name="20% - 강조색2 7 7 4" xfId="4536"/>
    <cellStyle name="20% - 강조색2 7 8" xfId="4537"/>
    <cellStyle name="20% - 강조색2 7 8 2" xfId="4538"/>
    <cellStyle name="20% - 강조색2 7 8 3" xfId="4539"/>
    <cellStyle name="20% - 강조색2 7 9" xfId="4540"/>
    <cellStyle name="20% - 강조색2 8" xfId="4541"/>
    <cellStyle name="20% - 강조색2 8 2" xfId="4542"/>
    <cellStyle name="20% - 강조색2 8 2 2" xfId="4543"/>
    <cellStyle name="20% - 강조색2 8 2 2 2" xfId="4544"/>
    <cellStyle name="20% - 강조색2 8 2 2 2 2" xfId="4545"/>
    <cellStyle name="20% - 강조색2 8 2 2 2 3" xfId="4546"/>
    <cellStyle name="20% - 강조색2 8 2 2 3" xfId="4547"/>
    <cellStyle name="20% - 강조색2 8 2 2 4" xfId="4548"/>
    <cellStyle name="20% - 강조색2 8 2 3" xfId="4549"/>
    <cellStyle name="20% - 강조색2 8 2 3 2" xfId="4550"/>
    <cellStyle name="20% - 강조색2 8 2 3 3" xfId="4551"/>
    <cellStyle name="20% - 강조색2 8 2 4" xfId="4552"/>
    <cellStyle name="20% - 강조색2 8 2 5" xfId="4553"/>
    <cellStyle name="20% - 강조색2 8 3" xfId="4554"/>
    <cellStyle name="20% - 강조색2 8 3 2" xfId="4555"/>
    <cellStyle name="20% - 강조색2 8 3 2 2" xfId="4556"/>
    <cellStyle name="20% - 강조색2 8 3 2 2 2" xfId="4557"/>
    <cellStyle name="20% - 강조색2 8 3 2 2 3" xfId="4558"/>
    <cellStyle name="20% - 강조색2 8 3 2 3" xfId="4559"/>
    <cellStyle name="20% - 강조색2 8 3 2 4" xfId="4560"/>
    <cellStyle name="20% - 강조색2 8 3 3" xfId="4561"/>
    <cellStyle name="20% - 강조색2 8 3 3 2" xfId="4562"/>
    <cellStyle name="20% - 강조색2 8 3 3 3" xfId="4563"/>
    <cellStyle name="20% - 강조색2 8 3 4" xfId="4564"/>
    <cellStyle name="20% - 강조색2 8 3 5" xfId="4565"/>
    <cellStyle name="20% - 강조색2 8 4" xfId="4566"/>
    <cellStyle name="20% - 강조색2 8 4 2" xfId="4567"/>
    <cellStyle name="20% - 강조색2 8 4 2 2" xfId="4568"/>
    <cellStyle name="20% - 강조색2 8 4 2 3" xfId="4569"/>
    <cellStyle name="20% - 강조색2 8 4 3" xfId="4570"/>
    <cellStyle name="20% - 강조색2 8 4 4" xfId="4571"/>
    <cellStyle name="20% - 강조색2 8 5" xfId="4572"/>
    <cellStyle name="20% - 강조색2 8 5 2" xfId="4573"/>
    <cellStyle name="20% - 강조색2 8 5 3" xfId="4574"/>
    <cellStyle name="20% - 강조색2 8 6" xfId="4575"/>
    <cellStyle name="20% - 강조색2 8 7" xfId="4576"/>
    <cellStyle name="20% - 강조색2 9" xfId="4577"/>
    <cellStyle name="20% - 강조색2 9 2" xfId="4578"/>
    <cellStyle name="20% - 강조색2 9 2 2" xfId="4579"/>
    <cellStyle name="20% - 강조색2 9 2 2 2" xfId="4580"/>
    <cellStyle name="20% - 강조색2 9 2 2 2 2" xfId="4581"/>
    <cellStyle name="20% - 강조색2 9 2 2 2 3" xfId="4582"/>
    <cellStyle name="20% - 강조색2 9 2 2 3" xfId="4583"/>
    <cellStyle name="20% - 강조색2 9 2 2 4" xfId="4584"/>
    <cellStyle name="20% - 강조색2 9 2 3" xfId="4585"/>
    <cellStyle name="20% - 강조색2 9 2 3 2" xfId="4586"/>
    <cellStyle name="20% - 강조색2 9 2 3 3" xfId="4587"/>
    <cellStyle name="20% - 강조색2 9 2 4" xfId="4588"/>
    <cellStyle name="20% - 강조색2 9 2 5" xfId="4589"/>
    <cellStyle name="20% - 강조색2 9 3" xfId="4590"/>
    <cellStyle name="20% - 강조색2 9 3 2" xfId="4591"/>
    <cellStyle name="20% - 강조색2 9 3 2 2" xfId="4592"/>
    <cellStyle name="20% - 강조색2 9 3 2 2 2" xfId="4593"/>
    <cellStyle name="20% - 강조색2 9 3 2 2 3" xfId="4594"/>
    <cellStyle name="20% - 강조색2 9 3 2 3" xfId="4595"/>
    <cellStyle name="20% - 강조색2 9 3 2 4" xfId="4596"/>
    <cellStyle name="20% - 강조색2 9 3 3" xfId="4597"/>
    <cellStyle name="20% - 강조색2 9 3 3 2" xfId="4598"/>
    <cellStyle name="20% - 강조색2 9 3 3 3" xfId="4599"/>
    <cellStyle name="20% - 강조색2 9 3 4" xfId="4600"/>
    <cellStyle name="20% - 강조색2 9 3 5" xfId="4601"/>
    <cellStyle name="20% - 강조색2 9 4" xfId="4602"/>
    <cellStyle name="20% - 강조색2 9 4 2" xfId="4603"/>
    <cellStyle name="20% - 강조색2 9 4 2 2" xfId="4604"/>
    <cellStyle name="20% - 강조색2 9 4 2 3" xfId="4605"/>
    <cellStyle name="20% - 강조색2 9 4 3" xfId="4606"/>
    <cellStyle name="20% - 강조색2 9 4 4" xfId="4607"/>
    <cellStyle name="20% - 강조색2 9 5" xfId="4608"/>
    <cellStyle name="20% - 강조색2 9 5 2" xfId="4609"/>
    <cellStyle name="20% - 강조색2 9 5 3" xfId="4610"/>
    <cellStyle name="20% - 강조색2 9 6" xfId="4611"/>
    <cellStyle name="20% - 강조색2 9 7" xfId="4612"/>
    <cellStyle name="20% - 강조색3 10" xfId="4613"/>
    <cellStyle name="20% - 강조색3 10 2" xfId="4614"/>
    <cellStyle name="20% - 강조색3 10 2 2" xfId="4615"/>
    <cellStyle name="20% - 강조색3 10 2 2 2" xfId="4616"/>
    <cellStyle name="20% - 강조색3 10 2 2 2 2" xfId="4617"/>
    <cellStyle name="20% - 강조색3 10 2 2 2 3" xfId="4618"/>
    <cellStyle name="20% - 강조색3 10 2 2 3" xfId="4619"/>
    <cellStyle name="20% - 강조색3 10 2 2 4" xfId="4620"/>
    <cellStyle name="20% - 강조색3 10 2 3" xfId="4621"/>
    <cellStyle name="20% - 강조색3 10 2 3 2" xfId="4622"/>
    <cellStyle name="20% - 강조색3 10 2 3 3" xfId="4623"/>
    <cellStyle name="20% - 강조색3 10 2 4" xfId="4624"/>
    <cellStyle name="20% - 강조색3 10 2 5" xfId="4625"/>
    <cellStyle name="20% - 강조색3 10 3" xfId="4626"/>
    <cellStyle name="20% - 강조색3 10 3 2" xfId="4627"/>
    <cellStyle name="20% - 강조색3 10 3 2 2" xfId="4628"/>
    <cellStyle name="20% - 강조색3 10 3 2 2 2" xfId="4629"/>
    <cellStyle name="20% - 강조색3 10 3 2 2 3" xfId="4630"/>
    <cellStyle name="20% - 강조색3 10 3 2 3" xfId="4631"/>
    <cellStyle name="20% - 강조색3 10 3 2 4" xfId="4632"/>
    <cellStyle name="20% - 강조색3 10 3 3" xfId="4633"/>
    <cellStyle name="20% - 강조색3 10 3 3 2" xfId="4634"/>
    <cellStyle name="20% - 강조색3 10 3 3 3" xfId="4635"/>
    <cellStyle name="20% - 강조색3 10 3 4" xfId="4636"/>
    <cellStyle name="20% - 강조색3 10 3 5" xfId="4637"/>
    <cellStyle name="20% - 강조색3 10 4" xfId="4638"/>
    <cellStyle name="20% - 강조색3 10 4 2" xfId="4639"/>
    <cellStyle name="20% - 강조색3 10 4 2 2" xfId="4640"/>
    <cellStyle name="20% - 강조색3 10 4 2 3" xfId="4641"/>
    <cellStyle name="20% - 강조색3 10 4 3" xfId="4642"/>
    <cellStyle name="20% - 강조색3 10 4 4" xfId="4643"/>
    <cellStyle name="20% - 강조색3 10 5" xfId="4644"/>
    <cellStyle name="20% - 강조색3 10 5 2" xfId="4645"/>
    <cellStyle name="20% - 강조색3 10 5 3" xfId="4646"/>
    <cellStyle name="20% - 강조색3 10 6" xfId="4647"/>
    <cellStyle name="20% - 강조색3 10 7" xfId="4648"/>
    <cellStyle name="20% - 강조색3 11" xfId="4649"/>
    <cellStyle name="20% - 강조색3 11 2" xfId="4650"/>
    <cellStyle name="20% - 강조색3 11 2 2" xfId="4651"/>
    <cellStyle name="20% - 강조색3 11 2 2 2" xfId="4652"/>
    <cellStyle name="20% - 강조색3 11 2 2 3" xfId="4653"/>
    <cellStyle name="20% - 강조색3 11 2 3" xfId="4654"/>
    <cellStyle name="20% - 강조색3 11 2 4" xfId="4655"/>
    <cellStyle name="20% - 강조색3 11 3" xfId="4656"/>
    <cellStyle name="20% - 강조색3 11 3 2" xfId="4657"/>
    <cellStyle name="20% - 강조색3 11 3 3" xfId="4658"/>
    <cellStyle name="20% - 강조색3 11 4" xfId="4659"/>
    <cellStyle name="20% - 강조색3 11 5" xfId="4660"/>
    <cellStyle name="20% - 강조색3 12" xfId="4661"/>
    <cellStyle name="20% - 강조색3 12 2" xfId="4662"/>
    <cellStyle name="20% - 강조색3 12 2 2" xfId="4663"/>
    <cellStyle name="20% - 강조색3 12 2 2 2" xfId="4664"/>
    <cellStyle name="20% - 강조색3 12 2 2 3" xfId="4665"/>
    <cellStyle name="20% - 강조색3 12 2 3" xfId="4666"/>
    <cellStyle name="20% - 강조색3 12 2 4" xfId="4667"/>
    <cellStyle name="20% - 강조색3 12 3" xfId="4668"/>
    <cellStyle name="20% - 강조색3 12 3 2" xfId="4669"/>
    <cellStyle name="20% - 강조색3 12 3 3" xfId="4670"/>
    <cellStyle name="20% - 강조색3 12 4" xfId="4671"/>
    <cellStyle name="20% - 강조색3 12 5" xfId="4672"/>
    <cellStyle name="20% - 강조색3 13" xfId="4673"/>
    <cellStyle name="20% - 강조색3 13 2" xfId="4674"/>
    <cellStyle name="20% - 강조색3 13 2 2" xfId="4675"/>
    <cellStyle name="20% - 강조색3 13 2 3" xfId="4676"/>
    <cellStyle name="20% - 강조색3 13 3" xfId="4677"/>
    <cellStyle name="20% - 강조색3 13 4" xfId="4678"/>
    <cellStyle name="20% - 강조색3 14" xfId="4679"/>
    <cellStyle name="20% - 강조색3 14 2" xfId="4680"/>
    <cellStyle name="20% - 강조색3 14 2 2" xfId="4681"/>
    <cellStyle name="20% - 강조색3 14 2 3" xfId="4682"/>
    <cellStyle name="20% - 강조색3 14 3" xfId="4683"/>
    <cellStyle name="20% - 강조색3 14 4" xfId="4684"/>
    <cellStyle name="20% - 강조색3 15" xfId="4685"/>
    <cellStyle name="20% - 강조색3 15 2" xfId="4686"/>
    <cellStyle name="20% - 강조색3 15 3" xfId="4687"/>
    <cellStyle name="20% - 강조색3 16" xfId="4688"/>
    <cellStyle name="20% - 강조색3 16 2" xfId="4689"/>
    <cellStyle name="20% - 강조색3 16 3" xfId="4690"/>
    <cellStyle name="20% - 강조색3 16 4" xfId="4691"/>
    <cellStyle name="20% - 강조색3 17" xfId="4692"/>
    <cellStyle name="20% - 강조색3 17 2" xfId="4693"/>
    <cellStyle name="20% - 강조색3 17 3" xfId="4694"/>
    <cellStyle name="20% - 강조색3 18" xfId="4695"/>
    <cellStyle name="20% - 강조색3 18 2" xfId="4696"/>
    <cellStyle name="20% - 강조색3 18 3" xfId="4697"/>
    <cellStyle name="20% - 강조색3 19" xfId="4698"/>
    <cellStyle name="20% - 강조색3 19 2" xfId="4699"/>
    <cellStyle name="20% - 강조색3 19 3" xfId="4700"/>
    <cellStyle name="20% - 강조색3 2" xfId="4701"/>
    <cellStyle name="20% - 강조색3 2 2" xfId="4702"/>
    <cellStyle name="20% - 강조색3 2 2 2" xfId="4703"/>
    <cellStyle name="20% - 강조색3 2 2 2 2" xfId="4704"/>
    <cellStyle name="20% - 강조색3 2 2 3" xfId="4705"/>
    <cellStyle name="20% - 강조색3 2 3" xfId="4706"/>
    <cellStyle name="20% - 강조색3 2 3 2" xfId="4707"/>
    <cellStyle name="20% - 강조색3 2 3 2 2" xfId="4708"/>
    <cellStyle name="20% - 강조색3 2 3 3" xfId="4709"/>
    <cellStyle name="20% - 강조색3 2 4" xfId="4710"/>
    <cellStyle name="20% - 강조색3 2 4 2" xfId="4711"/>
    <cellStyle name="20% - 강조색3 2 5" xfId="4712"/>
    <cellStyle name="20% - 강조색3 2 6" xfId="4713"/>
    <cellStyle name="20% - 강조색3 20" xfId="4714"/>
    <cellStyle name="20% - 강조색3 20 2" xfId="4715"/>
    <cellStyle name="20% - 강조색3 20 3" xfId="4716"/>
    <cellStyle name="20% - 강조색3 21" xfId="4717"/>
    <cellStyle name="20% - 강조색3 21 2" xfId="4718"/>
    <cellStyle name="20% - 강조색3 21 3" xfId="4719"/>
    <cellStyle name="20% - 강조색3 22" xfId="4720"/>
    <cellStyle name="20% - 강조색3 22 2" xfId="4721"/>
    <cellStyle name="20% - 강조색3 22 3" xfId="4722"/>
    <cellStyle name="20% - 강조색3 23" xfId="4723"/>
    <cellStyle name="20% - 강조색3 23 2" xfId="4724"/>
    <cellStyle name="20% - 강조색3 23 3" xfId="4725"/>
    <cellStyle name="20% - 강조색3 24" xfId="4726"/>
    <cellStyle name="20% - 강조색3 24 2" xfId="4727"/>
    <cellStyle name="20% - 강조색3 25" xfId="4728"/>
    <cellStyle name="20% - 강조색3 25 2" xfId="4729"/>
    <cellStyle name="20% - 강조색3 26" xfId="4730"/>
    <cellStyle name="20% - 강조색3 26 2" xfId="4731"/>
    <cellStyle name="20% - 강조색3 27" xfId="4732"/>
    <cellStyle name="20% - 강조색3 27 2" xfId="4733"/>
    <cellStyle name="20% - 강조색3 28" xfId="4734"/>
    <cellStyle name="20% - 강조색3 28 2" xfId="4735"/>
    <cellStyle name="20% - 강조색3 29" xfId="4736"/>
    <cellStyle name="20% - 강조색3 29 2" xfId="4737"/>
    <cellStyle name="20% - 강조색3 3" xfId="4738"/>
    <cellStyle name="20% - 강조색3 3 10" xfId="4739"/>
    <cellStyle name="20% - 강조색3 3 10 2" xfId="4740"/>
    <cellStyle name="20% - 강조색3 3 10 2 2" xfId="4741"/>
    <cellStyle name="20% - 강조색3 3 10 2 3" xfId="4742"/>
    <cellStyle name="20% - 강조색3 3 10 3" xfId="4743"/>
    <cellStyle name="20% - 강조색3 3 10 4" xfId="4744"/>
    <cellStyle name="20% - 강조색3 3 11" xfId="4745"/>
    <cellStyle name="20% - 강조색3 3 11 2" xfId="4746"/>
    <cellStyle name="20% - 강조색3 3 11 3" xfId="4747"/>
    <cellStyle name="20% - 강조색3 3 12" xfId="4748"/>
    <cellStyle name="20% - 강조색3 3 13" xfId="4749"/>
    <cellStyle name="20% - 강조색3 3 14" xfId="4750"/>
    <cellStyle name="20% - 강조색3 3 15" xfId="4751"/>
    <cellStyle name="20% - 강조색3 3 2" xfId="4752"/>
    <cellStyle name="20% - 강조색3 3 2 10" xfId="4753"/>
    <cellStyle name="20% - 강조색3 3 2 11" xfId="4754"/>
    <cellStyle name="20% - 강조색3 3 2 12" xfId="4755"/>
    <cellStyle name="20% - 강조색3 3 2 2" xfId="4756"/>
    <cellStyle name="20% - 강조색3 3 2 2 2" xfId="4757"/>
    <cellStyle name="20% - 강조색3 3 2 2 2 2" xfId="4758"/>
    <cellStyle name="20% - 강조색3 3 2 2 2 2 2" xfId="4759"/>
    <cellStyle name="20% - 강조색3 3 2 2 2 2 2 2" xfId="4760"/>
    <cellStyle name="20% - 강조색3 3 2 2 2 2 2 3" xfId="4761"/>
    <cellStyle name="20% - 강조색3 3 2 2 2 2 3" xfId="4762"/>
    <cellStyle name="20% - 강조색3 3 2 2 2 2 4" xfId="4763"/>
    <cellStyle name="20% - 강조색3 3 2 2 2 3" xfId="4764"/>
    <cellStyle name="20% - 강조색3 3 2 2 2 3 2" xfId="4765"/>
    <cellStyle name="20% - 강조색3 3 2 2 2 3 3" xfId="4766"/>
    <cellStyle name="20% - 강조색3 3 2 2 2 4" xfId="4767"/>
    <cellStyle name="20% - 강조색3 3 2 2 2 5" xfId="4768"/>
    <cellStyle name="20% - 강조색3 3 2 2 3" xfId="4769"/>
    <cellStyle name="20% - 강조색3 3 2 2 3 2" xfId="4770"/>
    <cellStyle name="20% - 강조색3 3 2 2 3 2 2" xfId="4771"/>
    <cellStyle name="20% - 강조색3 3 2 2 3 2 2 2" xfId="4772"/>
    <cellStyle name="20% - 강조색3 3 2 2 3 2 2 3" xfId="4773"/>
    <cellStyle name="20% - 강조색3 3 2 2 3 2 3" xfId="4774"/>
    <cellStyle name="20% - 강조색3 3 2 2 3 2 4" xfId="4775"/>
    <cellStyle name="20% - 강조색3 3 2 2 3 3" xfId="4776"/>
    <cellStyle name="20% - 강조색3 3 2 2 3 3 2" xfId="4777"/>
    <cellStyle name="20% - 강조색3 3 2 2 3 3 3" xfId="4778"/>
    <cellStyle name="20% - 강조색3 3 2 2 3 4" xfId="4779"/>
    <cellStyle name="20% - 강조색3 3 2 2 3 5" xfId="4780"/>
    <cellStyle name="20% - 강조색3 3 2 2 4" xfId="4781"/>
    <cellStyle name="20% - 강조색3 3 2 2 4 2" xfId="4782"/>
    <cellStyle name="20% - 강조색3 3 2 2 4 2 2" xfId="4783"/>
    <cellStyle name="20% - 강조색3 3 2 2 4 2 3" xfId="4784"/>
    <cellStyle name="20% - 강조색3 3 2 2 4 3" xfId="4785"/>
    <cellStyle name="20% - 강조색3 3 2 2 4 4" xfId="4786"/>
    <cellStyle name="20% - 강조색3 3 2 2 5" xfId="4787"/>
    <cellStyle name="20% - 강조색3 3 2 2 5 2" xfId="4788"/>
    <cellStyle name="20% - 강조색3 3 2 2 5 3" xfId="4789"/>
    <cellStyle name="20% - 강조색3 3 2 2 6" xfId="4790"/>
    <cellStyle name="20% - 강조색3 3 2 2 7" xfId="4791"/>
    <cellStyle name="20% - 강조색3 3 2 2 8" xfId="4792"/>
    <cellStyle name="20% - 강조색3 3 2 2 9" xfId="4793"/>
    <cellStyle name="20% - 강조색3 3 2 3" xfId="4794"/>
    <cellStyle name="20% - 강조색3 3 2 3 2" xfId="4795"/>
    <cellStyle name="20% - 강조색3 3 2 3 2 2" xfId="4796"/>
    <cellStyle name="20% - 강조색3 3 2 3 2 2 2" xfId="4797"/>
    <cellStyle name="20% - 강조색3 3 2 3 2 2 2 2" xfId="4798"/>
    <cellStyle name="20% - 강조색3 3 2 3 2 2 2 3" xfId="4799"/>
    <cellStyle name="20% - 강조색3 3 2 3 2 2 3" xfId="4800"/>
    <cellStyle name="20% - 강조색3 3 2 3 2 2 4" xfId="4801"/>
    <cellStyle name="20% - 강조색3 3 2 3 2 3" xfId="4802"/>
    <cellStyle name="20% - 강조색3 3 2 3 2 3 2" xfId="4803"/>
    <cellStyle name="20% - 강조색3 3 2 3 2 3 3" xfId="4804"/>
    <cellStyle name="20% - 강조색3 3 2 3 2 4" xfId="4805"/>
    <cellStyle name="20% - 강조색3 3 2 3 2 5" xfId="4806"/>
    <cellStyle name="20% - 강조색3 3 2 3 3" xfId="4807"/>
    <cellStyle name="20% - 강조색3 3 2 3 3 2" xfId="4808"/>
    <cellStyle name="20% - 강조색3 3 2 3 3 2 2" xfId="4809"/>
    <cellStyle name="20% - 강조색3 3 2 3 3 2 2 2" xfId="4810"/>
    <cellStyle name="20% - 강조색3 3 2 3 3 2 2 3" xfId="4811"/>
    <cellStyle name="20% - 강조색3 3 2 3 3 2 3" xfId="4812"/>
    <cellStyle name="20% - 강조색3 3 2 3 3 2 4" xfId="4813"/>
    <cellStyle name="20% - 강조색3 3 2 3 3 3" xfId="4814"/>
    <cellStyle name="20% - 강조색3 3 2 3 3 3 2" xfId="4815"/>
    <cellStyle name="20% - 강조색3 3 2 3 3 3 3" xfId="4816"/>
    <cellStyle name="20% - 강조색3 3 2 3 3 4" xfId="4817"/>
    <cellStyle name="20% - 강조색3 3 2 3 3 5" xfId="4818"/>
    <cellStyle name="20% - 강조색3 3 2 3 4" xfId="4819"/>
    <cellStyle name="20% - 강조색3 3 2 3 4 2" xfId="4820"/>
    <cellStyle name="20% - 강조색3 3 2 3 4 2 2" xfId="4821"/>
    <cellStyle name="20% - 강조색3 3 2 3 4 2 3" xfId="4822"/>
    <cellStyle name="20% - 강조색3 3 2 3 4 3" xfId="4823"/>
    <cellStyle name="20% - 강조색3 3 2 3 4 4" xfId="4824"/>
    <cellStyle name="20% - 강조색3 3 2 3 5" xfId="4825"/>
    <cellStyle name="20% - 강조색3 3 2 3 5 2" xfId="4826"/>
    <cellStyle name="20% - 강조색3 3 2 3 5 3" xfId="4827"/>
    <cellStyle name="20% - 강조색3 3 2 3 6" xfId="4828"/>
    <cellStyle name="20% - 강조색3 3 2 3 7" xfId="4829"/>
    <cellStyle name="20% - 강조색3 3 2 4" xfId="4830"/>
    <cellStyle name="20% - 강조색3 3 2 4 2" xfId="4831"/>
    <cellStyle name="20% - 강조색3 3 2 4 2 2" xfId="4832"/>
    <cellStyle name="20% - 강조색3 3 2 4 2 2 2" xfId="4833"/>
    <cellStyle name="20% - 강조색3 3 2 4 2 2 3" xfId="4834"/>
    <cellStyle name="20% - 강조색3 3 2 4 2 3" xfId="4835"/>
    <cellStyle name="20% - 강조색3 3 2 4 2 4" xfId="4836"/>
    <cellStyle name="20% - 강조색3 3 2 4 3" xfId="4837"/>
    <cellStyle name="20% - 강조색3 3 2 4 3 2" xfId="4838"/>
    <cellStyle name="20% - 강조색3 3 2 4 3 3" xfId="4839"/>
    <cellStyle name="20% - 강조색3 3 2 4 4" xfId="4840"/>
    <cellStyle name="20% - 강조색3 3 2 4 5" xfId="4841"/>
    <cellStyle name="20% - 강조색3 3 2 5" xfId="4842"/>
    <cellStyle name="20% - 강조색3 3 2 5 2" xfId="4843"/>
    <cellStyle name="20% - 강조색3 3 2 5 2 2" xfId="4844"/>
    <cellStyle name="20% - 강조색3 3 2 5 2 2 2" xfId="4845"/>
    <cellStyle name="20% - 강조색3 3 2 5 2 2 3" xfId="4846"/>
    <cellStyle name="20% - 강조색3 3 2 5 2 3" xfId="4847"/>
    <cellStyle name="20% - 강조색3 3 2 5 2 4" xfId="4848"/>
    <cellStyle name="20% - 강조색3 3 2 5 3" xfId="4849"/>
    <cellStyle name="20% - 강조색3 3 2 5 3 2" xfId="4850"/>
    <cellStyle name="20% - 강조색3 3 2 5 3 3" xfId="4851"/>
    <cellStyle name="20% - 강조색3 3 2 5 4" xfId="4852"/>
    <cellStyle name="20% - 강조색3 3 2 5 5" xfId="4853"/>
    <cellStyle name="20% - 강조색3 3 2 6" xfId="4854"/>
    <cellStyle name="20% - 강조색3 3 2 6 2" xfId="4855"/>
    <cellStyle name="20% - 강조색3 3 2 6 2 2" xfId="4856"/>
    <cellStyle name="20% - 강조색3 3 2 6 2 2 2" xfId="4857"/>
    <cellStyle name="20% - 강조색3 3 2 6 2 2 3" xfId="4858"/>
    <cellStyle name="20% - 강조색3 3 2 6 2 3" xfId="4859"/>
    <cellStyle name="20% - 강조색3 3 2 6 2 4" xfId="4860"/>
    <cellStyle name="20% - 강조색3 3 2 6 3" xfId="4861"/>
    <cellStyle name="20% - 강조색3 3 2 6 3 2" xfId="4862"/>
    <cellStyle name="20% - 강조색3 3 2 6 3 3" xfId="4863"/>
    <cellStyle name="20% - 강조색3 3 2 6 4" xfId="4864"/>
    <cellStyle name="20% - 강조색3 3 2 6 5" xfId="4865"/>
    <cellStyle name="20% - 강조색3 3 2 7" xfId="4866"/>
    <cellStyle name="20% - 강조색3 3 2 7 2" xfId="4867"/>
    <cellStyle name="20% - 강조색3 3 2 7 2 2" xfId="4868"/>
    <cellStyle name="20% - 강조색3 3 2 7 2 3" xfId="4869"/>
    <cellStyle name="20% - 강조색3 3 2 7 3" xfId="4870"/>
    <cellStyle name="20% - 강조색3 3 2 7 4" xfId="4871"/>
    <cellStyle name="20% - 강조색3 3 2 8" xfId="4872"/>
    <cellStyle name="20% - 강조색3 3 2 8 2" xfId="4873"/>
    <cellStyle name="20% - 강조색3 3 2 8 3" xfId="4874"/>
    <cellStyle name="20% - 강조색3 3 2 9" xfId="4875"/>
    <cellStyle name="20% - 강조색3 3 3" xfId="4876"/>
    <cellStyle name="20% - 강조색3 3 3 10" xfId="4877"/>
    <cellStyle name="20% - 강조색3 3 3 11" xfId="4878"/>
    <cellStyle name="20% - 강조색3 3 3 12" xfId="4879"/>
    <cellStyle name="20% - 강조색3 3 3 2" xfId="4880"/>
    <cellStyle name="20% - 강조색3 3 3 2 2" xfId="4881"/>
    <cellStyle name="20% - 강조색3 3 3 2 2 2" xfId="4882"/>
    <cellStyle name="20% - 강조색3 3 3 2 2 2 2" xfId="4883"/>
    <cellStyle name="20% - 강조색3 3 3 2 2 2 2 2" xfId="4884"/>
    <cellStyle name="20% - 강조색3 3 3 2 2 2 2 3" xfId="4885"/>
    <cellStyle name="20% - 강조색3 3 3 2 2 2 3" xfId="4886"/>
    <cellStyle name="20% - 강조색3 3 3 2 2 2 4" xfId="4887"/>
    <cellStyle name="20% - 강조색3 3 3 2 2 3" xfId="4888"/>
    <cellStyle name="20% - 강조색3 3 3 2 2 3 2" xfId="4889"/>
    <cellStyle name="20% - 강조색3 3 3 2 2 3 3" xfId="4890"/>
    <cellStyle name="20% - 강조색3 3 3 2 2 4" xfId="4891"/>
    <cellStyle name="20% - 강조색3 3 3 2 2 5" xfId="4892"/>
    <cellStyle name="20% - 강조색3 3 3 2 3" xfId="4893"/>
    <cellStyle name="20% - 강조색3 3 3 2 3 2" xfId="4894"/>
    <cellStyle name="20% - 강조색3 3 3 2 3 2 2" xfId="4895"/>
    <cellStyle name="20% - 강조색3 3 3 2 3 2 2 2" xfId="4896"/>
    <cellStyle name="20% - 강조색3 3 3 2 3 2 2 3" xfId="4897"/>
    <cellStyle name="20% - 강조색3 3 3 2 3 2 3" xfId="4898"/>
    <cellStyle name="20% - 강조색3 3 3 2 3 2 4" xfId="4899"/>
    <cellStyle name="20% - 강조색3 3 3 2 3 3" xfId="4900"/>
    <cellStyle name="20% - 강조색3 3 3 2 3 3 2" xfId="4901"/>
    <cellStyle name="20% - 강조색3 3 3 2 3 3 3" xfId="4902"/>
    <cellStyle name="20% - 강조색3 3 3 2 3 4" xfId="4903"/>
    <cellStyle name="20% - 강조색3 3 3 2 3 5" xfId="4904"/>
    <cellStyle name="20% - 강조색3 3 3 2 4" xfId="4905"/>
    <cellStyle name="20% - 강조색3 3 3 2 4 2" xfId="4906"/>
    <cellStyle name="20% - 강조색3 3 3 2 4 2 2" xfId="4907"/>
    <cellStyle name="20% - 강조색3 3 3 2 4 2 3" xfId="4908"/>
    <cellStyle name="20% - 강조색3 3 3 2 4 3" xfId="4909"/>
    <cellStyle name="20% - 강조색3 3 3 2 4 4" xfId="4910"/>
    <cellStyle name="20% - 강조색3 3 3 2 5" xfId="4911"/>
    <cellStyle name="20% - 강조색3 3 3 2 5 2" xfId="4912"/>
    <cellStyle name="20% - 강조색3 3 3 2 5 3" xfId="4913"/>
    <cellStyle name="20% - 강조색3 3 3 2 6" xfId="4914"/>
    <cellStyle name="20% - 강조색3 3 3 2 7" xfId="4915"/>
    <cellStyle name="20% - 강조색3 3 3 2 8" xfId="4916"/>
    <cellStyle name="20% - 강조색3 3 3 2 9" xfId="4917"/>
    <cellStyle name="20% - 강조색3 3 3 3" xfId="4918"/>
    <cellStyle name="20% - 강조색3 3 3 3 2" xfId="4919"/>
    <cellStyle name="20% - 강조색3 3 3 3 2 2" xfId="4920"/>
    <cellStyle name="20% - 강조색3 3 3 3 2 2 2" xfId="4921"/>
    <cellStyle name="20% - 강조색3 3 3 3 2 2 2 2" xfId="4922"/>
    <cellStyle name="20% - 강조색3 3 3 3 2 2 2 3" xfId="4923"/>
    <cellStyle name="20% - 강조색3 3 3 3 2 2 3" xfId="4924"/>
    <cellStyle name="20% - 강조색3 3 3 3 2 2 4" xfId="4925"/>
    <cellStyle name="20% - 강조색3 3 3 3 2 3" xfId="4926"/>
    <cellStyle name="20% - 강조색3 3 3 3 2 3 2" xfId="4927"/>
    <cellStyle name="20% - 강조색3 3 3 3 2 3 3" xfId="4928"/>
    <cellStyle name="20% - 강조색3 3 3 3 2 4" xfId="4929"/>
    <cellStyle name="20% - 강조색3 3 3 3 2 5" xfId="4930"/>
    <cellStyle name="20% - 강조색3 3 3 3 3" xfId="4931"/>
    <cellStyle name="20% - 강조색3 3 3 3 3 2" xfId="4932"/>
    <cellStyle name="20% - 강조색3 3 3 3 3 2 2" xfId="4933"/>
    <cellStyle name="20% - 강조색3 3 3 3 3 2 2 2" xfId="4934"/>
    <cellStyle name="20% - 강조색3 3 3 3 3 2 2 3" xfId="4935"/>
    <cellStyle name="20% - 강조색3 3 3 3 3 2 3" xfId="4936"/>
    <cellStyle name="20% - 강조색3 3 3 3 3 2 4" xfId="4937"/>
    <cellStyle name="20% - 강조색3 3 3 3 3 3" xfId="4938"/>
    <cellStyle name="20% - 강조색3 3 3 3 3 3 2" xfId="4939"/>
    <cellStyle name="20% - 강조색3 3 3 3 3 3 3" xfId="4940"/>
    <cellStyle name="20% - 강조색3 3 3 3 3 4" xfId="4941"/>
    <cellStyle name="20% - 강조색3 3 3 3 3 5" xfId="4942"/>
    <cellStyle name="20% - 강조색3 3 3 3 4" xfId="4943"/>
    <cellStyle name="20% - 강조색3 3 3 3 4 2" xfId="4944"/>
    <cellStyle name="20% - 강조색3 3 3 3 4 2 2" xfId="4945"/>
    <cellStyle name="20% - 강조색3 3 3 3 4 2 3" xfId="4946"/>
    <cellStyle name="20% - 강조색3 3 3 3 4 3" xfId="4947"/>
    <cellStyle name="20% - 강조색3 3 3 3 4 4" xfId="4948"/>
    <cellStyle name="20% - 강조색3 3 3 3 5" xfId="4949"/>
    <cellStyle name="20% - 강조색3 3 3 3 5 2" xfId="4950"/>
    <cellStyle name="20% - 강조색3 3 3 3 5 3" xfId="4951"/>
    <cellStyle name="20% - 강조색3 3 3 3 6" xfId="4952"/>
    <cellStyle name="20% - 강조색3 3 3 3 7" xfId="4953"/>
    <cellStyle name="20% - 강조색3 3 3 4" xfId="4954"/>
    <cellStyle name="20% - 강조색3 3 3 4 2" xfId="4955"/>
    <cellStyle name="20% - 강조색3 3 3 4 2 2" xfId="4956"/>
    <cellStyle name="20% - 강조색3 3 3 4 2 2 2" xfId="4957"/>
    <cellStyle name="20% - 강조색3 3 3 4 2 2 3" xfId="4958"/>
    <cellStyle name="20% - 강조색3 3 3 4 2 3" xfId="4959"/>
    <cellStyle name="20% - 강조색3 3 3 4 2 4" xfId="4960"/>
    <cellStyle name="20% - 강조색3 3 3 4 3" xfId="4961"/>
    <cellStyle name="20% - 강조색3 3 3 4 3 2" xfId="4962"/>
    <cellStyle name="20% - 강조색3 3 3 4 3 3" xfId="4963"/>
    <cellStyle name="20% - 강조색3 3 3 4 4" xfId="4964"/>
    <cellStyle name="20% - 강조색3 3 3 4 5" xfId="4965"/>
    <cellStyle name="20% - 강조색3 3 3 5" xfId="4966"/>
    <cellStyle name="20% - 강조색3 3 3 5 2" xfId="4967"/>
    <cellStyle name="20% - 강조색3 3 3 5 2 2" xfId="4968"/>
    <cellStyle name="20% - 강조색3 3 3 5 2 2 2" xfId="4969"/>
    <cellStyle name="20% - 강조색3 3 3 5 2 2 3" xfId="4970"/>
    <cellStyle name="20% - 강조색3 3 3 5 2 3" xfId="4971"/>
    <cellStyle name="20% - 강조색3 3 3 5 2 4" xfId="4972"/>
    <cellStyle name="20% - 강조색3 3 3 5 3" xfId="4973"/>
    <cellStyle name="20% - 강조색3 3 3 5 3 2" xfId="4974"/>
    <cellStyle name="20% - 강조색3 3 3 5 3 3" xfId="4975"/>
    <cellStyle name="20% - 강조색3 3 3 5 4" xfId="4976"/>
    <cellStyle name="20% - 강조색3 3 3 5 5" xfId="4977"/>
    <cellStyle name="20% - 강조색3 3 3 6" xfId="4978"/>
    <cellStyle name="20% - 강조색3 3 3 6 2" xfId="4979"/>
    <cellStyle name="20% - 강조색3 3 3 6 2 2" xfId="4980"/>
    <cellStyle name="20% - 강조색3 3 3 6 2 2 2" xfId="4981"/>
    <cellStyle name="20% - 강조색3 3 3 6 2 2 3" xfId="4982"/>
    <cellStyle name="20% - 강조색3 3 3 6 2 3" xfId="4983"/>
    <cellStyle name="20% - 강조색3 3 3 6 2 4" xfId="4984"/>
    <cellStyle name="20% - 강조색3 3 3 6 3" xfId="4985"/>
    <cellStyle name="20% - 강조색3 3 3 6 3 2" xfId="4986"/>
    <cellStyle name="20% - 강조색3 3 3 6 3 3" xfId="4987"/>
    <cellStyle name="20% - 강조색3 3 3 6 4" xfId="4988"/>
    <cellStyle name="20% - 강조색3 3 3 6 5" xfId="4989"/>
    <cellStyle name="20% - 강조색3 3 3 7" xfId="4990"/>
    <cellStyle name="20% - 강조색3 3 3 7 2" xfId="4991"/>
    <cellStyle name="20% - 강조색3 3 3 7 2 2" xfId="4992"/>
    <cellStyle name="20% - 강조색3 3 3 7 2 3" xfId="4993"/>
    <cellStyle name="20% - 강조색3 3 3 7 3" xfId="4994"/>
    <cellStyle name="20% - 강조색3 3 3 7 4" xfId="4995"/>
    <cellStyle name="20% - 강조색3 3 3 8" xfId="4996"/>
    <cellStyle name="20% - 강조색3 3 3 8 2" xfId="4997"/>
    <cellStyle name="20% - 강조색3 3 3 8 3" xfId="4998"/>
    <cellStyle name="20% - 강조색3 3 3 9" xfId="4999"/>
    <cellStyle name="20% - 강조색3 3 4" xfId="5000"/>
    <cellStyle name="20% - 강조색3 3 4 10" xfId="5001"/>
    <cellStyle name="20% - 강조색3 3 4 11" xfId="5002"/>
    <cellStyle name="20% - 강조색3 3 4 12" xfId="5003"/>
    <cellStyle name="20% - 강조색3 3 4 2" xfId="5004"/>
    <cellStyle name="20% - 강조색3 3 4 2 2" xfId="5005"/>
    <cellStyle name="20% - 강조색3 3 4 2 2 2" xfId="5006"/>
    <cellStyle name="20% - 강조색3 3 4 2 2 2 2" xfId="5007"/>
    <cellStyle name="20% - 강조색3 3 4 2 2 2 2 2" xfId="5008"/>
    <cellStyle name="20% - 강조색3 3 4 2 2 2 2 3" xfId="5009"/>
    <cellStyle name="20% - 강조색3 3 4 2 2 2 3" xfId="5010"/>
    <cellStyle name="20% - 강조색3 3 4 2 2 2 4" xfId="5011"/>
    <cellStyle name="20% - 강조색3 3 4 2 2 3" xfId="5012"/>
    <cellStyle name="20% - 강조색3 3 4 2 2 3 2" xfId="5013"/>
    <cellStyle name="20% - 강조색3 3 4 2 2 3 3" xfId="5014"/>
    <cellStyle name="20% - 강조색3 3 4 2 2 4" xfId="5015"/>
    <cellStyle name="20% - 강조색3 3 4 2 2 5" xfId="5016"/>
    <cellStyle name="20% - 강조색3 3 4 2 3" xfId="5017"/>
    <cellStyle name="20% - 강조색3 3 4 2 3 2" xfId="5018"/>
    <cellStyle name="20% - 강조색3 3 4 2 3 2 2" xfId="5019"/>
    <cellStyle name="20% - 강조색3 3 4 2 3 2 2 2" xfId="5020"/>
    <cellStyle name="20% - 강조색3 3 4 2 3 2 2 3" xfId="5021"/>
    <cellStyle name="20% - 강조색3 3 4 2 3 2 3" xfId="5022"/>
    <cellStyle name="20% - 강조색3 3 4 2 3 2 4" xfId="5023"/>
    <cellStyle name="20% - 강조색3 3 4 2 3 3" xfId="5024"/>
    <cellStyle name="20% - 강조색3 3 4 2 3 3 2" xfId="5025"/>
    <cellStyle name="20% - 강조색3 3 4 2 3 3 3" xfId="5026"/>
    <cellStyle name="20% - 강조색3 3 4 2 3 4" xfId="5027"/>
    <cellStyle name="20% - 강조색3 3 4 2 3 5" xfId="5028"/>
    <cellStyle name="20% - 강조색3 3 4 2 4" xfId="5029"/>
    <cellStyle name="20% - 강조색3 3 4 2 4 2" xfId="5030"/>
    <cellStyle name="20% - 강조색3 3 4 2 4 2 2" xfId="5031"/>
    <cellStyle name="20% - 강조색3 3 4 2 4 2 3" xfId="5032"/>
    <cellStyle name="20% - 강조색3 3 4 2 4 3" xfId="5033"/>
    <cellStyle name="20% - 강조색3 3 4 2 4 4" xfId="5034"/>
    <cellStyle name="20% - 강조색3 3 4 2 5" xfId="5035"/>
    <cellStyle name="20% - 강조색3 3 4 2 5 2" xfId="5036"/>
    <cellStyle name="20% - 강조색3 3 4 2 5 3" xfId="5037"/>
    <cellStyle name="20% - 강조색3 3 4 2 6" xfId="5038"/>
    <cellStyle name="20% - 강조색3 3 4 2 7" xfId="5039"/>
    <cellStyle name="20% - 강조색3 3 4 3" xfId="5040"/>
    <cellStyle name="20% - 강조색3 3 4 3 2" xfId="5041"/>
    <cellStyle name="20% - 강조색3 3 4 3 2 2" xfId="5042"/>
    <cellStyle name="20% - 강조색3 3 4 3 2 2 2" xfId="5043"/>
    <cellStyle name="20% - 강조색3 3 4 3 2 2 2 2" xfId="5044"/>
    <cellStyle name="20% - 강조색3 3 4 3 2 2 2 3" xfId="5045"/>
    <cellStyle name="20% - 강조색3 3 4 3 2 2 3" xfId="5046"/>
    <cellStyle name="20% - 강조색3 3 4 3 2 2 4" xfId="5047"/>
    <cellStyle name="20% - 강조색3 3 4 3 2 3" xfId="5048"/>
    <cellStyle name="20% - 강조색3 3 4 3 2 3 2" xfId="5049"/>
    <cellStyle name="20% - 강조색3 3 4 3 2 3 3" xfId="5050"/>
    <cellStyle name="20% - 강조색3 3 4 3 2 4" xfId="5051"/>
    <cellStyle name="20% - 강조색3 3 4 3 2 5" xfId="5052"/>
    <cellStyle name="20% - 강조색3 3 4 3 3" xfId="5053"/>
    <cellStyle name="20% - 강조색3 3 4 3 3 2" xfId="5054"/>
    <cellStyle name="20% - 강조색3 3 4 3 3 2 2" xfId="5055"/>
    <cellStyle name="20% - 강조색3 3 4 3 3 2 2 2" xfId="5056"/>
    <cellStyle name="20% - 강조색3 3 4 3 3 2 2 3" xfId="5057"/>
    <cellStyle name="20% - 강조색3 3 4 3 3 2 3" xfId="5058"/>
    <cellStyle name="20% - 강조색3 3 4 3 3 2 4" xfId="5059"/>
    <cellStyle name="20% - 강조색3 3 4 3 3 3" xfId="5060"/>
    <cellStyle name="20% - 강조색3 3 4 3 3 3 2" xfId="5061"/>
    <cellStyle name="20% - 강조색3 3 4 3 3 3 3" xfId="5062"/>
    <cellStyle name="20% - 강조색3 3 4 3 3 4" xfId="5063"/>
    <cellStyle name="20% - 강조색3 3 4 3 3 5" xfId="5064"/>
    <cellStyle name="20% - 강조색3 3 4 3 4" xfId="5065"/>
    <cellStyle name="20% - 강조색3 3 4 3 4 2" xfId="5066"/>
    <cellStyle name="20% - 강조색3 3 4 3 4 2 2" xfId="5067"/>
    <cellStyle name="20% - 강조색3 3 4 3 4 2 3" xfId="5068"/>
    <cellStyle name="20% - 강조색3 3 4 3 4 3" xfId="5069"/>
    <cellStyle name="20% - 강조색3 3 4 3 4 4" xfId="5070"/>
    <cellStyle name="20% - 강조색3 3 4 3 5" xfId="5071"/>
    <cellStyle name="20% - 강조색3 3 4 3 5 2" xfId="5072"/>
    <cellStyle name="20% - 강조색3 3 4 3 5 3" xfId="5073"/>
    <cellStyle name="20% - 강조색3 3 4 3 6" xfId="5074"/>
    <cellStyle name="20% - 강조색3 3 4 3 7" xfId="5075"/>
    <cellStyle name="20% - 강조색3 3 4 4" xfId="5076"/>
    <cellStyle name="20% - 강조색3 3 4 4 2" xfId="5077"/>
    <cellStyle name="20% - 강조색3 3 4 4 2 2" xfId="5078"/>
    <cellStyle name="20% - 강조색3 3 4 4 2 2 2" xfId="5079"/>
    <cellStyle name="20% - 강조색3 3 4 4 2 2 3" xfId="5080"/>
    <cellStyle name="20% - 강조색3 3 4 4 2 3" xfId="5081"/>
    <cellStyle name="20% - 강조색3 3 4 4 2 4" xfId="5082"/>
    <cellStyle name="20% - 강조색3 3 4 4 3" xfId="5083"/>
    <cellStyle name="20% - 강조색3 3 4 4 3 2" xfId="5084"/>
    <cellStyle name="20% - 강조색3 3 4 4 3 3" xfId="5085"/>
    <cellStyle name="20% - 강조색3 3 4 4 4" xfId="5086"/>
    <cellStyle name="20% - 강조색3 3 4 4 5" xfId="5087"/>
    <cellStyle name="20% - 강조색3 3 4 5" xfId="5088"/>
    <cellStyle name="20% - 강조색3 3 4 5 2" xfId="5089"/>
    <cellStyle name="20% - 강조색3 3 4 5 2 2" xfId="5090"/>
    <cellStyle name="20% - 강조색3 3 4 5 2 2 2" xfId="5091"/>
    <cellStyle name="20% - 강조색3 3 4 5 2 2 3" xfId="5092"/>
    <cellStyle name="20% - 강조색3 3 4 5 2 3" xfId="5093"/>
    <cellStyle name="20% - 강조색3 3 4 5 2 4" xfId="5094"/>
    <cellStyle name="20% - 강조색3 3 4 5 3" xfId="5095"/>
    <cellStyle name="20% - 강조색3 3 4 5 3 2" xfId="5096"/>
    <cellStyle name="20% - 강조색3 3 4 5 3 3" xfId="5097"/>
    <cellStyle name="20% - 강조색3 3 4 5 4" xfId="5098"/>
    <cellStyle name="20% - 강조색3 3 4 5 5" xfId="5099"/>
    <cellStyle name="20% - 강조색3 3 4 6" xfId="5100"/>
    <cellStyle name="20% - 강조색3 3 4 6 2" xfId="5101"/>
    <cellStyle name="20% - 강조색3 3 4 6 2 2" xfId="5102"/>
    <cellStyle name="20% - 강조색3 3 4 6 2 2 2" xfId="5103"/>
    <cellStyle name="20% - 강조색3 3 4 6 2 2 3" xfId="5104"/>
    <cellStyle name="20% - 강조색3 3 4 6 2 3" xfId="5105"/>
    <cellStyle name="20% - 강조색3 3 4 6 2 4" xfId="5106"/>
    <cellStyle name="20% - 강조색3 3 4 6 3" xfId="5107"/>
    <cellStyle name="20% - 강조색3 3 4 6 3 2" xfId="5108"/>
    <cellStyle name="20% - 강조색3 3 4 6 3 3" xfId="5109"/>
    <cellStyle name="20% - 강조색3 3 4 6 4" xfId="5110"/>
    <cellStyle name="20% - 강조색3 3 4 6 5" xfId="5111"/>
    <cellStyle name="20% - 강조색3 3 4 7" xfId="5112"/>
    <cellStyle name="20% - 강조색3 3 4 7 2" xfId="5113"/>
    <cellStyle name="20% - 강조색3 3 4 7 2 2" xfId="5114"/>
    <cellStyle name="20% - 강조색3 3 4 7 2 3" xfId="5115"/>
    <cellStyle name="20% - 강조색3 3 4 7 3" xfId="5116"/>
    <cellStyle name="20% - 강조색3 3 4 7 4" xfId="5117"/>
    <cellStyle name="20% - 강조색3 3 4 8" xfId="5118"/>
    <cellStyle name="20% - 강조색3 3 4 8 2" xfId="5119"/>
    <cellStyle name="20% - 강조색3 3 4 8 3" xfId="5120"/>
    <cellStyle name="20% - 강조색3 3 4 9" xfId="5121"/>
    <cellStyle name="20% - 강조색3 3 5" xfId="5122"/>
    <cellStyle name="20% - 강조색3 3 5 2" xfId="5123"/>
    <cellStyle name="20% - 강조색3 3 5 2 2" xfId="5124"/>
    <cellStyle name="20% - 강조색3 3 5 2 2 2" xfId="5125"/>
    <cellStyle name="20% - 강조색3 3 5 2 2 2 2" xfId="5126"/>
    <cellStyle name="20% - 강조색3 3 5 2 2 2 3" xfId="5127"/>
    <cellStyle name="20% - 강조색3 3 5 2 2 3" xfId="5128"/>
    <cellStyle name="20% - 강조색3 3 5 2 2 4" xfId="5129"/>
    <cellStyle name="20% - 강조색3 3 5 2 3" xfId="5130"/>
    <cellStyle name="20% - 강조색3 3 5 2 3 2" xfId="5131"/>
    <cellStyle name="20% - 강조색3 3 5 2 3 3" xfId="5132"/>
    <cellStyle name="20% - 강조색3 3 5 2 4" xfId="5133"/>
    <cellStyle name="20% - 강조색3 3 5 2 5" xfId="5134"/>
    <cellStyle name="20% - 강조색3 3 5 3" xfId="5135"/>
    <cellStyle name="20% - 강조색3 3 5 3 2" xfId="5136"/>
    <cellStyle name="20% - 강조색3 3 5 3 2 2" xfId="5137"/>
    <cellStyle name="20% - 강조색3 3 5 3 2 2 2" xfId="5138"/>
    <cellStyle name="20% - 강조색3 3 5 3 2 2 3" xfId="5139"/>
    <cellStyle name="20% - 강조색3 3 5 3 2 3" xfId="5140"/>
    <cellStyle name="20% - 강조색3 3 5 3 2 4" xfId="5141"/>
    <cellStyle name="20% - 강조색3 3 5 3 3" xfId="5142"/>
    <cellStyle name="20% - 강조색3 3 5 3 3 2" xfId="5143"/>
    <cellStyle name="20% - 강조색3 3 5 3 3 3" xfId="5144"/>
    <cellStyle name="20% - 강조색3 3 5 3 4" xfId="5145"/>
    <cellStyle name="20% - 강조색3 3 5 3 5" xfId="5146"/>
    <cellStyle name="20% - 강조색3 3 5 4" xfId="5147"/>
    <cellStyle name="20% - 강조색3 3 5 4 2" xfId="5148"/>
    <cellStyle name="20% - 강조색3 3 5 4 2 2" xfId="5149"/>
    <cellStyle name="20% - 강조색3 3 5 4 2 3" xfId="5150"/>
    <cellStyle name="20% - 강조색3 3 5 4 3" xfId="5151"/>
    <cellStyle name="20% - 강조색3 3 5 4 4" xfId="5152"/>
    <cellStyle name="20% - 강조색3 3 5 5" xfId="5153"/>
    <cellStyle name="20% - 강조색3 3 5 5 2" xfId="5154"/>
    <cellStyle name="20% - 강조색3 3 5 5 3" xfId="5155"/>
    <cellStyle name="20% - 강조색3 3 5 6" xfId="5156"/>
    <cellStyle name="20% - 강조색3 3 5 7" xfId="5157"/>
    <cellStyle name="20% - 강조색3 3 5 8" xfId="5158"/>
    <cellStyle name="20% - 강조색3 3 6" xfId="5159"/>
    <cellStyle name="20% - 강조색3 3 6 2" xfId="5160"/>
    <cellStyle name="20% - 강조색3 3 6 2 2" xfId="5161"/>
    <cellStyle name="20% - 강조색3 3 6 2 2 2" xfId="5162"/>
    <cellStyle name="20% - 강조색3 3 6 2 2 2 2" xfId="5163"/>
    <cellStyle name="20% - 강조색3 3 6 2 2 2 3" xfId="5164"/>
    <cellStyle name="20% - 강조색3 3 6 2 2 3" xfId="5165"/>
    <cellStyle name="20% - 강조색3 3 6 2 2 4" xfId="5166"/>
    <cellStyle name="20% - 강조색3 3 6 2 3" xfId="5167"/>
    <cellStyle name="20% - 강조색3 3 6 2 3 2" xfId="5168"/>
    <cellStyle name="20% - 강조색3 3 6 2 3 3" xfId="5169"/>
    <cellStyle name="20% - 강조색3 3 6 2 4" xfId="5170"/>
    <cellStyle name="20% - 강조색3 3 6 2 5" xfId="5171"/>
    <cellStyle name="20% - 강조색3 3 6 3" xfId="5172"/>
    <cellStyle name="20% - 강조색3 3 6 3 2" xfId="5173"/>
    <cellStyle name="20% - 강조색3 3 6 3 2 2" xfId="5174"/>
    <cellStyle name="20% - 강조색3 3 6 3 2 2 2" xfId="5175"/>
    <cellStyle name="20% - 강조색3 3 6 3 2 2 3" xfId="5176"/>
    <cellStyle name="20% - 강조색3 3 6 3 2 3" xfId="5177"/>
    <cellStyle name="20% - 강조색3 3 6 3 2 4" xfId="5178"/>
    <cellStyle name="20% - 강조색3 3 6 3 3" xfId="5179"/>
    <cellStyle name="20% - 강조색3 3 6 3 3 2" xfId="5180"/>
    <cellStyle name="20% - 강조색3 3 6 3 3 3" xfId="5181"/>
    <cellStyle name="20% - 강조색3 3 6 3 4" xfId="5182"/>
    <cellStyle name="20% - 강조색3 3 6 3 5" xfId="5183"/>
    <cellStyle name="20% - 강조색3 3 6 4" xfId="5184"/>
    <cellStyle name="20% - 강조색3 3 6 4 2" xfId="5185"/>
    <cellStyle name="20% - 강조색3 3 6 4 2 2" xfId="5186"/>
    <cellStyle name="20% - 강조색3 3 6 4 2 3" xfId="5187"/>
    <cellStyle name="20% - 강조색3 3 6 4 3" xfId="5188"/>
    <cellStyle name="20% - 강조색3 3 6 4 4" xfId="5189"/>
    <cellStyle name="20% - 강조색3 3 6 5" xfId="5190"/>
    <cellStyle name="20% - 강조색3 3 6 5 2" xfId="5191"/>
    <cellStyle name="20% - 강조색3 3 6 5 3" xfId="5192"/>
    <cellStyle name="20% - 강조색3 3 6 6" xfId="5193"/>
    <cellStyle name="20% - 강조색3 3 6 7" xfId="5194"/>
    <cellStyle name="20% - 강조색3 3 7" xfId="5195"/>
    <cellStyle name="20% - 강조색3 3 7 2" xfId="5196"/>
    <cellStyle name="20% - 강조색3 3 7 2 2" xfId="5197"/>
    <cellStyle name="20% - 강조색3 3 7 2 2 2" xfId="5198"/>
    <cellStyle name="20% - 강조색3 3 7 2 2 3" xfId="5199"/>
    <cellStyle name="20% - 강조색3 3 7 2 3" xfId="5200"/>
    <cellStyle name="20% - 강조색3 3 7 2 4" xfId="5201"/>
    <cellStyle name="20% - 강조색3 3 7 3" xfId="5202"/>
    <cellStyle name="20% - 강조색3 3 7 3 2" xfId="5203"/>
    <cellStyle name="20% - 강조색3 3 7 3 3" xfId="5204"/>
    <cellStyle name="20% - 강조색3 3 7 4" xfId="5205"/>
    <cellStyle name="20% - 강조색3 3 7 5" xfId="5206"/>
    <cellStyle name="20% - 강조색3 3 8" xfId="5207"/>
    <cellStyle name="20% - 강조색3 3 8 2" xfId="5208"/>
    <cellStyle name="20% - 강조색3 3 8 2 2" xfId="5209"/>
    <cellStyle name="20% - 강조색3 3 8 2 2 2" xfId="5210"/>
    <cellStyle name="20% - 강조색3 3 8 2 2 3" xfId="5211"/>
    <cellStyle name="20% - 강조색3 3 8 2 3" xfId="5212"/>
    <cellStyle name="20% - 강조색3 3 8 2 4" xfId="5213"/>
    <cellStyle name="20% - 강조색3 3 8 3" xfId="5214"/>
    <cellStyle name="20% - 강조색3 3 8 3 2" xfId="5215"/>
    <cellStyle name="20% - 강조색3 3 8 3 3" xfId="5216"/>
    <cellStyle name="20% - 강조색3 3 8 4" xfId="5217"/>
    <cellStyle name="20% - 강조색3 3 8 5" xfId="5218"/>
    <cellStyle name="20% - 강조색3 3 9" xfId="5219"/>
    <cellStyle name="20% - 강조색3 3 9 2" xfId="5220"/>
    <cellStyle name="20% - 강조색3 3 9 2 2" xfId="5221"/>
    <cellStyle name="20% - 강조색3 3 9 2 2 2" xfId="5222"/>
    <cellStyle name="20% - 강조색3 3 9 2 2 3" xfId="5223"/>
    <cellStyle name="20% - 강조색3 3 9 2 3" xfId="5224"/>
    <cellStyle name="20% - 강조색3 3 9 2 4" xfId="5225"/>
    <cellStyle name="20% - 강조색3 3 9 3" xfId="5226"/>
    <cellStyle name="20% - 강조색3 3 9 3 2" xfId="5227"/>
    <cellStyle name="20% - 강조색3 3 9 3 3" xfId="5228"/>
    <cellStyle name="20% - 강조색3 3 9 4" xfId="5229"/>
    <cellStyle name="20% - 강조색3 3 9 5" xfId="5230"/>
    <cellStyle name="20% - 강조색3 30" xfId="5231"/>
    <cellStyle name="20% - 강조색3 30 2" xfId="5232"/>
    <cellStyle name="20% - 강조색3 31" xfId="5233"/>
    <cellStyle name="20% - 강조색3 31 2" xfId="5234"/>
    <cellStyle name="20% - 강조색3 32" xfId="5235"/>
    <cellStyle name="20% - 강조색3 32 2" xfId="5236"/>
    <cellStyle name="20% - 강조색3 33" xfId="5237"/>
    <cellStyle name="20% - 강조색3 33 2" xfId="5238"/>
    <cellStyle name="20% - 강조색3 34" xfId="5239"/>
    <cellStyle name="20% - 강조색3 34 2" xfId="5240"/>
    <cellStyle name="20% - 강조색3 35" xfId="5241"/>
    <cellStyle name="20% - 강조색3 36" xfId="5242"/>
    <cellStyle name="20% - 강조색3 37" xfId="5243"/>
    <cellStyle name="20% - 강조색3 38" xfId="5244"/>
    <cellStyle name="20% - 강조색3 39" xfId="5245"/>
    <cellStyle name="20% - 강조색3 4" xfId="5246"/>
    <cellStyle name="20% - 강조색3 4 10" xfId="5247"/>
    <cellStyle name="20% - 강조색3 4 10 2" xfId="5248"/>
    <cellStyle name="20% - 강조색3 4 10 2 2" xfId="5249"/>
    <cellStyle name="20% - 강조색3 4 10 2 3" xfId="5250"/>
    <cellStyle name="20% - 강조색3 4 10 3" xfId="5251"/>
    <cellStyle name="20% - 강조색3 4 10 4" xfId="5252"/>
    <cellStyle name="20% - 강조색3 4 11" xfId="5253"/>
    <cellStyle name="20% - 강조색3 4 11 2" xfId="5254"/>
    <cellStyle name="20% - 강조색3 4 11 3" xfId="5255"/>
    <cellStyle name="20% - 강조색3 4 12" xfId="5256"/>
    <cellStyle name="20% - 강조색3 4 13" xfId="5257"/>
    <cellStyle name="20% - 강조색3 4 14" xfId="5258"/>
    <cellStyle name="20% - 강조색3 4 2" xfId="5259"/>
    <cellStyle name="20% - 강조색3 4 2 10" xfId="5260"/>
    <cellStyle name="20% - 강조색3 4 2 2" xfId="5261"/>
    <cellStyle name="20% - 강조색3 4 2 2 2" xfId="5262"/>
    <cellStyle name="20% - 강조색3 4 2 2 2 2" xfId="5263"/>
    <cellStyle name="20% - 강조색3 4 2 2 2 2 2" xfId="5264"/>
    <cellStyle name="20% - 강조색3 4 2 2 2 2 2 2" xfId="5265"/>
    <cellStyle name="20% - 강조색3 4 2 2 2 2 2 3" xfId="5266"/>
    <cellStyle name="20% - 강조색3 4 2 2 2 2 3" xfId="5267"/>
    <cellStyle name="20% - 강조색3 4 2 2 2 2 4" xfId="5268"/>
    <cellStyle name="20% - 강조색3 4 2 2 2 3" xfId="5269"/>
    <cellStyle name="20% - 강조색3 4 2 2 2 3 2" xfId="5270"/>
    <cellStyle name="20% - 강조색3 4 2 2 2 3 3" xfId="5271"/>
    <cellStyle name="20% - 강조색3 4 2 2 2 4" xfId="5272"/>
    <cellStyle name="20% - 강조색3 4 2 2 2 5" xfId="5273"/>
    <cellStyle name="20% - 강조색3 4 2 2 3" xfId="5274"/>
    <cellStyle name="20% - 강조색3 4 2 2 3 2" xfId="5275"/>
    <cellStyle name="20% - 강조색3 4 2 2 3 2 2" xfId="5276"/>
    <cellStyle name="20% - 강조색3 4 2 2 3 2 2 2" xfId="5277"/>
    <cellStyle name="20% - 강조색3 4 2 2 3 2 2 3" xfId="5278"/>
    <cellStyle name="20% - 강조색3 4 2 2 3 2 3" xfId="5279"/>
    <cellStyle name="20% - 강조색3 4 2 2 3 2 4" xfId="5280"/>
    <cellStyle name="20% - 강조색3 4 2 2 3 3" xfId="5281"/>
    <cellStyle name="20% - 강조색3 4 2 2 3 3 2" xfId="5282"/>
    <cellStyle name="20% - 강조색3 4 2 2 3 3 3" xfId="5283"/>
    <cellStyle name="20% - 강조색3 4 2 2 3 4" xfId="5284"/>
    <cellStyle name="20% - 강조색3 4 2 2 3 5" xfId="5285"/>
    <cellStyle name="20% - 강조색3 4 2 2 4" xfId="5286"/>
    <cellStyle name="20% - 강조색3 4 2 2 4 2" xfId="5287"/>
    <cellStyle name="20% - 강조색3 4 2 2 4 2 2" xfId="5288"/>
    <cellStyle name="20% - 강조색3 4 2 2 4 2 3" xfId="5289"/>
    <cellStyle name="20% - 강조색3 4 2 2 4 3" xfId="5290"/>
    <cellStyle name="20% - 강조색3 4 2 2 4 4" xfId="5291"/>
    <cellStyle name="20% - 강조색3 4 2 2 5" xfId="5292"/>
    <cellStyle name="20% - 강조색3 4 2 2 5 2" xfId="5293"/>
    <cellStyle name="20% - 강조색3 4 2 2 5 3" xfId="5294"/>
    <cellStyle name="20% - 강조색3 4 2 2 6" xfId="5295"/>
    <cellStyle name="20% - 강조색3 4 2 2 7" xfId="5296"/>
    <cellStyle name="20% - 강조색3 4 2 3" xfId="5297"/>
    <cellStyle name="20% - 강조색3 4 2 3 2" xfId="5298"/>
    <cellStyle name="20% - 강조색3 4 2 3 2 2" xfId="5299"/>
    <cellStyle name="20% - 강조색3 4 2 3 2 2 2" xfId="5300"/>
    <cellStyle name="20% - 강조색3 4 2 3 2 2 2 2" xfId="5301"/>
    <cellStyle name="20% - 강조색3 4 2 3 2 2 2 3" xfId="5302"/>
    <cellStyle name="20% - 강조색3 4 2 3 2 2 3" xfId="5303"/>
    <cellStyle name="20% - 강조색3 4 2 3 2 2 4" xfId="5304"/>
    <cellStyle name="20% - 강조색3 4 2 3 2 3" xfId="5305"/>
    <cellStyle name="20% - 강조색3 4 2 3 2 3 2" xfId="5306"/>
    <cellStyle name="20% - 강조색3 4 2 3 2 3 3" xfId="5307"/>
    <cellStyle name="20% - 강조색3 4 2 3 2 4" xfId="5308"/>
    <cellStyle name="20% - 강조색3 4 2 3 2 5" xfId="5309"/>
    <cellStyle name="20% - 강조색3 4 2 3 3" xfId="5310"/>
    <cellStyle name="20% - 강조색3 4 2 3 3 2" xfId="5311"/>
    <cellStyle name="20% - 강조색3 4 2 3 3 2 2" xfId="5312"/>
    <cellStyle name="20% - 강조색3 4 2 3 3 2 2 2" xfId="5313"/>
    <cellStyle name="20% - 강조색3 4 2 3 3 2 2 3" xfId="5314"/>
    <cellStyle name="20% - 강조색3 4 2 3 3 2 3" xfId="5315"/>
    <cellStyle name="20% - 강조색3 4 2 3 3 2 4" xfId="5316"/>
    <cellStyle name="20% - 강조색3 4 2 3 3 3" xfId="5317"/>
    <cellStyle name="20% - 강조색3 4 2 3 3 3 2" xfId="5318"/>
    <cellStyle name="20% - 강조색3 4 2 3 3 3 3" xfId="5319"/>
    <cellStyle name="20% - 강조색3 4 2 3 3 4" xfId="5320"/>
    <cellStyle name="20% - 강조색3 4 2 3 3 5" xfId="5321"/>
    <cellStyle name="20% - 강조색3 4 2 3 4" xfId="5322"/>
    <cellStyle name="20% - 강조색3 4 2 3 4 2" xfId="5323"/>
    <cellStyle name="20% - 강조색3 4 2 3 4 2 2" xfId="5324"/>
    <cellStyle name="20% - 강조색3 4 2 3 4 2 3" xfId="5325"/>
    <cellStyle name="20% - 강조색3 4 2 3 4 3" xfId="5326"/>
    <cellStyle name="20% - 강조색3 4 2 3 4 4" xfId="5327"/>
    <cellStyle name="20% - 강조색3 4 2 3 5" xfId="5328"/>
    <cellStyle name="20% - 강조색3 4 2 3 5 2" xfId="5329"/>
    <cellStyle name="20% - 강조색3 4 2 3 5 3" xfId="5330"/>
    <cellStyle name="20% - 강조색3 4 2 3 6" xfId="5331"/>
    <cellStyle name="20% - 강조색3 4 2 3 7" xfId="5332"/>
    <cellStyle name="20% - 강조색3 4 2 4" xfId="5333"/>
    <cellStyle name="20% - 강조색3 4 2 4 2" xfId="5334"/>
    <cellStyle name="20% - 강조색3 4 2 4 2 2" xfId="5335"/>
    <cellStyle name="20% - 강조색3 4 2 4 2 2 2" xfId="5336"/>
    <cellStyle name="20% - 강조색3 4 2 4 2 2 3" xfId="5337"/>
    <cellStyle name="20% - 강조색3 4 2 4 2 3" xfId="5338"/>
    <cellStyle name="20% - 강조색3 4 2 4 2 4" xfId="5339"/>
    <cellStyle name="20% - 강조색3 4 2 4 3" xfId="5340"/>
    <cellStyle name="20% - 강조색3 4 2 4 3 2" xfId="5341"/>
    <cellStyle name="20% - 강조색3 4 2 4 3 3" xfId="5342"/>
    <cellStyle name="20% - 강조색3 4 2 4 4" xfId="5343"/>
    <cellStyle name="20% - 강조색3 4 2 4 5" xfId="5344"/>
    <cellStyle name="20% - 강조색3 4 2 5" xfId="5345"/>
    <cellStyle name="20% - 강조색3 4 2 5 2" xfId="5346"/>
    <cellStyle name="20% - 강조색3 4 2 5 2 2" xfId="5347"/>
    <cellStyle name="20% - 강조색3 4 2 5 2 2 2" xfId="5348"/>
    <cellStyle name="20% - 강조색3 4 2 5 2 2 3" xfId="5349"/>
    <cellStyle name="20% - 강조색3 4 2 5 2 3" xfId="5350"/>
    <cellStyle name="20% - 강조색3 4 2 5 2 4" xfId="5351"/>
    <cellStyle name="20% - 강조색3 4 2 5 3" xfId="5352"/>
    <cellStyle name="20% - 강조색3 4 2 5 3 2" xfId="5353"/>
    <cellStyle name="20% - 강조색3 4 2 5 3 3" xfId="5354"/>
    <cellStyle name="20% - 강조색3 4 2 5 4" xfId="5355"/>
    <cellStyle name="20% - 강조색3 4 2 5 5" xfId="5356"/>
    <cellStyle name="20% - 강조색3 4 2 6" xfId="5357"/>
    <cellStyle name="20% - 강조색3 4 2 6 2" xfId="5358"/>
    <cellStyle name="20% - 강조색3 4 2 6 2 2" xfId="5359"/>
    <cellStyle name="20% - 강조색3 4 2 6 2 2 2" xfId="5360"/>
    <cellStyle name="20% - 강조색3 4 2 6 2 2 3" xfId="5361"/>
    <cellStyle name="20% - 강조색3 4 2 6 2 3" xfId="5362"/>
    <cellStyle name="20% - 강조색3 4 2 6 2 4" xfId="5363"/>
    <cellStyle name="20% - 강조색3 4 2 6 3" xfId="5364"/>
    <cellStyle name="20% - 강조색3 4 2 6 3 2" xfId="5365"/>
    <cellStyle name="20% - 강조색3 4 2 6 3 3" xfId="5366"/>
    <cellStyle name="20% - 강조색3 4 2 6 4" xfId="5367"/>
    <cellStyle name="20% - 강조색3 4 2 6 5" xfId="5368"/>
    <cellStyle name="20% - 강조색3 4 2 7" xfId="5369"/>
    <cellStyle name="20% - 강조색3 4 2 7 2" xfId="5370"/>
    <cellStyle name="20% - 강조색3 4 2 7 2 2" xfId="5371"/>
    <cellStyle name="20% - 강조색3 4 2 7 2 3" xfId="5372"/>
    <cellStyle name="20% - 강조색3 4 2 7 3" xfId="5373"/>
    <cellStyle name="20% - 강조색3 4 2 7 4" xfId="5374"/>
    <cellStyle name="20% - 강조색3 4 2 8" xfId="5375"/>
    <cellStyle name="20% - 강조색3 4 2 8 2" xfId="5376"/>
    <cellStyle name="20% - 강조색3 4 2 8 3" xfId="5377"/>
    <cellStyle name="20% - 강조색3 4 2 9" xfId="5378"/>
    <cellStyle name="20% - 강조색3 4 3" xfId="5379"/>
    <cellStyle name="20% - 강조색3 4 3 10" xfId="5380"/>
    <cellStyle name="20% - 강조색3 4 3 2" xfId="5381"/>
    <cellStyle name="20% - 강조색3 4 3 2 2" xfId="5382"/>
    <cellStyle name="20% - 강조색3 4 3 2 2 2" xfId="5383"/>
    <cellStyle name="20% - 강조색3 4 3 2 2 2 2" xfId="5384"/>
    <cellStyle name="20% - 강조색3 4 3 2 2 2 2 2" xfId="5385"/>
    <cellStyle name="20% - 강조색3 4 3 2 2 2 2 3" xfId="5386"/>
    <cellStyle name="20% - 강조색3 4 3 2 2 2 3" xfId="5387"/>
    <cellStyle name="20% - 강조색3 4 3 2 2 2 4" xfId="5388"/>
    <cellStyle name="20% - 강조색3 4 3 2 2 3" xfId="5389"/>
    <cellStyle name="20% - 강조색3 4 3 2 2 3 2" xfId="5390"/>
    <cellStyle name="20% - 강조색3 4 3 2 2 3 3" xfId="5391"/>
    <cellStyle name="20% - 강조색3 4 3 2 2 4" xfId="5392"/>
    <cellStyle name="20% - 강조색3 4 3 2 2 5" xfId="5393"/>
    <cellStyle name="20% - 강조색3 4 3 2 3" xfId="5394"/>
    <cellStyle name="20% - 강조색3 4 3 2 3 2" xfId="5395"/>
    <cellStyle name="20% - 강조색3 4 3 2 3 2 2" xfId="5396"/>
    <cellStyle name="20% - 강조색3 4 3 2 3 2 2 2" xfId="5397"/>
    <cellStyle name="20% - 강조색3 4 3 2 3 2 2 3" xfId="5398"/>
    <cellStyle name="20% - 강조색3 4 3 2 3 2 3" xfId="5399"/>
    <cellStyle name="20% - 강조색3 4 3 2 3 2 4" xfId="5400"/>
    <cellStyle name="20% - 강조색3 4 3 2 3 3" xfId="5401"/>
    <cellStyle name="20% - 강조색3 4 3 2 3 3 2" xfId="5402"/>
    <cellStyle name="20% - 강조색3 4 3 2 3 3 3" xfId="5403"/>
    <cellStyle name="20% - 강조색3 4 3 2 3 4" xfId="5404"/>
    <cellStyle name="20% - 강조색3 4 3 2 3 5" xfId="5405"/>
    <cellStyle name="20% - 강조색3 4 3 2 4" xfId="5406"/>
    <cellStyle name="20% - 강조색3 4 3 2 4 2" xfId="5407"/>
    <cellStyle name="20% - 강조색3 4 3 2 4 2 2" xfId="5408"/>
    <cellStyle name="20% - 강조색3 4 3 2 4 2 3" xfId="5409"/>
    <cellStyle name="20% - 강조색3 4 3 2 4 3" xfId="5410"/>
    <cellStyle name="20% - 강조색3 4 3 2 4 4" xfId="5411"/>
    <cellStyle name="20% - 강조색3 4 3 2 5" xfId="5412"/>
    <cellStyle name="20% - 강조색3 4 3 2 5 2" xfId="5413"/>
    <cellStyle name="20% - 강조색3 4 3 2 5 3" xfId="5414"/>
    <cellStyle name="20% - 강조색3 4 3 2 6" xfId="5415"/>
    <cellStyle name="20% - 강조색3 4 3 2 7" xfId="5416"/>
    <cellStyle name="20% - 강조색3 4 3 3" xfId="5417"/>
    <cellStyle name="20% - 강조색3 4 3 3 2" xfId="5418"/>
    <cellStyle name="20% - 강조색3 4 3 3 2 2" xfId="5419"/>
    <cellStyle name="20% - 강조색3 4 3 3 2 2 2" xfId="5420"/>
    <cellStyle name="20% - 강조색3 4 3 3 2 2 2 2" xfId="5421"/>
    <cellStyle name="20% - 강조색3 4 3 3 2 2 2 3" xfId="5422"/>
    <cellStyle name="20% - 강조색3 4 3 3 2 2 3" xfId="5423"/>
    <cellStyle name="20% - 강조색3 4 3 3 2 2 4" xfId="5424"/>
    <cellStyle name="20% - 강조색3 4 3 3 2 3" xfId="5425"/>
    <cellStyle name="20% - 강조색3 4 3 3 2 3 2" xfId="5426"/>
    <cellStyle name="20% - 강조색3 4 3 3 2 3 3" xfId="5427"/>
    <cellStyle name="20% - 강조색3 4 3 3 2 4" xfId="5428"/>
    <cellStyle name="20% - 강조색3 4 3 3 2 5" xfId="5429"/>
    <cellStyle name="20% - 강조색3 4 3 3 3" xfId="5430"/>
    <cellStyle name="20% - 강조색3 4 3 3 3 2" xfId="5431"/>
    <cellStyle name="20% - 강조색3 4 3 3 3 2 2" xfId="5432"/>
    <cellStyle name="20% - 강조색3 4 3 3 3 2 2 2" xfId="5433"/>
    <cellStyle name="20% - 강조색3 4 3 3 3 2 2 3" xfId="5434"/>
    <cellStyle name="20% - 강조색3 4 3 3 3 2 3" xfId="5435"/>
    <cellStyle name="20% - 강조색3 4 3 3 3 2 4" xfId="5436"/>
    <cellStyle name="20% - 강조색3 4 3 3 3 3" xfId="5437"/>
    <cellStyle name="20% - 강조색3 4 3 3 3 3 2" xfId="5438"/>
    <cellStyle name="20% - 강조색3 4 3 3 3 3 3" xfId="5439"/>
    <cellStyle name="20% - 강조색3 4 3 3 3 4" xfId="5440"/>
    <cellStyle name="20% - 강조색3 4 3 3 3 5" xfId="5441"/>
    <cellStyle name="20% - 강조색3 4 3 3 4" xfId="5442"/>
    <cellStyle name="20% - 강조색3 4 3 3 4 2" xfId="5443"/>
    <cellStyle name="20% - 강조색3 4 3 3 4 2 2" xfId="5444"/>
    <cellStyle name="20% - 강조색3 4 3 3 4 2 3" xfId="5445"/>
    <cellStyle name="20% - 강조색3 4 3 3 4 3" xfId="5446"/>
    <cellStyle name="20% - 강조색3 4 3 3 4 4" xfId="5447"/>
    <cellStyle name="20% - 강조색3 4 3 3 5" xfId="5448"/>
    <cellStyle name="20% - 강조색3 4 3 3 5 2" xfId="5449"/>
    <cellStyle name="20% - 강조색3 4 3 3 5 3" xfId="5450"/>
    <cellStyle name="20% - 강조색3 4 3 3 6" xfId="5451"/>
    <cellStyle name="20% - 강조색3 4 3 3 7" xfId="5452"/>
    <cellStyle name="20% - 강조색3 4 3 4" xfId="5453"/>
    <cellStyle name="20% - 강조색3 4 3 4 2" xfId="5454"/>
    <cellStyle name="20% - 강조색3 4 3 4 2 2" xfId="5455"/>
    <cellStyle name="20% - 강조색3 4 3 4 2 2 2" xfId="5456"/>
    <cellStyle name="20% - 강조색3 4 3 4 2 2 3" xfId="5457"/>
    <cellStyle name="20% - 강조색3 4 3 4 2 3" xfId="5458"/>
    <cellStyle name="20% - 강조색3 4 3 4 2 4" xfId="5459"/>
    <cellStyle name="20% - 강조색3 4 3 4 3" xfId="5460"/>
    <cellStyle name="20% - 강조색3 4 3 4 3 2" xfId="5461"/>
    <cellStyle name="20% - 강조색3 4 3 4 3 3" xfId="5462"/>
    <cellStyle name="20% - 강조색3 4 3 4 4" xfId="5463"/>
    <cellStyle name="20% - 강조색3 4 3 4 5" xfId="5464"/>
    <cellStyle name="20% - 강조색3 4 3 5" xfId="5465"/>
    <cellStyle name="20% - 강조색3 4 3 5 2" xfId="5466"/>
    <cellStyle name="20% - 강조색3 4 3 5 2 2" xfId="5467"/>
    <cellStyle name="20% - 강조색3 4 3 5 2 2 2" xfId="5468"/>
    <cellStyle name="20% - 강조색3 4 3 5 2 2 3" xfId="5469"/>
    <cellStyle name="20% - 강조색3 4 3 5 2 3" xfId="5470"/>
    <cellStyle name="20% - 강조색3 4 3 5 2 4" xfId="5471"/>
    <cellStyle name="20% - 강조색3 4 3 5 3" xfId="5472"/>
    <cellStyle name="20% - 강조색3 4 3 5 3 2" xfId="5473"/>
    <cellStyle name="20% - 강조색3 4 3 5 3 3" xfId="5474"/>
    <cellStyle name="20% - 강조색3 4 3 5 4" xfId="5475"/>
    <cellStyle name="20% - 강조색3 4 3 5 5" xfId="5476"/>
    <cellStyle name="20% - 강조색3 4 3 6" xfId="5477"/>
    <cellStyle name="20% - 강조색3 4 3 6 2" xfId="5478"/>
    <cellStyle name="20% - 강조색3 4 3 6 2 2" xfId="5479"/>
    <cellStyle name="20% - 강조색3 4 3 6 2 2 2" xfId="5480"/>
    <cellStyle name="20% - 강조색3 4 3 6 2 2 3" xfId="5481"/>
    <cellStyle name="20% - 강조색3 4 3 6 2 3" xfId="5482"/>
    <cellStyle name="20% - 강조색3 4 3 6 2 4" xfId="5483"/>
    <cellStyle name="20% - 강조색3 4 3 6 3" xfId="5484"/>
    <cellStyle name="20% - 강조색3 4 3 6 3 2" xfId="5485"/>
    <cellStyle name="20% - 강조색3 4 3 6 3 3" xfId="5486"/>
    <cellStyle name="20% - 강조색3 4 3 6 4" xfId="5487"/>
    <cellStyle name="20% - 강조색3 4 3 6 5" xfId="5488"/>
    <cellStyle name="20% - 강조색3 4 3 7" xfId="5489"/>
    <cellStyle name="20% - 강조색3 4 3 7 2" xfId="5490"/>
    <cellStyle name="20% - 강조색3 4 3 7 2 2" xfId="5491"/>
    <cellStyle name="20% - 강조색3 4 3 7 2 3" xfId="5492"/>
    <cellStyle name="20% - 강조색3 4 3 7 3" xfId="5493"/>
    <cellStyle name="20% - 강조색3 4 3 7 4" xfId="5494"/>
    <cellStyle name="20% - 강조색3 4 3 8" xfId="5495"/>
    <cellStyle name="20% - 강조색3 4 3 8 2" xfId="5496"/>
    <cellStyle name="20% - 강조색3 4 3 8 3" xfId="5497"/>
    <cellStyle name="20% - 강조색3 4 3 9" xfId="5498"/>
    <cellStyle name="20% - 강조색3 4 4" xfId="5499"/>
    <cellStyle name="20% - 강조색3 4 4 10" xfId="5500"/>
    <cellStyle name="20% - 강조색3 4 4 2" xfId="5501"/>
    <cellStyle name="20% - 강조색3 4 4 2 2" xfId="5502"/>
    <cellStyle name="20% - 강조색3 4 4 2 2 2" xfId="5503"/>
    <cellStyle name="20% - 강조색3 4 4 2 2 2 2" xfId="5504"/>
    <cellStyle name="20% - 강조색3 4 4 2 2 2 2 2" xfId="5505"/>
    <cellStyle name="20% - 강조색3 4 4 2 2 2 2 3" xfId="5506"/>
    <cellStyle name="20% - 강조색3 4 4 2 2 2 3" xfId="5507"/>
    <cellStyle name="20% - 강조색3 4 4 2 2 2 4" xfId="5508"/>
    <cellStyle name="20% - 강조색3 4 4 2 2 3" xfId="5509"/>
    <cellStyle name="20% - 강조색3 4 4 2 2 3 2" xfId="5510"/>
    <cellStyle name="20% - 강조색3 4 4 2 2 3 3" xfId="5511"/>
    <cellStyle name="20% - 강조색3 4 4 2 2 4" xfId="5512"/>
    <cellStyle name="20% - 강조색3 4 4 2 2 5" xfId="5513"/>
    <cellStyle name="20% - 강조색3 4 4 2 3" xfId="5514"/>
    <cellStyle name="20% - 강조색3 4 4 2 3 2" xfId="5515"/>
    <cellStyle name="20% - 강조색3 4 4 2 3 2 2" xfId="5516"/>
    <cellStyle name="20% - 강조색3 4 4 2 3 2 2 2" xfId="5517"/>
    <cellStyle name="20% - 강조색3 4 4 2 3 2 2 3" xfId="5518"/>
    <cellStyle name="20% - 강조색3 4 4 2 3 2 3" xfId="5519"/>
    <cellStyle name="20% - 강조색3 4 4 2 3 2 4" xfId="5520"/>
    <cellStyle name="20% - 강조색3 4 4 2 3 3" xfId="5521"/>
    <cellStyle name="20% - 강조색3 4 4 2 3 3 2" xfId="5522"/>
    <cellStyle name="20% - 강조색3 4 4 2 3 3 3" xfId="5523"/>
    <cellStyle name="20% - 강조색3 4 4 2 3 4" xfId="5524"/>
    <cellStyle name="20% - 강조색3 4 4 2 3 5" xfId="5525"/>
    <cellStyle name="20% - 강조색3 4 4 2 4" xfId="5526"/>
    <cellStyle name="20% - 강조색3 4 4 2 4 2" xfId="5527"/>
    <cellStyle name="20% - 강조색3 4 4 2 4 2 2" xfId="5528"/>
    <cellStyle name="20% - 강조색3 4 4 2 4 2 3" xfId="5529"/>
    <cellStyle name="20% - 강조색3 4 4 2 4 3" xfId="5530"/>
    <cellStyle name="20% - 강조색3 4 4 2 4 4" xfId="5531"/>
    <cellStyle name="20% - 강조색3 4 4 2 5" xfId="5532"/>
    <cellStyle name="20% - 강조색3 4 4 2 5 2" xfId="5533"/>
    <cellStyle name="20% - 강조색3 4 4 2 5 3" xfId="5534"/>
    <cellStyle name="20% - 강조색3 4 4 2 6" xfId="5535"/>
    <cellStyle name="20% - 강조색3 4 4 2 7" xfId="5536"/>
    <cellStyle name="20% - 강조색3 4 4 3" xfId="5537"/>
    <cellStyle name="20% - 강조색3 4 4 3 2" xfId="5538"/>
    <cellStyle name="20% - 강조색3 4 4 3 2 2" xfId="5539"/>
    <cellStyle name="20% - 강조색3 4 4 3 2 2 2" xfId="5540"/>
    <cellStyle name="20% - 강조색3 4 4 3 2 2 2 2" xfId="5541"/>
    <cellStyle name="20% - 강조색3 4 4 3 2 2 2 3" xfId="5542"/>
    <cellStyle name="20% - 강조색3 4 4 3 2 2 3" xfId="5543"/>
    <cellStyle name="20% - 강조색3 4 4 3 2 2 4" xfId="5544"/>
    <cellStyle name="20% - 강조색3 4 4 3 2 3" xfId="5545"/>
    <cellStyle name="20% - 강조색3 4 4 3 2 3 2" xfId="5546"/>
    <cellStyle name="20% - 강조색3 4 4 3 2 3 3" xfId="5547"/>
    <cellStyle name="20% - 강조색3 4 4 3 2 4" xfId="5548"/>
    <cellStyle name="20% - 강조색3 4 4 3 2 5" xfId="5549"/>
    <cellStyle name="20% - 강조색3 4 4 3 3" xfId="5550"/>
    <cellStyle name="20% - 강조색3 4 4 3 3 2" xfId="5551"/>
    <cellStyle name="20% - 강조색3 4 4 3 3 2 2" xfId="5552"/>
    <cellStyle name="20% - 강조색3 4 4 3 3 2 2 2" xfId="5553"/>
    <cellStyle name="20% - 강조색3 4 4 3 3 2 2 3" xfId="5554"/>
    <cellStyle name="20% - 강조색3 4 4 3 3 2 3" xfId="5555"/>
    <cellStyle name="20% - 강조색3 4 4 3 3 2 4" xfId="5556"/>
    <cellStyle name="20% - 강조색3 4 4 3 3 3" xfId="5557"/>
    <cellStyle name="20% - 강조색3 4 4 3 3 3 2" xfId="5558"/>
    <cellStyle name="20% - 강조색3 4 4 3 3 3 3" xfId="5559"/>
    <cellStyle name="20% - 강조색3 4 4 3 3 4" xfId="5560"/>
    <cellStyle name="20% - 강조색3 4 4 3 3 5" xfId="5561"/>
    <cellStyle name="20% - 강조색3 4 4 3 4" xfId="5562"/>
    <cellStyle name="20% - 강조색3 4 4 3 4 2" xfId="5563"/>
    <cellStyle name="20% - 강조색3 4 4 3 4 2 2" xfId="5564"/>
    <cellStyle name="20% - 강조색3 4 4 3 4 2 3" xfId="5565"/>
    <cellStyle name="20% - 강조색3 4 4 3 4 3" xfId="5566"/>
    <cellStyle name="20% - 강조색3 4 4 3 4 4" xfId="5567"/>
    <cellStyle name="20% - 강조색3 4 4 3 5" xfId="5568"/>
    <cellStyle name="20% - 강조색3 4 4 3 5 2" xfId="5569"/>
    <cellStyle name="20% - 강조색3 4 4 3 5 3" xfId="5570"/>
    <cellStyle name="20% - 강조색3 4 4 3 6" xfId="5571"/>
    <cellStyle name="20% - 강조색3 4 4 3 7" xfId="5572"/>
    <cellStyle name="20% - 강조색3 4 4 4" xfId="5573"/>
    <cellStyle name="20% - 강조색3 4 4 4 2" xfId="5574"/>
    <cellStyle name="20% - 강조색3 4 4 4 2 2" xfId="5575"/>
    <cellStyle name="20% - 강조색3 4 4 4 2 2 2" xfId="5576"/>
    <cellStyle name="20% - 강조색3 4 4 4 2 2 3" xfId="5577"/>
    <cellStyle name="20% - 강조색3 4 4 4 2 3" xfId="5578"/>
    <cellStyle name="20% - 강조색3 4 4 4 2 4" xfId="5579"/>
    <cellStyle name="20% - 강조색3 4 4 4 3" xfId="5580"/>
    <cellStyle name="20% - 강조색3 4 4 4 3 2" xfId="5581"/>
    <cellStyle name="20% - 강조색3 4 4 4 3 3" xfId="5582"/>
    <cellStyle name="20% - 강조색3 4 4 4 4" xfId="5583"/>
    <cellStyle name="20% - 강조색3 4 4 4 5" xfId="5584"/>
    <cellStyle name="20% - 강조색3 4 4 5" xfId="5585"/>
    <cellStyle name="20% - 강조색3 4 4 5 2" xfId="5586"/>
    <cellStyle name="20% - 강조색3 4 4 5 2 2" xfId="5587"/>
    <cellStyle name="20% - 강조색3 4 4 5 2 2 2" xfId="5588"/>
    <cellStyle name="20% - 강조색3 4 4 5 2 2 3" xfId="5589"/>
    <cellStyle name="20% - 강조색3 4 4 5 2 3" xfId="5590"/>
    <cellStyle name="20% - 강조색3 4 4 5 2 4" xfId="5591"/>
    <cellStyle name="20% - 강조색3 4 4 5 3" xfId="5592"/>
    <cellStyle name="20% - 강조색3 4 4 5 3 2" xfId="5593"/>
    <cellStyle name="20% - 강조색3 4 4 5 3 3" xfId="5594"/>
    <cellStyle name="20% - 강조색3 4 4 5 4" xfId="5595"/>
    <cellStyle name="20% - 강조색3 4 4 5 5" xfId="5596"/>
    <cellStyle name="20% - 강조색3 4 4 6" xfId="5597"/>
    <cellStyle name="20% - 강조색3 4 4 6 2" xfId="5598"/>
    <cellStyle name="20% - 강조색3 4 4 6 2 2" xfId="5599"/>
    <cellStyle name="20% - 강조색3 4 4 6 2 2 2" xfId="5600"/>
    <cellStyle name="20% - 강조색3 4 4 6 2 2 3" xfId="5601"/>
    <cellStyle name="20% - 강조색3 4 4 6 2 3" xfId="5602"/>
    <cellStyle name="20% - 강조색3 4 4 6 2 4" xfId="5603"/>
    <cellStyle name="20% - 강조색3 4 4 6 3" xfId="5604"/>
    <cellStyle name="20% - 강조색3 4 4 6 3 2" xfId="5605"/>
    <cellStyle name="20% - 강조색3 4 4 6 3 3" xfId="5606"/>
    <cellStyle name="20% - 강조색3 4 4 6 4" xfId="5607"/>
    <cellStyle name="20% - 강조색3 4 4 6 5" xfId="5608"/>
    <cellStyle name="20% - 강조색3 4 4 7" xfId="5609"/>
    <cellStyle name="20% - 강조색3 4 4 7 2" xfId="5610"/>
    <cellStyle name="20% - 강조색3 4 4 7 2 2" xfId="5611"/>
    <cellStyle name="20% - 강조색3 4 4 7 2 3" xfId="5612"/>
    <cellStyle name="20% - 강조색3 4 4 7 3" xfId="5613"/>
    <cellStyle name="20% - 강조색3 4 4 7 4" xfId="5614"/>
    <cellStyle name="20% - 강조색3 4 4 8" xfId="5615"/>
    <cellStyle name="20% - 강조색3 4 4 8 2" xfId="5616"/>
    <cellStyle name="20% - 강조색3 4 4 8 3" xfId="5617"/>
    <cellStyle name="20% - 강조색3 4 4 9" xfId="5618"/>
    <cellStyle name="20% - 강조색3 4 5" xfId="5619"/>
    <cellStyle name="20% - 강조색3 4 5 2" xfId="5620"/>
    <cellStyle name="20% - 강조색3 4 5 2 2" xfId="5621"/>
    <cellStyle name="20% - 강조색3 4 5 2 2 2" xfId="5622"/>
    <cellStyle name="20% - 강조색3 4 5 2 2 2 2" xfId="5623"/>
    <cellStyle name="20% - 강조색3 4 5 2 2 2 3" xfId="5624"/>
    <cellStyle name="20% - 강조색3 4 5 2 2 3" xfId="5625"/>
    <cellStyle name="20% - 강조색3 4 5 2 2 4" xfId="5626"/>
    <cellStyle name="20% - 강조색3 4 5 2 3" xfId="5627"/>
    <cellStyle name="20% - 강조색3 4 5 2 3 2" xfId="5628"/>
    <cellStyle name="20% - 강조색3 4 5 2 3 3" xfId="5629"/>
    <cellStyle name="20% - 강조색3 4 5 2 4" xfId="5630"/>
    <cellStyle name="20% - 강조색3 4 5 2 5" xfId="5631"/>
    <cellStyle name="20% - 강조색3 4 5 3" xfId="5632"/>
    <cellStyle name="20% - 강조색3 4 5 3 2" xfId="5633"/>
    <cellStyle name="20% - 강조색3 4 5 3 2 2" xfId="5634"/>
    <cellStyle name="20% - 강조색3 4 5 3 2 2 2" xfId="5635"/>
    <cellStyle name="20% - 강조색3 4 5 3 2 2 3" xfId="5636"/>
    <cellStyle name="20% - 강조색3 4 5 3 2 3" xfId="5637"/>
    <cellStyle name="20% - 강조색3 4 5 3 2 4" xfId="5638"/>
    <cellStyle name="20% - 강조색3 4 5 3 3" xfId="5639"/>
    <cellStyle name="20% - 강조색3 4 5 3 3 2" xfId="5640"/>
    <cellStyle name="20% - 강조색3 4 5 3 3 3" xfId="5641"/>
    <cellStyle name="20% - 강조색3 4 5 3 4" xfId="5642"/>
    <cellStyle name="20% - 강조색3 4 5 3 5" xfId="5643"/>
    <cellStyle name="20% - 강조색3 4 5 4" xfId="5644"/>
    <cellStyle name="20% - 강조색3 4 5 4 2" xfId="5645"/>
    <cellStyle name="20% - 강조색3 4 5 4 2 2" xfId="5646"/>
    <cellStyle name="20% - 강조색3 4 5 4 2 3" xfId="5647"/>
    <cellStyle name="20% - 강조색3 4 5 4 3" xfId="5648"/>
    <cellStyle name="20% - 강조색3 4 5 4 4" xfId="5649"/>
    <cellStyle name="20% - 강조색3 4 5 5" xfId="5650"/>
    <cellStyle name="20% - 강조색3 4 5 5 2" xfId="5651"/>
    <cellStyle name="20% - 강조색3 4 5 5 3" xfId="5652"/>
    <cellStyle name="20% - 강조색3 4 5 6" xfId="5653"/>
    <cellStyle name="20% - 강조색3 4 5 7" xfId="5654"/>
    <cellStyle name="20% - 강조색3 4 6" xfId="5655"/>
    <cellStyle name="20% - 강조색3 4 6 2" xfId="5656"/>
    <cellStyle name="20% - 강조색3 4 6 2 2" xfId="5657"/>
    <cellStyle name="20% - 강조색3 4 6 2 2 2" xfId="5658"/>
    <cellStyle name="20% - 강조색3 4 6 2 2 2 2" xfId="5659"/>
    <cellStyle name="20% - 강조색3 4 6 2 2 2 3" xfId="5660"/>
    <cellStyle name="20% - 강조색3 4 6 2 2 3" xfId="5661"/>
    <cellStyle name="20% - 강조색3 4 6 2 2 4" xfId="5662"/>
    <cellStyle name="20% - 강조색3 4 6 2 3" xfId="5663"/>
    <cellStyle name="20% - 강조색3 4 6 2 3 2" xfId="5664"/>
    <cellStyle name="20% - 강조색3 4 6 2 3 3" xfId="5665"/>
    <cellStyle name="20% - 강조색3 4 6 2 4" xfId="5666"/>
    <cellStyle name="20% - 강조색3 4 6 2 5" xfId="5667"/>
    <cellStyle name="20% - 강조색3 4 6 3" xfId="5668"/>
    <cellStyle name="20% - 강조색3 4 6 3 2" xfId="5669"/>
    <cellStyle name="20% - 강조색3 4 6 3 2 2" xfId="5670"/>
    <cellStyle name="20% - 강조색3 4 6 3 2 2 2" xfId="5671"/>
    <cellStyle name="20% - 강조색3 4 6 3 2 2 3" xfId="5672"/>
    <cellStyle name="20% - 강조색3 4 6 3 2 3" xfId="5673"/>
    <cellStyle name="20% - 강조색3 4 6 3 2 4" xfId="5674"/>
    <cellStyle name="20% - 강조색3 4 6 3 3" xfId="5675"/>
    <cellStyle name="20% - 강조색3 4 6 3 3 2" xfId="5676"/>
    <cellStyle name="20% - 강조색3 4 6 3 3 3" xfId="5677"/>
    <cellStyle name="20% - 강조색3 4 6 3 4" xfId="5678"/>
    <cellStyle name="20% - 강조색3 4 6 3 5" xfId="5679"/>
    <cellStyle name="20% - 강조색3 4 6 4" xfId="5680"/>
    <cellStyle name="20% - 강조색3 4 6 4 2" xfId="5681"/>
    <cellStyle name="20% - 강조색3 4 6 4 2 2" xfId="5682"/>
    <cellStyle name="20% - 강조색3 4 6 4 2 3" xfId="5683"/>
    <cellStyle name="20% - 강조색3 4 6 4 3" xfId="5684"/>
    <cellStyle name="20% - 강조색3 4 6 4 4" xfId="5685"/>
    <cellStyle name="20% - 강조색3 4 6 5" xfId="5686"/>
    <cellStyle name="20% - 강조색3 4 6 5 2" xfId="5687"/>
    <cellStyle name="20% - 강조색3 4 6 5 3" xfId="5688"/>
    <cellStyle name="20% - 강조색3 4 6 6" xfId="5689"/>
    <cellStyle name="20% - 강조색3 4 6 7" xfId="5690"/>
    <cellStyle name="20% - 강조색3 4 7" xfId="5691"/>
    <cellStyle name="20% - 강조색3 4 7 2" xfId="5692"/>
    <cellStyle name="20% - 강조색3 4 7 2 2" xfId="5693"/>
    <cellStyle name="20% - 강조색3 4 7 2 2 2" xfId="5694"/>
    <cellStyle name="20% - 강조색3 4 7 2 2 3" xfId="5695"/>
    <cellStyle name="20% - 강조색3 4 7 2 3" xfId="5696"/>
    <cellStyle name="20% - 강조색3 4 7 2 4" xfId="5697"/>
    <cellStyle name="20% - 강조색3 4 7 3" xfId="5698"/>
    <cellStyle name="20% - 강조색3 4 7 3 2" xfId="5699"/>
    <cellStyle name="20% - 강조색3 4 7 3 3" xfId="5700"/>
    <cellStyle name="20% - 강조색3 4 7 4" xfId="5701"/>
    <cellStyle name="20% - 강조색3 4 7 5" xfId="5702"/>
    <cellStyle name="20% - 강조색3 4 8" xfId="5703"/>
    <cellStyle name="20% - 강조색3 4 8 2" xfId="5704"/>
    <cellStyle name="20% - 강조색3 4 8 2 2" xfId="5705"/>
    <cellStyle name="20% - 강조색3 4 8 2 2 2" xfId="5706"/>
    <cellStyle name="20% - 강조색3 4 8 2 2 3" xfId="5707"/>
    <cellStyle name="20% - 강조색3 4 8 2 3" xfId="5708"/>
    <cellStyle name="20% - 강조색3 4 8 2 4" xfId="5709"/>
    <cellStyle name="20% - 강조색3 4 8 3" xfId="5710"/>
    <cellStyle name="20% - 강조색3 4 8 3 2" xfId="5711"/>
    <cellStyle name="20% - 강조색3 4 8 3 3" xfId="5712"/>
    <cellStyle name="20% - 강조색3 4 8 4" xfId="5713"/>
    <cellStyle name="20% - 강조색3 4 8 5" xfId="5714"/>
    <cellStyle name="20% - 강조색3 4 9" xfId="5715"/>
    <cellStyle name="20% - 강조색3 4 9 2" xfId="5716"/>
    <cellStyle name="20% - 강조색3 4 9 2 2" xfId="5717"/>
    <cellStyle name="20% - 강조색3 4 9 2 2 2" xfId="5718"/>
    <cellStyle name="20% - 강조색3 4 9 2 2 3" xfId="5719"/>
    <cellStyle name="20% - 강조색3 4 9 2 3" xfId="5720"/>
    <cellStyle name="20% - 강조색3 4 9 2 4" xfId="5721"/>
    <cellStyle name="20% - 강조색3 4 9 3" xfId="5722"/>
    <cellStyle name="20% - 강조색3 4 9 3 2" xfId="5723"/>
    <cellStyle name="20% - 강조색3 4 9 3 3" xfId="5724"/>
    <cellStyle name="20% - 강조색3 4 9 4" xfId="5725"/>
    <cellStyle name="20% - 강조색3 4 9 5" xfId="5726"/>
    <cellStyle name="20% - 강조색3 40" xfId="5727"/>
    <cellStyle name="20% - 강조색3 41" xfId="5728"/>
    <cellStyle name="20% - 강조색3 42" xfId="5729"/>
    <cellStyle name="20% - 강조색3 43" xfId="5730"/>
    <cellStyle name="20% - 강조색3 44" xfId="5731"/>
    <cellStyle name="20% - 강조색3 45" xfId="5732"/>
    <cellStyle name="20% - 강조색3 46" xfId="5733"/>
    <cellStyle name="20% - 강조색3 47" xfId="5734"/>
    <cellStyle name="20% - 강조색3 48" xfId="5735"/>
    <cellStyle name="20% - 강조색3 49" xfId="5736"/>
    <cellStyle name="20% - 강조색3 5" xfId="5737"/>
    <cellStyle name="20% - 강조색3 5 10" xfId="5738"/>
    <cellStyle name="20% - 강조색3 5 11" xfId="5739"/>
    <cellStyle name="20% - 강조색3 5 2" xfId="5740"/>
    <cellStyle name="20% - 강조색3 5 2 2" xfId="5741"/>
    <cellStyle name="20% - 강조색3 5 2 2 2" xfId="5742"/>
    <cellStyle name="20% - 강조색3 5 2 2 2 2" xfId="5743"/>
    <cellStyle name="20% - 강조색3 5 2 2 2 2 2" xfId="5744"/>
    <cellStyle name="20% - 강조색3 5 2 2 2 2 3" xfId="5745"/>
    <cellStyle name="20% - 강조색3 5 2 2 2 3" xfId="5746"/>
    <cellStyle name="20% - 강조색3 5 2 2 2 4" xfId="5747"/>
    <cellStyle name="20% - 강조색3 5 2 2 3" xfId="5748"/>
    <cellStyle name="20% - 강조색3 5 2 2 3 2" xfId="5749"/>
    <cellStyle name="20% - 강조색3 5 2 2 3 3" xfId="5750"/>
    <cellStyle name="20% - 강조색3 5 2 2 4" xfId="5751"/>
    <cellStyle name="20% - 강조색3 5 2 2 5" xfId="5752"/>
    <cellStyle name="20% - 강조색3 5 2 3" xfId="5753"/>
    <cellStyle name="20% - 강조색3 5 2 3 2" xfId="5754"/>
    <cellStyle name="20% - 강조색3 5 2 3 2 2" xfId="5755"/>
    <cellStyle name="20% - 강조색3 5 2 3 2 2 2" xfId="5756"/>
    <cellStyle name="20% - 강조색3 5 2 3 2 2 3" xfId="5757"/>
    <cellStyle name="20% - 강조색3 5 2 3 2 3" xfId="5758"/>
    <cellStyle name="20% - 강조색3 5 2 3 2 4" xfId="5759"/>
    <cellStyle name="20% - 강조색3 5 2 3 3" xfId="5760"/>
    <cellStyle name="20% - 강조색3 5 2 3 3 2" xfId="5761"/>
    <cellStyle name="20% - 강조색3 5 2 3 3 3" xfId="5762"/>
    <cellStyle name="20% - 강조색3 5 2 3 4" xfId="5763"/>
    <cellStyle name="20% - 강조색3 5 2 3 5" xfId="5764"/>
    <cellStyle name="20% - 강조색3 5 2 4" xfId="5765"/>
    <cellStyle name="20% - 강조색3 5 2 4 2" xfId="5766"/>
    <cellStyle name="20% - 강조색3 5 2 4 2 2" xfId="5767"/>
    <cellStyle name="20% - 강조색3 5 2 4 2 3" xfId="5768"/>
    <cellStyle name="20% - 강조색3 5 2 4 3" xfId="5769"/>
    <cellStyle name="20% - 강조색3 5 2 4 4" xfId="5770"/>
    <cellStyle name="20% - 강조색3 5 2 5" xfId="5771"/>
    <cellStyle name="20% - 강조색3 5 2 5 2" xfId="5772"/>
    <cellStyle name="20% - 강조색3 5 2 5 3" xfId="5773"/>
    <cellStyle name="20% - 강조색3 5 2 6" xfId="5774"/>
    <cellStyle name="20% - 강조색3 5 2 7" xfId="5775"/>
    <cellStyle name="20% - 강조색3 5 3" xfId="5776"/>
    <cellStyle name="20% - 강조색3 5 3 2" xfId="5777"/>
    <cellStyle name="20% - 강조색3 5 3 2 2" xfId="5778"/>
    <cellStyle name="20% - 강조색3 5 3 2 2 2" xfId="5779"/>
    <cellStyle name="20% - 강조색3 5 3 2 2 2 2" xfId="5780"/>
    <cellStyle name="20% - 강조색3 5 3 2 2 2 3" xfId="5781"/>
    <cellStyle name="20% - 강조색3 5 3 2 2 3" xfId="5782"/>
    <cellStyle name="20% - 강조색3 5 3 2 2 4" xfId="5783"/>
    <cellStyle name="20% - 강조색3 5 3 2 3" xfId="5784"/>
    <cellStyle name="20% - 강조색3 5 3 2 3 2" xfId="5785"/>
    <cellStyle name="20% - 강조색3 5 3 2 3 3" xfId="5786"/>
    <cellStyle name="20% - 강조색3 5 3 2 4" xfId="5787"/>
    <cellStyle name="20% - 강조색3 5 3 2 5" xfId="5788"/>
    <cellStyle name="20% - 강조색3 5 3 3" xfId="5789"/>
    <cellStyle name="20% - 강조색3 5 3 3 2" xfId="5790"/>
    <cellStyle name="20% - 강조색3 5 3 3 2 2" xfId="5791"/>
    <cellStyle name="20% - 강조색3 5 3 3 2 2 2" xfId="5792"/>
    <cellStyle name="20% - 강조색3 5 3 3 2 2 3" xfId="5793"/>
    <cellStyle name="20% - 강조색3 5 3 3 2 3" xfId="5794"/>
    <cellStyle name="20% - 강조색3 5 3 3 2 4" xfId="5795"/>
    <cellStyle name="20% - 강조색3 5 3 3 3" xfId="5796"/>
    <cellStyle name="20% - 강조색3 5 3 3 3 2" xfId="5797"/>
    <cellStyle name="20% - 강조색3 5 3 3 3 3" xfId="5798"/>
    <cellStyle name="20% - 강조색3 5 3 3 4" xfId="5799"/>
    <cellStyle name="20% - 강조색3 5 3 3 5" xfId="5800"/>
    <cellStyle name="20% - 강조색3 5 3 4" xfId="5801"/>
    <cellStyle name="20% - 강조색3 5 3 4 2" xfId="5802"/>
    <cellStyle name="20% - 강조색3 5 3 4 2 2" xfId="5803"/>
    <cellStyle name="20% - 강조색3 5 3 4 2 3" xfId="5804"/>
    <cellStyle name="20% - 강조색3 5 3 4 3" xfId="5805"/>
    <cellStyle name="20% - 강조색3 5 3 4 4" xfId="5806"/>
    <cellStyle name="20% - 강조색3 5 3 5" xfId="5807"/>
    <cellStyle name="20% - 강조색3 5 3 5 2" xfId="5808"/>
    <cellStyle name="20% - 강조색3 5 3 5 3" xfId="5809"/>
    <cellStyle name="20% - 강조색3 5 3 6" xfId="5810"/>
    <cellStyle name="20% - 강조색3 5 3 7" xfId="5811"/>
    <cellStyle name="20% - 강조색3 5 4" xfId="5812"/>
    <cellStyle name="20% - 강조색3 5 4 2" xfId="5813"/>
    <cellStyle name="20% - 강조색3 5 4 2 2" xfId="5814"/>
    <cellStyle name="20% - 강조색3 5 4 2 2 2" xfId="5815"/>
    <cellStyle name="20% - 강조색3 5 4 2 2 3" xfId="5816"/>
    <cellStyle name="20% - 강조색3 5 4 2 3" xfId="5817"/>
    <cellStyle name="20% - 강조색3 5 4 2 4" xfId="5818"/>
    <cellStyle name="20% - 강조색3 5 4 3" xfId="5819"/>
    <cellStyle name="20% - 강조색3 5 4 3 2" xfId="5820"/>
    <cellStyle name="20% - 강조색3 5 4 3 3" xfId="5821"/>
    <cellStyle name="20% - 강조색3 5 4 4" xfId="5822"/>
    <cellStyle name="20% - 강조색3 5 4 5" xfId="5823"/>
    <cellStyle name="20% - 강조색3 5 5" xfId="5824"/>
    <cellStyle name="20% - 강조색3 5 5 2" xfId="5825"/>
    <cellStyle name="20% - 강조색3 5 5 2 2" xfId="5826"/>
    <cellStyle name="20% - 강조색3 5 5 2 2 2" xfId="5827"/>
    <cellStyle name="20% - 강조색3 5 5 2 2 3" xfId="5828"/>
    <cellStyle name="20% - 강조색3 5 5 2 3" xfId="5829"/>
    <cellStyle name="20% - 강조색3 5 5 2 4" xfId="5830"/>
    <cellStyle name="20% - 강조색3 5 5 3" xfId="5831"/>
    <cellStyle name="20% - 강조색3 5 5 3 2" xfId="5832"/>
    <cellStyle name="20% - 강조색3 5 5 3 3" xfId="5833"/>
    <cellStyle name="20% - 강조색3 5 5 4" xfId="5834"/>
    <cellStyle name="20% - 강조색3 5 5 5" xfId="5835"/>
    <cellStyle name="20% - 강조색3 5 6" xfId="5836"/>
    <cellStyle name="20% - 강조색3 5 6 2" xfId="5837"/>
    <cellStyle name="20% - 강조색3 5 6 2 2" xfId="5838"/>
    <cellStyle name="20% - 강조색3 5 6 2 2 2" xfId="5839"/>
    <cellStyle name="20% - 강조색3 5 6 2 2 3" xfId="5840"/>
    <cellStyle name="20% - 강조색3 5 6 2 3" xfId="5841"/>
    <cellStyle name="20% - 강조색3 5 6 2 4" xfId="5842"/>
    <cellStyle name="20% - 강조색3 5 6 3" xfId="5843"/>
    <cellStyle name="20% - 강조색3 5 6 3 2" xfId="5844"/>
    <cellStyle name="20% - 강조색3 5 6 3 3" xfId="5845"/>
    <cellStyle name="20% - 강조색3 5 6 4" xfId="5846"/>
    <cellStyle name="20% - 강조색3 5 6 5" xfId="5847"/>
    <cellStyle name="20% - 강조색3 5 7" xfId="5848"/>
    <cellStyle name="20% - 강조색3 5 7 2" xfId="5849"/>
    <cellStyle name="20% - 강조색3 5 7 2 2" xfId="5850"/>
    <cellStyle name="20% - 강조색3 5 7 2 3" xfId="5851"/>
    <cellStyle name="20% - 강조색3 5 7 3" xfId="5852"/>
    <cellStyle name="20% - 강조색3 5 7 4" xfId="5853"/>
    <cellStyle name="20% - 강조색3 5 8" xfId="5854"/>
    <cellStyle name="20% - 강조색3 5 8 2" xfId="5855"/>
    <cellStyle name="20% - 강조색3 5 8 3" xfId="5856"/>
    <cellStyle name="20% - 강조색3 5 9" xfId="5857"/>
    <cellStyle name="20% - 강조색3 50" xfId="5858"/>
    <cellStyle name="20% - 강조색3 51" xfId="5859"/>
    <cellStyle name="20% - 강조색3 52" xfId="5860"/>
    <cellStyle name="20% - 강조색3 53" xfId="5861"/>
    <cellStyle name="20% - 강조색3 54" xfId="5862"/>
    <cellStyle name="20% - 강조색3 55" xfId="5863"/>
    <cellStyle name="20% - 강조색3 56" xfId="5864"/>
    <cellStyle name="20% - 강조색3 57" xfId="5865"/>
    <cellStyle name="20% - 강조색3 58" xfId="5866"/>
    <cellStyle name="20% - 강조색3 59" xfId="5867"/>
    <cellStyle name="20% - 강조색3 6" xfId="5868"/>
    <cellStyle name="20% - 강조색3 6 10" xfId="5869"/>
    <cellStyle name="20% - 강조색3 6 2" xfId="5870"/>
    <cellStyle name="20% - 강조색3 6 2 2" xfId="5871"/>
    <cellStyle name="20% - 강조색3 6 2 2 2" xfId="5872"/>
    <cellStyle name="20% - 강조색3 6 2 2 2 2" xfId="5873"/>
    <cellStyle name="20% - 강조색3 6 2 2 2 2 2" xfId="5874"/>
    <cellStyle name="20% - 강조색3 6 2 2 2 2 3" xfId="5875"/>
    <cellStyle name="20% - 강조색3 6 2 2 2 3" xfId="5876"/>
    <cellStyle name="20% - 강조색3 6 2 2 2 4" xfId="5877"/>
    <cellStyle name="20% - 강조색3 6 2 2 3" xfId="5878"/>
    <cellStyle name="20% - 강조색3 6 2 2 3 2" xfId="5879"/>
    <cellStyle name="20% - 강조색3 6 2 2 3 3" xfId="5880"/>
    <cellStyle name="20% - 강조색3 6 2 2 4" xfId="5881"/>
    <cellStyle name="20% - 강조색3 6 2 2 5" xfId="5882"/>
    <cellStyle name="20% - 강조색3 6 2 3" xfId="5883"/>
    <cellStyle name="20% - 강조색3 6 2 3 2" xfId="5884"/>
    <cellStyle name="20% - 강조색3 6 2 3 2 2" xfId="5885"/>
    <cellStyle name="20% - 강조색3 6 2 3 2 2 2" xfId="5886"/>
    <cellStyle name="20% - 강조색3 6 2 3 2 2 3" xfId="5887"/>
    <cellStyle name="20% - 강조색3 6 2 3 2 3" xfId="5888"/>
    <cellStyle name="20% - 강조색3 6 2 3 2 4" xfId="5889"/>
    <cellStyle name="20% - 강조색3 6 2 3 3" xfId="5890"/>
    <cellStyle name="20% - 강조색3 6 2 3 3 2" xfId="5891"/>
    <cellStyle name="20% - 강조색3 6 2 3 3 3" xfId="5892"/>
    <cellStyle name="20% - 강조색3 6 2 3 4" xfId="5893"/>
    <cellStyle name="20% - 강조색3 6 2 3 5" xfId="5894"/>
    <cellStyle name="20% - 강조색3 6 2 4" xfId="5895"/>
    <cellStyle name="20% - 강조색3 6 2 4 2" xfId="5896"/>
    <cellStyle name="20% - 강조색3 6 2 4 2 2" xfId="5897"/>
    <cellStyle name="20% - 강조색3 6 2 4 2 3" xfId="5898"/>
    <cellStyle name="20% - 강조색3 6 2 4 3" xfId="5899"/>
    <cellStyle name="20% - 강조색3 6 2 4 4" xfId="5900"/>
    <cellStyle name="20% - 강조색3 6 2 5" xfId="5901"/>
    <cellStyle name="20% - 강조색3 6 2 5 2" xfId="5902"/>
    <cellStyle name="20% - 강조색3 6 2 5 3" xfId="5903"/>
    <cellStyle name="20% - 강조색3 6 2 6" xfId="5904"/>
    <cellStyle name="20% - 강조색3 6 2 7" xfId="5905"/>
    <cellStyle name="20% - 강조색3 6 3" xfId="5906"/>
    <cellStyle name="20% - 강조색3 6 3 2" xfId="5907"/>
    <cellStyle name="20% - 강조색3 6 3 2 2" xfId="5908"/>
    <cellStyle name="20% - 강조색3 6 3 2 2 2" xfId="5909"/>
    <cellStyle name="20% - 강조색3 6 3 2 2 2 2" xfId="5910"/>
    <cellStyle name="20% - 강조색3 6 3 2 2 2 3" xfId="5911"/>
    <cellStyle name="20% - 강조색3 6 3 2 2 3" xfId="5912"/>
    <cellStyle name="20% - 강조색3 6 3 2 2 4" xfId="5913"/>
    <cellStyle name="20% - 강조색3 6 3 2 3" xfId="5914"/>
    <cellStyle name="20% - 강조색3 6 3 2 3 2" xfId="5915"/>
    <cellStyle name="20% - 강조색3 6 3 2 3 3" xfId="5916"/>
    <cellStyle name="20% - 강조색3 6 3 2 4" xfId="5917"/>
    <cellStyle name="20% - 강조색3 6 3 2 5" xfId="5918"/>
    <cellStyle name="20% - 강조색3 6 3 3" xfId="5919"/>
    <cellStyle name="20% - 강조색3 6 3 3 2" xfId="5920"/>
    <cellStyle name="20% - 강조색3 6 3 3 2 2" xfId="5921"/>
    <cellStyle name="20% - 강조색3 6 3 3 2 2 2" xfId="5922"/>
    <cellStyle name="20% - 강조색3 6 3 3 2 2 3" xfId="5923"/>
    <cellStyle name="20% - 강조색3 6 3 3 2 3" xfId="5924"/>
    <cellStyle name="20% - 강조색3 6 3 3 2 4" xfId="5925"/>
    <cellStyle name="20% - 강조색3 6 3 3 3" xfId="5926"/>
    <cellStyle name="20% - 강조색3 6 3 3 3 2" xfId="5927"/>
    <cellStyle name="20% - 강조색3 6 3 3 3 3" xfId="5928"/>
    <cellStyle name="20% - 강조색3 6 3 3 4" xfId="5929"/>
    <cellStyle name="20% - 강조색3 6 3 3 5" xfId="5930"/>
    <cellStyle name="20% - 강조색3 6 3 4" xfId="5931"/>
    <cellStyle name="20% - 강조색3 6 3 4 2" xfId="5932"/>
    <cellStyle name="20% - 강조색3 6 3 4 2 2" xfId="5933"/>
    <cellStyle name="20% - 강조색3 6 3 4 2 3" xfId="5934"/>
    <cellStyle name="20% - 강조색3 6 3 4 3" xfId="5935"/>
    <cellStyle name="20% - 강조색3 6 3 4 4" xfId="5936"/>
    <cellStyle name="20% - 강조색3 6 3 5" xfId="5937"/>
    <cellStyle name="20% - 강조색3 6 3 5 2" xfId="5938"/>
    <cellStyle name="20% - 강조색3 6 3 5 3" xfId="5939"/>
    <cellStyle name="20% - 강조색3 6 3 6" xfId="5940"/>
    <cellStyle name="20% - 강조색3 6 3 7" xfId="5941"/>
    <cellStyle name="20% - 강조색3 6 4" xfId="5942"/>
    <cellStyle name="20% - 강조색3 6 4 2" xfId="5943"/>
    <cellStyle name="20% - 강조색3 6 4 2 2" xfId="5944"/>
    <cellStyle name="20% - 강조색3 6 4 2 2 2" xfId="5945"/>
    <cellStyle name="20% - 강조색3 6 4 2 2 3" xfId="5946"/>
    <cellStyle name="20% - 강조색3 6 4 2 3" xfId="5947"/>
    <cellStyle name="20% - 강조색3 6 4 2 4" xfId="5948"/>
    <cellStyle name="20% - 강조색3 6 4 3" xfId="5949"/>
    <cellStyle name="20% - 강조색3 6 4 3 2" xfId="5950"/>
    <cellStyle name="20% - 강조색3 6 4 3 3" xfId="5951"/>
    <cellStyle name="20% - 강조색3 6 4 4" xfId="5952"/>
    <cellStyle name="20% - 강조색3 6 4 5" xfId="5953"/>
    <cellStyle name="20% - 강조색3 6 5" xfId="5954"/>
    <cellStyle name="20% - 강조색3 6 5 2" xfId="5955"/>
    <cellStyle name="20% - 강조색3 6 5 2 2" xfId="5956"/>
    <cellStyle name="20% - 강조색3 6 5 2 2 2" xfId="5957"/>
    <cellStyle name="20% - 강조색3 6 5 2 2 3" xfId="5958"/>
    <cellStyle name="20% - 강조색3 6 5 2 3" xfId="5959"/>
    <cellStyle name="20% - 강조색3 6 5 2 4" xfId="5960"/>
    <cellStyle name="20% - 강조색3 6 5 3" xfId="5961"/>
    <cellStyle name="20% - 강조색3 6 5 3 2" xfId="5962"/>
    <cellStyle name="20% - 강조색3 6 5 3 3" xfId="5963"/>
    <cellStyle name="20% - 강조색3 6 5 4" xfId="5964"/>
    <cellStyle name="20% - 강조색3 6 5 5" xfId="5965"/>
    <cellStyle name="20% - 강조색3 6 6" xfId="5966"/>
    <cellStyle name="20% - 강조색3 6 6 2" xfId="5967"/>
    <cellStyle name="20% - 강조색3 6 6 2 2" xfId="5968"/>
    <cellStyle name="20% - 강조색3 6 6 2 2 2" xfId="5969"/>
    <cellStyle name="20% - 강조색3 6 6 2 2 3" xfId="5970"/>
    <cellStyle name="20% - 강조색3 6 6 2 3" xfId="5971"/>
    <cellStyle name="20% - 강조색3 6 6 2 4" xfId="5972"/>
    <cellStyle name="20% - 강조색3 6 6 3" xfId="5973"/>
    <cellStyle name="20% - 강조색3 6 6 3 2" xfId="5974"/>
    <cellStyle name="20% - 강조색3 6 6 3 3" xfId="5975"/>
    <cellStyle name="20% - 강조색3 6 6 4" xfId="5976"/>
    <cellStyle name="20% - 강조색3 6 6 5" xfId="5977"/>
    <cellStyle name="20% - 강조색3 6 7" xfId="5978"/>
    <cellStyle name="20% - 강조색3 6 7 2" xfId="5979"/>
    <cellStyle name="20% - 강조색3 6 7 2 2" xfId="5980"/>
    <cellStyle name="20% - 강조색3 6 7 2 3" xfId="5981"/>
    <cellStyle name="20% - 강조색3 6 7 3" xfId="5982"/>
    <cellStyle name="20% - 강조색3 6 7 4" xfId="5983"/>
    <cellStyle name="20% - 강조색3 6 8" xfId="5984"/>
    <cellStyle name="20% - 강조색3 6 8 2" xfId="5985"/>
    <cellStyle name="20% - 강조색3 6 8 3" xfId="5986"/>
    <cellStyle name="20% - 강조색3 6 9" xfId="5987"/>
    <cellStyle name="20% - 강조색3 60" xfId="5988"/>
    <cellStyle name="20% - 강조색3 61" xfId="5989"/>
    <cellStyle name="20% - 강조색3 62" xfId="5990"/>
    <cellStyle name="20% - 강조색3 63" xfId="5991"/>
    <cellStyle name="20% - 강조색3 64" xfId="5992"/>
    <cellStyle name="20% - 강조색3 65" xfId="5993"/>
    <cellStyle name="20% - 강조색3 66" xfId="5994"/>
    <cellStyle name="20% - 강조색3 67" xfId="5995"/>
    <cellStyle name="20% - 강조색3 68" xfId="5996"/>
    <cellStyle name="20% - 강조색3 69" xfId="5997"/>
    <cellStyle name="20% - 강조색3 7" xfId="5998"/>
    <cellStyle name="20% - 강조색3 7 10" xfId="5999"/>
    <cellStyle name="20% - 강조색3 7 2" xfId="6000"/>
    <cellStyle name="20% - 강조색3 7 2 2" xfId="6001"/>
    <cellStyle name="20% - 강조색3 7 2 2 2" xfId="6002"/>
    <cellStyle name="20% - 강조색3 7 2 2 2 2" xfId="6003"/>
    <cellStyle name="20% - 강조색3 7 2 2 2 2 2" xfId="6004"/>
    <cellStyle name="20% - 강조색3 7 2 2 2 2 3" xfId="6005"/>
    <cellStyle name="20% - 강조색3 7 2 2 2 3" xfId="6006"/>
    <cellStyle name="20% - 강조색3 7 2 2 2 4" xfId="6007"/>
    <cellStyle name="20% - 강조색3 7 2 2 3" xfId="6008"/>
    <cellStyle name="20% - 강조색3 7 2 2 3 2" xfId="6009"/>
    <cellStyle name="20% - 강조색3 7 2 2 3 3" xfId="6010"/>
    <cellStyle name="20% - 강조색3 7 2 2 4" xfId="6011"/>
    <cellStyle name="20% - 강조색3 7 2 2 5" xfId="6012"/>
    <cellStyle name="20% - 강조색3 7 2 3" xfId="6013"/>
    <cellStyle name="20% - 강조색3 7 2 3 2" xfId="6014"/>
    <cellStyle name="20% - 강조색3 7 2 3 2 2" xfId="6015"/>
    <cellStyle name="20% - 강조색3 7 2 3 2 2 2" xfId="6016"/>
    <cellStyle name="20% - 강조색3 7 2 3 2 2 3" xfId="6017"/>
    <cellStyle name="20% - 강조색3 7 2 3 2 3" xfId="6018"/>
    <cellStyle name="20% - 강조색3 7 2 3 2 4" xfId="6019"/>
    <cellStyle name="20% - 강조색3 7 2 3 3" xfId="6020"/>
    <cellStyle name="20% - 강조색3 7 2 3 3 2" xfId="6021"/>
    <cellStyle name="20% - 강조색3 7 2 3 3 3" xfId="6022"/>
    <cellStyle name="20% - 강조색3 7 2 3 4" xfId="6023"/>
    <cellStyle name="20% - 강조색3 7 2 3 5" xfId="6024"/>
    <cellStyle name="20% - 강조색3 7 2 4" xfId="6025"/>
    <cellStyle name="20% - 강조색3 7 2 4 2" xfId="6026"/>
    <cellStyle name="20% - 강조색3 7 2 4 2 2" xfId="6027"/>
    <cellStyle name="20% - 강조색3 7 2 4 2 3" xfId="6028"/>
    <cellStyle name="20% - 강조색3 7 2 4 3" xfId="6029"/>
    <cellStyle name="20% - 강조색3 7 2 4 4" xfId="6030"/>
    <cellStyle name="20% - 강조색3 7 2 5" xfId="6031"/>
    <cellStyle name="20% - 강조색3 7 2 5 2" xfId="6032"/>
    <cellStyle name="20% - 강조색3 7 2 5 3" xfId="6033"/>
    <cellStyle name="20% - 강조색3 7 2 6" xfId="6034"/>
    <cellStyle name="20% - 강조색3 7 2 7" xfId="6035"/>
    <cellStyle name="20% - 강조색3 7 3" xfId="6036"/>
    <cellStyle name="20% - 강조색3 7 3 2" xfId="6037"/>
    <cellStyle name="20% - 강조색3 7 3 2 2" xfId="6038"/>
    <cellStyle name="20% - 강조색3 7 3 2 2 2" xfId="6039"/>
    <cellStyle name="20% - 강조색3 7 3 2 2 2 2" xfId="6040"/>
    <cellStyle name="20% - 강조색3 7 3 2 2 2 3" xfId="6041"/>
    <cellStyle name="20% - 강조색3 7 3 2 2 3" xfId="6042"/>
    <cellStyle name="20% - 강조색3 7 3 2 2 4" xfId="6043"/>
    <cellStyle name="20% - 강조색3 7 3 2 3" xfId="6044"/>
    <cellStyle name="20% - 강조색3 7 3 2 3 2" xfId="6045"/>
    <cellStyle name="20% - 강조색3 7 3 2 3 3" xfId="6046"/>
    <cellStyle name="20% - 강조색3 7 3 2 4" xfId="6047"/>
    <cellStyle name="20% - 강조색3 7 3 2 5" xfId="6048"/>
    <cellStyle name="20% - 강조색3 7 3 3" xfId="6049"/>
    <cellStyle name="20% - 강조색3 7 3 3 2" xfId="6050"/>
    <cellStyle name="20% - 강조색3 7 3 3 2 2" xfId="6051"/>
    <cellStyle name="20% - 강조색3 7 3 3 2 2 2" xfId="6052"/>
    <cellStyle name="20% - 강조색3 7 3 3 2 2 3" xfId="6053"/>
    <cellStyle name="20% - 강조색3 7 3 3 2 3" xfId="6054"/>
    <cellStyle name="20% - 강조색3 7 3 3 2 4" xfId="6055"/>
    <cellStyle name="20% - 강조색3 7 3 3 3" xfId="6056"/>
    <cellStyle name="20% - 강조색3 7 3 3 3 2" xfId="6057"/>
    <cellStyle name="20% - 강조색3 7 3 3 3 3" xfId="6058"/>
    <cellStyle name="20% - 강조색3 7 3 3 4" xfId="6059"/>
    <cellStyle name="20% - 강조색3 7 3 3 5" xfId="6060"/>
    <cellStyle name="20% - 강조색3 7 3 4" xfId="6061"/>
    <cellStyle name="20% - 강조색3 7 3 4 2" xfId="6062"/>
    <cellStyle name="20% - 강조색3 7 3 4 2 2" xfId="6063"/>
    <cellStyle name="20% - 강조색3 7 3 4 2 3" xfId="6064"/>
    <cellStyle name="20% - 강조색3 7 3 4 3" xfId="6065"/>
    <cellStyle name="20% - 강조색3 7 3 4 4" xfId="6066"/>
    <cellStyle name="20% - 강조색3 7 3 5" xfId="6067"/>
    <cellStyle name="20% - 강조색3 7 3 5 2" xfId="6068"/>
    <cellStyle name="20% - 강조색3 7 3 5 3" xfId="6069"/>
    <cellStyle name="20% - 강조색3 7 3 6" xfId="6070"/>
    <cellStyle name="20% - 강조색3 7 3 7" xfId="6071"/>
    <cellStyle name="20% - 강조색3 7 4" xfId="6072"/>
    <cellStyle name="20% - 강조색3 7 4 2" xfId="6073"/>
    <cellStyle name="20% - 강조색3 7 4 2 2" xfId="6074"/>
    <cellStyle name="20% - 강조색3 7 4 2 2 2" xfId="6075"/>
    <cellStyle name="20% - 강조색3 7 4 2 2 3" xfId="6076"/>
    <cellStyle name="20% - 강조색3 7 4 2 3" xfId="6077"/>
    <cellStyle name="20% - 강조색3 7 4 2 4" xfId="6078"/>
    <cellStyle name="20% - 강조색3 7 4 3" xfId="6079"/>
    <cellStyle name="20% - 강조색3 7 4 3 2" xfId="6080"/>
    <cellStyle name="20% - 강조색3 7 4 3 3" xfId="6081"/>
    <cellStyle name="20% - 강조색3 7 4 4" xfId="6082"/>
    <cellStyle name="20% - 강조색3 7 4 5" xfId="6083"/>
    <cellStyle name="20% - 강조색3 7 5" xfId="6084"/>
    <cellStyle name="20% - 강조색3 7 5 2" xfId="6085"/>
    <cellStyle name="20% - 강조색3 7 5 2 2" xfId="6086"/>
    <cellStyle name="20% - 강조색3 7 5 2 2 2" xfId="6087"/>
    <cellStyle name="20% - 강조색3 7 5 2 2 3" xfId="6088"/>
    <cellStyle name="20% - 강조색3 7 5 2 3" xfId="6089"/>
    <cellStyle name="20% - 강조색3 7 5 2 4" xfId="6090"/>
    <cellStyle name="20% - 강조색3 7 5 3" xfId="6091"/>
    <cellStyle name="20% - 강조색3 7 5 3 2" xfId="6092"/>
    <cellStyle name="20% - 강조색3 7 5 3 3" xfId="6093"/>
    <cellStyle name="20% - 강조색3 7 5 4" xfId="6094"/>
    <cellStyle name="20% - 강조색3 7 5 5" xfId="6095"/>
    <cellStyle name="20% - 강조색3 7 6" xfId="6096"/>
    <cellStyle name="20% - 강조색3 7 6 2" xfId="6097"/>
    <cellStyle name="20% - 강조색3 7 6 2 2" xfId="6098"/>
    <cellStyle name="20% - 강조색3 7 6 2 2 2" xfId="6099"/>
    <cellStyle name="20% - 강조색3 7 6 2 2 3" xfId="6100"/>
    <cellStyle name="20% - 강조색3 7 6 2 3" xfId="6101"/>
    <cellStyle name="20% - 강조색3 7 6 2 4" xfId="6102"/>
    <cellStyle name="20% - 강조색3 7 6 3" xfId="6103"/>
    <cellStyle name="20% - 강조색3 7 6 3 2" xfId="6104"/>
    <cellStyle name="20% - 강조색3 7 6 3 3" xfId="6105"/>
    <cellStyle name="20% - 강조색3 7 6 4" xfId="6106"/>
    <cellStyle name="20% - 강조색3 7 6 5" xfId="6107"/>
    <cellStyle name="20% - 강조색3 7 7" xfId="6108"/>
    <cellStyle name="20% - 강조색3 7 7 2" xfId="6109"/>
    <cellStyle name="20% - 강조색3 7 7 2 2" xfId="6110"/>
    <cellStyle name="20% - 강조색3 7 7 2 3" xfId="6111"/>
    <cellStyle name="20% - 강조색3 7 7 3" xfId="6112"/>
    <cellStyle name="20% - 강조색3 7 7 4" xfId="6113"/>
    <cellStyle name="20% - 강조색3 7 8" xfId="6114"/>
    <cellStyle name="20% - 강조색3 7 8 2" xfId="6115"/>
    <cellStyle name="20% - 강조색3 7 8 3" xfId="6116"/>
    <cellStyle name="20% - 강조색3 7 9" xfId="6117"/>
    <cellStyle name="20% - 강조색3 8" xfId="6118"/>
    <cellStyle name="20% - 강조색3 8 2" xfId="6119"/>
    <cellStyle name="20% - 강조색3 8 2 2" xfId="6120"/>
    <cellStyle name="20% - 강조색3 8 2 2 2" xfId="6121"/>
    <cellStyle name="20% - 강조색3 8 2 2 2 2" xfId="6122"/>
    <cellStyle name="20% - 강조색3 8 2 2 2 3" xfId="6123"/>
    <cellStyle name="20% - 강조색3 8 2 2 3" xfId="6124"/>
    <cellStyle name="20% - 강조색3 8 2 2 4" xfId="6125"/>
    <cellStyle name="20% - 강조색3 8 2 3" xfId="6126"/>
    <cellStyle name="20% - 강조색3 8 2 3 2" xfId="6127"/>
    <cellStyle name="20% - 강조색3 8 2 3 3" xfId="6128"/>
    <cellStyle name="20% - 강조색3 8 2 4" xfId="6129"/>
    <cellStyle name="20% - 강조색3 8 2 5" xfId="6130"/>
    <cellStyle name="20% - 강조색3 8 3" xfId="6131"/>
    <cellStyle name="20% - 강조색3 8 3 2" xfId="6132"/>
    <cellStyle name="20% - 강조색3 8 3 2 2" xfId="6133"/>
    <cellStyle name="20% - 강조색3 8 3 2 2 2" xfId="6134"/>
    <cellStyle name="20% - 강조색3 8 3 2 2 3" xfId="6135"/>
    <cellStyle name="20% - 강조색3 8 3 2 3" xfId="6136"/>
    <cellStyle name="20% - 강조색3 8 3 2 4" xfId="6137"/>
    <cellStyle name="20% - 강조색3 8 3 3" xfId="6138"/>
    <cellStyle name="20% - 강조색3 8 3 3 2" xfId="6139"/>
    <cellStyle name="20% - 강조색3 8 3 3 3" xfId="6140"/>
    <cellStyle name="20% - 강조색3 8 3 4" xfId="6141"/>
    <cellStyle name="20% - 강조색3 8 3 5" xfId="6142"/>
    <cellStyle name="20% - 강조색3 8 4" xfId="6143"/>
    <cellStyle name="20% - 강조색3 8 4 2" xfId="6144"/>
    <cellStyle name="20% - 강조색3 8 4 2 2" xfId="6145"/>
    <cellStyle name="20% - 강조색3 8 4 2 3" xfId="6146"/>
    <cellStyle name="20% - 강조색3 8 4 3" xfId="6147"/>
    <cellStyle name="20% - 강조색3 8 4 4" xfId="6148"/>
    <cellStyle name="20% - 강조색3 8 5" xfId="6149"/>
    <cellStyle name="20% - 강조색3 8 5 2" xfId="6150"/>
    <cellStyle name="20% - 강조색3 8 5 3" xfId="6151"/>
    <cellStyle name="20% - 강조색3 8 6" xfId="6152"/>
    <cellStyle name="20% - 강조색3 8 7" xfId="6153"/>
    <cellStyle name="20% - 강조색3 9" xfId="6154"/>
    <cellStyle name="20% - 강조색3 9 2" xfId="6155"/>
    <cellStyle name="20% - 강조색3 9 2 2" xfId="6156"/>
    <cellStyle name="20% - 강조색3 9 2 2 2" xfId="6157"/>
    <cellStyle name="20% - 강조색3 9 2 2 2 2" xfId="6158"/>
    <cellStyle name="20% - 강조색3 9 2 2 2 3" xfId="6159"/>
    <cellStyle name="20% - 강조색3 9 2 2 3" xfId="6160"/>
    <cellStyle name="20% - 강조색3 9 2 2 4" xfId="6161"/>
    <cellStyle name="20% - 강조색3 9 2 3" xfId="6162"/>
    <cellStyle name="20% - 강조색3 9 2 3 2" xfId="6163"/>
    <cellStyle name="20% - 강조색3 9 2 3 3" xfId="6164"/>
    <cellStyle name="20% - 강조색3 9 2 4" xfId="6165"/>
    <cellStyle name="20% - 강조색3 9 2 5" xfId="6166"/>
    <cellStyle name="20% - 강조색3 9 3" xfId="6167"/>
    <cellStyle name="20% - 강조색3 9 3 2" xfId="6168"/>
    <cellStyle name="20% - 강조색3 9 3 2 2" xfId="6169"/>
    <cellStyle name="20% - 강조색3 9 3 2 2 2" xfId="6170"/>
    <cellStyle name="20% - 강조색3 9 3 2 2 3" xfId="6171"/>
    <cellStyle name="20% - 강조색3 9 3 2 3" xfId="6172"/>
    <cellStyle name="20% - 강조색3 9 3 2 4" xfId="6173"/>
    <cellStyle name="20% - 강조색3 9 3 3" xfId="6174"/>
    <cellStyle name="20% - 강조색3 9 3 3 2" xfId="6175"/>
    <cellStyle name="20% - 강조색3 9 3 3 3" xfId="6176"/>
    <cellStyle name="20% - 강조색3 9 3 4" xfId="6177"/>
    <cellStyle name="20% - 강조색3 9 3 5" xfId="6178"/>
    <cellStyle name="20% - 강조색3 9 4" xfId="6179"/>
    <cellStyle name="20% - 강조색3 9 4 2" xfId="6180"/>
    <cellStyle name="20% - 강조색3 9 4 2 2" xfId="6181"/>
    <cellStyle name="20% - 강조색3 9 4 2 3" xfId="6182"/>
    <cellStyle name="20% - 강조색3 9 4 3" xfId="6183"/>
    <cellStyle name="20% - 강조색3 9 4 4" xfId="6184"/>
    <cellStyle name="20% - 강조색3 9 5" xfId="6185"/>
    <cellStyle name="20% - 강조색3 9 5 2" xfId="6186"/>
    <cellStyle name="20% - 강조색3 9 5 3" xfId="6187"/>
    <cellStyle name="20% - 강조색3 9 6" xfId="6188"/>
    <cellStyle name="20% - 강조색3 9 7" xfId="6189"/>
    <cellStyle name="20% - 강조색4 10" xfId="6190"/>
    <cellStyle name="20% - 강조색4 10 2" xfId="6191"/>
    <cellStyle name="20% - 강조색4 10 2 2" xfId="6192"/>
    <cellStyle name="20% - 강조색4 10 2 2 2" xfId="6193"/>
    <cellStyle name="20% - 강조색4 10 2 2 2 2" xfId="6194"/>
    <cellStyle name="20% - 강조색4 10 2 2 2 3" xfId="6195"/>
    <cellStyle name="20% - 강조색4 10 2 2 3" xfId="6196"/>
    <cellStyle name="20% - 강조색4 10 2 2 4" xfId="6197"/>
    <cellStyle name="20% - 강조색4 10 2 3" xfId="6198"/>
    <cellStyle name="20% - 강조색4 10 2 3 2" xfId="6199"/>
    <cellStyle name="20% - 강조색4 10 2 3 3" xfId="6200"/>
    <cellStyle name="20% - 강조색4 10 2 4" xfId="6201"/>
    <cellStyle name="20% - 강조색4 10 2 5" xfId="6202"/>
    <cellStyle name="20% - 강조색4 10 3" xfId="6203"/>
    <cellStyle name="20% - 강조색4 10 3 2" xfId="6204"/>
    <cellStyle name="20% - 강조색4 10 3 2 2" xfId="6205"/>
    <cellStyle name="20% - 강조색4 10 3 2 2 2" xfId="6206"/>
    <cellStyle name="20% - 강조색4 10 3 2 2 3" xfId="6207"/>
    <cellStyle name="20% - 강조색4 10 3 2 3" xfId="6208"/>
    <cellStyle name="20% - 강조색4 10 3 2 4" xfId="6209"/>
    <cellStyle name="20% - 강조색4 10 3 3" xfId="6210"/>
    <cellStyle name="20% - 강조색4 10 3 3 2" xfId="6211"/>
    <cellStyle name="20% - 강조색4 10 3 3 3" xfId="6212"/>
    <cellStyle name="20% - 강조색4 10 3 4" xfId="6213"/>
    <cellStyle name="20% - 강조색4 10 3 5" xfId="6214"/>
    <cellStyle name="20% - 강조색4 10 4" xfId="6215"/>
    <cellStyle name="20% - 강조색4 10 4 2" xfId="6216"/>
    <cellStyle name="20% - 강조색4 10 4 2 2" xfId="6217"/>
    <cellStyle name="20% - 강조색4 10 4 2 3" xfId="6218"/>
    <cellStyle name="20% - 강조색4 10 4 3" xfId="6219"/>
    <cellStyle name="20% - 강조색4 10 4 4" xfId="6220"/>
    <cellStyle name="20% - 강조색4 10 5" xfId="6221"/>
    <cellStyle name="20% - 강조색4 10 5 2" xfId="6222"/>
    <cellStyle name="20% - 강조색4 10 5 3" xfId="6223"/>
    <cellStyle name="20% - 강조색4 10 6" xfId="6224"/>
    <cellStyle name="20% - 강조색4 10 7" xfId="6225"/>
    <cellStyle name="20% - 강조색4 11" xfId="6226"/>
    <cellStyle name="20% - 강조색4 11 2" xfId="6227"/>
    <cellStyle name="20% - 강조색4 11 2 2" xfId="6228"/>
    <cellStyle name="20% - 강조색4 11 2 2 2" xfId="6229"/>
    <cellStyle name="20% - 강조색4 11 2 2 3" xfId="6230"/>
    <cellStyle name="20% - 강조색4 11 2 3" xfId="6231"/>
    <cellStyle name="20% - 강조색4 11 2 4" xfId="6232"/>
    <cellStyle name="20% - 강조색4 11 3" xfId="6233"/>
    <cellStyle name="20% - 강조색4 11 3 2" xfId="6234"/>
    <cellStyle name="20% - 강조색4 11 3 3" xfId="6235"/>
    <cellStyle name="20% - 강조색4 11 4" xfId="6236"/>
    <cellStyle name="20% - 강조색4 11 5" xfId="6237"/>
    <cellStyle name="20% - 강조색4 12" xfId="6238"/>
    <cellStyle name="20% - 강조색4 12 2" xfId="6239"/>
    <cellStyle name="20% - 강조색4 12 2 2" xfId="6240"/>
    <cellStyle name="20% - 강조색4 12 2 2 2" xfId="6241"/>
    <cellStyle name="20% - 강조색4 12 2 2 3" xfId="6242"/>
    <cellStyle name="20% - 강조색4 12 2 3" xfId="6243"/>
    <cellStyle name="20% - 강조색4 12 2 4" xfId="6244"/>
    <cellStyle name="20% - 강조색4 12 3" xfId="6245"/>
    <cellStyle name="20% - 강조색4 12 3 2" xfId="6246"/>
    <cellStyle name="20% - 강조색4 12 3 3" xfId="6247"/>
    <cellStyle name="20% - 강조색4 12 4" xfId="6248"/>
    <cellStyle name="20% - 강조색4 12 5" xfId="6249"/>
    <cellStyle name="20% - 강조색4 13" xfId="6250"/>
    <cellStyle name="20% - 강조색4 13 2" xfId="6251"/>
    <cellStyle name="20% - 강조색4 13 2 2" xfId="6252"/>
    <cellStyle name="20% - 강조색4 13 2 3" xfId="6253"/>
    <cellStyle name="20% - 강조색4 13 3" xfId="6254"/>
    <cellStyle name="20% - 강조색4 13 4" xfId="6255"/>
    <cellStyle name="20% - 강조색4 14" xfId="6256"/>
    <cellStyle name="20% - 강조색4 14 2" xfId="6257"/>
    <cellStyle name="20% - 강조색4 14 2 2" xfId="6258"/>
    <cellStyle name="20% - 강조색4 14 2 3" xfId="6259"/>
    <cellStyle name="20% - 강조색4 14 3" xfId="6260"/>
    <cellStyle name="20% - 강조색4 14 4" xfId="6261"/>
    <cellStyle name="20% - 강조색4 15" xfId="6262"/>
    <cellStyle name="20% - 강조색4 15 2" xfId="6263"/>
    <cellStyle name="20% - 강조색4 15 3" xfId="6264"/>
    <cellStyle name="20% - 강조색4 16" xfId="6265"/>
    <cellStyle name="20% - 강조색4 16 2" xfId="6266"/>
    <cellStyle name="20% - 강조색4 16 3" xfId="6267"/>
    <cellStyle name="20% - 강조색4 16 4" xfId="6268"/>
    <cellStyle name="20% - 강조색4 17" xfId="6269"/>
    <cellStyle name="20% - 강조색4 17 2" xfId="6270"/>
    <cellStyle name="20% - 강조색4 17 3" xfId="6271"/>
    <cellStyle name="20% - 강조색4 18" xfId="6272"/>
    <cellStyle name="20% - 강조색4 18 2" xfId="6273"/>
    <cellStyle name="20% - 강조색4 18 3" xfId="6274"/>
    <cellStyle name="20% - 강조색4 19" xfId="6275"/>
    <cellStyle name="20% - 강조색4 19 2" xfId="6276"/>
    <cellStyle name="20% - 강조색4 19 3" xfId="6277"/>
    <cellStyle name="20% - 강조색4 2" xfId="6278"/>
    <cellStyle name="20% - 강조색4 2 2" xfId="6279"/>
    <cellStyle name="20% - 강조색4 2 2 2" xfId="6280"/>
    <cellStyle name="20% - 강조색4 2 2 2 2" xfId="6281"/>
    <cellStyle name="20% - 강조색4 2 2 3" xfId="6282"/>
    <cellStyle name="20% - 강조색4 2 3" xfId="6283"/>
    <cellStyle name="20% - 강조색4 2 3 2" xfId="6284"/>
    <cellStyle name="20% - 강조색4 2 3 2 2" xfId="6285"/>
    <cellStyle name="20% - 강조색4 2 3 3" xfId="6286"/>
    <cellStyle name="20% - 강조색4 2 4" xfId="6287"/>
    <cellStyle name="20% - 강조색4 2 4 2" xfId="6288"/>
    <cellStyle name="20% - 강조색4 2 5" xfId="6289"/>
    <cellStyle name="20% - 강조색4 2 6" xfId="6290"/>
    <cellStyle name="20% - 강조색4 20" xfId="6291"/>
    <cellStyle name="20% - 강조색4 20 2" xfId="6292"/>
    <cellStyle name="20% - 강조색4 20 3" xfId="6293"/>
    <cellStyle name="20% - 강조색4 21" xfId="6294"/>
    <cellStyle name="20% - 강조색4 21 2" xfId="6295"/>
    <cellStyle name="20% - 강조색4 21 3" xfId="6296"/>
    <cellStyle name="20% - 강조색4 22" xfId="6297"/>
    <cellStyle name="20% - 강조색4 22 2" xfId="6298"/>
    <cellStyle name="20% - 강조색4 22 3" xfId="6299"/>
    <cellStyle name="20% - 강조색4 23" xfId="6300"/>
    <cellStyle name="20% - 강조색4 23 2" xfId="6301"/>
    <cellStyle name="20% - 강조색4 23 3" xfId="6302"/>
    <cellStyle name="20% - 강조색4 24" xfId="6303"/>
    <cellStyle name="20% - 강조색4 24 2" xfId="6304"/>
    <cellStyle name="20% - 강조색4 25" xfId="6305"/>
    <cellStyle name="20% - 강조색4 25 2" xfId="6306"/>
    <cellStyle name="20% - 강조색4 26" xfId="6307"/>
    <cellStyle name="20% - 강조색4 26 2" xfId="6308"/>
    <cellStyle name="20% - 강조색4 27" xfId="6309"/>
    <cellStyle name="20% - 강조색4 27 2" xfId="6310"/>
    <cellStyle name="20% - 강조색4 28" xfId="6311"/>
    <cellStyle name="20% - 강조색4 28 2" xfId="6312"/>
    <cellStyle name="20% - 강조색4 29" xfId="6313"/>
    <cellStyle name="20% - 강조색4 29 2" xfId="6314"/>
    <cellStyle name="20% - 강조색4 3" xfId="6315"/>
    <cellStyle name="20% - 강조색4 3 10" xfId="6316"/>
    <cellStyle name="20% - 강조색4 3 10 2" xfId="6317"/>
    <cellStyle name="20% - 강조색4 3 10 2 2" xfId="6318"/>
    <cellStyle name="20% - 강조색4 3 10 2 3" xfId="6319"/>
    <cellStyle name="20% - 강조색4 3 10 3" xfId="6320"/>
    <cellStyle name="20% - 강조색4 3 10 4" xfId="6321"/>
    <cellStyle name="20% - 강조색4 3 11" xfId="6322"/>
    <cellStyle name="20% - 강조색4 3 11 2" xfId="6323"/>
    <cellStyle name="20% - 강조색4 3 11 3" xfId="6324"/>
    <cellStyle name="20% - 강조색4 3 12" xfId="6325"/>
    <cellStyle name="20% - 강조색4 3 13" xfId="6326"/>
    <cellStyle name="20% - 강조색4 3 14" xfId="6327"/>
    <cellStyle name="20% - 강조색4 3 15" xfId="6328"/>
    <cellStyle name="20% - 강조색4 3 2" xfId="6329"/>
    <cellStyle name="20% - 강조색4 3 2 10" xfId="6330"/>
    <cellStyle name="20% - 강조색4 3 2 11" xfId="6331"/>
    <cellStyle name="20% - 강조색4 3 2 12" xfId="6332"/>
    <cellStyle name="20% - 강조색4 3 2 2" xfId="6333"/>
    <cellStyle name="20% - 강조색4 3 2 2 2" xfId="6334"/>
    <cellStyle name="20% - 강조색4 3 2 2 2 2" xfId="6335"/>
    <cellStyle name="20% - 강조색4 3 2 2 2 2 2" xfId="6336"/>
    <cellStyle name="20% - 강조색4 3 2 2 2 2 2 2" xfId="6337"/>
    <cellStyle name="20% - 강조색4 3 2 2 2 2 2 3" xfId="6338"/>
    <cellStyle name="20% - 강조색4 3 2 2 2 2 3" xfId="6339"/>
    <cellStyle name="20% - 강조색4 3 2 2 2 2 4" xfId="6340"/>
    <cellStyle name="20% - 강조색4 3 2 2 2 3" xfId="6341"/>
    <cellStyle name="20% - 강조색4 3 2 2 2 3 2" xfId="6342"/>
    <cellStyle name="20% - 강조색4 3 2 2 2 3 3" xfId="6343"/>
    <cellStyle name="20% - 강조색4 3 2 2 2 4" xfId="6344"/>
    <cellStyle name="20% - 강조색4 3 2 2 2 5" xfId="6345"/>
    <cellStyle name="20% - 강조색4 3 2 2 3" xfId="6346"/>
    <cellStyle name="20% - 강조색4 3 2 2 3 2" xfId="6347"/>
    <cellStyle name="20% - 강조색4 3 2 2 3 2 2" xfId="6348"/>
    <cellStyle name="20% - 강조색4 3 2 2 3 2 2 2" xfId="6349"/>
    <cellStyle name="20% - 강조색4 3 2 2 3 2 2 3" xfId="6350"/>
    <cellStyle name="20% - 강조색4 3 2 2 3 2 3" xfId="6351"/>
    <cellStyle name="20% - 강조색4 3 2 2 3 2 4" xfId="6352"/>
    <cellStyle name="20% - 강조색4 3 2 2 3 3" xfId="6353"/>
    <cellStyle name="20% - 강조색4 3 2 2 3 3 2" xfId="6354"/>
    <cellStyle name="20% - 강조색4 3 2 2 3 3 3" xfId="6355"/>
    <cellStyle name="20% - 강조색4 3 2 2 3 4" xfId="6356"/>
    <cellStyle name="20% - 강조색4 3 2 2 3 5" xfId="6357"/>
    <cellStyle name="20% - 강조색4 3 2 2 4" xfId="6358"/>
    <cellStyle name="20% - 강조색4 3 2 2 4 2" xfId="6359"/>
    <cellStyle name="20% - 강조색4 3 2 2 4 2 2" xfId="6360"/>
    <cellStyle name="20% - 강조색4 3 2 2 4 2 3" xfId="6361"/>
    <cellStyle name="20% - 강조색4 3 2 2 4 3" xfId="6362"/>
    <cellStyle name="20% - 강조색4 3 2 2 4 4" xfId="6363"/>
    <cellStyle name="20% - 강조색4 3 2 2 5" xfId="6364"/>
    <cellStyle name="20% - 강조색4 3 2 2 5 2" xfId="6365"/>
    <cellStyle name="20% - 강조색4 3 2 2 5 3" xfId="6366"/>
    <cellStyle name="20% - 강조색4 3 2 2 6" xfId="6367"/>
    <cellStyle name="20% - 강조색4 3 2 2 7" xfId="6368"/>
    <cellStyle name="20% - 강조색4 3 2 2 8" xfId="6369"/>
    <cellStyle name="20% - 강조색4 3 2 2 9" xfId="6370"/>
    <cellStyle name="20% - 강조색4 3 2 3" xfId="6371"/>
    <cellStyle name="20% - 강조색4 3 2 3 2" xfId="6372"/>
    <cellStyle name="20% - 강조색4 3 2 3 2 2" xfId="6373"/>
    <cellStyle name="20% - 강조색4 3 2 3 2 2 2" xfId="6374"/>
    <cellStyle name="20% - 강조색4 3 2 3 2 2 2 2" xfId="6375"/>
    <cellStyle name="20% - 강조색4 3 2 3 2 2 2 3" xfId="6376"/>
    <cellStyle name="20% - 강조색4 3 2 3 2 2 3" xfId="6377"/>
    <cellStyle name="20% - 강조색4 3 2 3 2 2 4" xfId="6378"/>
    <cellStyle name="20% - 강조색4 3 2 3 2 3" xfId="6379"/>
    <cellStyle name="20% - 강조색4 3 2 3 2 3 2" xfId="6380"/>
    <cellStyle name="20% - 강조색4 3 2 3 2 3 3" xfId="6381"/>
    <cellStyle name="20% - 강조색4 3 2 3 2 4" xfId="6382"/>
    <cellStyle name="20% - 강조색4 3 2 3 2 5" xfId="6383"/>
    <cellStyle name="20% - 강조색4 3 2 3 3" xfId="6384"/>
    <cellStyle name="20% - 강조색4 3 2 3 3 2" xfId="6385"/>
    <cellStyle name="20% - 강조색4 3 2 3 3 2 2" xfId="6386"/>
    <cellStyle name="20% - 강조색4 3 2 3 3 2 2 2" xfId="6387"/>
    <cellStyle name="20% - 강조색4 3 2 3 3 2 2 3" xfId="6388"/>
    <cellStyle name="20% - 강조색4 3 2 3 3 2 3" xfId="6389"/>
    <cellStyle name="20% - 강조색4 3 2 3 3 2 4" xfId="6390"/>
    <cellStyle name="20% - 강조색4 3 2 3 3 3" xfId="6391"/>
    <cellStyle name="20% - 강조색4 3 2 3 3 3 2" xfId="6392"/>
    <cellStyle name="20% - 강조색4 3 2 3 3 3 3" xfId="6393"/>
    <cellStyle name="20% - 강조색4 3 2 3 3 4" xfId="6394"/>
    <cellStyle name="20% - 강조색4 3 2 3 3 5" xfId="6395"/>
    <cellStyle name="20% - 강조색4 3 2 3 4" xfId="6396"/>
    <cellStyle name="20% - 강조색4 3 2 3 4 2" xfId="6397"/>
    <cellStyle name="20% - 강조색4 3 2 3 4 2 2" xfId="6398"/>
    <cellStyle name="20% - 강조색4 3 2 3 4 2 3" xfId="6399"/>
    <cellStyle name="20% - 강조색4 3 2 3 4 3" xfId="6400"/>
    <cellStyle name="20% - 강조색4 3 2 3 4 4" xfId="6401"/>
    <cellStyle name="20% - 강조색4 3 2 3 5" xfId="6402"/>
    <cellStyle name="20% - 강조색4 3 2 3 5 2" xfId="6403"/>
    <cellStyle name="20% - 강조색4 3 2 3 5 3" xfId="6404"/>
    <cellStyle name="20% - 강조색4 3 2 3 6" xfId="6405"/>
    <cellStyle name="20% - 강조색4 3 2 3 7" xfId="6406"/>
    <cellStyle name="20% - 강조색4 3 2 4" xfId="6407"/>
    <cellStyle name="20% - 강조색4 3 2 4 2" xfId="6408"/>
    <cellStyle name="20% - 강조색4 3 2 4 2 2" xfId="6409"/>
    <cellStyle name="20% - 강조색4 3 2 4 2 2 2" xfId="6410"/>
    <cellStyle name="20% - 강조색4 3 2 4 2 2 3" xfId="6411"/>
    <cellStyle name="20% - 강조색4 3 2 4 2 3" xfId="6412"/>
    <cellStyle name="20% - 강조색4 3 2 4 2 4" xfId="6413"/>
    <cellStyle name="20% - 강조색4 3 2 4 3" xfId="6414"/>
    <cellStyle name="20% - 강조색4 3 2 4 3 2" xfId="6415"/>
    <cellStyle name="20% - 강조색4 3 2 4 3 3" xfId="6416"/>
    <cellStyle name="20% - 강조색4 3 2 4 4" xfId="6417"/>
    <cellStyle name="20% - 강조색4 3 2 4 5" xfId="6418"/>
    <cellStyle name="20% - 강조색4 3 2 5" xfId="6419"/>
    <cellStyle name="20% - 강조색4 3 2 5 2" xfId="6420"/>
    <cellStyle name="20% - 강조색4 3 2 5 2 2" xfId="6421"/>
    <cellStyle name="20% - 강조색4 3 2 5 2 2 2" xfId="6422"/>
    <cellStyle name="20% - 강조색4 3 2 5 2 2 3" xfId="6423"/>
    <cellStyle name="20% - 강조색4 3 2 5 2 3" xfId="6424"/>
    <cellStyle name="20% - 강조색4 3 2 5 2 4" xfId="6425"/>
    <cellStyle name="20% - 강조색4 3 2 5 3" xfId="6426"/>
    <cellStyle name="20% - 강조색4 3 2 5 3 2" xfId="6427"/>
    <cellStyle name="20% - 강조색4 3 2 5 3 3" xfId="6428"/>
    <cellStyle name="20% - 강조색4 3 2 5 4" xfId="6429"/>
    <cellStyle name="20% - 강조색4 3 2 5 5" xfId="6430"/>
    <cellStyle name="20% - 강조색4 3 2 6" xfId="6431"/>
    <cellStyle name="20% - 강조색4 3 2 6 2" xfId="6432"/>
    <cellStyle name="20% - 강조색4 3 2 6 2 2" xfId="6433"/>
    <cellStyle name="20% - 강조색4 3 2 6 2 2 2" xfId="6434"/>
    <cellStyle name="20% - 강조색4 3 2 6 2 2 3" xfId="6435"/>
    <cellStyle name="20% - 강조색4 3 2 6 2 3" xfId="6436"/>
    <cellStyle name="20% - 강조색4 3 2 6 2 4" xfId="6437"/>
    <cellStyle name="20% - 강조색4 3 2 6 3" xfId="6438"/>
    <cellStyle name="20% - 강조색4 3 2 6 3 2" xfId="6439"/>
    <cellStyle name="20% - 강조색4 3 2 6 3 3" xfId="6440"/>
    <cellStyle name="20% - 강조색4 3 2 6 4" xfId="6441"/>
    <cellStyle name="20% - 강조색4 3 2 6 5" xfId="6442"/>
    <cellStyle name="20% - 강조색4 3 2 7" xfId="6443"/>
    <cellStyle name="20% - 강조색4 3 2 7 2" xfId="6444"/>
    <cellStyle name="20% - 강조색4 3 2 7 2 2" xfId="6445"/>
    <cellStyle name="20% - 강조색4 3 2 7 2 3" xfId="6446"/>
    <cellStyle name="20% - 강조색4 3 2 7 3" xfId="6447"/>
    <cellStyle name="20% - 강조색4 3 2 7 4" xfId="6448"/>
    <cellStyle name="20% - 강조색4 3 2 8" xfId="6449"/>
    <cellStyle name="20% - 강조색4 3 2 8 2" xfId="6450"/>
    <cellStyle name="20% - 강조색4 3 2 8 3" xfId="6451"/>
    <cellStyle name="20% - 강조색4 3 2 9" xfId="6452"/>
    <cellStyle name="20% - 강조색4 3 3" xfId="6453"/>
    <cellStyle name="20% - 강조색4 3 3 10" xfId="6454"/>
    <cellStyle name="20% - 강조색4 3 3 11" xfId="6455"/>
    <cellStyle name="20% - 강조색4 3 3 12" xfId="6456"/>
    <cellStyle name="20% - 강조색4 3 3 2" xfId="6457"/>
    <cellStyle name="20% - 강조색4 3 3 2 2" xfId="6458"/>
    <cellStyle name="20% - 강조색4 3 3 2 2 2" xfId="6459"/>
    <cellStyle name="20% - 강조색4 3 3 2 2 2 2" xfId="6460"/>
    <cellStyle name="20% - 강조색4 3 3 2 2 2 2 2" xfId="6461"/>
    <cellStyle name="20% - 강조색4 3 3 2 2 2 2 3" xfId="6462"/>
    <cellStyle name="20% - 강조색4 3 3 2 2 2 3" xfId="6463"/>
    <cellStyle name="20% - 강조색4 3 3 2 2 2 4" xfId="6464"/>
    <cellStyle name="20% - 강조색4 3 3 2 2 3" xfId="6465"/>
    <cellStyle name="20% - 강조색4 3 3 2 2 3 2" xfId="6466"/>
    <cellStyle name="20% - 강조색4 3 3 2 2 3 3" xfId="6467"/>
    <cellStyle name="20% - 강조색4 3 3 2 2 4" xfId="6468"/>
    <cellStyle name="20% - 강조색4 3 3 2 2 5" xfId="6469"/>
    <cellStyle name="20% - 강조색4 3 3 2 3" xfId="6470"/>
    <cellStyle name="20% - 강조색4 3 3 2 3 2" xfId="6471"/>
    <cellStyle name="20% - 강조색4 3 3 2 3 2 2" xfId="6472"/>
    <cellStyle name="20% - 강조색4 3 3 2 3 2 2 2" xfId="6473"/>
    <cellStyle name="20% - 강조색4 3 3 2 3 2 2 3" xfId="6474"/>
    <cellStyle name="20% - 강조색4 3 3 2 3 2 3" xfId="6475"/>
    <cellStyle name="20% - 강조색4 3 3 2 3 2 4" xfId="6476"/>
    <cellStyle name="20% - 강조색4 3 3 2 3 3" xfId="6477"/>
    <cellStyle name="20% - 강조색4 3 3 2 3 3 2" xfId="6478"/>
    <cellStyle name="20% - 강조색4 3 3 2 3 3 3" xfId="6479"/>
    <cellStyle name="20% - 강조색4 3 3 2 3 4" xfId="6480"/>
    <cellStyle name="20% - 강조색4 3 3 2 3 5" xfId="6481"/>
    <cellStyle name="20% - 강조색4 3 3 2 4" xfId="6482"/>
    <cellStyle name="20% - 강조색4 3 3 2 4 2" xfId="6483"/>
    <cellStyle name="20% - 강조색4 3 3 2 4 2 2" xfId="6484"/>
    <cellStyle name="20% - 강조색4 3 3 2 4 2 3" xfId="6485"/>
    <cellStyle name="20% - 강조색4 3 3 2 4 3" xfId="6486"/>
    <cellStyle name="20% - 강조색4 3 3 2 4 4" xfId="6487"/>
    <cellStyle name="20% - 강조색4 3 3 2 5" xfId="6488"/>
    <cellStyle name="20% - 강조색4 3 3 2 5 2" xfId="6489"/>
    <cellStyle name="20% - 강조색4 3 3 2 5 3" xfId="6490"/>
    <cellStyle name="20% - 강조색4 3 3 2 6" xfId="6491"/>
    <cellStyle name="20% - 강조색4 3 3 2 7" xfId="6492"/>
    <cellStyle name="20% - 강조색4 3 3 2 8" xfId="6493"/>
    <cellStyle name="20% - 강조색4 3 3 2 9" xfId="6494"/>
    <cellStyle name="20% - 강조색4 3 3 3" xfId="6495"/>
    <cellStyle name="20% - 강조색4 3 3 3 2" xfId="6496"/>
    <cellStyle name="20% - 강조색4 3 3 3 2 2" xfId="6497"/>
    <cellStyle name="20% - 강조색4 3 3 3 2 2 2" xfId="6498"/>
    <cellStyle name="20% - 강조색4 3 3 3 2 2 2 2" xfId="6499"/>
    <cellStyle name="20% - 강조색4 3 3 3 2 2 2 3" xfId="6500"/>
    <cellStyle name="20% - 강조색4 3 3 3 2 2 3" xfId="6501"/>
    <cellStyle name="20% - 강조색4 3 3 3 2 2 4" xfId="6502"/>
    <cellStyle name="20% - 강조색4 3 3 3 2 3" xfId="6503"/>
    <cellStyle name="20% - 강조색4 3 3 3 2 3 2" xfId="6504"/>
    <cellStyle name="20% - 강조색4 3 3 3 2 3 3" xfId="6505"/>
    <cellStyle name="20% - 강조색4 3 3 3 2 4" xfId="6506"/>
    <cellStyle name="20% - 강조색4 3 3 3 2 5" xfId="6507"/>
    <cellStyle name="20% - 강조색4 3 3 3 3" xfId="6508"/>
    <cellStyle name="20% - 강조색4 3 3 3 3 2" xfId="6509"/>
    <cellStyle name="20% - 강조색4 3 3 3 3 2 2" xfId="6510"/>
    <cellStyle name="20% - 강조색4 3 3 3 3 2 2 2" xfId="6511"/>
    <cellStyle name="20% - 강조색4 3 3 3 3 2 2 3" xfId="6512"/>
    <cellStyle name="20% - 강조색4 3 3 3 3 2 3" xfId="6513"/>
    <cellStyle name="20% - 강조색4 3 3 3 3 2 4" xfId="6514"/>
    <cellStyle name="20% - 강조색4 3 3 3 3 3" xfId="6515"/>
    <cellStyle name="20% - 강조색4 3 3 3 3 3 2" xfId="6516"/>
    <cellStyle name="20% - 강조색4 3 3 3 3 3 3" xfId="6517"/>
    <cellStyle name="20% - 강조색4 3 3 3 3 4" xfId="6518"/>
    <cellStyle name="20% - 강조색4 3 3 3 3 5" xfId="6519"/>
    <cellStyle name="20% - 강조색4 3 3 3 4" xfId="6520"/>
    <cellStyle name="20% - 강조색4 3 3 3 4 2" xfId="6521"/>
    <cellStyle name="20% - 강조색4 3 3 3 4 2 2" xfId="6522"/>
    <cellStyle name="20% - 강조색4 3 3 3 4 2 3" xfId="6523"/>
    <cellStyle name="20% - 강조색4 3 3 3 4 3" xfId="6524"/>
    <cellStyle name="20% - 강조색4 3 3 3 4 4" xfId="6525"/>
    <cellStyle name="20% - 강조색4 3 3 3 5" xfId="6526"/>
    <cellStyle name="20% - 강조색4 3 3 3 5 2" xfId="6527"/>
    <cellStyle name="20% - 강조색4 3 3 3 5 3" xfId="6528"/>
    <cellStyle name="20% - 강조색4 3 3 3 6" xfId="6529"/>
    <cellStyle name="20% - 강조색4 3 3 3 7" xfId="6530"/>
    <cellStyle name="20% - 강조색4 3 3 4" xfId="6531"/>
    <cellStyle name="20% - 강조색4 3 3 4 2" xfId="6532"/>
    <cellStyle name="20% - 강조색4 3 3 4 2 2" xfId="6533"/>
    <cellStyle name="20% - 강조색4 3 3 4 2 2 2" xfId="6534"/>
    <cellStyle name="20% - 강조색4 3 3 4 2 2 3" xfId="6535"/>
    <cellStyle name="20% - 강조색4 3 3 4 2 3" xfId="6536"/>
    <cellStyle name="20% - 강조색4 3 3 4 2 4" xfId="6537"/>
    <cellStyle name="20% - 강조색4 3 3 4 3" xfId="6538"/>
    <cellStyle name="20% - 강조색4 3 3 4 3 2" xfId="6539"/>
    <cellStyle name="20% - 강조색4 3 3 4 3 3" xfId="6540"/>
    <cellStyle name="20% - 강조색4 3 3 4 4" xfId="6541"/>
    <cellStyle name="20% - 강조색4 3 3 4 5" xfId="6542"/>
    <cellStyle name="20% - 강조색4 3 3 5" xfId="6543"/>
    <cellStyle name="20% - 강조색4 3 3 5 2" xfId="6544"/>
    <cellStyle name="20% - 강조색4 3 3 5 2 2" xfId="6545"/>
    <cellStyle name="20% - 강조색4 3 3 5 2 2 2" xfId="6546"/>
    <cellStyle name="20% - 강조색4 3 3 5 2 2 3" xfId="6547"/>
    <cellStyle name="20% - 강조색4 3 3 5 2 3" xfId="6548"/>
    <cellStyle name="20% - 강조색4 3 3 5 2 4" xfId="6549"/>
    <cellStyle name="20% - 강조색4 3 3 5 3" xfId="6550"/>
    <cellStyle name="20% - 강조색4 3 3 5 3 2" xfId="6551"/>
    <cellStyle name="20% - 강조색4 3 3 5 3 3" xfId="6552"/>
    <cellStyle name="20% - 강조색4 3 3 5 4" xfId="6553"/>
    <cellStyle name="20% - 강조색4 3 3 5 5" xfId="6554"/>
    <cellStyle name="20% - 강조색4 3 3 6" xfId="6555"/>
    <cellStyle name="20% - 강조색4 3 3 6 2" xfId="6556"/>
    <cellStyle name="20% - 강조색4 3 3 6 2 2" xfId="6557"/>
    <cellStyle name="20% - 강조색4 3 3 6 2 2 2" xfId="6558"/>
    <cellStyle name="20% - 강조색4 3 3 6 2 2 3" xfId="6559"/>
    <cellStyle name="20% - 강조색4 3 3 6 2 3" xfId="6560"/>
    <cellStyle name="20% - 강조색4 3 3 6 2 4" xfId="6561"/>
    <cellStyle name="20% - 강조색4 3 3 6 3" xfId="6562"/>
    <cellStyle name="20% - 강조색4 3 3 6 3 2" xfId="6563"/>
    <cellStyle name="20% - 강조색4 3 3 6 3 3" xfId="6564"/>
    <cellStyle name="20% - 강조색4 3 3 6 4" xfId="6565"/>
    <cellStyle name="20% - 강조색4 3 3 6 5" xfId="6566"/>
    <cellStyle name="20% - 강조색4 3 3 7" xfId="6567"/>
    <cellStyle name="20% - 강조색4 3 3 7 2" xfId="6568"/>
    <cellStyle name="20% - 강조색4 3 3 7 2 2" xfId="6569"/>
    <cellStyle name="20% - 강조색4 3 3 7 2 3" xfId="6570"/>
    <cellStyle name="20% - 강조색4 3 3 7 3" xfId="6571"/>
    <cellStyle name="20% - 강조색4 3 3 7 4" xfId="6572"/>
    <cellStyle name="20% - 강조색4 3 3 8" xfId="6573"/>
    <cellStyle name="20% - 강조색4 3 3 8 2" xfId="6574"/>
    <cellStyle name="20% - 강조색4 3 3 8 3" xfId="6575"/>
    <cellStyle name="20% - 강조색4 3 3 9" xfId="6576"/>
    <cellStyle name="20% - 강조색4 3 4" xfId="6577"/>
    <cellStyle name="20% - 강조색4 3 4 10" xfId="6578"/>
    <cellStyle name="20% - 강조색4 3 4 11" xfId="6579"/>
    <cellStyle name="20% - 강조색4 3 4 12" xfId="6580"/>
    <cellStyle name="20% - 강조색4 3 4 2" xfId="6581"/>
    <cellStyle name="20% - 강조색4 3 4 2 2" xfId="6582"/>
    <cellStyle name="20% - 강조색4 3 4 2 2 2" xfId="6583"/>
    <cellStyle name="20% - 강조색4 3 4 2 2 2 2" xfId="6584"/>
    <cellStyle name="20% - 강조색4 3 4 2 2 2 2 2" xfId="6585"/>
    <cellStyle name="20% - 강조색4 3 4 2 2 2 2 3" xfId="6586"/>
    <cellStyle name="20% - 강조색4 3 4 2 2 2 3" xfId="6587"/>
    <cellStyle name="20% - 강조색4 3 4 2 2 2 4" xfId="6588"/>
    <cellStyle name="20% - 강조색4 3 4 2 2 3" xfId="6589"/>
    <cellStyle name="20% - 강조색4 3 4 2 2 3 2" xfId="6590"/>
    <cellStyle name="20% - 강조색4 3 4 2 2 3 3" xfId="6591"/>
    <cellStyle name="20% - 강조색4 3 4 2 2 4" xfId="6592"/>
    <cellStyle name="20% - 강조색4 3 4 2 2 5" xfId="6593"/>
    <cellStyle name="20% - 강조색4 3 4 2 3" xfId="6594"/>
    <cellStyle name="20% - 강조색4 3 4 2 3 2" xfId="6595"/>
    <cellStyle name="20% - 강조색4 3 4 2 3 2 2" xfId="6596"/>
    <cellStyle name="20% - 강조색4 3 4 2 3 2 2 2" xfId="6597"/>
    <cellStyle name="20% - 강조색4 3 4 2 3 2 2 3" xfId="6598"/>
    <cellStyle name="20% - 강조색4 3 4 2 3 2 3" xfId="6599"/>
    <cellStyle name="20% - 강조색4 3 4 2 3 2 4" xfId="6600"/>
    <cellStyle name="20% - 강조색4 3 4 2 3 3" xfId="6601"/>
    <cellStyle name="20% - 강조색4 3 4 2 3 3 2" xfId="6602"/>
    <cellStyle name="20% - 강조색4 3 4 2 3 3 3" xfId="6603"/>
    <cellStyle name="20% - 강조색4 3 4 2 3 4" xfId="6604"/>
    <cellStyle name="20% - 강조색4 3 4 2 3 5" xfId="6605"/>
    <cellStyle name="20% - 강조색4 3 4 2 4" xfId="6606"/>
    <cellStyle name="20% - 강조색4 3 4 2 4 2" xfId="6607"/>
    <cellStyle name="20% - 강조색4 3 4 2 4 2 2" xfId="6608"/>
    <cellStyle name="20% - 강조색4 3 4 2 4 2 3" xfId="6609"/>
    <cellStyle name="20% - 강조색4 3 4 2 4 3" xfId="6610"/>
    <cellStyle name="20% - 강조색4 3 4 2 4 4" xfId="6611"/>
    <cellStyle name="20% - 강조색4 3 4 2 5" xfId="6612"/>
    <cellStyle name="20% - 강조색4 3 4 2 5 2" xfId="6613"/>
    <cellStyle name="20% - 강조색4 3 4 2 5 3" xfId="6614"/>
    <cellStyle name="20% - 강조색4 3 4 2 6" xfId="6615"/>
    <cellStyle name="20% - 강조색4 3 4 2 7" xfId="6616"/>
    <cellStyle name="20% - 강조색4 3 4 3" xfId="6617"/>
    <cellStyle name="20% - 강조색4 3 4 3 2" xfId="6618"/>
    <cellStyle name="20% - 강조색4 3 4 3 2 2" xfId="6619"/>
    <cellStyle name="20% - 강조색4 3 4 3 2 2 2" xfId="6620"/>
    <cellStyle name="20% - 강조색4 3 4 3 2 2 2 2" xfId="6621"/>
    <cellStyle name="20% - 강조색4 3 4 3 2 2 2 3" xfId="6622"/>
    <cellStyle name="20% - 강조색4 3 4 3 2 2 3" xfId="6623"/>
    <cellStyle name="20% - 강조색4 3 4 3 2 2 4" xfId="6624"/>
    <cellStyle name="20% - 강조색4 3 4 3 2 3" xfId="6625"/>
    <cellStyle name="20% - 강조색4 3 4 3 2 3 2" xfId="6626"/>
    <cellStyle name="20% - 강조색4 3 4 3 2 3 3" xfId="6627"/>
    <cellStyle name="20% - 강조색4 3 4 3 2 4" xfId="6628"/>
    <cellStyle name="20% - 강조색4 3 4 3 2 5" xfId="6629"/>
    <cellStyle name="20% - 강조색4 3 4 3 3" xfId="6630"/>
    <cellStyle name="20% - 강조색4 3 4 3 3 2" xfId="6631"/>
    <cellStyle name="20% - 강조색4 3 4 3 3 2 2" xfId="6632"/>
    <cellStyle name="20% - 강조색4 3 4 3 3 2 2 2" xfId="6633"/>
    <cellStyle name="20% - 강조색4 3 4 3 3 2 2 3" xfId="6634"/>
    <cellStyle name="20% - 강조색4 3 4 3 3 2 3" xfId="6635"/>
    <cellStyle name="20% - 강조색4 3 4 3 3 2 4" xfId="6636"/>
    <cellStyle name="20% - 강조색4 3 4 3 3 3" xfId="6637"/>
    <cellStyle name="20% - 강조색4 3 4 3 3 3 2" xfId="6638"/>
    <cellStyle name="20% - 강조색4 3 4 3 3 3 3" xfId="6639"/>
    <cellStyle name="20% - 강조색4 3 4 3 3 4" xfId="6640"/>
    <cellStyle name="20% - 강조색4 3 4 3 3 5" xfId="6641"/>
    <cellStyle name="20% - 강조색4 3 4 3 4" xfId="6642"/>
    <cellStyle name="20% - 강조색4 3 4 3 4 2" xfId="6643"/>
    <cellStyle name="20% - 강조색4 3 4 3 4 2 2" xfId="6644"/>
    <cellStyle name="20% - 강조색4 3 4 3 4 2 3" xfId="6645"/>
    <cellStyle name="20% - 강조색4 3 4 3 4 3" xfId="6646"/>
    <cellStyle name="20% - 강조색4 3 4 3 4 4" xfId="6647"/>
    <cellStyle name="20% - 강조색4 3 4 3 5" xfId="6648"/>
    <cellStyle name="20% - 강조색4 3 4 3 5 2" xfId="6649"/>
    <cellStyle name="20% - 강조색4 3 4 3 5 3" xfId="6650"/>
    <cellStyle name="20% - 강조색4 3 4 3 6" xfId="6651"/>
    <cellStyle name="20% - 강조색4 3 4 3 7" xfId="6652"/>
    <cellStyle name="20% - 강조색4 3 4 4" xfId="6653"/>
    <cellStyle name="20% - 강조색4 3 4 4 2" xfId="6654"/>
    <cellStyle name="20% - 강조색4 3 4 4 2 2" xfId="6655"/>
    <cellStyle name="20% - 강조색4 3 4 4 2 2 2" xfId="6656"/>
    <cellStyle name="20% - 강조색4 3 4 4 2 2 3" xfId="6657"/>
    <cellStyle name="20% - 강조색4 3 4 4 2 3" xfId="6658"/>
    <cellStyle name="20% - 강조색4 3 4 4 2 4" xfId="6659"/>
    <cellStyle name="20% - 강조색4 3 4 4 3" xfId="6660"/>
    <cellStyle name="20% - 강조색4 3 4 4 3 2" xfId="6661"/>
    <cellStyle name="20% - 강조색4 3 4 4 3 3" xfId="6662"/>
    <cellStyle name="20% - 강조색4 3 4 4 4" xfId="6663"/>
    <cellStyle name="20% - 강조색4 3 4 4 5" xfId="6664"/>
    <cellStyle name="20% - 강조색4 3 4 5" xfId="6665"/>
    <cellStyle name="20% - 강조색4 3 4 5 2" xfId="6666"/>
    <cellStyle name="20% - 강조색4 3 4 5 2 2" xfId="6667"/>
    <cellStyle name="20% - 강조색4 3 4 5 2 2 2" xfId="6668"/>
    <cellStyle name="20% - 강조색4 3 4 5 2 2 3" xfId="6669"/>
    <cellStyle name="20% - 강조색4 3 4 5 2 3" xfId="6670"/>
    <cellStyle name="20% - 강조색4 3 4 5 2 4" xfId="6671"/>
    <cellStyle name="20% - 강조색4 3 4 5 3" xfId="6672"/>
    <cellStyle name="20% - 강조색4 3 4 5 3 2" xfId="6673"/>
    <cellStyle name="20% - 강조색4 3 4 5 3 3" xfId="6674"/>
    <cellStyle name="20% - 강조색4 3 4 5 4" xfId="6675"/>
    <cellStyle name="20% - 강조색4 3 4 5 5" xfId="6676"/>
    <cellStyle name="20% - 강조색4 3 4 6" xfId="6677"/>
    <cellStyle name="20% - 강조색4 3 4 6 2" xfId="6678"/>
    <cellStyle name="20% - 강조색4 3 4 6 2 2" xfId="6679"/>
    <cellStyle name="20% - 강조색4 3 4 6 2 2 2" xfId="6680"/>
    <cellStyle name="20% - 강조색4 3 4 6 2 2 3" xfId="6681"/>
    <cellStyle name="20% - 강조색4 3 4 6 2 3" xfId="6682"/>
    <cellStyle name="20% - 강조색4 3 4 6 2 4" xfId="6683"/>
    <cellStyle name="20% - 강조색4 3 4 6 3" xfId="6684"/>
    <cellStyle name="20% - 강조색4 3 4 6 3 2" xfId="6685"/>
    <cellStyle name="20% - 강조색4 3 4 6 3 3" xfId="6686"/>
    <cellStyle name="20% - 강조색4 3 4 6 4" xfId="6687"/>
    <cellStyle name="20% - 강조색4 3 4 6 5" xfId="6688"/>
    <cellStyle name="20% - 강조색4 3 4 7" xfId="6689"/>
    <cellStyle name="20% - 강조색4 3 4 7 2" xfId="6690"/>
    <cellStyle name="20% - 강조색4 3 4 7 2 2" xfId="6691"/>
    <cellStyle name="20% - 강조색4 3 4 7 2 3" xfId="6692"/>
    <cellStyle name="20% - 강조색4 3 4 7 3" xfId="6693"/>
    <cellStyle name="20% - 강조색4 3 4 7 4" xfId="6694"/>
    <cellStyle name="20% - 강조색4 3 4 8" xfId="6695"/>
    <cellStyle name="20% - 강조색4 3 4 8 2" xfId="6696"/>
    <cellStyle name="20% - 강조색4 3 4 8 3" xfId="6697"/>
    <cellStyle name="20% - 강조색4 3 4 9" xfId="6698"/>
    <cellStyle name="20% - 강조색4 3 5" xfId="6699"/>
    <cellStyle name="20% - 강조색4 3 5 2" xfId="6700"/>
    <cellStyle name="20% - 강조색4 3 5 2 2" xfId="6701"/>
    <cellStyle name="20% - 강조색4 3 5 2 2 2" xfId="6702"/>
    <cellStyle name="20% - 강조색4 3 5 2 2 2 2" xfId="6703"/>
    <cellStyle name="20% - 강조색4 3 5 2 2 2 3" xfId="6704"/>
    <cellStyle name="20% - 강조색4 3 5 2 2 3" xfId="6705"/>
    <cellStyle name="20% - 강조색4 3 5 2 2 4" xfId="6706"/>
    <cellStyle name="20% - 강조색4 3 5 2 3" xfId="6707"/>
    <cellStyle name="20% - 강조색4 3 5 2 3 2" xfId="6708"/>
    <cellStyle name="20% - 강조색4 3 5 2 3 3" xfId="6709"/>
    <cellStyle name="20% - 강조색4 3 5 2 4" xfId="6710"/>
    <cellStyle name="20% - 강조색4 3 5 2 5" xfId="6711"/>
    <cellStyle name="20% - 강조색4 3 5 3" xfId="6712"/>
    <cellStyle name="20% - 강조색4 3 5 3 2" xfId="6713"/>
    <cellStyle name="20% - 강조색4 3 5 3 2 2" xfId="6714"/>
    <cellStyle name="20% - 강조색4 3 5 3 2 2 2" xfId="6715"/>
    <cellStyle name="20% - 강조색4 3 5 3 2 2 3" xfId="6716"/>
    <cellStyle name="20% - 강조색4 3 5 3 2 3" xfId="6717"/>
    <cellStyle name="20% - 강조색4 3 5 3 2 4" xfId="6718"/>
    <cellStyle name="20% - 강조색4 3 5 3 3" xfId="6719"/>
    <cellStyle name="20% - 강조색4 3 5 3 3 2" xfId="6720"/>
    <cellStyle name="20% - 강조색4 3 5 3 3 3" xfId="6721"/>
    <cellStyle name="20% - 강조색4 3 5 3 4" xfId="6722"/>
    <cellStyle name="20% - 강조색4 3 5 3 5" xfId="6723"/>
    <cellStyle name="20% - 강조색4 3 5 4" xfId="6724"/>
    <cellStyle name="20% - 강조색4 3 5 4 2" xfId="6725"/>
    <cellStyle name="20% - 강조색4 3 5 4 2 2" xfId="6726"/>
    <cellStyle name="20% - 강조색4 3 5 4 2 3" xfId="6727"/>
    <cellStyle name="20% - 강조색4 3 5 4 3" xfId="6728"/>
    <cellStyle name="20% - 강조색4 3 5 4 4" xfId="6729"/>
    <cellStyle name="20% - 강조색4 3 5 5" xfId="6730"/>
    <cellStyle name="20% - 강조색4 3 5 5 2" xfId="6731"/>
    <cellStyle name="20% - 강조색4 3 5 5 3" xfId="6732"/>
    <cellStyle name="20% - 강조색4 3 5 6" xfId="6733"/>
    <cellStyle name="20% - 강조색4 3 5 7" xfId="6734"/>
    <cellStyle name="20% - 강조색4 3 5 8" xfId="6735"/>
    <cellStyle name="20% - 강조색4 3 6" xfId="6736"/>
    <cellStyle name="20% - 강조색4 3 6 2" xfId="6737"/>
    <cellStyle name="20% - 강조색4 3 6 2 2" xfId="6738"/>
    <cellStyle name="20% - 강조색4 3 6 2 2 2" xfId="6739"/>
    <cellStyle name="20% - 강조색4 3 6 2 2 2 2" xfId="6740"/>
    <cellStyle name="20% - 강조색4 3 6 2 2 2 3" xfId="6741"/>
    <cellStyle name="20% - 강조색4 3 6 2 2 3" xfId="6742"/>
    <cellStyle name="20% - 강조색4 3 6 2 2 4" xfId="6743"/>
    <cellStyle name="20% - 강조색4 3 6 2 3" xfId="6744"/>
    <cellStyle name="20% - 강조색4 3 6 2 3 2" xfId="6745"/>
    <cellStyle name="20% - 강조색4 3 6 2 3 3" xfId="6746"/>
    <cellStyle name="20% - 강조색4 3 6 2 4" xfId="6747"/>
    <cellStyle name="20% - 강조색4 3 6 2 5" xfId="6748"/>
    <cellStyle name="20% - 강조색4 3 6 3" xfId="6749"/>
    <cellStyle name="20% - 강조색4 3 6 3 2" xfId="6750"/>
    <cellStyle name="20% - 강조색4 3 6 3 2 2" xfId="6751"/>
    <cellStyle name="20% - 강조색4 3 6 3 2 2 2" xfId="6752"/>
    <cellStyle name="20% - 강조색4 3 6 3 2 2 3" xfId="6753"/>
    <cellStyle name="20% - 강조색4 3 6 3 2 3" xfId="6754"/>
    <cellStyle name="20% - 강조색4 3 6 3 2 4" xfId="6755"/>
    <cellStyle name="20% - 강조색4 3 6 3 3" xfId="6756"/>
    <cellStyle name="20% - 강조색4 3 6 3 3 2" xfId="6757"/>
    <cellStyle name="20% - 강조색4 3 6 3 3 3" xfId="6758"/>
    <cellStyle name="20% - 강조색4 3 6 3 4" xfId="6759"/>
    <cellStyle name="20% - 강조색4 3 6 3 5" xfId="6760"/>
    <cellStyle name="20% - 강조색4 3 6 4" xfId="6761"/>
    <cellStyle name="20% - 강조색4 3 6 4 2" xfId="6762"/>
    <cellStyle name="20% - 강조색4 3 6 4 2 2" xfId="6763"/>
    <cellStyle name="20% - 강조색4 3 6 4 2 3" xfId="6764"/>
    <cellStyle name="20% - 강조색4 3 6 4 3" xfId="6765"/>
    <cellStyle name="20% - 강조색4 3 6 4 4" xfId="6766"/>
    <cellStyle name="20% - 강조색4 3 6 5" xfId="6767"/>
    <cellStyle name="20% - 강조색4 3 6 5 2" xfId="6768"/>
    <cellStyle name="20% - 강조색4 3 6 5 3" xfId="6769"/>
    <cellStyle name="20% - 강조색4 3 6 6" xfId="6770"/>
    <cellStyle name="20% - 강조색4 3 6 7" xfId="6771"/>
    <cellStyle name="20% - 강조색4 3 7" xfId="6772"/>
    <cellStyle name="20% - 강조색4 3 7 2" xfId="6773"/>
    <cellStyle name="20% - 강조색4 3 7 2 2" xfId="6774"/>
    <cellStyle name="20% - 강조색4 3 7 2 2 2" xfId="6775"/>
    <cellStyle name="20% - 강조색4 3 7 2 2 3" xfId="6776"/>
    <cellStyle name="20% - 강조색4 3 7 2 3" xfId="6777"/>
    <cellStyle name="20% - 강조색4 3 7 2 4" xfId="6778"/>
    <cellStyle name="20% - 강조색4 3 7 3" xfId="6779"/>
    <cellStyle name="20% - 강조색4 3 7 3 2" xfId="6780"/>
    <cellStyle name="20% - 강조색4 3 7 3 3" xfId="6781"/>
    <cellStyle name="20% - 강조색4 3 7 4" xfId="6782"/>
    <cellStyle name="20% - 강조색4 3 7 5" xfId="6783"/>
    <cellStyle name="20% - 강조색4 3 8" xfId="6784"/>
    <cellStyle name="20% - 강조색4 3 8 2" xfId="6785"/>
    <cellStyle name="20% - 강조색4 3 8 2 2" xfId="6786"/>
    <cellStyle name="20% - 강조색4 3 8 2 2 2" xfId="6787"/>
    <cellStyle name="20% - 강조색4 3 8 2 2 3" xfId="6788"/>
    <cellStyle name="20% - 강조색4 3 8 2 3" xfId="6789"/>
    <cellStyle name="20% - 강조색4 3 8 2 4" xfId="6790"/>
    <cellStyle name="20% - 강조색4 3 8 3" xfId="6791"/>
    <cellStyle name="20% - 강조색4 3 8 3 2" xfId="6792"/>
    <cellStyle name="20% - 강조색4 3 8 3 3" xfId="6793"/>
    <cellStyle name="20% - 강조색4 3 8 4" xfId="6794"/>
    <cellStyle name="20% - 강조색4 3 8 5" xfId="6795"/>
    <cellStyle name="20% - 강조색4 3 9" xfId="6796"/>
    <cellStyle name="20% - 강조색4 3 9 2" xfId="6797"/>
    <cellStyle name="20% - 강조색4 3 9 2 2" xfId="6798"/>
    <cellStyle name="20% - 강조색4 3 9 2 2 2" xfId="6799"/>
    <cellStyle name="20% - 강조색4 3 9 2 2 3" xfId="6800"/>
    <cellStyle name="20% - 강조색4 3 9 2 3" xfId="6801"/>
    <cellStyle name="20% - 강조색4 3 9 2 4" xfId="6802"/>
    <cellStyle name="20% - 강조색4 3 9 3" xfId="6803"/>
    <cellStyle name="20% - 강조색4 3 9 3 2" xfId="6804"/>
    <cellStyle name="20% - 강조색4 3 9 3 3" xfId="6805"/>
    <cellStyle name="20% - 강조색4 3 9 4" xfId="6806"/>
    <cellStyle name="20% - 강조색4 3 9 5" xfId="6807"/>
    <cellStyle name="20% - 강조색4 30" xfId="6808"/>
    <cellStyle name="20% - 강조색4 30 2" xfId="6809"/>
    <cellStyle name="20% - 강조색4 31" xfId="6810"/>
    <cellStyle name="20% - 강조색4 31 2" xfId="6811"/>
    <cellStyle name="20% - 강조색4 32" xfId="6812"/>
    <cellStyle name="20% - 강조색4 32 2" xfId="6813"/>
    <cellStyle name="20% - 강조색4 33" xfId="6814"/>
    <cellStyle name="20% - 강조색4 33 2" xfId="6815"/>
    <cellStyle name="20% - 강조색4 34" xfId="6816"/>
    <cellStyle name="20% - 강조색4 34 2" xfId="6817"/>
    <cellStyle name="20% - 강조색4 35" xfId="6818"/>
    <cellStyle name="20% - 강조색4 36" xfId="6819"/>
    <cellStyle name="20% - 강조색4 37" xfId="6820"/>
    <cellStyle name="20% - 강조색4 38" xfId="6821"/>
    <cellStyle name="20% - 강조색4 39" xfId="6822"/>
    <cellStyle name="20% - 강조색4 4" xfId="6823"/>
    <cellStyle name="20% - 강조색4 4 10" xfId="6824"/>
    <cellStyle name="20% - 강조색4 4 10 2" xfId="6825"/>
    <cellStyle name="20% - 강조색4 4 10 2 2" xfId="6826"/>
    <cellStyle name="20% - 강조색4 4 10 2 3" xfId="6827"/>
    <cellStyle name="20% - 강조색4 4 10 3" xfId="6828"/>
    <cellStyle name="20% - 강조색4 4 10 4" xfId="6829"/>
    <cellStyle name="20% - 강조색4 4 11" xfId="6830"/>
    <cellStyle name="20% - 강조색4 4 11 2" xfId="6831"/>
    <cellStyle name="20% - 강조색4 4 11 3" xfId="6832"/>
    <cellStyle name="20% - 강조색4 4 12" xfId="6833"/>
    <cellStyle name="20% - 강조색4 4 13" xfId="6834"/>
    <cellStyle name="20% - 강조색4 4 14" xfId="6835"/>
    <cellStyle name="20% - 강조색4 4 2" xfId="6836"/>
    <cellStyle name="20% - 강조색4 4 2 10" xfId="6837"/>
    <cellStyle name="20% - 강조색4 4 2 2" xfId="6838"/>
    <cellStyle name="20% - 강조색4 4 2 2 2" xfId="6839"/>
    <cellStyle name="20% - 강조색4 4 2 2 2 2" xfId="6840"/>
    <cellStyle name="20% - 강조색4 4 2 2 2 2 2" xfId="6841"/>
    <cellStyle name="20% - 강조색4 4 2 2 2 2 2 2" xfId="6842"/>
    <cellStyle name="20% - 강조색4 4 2 2 2 2 2 3" xfId="6843"/>
    <cellStyle name="20% - 강조색4 4 2 2 2 2 3" xfId="6844"/>
    <cellStyle name="20% - 강조색4 4 2 2 2 2 4" xfId="6845"/>
    <cellStyle name="20% - 강조색4 4 2 2 2 3" xfId="6846"/>
    <cellStyle name="20% - 강조색4 4 2 2 2 3 2" xfId="6847"/>
    <cellStyle name="20% - 강조색4 4 2 2 2 3 3" xfId="6848"/>
    <cellStyle name="20% - 강조색4 4 2 2 2 4" xfId="6849"/>
    <cellStyle name="20% - 강조색4 4 2 2 2 5" xfId="6850"/>
    <cellStyle name="20% - 강조색4 4 2 2 3" xfId="6851"/>
    <cellStyle name="20% - 강조색4 4 2 2 3 2" xfId="6852"/>
    <cellStyle name="20% - 강조색4 4 2 2 3 2 2" xfId="6853"/>
    <cellStyle name="20% - 강조색4 4 2 2 3 2 2 2" xfId="6854"/>
    <cellStyle name="20% - 강조색4 4 2 2 3 2 2 3" xfId="6855"/>
    <cellStyle name="20% - 강조색4 4 2 2 3 2 3" xfId="6856"/>
    <cellStyle name="20% - 강조색4 4 2 2 3 2 4" xfId="6857"/>
    <cellStyle name="20% - 강조색4 4 2 2 3 3" xfId="6858"/>
    <cellStyle name="20% - 강조색4 4 2 2 3 3 2" xfId="6859"/>
    <cellStyle name="20% - 강조색4 4 2 2 3 3 3" xfId="6860"/>
    <cellStyle name="20% - 강조색4 4 2 2 3 4" xfId="6861"/>
    <cellStyle name="20% - 강조색4 4 2 2 3 5" xfId="6862"/>
    <cellStyle name="20% - 강조색4 4 2 2 4" xfId="6863"/>
    <cellStyle name="20% - 강조색4 4 2 2 4 2" xfId="6864"/>
    <cellStyle name="20% - 강조색4 4 2 2 4 2 2" xfId="6865"/>
    <cellStyle name="20% - 강조색4 4 2 2 4 2 3" xfId="6866"/>
    <cellStyle name="20% - 강조색4 4 2 2 4 3" xfId="6867"/>
    <cellStyle name="20% - 강조색4 4 2 2 4 4" xfId="6868"/>
    <cellStyle name="20% - 강조색4 4 2 2 5" xfId="6869"/>
    <cellStyle name="20% - 강조색4 4 2 2 5 2" xfId="6870"/>
    <cellStyle name="20% - 강조색4 4 2 2 5 3" xfId="6871"/>
    <cellStyle name="20% - 강조색4 4 2 2 6" xfId="6872"/>
    <cellStyle name="20% - 강조색4 4 2 2 7" xfId="6873"/>
    <cellStyle name="20% - 강조색4 4 2 3" xfId="6874"/>
    <cellStyle name="20% - 강조색4 4 2 3 2" xfId="6875"/>
    <cellStyle name="20% - 강조색4 4 2 3 2 2" xfId="6876"/>
    <cellStyle name="20% - 강조색4 4 2 3 2 2 2" xfId="6877"/>
    <cellStyle name="20% - 강조색4 4 2 3 2 2 2 2" xfId="6878"/>
    <cellStyle name="20% - 강조색4 4 2 3 2 2 2 3" xfId="6879"/>
    <cellStyle name="20% - 강조색4 4 2 3 2 2 3" xfId="6880"/>
    <cellStyle name="20% - 강조색4 4 2 3 2 2 4" xfId="6881"/>
    <cellStyle name="20% - 강조색4 4 2 3 2 3" xfId="6882"/>
    <cellStyle name="20% - 강조색4 4 2 3 2 3 2" xfId="6883"/>
    <cellStyle name="20% - 강조색4 4 2 3 2 3 3" xfId="6884"/>
    <cellStyle name="20% - 강조색4 4 2 3 2 4" xfId="6885"/>
    <cellStyle name="20% - 강조색4 4 2 3 2 5" xfId="6886"/>
    <cellStyle name="20% - 강조색4 4 2 3 3" xfId="6887"/>
    <cellStyle name="20% - 강조색4 4 2 3 3 2" xfId="6888"/>
    <cellStyle name="20% - 강조색4 4 2 3 3 2 2" xfId="6889"/>
    <cellStyle name="20% - 강조색4 4 2 3 3 2 2 2" xfId="6890"/>
    <cellStyle name="20% - 강조색4 4 2 3 3 2 2 3" xfId="6891"/>
    <cellStyle name="20% - 강조색4 4 2 3 3 2 3" xfId="6892"/>
    <cellStyle name="20% - 강조색4 4 2 3 3 2 4" xfId="6893"/>
    <cellStyle name="20% - 강조색4 4 2 3 3 3" xfId="6894"/>
    <cellStyle name="20% - 강조색4 4 2 3 3 3 2" xfId="6895"/>
    <cellStyle name="20% - 강조색4 4 2 3 3 3 3" xfId="6896"/>
    <cellStyle name="20% - 강조색4 4 2 3 3 4" xfId="6897"/>
    <cellStyle name="20% - 강조색4 4 2 3 3 5" xfId="6898"/>
    <cellStyle name="20% - 강조색4 4 2 3 4" xfId="6899"/>
    <cellStyle name="20% - 강조색4 4 2 3 4 2" xfId="6900"/>
    <cellStyle name="20% - 강조색4 4 2 3 4 2 2" xfId="6901"/>
    <cellStyle name="20% - 강조색4 4 2 3 4 2 3" xfId="6902"/>
    <cellStyle name="20% - 강조색4 4 2 3 4 3" xfId="6903"/>
    <cellStyle name="20% - 강조색4 4 2 3 4 4" xfId="6904"/>
    <cellStyle name="20% - 강조색4 4 2 3 5" xfId="6905"/>
    <cellStyle name="20% - 강조색4 4 2 3 5 2" xfId="6906"/>
    <cellStyle name="20% - 강조색4 4 2 3 5 3" xfId="6907"/>
    <cellStyle name="20% - 강조색4 4 2 3 6" xfId="6908"/>
    <cellStyle name="20% - 강조색4 4 2 3 7" xfId="6909"/>
    <cellStyle name="20% - 강조색4 4 2 4" xfId="6910"/>
    <cellStyle name="20% - 강조색4 4 2 4 2" xfId="6911"/>
    <cellStyle name="20% - 강조색4 4 2 4 2 2" xfId="6912"/>
    <cellStyle name="20% - 강조색4 4 2 4 2 2 2" xfId="6913"/>
    <cellStyle name="20% - 강조색4 4 2 4 2 2 3" xfId="6914"/>
    <cellStyle name="20% - 강조색4 4 2 4 2 3" xfId="6915"/>
    <cellStyle name="20% - 강조색4 4 2 4 2 4" xfId="6916"/>
    <cellStyle name="20% - 강조색4 4 2 4 3" xfId="6917"/>
    <cellStyle name="20% - 강조색4 4 2 4 3 2" xfId="6918"/>
    <cellStyle name="20% - 강조색4 4 2 4 3 3" xfId="6919"/>
    <cellStyle name="20% - 강조색4 4 2 4 4" xfId="6920"/>
    <cellStyle name="20% - 강조색4 4 2 4 5" xfId="6921"/>
    <cellStyle name="20% - 강조색4 4 2 5" xfId="6922"/>
    <cellStyle name="20% - 강조색4 4 2 5 2" xfId="6923"/>
    <cellStyle name="20% - 강조색4 4 2 5 2 2" xfId="6924"/>
    <cellStyle name="20% - 강조색4 4 2 5 2 2 2" xfId="6925"/>
    <cellStyle name="20% - 강조색4 4 2 5 2 2 3" xfId="6926"/>
    <cellStyle name="20% - 강조색4 4 2 5 2 3" xfId="6927"/>
    <cellStyle name="20% - 강조색4 4 2 5 2 4" xfId="6928"/>
    <cellStyle name="20% - 강조색4 4 2 5 3" xfId="6929"/>
    <cellStyle name="20% - 강조색4 4 2 5 3 2" xfId="6930"/>
    <cellStyle name="20% - 강조색4 4 2 5 3 3" xfId="6931"/>
    <cellStyle name="20% - 강조색4 4 2 5 4" xfId="6932"/>
    <cellStyle name="20% - 강조색4 4 2 5 5" xfId="6933"/>
    <cellStyle name="20% - 강조색4 4 2 6" xfId="6934"/>
    <cellStyle name="20% - 강조색4 4 2 6 2" xfId="6935"/>
    <cellStyle name="20% - 강조색4 4 2 6 2 2" xfId="6936"/>
    <cellStyle name="20% - 강조색4 4 2 6 2 2 2" xfId="6937"/>
    <cellStyle name="20% - 강조색4 4 2 6 2 2 3" xfId="6938"/>
    <cellStyle name="20% - 강조색4 4 2 6 2 3" xfId="6939"/>
    <cellStyle name="20% - 강조색4 4 2 6 2 4" xfId="6940"/>
    <cellStyle name="20% - 강조색4 4 2 6 3" xfId="6941"/>
    <cellStyle name="20% - 강조색4 4 2 6 3 2" xfId="6942"/>
    <cellStyle name="20% - 강조색4 4 2 6 3 3" xfId="6943"/>
    <cellStyle name="20% - 강조색4 4 2 6 4" xfId="6944"/>
    <cellStyle name="20% - 강조색4 4 2 6 5" xfId="6945"/>
    <cellStyle name="20% - 강조색4 4 2 7" xfId="6946"/>
    <cellStyle name="20% - 강조색4 4 2 7 2" xfId="6947"/>
    <cellStyle name="20% - 강조색4 4 2 7 2 2" xfId="6948"/>
    <cellStyle name="20% - 강조색4 4 2 7 2 3" xfId="6949"/>
    <cellStyle name="20% - 강조색4 4 2 7 3" xfId="6950"/>
    <cellStyle name="20% - 강조색4 4 2 7 4" xfId="6951"/>
    <cellStyle name="20% - 강조색4 4 2 8" xfId="6952"/>
    <cellStyle name="20% - 강조색4 4 2 8 2" xfId="6953"/>
    <cellStyle name="20% - 강조색4 4 2 8 3" xfId="6954"/>
    <cellStyle name="20% - 강조색4 4 2 9" xfId="6955"/>
    <cellStyle name="20% - 강조색4 4 3" xfId="6956"/>
    <cellStyle name="20% - 강조색4 4 3 10" xfId="6957"/>
    <cellStyle name="20% - 강조색4 4 3 2" xfId="6958"/>
    <cellStyle name="20% - 강조색4 4 3 2 2" xfId="6959"/>
    <cellStyle name="20% - 강조색4 4 3 2 2 2" xfId="6960"/>
    <cellStyle name="20% - 강조색4 4 3 2 2 2 2" xfId="6961"/>
    <cellStyle name="20% - 강조색4 4 3 2 2 2 2 2" xfId="6962"/>
    <cellStyle name="20% - 강조색4 4 3 2 2 2 2 3" xfId="6963"/>
    <cellStyle name="20% - 강조색4 4 3 2 2 2 3" xfId="6964"/>
    <cellStyle name="20% - 강조색4 4 3 2 2 2 4" xfId="6965"/>
    <cellStyle name="20% - 강조색4 4 3 2 2 3" xfId="6966"/>
    <cellStyle name="20% - 강조색4 4 3 2 2 3 2" xfId="6967"/>
    <cellStyle name="20% - 강조색4 4 3 2 2 3 3" xfId="6968"/>
    <cellStyle name="20% - 강조색4 4 3 2 2 4" xfId="6969"/>
    <cellStyle name="20% - 강조색4 4 3 2 2 5" xfId="6970"/>
    <cellStyle name="20% - 강조색4 4 3 2 3" xfId="6971"/>
    <cellStyle name="20% - 강조색4 4 3 2 3 2" xfId="6972"/>
    <cellStyle name="20% - 강조색4 4 3 2 3 2 2" xfId="6973"/>
    <cellStyle name="20% - 강조색4 4 3 2 3 2 2 2" xfId="6974"/>
    <cellStyle name="20% - 강조색4 4 3 2 3 2 2 3" xfId="6975"/>
    <cellStyle name="20% - 강조색4 4 3 2 3 2 3" xfId="6976"/>
    <cellStyle name="20% - 강조색4 4 3 2 3 2 4" xfId="6977"/>
    <cellStyle name="20% - 강조색4 4 3 2 3 3" xfId="6978"/>
    <cellStyle name="20% - 강조색4 4 3 2 3 3 2" xfId="6979"/>
    <cellStyle name="20% - 강조색4 4 3 2 3 3 3" xfId="6980"/>
    <cellStyle name="20% - 강조색4 4 3 2 3 4" xfId="6981"/>
    <cellStyle name="20% - 강조색4 4 3 2 3 5" xfId="6982"/>
    <cellStyle name="20% - 강조색4 4 3 2 4" xfId="6983"/>
    <cellStyle name="20% - 강조색4 4 3 2 4 2" xfId="6984"/>
    <cellStyle name="20% - 강조색4 4 3 2 4 2 2" xfId="6985"/>
    <cellStyle name="20% - 강조색4 4 3 2 4 2 3" xfId="6986"/>
    <cellStyle name="20% - 강조색4 4 3 2 4 3" xfId="6987"/>
    <cellStyle name="20% - 강조색4 4 3 2 4 4" xfId="6988"/>
    <cellStyle name="20% - 강조색4 4 3 2 5" xfId="6989"/>
    <cellStyle name="20% - 강조색4 4 3 2 5 2" xfId="6990"/>
    <cellStyle name="20% - 강조색4 4 3 2 5 3" xfId="6991"/>
    <cellStyle name="20% - 강조색4 4 3 2 6" xfId="6992"/>
    <cellStyle name="20% - 강조색4 4 3 2 7" xfId="6993"/>
    <cellStyle name="20% - 강조색4 4 3 3" xfId="6994"/>
    <cellStyle name="20% - 강조색4 4 3 3 2" xfId="6995"/>
    <cellStyle name="20% - 강조색4 4 3 3 2 2" xfId="6996"/>
    <cellStyle name="20% - 강조색4 4 3 3 2 2 2" xfId="6997"/>
    <cellStyle name="20% - 강조색4 4 3 3 2 2 2 2" xfId="6998"/>
    <cellStyle name="20% - 강조색4 4 3 3 2 2 2 3" xfId="6999"/>
    <cellStyle name="20% - 강조색4 4 3 3 2 2 3" xfId="7000"/>
    <cellStyle name="20% - 강조색4 4 3 3 2 2 4" xfId="7001"/>
    <cellStyle name="20% - 강조색4 4 3 3 2 3" xfId="7002"/>
    <cellStyle name="20% - 강조색4 4 3 3 2 3 2" xfId="7003"/>
    <cellStyle name="20% - 강조색4 4 3 3 2 3 3" xfId="7004"/>
    <cellStyle name="20% - 강조색4 4 3 3 2 4" xfId="7005"/>
    <cellStyle name="20% - 강조색4 4 3 3 2 5" xfId="7006"/>
    <cellStyle name="20% - 강조색4 4 3 3 3" xfId="7007"/>
    <cellStyle name="20% - 강조색4 4 3 3 3 2" xfId="7008"/>
    <cellStyle name="20% - 강조색4 4 3 3 3 2 2" xfId="7009"/>
    <cellStyle name="20% - 강조색4 4 3 3 3 2 2 2" xfId="7010"/>
    <cellStyle name="20% - 강조색4 4 3 3 3 2 2 3" xfId="7011"/>
    <cellStyle name="20% - 강조색4 4 3 3 3 2 3" xfId="7012"/>
    <cellStyle name="20% - 강조색4 4 3 3 3 2 4" xfId="7013"/>
    <cellStyle name="20% - 강조색4 4 3 3 3 3" xfId="7014"/>
    <cellStyle name="20% - 강조색4 4 3 3 3 3 2" xfId="7015"/>
    <cellStyle name="20% - 강조색4 4 3 3 3 3 3" xfId="7016"/>
    <cellStyle name="20% - 강조색4 4 3 3 3 4" xfId="7017"/>
    <cellStyle name="20% - 강조색4 4 3 3 3 5" xfId="7018"/>
    <cellStyle name="20% - 강조색4 4 3 3 4" xfId="7019"/>
    <cellStyle name="20% - 강조색4 4 3 3 4 2" xfId="7020"/>
    <cellStyle name="20% - 강조색4 4 3 3 4 2 2" xfId="7021"/>
    <cellStyle name="20% - 강조색4 4 3 3 4 2 3" xfId="7022"/>
    <cellStyle name="20% - 강조색4 4 3 3 4 3" xfId="7023"/>
    <cellStyle name="20% - 강조색4 4 3 3 4 4" xfId="7024"/>
    <cellStyle name="20% - 강조색4 4 3 3 5" xfId="7025"/>
    <cellStyle name="20% - 강조색4 4 3 3 5 2" xfId="7026"/>
    <cellStyle name="20% - 강조색4 4 3 3 5 3" xfId="7027"/>
    <cellStyle name="20% - 강조색4 4 3 3 6" xfId="7028"/>
    <cellStyle name="20% - 강조색4 4 3 3 7" xfId="7029"/>
    <cellStyle name="20% - 강조색4 4 3 4" xfId="7030"/>
    <cellStyle name="20% - 강조색4 4 3 4 2" xfId="7031"/>
    <cellStyle name="20% - 강조색4 4 3 4 2 2" xfId="7032"/>
    <cellStyle name="20% - 강조색4 4 3 4 2 2 2" xfId="7033"/>
    <cellStyle name="20% - 강조색4 4 3 4 2 2 3" xfId="7034"/>
    <cellStyle name="20% - 강조색4 4 3 4 2 3" xfId="7035"/>
    <cellStyle name="20% - 강조색4 4 3 4 2 4" xfId="7036"/>
    <cellStyle name="20% - 강조색4 4 3 4 3" xfId="7037"/>
    <cellStyle name="20% - 강조색4 4 3 4 3 2" xfId="7038"/>
    <cellStyle name="20% - 강조색4 4 3 4 3 3" xfId="7039"/>
    <cellStyle name="20% - 강조색4 4 3 4 4" xfId="7040"/>
    <cellStyle name="20% - 강조색4 4 3 4 5" xfId="7041"/>
    <cellStyle name="20% - 강조색4 4 3 5" xfId="7042"/>
    <cellStyle name="20% - 강조색4 4 3 5 2" xfId="7043"/>
    <cellStyle name="20% - 강조색4 4 3 5 2 2" xfId="7044"/>
    <cellStyle name="20% - 강조색4 4 3 5 2 2 2" xfId="7045"/>
    <cellStyle name="20% - 강조색4 4 3 5 2 2 3" xfId="7046"/>
    <cellStyle name="20% - 강조색4 4 3 5 2 3" xfId="7047"/>
    <cellStyle name="20% - 강조색4 4 3 5 2 4" xfId="7048"/>
    <cellStyle name="20% - 강조색4 4 3 5 3" xfId="7049"/>
    <cellStyle name="20% - 강조색4 4 3 5 3 2" xfId="7050"/>
    <cellStyle name="20% - 강조색4 4 3 5 3 3" xfId="7051"/>
    <cellStyle name="20% - 강조색4 4 3 5 4" xfId="7052"/>
    <cellStyle name="20% - 강조색4 4 3 5 5" xfId="7053"/>
    <cellStyle name="20% - 강조색4 4 3 6" xfId="7054"/>
    <cellStyle name="20% - 강조색4 4 3 6 2" xfId="7055"/>
    <cellStyle name="20% - 강조색4 4 3 6 2 2" xfId="7056"/>
    <cellStyle name="20% - 강조색4 4 3 6 2 2 2" xfId="7057"/>
    <cellStyle name="20% - 강조색4 4 3 6 2 2 3" xfId="7058"/>
    <cellStyle name="20% - 강조색4 4 3 6 2 3" xfId="7059"/>
    <cellStyle name="20% - 강조색4 4 3 6 2 4" xfId="7060"/>
    <cellStyle name="20% - 강조색4 4 3 6 3" xfId="7061"/>
    <cellStyle name="20% - 강조색4 4 3 6 3 2" xfId="7062"/>
    <cellStyle name="20% - 강조색4 4 3 6 3 3" xfId="7063"/>
    <cellStyle name="20% - 강조색4 4 3 6 4" xfId="7064"/>
    <cellStyle name="20% - 강조색4 4 3 6 5" xfId="7065"/>
    <cellStyle name="20% - 강조색4 4 3 7" xfId="7066"/>
    <cellStyle name="20% - 강조색4 4 3 7 2" xfId="7067"/>
    <cellStyle name="20% - 강조색4 4 3 7 2 2" xfId="7068"/>
    <cellStyle name="20% - 강조색4 4 3 7 2 3" xfId="7069"/>
    <cellStyle name="20% - 강조색4 4 3 7 3" xfId="7070"/>
    <cellStyle name="20% - 강조색4 4 3 7 4" xfId="7071"/>
    <cellStyle name="20% - 강조색4 4 3 8" xfId="7072"/>
    <cellStyle name="20% - 강조색4 4 3 8 2" xfId="7073"/>
    <cellStyle name="20% - 강조색4 4 3 8 3" xfId="7074"/>
    <cellStyle name="20% - 강조색4 4 3 9" xfId="7075"/>
    <cellStyle name="20% - 강조색4 4 4" xfId="7076"/>
    <cellStyle name="20% - 강조색4 4 4 10" xfId="7077"/>
    <cellStyle name="20% - 강조색4 4 4 2" xfId="7078"/>
    <cellStyle name="20% - 강조색4 4 4 2 2" xfId="7079"/>
    <cellStyle name="20% - 강조색4 4 4 2 2 2" xfId="7080"/>
    <cellStyle name="20% - 강조색4 4 4 2 2 2 2" xfId="7081"/>
    <cellStyle name="20% - 강조색4 4 4 2 2 2 2 2" xfId="7082"/>
    <cellStyle name="20% - 강조색4 4 4 2 2 2 2 3" xfId="7083"/>
    <cellStyle name="20% - 강조색4 4 4 2 2 2 3" xfId="7084"/>
    <cellStyle name="20% - 강조색4 4 4 2 2 2 4" xfId="7085"/>
    <cellStyle name="20% - 강조색4 4 4 2 2 3" xfId="7086"/>
    <cellStyle name="20% - 강조색4 4 4 2 2 3 2" xfId="7087"/>
    <cellStyle name="20% - 강조색4 4 4 2 2 3 3" xfId="7088"/>
    <cellStyle name="20% - 강조색4 4 4 2 2 4" xfId="7089"/>
    <cellStyle name="20% - 강조색4 4 4 2 2 5" xfId="7090"/>
    <cellStyle name="20% - 강조색4 4 4 2 3" xfId="7091"/>
    <cellStyle name="20% - 강조색4 4 4 2 3 2" xfId="7092"/>
    <cellStyle name="20% - 강조색4 4 4 2 3 2 2" xfId="7093"/>
    <cellStyle name="20% - 강조색4 4 4 2 3 2 2 2" xfId="7094"/>
    <cellStyle name="20% - 강조색4 4 4 2 3 2 2 3" xfId="7095"/>
    <cellStyle name="20% - 강조색4 4 4 2 3 2 3" xfId="7096"/>
    <cellStyle name="20% - 강조색4 4 4 2 3 2 4" xfId="7097"/>
    <cellStyle name="20% - 강조색4 4 4 2 3 3" xfId="7098"/>
    <cellStyle name="20% - 강조색4 4 4 2 3 3 2" xfId="7099"/>
    <cellStyle name="20% - 강조색4 4 4 2 3 3 3" xfId="7100"/>
    <cellStyle name="20% - 강조색4 4 4 2 3 4" xfId="7101"/>
    <cellStyle name="20% - 강조색4 4 4 2 3 5" xfId="7102"/>
    <cellStyle name="20% - 강조색4 4 4 2 4" xfId="7103"/>
    <cellStyle name="20% - 강조색4 4 4 2 4 2" xfId="7104"/>
    <cellStyle name="20% - 강조색4 4 4 2 4 2 2" xfId="7105"/>
    <cellStyle name="20% - 강조색4 4 4 2 4 2 3" xfId="7106"/>
    <cellStyle name="20% - 강조색4 4 4 2 4 3" xfId="7107"/>
    <cellStyle name="20% - 강조색4 4 4 2 4 4" xfId="7108"/>
    <cellStyle name="20% - 강조색4 4 4 2 5" xfId="7109"/>
    <cellStyle name="20% - 강조색4 4 4 2 5 2" xfId="7110"/>
    <cellStyle name="20% - 강조색4 4 4 2 5 3" xfId="7111"/>
    <cellStyle name="20% - 강조색4 4 4 2 6" xfId="7112"/>
    <cellStyle name="20% - 강조색4 4 4 2 7" xfId="7113"/>
    <cellStyle name="20% - 강조색4 4 4 3" xfId="7114"/>
    <cellStyle name="20% - 강조색4 4 4 3 2" xfId="7115"/>
    <cellStyle name="20% - 강조색4 4 4 3 2 2" xfId="7116"/>
    <cellStyle name="20% - 강조색4 4 4 3 2 2 2" xfId="7117"/>
    <cellStyle name="20% - 강조색4 4 4 3 2 2 2 2" xfId="7118"/>
    <cellStyle name="20% - 강조색4 4 4 3 2 2 2 3" xfId="7119"/>
    <cellStyle name="20% - 강조색4 4 4 3 2 2 3" xfId="7120"/>
    <cellStyle name="20% - 강조색4 4 4 3 2 2 4" xfId="7121"/>
    <cellStyle name="20% - 강조색4 4 4 3 2 3" xfId="7122"/>
    <cellStyle name="20% - 강조색4 4 4 3 2 3 2" xfId="7123"/>
    <cellStyle name="20% - 강조색4 4 4 3 2 3 3" xfId="7124"/>
    <cellStyle name="20% - 강조색4 4 4 3 2 4" xfId="7125"/>
    <cellStyle name="20% - 강조색4 4 4 3 2 5" xfId="7126"/>
    <cellStyle name="20% - 강조색4 4 4 3 3" xfId="7127"/>
    <cellStyle name="20% - 강조색4 4 4 3 3 2" xfId="7128"/>
    <cellStyle name="20% - 강조색4 4 4 3 3 2 2" xfId="7129"/>
    <cellStyle name="20% - 강조색4 4 4 3 3 2 2 2" xfId="7130"/>
    <cellStyle name="20% - 강조색4 4 4 3 3 2 2 3" xfId="7131"/>
    <cellStyle name="20% - 강조색4 4 4 3 3 2 3" xfId="7132"/>
    <cellStyle name="20% - 강조색4 4 4 3 3 2 4" xfId="7133"/>
    <cellStyle name="20% - 강조색4 4 4 3 3 3" xfId="7134"/>
    <cellStyle name="20% - 강조색4 4 4 3 3 3 2" xfId="7135"/>
    <cellStyle name="20% - 강조색4 4 4 3 3 3 3" xfId="7136"/>
    <cellStyle name="20% - 강조색4 4 4 3 3 4" xfId="7137"/>
    <cellStyle name="20% - 강조색4 4 4 3 3 5" xfId="7138"/>
    <cellStyle name="20% - 강조색4 4 4 3 4" xfId="7139"/>
    <cellStyle name="20% - 강조색4 4 4 3 4 2" xfId="7140"/>
    <cellStyle name="20% - 강조색4 4 4 3 4 2 2" xfId="7141"/>
    <cellStyle name="20% - 강조색4 4 4 3 4 2 3" xfId="7142"/>
    <cellStyle name="20% - 강조색4 4 4 3 4 3" xfId="7143"/>
    <cellStyle name="20% - 강조색4 4 4 3 4 4" xfId="7144"/>
    <cellStyle name="20% - 강조색4 4 4 3 5" xfId="7145"/>
    <cellStyle name="20% - 강조색4 4 4 3 5 2" xfId="7146"/>
    <cellStyle name="20% - 강조색4 4 4 3 5 3" xfId="7147"/>
    <cellStyle name="20% - 강조색4 4 4 3 6" xfId="7148"/>
    <cellStyle name="20% - 강조색4 4 4 3 7" xfId="7149"/>
    <cellStyle name="20% - 강조색4 4 4 4" xfId="7150"/>
    <cellStyle name="20% - 강조색4 4 4 4 2" xfId="7151"/>
    <cellStyle name="20% - 강조색4 4 4 4 2 2" xfId="7152"/>
    <cellStyle name="20% - 강조색4 4 4 4 2 2 2" xfId="7153"/>
    <cellStyle name="20% - 강조색4 4 4 4 2 2 3" xfId="7154"/>
    <cellStyle name="20% - 강조색4 4 4 4 2 3" xfId="7155"/>
    <cellStyle name="20% - 강조색4 4 4 4 2 4" xfId="7156"/>
    <cellStyle name="20% - 강조색4 4 4 4 3" xfId="7157"/>
    <cellStyle name="20% - 강조색4 4 4 4 3 2" xfId="7158"/>
    <cellStyle name="20% - 강조색4 4 4 4 3 3" xfId="7159"/>
    <cellStyle name="20% - 강조색4 4 4 4 4" xfId="7160"/>
    <cellStyle name="20% - 강조색4 4 4 4 5" xfId="7161"/>
    <cellStyle name="20% - 강조색4 4 4 5" xfId="7162"/>
    <cellStyle name="20% - 강조색4 4 4 5 2" xfId="7163"/>
    <cellStyle name="20% - 강조색4 4 4 5 2 2" xfId="7164"/>
    <cellStyle name="20% - 강조색4 4 4 5 2 2 2" xfId="7165"/>
    <cellStyle name="20% - 강조색4 4 4 5 2 2 3" xfId="7166"/>
    <cellStyle name="20% - 강조색4 4 4 5 2 3" xfId="7167"/>
    <cellStyle name="20% - 강조색4 4 4 5 2 4" xfId="7168"/>
    <cellStyle name="20% - 강조색4 4 4 5 3" xfId="7169"/>
    <cellStyle name="20% - 강조색4 4 4 5 3 2" xfId="7170"/>
    <cellStyle name="20% - 강조색4 4 4 5 3 3" xfId="7171"/>
    <cellStyle name="20% - 강조색4 4 4 5 4" xfId="7172"/>
    <cellStyle name="20% - 강조색4 4 4 5 5" xfId="7173"/>
    <cellStyle name="20% - 강조색4 4 4 6" xfId="7174"/>
    <cellStyle name="20% - 강조색4 4 4 6 2" xfId="7175"/>
    <cellStyle name="20% - 강조색4 4 4 6 2 2" xfId="7176"/>
    <cellStyle name="20% - 강조색4 4 4 6 2 2 2" xfId="7177"/>
    <cellStyle name="20% - 강조색4 4 4 6 2 2 3" xfId="7178"/>
    <cellStyle name="20% - 강조색4 4 4 6 2 3" xfId="7179"/>
    <cellStyle name="20% - 강조색4 4 4 6 2 4" xfId="7180"/>
    <cellStyle name="20% - 강조색4 4 4 6 3" xfId="7181"/>
    <cellStyle name="20% - 강조색4 4 4 6 3 2" xfId="7182"/>
    <cellStyle name="20% - 강조색4 4 4 6 3 3" xfId="7183"/>
    <cellStyle name="20% - 강조색4 4 4 6 4" xfId="7184"/>
    <cellStyle name="20% - 강조색4 4 4 6 5" xfId="7185"/>
    <cellStyle name="20% - 강조색4 4 4 7" xfId="7186"/>
    <cellStyle name="20% - 강조색4 4 4 7 2" xfId="7187"/>
    <cellStyle name="20% - 강조색4 4 4 7 2 2" xfId="7188"/>
    <cellStyle name="20% - 강조색4 4 4 7 2 3" xfId="7189"/>
    <cellStyle name="20% - 강조색4 4 4 7 3" xfId="7190"/>
    <cellStyle name="20% - 강조색4 4 4 7 4" xfId="7191"/>
    <cellStyle name="20% - 강조색4 4 4 8" xfId="7192"/>
    <cellStyle name="20% - 강조색4 4 4 8 2" xfId="7193"/>
    <cellStyle name="20% - 강조색4 4 4 8 3" xfId="7194"/>
    <cellStyle name="20% - 강조색4 4 4 9" xfId="7195"/>
    <cellStyle name="20% - 강조색4 4 5" xfId="7196"/>
    <cellStyle name="20% - 강조색4 4 5 2" xfId="7197"/>
    <cellStyle name="20% - 강조색4 4 5 2 2" xfId="7198"/>
    <cellStyle name="20% - 강조색4 4 5 2 2 2" xfId="7199"/>
    <cellStyle name="20% - 강조색4 4 5 2 2 2 2" xfId="7200"/>
    <cellStyle name="20% - 강조색4 4 5 2 2 2 3" xfId="7201"/>
    <cellStyle name="20% - 강조색4 4 5 2 2 3" xfId="7202"/>
    <cellStyle name="20% - 강조색4 4 5 2 2 4" xfId="7203"/>
    <cellStyle name="20% - 강조색4 4 5 2 3" xfId="7204"/>
    <cellStyle name="20% - 강조색4 4 5 2 3 2" xfId="7205"/>
    <cellStyle name="20% - 강조색4 4 5 2 3 3" xfId="7206"/>
    <cellStyle name="20% - 강조색4 4 5 2 4" xfId="7207"/>
    <cellStyle name="20% - 강조색4 4 5 2 5" xfId="7208"/>
    <cellStyle name="20% - 강조색4 4 5 3" xfId="7209"/>
    <cellStyle name="20% - 강조색4 4 5 3 2" xfId="7210"/>
    <cellStyle name="20% - 강조색4 4 5 3 2 2" xfId="7211"/>
    <cellStyle name="20% - 강조색4 4 5 3 2 2 2" xfId="7212"/>
    <cellStyle name="20% - 강조색4 4 5 3 2 2 3" xfId="7213"/>
    <cellStyle name="20% - 강조색4 4 5 3 2 3" xfId="7214"/>
    <cellStyle name="20% - 강조색4 4 5 3 2 4" xfId="7215"/>
    <cellStyle name="20% - 강조색4 4 5 3 3" xfId="7216"/>
    <cellStyle name="20% - 강조색4 4 5 3 3 2" xfId="7217"/>
    <cellStyle name="20% - 강조색4 4 5 3 3 3" xfId="7218"/>
    <cellStyle name="20% - 강조색4 4 5 3 4" xfId="7219"/>
    <cellStyle name="20% - 강조색4 4 5 3 5" xfId="7220"/>
    <cellStyle name="20% - 강조색4 4 5 4" xfId="7221"/>
    <cellStyle name="20% - 강조색4 4 5 4 2" xfId="7222"/>
    <cellStyle name="20% - 강조색4 4 5 4 2 2" xfId="7223"/>
    <cellStyle name="20% - 강조색4 4 5 4 2 3" xfId="7224"/>
    <cellStyle name="20% - 강조색4 4 5 4 3" xfId="7225"/>
    <cellStyle name="20% - 강조색4 4 5 4 4" xfId="7226"/>
    <cellStyle name="20% - 강조색4 4 5 5" xfId="7227"/>
    <cellStyle name="20% - 강조색4 4 5 5 2" xfId="7228"/>
    <cellStyle name="20% - 강조색4 4 5 5 3" xfId="7229"/>
    <cellStyle name="20% - 강조색4 4 5 6" xfId="7230"/>
    <cellStyle name="20% - 강조색4 4 5 7" xfId="7231"/>
    <cellStyle name="20% - 강조색4 4 6" xfId="7232"/>
    <cellStyle name="20% - 강조색4 4 6 2" xfId="7233"/>
    <cellStyle name="20% - 강조색4 4 6 2 2" xfId="7234"/>
    <cellStyle name="20% - 강조색4 4 6 2 2 2" xfId="7235"/>
    <cellStyle name="20% - 강조색4 4 6 2 2 2 2" xfId="7236"/>
    <cellStyle name="20% - 강조색4 4 6 2 2 2 3" xfId="7237"/>
    <cellStyle name="20% - 강조색4 4 6 2 2 3" xfId="7238"/>
    <cellStyle name="20% - 강조색4 4 6 2 2 4" xfId="7239"/>
    <cellStyle name="20% - 강조색4 4 6 2 3" xfId="7240"/>
    <cellStyle name="20% - 강조색4 4 6 2 3 2" xfId="7241"/>
    <cellStyle name="20% - 강조색4 4 6 2 3 3" xfId="7242"/>
    <cellStyle name="20% - 강조색4 4 6 2 4" xfId="7243"/>
    <cellStyle name="20% - 강조색4 4 6 2 5" xfId="7244"/>
    <cellStyle name="20% - 강조색4 4 6 3" xfId="7245"/>
    <cellStyle name="20% - 강조색4 4 6 3 2" xfId="7246"/>
    <cellStyle name="20% - 강조색4 4 6 3 2 2" xfId="7247"/>
    <cellStyle name="20% - 강조색4 4 6 3 2 2 2" xfId="7248"/>
    <cellStyle name="20% - 강조색4 4 6 3 2 2 3" xfId="7249"/>
    <cellStyle name="20% - 강조색4 4 6 3 2 3" xfId="7250"/>
    <cellStyle name="20% - 강조색4 4 6 3 2 4" xfId="7251"/>
    <cellStyle name="20% - 강조색4 4 6 3 3" xfId="7252"/>
    <cellStyle name="20% - 강조색4 4 6 3 3 2" xfId="7253"/>
    <cellStyle name="20% - 강조색4 4 6 3 3 3" xfId="7254"/>
    <cellStyle name="20% - 강조색4 4 6 3 4" xfId="7255"/>
    <cellStyle name="20% - 강조색4 4 6 3 5" xfId="7256"/>
    <cellStyle name="20% - 강조색4 4 6 4" xfId="7257"/>
    <cellStyle name="20% - 강조색4 4 6 4 2" xfId="7258"/>
    <cellStyle name="20% - 강조색4 4 6 4 2 2" xfId="7259"/>
    <cellStyle name="20% - 강조색4 4 6 4 2 3" xfId="7260"/>
    <cellStyle name="20% - 강조색4 4 6 4 3" xfId="7261"/>
    <cellStyle name="20% - 강조색4 4 6 4 4" xfId="7262"/>
    <cellStyle name="20% - 강조색4 4 6 5" xfId="7263"/>
    <cellStyle name="20% - 강조색4 4 6 5 2" xfId="7264"/>
    <cellStyle name="20% - 강조색4 4 6 5 3" xfId="7265"/>
    <cellStyle name="20% - 강조색4 4 6 6" xfId="7266"/>
    <cellStyle name="20% - 강조색4 4 6 7" xfId="7267"/>
    <cellStyle name="20% - 강조색4 4 7" xfId="7268"/>
    <cellStyle name="20% - 강조색4 4 7 2" xfId="7269"/>
    <cellStyle name="20% - 강조색4 4 7 2 2" xfId="7270"/>
    <cellStyle name="20% - 강조색4 4 7 2 2 2" xfId="7271"/>
    <cellStyle name="20% - 강조색4 4 7 2 2 3" xfId="7272"/>
    <cellStyle name="20% - 강조색4 4 7 2 3" xfId="7273"/>
    <cellStyle name="20% - 강조색4 4 7 2 4" xfId="7274"/>
    <cellStyle name="20% - 강조색4 4 7 3" xfId="7275"/>
    <cellStyle name="20% - 강조색4 4 7 3 2" xfId="7276"/>
    <cellStyle name="20% - 강조색4 4 7 3 3" xfId="7277"/>
    <cellStyle name="20% - 강조색4 4 7 4" xfId="7278"/>
    <cellStyle name="20% - 강조색4 4 7 5" xfId="7279"/>
    <cellStyle name="20% - 강조색4 4 8" xfId="7280"/>
    <cellStyle name="20% - 강조색4 4 8 2" xfId="7281"/>
    <cellStyle name="20% - 강조색4 4 8 2 2" xfId="7282"/>
    <cellStyle name="20% - 강조색4 4 8 2 2 2" xfId="7283"/>
    <cellStyle name="20% - 강조색4 4 8 2 2 3" xfId="7284"/>
    <cellStyle name="20% - 강조색4 4 8 2 3" xfId="7285"/>
    <cellStyle name="20% - 강조색4 4 8 2 4" xfId="7286"/>
    <cellStyle name="20% - 강조색4 4 8 3" xfId="7287"/>
    <cellStyle name="20% - 강조색4 4 8 3 2" xfId="7288"/>
    <cellStyle name="20% - 강조색4 4 8 3 3" xfId="7289"/>
    <cellStyle name="20% - 강조색4 4 8 4" xfId="7290"/>
    <cellStyle name="20% - 강조색4 4 8 5" xfId="7291"/>
    <cellStyle name="20% - 강조색4 4 9" xfId="7292"/>
    <cellStyle name="20% - 강조색4 4 9 2" xfId="7293"/>
    <cellStyle name="20% - 강조색4 4 9 2 2" xfId="7294"/>
    <cellStyle name="20% - 강조색4 4 9 2 2 2" xfId="7295"/>
    <cellStyle name="20% - 강조색4 4 9 2 2 3" xfId="7296"/>
    <cellStyle name="20% - 강조색4 4 9 2 3" xfId="7297"/>
    <cellStyle name="20% - 강조색4 4 9 2 4" xfId="7298"/>
    <cellStyle name="20% - 강조색4 4 9 3" xfId="7299"/>
    <cellStyle name="20% - 강조색4 4 9 3 2" xfId="7300"/>
    <cellStyle name="20% - 강조색4 4 9 3 3" xfId="7301"/>
    <cellStyle name="20% - 강조색4 4 9 4" xfId="7302"/>
    <cellStyle name="20% - 강조색4 4 9 5" xfId="7303"/>
    <cellStyle name="20% - 강조색4 40" xfId="7304"/>
    <cellStyle name="20% - 강조색4 41" xfId="7305"/>
    <cellStyle name="20% - 강조색4 42" xfId="7306"/>
    <cellStyle name="20% - 강조색4 43" xfId="7307"/>
    <cellStyle name="20% - 강조색4 44" xfId="7308"/>
    <cellStyle name="20% - 강조색4 45" xfId="7309"/>
    <cellStyle name="20% - 강조색4 46" xfId="7310"/>
    <cellStyle name="20% - 강조색4 47" xfId="7311"/>
    <cellStyle name="20% - 강조색4 48" xfId="7312"/>
    <cellStyle name="20% - 강조색4 49" xfId="7313"/>
    <cellStyle name="20% - 강조색4 5" xfId="7314"/>
    <cellStyle name="20% - 강조색4 5 10" xfId="7315"/>
    <cellStyle name="20% - 강조색4 5 11" xfId="7316"/>
    <cellStyle name="20% - 강조색4 5 2" xfId="7317"/>
    <cellStyle name="20% - 강조색4 5 2 2" xfId="7318"/>
    <cellStyle name="20% - 강조색4 5 2 2 2" xfId="7319"/>
    <cellStyle name="20% - 강조색4 5 2 2 2 2" xfId="7320"/>
    <cellStyle name="20% - 강조색4 5 2 2 2 2 2" xfId="7321"/>
    <cellStyle name="20% - 강조색4 5 2 2 2 2 3" xfId="7322"/>
    <cellStyle name="20% - 강조색4 5 2 2 2 3" xfId="7323"/>
    <cellStyle name="20% - 강조색4 5 2 2 2 4" xfId="7324"/>
    <cellStyle name="20% - 강조색4 5 2 2 3" xfId="7325"/>
    <cellStyle name="20% - 강조색4 5 2 2 3 2" xfId="7326"/>
    <cellStyle name="20% - 강조색4 5 2 2 3 3" xfId="7327"/>
    <cellStyle name="20% - 강조색4 5 2 2 4" xfId="7328"/>
    <cellStyle name="20% - 강조색4 5 2 2 5" xfId="7329"/>
    <cellStyle name="20% - 강조색4 5 2 3" xfId="7330"/>
    <cellStyle name="20% - 강조색4 5 2 3 2" xfId="7331"/>
    <cellStyle name="20% - 강조색4 5 2 3 2 2" xfId="7332"/>
    <cellStyle name="20% - 강조색4 5 2 3 2 2 2" xfId="7333"/>
    <cellStyle name="20% - 강조색4 5 2 3 2 2 3" xfId="7334"/>
    <cellStyle name="20% - 강조색4 5 2 3 2 3" xfId="7335"/>
    <cellStyle name="20% - 강조색4 5 2 3 2 4" xfId="7336"/>
    <cellStyle name="20% - 강조색4 5 2 3 3" xfId="7337"/>
    <cellStyle name="20% - 강조색4 5 2 3 3 2" xfId="7338"/>
    <cellStyle name="20% - 강조색4 5 2 3 3 3" xfId="7339"/>
    <cellStyle name="20% - 강조색4 5 2 3 4" xfId="7340"/>
    <cellStyle name="20% - 강조색4 5 2 3 5" xfId="7341"/>
    <cellStyle name="20% - 강조색4 5 2 4" xfId="7342"/>
    <cellStyle name="20% - 강조색4 5 2 4 2" xfId="7343"/>
    <cellStyle name="20% - 강조색4 5 2 4 2 2" xfId="7344"/>
    <cellStyle name="20% - 강조색4 5 2 4 2 3" xfId="7345"/>
    <cellStyle name="20% - 강조색4 5 2 4 3" xfId="7346"/>
    <cellStyle name="20% - 강조색4 5 2 4 4" xfId="7347"/>
    <cellStyle name="20% - 강조색4 5 2 5" xfId="7348"/>
    <cellStyle name="20% - 강조색4 5 2 5 2" xfId="7349"/>
    <cellStyle name="20% - 강조색4 5 2 5 3" xfId="7350"/>
    <cellStyle name="20% - 강조색4 5 2 6" xfId="7351"/>
    <cellStyle name="20% - 강조색4 5 2 7" xfId="7352"/>
    <cellStyle name="20% - 강조색4 5 3" xfId="7353"/>
    <cellStyle name="20% - 강조색4 5 3 2" xfId="7354"/>
    <cellStyle name="20% - 강조색4 5 3 2 2" xfId="7355"/>
    <cellStyle name="20% - 강조색4 5 3 2 2 2" xfId="7356"/>
    <cellStyle name="20% - 강조색4 5 3 2 2 2 2" xfId="7357"/>
    <cellStyle name="20% - 강조색4 5 3 2 2 2 3" xfId="7358"/>
    <cellStyle name="20% - 강조색4 5 3 2 2 3" xfId="7359"/>
    <cellStyle name="20% - 강조색4 5 3 2 2 4" xfId="7360"/>
    <cellStyle name="20% - 강조색4 5 3 2 3" xfId="7361"/>
    <cellStyle name="20% - 강조색4 5 3 2 3 2" xfId="7362"/>
    <cellStyle name="20% - 강조색4 5 3 2 3 3" xfId="7363"/>
    <cellStyle name="20% - 강조색4 5 3 2 4" xfId="7364"/>
    <cellStyle name="20% - 강조색4 5 3 2 5" xfId="7365"/>
    <cellStyle name="20% - 강조색4 5 3 3" xfId="7366"/>
    <cellStyle name="20% - 강조색4 5 3 3 2" xfId="7367"/>
    <cellStyle name="20% - 강조색4 5 3 3 2 2" xfId="7368"/>
    <cellStyle name="20% - 강조색4 5 3 3 2 2 2" xfId="7369"/>
    <cellStyle name="20% - 강조색4 5 3 3 2 2 3" xfId="7370"/>
    <cellStyle name="20% - 강조색4 5 3 3 2 3" xfId="7371"/>
    <cellStyle name="20% - 강조색4 5 3 3 2 4" xfId="7372"/>
    <cellStyle name="20% - 강조색4 5 3 3 3" xfId="7373"/>
    <cellStyle name="20% - 강조색4 5 3 3 3 2" xfId="7374"/>
    <cellStyle name="20% - 강조색4 5 3 3 3 3" xfId="7375"/>
    <cellStyle name="20% - 강조색4 5 3 3 4" xfId="7376"/>
    <cellStyle name="20% - 강조색4 5 3 3 5" xfId="7377"/>
    <cellStyle name="20% - 강조색4 5 3 4" xfId="7378"/>
    <cellStyle name="20% - 강조색4 5 3 4 2" xfId="7379"/>
    <cellStyle name="20% - 강조색4 5 3 4 2 2" xfId="7380"/>
    <cellStyle name="20% - 강조색4 5 3 4 2 3" xfId="7381"/>
    <cellStyle name="20% - 강조색4 5 3 4 3" xfId="7382"/>
    <cellStyle name="20% - 강조색4 5 3 4 4" xfId="7383"/>
    <cellStyle name="20% - 강조색4 5 3 5" xfId="7384"/>
    <cellStyle name="20% - 강조색4 5 3 5 2" xfId="7385"/>
    <cellStyle name="20% - 강조색4 5 3 5 3" xfId="7386"/>
    <cellStyle name="20% - 강조색4 5 3 6" xfId="7387"/>
    <cellStyle name="20% - 강조색4 5 3 7" xfId="7388"/>
    <cellStyle name="20% - 강조색4 5 4" xfId="7389"/>
    <cellStyle name="20% - 강조색4 5 4 2" xfId="7390"/>
    <cellStyle name="20% - 강조색4 5 4 2 2" xfId="7391"/>
    <cellStyle name="20% - 강조색4 5 4 2 2 2" xfId="7392"/>
    <cellStyle name="20% - 강조색4 5 4 2 2 3" xfId="7393"/>
    <cellStyle name="20% - 강조색4 5 4 2 3" xfId="7394"/>
    <cellStyle name="20% - 강조색4 5 4 2 4" xfId="7395"/>
    <cellStyle name="20% - 강조색4 5 4 3" xfId="7396"/>
    <cellStyle name="20% - 강조색4 5 4 3 2" xfId="7397"/>
    <cellStyle name="20% - 강조색4 5 4 3 3" xfId="7398"/>
    <cellStyle name="20% - 강조색4 5 4 4" xfId="7399"/>
    <cellStyle name="20% - 강조색4 5 4 5" xfId="7400"/>
    <cellStyle name="20% - 강조색4 5 5" xfId="7401"/>
    <cellStyle name="20% - 강조색4 5 5 2" xfId="7402"/>
    <cellStyle name="20% - 강조색4 5 5 2 2" xfId="7403"/>
    <cellStyle name="20% - 강조색4 5 5 2 2 2" xfId="7404"/>
    <cellStyle name="20% - 강조색4 5 5 2 2 3" xfId="7405"/>
    <cellStyle name="20% - 강조색4 5 5 2 3" xfId="7406"/>
    <cellStyle name="20% - 강조색4 5 5 2 4" xfId="7407"/>
    <cellStyle name="20% - 강조색4 5 5 3" xfId="7408"/>
    <cellStyle name="20% - 강조색4 5 5 3 2" xfId="7409"/>
    <cellStyle name="20% - 강조색4 5 5 3 3" xfId="7410"/>
    <cellStyle name="20% - 강조색4 5 5 4" xfId="7411"/>
    <cellStyle name="20% - 강조색4 5 5 5" xfId="7412"/>
    <cellStyle name="20% - 강조색4 5 6" xfId="7413"/>
    <cellStyle name="20% - 강조색4 5 6 2" xfId="7414"/>
    <cellStyle name="20% - 강조색4 5 6 2 2" xfId="7415"/>
    <cellStyle name="20% - 강조색4 5 6 2 2 2" xfId="7416"/>
    <cellStyle name="20% - 강조색4 5 6 2 2 3" xfId="7417"/>
    <cellStyle name="20% - 강조색4 5 6 2 3" xfId="7418"/>
    <cellStyle name="20% - 강조색4 5 6 2 4" xfId="7419"/>
    <cellStyle name="20% - 강조색4 5 6 3" xfId="7420"/>
    <cellStyle name="20% - 강조색4 5 6 3 2" xfId="7421"/>
    <cellStyle name="20% - 강조색4 5 6 3 3" xfId="7422"/>
    <cellStyle name="20% - 강조색4 5 6 4" xfId="7423"/>
    <cellStyle name="20% - 강조색4 5 6 5" xfId="7424"/>
    <cellStyle name="20% - 강조색4 5 7" xfId="7425"/>
    <cellStyle name="20% - 강조색4 5 7 2" xfId="7426"/>
    <cellStyle name="20% - 강조색4 5 7 2 2" xfId="7427"/>
    <cellStyle name="20% - 강조색4 5 7 2 3" xfId="7428"/>
    <cellStyle name="20% - 강조색4 5 7 3" xfId="7429"/>
    <cellStyle name="20% - 강조색4 5 7 4" xfId="7430"/>
    <cellStyle name="20% - 강조색4 5 8" xfId="7431"/>
    <cellStyle name="20% - 강조색4 5 8 2" xfId="7432"/>
    <cellStyle name="20% - 강조색4 5 8 3" xfId="7433"/>
    <cellStyle name="20% - 강조색4 5 9" xfId="7434"/>
    <cellStyle name="20% - 강조색4 50" xfId="7435"/>
    <cellStyle name="20% - 강조색4 51" xfId="7436"/>
    <cellStyle name="20% - 강조색4 52" xfId="7437"/>
    <cellStyle name="20% - 강조색4 53" xfId="7438"/>
    <cellStyle name="20% - 강조색4 54" xfId="7439"/>
    <cellStyle name="20% - 강조색4 55" xfId="7440"/>
    <cellStyle name="20% - 강조색4 56" xfId="7441"/>
    <cellStyle name="20% - 강조색4 57" xfId="7442"/>
    <cellStyle name="20% - 강조색4 58" xfId="7443"/>
    <cellStyle name="20% - 강조색4 59" xfId="7444"/>
    <cellStyle name="20% - 강조색4 6" xfId="7445"/>
    <cellStyle name="20% - 강조색4 6 10" xfId="7446"/>
    <cellStyle name="20% - 강조색4 6 2" xfId="7447"/>
    <cellStyle name="20% - 강조색4 6 2 2" xfId="7448"/>
    <cellStyle name="20% - 강조색4 6 2 2 2" xfId="7449"/>
    <cellStyle name="20% - 강조색4 6 2 2 2 2" xfId="7450"/>
    <cellStyle name="20% - 강조색4 6 2 2 2 2 2" xfId="7451"/>
    <cellStyle name="20% - 강조색4 6 2 2 2 2 3" xfId="7452"/>
    <cellStyle name="20% - 강조색4 6 2 2 2 3" xfId="7453"/>
    <cellStyle name="20% - 강조색4 6 2 2 2 4" xfId="7454"/>
    <cellStyle name="20% - 강조색4 6 2 2 3" xfId="7455"/>
    <cellStyle name="20% - 강조색4 6 2 2 3 2" xfId="7456"/>
    <cellStyle name="20% - 강조색4 6 2 2 3 3" xfId="7457"/>
    <cellStyle name="20% - 강조색4 6 2 2 4" xfId="7458"/>
    <cellStyle name="20% - 강조색4 6 2 2 5" xfId="7459"/>
    <cellStyle name="20% - 강조색4 6 2 3" xfId="7460"/>
    <cellStyle name="20% - 강조색4 6 2 3 2" xfId="7461"/>
    <cellStyle name="20% - 강조색4 6 2 3 2 2" xfId="7462"/>
    <cellStyle name="20% - 강조색4 6 2 3 2 2 2" xfId="7463"/>
    <cellStyle name="20% - 강조색4 6 2 3 2 2 3" xfId="7464"/>
    <cellStyle name="20% - 강조색4 6 2 3 2 3" xfId="7465"/>
    <cellStyle name="20% - 강조색4 6 2 3 2 4" xfId="7466"/>
    <cellStyle name="20% - 강조색4 6 2 3 3" xfId="7467"/>
    <cellStyle name="20% - 강조색4 6 2 3 3 2" xfId="7468"/>
    <cellStyle name="20% - 강조색4 6 2 3 3 3" xfId="7469"/>
    <cellStyle name="20% - 강조색4 6 2 3 4" xfId="7470"/>
    <cellStyle name="20% - 강조색4 6 2 3 5" xfId="7471"/>
    <cellStyle name="20% - 강조색4 6 2 4" xfId="7472"/>
    <cellStyle name="20% - 강조색4 6 2 4 2" xfId="7473"/>
    <cellStyle name="20% - 강조색4 6 2 4 2 2" xfId="7474"/>
    <cellStyle name="20% - 강조색4 6 2 4 2 3" xfId="7475"/>
    <cellStyle name="20% - 강조색4 6 2 4 3" xfId="7476"/>
    <cellStyle name="20% - 강조색4 6 2 4 4" xfId="7477"/>
    <cellStyle name="20% - 강조색4 6 2 5" xfId="7478"/>
    <cellStyle name="20% - 강조색4 6 2 5 2" xfId="7479"/>
    <cellStyle name="20% - 강조색4 6 2 5 3" xfId="7480"/>
    <cellStyle name="20% - 강조색4 6 2 6" xfId="7481"/>
    <cellStyle name="20% - 강조색4 6 2 7" xfId="7482"/>
    <cellStyle name="20% - 강조색4 6 3" xfId="7483"/>
    <cellStyle name="20% - 강조색4 6 3 2" xfId="7484"/>
    <cellStyle name="20% - 강조색4 6 3 2 2" xfId="7485"/>
    <cellStyle name="20% - 강조색4 6 3 2 2 2" xfId="7486"/>
    <cellStyle name="20% - 강조색4 6 3 2 2 2 2" xfId="7487"/>
    <cellStyle name="20% - 강조색4 6 3 2 2 2 3" xfId="7488"/>
    <cellStyle name="20% - 강조색4 6 3 2 2 3" xfId="7489"/>
    <cellStyle name="20% - 강조색4 6 3 2 2 4" xfId="7490"/>
    <cellStyle name="20% - 강조색4 6 3 2 3" xfId="7491"/>
    <cellStyle name="20% - 강조색4 6 3 2 3 2" xfId="7492"/>
    <cellStyle name="20% - 강조색4 6 3 2 3 3" xfId="7493"/>
    <cellStyle name="20% - 강조색4 6 3 2 4" xfId="7494"/>
    <cellStyle name="20% - 강조색4 6 3 2 5" xfId="7495"/>
    <cellStyle name="20% - 강조색4 6 3 3" xfId="7496"/>
    <cellStyle name="20% - 강조색4 6 3 3 2" xfId="7497"/>
    <cellStyle name="20% - 강조색4 6 3 3 2 2" xfId="7498"/>
    <cellStyle name="20% - 강조색4 6 3 3 2 2 2" xfId="7499"/>
    <cellStyle name="20% - 강조색4 6 3 3 2 2 3" xfId="7500"/>
    <cellStyle name="20% - 강조색4 6 3 3 2 3" xfId="7501"/>
    <cellStyle name="20% - 강조색4 6 3 3 2 4" xfId="7502"/>
    <cellStyle name="20% - 강조색4 6 3 3 3" xfId="7503"/>
    <cellStyle name="20% - 강조색4 6 3 3 3 2" xfId="7504"/>
    <cellStyle name="20% - 강조색4 6 3 3 3 3" xfId="7505"/>
    <cellStyle name="20% - 강조색4 6 3 3 4" xfId="7506"/>
    <cellStyle name="20% - 강조색4 6 3 3 5" xfId="7507"/>
    <cellStyle name="20% - 강조색4 6 3 4" xfId="7508"/>
    <cellStyle name="20% - 강조색4 6 3 4 2" xfId="7509"/>
    <cellStyle name="20% - 강조색4 6 3 4 2 2" xfId="7510"/>
    <cellStyle name="20% - 강조색4 6 3 4 2 3" xfId="7511"/>
    <cellStyle name="20% - 강조색4 6 3 4 3" xfId="7512"/>
    <cellStyle name="20% - 강조색4 6 3 4 4" xfId="7513"/>
    <cellStyle name="20% - 강조색4 6 3 5" xfId="7514"/>
    <cellStyle name="20% - 강조색4 6 3 5 2" xfId="7515"/>
    <cellStyle name="20% - 강조색4 6 3 5 3" xfId="7516"/>
    <cellStyle name="20% - 강조색4 6 3 6" xfId="7517"/>
    <cellStyle name="20% - 강조색4 6 3 7" xfId="7518"/>
    <cellStyle name="20% - 강조색4 6 4" xfId="7519"/>
    <cellStyle name="20% - 강조색4 6 4 2" xfId="7520"/>
    <cellStyle name="20% - 강조색4 6 4 2 2" xfId="7521"/>
    <cellStyle name="20% - 강조색4 6 4 2 2 2" xfId="7522"/>
    <cellStyle name="20% - 강조색4 6 4 2 2 3" xfId="7523"/>
    <cellStyle name="20% - 강조색4 6 4 2 3" xfId="7524"/>
    <cellStyle name="20% - 강조색4 6 4 2 4" xfId="7525"/>
    <cellStyle name="20% - 강조색4 6 4 3" xfId="7526"/>
    <cellStyle name="20% - 강조색4 6 4 3 2" xfId="7527"/>
    <cellStyle name="20% - 강조색4 6 4 3 3" xfId="7528"/>
    <cellStyle name="20% - 강조색4 6 4 4" xfId="7529"/>
    <cellStyle name="20% - 강조색4 6 4 5" xfId="7530"/>
    <cellStyle name="20% - 강조색4 6 5" xfId="7531"/>
    <cellStyle name="20% - 강조색4 6 5 2" xfId="7532"/>
    <cellStyle name="20% - 강조색4 6 5 2 2" xfId="7533"/>
    <cellStyle name="20% - 강조색4 6 5 2 2 2" xfId="7534"/>
    <cellStyle name="20% - 강조색4 6 5 2 2 3" xfId="7535"/>
    <cellStyle name="20% - 강조색4 6 5 2 3" xfId="7536"/>
    <cellStyle name="20% - 강조색4 6 5 2 4" xfId="7537"/>
    <cellStyle name="20% - 강조색4 6 5 3" xfId="7538"/>
    <cellStyle name="20% - 강조색4 6 5 3 2" xfId="7539"/>
    <cellStyle name="20% - 강조색4 6 5 3 3" xfId="7540"/>
    <cellStyle name="20% - 강조색4 6 5 4" xfId="7541"/>
    <cellStyle name="20% - 강조색4 6 5 5" xfId="7542"/>
    <cellStyle name="20% - 강조색4 6 6" xfId="7543"/>
    <cellStyle name="20% - 강조색4 6 6 2" xfId="7544"/>
    <cellStyle name="20% - 강조색4 6 6 2 2" xfId="7545"/>
    <cellStyle name="20% - 강조색4 6 6 2 2 2" xfId="7546"/>
    <cellStyle name="20% - 강조색4 6 6 2 2 3" xfId="7547"/>
    <cellStyle name="20% - 강조색4 6 6 2 3" xfId="7548"/>
    <cellStyle name="20% - 강조색4 6 6 2 4" xfId="7549"/>
    <cellStyle name="20% - 강조색4 6 6 3" xfId="7550"/>
    <cellStyle name="20% - 강조색4 6 6 3 2" xfId="7551"/>
    <cellStyle name="20% - 강조색4 6 6 3 3" xfId="7552"/>
    <cellStyle name="20% - 강조색4 6 6 4" xfId="7553"/>
    <cellStyle name="20% - 강조색4 6 6 5" xfId="7554"/>
    <cellStyle name="20% - 강조색4 6 7" xfId="7555"/>
    <cellStyle name="20% - 강조색4 6 7 2" xfId="7556"/>
    <cellStyle name="20% - 강조색4 6 7 2 2" xfId="7557"/>
    <cellStyle name="20% - 강조색4 6 7 2 3" xfId="7558"/>
    <cellStyle name="20% - 강조색4 6 7 3" xfId="7559"/>
    <cellStyle name="20% - 강조색4 6 7 4" xfId="7560"/>
    <cellStyle name="20% - 강조색4 6 8" xfId="7561"/>
    <cellStyle name="20% - 강조색4 6 8 2" xfId="7562"/>
    <cellStyle name="20% - 강조색4 6 8 3" xfId="7563"/>
    <cellStyle name="20% - 강조색4 6 9" xfId="7564"/>
    <cellStyle name="20% - 강조색4 60" xfId="7565"/>
    <cellStyle name="20% - 강조색4 61" xfId="7566"/>
    <cellStyle name="20% - 강조색4 62" xfId="7567"/>
    <cellStyle name="20% - 강조색4 63" xfId="7568"/>
    <cellStyle name="20% - 강조색4 64" xfId="7569"/>
    <cellStyle name="20% - 강조색4 65" xfId="7570"/>
    <cellStyle name="20% - 강조색4 66" xfId="7571"/>
    <cellStyle name="20% - 강조색4 67" xfId="7572"/>
    <cellStyle name="20% - 강조색4 68" xfId="7573"/>
    <cellStyle name="20% - 강조색4 69" xfId="7574"/>
    <cellStyle name="20% - 강조색4 7" xfId="7575"/>
    <cellStyle name="20% - 강조색4 7 10" xfId="7576"/>
    <cellStyle name="20% - 강조색4 7 2" xfId="7577"/>
    <cellStyle name="20% - 강조색4 7 2 2" xfId="7578"/>
    <cellStyle name="20% - 강조색4 7 2 2 2" xfId="7579"/>
    <cellStyle name="20% - 강조색4 7 2 2 2 2" xfId="7580"/>
    <cellStyle name="20% - 강조색4 7 2 2 2 2 2" xfId="7581"/>
    <cellStyle name="20% - 강조색4 7 2 2 2 2 3" xfId="7582"/>
    <cellStyle name="20% - 강조색4 7 2 2 2 3" xfId="7583"/>
    <cellStyle name="20% - 강조색4 7 2 2 2 4" xfId="7584"/>
    <cellStyle name="20% - 강조색4 7 2 2 3" xfId="7585"/>
    <cellStyle name="20% - 강조색4 7 2 2 3 2" xfId="7586"/>
    <cellStyle name="20% - 강조색4 7 2 2 3 3" xfId="7587"/>
    <cellStyle name="20% - 강조색4 7 2 2 4" xfId="7588"/>
    <cellStyle name="20% - 강조색4 7 2 2 5" xfId="7589"/>
    <cellStyle name="20% - 강조색4 7 2 3" xfId="7590"/>
    <cellStyle name="20% - 강조색4 7 2 3 2" xfId="7591"/>
    <cellStyle name="20% - 강조색4 7 2 3 2 2" xfId="7592"/>
    <cellStyle name="20% - 강조색4 7 2 3 2 2 2" xfId="7593"/>
    <cellStyle name="20% - 강조색4 7 2 3 2 2 3" xfId="7594"/>
    <cellStyle name="20% - 강조색4 7 2 3 2 3" xfId="7595"/>
    <cellStyle name="20% - 강조색4 7 2 3 2 4" xfId="7596"/>
    <cellStyle name="20% - 강조색4 7 2 3 3" xfId="7597"/>
    <cellStyle name="20% - 강조색4 7 2 3 3 2" xfId="7598"/>
    <cellStyle name="20% - 강조색4 7 2 3 3 3" xfId="7599"/>
    <cellStyle name="20% - 강조색4 7 2 3 4" xfId="7600"/>
    <cellStyle name="20% - 강조색4 7 2 3 5" xfId="7601"/>
    <cellStyle name="20% - 강조색4 7 2 4" xfId="7602"/>
    <cellStyle name="20% - 강조색4 7 2 4 2" xfId="7603"/>
    <cellStyle name="20% - 강조색4 7 2 4 2 2" xfId="7604"/>
    <cellStyle name="20% - 강조색4 7 2 4 2 3" xfId="7605"/>
    <cellStyle name="20% - 강조색4 7 2 4 3" xfId="7606"/>
    <cellStyle name="20% - 강조색4 7 2 4 4" xfId="7607"/>
    <cellStyle name="20% - 강조색4 7 2 5" xfId="7608"/>
    <cellStyle name="20% - 강조색4 7 2 5 2" xfId="7609"/>
    <cellStyle name="20% - 강조색4 7 2 5 3" xfId="7610"/>
    <cellStyle name="20% - 강조색4 7 2 6" xfId="7611"/>
    <cellStyle name="20% - 강조색4 7 2 7" xfId="7612"/>
    <cellStyle name="20% - 강조색4 7 3" xfId="7613"/>
    <cellStyle name="20% - 강조색4 7 3 2" xfId="7614"/>
    <cellStyle name="20% - 강조색4 7 3 2 2" xfId="7615"/>
    <cellStyle name="20% - 강조색4 7 3 2 2 2" xfId="7616"/>
    <cellStyle name="20% - 강조색4 7 3 2 2 2 2" xfId="7617"/>
    <cellStyle name="20% - 강조색4 7 3 2 2 2 3" xfId="7618"/>
    <cellStyle name="20% - 강조색4 7 3 2 2 3" xfId="7619"/>
    <cellStyle name="20% - 강조색4 7 3 2 2 4" xfId="7620"/>
    <cellStyle name="20% - 강조색4 7 3 2 3" xfId="7621"/>
    <cellStyle name="20% - 강조색4 7 3 2 3 2" xfId="7622"/>
    <cellStyle name="20% - 강조색4 7 3 2 3 3" xfId="7623"/>
    <cellStyle name="20% - 강조색4 7 3 2 4" xfId="7624"/>
    <cellStyle name="20% - 강조색4 7 3 2 5" xfId="7625"/>
    <cellStyle name="20% - 강조색4 7 3 3" xfId="7626"/>
    <cellStyle name="20% - 강조색4 7 3 3 2" xfId="7627"/>
    <cellStyle name="20% - 강조색4 7 3 3 2 2" xfId="7628"/>
    <cellStyle name="20% - 강조색4 7 3 3 2 2 2" xfId="7629"/>
    <cellStyle name="20% - 강조색4 7 3 3 2 2 3" xfId="7630"/>
    <cellStyle name="20% - 강조색4 7 3 3 2 3" xfId="7631"/>
    <cellStyle name="20% - 강조색4 7 3 3 2 4" xfId="7632"/>
    <cellStyle name="20% - 강조색4 7 3 3 3" xfId="7633"/>
    <cellStyle name="20% - 강조색4 7 3 3 3 2" xfId="7634"/>
    <cellStyle name="20% - 강조색4 7 3 3 3 3" xfId="7635"/>
    <cellStyle name="20% - 강조색4 7 3 3 4" xfId="7636"/>
    <cellStyle name="20% - 강조색4 7 3 3 5" xfId="7637"/>
    <cellStyle name="20% - 강조색4 7 3 4" xfId="7638"/>
    <cellStyle name="20% - 강조색4 7 3 4 2" xfId="7639"/>
    <cellStyle name="20% - 강조색4 7 3 4 2 2" xfId="7640"/>
    <cellStyle name="20% - 강조색4 7 3 4 2 3" xfId="7641"/>
    <cellStyle name="20% - 강조색4 7 3 4 3" xfId="7642"/>
    <cellStyle name="20% - 강조색4 7 3 4 4" xfId="7643"/>
    <cellStyle name="20% - 강조색4 7 3 5" xfId="7644"/>
    <cellStyle name="20% - 강조색4 7 3 5 2" xfId="7645"/>
    <cellStyle name="20% - 강조색4 7 3 5 3" xfId="7646"/>
    <cellStyle name="20% - 강조색4 7 3 6" xfId="7647"/>
    <cellStyle name="20% - 강조색4 7 3 7" xfId="7648"/>
    <cellStyle name="20% - 강조색4 7 4" xfId="7649"/>
    <cellStyle name="20% - 강조색4 7 4 2" xfId="7650"/>
    <cellStyle name="20% - 강조색4 7 4 2 2" xfId="7651"/>
    <cellStyle name="20% - 강조색4 7 4 2 2 2" xfId="7652"/>
    <cellStyle name="20% - 강조색4 7 4 2 2 3" xfId="7653"/>
    <cellStyle name="20% - 강조색4 7 4 2 3" xfId="7654"/>
    <cellStyle name="20% - 강조색4 7 4 2 4" xfId="7655"/>
    <cellStyle name="20% - 강조색4 7 4 3" xfId="7656"/>
    <cellStyle name="20% - 강조색4 7 4 3 2" xfId="7657"/>
    <cellStyle name="20% - 강조색4 7 4 3 3" xfId="7658"/>
    <cellStyle name="20% - 강조색4 7 4 4" xfId="7659"/>
    <cellStyle name="20% - 강조색4 7 4 5" xfId="7660"/>
    <cellStyle name="20% - 강조색4 7 5" xfId="7661"/>
    <cellStyle name="20% - 강조색4 7 5 2" xfId="7662"/>
    <cellStyle name="20% - 강조색4 7 5 2 2" xfId="7663"/>
    <cellStyle name="20% - 강조색4 7 5 2 2 2" xfId="7664"/>
    <cellStyle name="20% - 강조색4 7 5 2 2 3" xfId="7665"/>
    <cellStyle name="20% - 강조색4 7 5 2 3" xfId="7666"/>
    <cellStyle name="20% - 강조색4 7 5 2 4" xfId="7667"/>
    <cellStyle name="20% - 강조색4 7 5 3" xfId="7668"/>
    <cellStyle name="20% - 강조색4 7 5 3 2" xfId="7669"/>
    <cellStyle name="20% - 강조색4 7 5 3 3" xfId="7670"/>
    <cellStyle name="20% - 강조색4 7 5 4" xfId="7671"/>
    <cellStyle name="20% - 강조색4 7 5 5" xfId="7672"/>
    <cellStyle name="20% - 강조색4 7 6" xfId="7673"/>
    <cellStyle name="20% - 강조색4 7 6 2" xfId="7674"/>
    <cellStyle name="20% - 강조색4 7 6 2 2" xfId="7675"/>
    <cellStyle name="20% - 강조색4 7 6 2 2 2" xfId="7676"/>
    <cellStyle name="20% - 강조색4 7 6 2 2 3" xfId="7677"/>
    <cellStyle name="20% - 강조색4 7 6 2 3" xfId="7678"/>
    <cellStyle name="20% - 강조색4 7 6 2 4" xfId="7679"/>
    <cellStyle name="20% - 강조색4 7 6 3" xfId="7680"/>
    <cellStyle name="20% - 강조색4 7 6 3 2" xfId="7681"/>
    <cellStyle name="20% - 강조색4 7 6 3 3" xfId="7682"/>
    <cellStyle name="20% - 강조색4 7 6 4" xfId="7683"/>
    <cellStyle name="20% - 강조색4 7 6 5" xfId="7684"/>
    <cellStyle name="20% - 강조색4 7 7" xfId="7685"/>
    <cellStyle name="20% - 강조색4 7 7 2" xfId="7686"/>
    <cellStyle name="20% - 강조색4 7 7 2 2" xfId="7687"/>
    <cellStyle name="20% - 강조색4 7 7 2 3" xfId="7688"/>
    <cellStyle name="20% - 강조색4 7 7 3" xfId="7689"/>
    <cellStyle name="20% - 강조색4 7 7 4" xfId="7690"/>
    <cellStyle name="20% - 강조색4 7 8" xfId="7691"/>
    <cellStyle name="20% - 강조색4 7 8 2" xfId="7692"/>
    <cellStyle name="20% - 강조색4 7 8 3" xfId="7693"/>
    <cellStyle name="20% - 강조색4 7 9" xfId="7694"/>
    <cellStyle name="20% - 강조색4 8" xfId="7695"/>
    <cellStyle name="20% - 강조색4 8 2" xfId="7696"/>
    <cellStyle name="20% - 강조색4 8 2 2" xfId="7697"/>
    <cellStyle name="20% - 강조색4 8 2 2 2" xfId="7698"/>
    <cellStyle name="20% - 강조색4 8 2 2 2 2" xfId="7699"/>
    <cellStyle name="20% - 강조색4 8 2 2 2 3" xfId="7700"/>
    <cellStyle name="20% - 강조색4 8 2 2 3" xfId="7701"/>
    <cellStyle name="20% - 강조색4 8 2 2 4" xfId="7702"/>
    <cellStyle name="20% - 강조색4 8 2 3" xfId="7703"/>
    <cellStyle name="20% - 강조색4 8 2 3 2" xfId="7704"/>
    <cellStyle name="20% - 강조색4 8 2 3 3" xfId="7705"/>
    <cellStyle name="20% - 강조색4 8 2 4" xfId="7706"/>
    <cellStyle name="20% - 강조색4 8 2 5" xfId="7707"/>
    <cellStyle name="20% - 강조색4 8 3" xfId="7708"/>
    <cellStyle name="20% - 강조색4 8 3 2" xfId="7709"/>
    <cellStyle name="20% - 강조색4 8 3 2 2" xfId="7710"/>
    <cellStyle name="20% - 강조색4 8 3 2 2 2" xfId="7711"/>
    <cellStyle name="20% - 강조색4 8 3 2 2 3" xfId="7712"/>
    <cellStyle name="20% - 강조색4 8 3 2 3" xfId="7713"/>
    <cellStyle name="20% - 강조색4 8 3 2 4" xfId="7714"/>
    <cellStyle name="20% - 강조색4 8 3 3" xfId="7715"/>
    <cellStyle name="20% - 강조색4 8 3 3 2" xfId="7716"/>
    <cellStyle name="20% - 강조색4 8 3 3 3" xfId="7717"/>
    <cellStyle name="20% - 강조색4 8 3 4" xfId="7718"/>
    <cellStyle name="20% - 강조색4 8 3 5" xfId="7719"/>
    <cellStyle name="20% - 강조색4 8 4" xfId="7720"/>
    <cellStyle name="20% - 강조색4 8 4 2" xfId="7721"/>
    <cellStyle name="20% - 강조색4 8 4 2 2" xfId="7722"/>
    <cellStyle name="20% - 강조색4 8 4 2 3" xfId="7723"/>
    <cellStyle name="20% - 강조색4 8 4 3" xfId="7724"/>
    <cellStyle name="20% - 강조색4 8 4 4" xfId="7725"/>
    <cellStyle name="20% - 강조색4 8 5" xfId="7726"/>
    <cellStyle name="20% - 강조색4 8 5 2" xfId="7727"/>
    <cellStyle name="20% - 강조색4 8 5 3" xfId="7728"/>
    <cellStyle name="20% - 강조색4 8 6" xfId="7729"/>
    <cellStyle name="20% - 강조색4 8 7" xfId="7730"/>
    <cellStyle name="20% - 강조색4 9" xfId="7731"/>
    <cellStyle name="20% - 강조색4 9 2" xfId="7732"/>
    <cellStyle name="20% - 강조색4 9 2 2" xfId="7733"/>
    <cellStyle name="20% - 강조색4 9 2 2 2" xfId="7734"/>
    <cellStyle name="20% - 강조색4 9 2 2 2 2" xfId="7735"/>
    <cellStyle name="20% - 강조색4 9 2 2 2 3" xfId="7736"/>
    <cellStyle name="20% - 강조색4 9 2 2 3" xfId="7737"/>
    <cellStyle name="20% - 강조색4 9 2 2 4" xfId="7738"/>
    <cellStyle name="20% - 강조색4 9 2 3" xfId="7739"/>
    <cellStyle name="20% - 강조색4 9 2 3 2" xfId="7740"/>
    <cellStyle name="20% - 강조색4 9 2 3 3" xfId="7741"/>
    <cellStyle name="20% - 강조색4 9 2 4" xfId="7742"/>
    <cellStyle name="20% - 강조색4 9 2 5" xfId="7743"/>
    <cellStyle name="20% - 강조색4 9 3" xfId="7744"/>
    <cellStyle name="20% - 강조색4 9 3 2" xfId="7745"/>
    <cellStyle name="20% - 강조색4 9 3 2 2" xfId="7746"/>
    <cellStyle name="20% - 강조색4 9 3 2 2 2" xfId="7747"/>
    <cellStyle name="20% - 강조색4 9 3 2 2 3" xfId="7748"/>
    <cellStyle name="20% - 강조색4 9 3 2 3" xfId="7749"/>
    <cellStyle name="20% - 강조색4 9 3 2 4" xfId="7750"/>
    <cellStyle name="20% - 강조색4 9 3 3" xfId="7751"/>
    <cellStyle name="20% - 강조색4 9 3 3 2" xfId="7752"/>
    <cellStyle name="20% - 강조색4 9 3 3 3" xfId="7753"/>
    <cellStyle name="20% - 강조색4 9 3 4" xfId="7754"/>
    <cellStyle name="20% - 강조색4 9 3 5" xfId="7755"/>
    <cellStyle name="20% - 강조색4 9 4" xfId="7756"/>
    <cellStyle name="20% - 강조색4 9 4 2" xfId="7757"/>
    <cellStyle name="20% - 강조색4 9 4 2 2" xfId="7758"/>
    <cellStyle name="20% - 강조색4 9 4 2 3" xfId="7759"/>
    <cellStyle name="20% - 강조색4 9 4 3" xfId="7760"/>
    <cellStyle name="20% - 강조색4 9 4 4" xfId="7761"/>
    <cellStyle name="20% - 강조색4 9 5" xfId="7762"/>
    <cellStyle name="20% - 강조색4 9 5 2" xfId="7763"/>
    <cellStyle name="20% - 강조색4 9 5 3" xfId="7764"/>
    <cellStyle name="20% - 강조색4 9 6" xfId="7765"/>
    <cellStyle name="20% - 강조색4 9 7" xfId="7766"/>
    <cellStyle name="20% - 강조색5 10" xfId="7767"/>
    <cellStyle name="20% - 강조색5 10 2" xfId="7768"/>
    <cellStyle name="20% - 강조색5 10 2 2" xfId="7769"/>
    <cellStyle name="20% - 강조색5 10 2 2 2" xfId="7770"/>
    <cellStyle name="20% - 강조색5 10 2 2 2 2" xfId="7771"/>
    <cellStyle name="20% - 강조색5 10 2 2 2 3" xfId="7772"/>
    <cellStyle name="20% - 강조색5 10 2 2 3" xfId="7773"/>
    <cellStyle name="20% - 강조색5 10 2 2 4" xfId="7774"/>
    <cellStyle name="20% - 강조색5 10 2 3" xfId="7775"/>
    <cellStyle name="20% - 강조색5 10 2 3 2" xfId="7776"/>
    <cellStyle name="20% - 강조색5 10 2 3 3" xfId="7777"/>
    <cellStyle name="20% - 강조색5 10 2 4" xfId="7778"/>
    <cellStyle name="20% - 강조색5 10 2 5" xfId="7779"/>
    <cellStyle name="20% - 강조색5 10 3" xfId="7780"/>
    <cellStyle name="20% - 강조색5 10 3 2" xfId="7781"/>
    <cellStyle name="20% - 강조색5 10 3 2 2" xfId="7782"/>
    <cellStyle name="20% - 강조색5 10 3 2 2 2" xfId="7783"/>
    <cellStyle name="20% - 강조색5 10 3 2 2 3" xfId="7784"/>
    <cellStyle name="20% - 강조색5 10 3 2 3" xfId="7785"/>
    <cellStyle name="20% - 강조색5 10 3 2 4" xfId="7786"/>
    <cellStyle name="20% - 강조색5 10 3 3" xfId="7787"/>
    <cellStyle name="20% - 강조색5 10 3 3 2" xfId="7788"/>
    <cellStyle name="20% - 강조색5 10 3 3 3" xfId="7789"/>
    <cellStyle name="20% - 강조색5 10 3 4" xfId="7790"/>
    <cellStyle name="20% - 강조색5 10 3 5" xfId="7791"/>
    <cellStyle name="20% - 강조색5 10 4" xfId="7792"/>
    <cellStyle name="20% - 강조색5 10 4 2" xfId="7793"/>
    <cellStyle name="20% - 강조색5 10 4 2 2" xfId="7794"/>
    <cellStyle name="20% - 강조색5 10 4 2 3" xfId="7795"/>
    <cellStyle name="20% - 강조색5 10 4 3" xfId="7796"/>
    <cellStyle name="20% - 강조색5 10 4 4" xfId="7797"/>
    <cellStyle name="20% - 강조색5 10 5" xfId="7798"/>
    <cellStyle name="20% - 강조색5 10 5 2" xfId="7799"/>
    <cellStyle name="20% - 강조색5 10 5 3" xfId="7800"/>
    <cellStyle name="20% - 강조색5 10 6" xfId="7801"/>
    <cellStyle name="20% - 강조색5 10 7" xfId="7802"/>
    <cellStyle name="20% - 강조색5 11" xfId="7803"/>
    <cellStyle name="20% - 강조색5 11 2" xfId="7804"/>
    <cellStyle name="20% - 강조색5 11 2 2" xfId="7805"/>
    <cellStyle name="20% - 강조색5 11 2 2 2" xfId="7806"/>
    <cellStyle name="20% - 강조색5 11 2 2 3" xfId="7807"/>
    <cellStyle name="20% - 강조색5 11 2 3" xfId="7808"/>
    <cellStyle name="20% - 강조색5 11 2 4" xfId="7809"/>
    <cellStyle name="20% - 강조색5 11 3" xfId="7810"/>
    <cellStyle name="20% - 강조색5 11 3 2" xfId="7811"/>
    <cellStyle name="20% - 강조색5 11 3 3" xfId="7812"/>
    <cellStyle name="20% - 강조색5 11 4" xfId="7813"/>
    <cellStyle name="20% - 강조색5 11 5" xfId="7814"/>
    <cellStyle name="20% - 강조색5 12" xfId="7815"/>
    <cellStyle name="20% - 강조색5 12 2" xfId="7816"/>
    <cellStyle name="20% - 강조색5 12 2 2" xfId="7817"/>
    <cellStyle name="20% - 강조색5 12 2 2 2" xfId="7818"/>
    <cellStyle name="20% - 강조색5 12 2 2 3" xfId="7819"/>
    <cellStyle name="20% - 강조색5 12 2 3" xfId="7820"/>
    <cellStyle name="20% - 강조색5 12 2 4" xfId="7821"/>
    <cellStyle name="20% - 강조색5 12 3" xfId="7822"/>
    <cellStyle name="20% - 강조색5 12 3 2" xfId="7823"/>
    <cellStyle name="20% - 강조색5 12 3 3" xfId="7824"/>
    <cellStyle name="20% - 강조색5 12 4" xfId="7825"/>
    <cellStyle name="20% - 강조색5 12 5" xfId="7826"/>
    <cellStyle name="20% - 강조색5 13" xfId="7827"/>
    <cellStyle name="20% - 강조색5 13 2" xfId="7828"/>
    <cellStyle name="20% - 강조색5 13 2 2" xfId="7829"/>
    <cellStyle name="20% - 강조색5 13 2 3" xfId="7830"/>
    <cellStyle name="20% - 강조색5 13 3" xfId="7831"/>
    <cellStyle name="20% - 강조색5 13 4" xfId="7832"/>
    <cellStyle name="20% - 강조색5 14" xfId="7833"/>
    <cellStyle name="20% - 강조색5 14 2" xfId="7834"/>
    <cellStyle name="20% - 강조색5 14 2 2" xfId="7835"/>
    <cellStyle name="20% - 강조색5 14 2 3" xfId="7836"/>
    <cellStyle name="20% - 강조색5 14 3" xfId="7837"/>
    <cellStyle name="20% - 강조색5 14 4" xfId="7838"/>
    <cellStyle name="20% - 강조색5 15" xfId="7839"/>
    <cellStyle name="20% - 강조색5 15 2" xfId="7840"/>
    <cellStyle name="20% - 강조색5 15 3" xfId="7841"/>
    <cellStyle name="20% - 강조색5 16" xfId="7842"/>
    <cellStyle name="20% - 강조색5 16 2" xfId="7843"/>
    <cellStyle name="20% - 강조색5 16 3" xfId="7844"/>
    <cellStyle name="20% - 강조색5 16 4" xfId="7845"/>
    <cellStyle name="20% - 강조색5 17" xfId="7846"/>
    <cellStyle name="20% - 강조색5 17 2" xfId="7847"/>
    <cellStyle name="20% - 강조색5 17 3" xfId="7848"/>
    <cellStyle name="20% - 강조색5 18" xfId="7849"/>
    <cellStyle name="20% - 강조색5 18 2" xfId="7850"/>
    <cellStyle name="20% - 강조색5 18 3" xfId="7851"/>
    <cellStyle name="20% - 강조색5 19" xfId="7852"/>
    <cellStyle name="20% - 강조색5 19 2" xfId="7853"/>
    <cellStyle name="20% - 강조색5 19 3" xfId="7854"/>
    <cellStyle name="20% - 강조색5 2" xfId="7855"/>
    <cellStyle name="20% - 강조색5 2 2" xfId="7856"/>
    <cellStyle name="20% - 강조색5 2 2 2" xfId="7857"/>
    <cellStyle name="20% - 강조색5 2 2 2 2" xfId="7858"/>
    <cellStyle name="20% - 강조색5 2 2 3" xfId="7859"/>
    <cellStyle name="20% - 강조색5 2 3" xfId="7860"/>
    <cellStyle name="20% - 강조색5 2 3 2" xfId="7861"/>
    <cellStyle name="20% - 강조색5 2 3 2 2" xfId="7862"/>
    <cellStyle name="20% - 강조색5 2 3 3" xfId="7863"/>
    <cellStyle name="20% - 강조색5 2 4" xfId="7864"/>
    <cellStyle name="20% - 강조색5 2 4 2" xfId="7865"/>
    <cellStyle name="20% - 강조색5 2 5" xfId="7866"/>
    <cellStyle name="20% - 강조색5 2 6" xfId="7867"/>
    <cellStyle name="20% - 강조색5 20" xfId="7868"/>
    <cellStyle name="20% - 강조색5 20 2" xfId="7869"/>
    <cellStyle name="20% - 강조색5 20 3" xfId="7870"/>
    <cellStyle name="20% - 강조색5 21" xfId="7871"/>
    <cellStyle name="20% - 강조색5 21 2" xfId="7872"/>
    <cellStyle name="20% - 강조색5 21 3" xfId="7873"/>
    <cellStyle name="20% - 강조색5 22" xfId="7874"/>
    <cellStyle name="20% - 강조색5 22 2" xfId="7875"/>
    <cellStyle name="20% - 강조색5 22 3" xfId="7876"/>
    <cellStyle name="20% - 강조색5 23" xfId="7877"/>
    <cellStyle name="20% - 강조색5 23 2" xfId="7878"/>
    <cellStyle name="20% - 강조색5 23 3" xfId="7879"/>
    <cellStyle name="20% - 강조색5 24" xfId="7880"/>
    <cellStyle name="20% - 강조색5 24 2" xfId="7881"/>
    <cellStyle name="20% - 강조색5 25" xfId="7882"/>
    <cellStyle name="20% - 강조색5 25 2" xfId="7883"/>
    <cellStyle name="20% - 강조색5 26" xfId="7884"/>
    <cellStyle name="20% - 강조색5 26 2" xfId="7885"/>
    <cellStyle name="20% - 강조색5 27" xfId="7886"/>
    <cellStyle name="20% - 강조색5 27 2" xfId="7887"/>
    <cellStyle name="20% - 강조색5 28" xfId="7888"/>
    <cellStyle name="20% - 강조색5 28 2" xfId="7889"/>
    <cellStyle name="20% - 강조색5 29" xfId="7890"/>
    <cellStyle name="20% - 강조색5 29 2" xfId="7891"/>
    <cellStyle name="20% - 강조색5 3" xfId="7892"/>
    <cellStyle name="20% - 강조색5 3 10" xfId="7893"/>
    <cellStyle name="20% - 강조색5 3 10 2" xfId="7894"/>
    <cellStyle name="20% - 강조색5 3 10 2 2" xfId="7895"/>
    <cellStyle name="20% - 강조색5 3 10 2 3" xfId="7896"/>
    <cellStyle name="20% - 강조색5 3 10 3" xfId="7897"/>
    <cellStyle name="20% - 강조색5 3 10 4" xfId="7898"/>
    <cellStyle name="20% - 강조색5 3 11" xfId="7899"/>
    <cellStyle name="20% - 강조색5 3 11 2" xfId="7900"/>
    <cellStyle name="20% - 강조색5 3 11 3" xfId="7901"/>
    <cellStyle name="20% - 강조색5 3 12" xfId="7902"/>
    <cellStyle name="20% - 강조색5 3 13" xfId="7903"/>
    <cellStyle name="20% - 강조색5 3 14" xfId="7904"/>
    <cellStyle name="20% - 강조색5 3 15" xfId="7905"/>
    <cellStyle name="20% - 강조색5 3 2" xfId="7906"/>
    <cellStyle name="20% - 강조색5 3 2 10" xfId="7907"/>
    <cellStyle name="20% - 강조색5 3 2 11" xfId="7908"/>
    <cellStyle name="20% - 강조색5 3 2 12" xfId="7909"/>
    <cellStyle name="20% - 강조색5 3 2 2" xfId="7910"/>
    <cellStyle name="20% - 강조색5 3 2 2 2" xfId="7911"/>
    <cellStyle name="20% - 강조색5 3 2 2 2 2" xfId="7912"/>
    <cellStyle name="20% - 강조색5 3 2 2 2 2 2" xfId="7913"/>
    <cellStyle name="20% - 강조색5 3 2 2 2 2 2 2" xfId="7914"/>
    <cellStyle name="20% - 강조색5 3 2 2 2 2 2 3" xfId="7915"/>
    <cellStyle name="20% - 강조색5 3 2 2 2 2 3" xfId="7916"/>
    <cellStyle name="20% - 강조색5 3 2 2 2 2 4" xfId="7917"/>
    <cellStyle name="20% - 강조색5 3 2 2 2 3" xfId="7918"/>
    <cellStyle name="20% - 강조색5 3 2 2 2 3 2" xfId="7919"/>
    <cellStyle name="20% - 강조색5 3 2 2 2 3 3" xfId="7920"/>
    <cellStyle name="20% - 강조색5 3 2 2 2 4" xfId="7921"/>
    <cellStyle name="20% - 강조색5 3 2 2 2 5" xfId="7922"/>
    <cellStyle name="20% - 강조색5 3 2 2 3" xfId="7923"/>
    <cellStyle name="20% - 강조색5 3 2 2 3 2" xfId="7924"/>
    <cellStyle name="20% - 강조색5 3 2 2 3 2 2" xfId="7925"/>
    <cellStyle name="20% - 강조색5 3 2 2 3 2 2 2" xfId="7926"/>
    <cellStyle name="20% - 강조색5 3 2 2 3 2 2 3" xfId="7927"/>
    <cellStyle name="20% - 강조색5 3 2 2 3 2 3" xfId="7928"/>
    <cellStyle name="20% - 강조색5 3 2 2 3 2 4" xfId="7929"/>
    <cellStyle name="20% - 강조색5 3 2 2 3 3" xfId="7930"/>
    <cellStyle name="20% - 강조색5 3 2 2 3 3 2" xfId="7931"/>
    <cellStyle name="20% - 강조색5 3 2 2 3 3 3" xfId="7932"/>
    <cellStyle name="20% - 강조색5 3 2 2 3 4" xfId="7933"/>
    <cellStyle name="20% - 강조색5 3 2 2 3 5" xfId="7934"/>
    <cellStyle name="20% - 강조색5 3 2 2 4" xfId="7935"/>
    <cellStyle name="20% - 강조색5 3 2 2 4 2" xfId="7936"/>
    <cellStyle name="20% - 강조색5 3 2 2 4 2 2" xfId="7937"/>
    <cellStyle name="20% - 강조색5 3 2 2 4 2 3" xfId="7938"/>
    <cellStyle name="20% - 강조색5 3 2 2 4 3" xfId="7939"/>
    <cellStyle name="20% - 강조색5 3 2 2 4 4" xfId="7940"/>
    <cellStyle name="20% - 강조색5 3 2 2 5" xfId="7941"/>
    <cellStyle name="20% - 강조색5 3 2 2 5 2" xfId="7942"/>
    <cellStyle name="20% - 강조색5 3 2 2 5 3" xfId="7943"/>
    <cellStyle name="20% - 강조색5 3 2 2 6" xfId="7944"/>
    <cellStyle name="20% - 강조색5 3 2 2 7" xfId="7945"/>
    <cellStyle name="20% - 강조색5 3 2 2 8" xfId="7946"/>
    <cellStyle name="20% - 강조색5 3 2 2 9" xfId="7947"/>
    <cellStyle name="20% - 강조색5 3 2 3" xfId="7948"/>
    <cellStyle name="20% - 강조색5 3 2 3 2" xfId="7949"/>
    <cellStyle name="20% - 강조색5 3 2 3 2 2" xfId="7950"/>
    <cellStyle name="20% - 강조색5 3 2 3 2 2 2" xfId="7951"/>
    <cellStyle name="20% - 강조색5 3 2 3 2 2 2 2" xfId="7952"/>
    <cellStyle name="20% - 강조색5 3 2 3 2 2 2 3" xfId="7953"/>
    <cellStyle name="20% - 강조색5 3 2 3 2 2 3" xfId="7954"/>
    <cellStyle name="20% - 강조색5 3 2 3 2 2 4" xfId="7955"/>
    <cellStyle name="20% - 강조색5 3 2 3 2 3" xfId="7956"/>
    <cellStyle name="20% - 강조색5 3 2 3 2 3 2" xfId="7957"/>
    <cellStyle name="20% - 강조색5 3 2 3 2 3 3" xfId="7958"/>
    <cellStyle name="20% - 강조색5 3 2 3 2 4" xfId="7959"/>
    <cellStyle name="20% - 강조색5 3 2 3 2 5" xfId="7960"/>
    <cellStyle name="20% - 강조색5 3 2 3 3" xfId="7961"/>
    <cellStyle name="20% - 강조색5 3 2 3 3 2" xfId="7962"/>
    <cellStyle name="20% - 강조색5 3 2 3 3 2 2" xfId="7963"/>
    <cellStyle name="20% - 강조색5 3 2 3 3 2 2 2" xfId="7964"/>
    <cellStyle name="20% - 강조색5 3 2 3 3 2 2 3" xfId="7965"/>
    <cellStyle name="20% - 강조색5 3 2 3 3 2 3" xfId="7966"/>
    <cellStyle name="20% - 강조색5 3 2 3 3 2 4" xfId="7967"/>
    <cellStyle name="20% - 강조색5 3 2 3 3 3" xfId="7968"/>
    <cellStyle name="20% - 강조색5 3 2 3 3 3 2" xfId="7969"/>
    <cellStyle name="20% - 강조색5 3 2 3 3 3 3" xfId="7970"/>
    <cellStyle name="20% - 강조색5 3 2 3 3 4" xfId="7971"/>
    <cellStyle name="20% - 강조색5 3 2 3 3 5" xfId="7972"/>
    <cellStyle name="20% - 강조색5 3 2 3 4" xfId="7973"/>
    <cellStyle name="20% - 강조색5 3 2 3 4 2" xfId="7974"/>
    <cellStyle name="20% - 강조색5 3 2 3 4 2 2" xfId="7975"/>
    <cellStyle name="20% - 강조색5 3 2 3 4 2 3" xfId="7976"/>
    <cellStyle name="20% - 강조색5 3 2 3 4 3" xfId="7977"/>
    <cellStyle name="20% - 강조색5 3 2 3 4 4" xfId="7978"/>
    <cellStyle name="20% - 강조색5 3 2 3 5" xfId="7979"/>
    <cellStyle name="20% - 강조색5 3 2 3 5 2" xfId="7980"/>
    <cellStyle name="20% - 강조색5 3 2 3 5 3" xfId="7981"/>
    <cellStyle name="20% - 강조색5 3 2 3 6" xfId="7982"/>
    <cellStyle name="20% - 강조색5 3 2 3 7" xfId="7983"/>
    <cellStyle name="20% - 강조색5 3 2 4" xfId="7984"/>
    <cellStyle name="20% - 강조색5 3 2 4 2" xfId="7985"/>
    <cellStyle name="20% - 강조색5 3 2 4 2 2" xfId="7986"/>
    <cellStyle name="20% - 강조색5 3 2 4 2 2 2" xfId="7987"/>
    <cellStyle name="20% - 강조색5 3 2 4 2 2 3" xfId="7988"/>
    <cellStyle name="20% - 강조색5 3 2 4 2 3" xfId="7989"/>
    <cellStyle name="20% - 강조색5 3 2 4 2 4" xfId="7990"/>
    <cellStyle name="20% - 강조색5 3 2 4 3" xfId="7991"/>
    <cellStyle name="20% - 강조색5 3 2 4 3 2" xfId="7992"/>
    <cellStyle name="20% - 강조색5 3 2 4 3 3" xfId="7993"/>
    <cellStyle name="20% - 강조색5 3 2 4 4" xfId="7994"/>
    <cellStyle name="20% - 강조색5 3 2 4 5" xfId="7995"/>
    <cellStyle name="20% - 강조색5 3 2 5" xfId="7996"/>
    <cellStyle name="20% - 강조색5 3 2 5 2" xfId="7997"/>
    <cellStyle name="20% - 강조색5 3 2 5 2 2" xfId="7998"/>
    <cellStyle name="20% - 강조색5 3 2 5 2 2 2" xfId="7999"/>
    <cellStyle name="20% - 강조색5 3 2 5 2 2 3" xfId="8000"/>
    <cellStyle name="20% - 강조색5 3 2 5 2 3" xfId="8001"/>
    <cellStyle name="20% - 강조색5 3 2 5 2 4" xfId="8002"/>
    <cellStyle name="20% - 강조색5 3 2 5 3" xfId="8003"/>
    <cellStyle name="20% - 강조색5 3 2 5 3 2" xfId="8004"/>
    <cellStyle name="20% - 강조색5 3 2 5 3 3" xfId="8005"/>
    <cellStyle name="20% - 강조색5 3 2 5 4" xfId="8006"/>
    <cellStyle name="20% - 강조색5 3 2 5 5" xfId="8007"/>
    <cellStyle name="20% - 강조색5 3 2 6" xfId="8008"/>
    <cellStyle name="20% - 강조색5 3 2 6 2" xfId="8009"/>
    <cellStyle name="20% - 강조색5 3 2 6 2 2" xfId="8010"/>
    <cellStyle name="20% - 강조색5 3 2 6 2 2 2" xfId="8011"/>
    <cellStyle name="20% - 강조색5 3 2 6 2 2 3" xfId="8012"/>
    <cellStyle name="20% - 강조색5 3 2 6 2 3" xfId="8013"/>
    <cellStyle name="20% - 강조색5 3 2 6 2 4" xfId="8014"/>
    <cellStyle name="20% - 강조색5 3 2 6 3" xfId="8015"/>
    <cellStyle name="20% - 강조색5 3 2 6 3 2" xfId="8016"/>
    <cellStyle name="20% - 강조색5 3 2 6 3 3" xfId="8017"/>
    <cellStyle name="20% - 강조색5 3 2 6 4" xfId="8018"/>
    <cellStyle name="20% - 강조색5 3 2 6 5" xfId="8019"/>
    <cellStyle name="20% - 강조색5 3 2 7" xfId="8020"/>
    <cellStyle name="20% - 강조색5 3 2 7 2" xfId="8021"/>
    <cellStyle name="20% - 강조색5 3 2 7 2 2" xfId="8022"/>
    <cellStyle name="20% - 강조색5 3 2 7 2 3" xfId="8023"/>
    <cellStyle name="20% - 강조색5 3 2 7 3" xfId="8024"/>
    <cellStyle name="20% - 강조색5 3 2 7 4" xfId="8025"/>
    <cellStyle name="20% - 강조색5 3 2 8" xfId="8026"/>
    <cellStyle name="20% - 강조색5 3 2 8 2" xfId="8027"/>
    <cellStyle name="20% - 강조색5 3 2 8 3" xfId="8028"/>
    <cellStyle name="20% - 강조색5 3 2 9" xfId="8029"/>
    <cellStyle name="20% - 강조색5 3 3" xfId="8030"/>
    <cellStyle name="20% - 강조색5 3 3 10" xfId="8031"/>
    <cellStyle name="20% - 강조색5 3 3 11" xfId="8032"/>
    <cellStyle name="20% - 강조색5 3 3 12" xfId="8033"/>
    <cellStyle name="20% - 강조색5 3 3 2" xfId="8034"/>
    <cellStyle name="20% - 강조색5 3 3 2 2" xfId="8035"/>
    <cellStyle name="20% - 강조색5 3 3 2 2 2" xfId="8036"/>
    <cellStyle name="20% - 강조색5 3 3 2 2 2 2" xfId="8037"/>
    <cellStyle name="20% - 강조색5 3 3 2 2 2 2 2" xfId="8038"/>
    <cellStyle name="20% - 강조색5 3 3 2 2 2 2 3" xfId="8039"/>
    <cellStyle name="20% - 강조색5 3 3 2 2 2 3" xfId="8040"/>
    <cellStyle name="20% - 강조색5 3 3 2 2 2 4" xfId="8041"/>
    <cellStyle name="20% - 강조색5 3 3 2 2 3" xfId="8042"/>
    <cellStyle name="20% - 강조색5 3 3 2 2 3 2" xfId="8043"/>
    <cellStyle name="20% - 강조색5 3 3 2 2 3 3" xfId="8044"/>
    <cellStyle name="20% - 강조색5 3 3 2 2 4" xfId="8045"/>
    <cellStyle name="20% - 강조색5 3 3 2 2 5" xfId="8046"/>
    <cellStyle name="20% - 강조색5 3 3 2 3" xfId="8047"/>
    <cellStyle name="20% - 강조색5 3 3 2 3 2" xfId="8048"/>
    <cellStyle name="20% - 강조색5 3 3 2 3 2 2" xfId="8049"/>
    <cellStyle name="20% - 강조색5 3 3 2 3 2 2 2" xfId="8050"/>
    <cellStyle name="20% - 강조색5 3 3 2 3 2 2 3" xfId="8051"/>
    <cellStyle name="20% - 강조색5 3 3 2 3 2 3" xfId="8052"/>
    <cellStyle name="20% - 강조색5 3 3 2 3 2 4" xfId="8053"/>
    <cellStyle name="20% - 강조색5 3 3 2 3 3" xfId="8054"/>
    <cellStyle name="20% - 강조색5 3 3 2 3 3 2" xfId="8055"/>
    <cellStyle name="20% - 강조색5 3 3 2 3 3 3" xfId="8056"/>
    <cellStyle name="20% - 강조색5 3 3 2 3 4" xfId="8057"/>
    <cellStyle name="20% - 강조색5 3 3 2 3 5" xfId="8058"/>
    <cellStyle name="20% - 강조색5 3 3 2 4" xfId="8059"/>
    <cellStyle name="20% - 강조색5 3 3 2 4 2" xfId="8060"/>
    <cellStyle name="20% - 강조색5 3 3 2 4 2 2" xfId="8061"/>
    <cellStyle name="20% - 강조색5 3 3 2 4 2 3" xfId="8062"/>
    <cellStyle name="20% - 강조색5 3 3 2 4 3" xfId="8063"/>
    <cellStyle name="20% - 강조색5 3 3 2 4 4" xfId="8064"/>
    <cellStyle name="20% - 강조색5 3 3 2 5" xfId="8065"/>
    <cellStyle name="20% - 강조색5 3 3 2 5 2" xfId="8066"/>
    <cellStyle name="20% - 강조색5 3 3 2 5 3" xfId="8067"/>
    <cellStyle name="20% - 강조색5 3 3 2 6" xfId="8068"/>
    <cellStyle name="20% - 강조색5 3 3 2 7" xfId="8069"/>
    <cellStyle name="20% - 강조색5 3 3 2 8" xfId="8070"/>
    <cellStyle name="20% - 강조색5 3 3 2 9" xfId="8071"/>
    <cellStyle name="20% - 강조색5 3 3 3" xfId="8072"/>
    <cellStyle name="20% - 강조색5 3 3 3 2" xfId="8073"/>
    <cellStyle name="20% - 강조색5 3 3 3 2 2" xfId="8074"/>
    <cellStyle name="20% - 강조색5 3 3 3 2 2 2" xfId="8075"/>
    <cellStyle name="20% - 강조색5 3 3 3 2 2 2 2" xfId="8076"/>
    <cellStyle name="20% - 강조색5 3 3 3 2 2 2 3" xfId="8077"/>
    <cellStyle name="20% - 강조색5 3 3 3 2 2 3" xfId="8078"/>
    <cellStyle name="20% - 강조색5 3 3 3 2 2 4" xfId="8079"/>
    <cellStyle name="20% - 강조색5 3 3 3 2 3" xfId="8080"/>
    <cellStyle name="20% - 강조색5 3 3 3 2 3 2" xfId="8081"/>
    <cellStyle name="20% - 강조색5 3 3 3 2 3 3" xfId="8082"/>
    <cellStyle name="20% - 강조색5 3 3 3 2 4" xfId="8083"/>
    <cellStyle name="20% - 강조색5 3 3 3 2 5" xfId="8084"/>
    <cellStyle name="20% - 강조색5 3 3 3 3" xfId="8085"/>
    <cellStyle name="20% - 강조색5 3 3 3 3 2" xfId="8086"/>
    <cellStyle name="20% - 강조색5 3 3 3 3 2 2" xfId="8087"/>
    <cellStyle name="20% - 강조색5 3 3 3 3 2 2 2" xfId="8088"/>
    <cellStyle name="20% - 강조색5 3 3 3 3 2 2 3" xfId="8089"/>
    <cellStyle name="20% - 강조색5 3 3 3 3 2 3" xfId="8090"/>
    <cellStyle name="20% - 강조색5 3 3 3 3 2 4" xfId="8091"/>
    <cellStyle name="20% - 강조색5 3 3 3 3 3" xfId="8092"/>
    <cellStyle name="20% - 강조색5 3 3 3 3 3 2" xfId="8093"/>
    <cellStyle name="20% - 강조색5 3 3 3 3 3 3" xfId="8094"/>
    <cellStyle name="20% - 강조색5 3 3 3 3 4" xfId="8095"/>
    <cellStyle name="20% - 강조색5 3 3 3 3 5" xfId="8096"/>
    <cellStyle name="20% - 강조색5 3 3 3 4" xfId="8097"/>
    <cellStyle name="20% - 강조색5 3 3 3 4 2" xfId="8098"/>
    <cellStyle name="20% - 강조색5 3 3 3 4 2 2" xfId="8099"/>
    <cellStyle name="20% - 강조색5 3 3 3 4 2 3" xfId="8100"/>
    <cellStyle name="20% - 강조색5 3 3 3 4 3" xfId="8101"/>
    <cellStyle name="20% - 강조색5 3 3 3 4 4" xfId="8102"/>
    <cellStyle name="20% - 강조색5 3 3 3 5" xfId="8103"/>
    <cellStyle name="20% - 강조색5 3 3 3 5 2" xfId="8104"/>
    <cellStyle name="20% - 강조색5 3 3 3 5 3" xfId="8105"/>
    <cellStyle name="20% - 강조색5 3 3 3 6" xfId="8106"/>
    <cellStyle name="20% - 강조색5 3 3 3 7" xfId="8107"/>
    <cellStyle name="20% - 강조색5 3 3 4" xfId="8108"/>
    <cellStyle name="20% - 강조색5 3 3 4 2" xfId="8109"/>
    <cellStyle name="20% - 강조색5 3 3 4 2 2" xfId="8110"/>
    <cellStyle name="20% - 강조색5 3 3 4 2 2 2" xfId="8111"/>
    <cellStyle name="20% - 강조색5 3 3 4 2 2 3" xfId="8112"/>
    <cellStyle name="20% - 강조색5 3 3 4 2 3" xfId="8113"/>
    <cellStyle name="20% - 강조색5 3 3 4 2 4" xfId="8114"/>
    <cellStyle name="20% - 강조색5 3 3 4 3" xfId="8115"/>
    <cellStyle name="20% - 강조색5 3 3 4 3 2" xfId="8116"/>
    <cellStyle name="20% - 강조색5 3 3 4 3 3" xfId="8117"/>
    <cellStyle name="20% - 강조색5 3 3 4 4" xfId="8118"/>
    <cellStyle name="20% - 강조색5 3 3 4 5" xfId="8119"/>
    <cellStyle name="20% - 강조색5 3 3 5" xfId="8120"/>
    <cellStyle name="20% - 강조색5 3 3 5 2" xfId="8121"/>
    <cellStyle name="20% - 강조색5 3 3 5 2 2" xfId="8122"/>
    <cellStyle name="20% - 강조색5 3 3 5 2 2 2" xfId="8123"/>
    <cellStyle name="20% - 강조색5 3 3 5 2 2 3" xfId="8124"/>
    <cellStyle name="20% - 강조색5 3 3 5 2 3" xfId="8125"/>
    <cellStyle name="20% - 강조색5 3 3 5 2 4" xfId="8126"/>
    <cellStyle name="20% - 강조색5 3 3 5 3" xfId="8127"/>
    <cellStyle name="20% - 강조색5 3 3 5 3 2" xfId="8128"/>
    <cellStyle name="20% - 강조색5 3 3 5 3 3" xfId="8129"/>
    <cellStyle name="20% - 강조색5 3 3 5 4" xfId="8130"/>
    <cellStyle name="20% - 강조색5 3 3 5 5" xfId="8131"/>
    <cellStyle name="20% - 강조색5 3 3 6" xfId="8132"/>
    <cellStyle name="20% - 강조색5 3 3 6 2" xfId="8133"/>
    <cellStyle name="20% - 강조색5 3 3 6 2 2" xfId="8134"/>
    <cellStyle name="20% - 강조색5 3 3 6 2 2 2" xfId="8135"/>
    <cellStyle name="20% - 강조색5 3 3 6 2 2 3" xfId="8136"/>
    <cellStyle name="20% - 강조색5 3 3 6 2 3" xfId="8137"/>
    <cellStyle name="20% - 강조색5 3 3 6 2 4" xfId="8138"/>
    <cellStyle name="20% - 강조색5 3 3 6 3" xfId="8139"/>
    <cellStyle name="20% - 강조색5 3 3 6 3 2" xfId="8140"/>
    <cellStyle name="20% - 강조색5 3 3 6 3 3" xfId="8141"/>
    <cellStyle name="20% - 강조색5 3 3 6 4" xfId="8142"/>
    <cellStyle name="20% - 강조색5 3 3 6 5" xfId="8143"/>
    <cellStyle name="20% - 강조색5 3 3 7" xfId="8144"/>
    <cellStyle name="20% - 강조색5 3 3 7 2" xfId="8145"/>
    <cellStyle name="20% - 강조색5 3 3 7 2 2" xfId="8146"/>
    <cellStyle name="20% - 강조색5 3 3 7 2 3" xfId="8147"/>
    <cellStyle name="20% - 강조색5 3 3 7 3" xfId="8148"/>
    <cellStyle name="20% - 강조색5 3 3 7 4" xfId="8149"/>
    <cellStyle name="20% - 강조색5 3 3 8" xfId="8150"/>
    <cellStyle name="20% - 강조색5 3 3 8 2" xfId="8151"/>
    <cellStyle name="20% - 강조색5 3 3 8 3" xfId="8152"/>
    <cellStyle name="20% - 강조색5 3 3 9" xfId="8153"/>
    <cellStyle name="20% - 강조색5 3 4" xfId="8154"/>
    <cellStyle name="20% - 강조색5 3 4 10" xfId="8155"/>
    <cellStyle name="20% - 강조색5 3 4 11" xfId="8156"/>
    <cellStyle name="20% - 강조색5 3 4 12" xfId="8157"/>
    <cellStyle name="20% - 강조색5 3 4 2" xfId="8158"/>
    <cellStyle name="20% - 강조색5 3 4 2 2" xfId="8159"/>
    <cellStyle name="20% - 강조색5 3 4 2 2 2" xfId="8160"/>
    <cellStyle name="20% - 강조색5 3 4 2 2 2 2" xfId="8161"/>
    <cellStyle name="20% - 강조색5 3 4 2 2 2 2 2" xfId="8162"/>
    <cellStyle name="20% - 강조색5 3 4 2 2 2 2 3" xfId="8163"/>
    <cellStyle name="20% - 강조색5 3 4 2 2 2 3" xfId="8164"/>
    <cellStyle name="20% - 강조색5 3 4 2 2 2 4" xfId="8165"/>
    <cellStyle name="20% - 강조색5 3 4 2 2 3" xfId="8166"/>
    <cellStyle name="20% - 강조색5 3 4 2 2 3 2" xfId="8167"/>
    <cellStyle name="20% - 강조색5 3 4 2 2 3 3" xfId="8168"/>
    <cellStyle name="20% - 강조색5 3 4 2 2 4" xfId="8169"/>
    <cellStyle name="20% - 강조색5 3 4 2 2 5" xfId="8170"/>
    <cellStyle name="20% - 강조색5 3 4 2 3" xfId="8171"/>
    <cellStyle name="20% - 강조색5 3 4 2 3 2" xfId="8172"/>
    <cellStyle name="20% - 강조색5 3 4 2 3 2 2" xfId="8173"/>
    <cellStyle name="20% - 강조색5 3 4 2 3 2 2 2" xfId="8174"/>
    <cellStyle name="20% - 강조색5 3 4 2 3 2 2 3" xfId="8175"/>
    <cellStyle name="20% - 강조색5 3 4 2 3 2 3" xfId="8176"/>
    <cellStyle name="20% - 강조색5 3 4 2 3 2 4" xfId="8177"/>
    <cellStyle name="20% - 강조색5 3 4 2 3 3" xfId="8178"/>
    <cellStyle name="20% - 강조색5 3 4 2 3 3 2" xfId="8179"/>
    <cellStyle name="20% - 강조색5 3 4 2 3 3 3" xfId="8180"/>
    <cellStyle name="20% - 강조색5 3 4 2 3 4" xfId="8181"/>
    <cellStyle name="20% - 강조색5 3 4 2 3 5" xfId="8182"/>
    <cellStyle name="20% - 강조색5 3 4 2 4" xfId="8183"/>
    <cellStyle name="20% - 강조색5 3 4 2 4 2" xfId="8184"/>
    <cellStyle name="20% - 강조색5 3 4 2 4 2 2" xfId="8185"/>
    <cellStyle name="20% - 강조색5 3 4 2 4 2 3" xfId="8186"/>
    <cellStyle name="20% - 강조색5 3 4 2 4 3" xfId="8187"/>
    <cellStyle name="20% - 강조색5 3 4 2 4 4" xfId="8188"/>
    <cellStyle name="20% - 강조색5 3 4 2 5" xfId="8189"/>
    <cellStyle name="20% - 강조색5 3 4 2 5 2" xfId="8190"/>
    <cellStyle name="20% - 강조색5 3 4 2 5 3" xfId="8191"/>
    <cellStyle name="20% - 강조색5 3 4 2 6" xfId="8192"/>
    <cellStyle name="20% - 강조색5 3 4 2 7" xfId="8193"/>
    <cellStyle name="20% - 강조색5 3 4 3" xfId="8194"/>
    <cellStyle name="20% - 강조색5 3 4 3 2" xfId="8195"/>
    <cellStyle name="20% - 강조색5 3 4 3 2 2" xfId="8196"/>
    <cellStyle name="20% - 강조색5 3 4 3 2 2 2" xfId="8197"/>
    <cellStyle name="20% - 강조색5 3 4 3 2 2 2 2" xfId="8198"/>
    <cellStyle name="20% - 강조색5 3 4 3 2 2 2 3" xfId="8199"/>
    <cellStyle name="20% - 강조색5 3 4 3 2 2 3" xfId="8200"/>
    <cellStyle name="20% - 강조색5 3 4 3 2 2 4" xfId="8201"/>
    <cellStyle name="20% - 강조색5 3 4 3 2 3" xfId="8202"/>
    <cellStyle name="20% - 강조색5 3 4 3 2 3 2" xfId="8203"/>
    <cellStyle name="20% - 강조색5 3 4 3 2 3 3" xfId="8204"/>
    <cellStyle name="20% - 강조색5 3 4 3 2 4" xfId="8205"/>
    <cellStyle name="20% - 강조색5 3 4 3 2 5" xfId="8206"/>
    <cellStyle name="20% - 강조색5 3 4 3 3" xfId="8207"/>
    <cellStyle name="20% - 강조색5 3 4 3 3 2" xfId="8208"/>
    <cellStyle name="20% - 강조색5 3 4 3 3 2 2" xfId="8209"/>
    <cellStyle name="20% - 강조색5 3 4 3 3 2 2 2" xfId="8210"/>
    <cellStyle name="20% - 강조색5 3 4 3 3 2 2 3" xfId="8211"/>
    <cellStyle name="20% - 강조색5 3 4 3 3 2 3" xfId="8212"/>
    <cellStyle name="20% - 강조색5 3 4 3 3 2 4" xfId="8213"/>
    <cellStyle name="20% - 강조색5 3 4 3 3 3" xfId="8214"/>
    <cellStyle name="20% - 강조색5 3 4 3 3 3 2" xfId="8215"/>
    <cellStyle name="20% - 강조색5 3 4 3 3 3 3" xfId="8216"/>
    <cellStyle name="20% - 강조색5 3 4 3 3 4" xfId="8217"/>
    <cellStyle name="20% - 강조색5 3 4 3 3 5" xfId="8218"/>
    <cellStyle name="20% - 강조색5 3 4 3 4" xfId="8219"/>
    <cellStyle name="20% - 강조색5 3 4 3 4 2" xfId="8220"/>
    <cellStyle name="20% - 강조색5 3 4 3 4 2 2" xfId="8221"/>
    <cellStyle name="20% - 강조색5 3 4 3 4 2 3" xfId="8222"/>
    <cellStyle name="20% - 강조색5 3 4 3 4 3" xfId="8223"/>
    <cellStyle name="20% - 강조색5 3 4 3 4 4" xfId="8224"/>
    <cellStyle name="20% - 강조색5 3 4 3 5" xfId="8225"/>
    <cellStyle name="20% - 강조색5 3 4 3 5 2" xfId="8226"/>
    <cellStyle name="20% - 강조색5 3 4 3 5 3" xfId="8227"/>
    <cellStyle name="20% - 강조색5 3 4 3 6" xfId="8228"/>
    <cellStyle name="20% - 강조색5 3 4 3 7" xfId="8229"/>
    <cellStyle name="20% - 강조색5 3 4 4" xfId="8230"/>
    <cellStyle name="20% - 강조색5 3 4 4 2" xfId="8231"/>
    <cellStyle name="20% - 강조색5 3 4 4 2 2" xfId="8232"/>
    <cellStyle name="20% - 강조색5 3 4 4 2 2 2" xfId="8233"/>
    <cellStyle name="20% - 강조색5 3 4 4 2 2 3" xfId="8234"/>
    <cellStyle name="20% - 강조색5 3 4 4 2 3" xfId="8235"/>
    <cellStyle name="20% - 강조색5 3 4 4 2 4" xfId="8236"/>
    <cellStyle name="20% - 강조색5 3 4 4 3" xfId="8237"/>
    <cellStyle name="20% - 강조색5 3 4 4 3 2" xfId="8238"/>
    <cellStyle name="20% - 강조색5 3 4 4 3 3" xfId="8239"/>
    <cellStyle name="20% - 강조색5 3 4 4 4" xfId="8240"/>
    <cellStyle name="20% - 강조색5 3 4 4 5" xfId="8241"/>
    <cellStyle name="20% - 강조색5 3 4 5" xfId="8242"/>
    <cellStyle name="20% - 강조색5 3 4 5 2" xfId="8243"/>
    <cellStyle name="20% - 강조색5 3 4 5 2 2" xfId="8244"/>
    <cellStyle name="20% - 강조색5 3 4 5 2 2 2" xfId="8245"/>
    <cellStyle name="20% - 강조색5 3 4 5 2 2 3" xfId="8246"/>
    <cellStyle name="20% - 강조색5 3 4 5 2 3" xfId="8247"/>
    <cellStyle name="20% - 강조색5 3 4 5 2 4" xfId="8248"/>
    <cellStyle name="20% - 강조색5 3 4 5 3" xfId="8249"/>
    <cellStyle name="20% - 강조색5 3 4 5 3 2" xfId="8250"/>
    <cellStyle name="20% - 강조색5 3 4 5 3 3" xfId="8251"/>
    <cellStyle name="20% - 강조색5 3 4 5 4" xfId="8252"/>
    <cellStyle name="20% - 강조색5 3 4 5 5" xfId="8253"/>
    <cellStyle name="20% - 강조색5 3 4 6" xfId="8254"/>
    <cellStyle name="20% - 강조색5 3 4 6 2" xfId="8255"/>
    <cellStyle name="20% - 강조색5 3 4 6 2 2" xfId="8256"/>
    <cellStyle name="20% - 강조색5 3 4 6 2 2 2" xfId="8257"/>
    <cellStyle name="20% - 강조색5 3 4 6 2 2 3" xfId="8258"/>
    <cellStyle name="20% - 강조색5 3 4 6 2 3" xfId="8259"/>
    <cellStyle name="20% - 강조색5 3 4 6 2 4" xfId="8260"/>
    <cellStyle name="20% - 강조색5 3 4 6 3" xfId="8261"/>
    <cellStyle name="20% - 강조색5 3 4 6 3 2" xfId="8262"/>
    <cellStyle name="20% - 강조색5 3 4 6 3 3" xfId="8263"/>
    <cellStyle name="20% - 강조색5 3 4 6 4" xfId="8264"/>
    <cellStyle name="20% - 강조색5 3 4 6 5" xfId="8265"/>
    <cellStyle name="20% - 강조색5 3 4 7" xfId="8266"/>
    <cellStyle name="20% - 강조색5 3 4 7 2" xfId="8267"/>
    <cellStyle name="20% - 강조색5 3 4 7 2 2" xfId="8268"/>
    <cellStyle name="20% - 강조색5 3 4 7 2 3" xfId="8269"/>
    <cellStyle name="20% - 강조색5 3 4 7 3" xfId="8270"/>
    <cellStyle name="20% - 강조색5 3 4 7 4" xfId="8271"/>
    <cellStyle name="20% - 강조색5 3 4 8" xfId="8272"/>
    <cellStyle name="20% - 강조색5 3 4 8 2" xfId="8273"/>
    <cellStyle name="20% - 강조색5 3 4 8 3" xfId="8274"/>
    <cellStyle name="20% - 강조색5 3 4 9" xfId="8275"/>
    <cellStyle name="20% - 강조색5 3 5" xfId="8276"/>
    <cellStyle name="20% - 강조색5 3 5 2" xfId="8277"/>
    <cellStyle name="20% - 강조색5 3 5 2 2" xfId="8278"/>
    <cellStyle name="20% - 강조색5 3 5 2 2 2" xfId="8279"/>
    <cellStyle name="20% - 강조색5 3 5 2 2 2 2" xfId="8280"/>
    <cellStyle name="20% - 강조색5 3 5 2 2 2 3" xfId="8281"/>
    <cellStyle name="20% - 강조색5 3 5 2 2 3" xfId="8282"/>
    <cellStyle name="20% - 강조색5 3 5 2 2 4" xfId="8283"/>
    <cellStyle name="20% - 강조색5 3 5 2 3" xfId="8284"/>
    <cellStyle name="20% - 강조색5 3 5 2 3 2" xfId="8285"/>
    <cellStyle name="20% - 강조색5 3 5 2 3 3" xfId="8286"/>
    <cellStyle name="20% - 강조색5 3 5 2 4" xfId="8287"/>
    <cellStyle name="20% - 강조색5 3 5 2 5" xfId="8288"/>
    <cellStyle name="20% - 강조색5 3 5 3" xfId="8289"/>
    <cellStyle name="20% - 강조색5 3 5 3 2" xfId="8290"/>
    <cellStyle name="20% - 강조색5 3 5 3 2 2" xfId="8291"/>
    <cellStyle name="20% - 강조색5 3 5 3 2 2 2" xfId="8292"/>
    <cellStyle name="20% - 강조색5 3 5 3 2 2 3" xfId="8293"/>
    <cellStyle name="20% - 강조색5 3 5 3 2 3" xfId="8294"/>
    <cellStyle name="20% - 강조색5 3 5 3 2 4" xfId="8295"/>
    <cellStyle name="20% - 강조색5 3 5 3 3" xfId="8296"/>
    <cellStyle name="20% - 강조색5 3 5 3 3 2" xfId="8297"/>
    <cellStyle name="20% - 강조색5 3 5 3 3 3" xfId="8298"/>
    <cellStyle name="20% - 강조색5 3 5 3 4" xfId="8299"/>
    <cellStyle name="20% - 강조색5 3 5 3 5" xfId="8300"/>
    <cellStyle name="20% - 강조색5 3 5 4" xfId="8301"/>
    <cellStyle name="20% - 강조색5 3 5 4 2" xfId="8302"/>
    <cellStyle name="20% - 강조색5 3 5 4 2 2" xfId="8303"/>
    <cellStyle name="20% - 강조색5 3 5 4 2 3" xfId="8304"/>
    <cellStyle name="20% - 강조색5 3 5 4 3" xfId="8305"/>
    <cellStyle name="20% - 강조색5 3 5 4 4" xfId="8306"/>
    <cellStyle name="20% - 강조색5 3 5 5" xfId="8307"/>
    <cellStyle name="20% - 강조색5 3 5 5 2" xfId="8308"/>
    <cellStyle name="20% - 강조색5 3 5 5 3" xfId="8309"/>
    <cellStyle name="20% - 강조색5 3 5 6" xfId="8310"/>
    <cellStyle name="20% - 강조색5 3 5 7" xfId="8311"/>
    <cellStyle name="20% - 강조색5 3 6" xfId="8312"/>
    <cellStyle name="20% - 강조색5 3 6 2" xfId="8313"/>
    <cellStyle name="20% - 강조색5 3 6 2 2" xfId="8314"/>
    <cellStyle name="20% - 강조색5 3 6 2 2 2" xfId="8315"/>
    <cellStyle name="20% - 강조색5 3 6 2 2 2 2" xfId="8316"/>
    <cellStyle name="20% - 강조색5 3 6 2 2 2 3" xfId="8317"/>
    <cellStyle name="20% - 강조색5 3 6 2 2 3" xfId="8318"/>
    <cellStyle name="20% - 강조색5 3 6 2 2 4" xfId="8319"/>
    <cellStyle name="20% - 강조색5 3 6 2 3" xfId="8320"/>
    <cellStyle name="20% - 강조색5 3 6 2 3 2" xfId="8321"/>
    <cellStyle name="20% - 강조색5 3 6 2 3 3" xfId="8322"/>
    <cellStyle name="20% - 강조색5 3 6 2 4" xfId="8323"/>
    <cellStyle name="20% - 강조색5 3 6 2 5" xfId="8324"/>
    <cellStyle name="20% - 강조색5 3 6 3" xfId="8325"/>
    <cellStyle name="20% - 강조색5 3 6 3 2" xfId="8326"/>
    <cellStyle name="20% - 강조색5 3 6 3 2 2" xfId="8327"/>
    <cellStyle name="20% - 강조색5 3 6 3 2 2 2" xfId="8328"/>
    <cellStyle name="20% - 강조색5 3 6 3 2 2 3" xfId="8329"/>
    <cellStyle name="20% - 강조색5 3 6 3 2 3" xfId="8330"/>
    <cellStyle name="20% - 강조색5 3 6 3 2 4" xfId="8331"/>
    <cellStyle name="20% - 강조색5 3 6 3 3" xfId="8332"/>
    <cellStyle name="20% - 강조색5 3 6 3 3 2" xfId="8333"/>
    <cellStyle name="20% - 강조색5 3 6 3 3 3" xfId="8334"/>
    <cellStyle name="20% - 강조색5 3 6 3 4" xfId="8335"/>
    <cellStyle name="20% - 강조색5 3 6 3 5" xfId="8336"/>
    <cellStyle name="20% - 강조색5 3 6 4" xfId="8337"/>
    <cellStyle name="20% - 강조색5 3 6 4 2" xfId="8338"/>
    <cellStyle name="20% - 강조색5 3 6 4 2 2" xfId="8339"/>
    <cellStyle name="20% - 강조색5 3 6 4 2 3" xfId="8340"/>
    <cellStyle name="20% - 강조색5 3 6 4 3" xfId="8341"/>
    <cellStyle name="20% - 강조색5 3 6 4 4" xfId="8342"/>
    <cellStyle name="20% - 강조색5 3 6 5" xfId="8343"/>
    <cellStyle name="20% - 강조색5 3 6 5 2" xfId="8344"/>
    <cellStyle name="20% - 강조색5 3 6 5 3" xfId="8345"/>
    <cellStyle name="20% - 강조색5 3 6 6" xfId="8346"/>
    <cellStyle name="20% - 강조색5 3 6 7" xfId="8347"/>
    <cellStyle name="20% - 강조색5 3 7" xfId="8348"/>
    <cellStyle name="20% - 강조색5 3 7 2" xfId="8349"/>
    <cellStyle name="20% - 강조색5 3 7 2 2" xfId="8350"/>
    <cellStyle name="20% - 강조색5 3 7 2 2 2" xfId="8351"/>
    <cellStyle name="20% - 강조색5 3 7 2 2 3" xfId="8352"/>
    <cellStyle name="20% - 강조색5 3 7 2 3" xfId="8353"/>
    <cellStyle name="20% - 강조색5 3 7 2 4" xfId="8354"/>
    <cellStyle name="20% - 강조색5 3 7 3" xfId="8355"/>
    <cellStyle name="20% - 강조색5 3 7 3 2" xfId="8356"/>
    <cellStyle name="20% - 강조색5 3 7 3 3" xfId="8357"/>
    <cellStyle name="20% - 강조색5 3 7 4" xfId="8358"/>
    <cellStyle name="20% - 강조색5 3 7 5" xfId="8359"/>
    <cellStyle name="20% - 강조색5 3 8" xfId="8360"/>
    <cellStyle name="20% - 강조색5 3 8 2" xfId="8361"/>
    <cellStyle name="20% - 강조색5 3 8 2 2" xfId="8362"/>
    <cellStyle name="20% - 강조색5 3 8 2 2 2" xfId="8363"/>
    <cellStyle name="20% - 강조색5 3 8 2 2 3" xfId="8364"/>
    <cellStyle name="20% - 강조색5 3 8 2 3" xfId="8365"/>
    <cellStyle name="20% - 강조색5 3 8 2 4" xfId="8366"/>
    <cellStyle name="20% - 강조색5 3 8 3" xfId="8367"/>
    <cellStyle name="20% - 강조색5 3 8 3 2" xfId="8368"/>
    <cellStyle name="20% - 강조색5 3 8 3 3" xfId="8369"/>
    <cellStyle name="20% - 강조색5 3 8 4" xfId="8370"/>
    <cellStyle name="20% - 강조색5 3 8 5" xfId="8371"/>
    <cellStyle name="20% - 강조색5 3 9" xfId="8372"/>
    <cellStyle name="20% - 강조색5 3 9 2" xfId="8373"/>
    <cellStyle name="20% - 강조색5 3 9 2 2" xfId="8374"/>
    <cellStyle name="20% - 강조색5 3 9 2 2 2" xfId="8375"/>
    <cellStyle name="20% - 강조색5 3 9 2 2 3" xfId="8376"/>
    <cellStyle name="20% - 강조색5 3 9 2 3" xfId="8377"/>
    <cellStyle name="20% - 강조색5 3 9 2 4" xfId="8378"/>
    <cellStyle name="20% - 강조색5 3 9 3" xfId="8379"/>
    <cellStyle name="20% - 강조색5 3 9 3 2" xfId="8380"/>
    <cellStyle name="20% - 강조색5 3 9 3 3" xfId="8381"/>
    <cellStyle name="20% - 강조색5 3 9 4" xfId="8382"/>
    <cellStyle name="20% - 강조색5 3 9 5" xfId="8383"/>
    <cellStyle name="20% - 강조색5 30" xfId="8384"/>
    <cellStyle name="20% - 강조색5 30 2" xfId="8385"/>
    <cellStyle name="20% - 강조색5 31" xfId="8386"/>
    <cellStyle name="20% - 강조색5 31 2" xfId="8387"/>
    <cellStyle name="20% - 강조색5 32" xfId="8388"/>
    <cellStyle name="20% - 강조색5 32 2" xfId="8389"/>
    <cellStyle name="20% - 강조색5 33" xfId="8390"/>
    <cellStyle name="20% - 강조색5 33 2" xfId="8391"/>
    <cellStyle name="20% - 강조색5 34" xfId="8392"/>
    <cellStyle name="20% - 강조색5 34 2" xfId="8393"/>
    <cellStyle name="20% - 강조색5 35" xfId="8394"/>
    <cellStyle name="20% - 강조색5 36" xfId="8395"/>
    <cellStyle name="20% - 강조색5 37" xfId="8396"/>
    <cellStyle name="20% - 강조색5 38" xfId="8397"/>
    <cellStyle name="20% - 강조색5 39" xfId="8398"/>
    <cellStyle name="20% - 강조색5 4" xfId="8399"/>
    <cellStyle name="20% - 강조색5 4 10" xfId="8400"/>
    <cellStyle name="20% - 강조색5 4 10 2" xfId="8401"/>
    <cellStyle name="20% - 강조색5 4 10 2 2" xfId="8402"/>
    <cellStyle name="20% - 강조색5 4 10 2 3" xfId="8403"/>
    <cellStyle name="20% - 강조색5 4 10 3" xfId="8404"/>
    <cellStyle name="20% - 강조색5 4 10 4" xfId="8405"/>
    <cellStyle name="20% - 강조색5 4 11" xfId="8406"/>
    <cellStyle name="20% - 강조색5 4 11 2" xfId="8407"/>
    <cellStyle name="20% - 강조색5 4 11 3" xfId="8408"/>
    <cellStyle name="20% - 강조색5 4 12" xfId="8409"/>
    <cellStyle name="20% - 강조색5 4 13" xfId="8410"/>
    <cellStyle name="20% - 강조색5 4 14" xfId="8411"/>
    <cellStyle name="20% - 강조색5 4 2" xfId="8412"/>
    <cellStyle name="20% - 강조색5 4 2 10" xfId="8413"/>
    <cellStyle name="20% - 강조색5 4 2 2" xfId="8414"/>
    <cellStyle name="20% - 강조색5 4 2 2 2" xfId="8415"/>
    <cellStyle name="20% - 강조색5 4 2 2 2 2" xfId="8416"/>
    <cellStyle name="20% - 강조색5 4 2 2 2 2 2" xfId="8417"/>
    <cellStyle name="20% - 강조색5 4 2 2 2 2 2 2" xfId="8418"/>
    <cellStyle name="20% - 강조색5 4 2 2 2 2 2 3" xfId="8419"/>
    <cellStyle name="20% - 강조색5 4 2 2 2 2 3" xfId="8420"/>
    <cellStyle name="20% - 강조색5 4 2 2 2 2 4" xfId="8421"/>
    <cellStyle name="20% - 강조색5 4 2 2 2 3" xfId="8422"/>
    <cellStyle name="20% - 강조색5 4 2 2 2 3 2" xfId="8423"/>
    <cellStyle name="20% - 강조색5 4 2 2 2 3 3" xfId="8424"/>
    <cellStyle name="20% - 강조색5 4 2 2 2 4" xfId="8425"/>
    <cellStyle name="20% - 강조색5 4 2 2 2 5" xfId="8426"/>
    <cellStyle name="20% - 강조색5 4 2 2 3" xfId="8427"/>
    <cellStyle name="20% - 강조색5 4 2 2 3 2" xfId="8428"/>
    <cellStyle name="20% - 강조색5 4 2 2 3 2 2" xfId="8429"/>
    <cellStyle name="20% - 강조색5 4 2 2 3 2 2 2" xfId="8430"/>
    <cellStyle name="20% - 강조색5 4 2 2 3 2 2 3" xfId="8431"/>
    <cellStyle name="20% - 강조색5 4 2 2 3 2 3" xfId="8432"/>
    <cellStyle name="20% - 강조색5 4 2 2 3 2 4" xfId="8433"/>
    <cellStyle name="20% - 강조색5 4 2 2 3 3" xfId="8434"/>
    <cellStyle name="20% - 강조색5 4 2 2 3 3 2" xfId="8435"/>
    <cellStyle name="20% - 강조색5 4 2 2 3 3 3" xfId="8436"/>
    <cellStyle name="20% - 강조색5 4 2 2 3 4" xfId="8437"/>
    <cellStyle name="20% - 강조색5 4 2 2 3 5" xfId="8438"/>
    <cellStyle name="20% - 강조색5 4 2 2 4" xfId="8439"/>
    <cellStyle name="20% - 강조색5 4 2 2 4 2" xfId="8440"/>
    <cellStyle name="20% - 강조색5 4 2 2 4 2 2" xfId="8441"/>
    <cellStyle name="20% - 강조색5 4 2 2 4 2 3" xfId="8442"/>
    <cellStyle name="20% - 강조색5 4 2 2 4 3" xfId="8443"/>
    <cellStyle name="20% - 강조색5 4 2 2 4 4" xfId="8444"/>
    <cellStyle name="20% - 강조색5 4 2 2 5" xfId="8445"/>
    <cellStyle name="20% - 강조색5 4 2 2 5 2" xfId="8446"/>
    <cellStyle name="20% - 강조색5 4 2 2 5 3" xfId="8447"/>
    <cellStyle name="20% - 강조색5 4 2 2 6" xfId="8448"/>
    <cellStyle name="20% - 강조색5 4 2 2 7" xfId="8449"/>
    <cellStyle name="20% - 강조색5 4 2 3" xfId="8450"/>
    <cellStyle name="20% - 강조색5 4 2 3 2" xfId="8451"/>
    <cellStyle name="20% - 강조색5 4 2 3 2 2" xfId="8452"/>
    <cellStyle name="20% - 강조색5 4 2 3 2 2 2" xfId="8453"/>
    <cellStyle name="20% - 강조색5 4 2 3 2 2 2 2" xfId="8454"/>
    <cellStyle name="20% - 강조색5 4 2 3 2 2 2 3" xfId="8455"/>
    <cellStyle name="20% - 강조색5 4 2 3 2 2 3" xfId="8456"/>
    <cellStyle name="20% - 강조색5 4 2 3 2 2 4" xfId="8457"/>
    <cellStyle name="20% - 강조색5 4 2 3 2 3" xfId="8458"/>
    <cellStyle name="20% - 강조색5 4 2 3 2 3 2" xfId="8459"/>
    <cellStyle name="20% - 강조색5 4 2 3 2 3 3" xfId="8460"/>
    <cellStyle name="20% - 강조색5 4 2 3 2 4" xfId="8461"/>
    <cellStyle name="20% - 강조색5 4 2 3 2 5" xfId="8462"/>
    <cellStyle name="20% - 강조색5 4 2 3 3" xfId="8463"/>
    <cellStyle name="20% - 강조색5 4 2 3 3 2" xfId="8464"/>
    <cellStyle name="20% - 강조색5 4 2 3 3 2 2" xfId="8465"/>
    <cellStyle name="20% - 강조색5 4 2 3 3 2 2 2" xfId="8466"/>
    <cellStyle name="20% - 강조색5 4 2 3 3 2 2 3" xfId="8467"/>
    <cellStyle name="20% - 강조색5 4 2 3 3 2 3" xfId="8468"/>
    <cellStyle name="20% - 강조색5 4 2 3 3 2 4" xfId="8469"/>
    <cellStyle name="20% - 강조색5 4 2 3 3 3" xfId="8470"/>
    <cellStyle name="20% - 강조색5 4 2 3 3 3 2" xfId="8471"/>
    <cellStyle name="20% - 강조색5 4 2 3 3 3 3" xfId="8472"/>
    <cellStyle name="20% - 강조색5 4 2 3 3 4" xfId="8473"/>
    <cellStyle name="20% - 강조색5 4 2 3 3 5" xfId="8474"/>
    <cellStyle name="20% - 강조색5 4 2 3 4" xfId="8475"/>
    <cellStyle name="20% - 강조색5 4 2 3 4 2" xfId="8476"/>
    <cellStyle name="20% - 강조색5 4 2 3 4 2 2" xfId="8477"/>
    <cellStyle name="20% - 강조색5 4 2 3 4 2 3" xfId="8478"/>
    <cellStyle name="20% - 강조색5 4 2 3 4 3" xfId="8479"/>
    <cellStyle name="20% - 강조색5 4 2 3 4 4" xfId="8480"/>
    <cellStyle name="20% - 강조색5 4 2 3 5" xfId="8481"/>
    <cellStyle name="20% - 강조색5 4 2 3 5 2" xfId="8482"/>
    <cellStyle name="20% - 강조색5 4 2 3 5 3" xfId="8483"/>
    <cellStyle name="20% - 강조색5 4 2 3 6" xfId="8484"/>
    <cellStyle name="20% - 강조색5 4 2 3 7" xfId="8485"/>
    <cellStyle name="20% - 강조색5 4 2 4" xfId="8486"/>
    <cellStyle name="20% - 강조색5 4 2 4 2" xfId="8487"/>
    <cellStyle name="20% - 강조색5 4 2 4 2 2" xfId="8488"/>
    <cellStyle name="20% - 강조색5 4 2 4 2 2 2" xfId="8489"/>
    <cellStyle name="20% - 강조색5 4 2 4 2 2 3" xfId="8490"/>
    <cellStyle name="20% - 강조색5 4 2 4 2 3" xfId="8491"/>
    <cellStyle name="20% - 강조색5 4 2 4 2 4" xfId="8492"/>
    <cellStyle name="20% - 강조색5 4 2 4 3" xfId="8493"/>
    <cellStyle name="20% - 강조색5 4 2 4 3 2" xfId="8494"/>
    <cellStyle name="20% - 강조색5 4 2 4 3 3" xfId="8495"/>
    <cellStyle name="20% - 강조색5 4 2 4 4" xfId="8496"/>
    <cellStyle name="20% - 강조색5 4 2 4 5" xfId="8497"/>
    <cellStyle name="20% - 강조색5 4 2 5" xfId="8498"/>
    <cellStyle name="20% - 강조색5 4 2 5 2" xfId="8499"/>
    <cellStyle name="20% - 강조색5 4 2 5 2 2" xfId="8500"/>
    <cellStyle name="20% - 강조색5 4 2 5 2 2 2" xfId="8501"/>
    <cellStyle name="20% - 강조색5 4 2 5 2 2 3" xfId="8502"/>
    <cellStyle name="20% - 강조색5 4 2 5 2 3" xfId="8503"/>
    <cellStyle name="20% - 강조색5 4 2 5 2 4" xfId="8504"/>
    <cellStyle name="20% - 강조색5 4 2 5 3" xfId="8505"/>
    <cellStyle name="20% - 강조색5 4 2 5 3 2" xfId="8506"/>
    <cellStyle name="20% - 강조색5 4 2 5 3 3" xfId="8507"/>
    <cellStyle name="20% - 강조색5 4 2 5 4" xfId="8508"/>
    <cellStyle name="20% - 강조색5 4 2 5 5" xfId="8509"/>
    <cellStyle name="20% - 강조색5 4 2 6" xfId="8510"/>
    <cellStyle name="20% - 강조색5 4 2 6 2" xfId="8511"/>
    <cellStyle name="20% - 강조색5 4 2 6 2 2" xfId="8512"/>
    <cellStyle name="20% - 강조색5 4 2 6 2 2 2" xfId="8513"/>
    <cellStyle name="20% - 강조색5 4 2 6 2 2 3" xfId="8514"/>
    <cellStyle name="20% - 강조색5 4 2 6 2 3" xfId="8515"/>
    <cellStyle name="20% - 강조색5 4 2 6 2 4" xfId="8516"/>
    <cellStyle name="20% - 강조색5 4 2 6 3" xfId="8517"/>
    <cellStyle name="20% - 강조색5 4 2 6 3 2" xfId="8518"/>
    <cellStyle name="20% - 강조색5 4 2 6 3 3" xfId="8519"/>
    <cellStyle name="20% - 강조색5 4 2 6 4" xfId="8520"/>
    <cellStyle name="20% - 강조색5 4 2 6 5" xfId="8521"/>
    <cellStyle name="20% - 강조색5 4 2 7" xfId="8522"/>
    <cellStyle name="20% - 강조색5 4 2 7 2" xfId="8523"/>
    <cellStyle name="20% - 강조색5 4 2 7 2 2" xfId="8524"/>
    <cellStyle name="20% - 강조색5 4 2 7 2 3" xfId="8525"/>
    <cellStyle name="20% - 강조색5 4 2 7 3" xfId="8526"/>
    <cellStyle name="20% - 강조색5 4 2 7 4" xfId="8527"/>
    <cellStyle name="20% - 강조색5 4 2 8" xfId="8528"/>
    <cellStyle name="20% - 강조색5 4 2 8 2" xfId="8529"/>
    <cellStyle name="20% - 강조색5 4 2 8 3" xfId="8530"/>
    <cellStyle name="20% - 강조색5 4 2 9" xfId="8531"/>
    <cellStyle name="20% - 강조색5 4 3" xfId="8532"/>
    <cellStyle name="20% - 강조색5 4 3 10" xfId="8533"/>
    <cellStyle name="20% - 강조색5 4 3 2" xfId="8534"/>
    <cellStyle name="20% - 강조색5 4 3 2 2" xfId="8535"/>
    <cellStyle name="20% - 강조색5 4 3 2 2 2" xfId="8536"/>
    <cellStyle name="20% - 강조색5 4 3 2 2 2 2" xfId="8537"/>
    <cellStyle name="20% - 강조색5 4 3 2 2 2 2 2" xfId="8538"/>
    <cellStyle name="20% - 강조색5 4 3 2 2 2 2 3" xfId="8539"/>
    <cellStyle name="20% - 강조색5 4 3 2 2 2 3" xfId="8540"/>
    <cellStyle name="20% - 강조색5 4 3 2 2 2 4" xfId="8541"/>
    <cellStyle name="20% - 강조색5 4 3 2 2 3" xfId="8542"/>
    <cellStyle name="20% - 강조색5 4 3 2 2 3 2" xfId="8543"/>
    <cellStyle name="20% - 강조색5 4 3 2 2 3 3" xfId="8544"/>
    <cellStyle name="20% - 강조색5 4 3 2 2 4" xfId="8545"/>
    <cellStyle name="20% - 강조색5 4 3 2 2 5" xfId="8546"/>
    <cellStyle name="20% - 강조색5 4 3 2 3" xfId="8547"/>
    <cellStyle name="20% - 강조색5 4 3 2 3 2" xfId="8548"/>
    <cellStyle name="20% - 강조색5 4 3 2 3 2 2" xfId="8549"/>
    <cellStyle name="20% - 강조색5 4 3 2 3 2 2 2" xfId="8550"/>
    <cellStyle name="20% - 강조색5 4 3 2 3 2 2 3" xfId="8551"/>
    <cellStyle name="20% - 강조색5 4 3 2 3 2 3" xfId="8552"/>
    <cellStyle name="20% - 강조색5 4 3 2 3 2 4" xfId="8553"/>
    <cellStyle name="20% - 강조색5 4 3 2 3 3" xfId="8554"/>
    <cellStyle name="20% - 강조색5 4 3 2 3 3 2" xfId="8555"/>
    <cellStyle name="20% - 강조색5 4 3 2 3 3 3" xfId="8556"/>
    <cellStyle name="20% - 강조색5 4 3 2 3 4" xfId="8557"/>
    <cellStyle name="20% - 강조색5 4 3 2 3 5" xfId="8558"/>
    <cellStyle name="20% - 강조색5 4 3 2 4" xfId="8559"/>
    <cellStyle name="20% - 강조색5 4 3 2 4 2" xfId="8560"/>
    <cellStyle name="20% - 강조색5 4 3 2 4 2 2" xfId="8561"/>
    <cellStyle name="20% - 강조색5 4 3 2 4 2 3" xfId="8562"/>
    <cellStyle name="20% - 강조색5 4 3 2 4 3" xfId="8563"/>
    <cellStyle name="20% - 강조색5 4 3 2 4 4" xfId="8564"/>
    <cellStyle name="20% - 강조색5 4 3 2 5" xfId="8565"/>
    <cellStyle name="20% - 강조색5 4 3 2 5 2" xfId="8566"/>
    <cellStyle name="20% - 강조색5 4 3 2 5 3" xfId="8567"/>
    <cellStyle name="20% - 강조색5 4 3 2 6" xfId="8568"/>
    <cellStyle name="20% - 강조색5 4 3 2 7" xfId="8569"/>
    <cellStyle name="20% - 강조색5 4 3 3" xfId="8570"/>
    <cellStyle name="20% - 강조색5 4 3 3 2" xfId="8571"/>
    <cellStyle name="20% - 강조색5 4 3 3 2 2" xfId="8572"/>
    <cellStyle name="20% - 강조색5 4 3 3 2 2 2" xfId="8573"/>
    <cellStyle name="20% - 강조색5 4 3 3 2 2 2 2" xfId="8574"/>
    <cellStyle name="20% - 강조색5 4 3 3 2 2 2 3" xfId="8575"/>
    <cellStyle name="20% - 강조색5 4 3 3 2 2 3" xfId="8576"/>
    <cellStyle name="20% - 강조색5 4 3 3 2 2 4" xfId="8577"/>
    <cellStyle name="20% - 강조색5 4 3 3 2 3" xfId="8578"/>
    <cellStyle name="20% - 강조색5 4 3 3 2 3 2" xfId="8579"/>
    <cellStyle name="20% - 강조색5 4 3 3 2 3 3" xfId="8580"/>
    <cellStyle name="20% - 강조색5 4 3 3 2 4" xfId="8581"/>
    <cellStyle name="20% - 강조색5 4 3 3 2 5" xfId="8582"/>
    <cellStyle name="20% - 강조색5 4 3 3 3" xfId="8583"/>
    <cellStyle name="20% - 강조색5 4 3 3 3 2" xfId="8584"/>
    <cellStyle name="20% - 강조색5 4 3 3 3 2 2" xfId="8585"/>
    <cellStyle name="20% - 강조색5 4 3 3 3 2 2 2" xfId="8586"/>
    <cellStyle name="20% - 강조색5 4 3 3 3 2 2 3" xfId="8587"/>
    <cellStyle name="20% - 강조색5 4 3 3 3 2 3" xfId="8588"/>
    <cellStyle name="20% - 강조색5 4 3 3 3 2 4" xfId="8589"/>
    <cellStyle name="20% - 강조색5 4 3 3 3 3" xfId="8590"/>
    <cellStyle name="20% - 강조색5 4 3 3 3 3 2" xfId="8591"/>
    <cellStyle name="20% - 강조색5 4 3 3 3 3 3" xfId="8592"/>
    <cellStyle name="20% - 강조색5 4 3 3 3 4" xfId="8593"/>
    <cellStyle name="20% - 강조색5 4 3 3 3 5" xfId="8594"/>
    <cellStyle name="20% - 강조색5 4 3 3 4" xfId="8595"/>
    <cellStyle name="20% - 강조색5 4 3 3 4 2" xfId="8596"/>
    <cellStyle name="20% - 강조색5 4 3 3 4 2 2" xfId="8597"/>
    <cellStyle name="20% - 강조색5 4 3 3 4 2 3" xfId="8598"/>
    <cellStyle name="20% - 강조색5 4 3 3 4 3" xfId="8599"/>
    <cellStyle name="20% - 강조색5 4 3 3 4 4" xfId="8600"/>
    <cellStyle name="20% - 강조색5 4 3 3 5" xfId="8601"/>
    <cellStyle name="20% - 강조색5 4 3 3 5 2" xfId="8602"/>
    <cellStyle name="20% - 강조색5 4 3 3 5 3" xfId="8603"/>
    <cellStyle name="20% - 강조색5 4 3 3 6" xfId="8604"/>
    <cellStyle name="20% - 강조색5 4 3 3 7" xfId="8605"/>
    <cellStyle name="20% - 강조색5 4 3 4" xfId="8606"/>
    <cellStyle name="20% - 강조색5 4 3 4 2" xfId="8607"/>
    <cellStyle name="20% - 강조색5 4 3 4 2 2" xfId="8608"/>
    <cellStyle name="20% - 강조색5 4 3 4 2 2 2" xfId="8609"/>
    <cellStyle name="20% - 강조색5 4 3 4 2 2 3" xfId="8610"/>
    <cellStyle name="20% - 강조색5 4 3 4 2 3" xfId="8611"/>
    <cellStyle name="20% - 강조색5 4 3 4 2 4" xfId="8612"/>
    <cellStyle name="20% - 강조색5 4 3 4 3" xfId="8613"/>
    <cellStyle name="20% - 강조색5 4 3 4 3 2" xfId="8614"/>
    <cellStyle name="20% - 강조색5 4 3 4 3 3" xfId="8615"/>
    <cellStyle name="20% - 강조색5 4 3 4 4" xfId="8616"/>
    <cellStyle name="20% - 강조색5 4 3 4 5" xfId="8617"/>
    <cellStyle name="20% - 강조색5 4 3 5" xfId="8618"/>
    <cellStyle name="20% - 강조색5 4 3 5 2" xfId="8619"/>
    <cellStyle name="20% - 강조색5 4 3 5 2 2" xfId="8620"/>
    <cellStyle name="20% - 강조색5 4 3 5 2 2 2" xfId="8621"/>
    <cellStyle name="20% - 강조색5 4 3 5 2 2 3" xfId="8622"/>
    <cellStyle name="20% - 강조색5 4 3 5 2 3" xfId="8623"/>
    <cellStyle name="20% - 강조색5 4 3 5 2 4" xfId="8624"/>
    <cellStyle name="20% - 강조색5 4 3 5 3" xfId="8625"/>
    <cellStyle name="20% - 강조색5 4 3 5 3 2" xfId="8626"/>
    <cellStyle name="20% - 강조색5 4 3 5 3 3" xfId="8627"/>
    <cellStyle name="20% - 강조색5 4 3 5 4" xfId="8628"/>
    <cellStyle name="20% - 강조색5 4 3 5 5" xfId="8629"/>
    <cellStyle name="20% - 강조색5 4 3 6" xfId="8630"/>
    <cellStyle name="20% - 강조색5 4 3 6 2" xfId="8631"/>
    <cellStyle name="20% - 강조색5 4 3 6 2 2" xfId="8632"/>
    <cellStyle name="20% - 강조색5 4 3 6 2 2 2" xfId="8633"/>
    <cellStyle name="20% - 강조색5 4 3 6 2 2 3" xfId="8634"/>
    <cellStyle name="20% - 강조색5 4 3 6 2 3" xfId="8635"/>
    <cellStyle name="20% - 강조색5 4 3 6 2 4" xfId="8636"/>
    <cellStyle name="20% - 강조색5 4 3 6 3" xfId="8637"/>
    <cellStyle name="20% - 강조색5 4 3 6 3 2" xfId="8638"/>
    <cellStyle name="20% - 강조색5 4 3 6 3 3" xfId="8639"/>
    <cellStyle name="20% - 강조색5 4 3 6 4" xfId="8640"/>
    <cellStyle name="20% - 강조색5 4 3 6 5" xfId="8641"/>
    <cellStyle name="20% - 강조색5 4 3 7" xfId="8642"/>
    <cellStyle name="20% - 강조색5 4 3 7 2" xfId="8643"/>
    <cellStyle name="20% - 강조색5 4 3 7 2 2" xfId="8644"/>
    <cellStyle name="20% - 강조색5 4 3 7 2 3" xfId="8645"/>
    <cellStyle name="20% - 강조색5 4 3 7 3" xfId="8646"/>
    <cellStyle name="20% - 강조색5 4 3 7 4" xfId="8647"/>
    <cellStyle name="20% - 강조색5 4 3 8" xfId="8648"/>
    <cellStyle name="20% - 강조색5 4 3 8 2" xfId="8649"/>
    <cellStyle name="20% - 강조색5 4 3 8 3" xfId="8650"/>
    <cellStyle name="20% - 강조색5 4 3 9" xfId="8651"/>
    <cellStyle name="20% - 강조색5 4 4" xfId="8652"/>
    <cellStyle name="20% - 강조색5 4 4 10" xfId="8653"/>
    <cellStyle name="20% - 강조색5 4 4 2" xfId="8654"/>
    <cellStyle name="20% - 강조색5 4 4 2 2" xfId="8655"/>
    <cellStyle name="20% - 강조색5 4 4 2 2 2" xfId="8656"/>
    <cellStyle name="20% - 강조색5 4 4 2 2 2 2" xfId="8657"/>
    <cellStyle name="20% - 강조색5 4 4 2 2 2 2 2" xfId="8658"/>
    <cellStyle name="20% - 강조색5 4 4 2 2 2 2 3" xfId="8659"/>
    <cellStyle name="20% - 강조색5 4 4 2 2 2 3" xfId="8660"/>
    <cellStyle name="20% - 강조색5 4 4 2 2 2 4" xfId="8661"/>
    <cellStyle name="20% - 강조색5 4 4 2 2 3" xfId="8662"/>
    <cellStyle name="20% - 강조색5 4 4 2 2 3 2" xfId="8663"/>
    <cellStyle name="20% - 강조색5 4 4 2 2 3 3" xfId="8664"/>
    <cellStyle name="20% - 강조색5 4 4 2 2 4" xfId="8665"/>
    <cellStyle name="20% - 강조색5 4 4 2 2 5" xfId="8666"/>
    <cellStyle name="20% - 강조색5 4 4 2 3" xfId="8667"/>
    <cellStyle name="20% - 강조색5 4 4 2 3 2" xfId="8668"/>
    <cellStyle name="20% - 강조색5 4 4 2 3 2 2" xfId="8669"/>
    <cellStyle name="20% - 강조색5 4 4 2 3 2 2 2" xfId="8670"/>
    <cellStyle name="20% - 강조색5 4 4 2 3 2 2 3" xfId="8671"/>
    <cellStyle name="20% - 강조색5 4 4 2 3 2 3" xfId="8672"/>
    <cellStyle name="20% - 강조색5 4 4 2 3 2 4" xfId="8673"/>
    <cellStyle name="20% - 강조색5 4 4 2 3 3" xfId="8674"/>
    <cellStyle name="20% - 강조색5 4 4 2 3 3 2" xfId="8675"/>
    <cellStyle name="20% - 강조색5 4 4 2 3 3 3" xfId="8676"/>
    <cellStyle name="20% - 강조색5 4 4 2 3 4" xfId="8677"/>
    <cellStyle name="20% - 강조색5 4 4 2 3 5" xfId="8678"/>
    <cellStyle name="20% - 강조색5 4 4 2 4" xfId="8679"/>
    <cellStyle name="20% - 강조색5 4 4 2 4 2" xfId="8680"/>
    <cellStyle name="20% - 강조색5 4 4 2 4 2 2" xfId="8681"/>
    <cellStyle name="20% - 강조색5 4 4 2 4 2 3" xfId="8682"/>
    <cellStyle name="20% - 강조색5 4 4 2 4 3" xfId="8683"/>
    <cellStyle name="20% - 강조색5 4 4 2 4 4" xfId="8684"/>
    <cellStyle name="20% - 강조색5 4 4 2 5" xfId="8685"/>
    <cellStyle name="20% - 강조색5 4 4 2 5 2" xfId="8686"/>
    <cellStyle name="20% - 강조색5 4 4 2 5 3" xfId="8687"/>
    <cellStyle name="20% - 강조색5 4 4 2 6" xfId="8688"/>
    <cellStyle name="20% - 강조색5 4 4 2 7" xfId="8689"/>
    <cellStyle name="20% - 강조색5 4 4 3" xfId="8690"/>
    <cellStyle name="20% - 강조색5 4 4 3 2" xfId="8691"/>
    <cellStyle name="20% - 강조색5 4 4 3 2 2" xfId="8692"/>
    <cellStyle name="20% - 강조색5 4 4 3 2 2 2" xfId="8693"/>
    <cellStyle name="20% - 강조색5 4 4 3 2 2 2 2" xfId="8694"/>
    <cellStyle name="20% - 강조색5 4 4 3 2 2 2 3" xfId="8695"/>
    <cellStyle name="20% - 강조색5 4 4 3 2 2 3" xfId="8696"/>
    <cellStyle name="20% - 강조색5 4 4 3 2 2 4" xfId="8697"/>
    <cellStyle name="20% - 강조색5 4 4 3 2 3" xfId="8698"/>
    <cellStyle name="20% - 강조색5 4 4 3 2 3 2" xfId="8699"/>
    <cellStyle name="20% - 강조색5 4 4 3 2 3 3" xfId="8700"/>
    <cellStyle name="20% - 강조색5 4 4 3 2 4" xfId="8701"/>
    <cellStyle name="20% - 강조색5 4 4 3 2 5" xfId="8702"/>
    <cellStyle name="20% - 강조색5 4 4 3 3" xfId="8703"/>
    <cellStyle name="20% - 강조색5 4 4 3 3 2" xfId="8704"/>
    <cellStyle name="20% - 강조색5 4 4 3 3 2 2" xfId="8705"/>
    <cellStyle name="20% - 강조색5 4 4 3 3 2 2 2" xfId="8706"/>
    <cellStyle name="20% - 강조색5 4 4 3 3 2 2 3" xfId="8707"/>
    <cellStyle name="20% - 강조색5 4 4 3 3 2 3" xfId="8708"/>
    <cellStyle name="20% - 강조색5 4 4 3 3 2 4" xfId="8709"/>
    <cellStyle name="20% - 강조색5 4 4 3 3 3" xfId="8710"/>
    <cellStyle name="20% - 강조색5 4 4 3 3 3 2" xfId="8711"/>
    <cellStyle name="20% - 강조색5 4 4 3 3 3 3" xfId="8712"/>
    <cellStyle name="20% - 강조색5 4 4 3 3 4" xfId="8713"/>
    <cellStyle name="20% - 강조색5 4 4 3 3 5" xfId="8714"/>
    <cellStyle name="20% - 강조색5 4 4 3 4" xfId="8715"/>
    <cellStyle name="20% - 강조색5 4 4 3 4 2" xfId="8716"/>
    <cellStyle name="20% - 강조색5 4 4 3 4 2 2" xfId="8717"/>
    <cellStyle name="20% - 강조색5 4 4 3 4 2 3" xfId="8718"/>
    <cellStyle name="20% - 강조색5 4 4 3 4 3" xfId="8719"/>
    <cellStyle name="20% - 강조색5 4 4 3 4 4" xfId="8720"/>
    <cellStyle name="20% - 강조색5 4 4 3 5" xfId="8721"/>
    <cellStyle name="20% - 강조색5 4 4 3 5 2" xfId="8722"/>
    <cellStyle name="20% - 강조색5 4 4 3 5 3" xfId="8723"/>
    <cellStyle name="20% - 강조색5 4 4 3 6" xfId="8724"/>
    <cellStyle name="20% - 강조색5 4 4 3 7" xfId="8725"/>
    <cellStyle name="20% - 강조색5 4 4 4" xfId="8726"/>
    <cellStyle name="20% - 강조색5 4 4 4 2" xfId="8727"/>
    <cellStyle name="20% - 강조색5 4 4 4 2 2" xfId="8728"/>
    <cellStyle name="20% - 강조색5 4 4 4 2 2 2" xfId="8729"/>
    <cellStyle name="20% - 강조색5 4 4 4 2 2 3" xfId="8730"/>
    <cellStyle name="20% - 강조색5 4 4 4 2 3" xfId="8731"/>
    <cellStyle name="20% - 강조색5 4 4 4 2 4" xfId="8732"/>
    <cellStyle name="20% - 강조색5 4 4 4 3" xfId="8733"/>
    <cellStyle name="20% - 강조색5 4 4 4 3 2" xfId="8734"/>
    <cellStyle name="20% - 강조색5 4 4 4 3 3" xfId="8735"/>
    <cellStyle name="20% - 강조색5 4 4 4 4" xfId="8736"/>
    <cellStyle name="20% - 강조색5 4 4 4 5" xfId="8737"/>
    <cellStyle name="20% - 강조색5 4 4 5" xfId="8738"/>
    <cellStyle name="20% - 강조색5 4 4 5 2" xfId="8739"/>
    <cellStyle name="20% - 강조색5 4 4 5 2 2" xfId="8740"/>
    <cellStyle name="20% - 강조색5 4 4 5 2 2 2" xfId="8741"/>
    <cellStyle name="20% - 강조색5 4 4 5 2 2 3" xfId="8742"/>
    <cellStyle name="20% - 강조색5 4 4 5 2 3" xfId="8743"/>
    <cellStyle name="20% - 강조색5 4 4 5 2 4" xfId="8744"/>
    <cellStyle name="20% - 강조색5 4 4 5 3" xfId="8745"/>
    <cellStyle name="20% - 강조색5 4 4 5 3 2" xfId="8746"/>
    <cellStyle name="20% - 강조색5 4 4 5 3 3" xfId="8747"/>
    <cellStyle name="20% - 강조색5 4 4 5 4" xfId="8748"/>
    <cellStyle name="20% - 강조색5 4 4 5 5" xfId="8749"/>
    <cellStyle name="20% - 강조색5 4 4 6" xfId="8750"/>
    <cellStyle name="20% - 강조색5 4 4 6 2" xfId="8751"/>
    <cellStyle name="20% - 강조색5 4 4 6 2 2" xfId="8752"/>
    <cellStyle name="20% - 강조색5 4 4 6 2 2 2" xfId="8753"/>
    <cellStyle name="20% - 강조색5 4 4 6 2 2 3" xfId="8754"/>
    <cellStyle name="20% - 강조색5 4 4 6 2 3" xfId="8755"/>
    <cellStyle name="20% - 강조색5 4 4 6 2 4" xfId="8756"/>
    <cellStyle name="20% - 강조색5 4 4 6 3" xfId="8757"/>
    <cellStyle name="20% - 강조색5 4 4 6 3 2" xfId="8758"/>
    <cellStyle name="20% - 강조색5 4 4 6 3 3" xfId="8759"/>
    <cellStyle name="20% - 강조색5 4 4 6 4" xfId="8760"/>
    <cellStyle name="20% - 강조색5 4 4 6 5" xfId="8761"/>
    <cellStyle name="20% - 강조색5 4 4 7" xfId="8762"/>
    <cellStyle name="20% - 강조색5 4 4 7 2" xfId="8763"/>
    <cellStyle name="20% - 강조색5 4 4 7 2 2" xfId="8764"/>
    <cellStyle name="20% - 강조색5 4 4 7 2 3" xfId="8765"/>
    <cellStyle name="20% - 강조색5 4 4 7 3" xfId="8766"/>
    <cellStyle name="20% - 강조색5 4 4 7 4" xfId="8767"/>
    <cellStyle name="20% - 강조색5 4 4 8" xfId="8768"/>
    <cellStyle name="20% - 강조색5 4 4 8 2" xfId="8769"/>
    <cellStyle name="20% - 강조색5 4 4 8 3" xfId="8770"/>
    <cellStyle name="20% - 강조색5 4 4 9" xfId="8771"/>
    <cellStyle name="20% - 강조색5 4 5" xfId="8772"/>
    <cellStyle name="20% - 강조색5 4 5 2" xfId="8773"/>
    <cellStyle name="20% - 강조색5 4 5 2 2" xfId="8774"/>
    <cellStyle name="20% - 강조색5 4 5 2 2 2" xfId="8775"/>
    <cellStyle name="20% - 강조색5 4 5 2 2 2 2" xfId="8776"/>
    <cellStyle name="20% - 강조색5 4 5 2 2 2 3" xfId="8777"/>
    <cellStyle name="20% - 강조색5 4 5 2 2 3" xfId="8778"/>
    <cellStyle name="20% - 강조색5 4 5 2 2 4" xfId="8779"/>
    <cellStyle name="20% - 강조색5 4 5 2 3" xfId="8780"/>
    <cellStyle name="20% - 강조색5 4 5 2 3 2" xfId="8781"/>
    <cellStyle name="20% - 강조색5 4 5 2 3 3" xfId="8782"/>
    <cellStyle name="20% - 강조색5 4 5 2 4" xfId="8783"/>
    <cellStyle name="20% - 강조색5 4 5 2 5" xfId="8784"/>
    <cellStyle name="20% - 강조색5 4 5 3" xfId="8785"/>
    <cellStyle name="20% - 강조색5 4 5 3 2" xfId="8786"/>
    <cellStyle name="20% - 강조색5 4 5 3 2 2" xfId="8787"/>
    <cellStyle name="20% - 강조색5 4 5 3 2 2 2" xfId="8788"/>
    <cellStyle name="20% - 강조색5 4 5 3 2 2 3" xfId="8789"/>
    <cellStyle name="20% - 강조색5 4 5 3 2 3" xfId="8790"/>
    <cellStyle name="20% - 강조색5 4 5 3 2 4" xfId="8791"/>
    <cellStyle name="20% - 강조색5 4 5 3 3" xfId="8792"/>
    <cellStyle name="20% - 강조색5 4 5 3 3 2" xfId="8793"/>
    <cellStyle name="20% - 강조색5 4 5 3 3 3" xfId="8794"/>
    <cellStyle name="20% - 강조색5 4 5 3 4" xfId="8795"/>
    <cellStyle name="20% - 강조색5 4 5 3 5" xfId="8796"/>
    <cellStyle name="20% - 강조색5 4 5 4" xfId="8797"/>
    <cellStyle name="20% - 강조색5 4 5 4 2" xfId="8798"/>
    <cellStyle name="20% - 강조색5 4 5 4 2 2" xfId="8799"/>
    <cellStyle name="20% - 강조색5 4 5 4 2 3" xfId="8800"/>
    <cellStyle name="20% - 강조색5 4 5 4 3" xfId="8801"/>
    <cellStyle name="20% - 강조색5 4 5 4 4" xfId="8802"/>
    <cellStyle name="20% - 강조색5 4 5 5" xfId="8803"/>
    <cellStyle name="20% - 강조색5 4 5 5 2" xfId="8804"/>
    <cellStyle name="20% - 강조색5 4 5 5 3" xfId="8805"/>
    <cellStyle name="20% - 강조색5 4 5 6" xfId="8806"/>
    <cellStyle name="20% - 강조색5 4 5 7" xfId="8807"/>
    <cellStyle name="20% - 강조색5 4 6" xfId="8808"/>
    <cellStyle name="20% - 강조색5 4 6 2" xfId="8809"/>
    <cellStyle name="20% - 강조색5 4 6 2 2" xfId="8810"/>
    <cellStyle name="20% - 강조색5 4 6 2 2 2" xfId="8811"/>
    <cellStyle name="20% - 강조색5 4 6 2 2 2 2" xfId="8812"/>
    <cellStyle name="20% - 강조색5 4 6 2 2 2 3" xfId="8813"/>
    <cellStyle name="20% - 강조색5 4 6 2 2 3" xfId="8814"/>
    <cellStyle name="20% - 강조색5 4 6 2 2 4" xfId="8815"/>
    <cellStyle name="20% - 강조색5 4 6 2 3" xfId="8816"/>
    <cellStyle name="20% - 강조색5 4 6 2 3 2" xfId="8817"/>
    <cellStyle name="20% - 강조색5 4 6 2 3 3" xfId="8818"/>
    <cellStyle name="20% - 강조색5 4 6 2 4" xfId="8819"/>
    <cellStyle name="20% - 강조색5 4 6 2 5" xfId="8820"/>
    <cellStyle name="20% - 강조색5 4 6 3" xfId="8821"/>
    <cellStyle name="20% - 강조색5 4 6 3 2" xfId="8822"/>
    <cellStyle name="20% - 강조색5 4 6 3 2 2" xfId="8823"/>
    <cellStyle name="20% - 강조색5 4 6 3 2 2 2" xfId="8824"/>
    <cellStyle name="20% - 강조색5 4 6 3 2 2 3" xfId="8825"/>
    <cellStyle name="20% - 강조색5 4 6 3 2 3" xfId="8826"/>
    <cellStyle name="20% - 강조색5 4 6 3 2 4" xfId="8827"/>
    <cellStyle name="20% - 강조색5 4 6 3 3" xfId="8828"/>
    <cellStyle name="20% - 강조색5 4 6 3 3 2" xfId="8829"/>
    <cellStyle name="20% - 강조색5 4 6 3 3 3" xfId="8830"/>
    <cellStyle name="20% - 강조색5 4 6 3 4" xfId="8831"/>
    <cellStyle name="20% - 강조색5 4 6 3 5" xfId="8832"/>
    <cellStyle name="20% - 강조색5 4 6 4" xfId="8833"/>
    <cellStyle name="20% - 강조색5 4 6 4 2" xfId="8834"/>
    <cellStyle name="20% - 강조색5 4 6 4 2 2" xfId="8835"/>
    <cellStyle name="20% - 강조색5 4 6 4 2 3" xfId="8836"/>
    <cellStyle name="20% - 강조색5 4 6 4 3" xfId="8837"/>
    <cellStyle name="20% - 강조색5 4 6 4 4" xfId="8838"/>
    <cellStyle name="20% - 강조색5 4 6 5" xfId="8839"/>
    <cellStyle name="20% - 강조색5 4 6 5 2" xfId="8840"/>
    <cellStyle name="20% - 강조색5 4 6 5 3" xfId="8841"/>
    <cellStyle name="20% - 강조색5 4 6 6" xfId="8842"/>
    <cellStyle name="20% - 강조색5 4 6 7" xfId="8843"/>
    <cellStyle name="20% - 강조색5 4 7" xfId="8844"/>
    <cellStyle name="20% - 강조색5 4 7 2" xfId="8845"/>
    <cellStyle name="20% - 강조색5 4 7 2 2" xfId="8846"/>
    <cellStyle name="20% - 강조색5 4 7 2 2 2" xfId="8847"/>
    <cellStyle name="20% - 강조색5 4 7 2 2 3" xfId="8848"/>
    <cellStyle name="20% - 강조색5 4 7 2 3" xfId="8849"/>
    <cellStyle name="20% - 강조색5 4 7 2 4" xfId="8850"/>
    <cellStyle name="20% - 강조색5 4 7 3" xfId="8851"/>
    <cellStyle name="20% - 강조색5 4 7 3 2" xfId="8852"/>
    <cellStyle name="20% - 강조색5 4 7 3 3" xfId="8853"/>
    <cellStyle name="20% - 강조색5 4 7 4" xfId="8854"/>
    <cellStyle name="20% - 강조색5 4 7 5" xfId="8855"/>
    <cellStyle name="20% - 강조색5 4 8" xfId="8856"/>
    <cellStyle name="20% - 강조색5 4 8 2" xfId="8857"/>
    <cellStyle name="20% - 강조색5 4 8 2 2" xfId="8858"/>
    <cellStyle name="20% - 강조색5 4 8 2 2 2" xfId="8859"/>
    <cellStyle name="20% - 강조색5 4 8 2 2 3" xfId="8860"/>
    <cellStyle name="20% - 강조색5 4 8 2 3" xfId="8861"/>
    <cellStyle name="20% - 강조색5 4 8 2 4" xfId="8862"/>
    <cellStyle name="20% - 강조색5 4 8 3" xfId="8863"/>
    <cellStyle name="20% - 강조색5 4 8 3 2" xfId="8864"/>
    <cellStyle name="20% - 강조색5 4 8 3 3" xfId="8865"/>
    <cellStyle name="20% - 강조색5 4 8 4" xfId="8866"/>
    <cellStyle name="20% - 강조색5 4 8 5" xfId="8867"/>
    <cellStyle name="20% - 강조색5 4 9" xfId="8868"/>
    <cellStyle name="20% - 강조색5 4 9 2" xfId="8869"/>
    <cellStyle name="20% - 강조색5 4 9 2 2" xfId="8870"/>
    <cellStyle name="20% - 강조색5 4 9 2 2 2" xfId="8871"/>
    <cellStyle name="20% - 강조색5 4 9 2 2 3" xfId="8872"/>
    <cellStyle name="20% - 강조색5 4 9 2 3" xfId="8873"/>
    <cellStyle name="20% - 강조색5 4 9 2 4" xfId="8874"/>
    <cellStyle name="20% - 강조색5 4 9 3" xfId="8875"/>
    <cellStyle name="20% - 강조색5 4 9 3 2" xfId="8876"/>
    <cellStyle name="20% - 강조색5 4 9 3 3" xfId="8877"/>
    <cellStyle name="20% - 강조색5 4 9 4" xfId="8878"/>
    <cellStyle name="20% - 강조색5 4 9 5" xfId="8879"/>
    <cellStyle name="20% - 강조색5 40" xfId="8880"/>
    <cellStyle name="20% - 강조색5 41" xfId="8881"/>
    <cellStyle name="20% - 강조색5 42" xfId="8882"/>
    <cellStyle name="20% - 강조색5 43" xfId="8883"/>
    <cellStyle name="20% - 강조색5 44" xfId="8884"/>
    <cellStyle name="20% - 강조색5 45" xfId="8885"/>
    <cellStyle name="20% - 강조색5 46" xfId="8886"/>
    <cellStyle name="20% - 강조색5 47" xfId="8887"/>
    <cellStyle name="20% - 강조색5 48" xfId="8888"/>
    <cellStyle name="20% - 강조색5 49" xfId="8889"/>
    <cellStyle name="20% - 강조색5 5" xfId="8890"/>
    <cellStyle name="20% - 강조색5 5 10" xfId="8891"/>
    <cellStyle name="20% - 강조색5 5 11" xfId="8892"/>
    <cellStyle name="20% - 강조색5 5 2" xfId="8893"/>
    <cellStyle name="20% - 강조색5 5 2 2" xfId="8894"/>
    <cellStyle name="20% - 강조색5 5 2 2 2" xfId="8895"/>
    <cellStyle name="20% - 강조색5 5 2 2 2 2" xfId="8896"/>
    <cellStyle name="20% - 강조색5 5 2 2 2 2 2" xfId="8897"/>
    <cellStyle name="20% - 강조색5 5 2 2 2 2 3" xfId="8898"/>
    <cellStyle name="20% - 강조색5 5 2 2 2 3" xfId="8899"/>
    <cellStyle name="20% - 강조색5 5 2 2 2 4" xfId="8900"/>
    <cellStyle name="20% - 강조색5 5 2 2 3" xfId="8901"/>
    <cellStyle name="20% - 강조색5 5 2 2 3 2" xfId="8902"/>
    <cellStyle name="20% - 강조색5 5 2 2 3 3" xfId="8903"/>
    <cellStyle name="20% - 강조색5 5 2 2 4" xfId="8904"/>
    <cellStyle name="20% - 강조색5 5 2 2 5" xfId="8905"/>
    <cellStyle name="20% - 강조색5 5 2 3" xfId="8906"/>
    <cellStyle name="20% - 강조색5 5 2 3 2" xfId="8907"/>
    <cellStyle name="20% - 강조색5 5 2 3 2 2" xfId="8908"/>
    <cellStyle name="20% - 강조색5 5 2 3 2 2 2" xfId="8909"/>
    <cellStyle name="20% - 강조색5 5 2 3 2 2 3" xfId="8910"/>
    <cellStyle name="20% - 강조색5 5 2 3 2 3" xfId="8911"/>
    <cellStyle name="20% - 강조색5 5 2 3 2 4" xfId="8912"/>
    <cellStyle name="20% - 강조색5 5 2 3 3" xfId="8913"/>
    <cellStyle name="20% - 강조색5 5 2 3 3 2" xfId="8914"/>
    <cellStyle name="20% - 강조색5 5 2 3 3 3" xfId="8915"/>
    <cellStyle name="20% - 강조색5 5 2 3 4" xfId="8916"/>
    <cellStyle name="20% - 강조색5 5 2 3 5" xfId="8917"/>
    <cellStyle name="20% - 강조색5 5 2 4" xfId="8918"/>
    <cellStyle name="20% - 강조색5 5 2 4 2" xfId="8919"/>
    <cellStyle name="20% - 강조색5 5 2 4 2 2" xfId="8920"/>
    <cellStyle name="20% - 강조색5 5 2 4 2 3" xfId="8921"/>
    <cellStyle name="20% - 강조색5 5 2 4 3" xfId="8922"/>
    <cellStyle name="20% - 강조색5 5 2 4 4" xfId="8923"/>
    <cellStyle name="20% - 강조색5 5 2 5" xfId="8924"/>
    <cellStyle name="20% - 강조색5 5 2 5 2" xfId="8925"/>
    <cellStyle name="20% - 강조색5 5 2 5 3" xfId="8926"/>
    <cellStyle name="20% - 강조색5 5 2 6" xfId="8927"/>
    <cellStyle name="20% - 강조색5 5 2 7" xfId="8928"/>
    <cellStyle name="20% - 강조색5 5 3" xfId="8929"/>
    <cellStyle name="20% - 강조색5 5 3 2" xfId="8930"/>
    <cellStyle name="20% - 강조색5 5 3 2 2" xfId="8931"/>
    <cellStyle name="20% - 강조색5 5 3 2 2 2" xfId="8932"/>
    <cellStyle name="20% - 강조색5 5 3 2 2 2 2" xfId="8933"/>
    <cellStyle name="20% - 강조색5 5 3 2 2 2 3" xfId="8934"/>
    <cellStyle name="20% - 강조색5 5 3 2 2 3" xfId="8935"/>
    <cellStyle name="20% - 강조색5 5 3 2 2 4" xfId="8936"/>
    <cellStyle name="20% - 강조색5 5 3 2 3" xfId="8937"/>
    <cellStyle name="20% - 강조색5 5 3 2 3 2" xfId="8938"/>
    <cellStyle name="20% - 강조색5 5 3 2 3 3" xfId="8939"/>
    <cellStyle name="20% - 강조색5 5 3 2 4" xfId="8940"/>
    <cellStyle name="20% - 강조색5 5 3 2 5" xfId="8941"/>
    <cellStyle name="20% - 강조색5 5 3 3" xfId="8942"/>
    <cellStyle name="20% - 강조색5 5 3 3 2" xfId="8943"/>
    <cellStyle name="20% - 강조색5 5 3 3 2 2" xfId="8944"/>
    <cellStyle name="20% - 강조색5 5 3 3 2 2 2" xfId="8945"/>
    <cellStyle name="20% - 강조색5 5 3 3 2 2 3" xfId="8946"/>
    <cellStyle name="20% - 강조색5 5 3 3 2 3" xfId="8947"/>
    <cellStyle name="20% - 강조색5 5 3 3 2 4" xfId="8948"/>
    <cellStyle name="20% - 강조색5 5 3 3 3" xfId="8949"/>
    <cellStyle name="20% - 강조색5 5 3 3 3 2" xfId="8950"/>
    <cellStyle name="20% - 강조색5 5 3 3 3 3" xfId="8951"/>
    <cellStyle name="20% - 강조색5 5 3 3 4" xfId="8952"/>
    <cellStyle name="20% - 강조색5 5 3 3 5" xfId="8953"/>
    <cellStyle name="20% - 강조색5 5 3 4" xfId="8954"/>
    <cellStyle name="20% - 강조색5 5 3 4 2" xfId="8955"/>
    <cellStyle name="20% - 강조색5 5 3 4 2 2" xfId="8956"/>
    <cellStyle name="20% - 강조색5 5 3 4 2 3" xfId="8957"/>
    <cellStyle name="20% - 강조색5 5 3 4 3" xfId="8958"/>
    <cellStyle name="20% - 강조색5 5 3 4 4" xfId="8959"/>
    <cellStyle name="20% - 강조색5 5 3 5" xfId="8960"/>
    <cellStyle name="20% - 강조색5 5 3 5 2" xfId="8961"/>
    <cellStyle name="20% - 강조색5 5 3 5 3" xfId="8962"/>
    <cellStyle name="20% - 강조색5 5 3 6" xfId="8963"/>
    <cellStyle name="20% - 강조색5 5 3 7" xfId="8964"/>
    <cellStyle name="20% - 강조색5 5 4" xfId="8965"/>
    <cellStyle name="20% - 강조색5 5 4 2" xfId="8966"/>
    <cellStyle name="20% - 강조색5 5 4 2 2" xfId="8967"/>
    <cellStyle name="20% - 강조색5 5 4 2 2 2" xfId="8968"/>
    <cellStyle name="20% - 강조색5 5 4 2 2 3" xfId="8969"/>
    <cellStyle name="20% - 강조색5 5 4 2 3" xfId="8970"/>
    <cellStyle name="20% - 강조색5 5 4 2 4" xfId="8971"/>
    <cellStyle name="20% - 강조색5 5 4 3" xfId="8972"/>
    <cellStyle name="20% - 강조색5 5 4 3 2" xfId="8973"/>
    <cellStyle name="20% - 강조색5 5 4 3 3" xfId="8974"/>
    <cellStyle name="20% - 강조색5 5 4 4" xfId="8975"/>
    <cellStyle name="20% - 강조색5 5 4 5" xfId="8976"/>
    <cellStyle name="20% - 강조색5 5 5" xfId="8977"/>
    <cellStyle name="20% - 강조색5 5 5 2" xfId="8978"/>
    <cellStyle name="20% - 강조색5 5 5 2 2" xfId="8979"/>
    <cellStyle name="20% - 강조색5 5 5 2 2 2" xfId="8980"/>
    <cellStyle name="20% - 강조색5 5 5 2 2 3" xfId="8981"/>
    <cellStyle name="20% - 강조색5 5 5 2 3" xfId="8982"/>
    <cellStyle name="20% - 강조색5 5 5 2 4" xfId="8983"/>
    <cellStyle name="20% - 강조색5 5 5 3" xfId="8984"/>
    <cellStyle name="20% - 강조색5 5 5 3 2" xfId="8985"/>
    <cellStyle name="20% - 강조색5 5 5 3 3" xfId="8986"/>
    <cellStyle name="20% - 강조색5 5 5 4" xfId="8987"/>
    <cellStyle name="20% - 강조색5 5 5 5" xfId="8988"/>
    <cellStyle name="20% - 강조색5 5 6" xfId="8989"/>
    <cellStyle name="20% - 강조색5 5 6 2" xfId="8990"/>
    <cellStyle name="20% - 강조색5 5 6 2 2" xfId="8991"/>
    <cellStyle name="20% - 강조색5 5 6 2 2 2" xfId="8992"/>
    <cellStyle name="20% - 강조색5 5 6 2 2 3" xfId="8993"/>
    <cellStyle name="20% - 강조색5 5 6 2 3" xfId="8994"/>
    <cellStyle name="20% - 강조색5 5 6 2 4" xfId="8995"/>
    <cellStyle name="20% - 강조색5 5 6 3" xfId="8996"/>
    <cellStyle name="20% - 강조색5 5 6 3 2" xfId="8997"/>
    <cellStyle name="20% - 강조색5 5 6 3 3" xfId="8998"/>
    <cellStyle name="20% - 강조색5 5 6 4" xfId="8999"/>
    <cellStyle name="20% - 강조색5 5 6 5" xfId="9000"/>
    <cellStyle name="20% - 강조색5 5 7" xfId="9001"/>
    <cellStyle name="20% - 강조색5 5 7 2" xfId="9002"/>
    <cellStyle name="20% - 강조색5 5 7 2 2" xfId="9003"/>
    <cellStyle name="20% - 강조색5 5 7 2 3" xfId="9004"/>
    <cellStyle name="20% - 강조색5 5 7 3" xfId="9005"/>
    <cellStyle name="20% - 강조색5 5 7 4" xfId="9006"/>
    <cellStyle name="20% - 강조색5 5 8" xfId="9007"/>
    <cellStyle name="20% - 강조색5 5 8 2" xfId="9008"/>
    <cellStyle name="20% - 강조색5 5 8 3" xfId="9009"/>
    <cellStyle name="20% - 강조색5 5 9" xfId="9010"/>
    <cellStyle name="20% - 강조색5 50" xfId="9011"/>
    <cellStyle name="20% - 강조색5 51" xfId="9012"/>
    <cellStyle name="20% - 강조색5 52" xfId="9013"/>
    <cellStyle name="20% - 강조색5 53" xfId="9014"/>
    <cellStyle name="20% - 강조색5 54" xfId="9015"/>
    <cellStyle name="20% - 강조색5 55" xfId="9016"/>
    <cellStyle name="20% - 강조색5 56" xfId="9017"/>
    <cellStyle name="20% - 강조색5 57" xfId="9018"/>
    <cellStyle name="20% - 강조색5 58" xfId="9019"/>
    <cellStyle name="20% - 강조색5 59" xfId="9020"/>
    <cellStyle name="20% - 강조색5 6" xfId="9021"/>
    <cellStyle name="20% - 강조색5 6 10" xfId="9022"/>
    <cellStyle name="20% - 강조색5 6 2" xfId="9023"/>
    <cellStyle name="20% - 강조색5 6 2 2" xfId="9024"/>
    <cellStyle name="20% - 강조색5 6 2 2 2" xfId="9025"/>
    <cellStyle name="20% - 강조색5 6 2 2 2 2" xfId="9026"/>
    <cellStyle name="20% - 강조색5 6 2 2 2 2 2" xfId="9027"/>
    <cellStyle name="20% - 강조색5 6 2 2 2 2 3" xfId="9028"/>
    <cellStyle name="20% - 강조색5 6 2 2 2 3" xfId="9029"/>
    <cellStyle name="20% - 강조색5 6 2 2 2 4" xfId="9030"/>
    <cellStyle name="20% - 강조색5 6 2 2 3" xfId="9031"/>
    <cellStyle name="20% - 강조색5 6 2 2 3 2" xfId="9032"/>
    <cellStyle name="20% - 강조색5 6 2 2 3 3" xfId="9033"/>
    <cellStyle name="20% - 강조색5 6 2 2 4" xfId="9034"/>
    <cellStyle name="20% - 강조색5 6 2 2 5" xfId="9035"/>
    <cellStyle name="20% - 강조색5 6 2 3" xfId="9036"/>
    <cellStyle name="20% - 강조색5 6 2 3 2" xfId="9037"/>
    <cellStyle name="20% - 강조색5 6 2 3 2 2" xfId="9038"/>
    <cellStyle name="20% - 강조색5 6 2 3 2 2 2" xfId="9039"/>
    <cellStyle name="20% - 강조색5 6 2 3 2 2 3" xfId="9040"/>
    <cellStyle name="20% - 강조색5 6 2 3 2 3" xfId="9041"/>
    <cellStyle name="20% - 강조색5 6 2 3 2 4" xfId="9042"/>
    <cellStyle name="20% - 강조색5 6 2 3 3" xfId="9043"/>
    <cellStyle name="20% - 강조색5 6 2 3 3 2" xfId="9044"/>
    <cellStyle name="20% - 강조색5 6 2 3 3 3" xfId="9045"/>
    <cellStyle name="20% - 강조색5 6 2 3 4" xfId="9046"/>
    <cellStyle name="20% - 강조색5 6 2 3 5" xfId="9047"/>
    <cellStyle name="20% - 강조색5 6 2 4" xfId="9048"/>
    <cellStyle name="20% - 강조색5 6 2 4 2" xfId="9049"/>
    <cellStyle name="20% - 강조색5 6 2 4 2 2" xfId="9050"/>
    <cellStyle name="20% - 강조색5 6 2 4 2 3" xfId="9051"/>
    <cellStyle name="20% - 강조색5 6 2 4 3" xfId="9052"/>
    <cellStyle name="20% - 강조색5 6 2 4 4" xfId="9053"/>
    <cellStyle name="20% - 강조색5 6 2 5" xfId="9054"/>
    <cellStyle name="20% - 강조색5 6 2 5 2" xfId="9055"/>
    <cellStyle name="20% - 강조색5 6 2 5 3" xfId="9056"/>
    <cellStyle name="20% - 강조색5 6 2 6" xfId="9057"/>
    <cellStyle name="20% - 강조색5 6 2 7" xfId="9058"/>
    <cellStyle name="20% - 강조색5 6 3" xfId="9059"/>
    <cellStyle name="20% - 강조색5 6 3 2" xfId="9060"/>
    <cellStyle name="20% - 강조색5 6 3 2 2" xfId="9061"/>
    <cellStyle name="20% - 강조색5 6 3 2 2 2" xfId="9062"/>
    <cellStyle name="20% - 강조색5 6 3 2 2 2 2" xfId="9063"/>
    <cellStyle name="20% - 강조색5 6 3 2 2 2 3" xfId="9064"/>
    <cellStyle name="20% - 강조색5 6 3 2 2 3" xfId="9065"/>
    <cellStyle name="20% - 강조색5 6 3 2 2 4" xfId="9066"/>
    <cellStyle name="20% - 강조색5 6 3 2 3" xfId="9067"/>
    <cellStyle name="20% - 강조색5 6 3 2 3 2" xfId="9068"/>
    <cellStyle name="20% - 강조색5 6 3 2 3 3" xfId="9069"/>
    <cellStyle name="20% - 강조색5 6 3 2 4" xfId="9070"/>
    <cellStyle name="20% - 강조색5 6 3 2 5" xfId="9071"/>
    <cellStyle name="20% - 강조색5 6 3 3" xfId="9072"/>
    <cellStyle name="20% - 강조색5 6 3 3 2" xfId="9073"/>
    <cellStyle name="20% - 강조색5 6 3 3 2 2" xfId="9074"/>
    <cellStyle name="20% - 강조색5 6 3 3 2 2 2" xfId="9075"/>
    <cellStyle name="20% - 강조색5 6 3 3 2 2 3" xfId="9076"/>
    <cellStyle name="20% - 강조색5 6 3 3 2 3" xfId="9077"/>
    <cellStyle name="20% - 강조색5 6 3 3 2 4" xfId="9078"/>
    <cellStyle name="20% - 강조색5 6 3 3 3" xfId="9079"/>
    <cellStyle name="20% - 강조색5 6 3 3 3 2" xfId="9080"/>
    <cellStyle name="20% - 강조색5 6 3 3 3 3" xfId="9081"/>
    <cellStyle name="20% - 강조색5 6 3 3 4" xfId="9082"/>
    <cellStyle name="20% - 강조색5 6 3 3 5" xfId="9083"/>
    <cellStyle name="20% - 강조색5 6 3 4" xfId="9084"/>
    <cellStyle name="20% - 강조색5 6 3 4 2" xfId="9085"/>
    <cellStyle name="20% - 강조색5 6 3 4 2 2" xfId="9086"/>
    <cellStyle name="20% - 강조색5 6 3 4 2 3" xfId="9087"/>
    <cellStyle name="20% - 강조색5 6 3 4 3" xfId="9088"/>
    <cellStyle name="20% - 강조색5 6 3 4 4" xfId="9089"/>
    <cellStyle name="20% - 강조색5 6 3 5" xfId="9090"/>
    <cellStyle name="20% - 강조색5 6 3 5 2" xfId="9091"/>
    <cellStyle name="20% - 강조색5 6 3 5 3" xfId="9092"/>
    <cellStyle name="20% - 강조색5 6 3 6" xfId="9093"/>
    <cellStyle name="20% - 강조색5 6 3 7" xfId="9094"/>
    <cellStyle name="20% - 강조색5 6 4" xfId="9095"/>
    <cellStyle name="20% - 강조색5 6 4 2" xfId="9096"/>
    <cellStyle name="20% - 강조색5 6 4 2 2" xfId="9097"/>
    <cellStyle name="20% - 강조색5 6 4 2 2 2" xfId="9098"/>
    <cellStyle name="20% - 강조색5 6 4 2 2 3" xfId="9099"/>
    <cellStyle name="20% - 강조색5 6 4 2 3" xfId="9100"/>
    <cellStyle name="20% - 강조색5 6 4 2 4" xfId="9101"/>
    <cellStyle name="20% - 강조색5 6 4 3" xfId="9102"/>
    <cellStyle name="20% - 강조색5 6 4 3 2" xfId="9103"/>
    <cellStyle name="20% - 강조색5 6 4 3 3" xfId="9104"/>
    <cellStyle name="20% - 강조색5 6 4 4" xfId="9105"/>
    <cellStyle name="20% - 강조색5 6 4 5" xfId="9106"/>
    <cellStyle name="20% - 강조색5 6 5" xfId="9107"/>
    <cellStyle name="20% - 강조색5 6 5 2" xfId="9108"/>
    <cellStyle name="20% - 강조색5 6 5 2 2" xfId="9109"/>
    <cellStyle name="20% - 강조색5 6 5 2 2 2" xfId="9110"/>
    <cellStyle name="20% - 강조색5 6 5 2 2 3" xfId="9111"/>
    <cellStyle name="20% - 강조색5 6 5 2 3" xfId="9112"/>
    <cellStyle name="20% - 강조색5 6 5 2 4" xfId="9113"/>
    <cellStyle name="20% - 강조색5 6 5 3" xfId="9114"/>
    <cellStyle name="20% - 강조색5 6 5 3 2" xfId="9115"/>
    <cellStyle name="20% - 강조색5 6 5 3 3" xfId="9116"/>
    <cellStyle name="20% - 강조색5 6 5 4" xfId="9117"/>
    <cellStyle name="20% - 강조색5 6 5 5" xfId="9118"/>
    <cellStyle name="20% - 강조색5 6 6" xfId="9119"/>
    <cellStyle name="20% - 강조색5 6 6 2" xfId="9120"/>
    <cellStyle name="20% - 강조색5 6 6 2 2" xfId="9121"/>
    <cellStyle name="20% - 강조색5 6 6 2 2 2" xfId="9122"/>
    <cellStyle name="20% - 강조색5 6 6 2 2 3" xfId="9123"/>
    <cellStyle name="20% - 강조색5 6 6 2 3" xfId="9124"/>
    <cellStyle name="20% - 강조색5 6 6 2 4" xfId="9125"/>
    <cellStyle name="20% - 강조색5 6 6 3" xfId="9126"/>
    <cellStyle name="20% - 강조색5 6 6 3 2" xfId="9127"/>
    <cellStyle name="20% - 강조색5 6 6 3 3" xfId="9128"/>
    <cellStyle name="20% - 강조색5 6 6 4" xfId="9129"/>
    <cellStyle name="20% - 강조색5 6 6 5" xfId="9130"/>
    <cellStyle name="20% - 강조색5 6 7" xfId="9131"/>
    <cellStyle name="20% - 강조색5 6 7 2" xfId="9132"/>
    <cellStyle name="20% - 강조색5 6 7 2 2" xfId="9133"/>
    <cellStyle name="20% - 강조색5 6 7 2 3" xfId="9134"/>
    <cellStyle name="20% - 강조색5 6 7 3" xfId="9135"/>
    <cellStyle name="20% - 강조색5 6 7 4" xfId="9136"/>
    <cellStyle name="20% - 강조색5 6 8" xfId="9137"/>
    <cellStyle name="20% - 강조색5 6 8 2" xfId="9138"/>
    <cellStyle name="20% - 강조색5 6 8 3" xfId="9139"/>
    <cellStyle name="20% - 강조색5 6 9" xfId="9140"/>
    <cellStyle name="20% - 강조색5 60" xfId="9141"/>
    <cellStyle name="20% - 강조색5 61" xfId="9142"/>
    <cellStyle name="20% - 강조색5 62" xfId="9143"/>
    <cellStyle name="20% - 강조색5 63" xfId="9144"/>
    <cellStyle name="20% - 강조색5 64" xfId="9145"/>
    <cellStyle name="20% - 강조색5 65" xfId="9146"/>
    <cellStyle name="20% - 강조색5 66" xfId="9147"/>
    <cellStyle name="20% - 강조색5 67" xfId="9148"/>
    <cellStyle name="20% - 강조색5 68" xfId="9149"/>
    <cellStyle name="20% - 강조색5 69" xfId="9150"/>
    <cellStyle name="20% - 강조색5 7" xfId="9151"/>
    <cellStyle name="20% - 강조색5 7 10" xfId="9152"/>
    <cellStyle name="20% - 강조색5 7 2" xfId="9153"/>
    <cellStyle name="20% - 강조색5 7 2 2" xfId="9154"/>
    <cellStyle name="20% - 강조색5 7 2 2 2" xfId="9155"/>
    <cellStyle name="20% - 강조색5 7 2 2 2 2" xfId="9156"/>
    <cellStyle name="20% - 강조색5 7 2 2 2 2 2" xfId="9157"/>
    <cellStyle name="20% - 강조색5 7 2 2 2 2 3" xfId="9158"/>
    <cellStyle name="20% - 강조색5 7 2 2 2 3" xfId="9159"/>
    <cellStyle name="20% - 강조색5 7 2 2 2 4" xfId="9160"/>
    <cellStyle name="20% - 강조색5 7 2 2 3" xfId="9161"/>
    <cellStyle name="20% - 강조색5 7 2 2 3 2" xfId="9162"/>
    <cellStyle name="20% - 강조색5 7 2 2 3 3" xfId="9163"/>
    <cellStyle name="20% - 강조색5 7 2 2 4" xfId="9164"/>
    <cellStyle name="20% - 강조색5 7 2 2 5" xfId="9165"/>
    <cellStyle name="20% - 강조색5 7 2 3" xfId="9166"/>
    <cellStyle name="20% - 강조색5 7 2 3 2" xfId="9167"/>
    <cellStyle name="20% - 강조색5 7 2 3 2 2" xfId="9168"/>
    <cellStyle name="20% - 강조색5 7 2 3 2 2 2" xfId="9169"/>
    <cellStyle name="20% - 강조색5 7 2 3 2 2 3" xfId="9170"/>
    <cellStyle name="20% - 강조색5 7 2 3 2 3" xfId="9171"/>
    <cellStyle name="20% - 강조색5 7 2 3 2 4" xfId="9172"/>
    <cellStyle name="20% - 강조색5 7 2 3 3" xfId="9173"/>
    <cellStyle name="20% - 강조색5 7 2 3 3 2" xfId="9174"/>
    <cellStyle name="20% - 강조색5 7 2 3 3 3" xfId="9175"/>
    <cellStyle name="20% - 강조색5 7 2 3 4" xfId="9176"/>
    <cellStyle name="20% - 강조색5 7 2 3 5" xfId="9177"/>
    <cellStyle name="20% - 강조색5 7 2 4" xfId="9178"/>
    <cellStyle name="20% - 강조색5 7 2 4 2" xfId="9179"/>
    <cellStyle name="20% - 강조색5 7 2 4 2 2" xfId="9180"/>
    <cellStyle name="20% - 강조색5 7 2 4 2 3" xfId="9181"/>
    <cellStyle name="20% - 강조색5 7 2 4 3" xfId="9182"/>
    <cellStyle name="20% - 강조색5 7 2 4 4" xfId="9183"/>
    <cellStyle name="20% - 강조색5 7 2 5" xfId="9184"/>
    <cellStyle name="20% - 강조색5 7 2 5 2" xfId="9185"/>
    <cellStyle name="20% - 강조색5 7 2 5 3" xfId="9186"/>
    <cellStyle name="20% - 강조색5 7 2 6" xfId="9187"/>
    <cellStyle name="20% - 강조색5 7 2 7" xfId="9188"/>
    <cellStyle name="20% - 강조색5 7 3" xfId="9189"/>
    <cellStyle name="20% - 강조색5 7 3 2" xfId="9190"/>
    <cellStyle name="20% - 강조색5 7 3 2 2" xfId="9191"/>
    <cellStyle name="20% - 강조색5 7 3 2 2 2" xfId="9192"/>
    <cellStyle name="20% - 강조색5 7 3 2 2 2 2" xfId="9193"/>
    <cellStyle name="20% - 강조색5 7 3 2 2 2 3" xfId="9194"/>
    <cellStyle name="20% - 강조색5 7 3 2 2 3" xfId="9195"/>
    <cellStyle name="20% - 강조색5 7 3 2 2 4" xfId="9196"/>
    <cellStyle name="20% - 강조색5 7 3 2 3" xfId="9197"/>
    <cellStyle name="20% - 강조색5 7 3 2 3 2" xfId="9198"/>
    <cellStyle name="20% - 강조색5 7 3 2 3 3" xfId="9199"/>
    <cellStyle name="20% - 강조색5 7 3 2 4" xfId="9200"/>
    <cellStyle name="20% - 강조색5 7 3 2 5" xfId="9201"/>
    <cellStyle name="20% - 강조색5 7 3 3" xfId="9202"/>
    <cellStyle name="20% - 강조색5 7 3 3 2" xfId="9203"/>
    <cellStyle name="20% - 강조색5 7 3 3 2 2" xfId="9204"/>
    <cellStyle name="20% - 강조색5 7 3 3 2 2 2" xfId="9205"/>
    <cellStyle name="20% - 강조색5 7 3 3 2 2 3" xfId="9206"/>
    <cellStyle name="20% - 강조색5 7 3 3 2 3" xfId="9207"/>
    <cellStyle name="20% - 강조색5 7 3 3 2 4" xfId="9208"/>
    <cellStyle name="20% - 강조색5 7 3 3 3" xfId="9209"/>
    <cellStyle name="20% - 강조색5 7 3 3 3 2" xfId="9210"/>
    <cellStyle name="20% - 강조색5 7 3 3 3 3" xfId="9211"/>
    <cellStyle name="20% - 강조색5 7 3 3 4" xfId="9212"/>
    <cellStyle name="20% - 강조색5 7 3 3 5" xfId="9213"/>
    <cellStyle name="20% - 강조색5 7 3 4" xfId="9214"/>
    <cellStyle name="20% - 강조색5 7 3 4 2" xfId="9215"/>
    <cellStyle name="20% - 강조색5 7 3 4 2 2" xfId="9216"/>
    <cellStyle name="20% - 강조색5 7 3 4 2 3" xfId="9217"/>
    <cellStyle name="20% - 강조색5 7 3 4 3" xfId="9218"/>
    <cellStyle name="20% - 강조색5 7 3 4 4" xfId="9219"/>
    <cellStyle name="20% - 강조색5 7 3 5" xfId="9220"/>
    <cellStyle name="20% - 강조색5 7 3 5 2" xfId="9221"/>
    <cellStyle name="20% - 강조색5 7 3 5 3" xfId="9222"/>
    <cellStyle name="20% - 강조색5 7 3 6" xfId="9223"/>
    <cellStyle name="20% - 강조색5 7 3 7" xfId="9224"/>
    <cellStyle name="20% - 강조색5 7 4" xfId="9225"/>
    <cellStyle name="20% - 강조색5 7 4 2" xfId="9226"/>
    <cellStyle name="20% - 강조색5 7 4 2 2" xfId="9227"/>
    <cellStyle name="20% - 강조색5 7 4 2 2 2" xfId="9228"/>
    <cellStyle name="20% - 강조색5 7 4 2 2 3" xfId="9229"/>
    <cellStyle name="20% - 강조색5 7 4 2 3" xfId="9230"/>
    <cellStyle name="20% - 강조색5 7 4 2 4" xfId="9231"/>
    <cellStyle name="20% - 강조색5 7 4 3" xfId="9232"/>
    <cellStyle name="20% - 강조색5 7 4 3 2" xfId="9233"/>
    <cellStyle name="20% - 강조색5 7 4 3 3" xfId="9234"/>
    <cellStyle name="20% - 강조색5 7 4 4" xfId="9235"/>
    <cellStyle name="20% - 강조색5 7 4 5" xfId="9236"/>
    <cellStyle name="20% - 강조색5 7 5" xfId="9237"/>
    <cellStyle name="20% - 강조색5 7 5 2" xfId="9238"/>
    <cellStyle name="20% - 강조색5 7 5 2 2" xfId="9239"/>
    <cellStyle name="20% - 강조색5 7 5 2 2 2" xfId="9240"/>
    <cellStyle name="20% - 강조색5 7 5 2 2 3" xfId="9241"/>
    <cellStyle name="20% - 강조색5 7 5 2 3" xfId="9242"/>
    <cellStyle name="20% - 강조색5 7 5 2 4" xfId="9243"/>
    <cellStyle name="20% - 강조색5 7 5 3" xfId="9244"/>
    <cellStyle name="20% - 강조색5 7 5 3 2" xfId="9245"/>
    <cellStyle name="20% - 강조색5 7 5 3 3" xfId="9246"/>
    <cellStyle name="20% - 강조색5 7 5 4" xfId="9247"/>
    <cellStyle name="20% - 강조색5 7 5 5" xfId="9248"/>
    <cellStyle name="20% - 강조색5 7 6" xfId="9249"/>
    <cellStyle name="20% - 강조색5 7 6 2" xfId="9250"/>
    <cellStyle name="20% - 강조색5 7 6 2 2" xfId="9251"/>
    <cellStyle name="20% - 강조색5 7 6 2 2 2" xfId="9252"/>
    <cellStyle name="20% - 강조색5 7 6 2 2 3" xfId="9253"/>
    <cellStyle name="20% - 강조색5 7 6 2 3" xfId="9254"/>
    <cellStyle name="20% - 강조색5 7 6 2 4" xfId="9255"/>
    <cellStyle name="20% - 강조색5 7 6 3" xfId="9256"/>
    <cellStyle name="20% - 강조색5 7 6 3 2" xfId="9257"/>
    <cellStyle name="20% - 강조색5 7 6 3 3" xfId="9258"/>
    <cellStyle name="20% - 강조색5 7 6 4" xfId="9259"/>
    <cellStyle name="20% - 강조색5 7 6 5" xfId="9260"/>
    <cellStyle name="20% - 강조색5 7 7" xfId="9261"/>
    <cellStyle name="20% - 강조색5 7 7 2" xfId="9262"/>
    <cellStyle name="20% - 강조색5 7 7 2 2" xfId="9263"/>
    <cellStyle name="20% - 강조색5 7 7 2 3" xfId="9264"/>
    <cellStyle name="20% - 강조색5 7 7 3" xfId="9265"/>
    <cellStyle name="20% - 강조색5 7 7 4" xfId="9266"/>
    <cellStyle name="20% - 강조색5 7 8" xfId="9267"/>
    <cellStyle name="20% - 강조색5 7 8 2" xfId="9268"/>
    <cellStyle name="20% - 강조색5 7 8 3" xfId="9269"/>
    <cellStyle name="20% - 강조색5 7 9" xfId="9270"/>
    <cellStyle name="20% - 강조색5 8" xfId="9271"/>
    <cellStyle name="20% - 강조색5 8 2" xfId="9272"/>
    <cellStyle name="20% - 강조색5 8 2 2" xfId="9273"/>
    <cellStyle name="20% - 강조색5 8 2 2 2" xfId="9274"/>
    <cellStyle name="20% - 강조색5 8 2 2 2 2" xfId="9275"/>
    <cellStyle name="20% - 강조색5 8 2 2 2 3" xfId="9276"/>
    <cellStyle name="20% - 강조색5 8 2 2 3" xfId="9277"/>
    <cellStyle name="20% - 강조색5 8 2 2 4" xfId="9278"/>
    <cellStyle name="20% - 강조색5 8 2 3" xfId="9279"/>
    <cellStyle name="20% - 강조색5 8 2 3 2" xfId="9280"/>
    <cellStyle name="20% - 강조색5 8 2 3 3" xfId="9281"/>
    <cellStyle name="20% - 강조색5 8 2 4" xfId="9282"/>
    <cellStyle name="20% - 강조색5 8 2 5" xfId="9283"/>
    <cellStyle name="20% - 강조색5 8 3" xfId="9284"/>
    <cellStyle name="20% - 강조색5 8 3 2" xfId="9285"/>
    <cellStyle name="20% - 강조색5 8 3 2 2" xfId="9286"/>
    <cellStyle name="20% - 강조색5 8 3 2 2 2" xfId="9287"/>
    <cellStyle name="20% - 강조색5 8 3 2 2 3" xfId="9288"/>
    <cellStyle name="20% - 강조색5 8 3 2 3" xfId="9289"/>
    <cellStyle name="20% - 강조색5 8 3 2 4" xfId="9290"/>
    <cellStyle name="20% - 강조색5 8 3 3" xfId="9291"/>
    <cellStyle name="20% - 강조색5 8 3 3 2" xfId="9292"/>
    <cellStyle name="20% - 강조색5 8 3 3 3" xfId="9293"/>
    <cellStyle name="20% - 강조색5 8 3 4" xfId="9294"/>
    <cellStyle name="20% - 강조색5 8 3 5" xfId="9295"/>
    <cellStyle name="20% - 강조색5 8 4" xfId="9296"/>
    <cellStyle name="20% - 강조색5 8 4 2" xfId="9297"/>
    <cellStyle name="20% - 강조색5 8 4 2 2" xfId="9298"/>
    <cellStyle name="20% - 강조색5 8 4 2 3" xfId="9299"/>
    <cellStyle name="20% - 강조색5 8 4 3" xfId="9300"/>
    <cellStyle name="20% - 강조색5 8 4 4" xfId="9301"/>
    <cellStyle name="20% - 강조색5 8 5" xfId="9302"/>
    <cellStyle name="20% - 강조색5 8 5 2" xfId="9303"/>
    <cellStyle name="20% - 강조색5 8 5 3" xfId="9304"/>
    <cellStyle name="20% - 강조색5 8 6" xfId="9305"/>
    <cellStyle name="20% - 강조색5 8 7" xfId="9306"/>
    <cellStyle name="20% - 강조색5 9" xfId="9307"/>
    <cellStyle name="20% - 강조색5 9 2" xfId="9308"/>
    <cellStyle name="20% - 강조색5 9 2 2" xfId="9309"/>
    <cellStyle name="20% - 강조색5 9 2 2 2" xfId="9310"/>
    <cellStyle name="20% - 강조색5 9 2 2 2 2" xfId="9311"/>
    <cellStyle name="20% - 강조색5 9 2 2 2 3" xfId="9312"/>
    <cellStyle name="20% - 강조색5 9 2 2 3" xfId="9313"/>
    <cellStyle name="20% - 강조색5 9 2 2 4" xfId="9314"/>
    <cellStyle name="20% - 강조색5 9 2 3" xfId="9315"/>
    <cellStyle name="20% - 강조색5 9 2 3 2" xfId="9316"/>
    <cellStyle name="20% - 강조색5 9 2 3 3" xfId="9317"/>
    <cellStyle name="20% - 강조색5 9 2 4" xfId="9318"/>
    <cellStyle name="20% - 강조색5 9 2 5" xfId="9319"/>
    <cellStyle name="20% - 강조색5 9 3" xfId="9320"/>
    <cellStyle name="20% - 강조색5 9 3 2" xfId="9321"/>
    <cellStyle name="20% - 강조색5 9 3 2 2" xfId="9322"/>
    <cellStyle name="20% - 강조색5 9 3 2 2 2" xfId="9323"/>
    <cellStyle name="20% - 강조색5 9 3 2 2 3" xfId="9324"/>
    <cellStyle name="20% - 강조색5 9 3 2 3" xfId="9325"/>
    <cellStyle name="20% - 강조색5 9 3 2 4" xfId="9326"/>
    <cellStyle name="20% - 강조색5 9 3 3" xfId="9327"/>
    <cellStyle name="20% - 강조색5 9 3 3 2" xfId="9328"/>
    <cellStyle name="20% - 강조색5 9 3 3 3" xfId="9329"/>
    <cellStyle name="20% - 강조색5 9 3 4" xfId="9330"/>
    <cellStyle name="20% - 강조색5 9 3 5" xfId="9331"/>
    <cellStyle name="20% - 강조색5 9 4" xfId="9332"/>
    <cellStyle name="20% - 강조색5 9 4 2" xfId="9333"/>
    <cellStyle name="20% - 강조색5 9 4 2 2" xfId="9334"/>
    <cellStyle name="20% - 강조색5 9 4 2 3" xfId="9335"/>
    <cellStyle name="20% - 강조색5 9 4 3" xfId="9336"/>
    <cellStyle name="20% - 강조색5 9 4 4" xfId="9337"/>
    <cellStyle name="20% - 강조색5 9 5" xfId="9338"/>
    <cellStyle name="20% - 강조색5 9 5 2" xfId="9339"/>
    <cellStyle name="20% - 강조색5 9 5 3" xfId="9340"/>
    <cellStyle name="20% - 강조색5 9 6" xfId="9341"/>
    <cellStyle name="20% - 강조색5 9 7" xfId="9342"/>
    <cellStyle name="20% - 강조색6 10" xfId="9343"/>
    <cellStyle name="20% - 강조색6 10 2" xfId="9344"/>
    <cellStyle name="20% - 강조색6 10 2 2" xfId="9345"/>
    <cellStyle name="20% - 강조색6 10 2 2 2" xfId="9346"/>
    <cellStyle name="20% - 강조색6 10 2 2 2 2" xfId="9347"/>
    <cellStyle name="20% - 강조색6 10 2 2 2 3" xfId="9348"/>
    <cellStyle name="20% - 강조색6 10 2 2 3" xfId="9349"/>
    <cellStyle name="20% - 강조색6 10 2 2 4" xfId="9350"/>
    <cellStyle name="20% - 강조색6 10 2 3" xfId="9351"/>
    <cellStyle name="20% - 강조색6 10 2 3 2" xfId="9352"/>
    <cellStyle name="20% - 강조색6 10 2 3 3" xfId="9353"/>
    <cellStyle name="20% - 강조색6 10 2 4" xfId="9354"/>
    <cellStyle name="20% - 강조색6 10 2 5" xfId="9355"/>
    <cellStyle name="20% - 강조색6 10 3" xfId="9356"/>
    <cellStyle name="20% - 강조색6 10 3 2" xfId="9357"/>
    <cellStyle name="20% - 강조색6 10 3 2 2" xfId="9358"/>
    <cellStyle name="20% - 강조색6 10 3 2 2 2" xfId="9359"/>
    <cellStyle name="20% - 강조색6 10 3 2 2 3" xfId="9360"/>
    <cellStyle name="20% - 강조색6 10 3 2 3" xfId="9361"/>
    <cellStyle name="20% - 강조색6 10 3 2 4" xfId="9362"/>
    <cellStyle name="20% - 강조색6 10 3 3" xfId="9363"/>
    <cellStyle name="20% - 강조색6 10 3 3 2" xfId="9364"/>
    <cellStyle name="20% - 강조색6 10 3 3 3" xfId="9365"/>
    <cellStyle name="20% - 강조색6 10 3 4" xfId="9366"/>
    <cellStyle name="20% - 강조색6 10 3 5" xfId="9367"/>
    <cellStyle name="20% - 강조색6 10 4" xfId="9368"/>
    <cellStyle name="20% - 강조색6 10 4 2" xfId="9369"/>
    <cellStyle name="20% - 강조색6 10 4 2 2" xfId="9370"/>
    <cellStyle name="20% - 강조색6 10 4 2 3" xfId="9371"/>
    <cellStyle name="20% - 강조색6 10 4 3" xfId="9372"/>
    <cellStyle name="20% - 강조색6 10 4 4" xfId="9373"/>
    <cellStyle name="20% - 강조색6 10 5" xfId="9374"/>
    <cellStyle name="20% - 강조색6 10 5 2" xfId="9375"/>
    <cellStyle name="20% - 강조색6 10 5 3" xfId="9376"/>
    <cellStyle name="20% - 강조색6 10 6" xfId="9377"/>
    <cellStyle name="20% - 강조색6 10 7" xfId="9378"/>
    <cellStyle name="20% - 강조색6 11" xfId="9379"/>
    <cellStyle name="20% - 강조색6 11 2" xfId="9380"/>
    <cellStyle name="20% - 강조색6 11 2 2" xfId="9381"/>
    <cellStyle name="20% - 강조색6 11 2 2 2" xfId="9382"/>
    <cellStyle name="20% - 강조색6 11 2 2 3" xfId="9383"/>
    <cellStyle name="20% - 강조색6 11 2 3" xfId="9384"/>
    <cellStyle name="20% - 강조색6 11 2 4" xfId="9385"/>
    <cellStyle name="20% - 강조색6 11 3" xfId="9386"/>
    <cellStyle name="20% - 강조색6 11 3 2" xfId="9387"/>
    <cellStyle name="20% - 강조색6 11 3 3" xfId="9388"/>
    <cellStyle name="20% - 강조색6 11 4" xfId="9389"/>
    <cellStyle name="20% - 강조색6 11 5" xfId="9390"/>
    <cellStyle name="20% - 강조색6 12" xfId="9391"/>
    <cellStyle name="20% - 강조색6 12 2" xfId="9392"/>
    <cellStyle name="20% - 강조색6 12 2 2" xfId="9393"/>
    <cellStyle name="20% - 강조색6 12 2 2 2" xfId="9394"/>
    <cellStyle name="20% - 강조색6 12 2 2 3" xfId="9395"/>
    <cellStyle name="20% - 강조색6 12 2 3" xfId="9396"/>
    <cellStyle name="20% - 강조색6 12 2 4" xfId="9397"/>
    <cellStyle name="20% - 강조색6 12 3" xfId="9398"/>
    <cellStyle name="20% - 강조색6 12 3 2" xfId="9399"/>
    <cellStyle name="20% - 강조색6 12 3 3" xfId="9400"/>
    <cellStyle name="20% - 강조색6 12 4" xfId="9401"/>
    <cellStyle name="20% - 강조색6 12 5" xfId="9402"/>
    <cellStyle name="20% - 강조색6 13" xfId="9403"/>
    <cellStyle name="20% - 강조색6 13 2" xfId="9404"/>
    <cellStyle name="20% - 강조색6 13 2 2" xfId="9405"/>
    <cellStyle name="20% - 강조색6 13 2 3" xfId="9406"/>
    <cellStyle name="20% - 강조색6 13 3" xfId="9407"/>
    <cellStyle name="20% - 강조색6 13 4" xfId="9408"/>
    <cellStyle name="20% - 강조색6 14" xfId="9409"/>
    <cellStyle name="20% - 강조색6 14 2" xfId="9410"/>
    <cellStyle name="20% - 강조색6 14 2 2" xfId="9411"/>
    <cellStyle name="20% - 강조색6 14 2 3" xfId="9412"/>
    <cellStyle name="20% - 강조색6 14 3" xfId="9413"/>
    <cellStyle name="20% - 강조색6 14 4" xfId="9414"/>
    <cellStyle name="20% - 강조색6 15" xfId="9415"/>
    <cellStyle name="20% - 강조색6 15 2" xfId="9416"/>
    <cellStyle name="20% - 강조색6 15 3" xfId="9417"/>
    <cellStyle name="20% - 강조색6 16" xfId="9418"/>
    <cellStyle name="20% - 강조색6 16 2" xfId="9419"/>
    <cellStyle name="20% - 강조색6 16 3" xfId="9420"/>
    <cellStyle name="20% - 강조색6 16 4" xfId="9421"/>
    <cellStyle name="20% - 강조색6 17" xfId="9422"/>
    <cellStyle name="20% - 강조색6 17 2" xfId="9423"/>
    <cellStyle name="20% - 강조색6 17 3" xfId="9424"/>
    <cellStyle name="20% - 강조색6 18" xfId="9425"/>
    <cellStyle name="20% - 강조색6 18 2" xfId="9426"/>
    <cellStyle name="20% - 강조색6 18 3" xfId="9427"/>
    <cellStyle name="20% - 강조색6 19" xfId="9428"/>
    <cellStyle name="20% - 강조색6 19 2" xfId="9429"/>
    <cellStyle name="20% - 강조색6 19 3" xfId="9430"/>
    <cellStyle name="20% - 강조색6 2" xfId="9431"/>
    <cellStyle name="20% - 강조색6 2 2" xfId="9432"/>
    <cellStyle name="20% - 강조색6 2 2 2" xfId="9433"/>
    <cellStyle name="20% - 강조색6 2 2 2 2" xfId="9434"/>
    <cellStyle name="20% - 강조색6 2 2 3" xfId="9435"/>
    <cellStyle name="20% - 강조색6 2 3" xfId="9436"/>
    <cellStyle name="20% - 강조색6 2 3 2" xfId="9437"/>
    <cellStyle name="20% - 강조색6 2 3 2 2" xfId="9438"/>
    <cellStyle name="20% - 강조색6 2 3 3" xfId="9439"/>
    <cellStyle name="20% - 강조색6 2 4" xfId="9440"/>
    <cellStyle name="20% - 강조색6 2 4 2" xfId="9441"/>
    <cellStyle name="20% - 강조색6 2 5" xfId="9442"/>
    <cellStyle name="20% - 강조색6 2 6" xfId="9443"/>
    <cellStyle name="20% - 강조색6 20" xfId="9444"/>
    <cellStyle name="20% - 강조색6 20 2" xfId="9445"/>
    <cellStyle name="20% - 강조색6 20 3" xfId="9446"/>
    <cellStyle name="20% - 강조색6 21" xfId="9447"/>
    <cellStyle name="20% - 강조색6 21 2" xfId="9448"/>
    <cellStyle name="20% - 강조색6 21 3" xfId="9449"/>
    <cellStyle name="20% - 강조색6 22" xfId="9450"/>
    <cellStyle name="20% - 강조색6 22 2" xfId="9451"/>
    <cellStyle name="20% - 강조색6 22 3" xfId="9452"/>
    <cellStyle name="20% - 강조색6 23" xfId="9453"/>
    <cellStyle name="20% - 강조색6 23 2" xfId="9454"/>
    <cellStyle name="20% - 강조색6 23 3" xfId="9455"/>
    <cellStyle name="20% - 강조색6 24" xfId="9456"/>
    <cellStyle name="20% - 강조색6 24 2" xfId="9457"/>
    <cellStyle name="20% - 강조색6 25" xfId="9458"/>
    <cellStyle name="20% - 강조색6 25 2" xfId="9459"/>
    <cellStyle name="20% - 강조색6 26" xfId="9460"/>
    <cellStyle name="20% - 강조색6 26 2" xfId="9461"/>
    <cellStyle name="20% - 강조색6 27" xfId="9462"/>
    <cellStyle name="20% - 강조색6 27 2" xfId="9463"/>
    <cellStyle name="20% - 강조색6 28" xfId="9464"/>
    <cellStyle name="20% - 강조색6 28 2" xfId="9465"/>
    <cellStyle name="20% - 강조색6 29" xfId="9466"/>
    <cellStyle name="20% - 강조색6 29 2" xfId="9467"/>
    <cellStyle name="20% - 강조색6 3" xfId="9468"/>
    <cellStyle name="20% - 강조색6 3 10" xfId="9469"/>
    <cellStyle name="20% - 강조색6 3 10 2" xfId="9470"/>
    <cellStyle name="20% - 강조색6 3 10 2 2" xfId="9471"/>
    <cellStyle name="20% - 강조색6 3 10 2 3" xfId="9472"/>
    <cellStyle name="20% - 강조색6 3 10 3" xfId="9473"/>
    <cellStyle name="20% - 강조색6 3 10 4" xfId="9474"/>
    <cellStyle name="20% - 강조색6 3 11" xfId="9475"/>
    <cellStyle name="20% - 강조색6 3 11 2" xfId="9476"/>
    <cellStyle name="20% - 강조색6 3 11 3" xfId="9477"/>
    <cellStyle name="20% - 강조색6 3 12" xfId="9478"/>
    <cellStyle name="20% - 강조색6 3 13" xfId="9479"/>
    <cellStyle name="20% - 강조색6 3 14" xfId="9480"/>
    <cellStyle name="20% - 강조색6 3 15" xfId="9481"/>
    <cellStyle name="20% - 강조색6 3 2" xfId="9482"/>
    <cellStyle name="20% - 강조색6 3 2 10" xfId="9483"/>
    <cellStyle name="20% - 강조색6 3 2 11" xfId="9484"/>
    <cellStyle name="20% - 강조색6 3 2 12" xfId="9485"/>
    <cellStyle name="20% - 강조색6 3 2 2" xfId="9486"/>
    <cellStyle name="20% - 강조색6 3 2 2 2" xfId="9487"/>
    <cellStyle name="20% - 강조색6 3 2 2 2 2" xfId="9488"/>
    <cellStyle name="20% - 강조색6 3 2 2 2 2 2" xfId="9489"/>
    <cellStyle name="20% - 강조색6 3 2 2 2 2 2 2" xfId="9490"/>
    <cellStyle name="20% - 강조색6 3 2 2 2 2 2 3" xfId="9491"/>
    <cellStyle name="20% - 강조색6 3 2 2 2 2 3" xfId="9492"/>
    <cellStyle name="20% - 강조색6 3 2 2 2 2 4" xfId="9493"/>
    <cellStyle name="20% - 강조색6 3 2 2 2 3" xfId="9494"/>
    <cellStyle name="20% - 강조색6 3 2 2 2 3 2" xfId="9495"/>
    <cellStyle name="20% - 강조색6 3 2 2 2 3 3" xfId="9496"/>
    <cellStyle name="20% - 강조색6 3 2 2 2 4" xfId="9497"/>
    <cellStyle name="20% - 강조색6 3 2 2 2 5" xfId="9498"/>
    <cellStyle name="20% - 강조색6 3 2 2 3" xfId="9499"/>
    <cellStyle name="20% - 강조색6 3 2 2 3 2" xfId="9500"/>
    <cellStyle name="20% - 강조색6 3 2 2 3 2 2" xfId="9501"/>
    <cellStyle name="20% - 강조색6 3 2 2 3 2 2 2" xfId="9502"/>
    <cellStyle name="20% - 강조색6 3 2 2 3 2 2 3" xfId="9503"/>
    <cellStyle name="20% - 강조색6 3 2 2 3 2 3" xfId="9504"/>
    <cellStyle name="20% - 강조색6 3 2 2 3 2 4" xfId="9505"/>
    <cellStyle name="20% - 강조색6 3 2 2 3 3" xfId="9506"/>
    <cellStyle name="20% - 강조색6 3 2 2 3 3 2" xfId="9507"/>
    <cellStyle name="20% - 강조색6 3 2 2 3 3 3" xfId="9508"/>
    <cellStyle name="20% - 강조색6 3 2 2 3 4" xfId="9509"/>
    <cellStyle name="20% - 강조색6 3 2 2 3 5" xfId="9510"/>
    <cellStyle name="20% - 강조색6 3 2 2 4" xfId="9511"/>
    <cellStyle name="20% - 강조색6 3 2 2 4 2" xfId="9512"/>
    <cellStyle name="20% - 강조색6 3 2 2 4 2 2" xfId="9513"/>
    <cellStyle name="20% - 강조색6 3 2 2 4 2 3" xfId="9514"/>
    <cellStyle name="20% - 강조색6 3 2 2 4 3" xfId="9515"/>
    <cellStyle name="20% - 강조색6 3 2 2 4 4" xfId="9516"/>
    <cellStyle name="20% - 강조색6 3 2 2 5" xfId="9517"/>
    <cellStyle name="20% - 강조색6 3 2 2 5 2" xfId="9518"/>
    <cellStyle name="20% - 강조색6 3 2 2 5 3" xfId="9519"/>
    <cellStyle name="20% - 강조색6 3 2 2 6" xfId="9520"/>
    <cellStyle name="20% - 강조색6 3 2 2 7" xfId="9521"/>
    <cellStyle name="20% - 강조색6 3 2 2 8" xfId="9522"/>
    <cellStyle name="20% - 강조색6 3 2 2 9" xfId="9523"/>
    <cellStyle name="20% - 강조색6 3 2 3" xfId="9524"/>
    <cellStyle name="20% - 강조색6 3 2 3 2" xfId="9525"/>
    <cellStyle name="20% - 강조색6 3 2 3 2 2" xfId="9526"/>
    <cellStyle name="20% - 강조색6 3 2 3 2 2 2" xfId="9527"/>
    <cellStyle name="20% - 강조색6 3 2 3 2 2 2 2" xfId="9528"/>
    <cellStyle name="20% - 강조색6 3 2 3 2 2 2 3" xfId="9529"/>
    <cellStyle name="20% - 강조색6 3 2 3 2 2 3" xfId="9530"/>
    <cellStyle name="20% - 강조색6 3 2 3 2 2 4" xfId="9531"/>
    <cellStyle name="20% - 강조색6 3 2 3 2 3" xfId="9532"/>
    <cellStyle name="20% - 강조색6 3 2 3 2 3 2" xfId="9533"/>
    <cellStyle name="20% - 강조색6 3 2 3 2 3 3" xfId="9534"/>
    <cellStyle name="20% - 강조색6 3 2 3 2 4" xfId="9535"/>
    <cellStyle name="20% - 강조색6 3 2 3 2 5" xfId="9536"/>
    <cellStyle name="20% - 강조색6 3 2 3 3" xfId="9537"/>
    <cellStyle name="20% - 강조색6 3 2 3 3 2" xfId="9538"/>
    <cellStyle name="20% - 강조색6 3 2 3 3 2 2" xfId="9539"/>
    <cellStyle name="20% - 강조색6 3 2 3 3 2 2 2" xfId="9540"/>
    <cellStyle name="20% - 강조색6 3 2 3 3 2 2 3" xfId="9541"/>
    <cellStyle name="20% - 강조색6 3 2 3 3 2 3" xfId="9542"/>
    <cellStyle name="20% - 강조색6 3 2 3 3 2 4" xfId="9543"/>
    <cellStyle name="20% - 강조색6 3 2 3 3 3" xfId="9544"/>
    <cellStyle name="20% - 강조색6 3 2 3 3 3 2" xfId="9545"/>
    <cellStyle name="20% - 강조색6 3 2 3 3 3 3" xfId="9546"/>
    <cellStyle name="20% - 강조색6 3 2 3 3 4" xfId="9547"/>
    <cellStyle name="20% - 강조색6 3 2 3 3 5" xfId="9548"/>
    <cellStyle name="20% - 강조색6 3 2 3 4" xfId="9549"/>
    <cellStyle name="20% - 강조색6 3 2 3 4 2" xfId="9550"/>
    <cellStyle name="20% - 강조색6 3 2 3 4 2 2" xfId="9551"/>
    <cellStyle name="20% - 강조색6 3 2 3 4 2 3" xfId="9552"/>
    <cellStyle name="20% - 강조색6 3 2 3 4 3" xfId="9553"/>
    <cellStyle name="20% - 강조색6 3 2 3 4 4" xfId="9554"/>
    <cellStyle name="20% - 강조색6 3 2 3 5" xfId="9555"/>
    <cellStyle name="20% - 강조색6 3 2 3 5 2" xfId="9556"/>
    <cellStyle name="20% - 강조색6 3 2 3 5 3" xfId="9557"/>
    <cellStyle name="20% - 강조색6 3 2 3 6" xfId="9558"/>
    <cellStyle name="20% - 강조색6 3 2 3 7" xfId="9559"/>
    <cellStyle name="20% - 강조색6 3 2 4" xfId="9560"/>
    <cellStyle name="20% - 강조색6 3 2 4 2" xfId="9561"/>
    <cellStyle name="20% - 강조색6 3 2 4 2 2" xfId="9562"/>
    <cellStyle name="20% - 강조색6 3 2 4 2 2 2" xfId="9563"/>
    <cellStyle name="20% - 강조색6 3 2 4 2 2 3" xfId="9564"/>
    <cellStyle name="20% - 강조색6 3 2 4 2 3" xfId="9565"/>
    <cellStyle name="20% - 강조색6 3 2 4 2 4" xfId="9566"/>
    <cellStyle name="20% - 강조색6 3 2 4 3" xfId="9567"/>
    <cellStyle name="20% - 강조색6 3 2 4 3 2" xfId="9568"/>
    <cellStyle name="20% - 강조색6 3 2 4 3 3" xfId="9569"/>
    <cellStyle name="20% - 강조색6 3 2 4 4" xfId="9570"/>
    <cellStyle name="20% - 강조색6 3 2 4 5" xfId="9571"/>
    <cellStyle name="20% - 강조색6 3 2 5" xfId="9572"/>
    <cellStyle name="20% - 강조색6 3 2 5 2" xfId="9573"/>
    <cellStyle name="20% - 강조색6 3 2 5 2 2" xfId="9574"/>
    <cellStyle name="20% - 강조색6 3 2 5 2 2 2" xfId="9575"/>
    <cellStyle name="20% - 강조색6 3 2 5 2 2 3" xfId="9576"/>
    <cellStyle name="20% - 강조색6 3 2 5 2 3" xfId="9577"/>
    <cellStyle name="20% - 강조색6 3 2 5 2 4" xfId="9578"/>
    <cellStyle name="20% - 강조색6 3 2 5 3" xfId="9579"/>
    <cellStyle name="20% - 강조색6 3 2 5 3 2" xfId="9580"/>
    <cellStyle name="20% - 강조색6 3 2 5 3 3" xfId="9581"/>
    <cellStyle name="20% - 강조색6 3 2 5 4" xfId="9582"/>
    <cellStyle name="20% - 강조색6 3 2 5 5" xfId="9583"/>
    <cellStyle name="20% - 강조색6 3 2 6" xfId="9584"/>
    <cellStyle name="20% - 강조색6 3 2 6 2" xfId="9585"/>
    <cellStyle name="20% - 강조색6 3 2 6 2 2" xfId="9586"/>
    <cellStyle name="20% - 강조색6 3 2 6 2 2 2" xfId="9587"/>
    <cellStyle name="20% - 강조색6 3 2 6 2 2 3" xfId="9588"/>
    <cellStyle name="20% - 강조색6 3 2 6 2 3" xfId="9589"/>
    <cellStyle name="20% - 강조색6 3 2 6 2 4" xfId="9590"/>
    <cellStyle name="20% - 강조색6 3 2 6 3" xfId="9591"/>
    <cellStyle name="20% - 강조색6 3 2 6 3 2" xfId="9592"/>
    <cellStyle name="20% - 강조색6 3 2 6 3 3" xfId="9593"/>
    <cellStyle name="20% - 강조색6 3 2 6 4" xfId="9594"/>
    <cellStyle name="20% - 강조색6 3 2 6 5" xfId="9595"/>
    <cellStyle name="20% - 강조색6 3 2 7" xfId="9596"/>
    <cellStyle name="20% - 강조색6 3 2 7 2" xfId="9597"/>
    <cellStyle name="20% - 강조색6 3 2 7 2 2" xfId="9598"/>
    <cellStyle name="20% - 강조색6 3 2 7 2 3" xfId="9599"/>
    <cellStyle name="20% - 강조색6 3 2 7 3" xfId="9600"/>
    <cellStyle name="20% - 강조색6 3 2 7 4" xfId="9601"/>
    <cellStyle name="20% - 강조색6 3 2 8" xfId="9602"/>
    <cellStyle name="20% - 강조색6 3 2 8 2" xfId="9603"/>
    <cellStyle name="20% - 강조색6 3 2 8 3" xfId="9604"/>
    <cellStyle name="20% - 강조색6 3 2 9" xfId="9605"/>
    <cellStyle name="20% - 강조색6 3 3" xfId="9606"/>
    <cellStyle name="20% - 강조색6 3 3 10" xfId="9607"/>
    <cellStyle name="20% - 강조색6 3 3 11" xfId="9608"/>
    <cellStyle name="20% - 강조색6 3 3 12" xfId="9609"/>
    <cellStyle name="20% - 강조색6 3 3 2" xfId="9610"/>
    <cellStyle name="20% - 강조색6 3 3 2 2" xfId="9611"/>
    <cellStyle name="20% - 강조색6 3 3 2 2 2" xfId="9612"/>
    <cellStyle name="20% - 강조색6 3 3 2 2 2 2" xfId="9613"/>
    <cellStyle name="20% - 강조색6 3 3 2 2 2 2 2" xfId="9614"/>
    <cellStyle name="20% - 강조색6 3 3 2 2 2 2 3" xfId="9615"/>
    <cellStyle name="20% - 강조색6 3 3 2 2 2 3" xfId="9616"/>
    <cellStyle name="20% - 강조색6 3 3 2 2 2 4" xfId="9617"/>
    <cellStyle name="20% - 강조색6 3 3 2 2 3" xfId="9618"/>
    <cellStyle name="20% - 강조색6 3 3 2 2 3 2" xfId="9619"/>
    <cellStyle name="20% - 강조색6 3 3 2 2 3 3" xfId="9620"/>
    <cellStyle name="20% - 강조색6 3 3 2 2 4" xfId="9621"/>
    <cellStyle name="20% - 강조색6 3 3 2 2 5" xfId="9622"/>
    <cellStyle name="20% - 강조색6 3 3 2 3" xfId="9623"/>
    <cellStyle name="20% - 강조색6 3 3 2 3 2" xfId="9624"/>
    <cellStyle name="20% - 강조색6 3 3 2 3 2 2" xfId="9625"/>
    <cellStyle name="20% - 강조색6 3 3 2 3 2 2 2" xfId="9626"/>
    <cellStyle name="20% - 강조색6 3 3 2 3 2 2 3" xfId="9627"/>
    <cellStyle name="20% - 강조색6 3 3 2 3 2 3" xfId="9628"/>
    <cellStyle name="20% - 강조색6 3 3 2 3 2 4" xfId="9629"/>
    <cellStyle name="20% - 강조색6 3 3 2 3 3" xfId="9630"/>
    <cellStyle name="20% - 강조색6 3 3 2 3 3 2" xfId="9631"/>
    <cellStyle name="20% - 강조색6 3 3 2 3 3 3" xfId="9632"/>
    <cellStyle name="20% - 강조색6 3 3 2 3 4" xfId="9633"/>
    <cellStyle name="20% - 강조색6 3 3 2 3 5" xfId="9634"/>
    <cellStyle name="20% - 강조색6 3 3 2 4" xfId="9635"/>
    <cellStyle name="20% - 강조색6 3 3 2 4 2" xfId="9636"/>
    <cellStyle name="20% - 강조색6 3 3 2 4 2 2" xfId="9637"/>
    <cellStyle name="20% - 강조색6 3 3 2 4 2 3" xfId="9638"/>
    <cellStyle name="20% - 강조색6 3 3 2 4 3" xfId="9639"/>
    <cellStyle name="20% - 강조색6 3 3 2 4 4" xfId="9640"/>
    <cellStyle name="20% - 강조색6 3 3 2 5" xfId="9641"/>
    <cellStyle name="20% - 강조색6 3 3 2 5 2" xfId="9642"/>
    <cellStyle name="20% - 강조색6 3 3 2 5 3" xfId="9643"/>
    <cellStyle name="20% - 강조색6 3 3 2 6" xfId="9644"/>
    <cellStyle name="20% - 강조색6 3 3 2 7" xfId="9645"/>
    <cellStyle name="20% - 강조색6 3 3 2 8" xfId="9646"/>
    <cellStyle name="20% - 강조색6 3 3 2 9" xfId="9647"/>
    <cellStyle name="20% - 강조색6 3 3 3" xfId="9648"/>
    <cellStyle name="20% - 강조색6 3 3 3 2" xfId="9649"/>
    <cellStyle name="20% - 강조색6 3 3 3 2 2" xfId="9650"/>
    <cellStyle name="20% - 강조색6 3 3 3 2 2 2" xfId="9651"/>
    <cellStyle name="20% - 강조색6 3 3 3 2 2 2 2" xfId="9652"/>
    <cellStyle name="20% - 강조색6 3 3 3 2 2 2 3" xfId="9653"/>
    <cellStyle name="20% - 강조색6 3 3 3 2 2 3" xfId="9654"/>
    <cellStyle name="20% - 강조색6 3 3 3 2 2 4" xfId="9655"/>
    <cellStyle name="20% - 강조색6 3 3 3 2 3" xfId="9656"/>
    <cellStyle name="20% - 강조색6 3 3 3 2 3 2" xfId="9657"/>
    <cellStyle name="20% - 강조색6 3 3 3 2 3 3" xfId="9658"/>
    <cellStyle name="20% - 강조색6 3 3 3 2 4" xfId="9659"/>
    <cellStyle name="20% - 강조색6 3 3 3 2 5" xfId="9660"/>
    <cellStyle name="20% - 강조색6 3 3 3 3" xfId="9661"/>
    <cellStyle name="20% - 강조색6 3 3 3 3 2" xfId="9662"/>
    <cellStyle name="20% - 강조색6 3 3 3 3 2 2" xfId="9663"/>
    <cellStyle name="20% - 강조색6 3 3 3 3 2 2 2" xfId="9664"/>
    <cellStyle name="20% - 강조색6 3 3 3 3 2 2 3" xfId="9665"/>
    <cellStyle name="20% - 강조색6 3 3 3 3 2 3" xfId="9666"/>
    <cellStyle name="20% - 강조색6 3 3 3 3 2 4" xfId="9667"/>
    <cellStyle name="20% - 강조색6 3 3 3 3 3" xfId="9668"/>
    <cellStyle name="20% - 강조색6 3 3 3 3 3 2" xfId="9669"/>
    <cellStyle name="20% - 강조색6 3 3 3 3 3 3" xfId="9670"/>
    <cellStyle name="20% - 강조색6 3 3 3 3 4" xfId="9671"/>
    <cellStyle name="20% - 강조색6 3 3 3 3 5" xfId="9672"/>
    <cellStyle name="20% - 강조색6 3 3 3 4" xfId="9673"/>
    <cellStyle name="20% - 강조색6 3 3 3 4 2" xfId="9674"/>
    <cellStyle name="20% - 강조색6 3 3 3 4 2 2" xfId="9675"/>
    <cellStyle name="20% - 강조색6 3 3 3 4 2 3" xfId="9676"/>
    <cellStyle name="20% - 강조색6 3 3 3 4 3" xfId="9677"/>
    <cellStyle name="20% - 강조색6 3 3 3 4 4" xfId="9678"/>
    <cellStyle name="20% - 강조색6 3 3 3 5" xfId="9679"/>
    <cellStyle name="20% - 강조색6 3 3 3 5 2" xfId="9680"/>
    <cellStyle name="20% - 강조색6 3 3 3 5 3" xfId="9681"/>
    <cellStyle name="20% - 강조색6 3 3 3 6" xfId="9682"/>
    <cellStyle name="20% - 강조색6 3 3 3 7" xfId="9683"/>
    <cellStyle name="20% - 강조색6 3 3 4" xfId="9684"/>
    <cellStyle name="20% - 강조색6 3 3 4 2" xfId="9685"/>
    <cellStyle name="20% - 강조색6 3 3 4 2 2" xfId="9686"/>
    <cellStyle name="20% - 강조색6 3 3 4 2 2 2" xfId="9687"/>
    <cellStyle name="20% - 강조색6 3 3 4 2 2 3" xfId="9688"/>
    <cellStyle name="20% - 강조색6 3 3 4 2 3" xfId="9689"/>
    <cellStyle name="20% - 강조색6 3 3 4 2 4" xfId="9690"/>
    <cellStyle name="20% - 강조색6 3 3 4 3" xfId="9691"/>
    <cellStyle name="20% - 강조색6 3 3 4 3 2" xfId="9692"/>
    <cellStyle name="20% - 강조색6 3 3 4 3 3" xfId="9693"/>
    <cellStyle name="20% - 강조색6 3 3 4 4" xfId="9694"/>
    <cellStyle name="20% - 강조색6 3 3 4 5" xfId="9695"/>
    <cellStyle name="20% - 강조색6 3 3 5" xfId="9696"/>
    <cellStyle name="20% - 강조색6 3 3 5 2" xfId="9697"/>
    <cellStyle name="20% - 강조색6 3 3 5 2 2" xfId="9698"/>
    <cellStyle name="20% - 강조색6 3 3 5 2 2 2" xfId="9699"/>
    <cellStyle name="20% - 강조색6 3 3 5 2 2 3" xfId="9700"/>
    <cellStyle name="20% - 강조색6 3 3 5 2 3" xfId="9701"/>
    <cellStyle name="20% - 강조색6 3 3 5 2 4" xfId="9702"/>
    <cellStyle name="20% - 강조색6 3 3 5 3" xfId="9703"/>
    <cellStyle name="20% - 강조색6 3 3 5 3 2" xfId="9704"/>
    <cellStyle name="20% - 강조색6 3 3 5 3 3" xfId="9705"/>
    <cellStyle name="20% - 강조색6 3 3 5 4" xfId="9706"/>
    <cellStyle name="20% - 강조색6 3 3 5 5" xfId="9707"/>
    <cellStyle name="20% - 강조색6 3 3 6" xfId="9708"/>
    <cellStyle name="20% - 강조색6 3 3 6 2" xfId="9709"/>
    <cellStyle name="20% - 강조색6 3 3 6 2 2" xfId="9710"/>
    <cellStyle name="20% - 강조색6 3 3 6 2 2 2" xfId="9711"/>
    <cellStyle name="20% - 강조색6 3 3 6 2 2 3" xfId="9712"/>
    <cellStyle name="20% - 강조색6 3 3 6 2 3" xfId="9713"/>
    <cellStyle name="20% - 강조색6 3 3 6 2 4" xfId="9714"/>
    <cellStyle name="20% - 강조색6 3 3 6 3" xfId="9715"/>
    <cellStyle name="20% - 강조색6 3 3 6 3 2" xfId="9716"/>
    <cellStyle name="20% - 강조색6 3 3 6 3 3" xfId="9717"/>
    <cellStyle name="20% - 강조색6 3 3 6 4" xfId="9718"/>
    <cellStyle name="20% - 강조색6 3 3 6 5" xfId="9719"/>
    <cellStyle name="20% - 강조색6 3 3 7" xfId="9720"/>
    <cellStyle name="20% - 강조색6 3 3 7 2" xfId="9721"/>
    <cellStyle name="20% - 강조색6 3 3 7 2 2" xfId="9722"/>
    <cellStyle name="20% - 강조색6 3 3 7 2 3" xfId="9723"/>
    <cellStyle name="20% - 강조색6 3 3 7 3" xfId="9724"/>
    <cellStyle name="20% - 강조색6 3 3 7 4" xfId="9725"/>
    <cellStyle name="20% - 강조색6 3 3 8" xfId="9726"/>
    <cellStyle name="20% - 강조색6 3 3 8 2" xfId="9727"/>
    <cellStyle name="20% - 강조색6 3 3 8 3" xfId="9728"/>
    <cellStyle name="20% - 강조색6 3 3 9" xfId="9729"/>
    <cellStyle name="20% - 강조색6 3 4" xfId="9730"/>
    <cellStyle name="20% - 강조색6 3 4 10" xfId="9731"/>
    <cellStyle name="20% - 강조색6 3 4 11" xfId="9732"/>
    <cellStyle name="20% - 강조색6 3 4 12" xfId="9733"/>
    <cellStyle name="20% - 강조색6 3 4 2" xfId="9734"/>
    <cellStyle name="20% - 강조색6 3 4 2 2" xfId="9735"/>
    <cellStyle name="20% - 강조색6 3 4 2 2 2" xfId="9736"/>
    <cellStyle name="20% - 강조색6 3 4 2 2 2 2" xfId="9737"/>
    <cellStyle name="20% - 강조색6 3 4 2 2 2 2 2" xfId="9738"/>
    <cellStyle name="20% - 강조색6 3 4 2 2 2 2 3" xfId="9739"/>
    <cellStyle name="20% - 강조색6 3 4 2 2 2 3" xfId="9740"/>
    <cellStyle name="20% - 강조색6 3 4 2 2 2 4" xfId="9741"/>
    <cellStyle name="20% - 강조색6 3 4 2 2 3" xfId="9742"/>
    <cellStyle name="20% - 강조색6 3 4 2 2 3 2" xfId="9743"/>
    <cellStyle name="20% - 강조색6 3 4 2 2 3 3" xfId="9744"/>
    <cellStyle name="20% - 강조색6 3 4 2 2 4" xfId="9745"/>
    <cellStyle name="20% - 강조색6 3 4 2 2 5" xfId="9746"/>
    <cellStyle name="20% - 강조색6 3 4 2 3" xfId="9747"/>
    <cellStyle name="20% - 강조색6 3 4 2 3 2" xfId="9748"/>
    <cellStyle name="20% - 강조색6 3 4 2 3 2 2" xfId="9749"/>
    <cellStyle name="20% - 강조색6 3 4 2 3 2 2 2" xfId="9750"/>
    <cellStyle name="20% - 강조색6 3 4 2 3 2 2 3" xfId="9751"/>
    <cellStyle name="20% - 강조색6 3 4 2 3 2 3" xfId="9752"/>
    <cellStyle name="20% - 강조색6 3 4 2 3 2 4" xfId="9753"/>
    <cellStyle name="20% - 강조색6 3 4 2 3 3" xfId="9754"/>
    <cellStyle name="20% - 강조색6 3 4 2 3 3 2" xfId="9755"/>
    <cellStyle name="20% - 강조색6 3 4 2 3 3 3" xfId="9756"/>
    <cellStyle name="20% - 강조색6 3 4 2 3 4" xfId="9757"/>
    <cellStyle name="20% - 강조색6 3 4 2 3 5" xfId="9758"/>
    <cellStyle name="20% - 강조색6 3 4 2 4" xfId="9759"/>
    <cellStyle name="20% - 강조색6 3 4 2 4 2" xfId="9760"/>
    <cellStyle name="20% - 강조색6 3 4 2 4 2 2" xfId="9761"/>
    <cellStyle name="20% - 강조색6 3 4 2 4 2 3" xfId="9762"/>
    <cellStyle name="20% - 강조색6 3 4 2 4 3" xfId="9763"/>
    <cellStyle name="20% - 강조색6 3 4 2 4 4" xfId="9764"/>
    <cellStyle name="20% - 강조색6 3 4 2 5" xfId="9765"/>
    <cellStyle name="20% - 강조색6 3 4 2 5 2" xfId="9766"/>
    <cellStyle name="20% - 강조색6 3 4 2 5 3" xfId="9767"/>
    <cellStyle name="20% - 강조색6 3 4 2 6" xfId="9768"/>
    <cellStyle name="20% - 강조색6 3 4 2 7" xfId="9769"/>
    <cellStyle name="20% - 강조색6 3 4 3" xfId="9770"/>
    <cellStyle name="20% - 강조색6 3 4 3 2" xfId="9771"/>
    <cellStyle name="20% - 강조색6 3 4 3 2 2" xfId="9772"/>
    <cellStyle name="20% - 강조색6 3 4 3 2 2 2" xfId="9773"/>
    <cellStyle name="20% - 강조색6 3 4 3 2 2 2 2" xfId="9774"/>
    <cellStyle name="20% - 강조색6 3 4 3 2 2 2 3" xfId="9775"/>
    <cellStyle name="20% - 강조색6 3 4 3 2 2 3" xfId="9776"/>
    <cellStyle name="20% - 강조색6 3 4 3 2 2 4" xfId="9777"/>
    <cellStyle name="20% - 강조색6 3 4 3 2 3" xfId="9778"/>
    <cellStyle name="20% - 강조색6 3 4 3 2 3 2" xfId="9779"/>
    <cellStyle name="20% - 강조색6 3 4 3 2 3 3" xfId="9780"/>
    <cellStyle name="20% - 강조색6 3 4 3 2 4" xfId="9781"/>
    <cellStyle name="20% - 강조색6 3 4 3 2 5" xfId="9782"/>
    <cellStyle name="20% - 강조색6 3 4 3 3" xfId="9783"/>
    <cellStyle name="20% - 강조색6 3 4 3 3 2" xfId="9784"/>
    <cellStyle name="20% - 강조색6 3 4 3 3 2 2" xfId="9785"/>
    <cellStyle name="20% - 강조색6 3 4 3 3 2 2 2" xfId="9786"/>
    <cellStyle name="20% - 강조색6 3 4 3 3 2 2 3" xfId="9787"/>
    <cellStyle name="20% - 강조색6 3 4 3 3 2 3" xfId="9788"/>
    <cellStyle name="20% - 강조색6 3 4 3 3 2 4" xfId="9789"/>
    <cellStyle name="20% - 강조색6 3 4 3 3 3" xfId="9790"/>
    <cellStyle name="20% - 강조색6 3 4 3 3 3 2" xfId="9791"/>
    <cellStyle name="20% - 강조색6 3 4 3 3 3 3" xfId="9792"/>
    <cellStyle name="20% - 강조색6 3 4 3 3 4" xfId="9793"/>
    <cellStyle name="20% - 강조색6 3 4 3 3 5" xfId="9794"/>
    <cellStyle name="20% - 강조색6 3 4 3 4" xfId="9795"/>
    <cellStyle name="20% - 강조색6 3 4 3 4 2" xfId="9796"/>
    <cellStyle name="20% - 강조색6 3 4 3 4 2 2" xfId="9797"/>
    <cellStyle name="20% - 강조색6 3 4 3 4 2 3" xfId="9798"/>
    <cellStyle name="20% - 강조색6 3 4 3 4 3" xfId="9799"/>
    <cellStyle name="20% - 강조색6 3 4 3 4 4" xfId="9800"/>
    <cellStyle name="20% - 강조색6 3 4 3 5" xfId="9801"/>
    <cellStyle name="20% - 강조색6 3 4 3 5 2" xfId="9802"/>
    <cellStyle name="20% - 강조색6 3 4 3 5 3" xfId="9803"/>
    <cellStyle name="20% - 강조색6 3 4 3 6" xfId="9804"/>
    <cellStyle name="20% - 강조색6 3 4 3 7" xfId="9805"/>
    <cellStyle name="20% - 강조색6 3 4 4" xfId="9806"/>
    <cellStyle name="20% - 강조색6 3 4 4 2" xfId="9807"/>
    <cellStyle name="20% - 강조색6 3 4 4 2 2" xfId="9808"/>
    <cellStyle name="20% - 강조색6 3 4 4 2 2 2" xfId="9809"/>
    <cellStyle name="20% - 강조색6 3 4 4 2 2 3" xfId="9810"/>
    <cellStyle name="20% - 강조색6 3 4 4 2 3" xfId="9811"/>
    <cellStyle name="20% - 강조색6 3 4 4 2 4" xfId="9812"/>
    <cellStyle name="20% - 강조색6 3 4 4 3" xfId="9813"/>
    <cellStyle name="20% - 강조색6 3 4 4 3 2" xfId="9814"/>
    <cellStyle name="20% - 강조색6 3 4 4 3 3" xfId="9815"/>
    <cellStyle name="20% - 강조색6 3 4 4 4" xfId="9816"/>
    <cellStyle name="20% - 강조색6 3 4 4 5" xfId="9817"/>
    <cellStyle name="20% - 강조색6 3 4 5" xfId="9818"/>
    <cellStyle name="20% - 강조색6 3 4 5 2" xfId="9819"/>
    <cellStyle name="20% - 강조색6 3 4 5 2 2" xfId="9820"/>
    <cellStyle name="20% - 강조색6 3 4 5 2 2 2" xfId="9821"/>
    <cellStyle name="20% - 강조색6 3 4 5 2 2 3" xfId="9822"/>
    <cellStyle name="20% - 강조색6 3 4 5 2 3" xfId="9823"/>
    <cellStyle name="20% - 강조색6 3 4 5 2 4" xfId="9824"/>
    <cellStyle name="20% - 강조색6 3 4 5 3" xfId="9825"/>
    <cellStyle name="20% - 강조색6 3 4 5 3 2" xfId="9826"/>
    <cellStyle name="20% - 강조색6 3 4 5 3 3" xfId="9827"/>
    <cellStyle name="20% - 강조색6 3 4 5 4" xfId="9828"/>
    <cellStyle name="20% - 강조색6 3 4 5 5" xfId="9829"/>
    <cellStyle name="20% - 강조색6 3 4 6" xfId="9830"/>
    <cellStyle name="20% - 강조색6 3 4 6 2" xfId="9831"/>
    <cellStyle name="20% - 강조색6 3 4 6 2 2" xfId="9832"/>
    <cellStyle name="20% - 강조색6 3 4 6 2 2 2" xfId="9833"/>
    <cellStyle name="20% - 강조색6 3 4 6 2 2 3" xfId="9834"/>
    <cellStyle name="20% - 강조색6 3 4 6 2 3" xfId="9835"/>
    <cellStyle name="20% - 강조색6 3 4 6 2 4" xfId="9836"/>
    <cellStyle name="20% - 강조색6 3 4 6 3" xfId="9837"/>
    <cellStyle name="20% - 강조색6 3 4 6 3 2" xfId="9838"/>
    <cellStyle name="20% - 강조색6 3 4 6 3 3" xfId="9839"/>
    <cellStyle name="20% - 강조색6 3 4 6 4" xfId="9840"/>
    <cellStyle name="20% - 강조색6 3 4 6 5" xfId="9841"/>
    <cellStyle name="20% - 강조색6 3 4 7" xfId="9842"/>
    <cellStyle name="20% - 강조색6 3 4 7 2" xfId="9843"/>
    <cellStyle name="20% - 강조색6 3 4 7 2 2" xfId="9844"/>
    <cellStyle name="20% - 강조색6 3 4 7 2 3" xfId="9845"/>
    <cellStyle name="20% - 강조색6 3 4 7 3" xfId="9846"/>
    <cellStyle name="20% - 강조색6 3 4 7 4" xfId="9847"/>
    <cellStyle name="20% - 강조색6 3 4 8" xfId="9848"/>
    <cellStyle name="20% - 강조색6 3 4 8 2" xfId="9849"/>
    <cellStyle name="20% - 강조색6 3 4 8 3" xfId="9850"/>
    <cellStyle name="20% - 강조색6 3 4 9" xfId="9851"/>
    <cellStyle name="20% - 강조색6 3 5" xfId="9852"/>
    <cellStyle name="20% - 강조색6 3 5 2" xfId="9853"/>
    <cellStyle name="20% - 강조색6 3 5 2 2" xfId="9854"/>
    <cellStyle name="20% - 강조색6 3 5 2 2 2" xfId="9855"/>
    <cellStyle name="20% - 강조색6 3 5 2 2 2 2" xfId="9856"/>
    <cellStyle name="20% - 강조색6 3 5 2 2 2 3" xfId="9857"/>
    <cellStyle name="20% - 강조색6 3 5 2 2 3" xfId="9858"/>
    <cellStyle name="20% - 강조색6 3 5 2 2 4" xfId="9859"/>
    <cellStyle name="20% - 강조색6 3 5 2 3" xfId="9860"/>
    <cellStyle name="20% - 강조색6 3 5 2 3 2" xfId="9861"/>
    <cellStyle name="20% - 강조색6 3 5 2 3 3" xfId="9862"/>
    <cellStyle name="20% - 강조색6 3 5 2 4" xfId="9863"/>
    <cellStyle name="20% - 강조색6 3 5 2 5" xfId="9864"/>
    <cellStyle name="20% - 강조색6 3 5 3" xfId="9865"/>
    <cellStyle name="20% - 강조색6 3 5 3 2" xfId="9866"/>
    <cellStyle name="20% - 강조색6 3 5 3 2 2" xfId="9867"/>
    <cellStyle name="20% - 강조색6 3 5 3 2 2 2" xfId="9868"/>
    <cellStyle name="20% - 강조색6 3 5 3 2 2 3" xfId="9869"/>
    <cellStyle name="20% - 강조색6 3 5 3 2 3" xfId="9870"/>
    <cellStyle name="20% - 강조색6 3 5 3 2 4" xfId="9871"/>
    <cellStyle name="20% - 강조색6 3 5 3 3" xfId="9872"/>
    <cellStyle name="20% - 강조색6 3 5 3 3 2" xfId="9873"/>
    <cellStyle name="20% - 강조색6 3 5 3 3 3" xfId="9874"/>
    <cellStyle name="20% - 강조색6 3 5 3 4" xfId="9875"/>
    <cellStyle name="20% - 강조색6 3 5 3 5" xfId="9876"/>
    <cellStyle name="20% - 강조색6 3 5 4" xfId="9877"/>
    <cellStyle name="20% - 강조색6 3 5 4 2" xfId="9878"/>
    <cellStyle name="20% - 강조색6 3 5 4 2 2" xfId="9879"/>
    <cellStyle name="20% - 강조색6 3 5 4 2 3" xfId="9880"/>
    <cellStyle name="20% - 강조색6 3 5 4 3" xfId="9881"/>
    <cellStyle name="20% - 강조색6 3 5 4 4" xfId="9882"/>
    <cellStyle name="20% - 강조색6 3 5 5" xfId="9883"/>
    <cellStyle name="20% - 강조색6 3 5 5 2" xfId="9884"/>
    <cellStyle name="20% - 강조색6 3 5 5 3" xfId="9885"/>
    <cellStyle name="20% - 강조색6 3 5 6" xfId="9886"/>
    <cellStyle name="20% - 강조색6 3 5 7" xfId="9887"/>
    <cellStyle name="20% - 강조색6 3 5 8" xfId="9888"/>
    <cellStyle name="20% - 강조색6 3 6" xfId="9889"/>
    <cellStyle name="20% - 강조색6 3 6 2" xfId="9890"/>
    <cellStyle name="20% - 강조색6 3 6 2 2" xfId="9891"/>
    <cellStyle name="20% - 강조색6 3 6 2 2 2" xfId="9892"/>
    <cellStyle name="20% - 강조색6 3 6 2 2 2 2" xfId="9893"/>
    <cellStyle name="20% - 강조색6 3 6 2 2 2 3" xfId="9894"/>
    <cellStyle name="20% - 강조색6 3 6 2 2 3" xfId="9895"/>
    <cellStyle name="20% - 강조색6 3 6 2 2 4" xfId="9896"/>
    <cellStyle name="20% - 강조색6 3 6 2 3" xfId="9897"/>
    <cellStyle name="20% - 강조색6 3 6 2 3 2" xfId="9898"/>
    <cellStyle name="20% - 강조색6 3 6 2 3 3" xfId="9899"/>
    <cellStyle name="20% - 강조색6 3 6 2 4" xfId="9900"/>
    <cellStyle name="20% - 강조색6 3 6 2 5" xfId="9901"/>
    <cellStyle name="20% - 강조색6 3 6 3" xfId="9902"/>
    <cellStyle name="20% - 강조색6 3 6 3 2" xfId="9903"/>
    <cellStyle name="20% - 강조색6 3 6 3 2 2" xfId="9904"/>
    <cellStyle name="20% - 강조색6 3 6 3 2 2 2" xfId="9905"/>
    <cellStyle name="20% - 강조색6 3 6 3 2 2 3" xfId="9906"/>
    <cellStyle name="20% - 강조색6 3 6 3 2 3" xfId="9907"/>
    <cellStyle name="20% - 강조색6 3 6 3 2 4" xfId="9908"/>
    <cellStyle name="20% - 강조색6 3 6 3 3" xfId="9909"/>
    <cellStyle name="20% - 강조색6 3 6 3 3 2" xfId="9910"/>
    <cellStyle name="20% - 강조색6 3 6 3 3 3" xfId="9911"/>
    <cellStyle name="20% - 강조색6 3 6 3 4" xfId="9912"/>
    <cellStyle name="20% - 강조색6 3 6 3 5" xfId="9913"/>
    <cellStyle name="20% - 강조색6 3 6 4" xfId="9914"/>
    <cellStyle name="20% - 강조색6 3 6 4 2" xfId="9915"/>
    <cellStyle name="20% - 강조색6 3 6 4 2 2" xfId="9916"/>
    <cellStyle name="20% - 강조색6 3 6 4 2 3" xfId="9917"/>
    <cellStyle name="20% - 강조색6 3 6 4 3" xfId="9918"/>
    <cellStyle name="20% - 강조색6 3 6 4 4" xfId="9919"/>
    <cellStyle name="20% - 강조색6 3 6 5" xfId="9920"/>
    <cellStyle name="20% - 강조색6 3 6 5 2" xfId="9921"/>
    <cellStyle name="20% - 강조색6 3 6 5 3" xfId="9922"/>
    <cellStyle name="20% - 강조색6 3 6 6" xfId="9923"/>
    <cellStyle name="20% - 강조색6 3 6 7" xfId="9924"/>
    <cellStyle name="20% - 강조색6 3 7" xfId="9925"/>
    <cellStyle name="20% - 강조색6 3 7 2" xfId="9926"/>
    <cellStyle name="20% - 강조색6 3 7 2 2" xfId="9927"/>
    <cellStyle name="20% - 강조색6 3 7 2 2 2" xfId="9928"/>
    <cellStyle name="20% - 강조색6 3 7 2 2 3" xfId="9929"/>
    <cellStyle name="20% - 강조색6 3 7 2 3" xfId="9930"/>
    <cellStyle name="20% - 강조색6 3 7 2 4" xfId="9931"/>
    <cellStyle name="20% - 강조색6 3 7 3" xfId="9932"/>
    <cellStyle name="20% - 강조색6 3 7 3 2" xfId="9933"/>
    <cellStyle name="20% - 강조색6 3 7 3 3" xfId="9934"/>
    <cellStyle name="20% - 강조색6 3 7 4" xfId="9935"/>
    <cellStyle name="20% - 강조색6 3 7 5" xfId="9936"/>
    <cellStyle name="20% - 강조색6 3 8" xfId="9937"/>
    <cellStyle name="20% - 강조색6 3 8 2" xfId="9938"/>
    <cellStyle name="20% - 강조색6 3 8 2 2" xfId="9939"/>
    <cellStyle name="20% - 강조색6 3 8 2 2 2" xfId="9940"/>
    <cellStyle name="20% - 강조색6 3 8 2 2 3" xfId="9941"/>
    <cellStyle name="20% - 강조색6 3 8 2 3" xfId="9942"/>
    <cellStyle name="20% - 강조색6 3 8 2 4" xfId="9943"/>
    <cellStyle name="20% - 강조색6 3 8 3" xfId="9944"/>
    <cellStyle name="20% - 강조색6 3 8 3 2" xfId="9945"/>
    <cellStyle name="20% - 강조색6 3 8 3 3" xfId="9946"/>
    <cellStyle name="20% - 강조색6 3 8 4" xfId="9947"/>
    <cellStyle name="20% - 강조색6 3 8 5" xfId="9948"/>
    <cellStyle name="20% - 강조색6 3 9" xfId="9949"/>
    <cellStyle name="20% - 강조색6 3 9 2" xfId="9950"/>
    <cellStyle name="20% - 강조색6 3 9 2 2" xfId="9951"/>
    <cellStyle name="20% - 강조색6 3 9 2 2 2" xfId="9952"/>
    <cellStyle name="20% - 강조색6 3 9 2 2 3" xfId="9953"/>
    <cellStyle name="20% - 강조색6 3 9 2 3" xfId="9954"/>
    <cellStyle name="20% - 강조색6 3 9 2 4" xfId="9955"/>
    <cellStyle name="20% - 강조색6 3 9 3" xfId="9956"/>
    <cellStyle name="20% - 강조색6 3 9 3 2" xfId="9957"/>
    <cellStyle name="20% - 강조색6 3 9 3 3" xfId="9958"/>
    <cellStyle name="20% - 강조색6 3 9 4" xfId="9959"/>
    <cellStyle name="20% - 강조색6 3 9 5" xfId="9960"/>
    <cellStyle name="20% - 강조색6 30" xfId="9961"/>
    <cellStyle name="20% - 강조색6 30 2" xfId="9962"/>
    <cellStyle name="20% - 강조색6 31" xfId="9963"/>
    <cellStyle name="20% - 강조색6 31 2" xfId="9964"/>
    <cellStyle name="20% - 강조색6 32" xfId="9965"/>
    <cellStyle name="20% - 강조색6 32 2" xfId="9966"/>
    <cellStyle name="20% - 강조색6 33" xfId="9967"/>
    <cellStyle name="20% - 강조색6 33 2" xfId="9968"/>
    <cellStyle name="20% - 강조색6 34" xfId="9969"/>
    <cellStyle name="20% - 강조색6 34 2" xfId="9970"/>
    <cellStyle name="20% - 강조색6 35" xfId="9971"/>
    <cellStyle name="20% - 강조색6 36" xfId="9972"/>
    <cellStyle name="20% - 강조색6 37" xfId="9973"/>
    <cellStyle name="20% - 강조색6 38" xfId="9974"/>
    <cellStyle name="20% - 강조색6 39" xfId="9975"/>
    <cellStyle name="20% - 강조색6 4" xfId="9976"/>
    <cellStyle name="20% - 강조색6 4 10" xfId="9977"/>
    <cellStyle name="20% - 강조색6 4 10 2" xfId="9978"/>
    <cellStyle name="20% - 강조색6 4 10 2 2" xfId="9979"/>
    <cellStyle name="20% - 강조색6 4 10 2 3" xfId="9980"/>
    <cellStyle name="20% - 강조색6 4 10 3" xfId="9981"/>
    <cellStyle name="20% - 강조색6 4 10 4" xfId="9982"/>
    <cellStyle name="20% - 강조색6 4 11" xfId="9983"/>
    <cellStyle name="20% - 강조색6 4 11 2" xfId="9984"/>
    <cellStyle name="20% - 강조색6 4 11 3" xfId="9985"/>
    <cellStyle name="20% - 강조색6 4 12" xfId="9986"/>
    <cellStyle name="20% - 강조색6 4 13" xfId="9987"/>
    <cellStyle name="20% - 강조색6 4 14" xfId="9988"/>
    <cellStyle name="20% - 강조색6 4 2" xfId="9989"/>
    <cellStyle name="20% - 강조색6 4 2 10" xfId="9990"/>
    <cellStyle name="20% - 강조색6 4 2 2" xfId="9991"/>
    <cellStyle name="20% - 강조색6 4 2 2 2" xfId="9992"/>
    <cellStyle name="20% - 강조색6 4 2 2 2 2" xfId="9993"/>
    <cellStyle name="20% - 강조색6 4 2 2 2 2 2" xfId="9994"/>
    <cellStyle name="20% - 강조색6 4 2 2 2 2 2 2" xfId="9995"/>
    <cellStyle name="20% - 강조색6 4 2 2 2 2 2 3" xfId="9996"/>
    <cellStyle name="20% - 강조색6 4 2 2 2 2 3" xfId="9997"/>
    <cellStyle name="20% - 강조색6 4 2 2 2 2 4" xfId="9998"/>
    <cellStyle name="20% - 강조색6 4 2 2 2 3" xfId="9999"/>
    <cellStyle name="20% - 강조색6 4 2 2 2 3 2" xfId="10000"/>
    <cellStyle name="20% - 강조색6 4 2 2 2 3 3" xfId="10001"/>
    <cellStyle name="20% - 강조색6 4 2 2 2 4" xfId="10002"/>
    <cellStyle name="20% - 강조색6 4 2 2 2 5" xfId="10003"/>
    <cellStyle name="20% - 강조색6 4 2 2 3" xfId="10004"/>
    <cellStyle name="20% - 강조색6 4 2 2 3 2" xfId="10005"/>
    <cellStyle name="20% - 강조색6 4 2 2 3 2 2" xfId="10006"/>
    <cellStyle name="20% - 강조색6 4 2 2 3 2 2 2" xfId="10007"/>
    <cellStyle name="20% - 강조색6 4 2 2 3 2 2 3" xfId="10008"/>
    <cellStyle name="20% - 강조색6 4 2 2 3 2 3" xfId="10009"/>
    <cellStyle name="20% - 강조색6 4 2 2 3 2 4" xfId="10010"/>
    <cellStyle name="20% - 강조색6 4 2 2 3 3" xfId="10011"/>
    <cellStyle name="20% - 강조색6 4 2 2 3 3 2" xfId="10012"/>
    <cellStyle name="20% - 강조색6 4 2 2 3 3 3" xfId="10013"/>
    <cellStyle name="20% - 강조색6 4 2 2 3 4" xfId="10014"/>
    <cellStyle name="20% - 강조색6 4 2 2 3 5" xfId="10015"/>
    <cellStyle name="20% - 강조색6 4 2 2 4" xfId="10016"/>
    <cellStyle name="20% - 강조색6 4 2 2 4 2" xfId="10017"/>
    <cellStyle name="20% - 강조색6 4 2 2 4 2 2" xfId="10018"/>
    <cellStyle name="20% - 강조색6 4 2 2 4 2 3" xfId="10019"/>
    <cellStyle name="20% - 강조색6 4 2 2 4 3" xfId="10020"/>
    <cellStyle name="20% - 강조색6 4 2 2 4 4" xfId="10021"/>
    <cellStyle name="20% - 강조색6 4 2 2 5" xfId="10022"/>
    <cellStyle name="20% - 강조색6 4 2 2 5 2" xfId="10023"/>
    <cellStyle name="20% - 강조색6 4 2 2 5 3" xfId="10024"/>
    <cellStyle name="20% - 강조색6 4 2 2 6" xfId="10025"/>
    <cellStyle name="20% - 강조색6 4 2 2 7" xfId="10026"/>
    <cellStyle name="20% - 강조색6 4 2 3" xfId="10027"/>
    <cellStyle name="20% - 강조색6 4 2 3 2" xfId="10028"/>
    <cellStyle name="20% - 강조색6 4 2 3 2 2" xfId="10029"/>
    <cellStyle name="20% - 강조색6 4 2 3 2 2 2" xfId="10030"/>
    <cellStyle name="20% - 강조색6 4 2 3 2 2 2 2" xfId="10031"/>
    <cellStyle name="20% - 강조색6 4 2 3 2 2 2 3" xfId="10032"/>
    <cellStyle name="20% - 강조색6 4 2 3 2 2 3" xfId="10033"/>
    <cellStyle name="20% - 강조색6 4 2 3 2 2 4" xfId="10034"/>
    <cellStyle name="20% - 강조색6 4 2 3 2 3" xfId="10035"/>
    <cellStyle name="20% - 강조색6 4 2 3 2 3 2" xfId="10036"/>
    <cellStyle name="20% - 강조색6 4 2 3 2 3 3" xfId="10037"/>
    <cellStyle name="20% - 강조색6 4 2 3 2 4" xfId="10038"/>
    <cellStyle name="20% - 강조색6 4 2 3 2 5" xfId="10039"/>
    <cellStyle name="20% - 강조색6 4 2 3 3" xfId="10040"/>
    <cellStyle name="20% - 강조색6 4 2 3 3 2" xfId="10041"/>
    <cellStyle name="20% - 강조색6 4 2 3 3 2 2" xfId="10042"/>
    <cellStyle name="20% - 강조색6 4 2 3 3 2 2 2" xfId="10043"/>
    <cellStyle name="20% - 강조색6 4 2 3 3 2 2 3" xfId="10044"/>
    <cellStyle name="20% - 강조색6 4 2 3 3 2 3" xfId="10045"/>
    <cellStyle name="20% - 강조색6 4 2 3 3 2 4" xfId="10046"/>
    <cellStyle name="20% - 강조색6 4 2 3 3 3" xfId="10047"/>
    <cellStyle name="20% - 강조색6 4 2 3 3 3 2" xfId="10048"/>
    <cellStyle name="20% - 강조색6 4 2 3 3 3 3" xfId="10049"/>
    <cellStyle name="20% - 강조색6 4 2 3 3 4" xfId="10050"/>
    <cellStyle name="20% - 강조색6 4 2 3 3 5" xfId="10051"/>
    <cellStyle name="20% - 강조색6 4 2 3 4" xfId="10052"/>
    <cellStyle name="20% - 강조색6 4 2 3 4 2" xfId="10053"/>
    <cellStyle name="20% - 강조색6 4 2 3 4 2 2" xfId="10054"/>
    <cellStyle name="20% - 강조색6 4 2 3 4 2 3" xfId="10055"/>
    <cellStyle name="20% - 강조색6 4 2 3 4 3" xfId="10056"/>
    <cellStyle name="20% - 강조색6 4 2 3 4 4" xfId="10057"/>
    <cellStyle name="20% - 강조색6 4 2 3 5" xfId="10058"/>
    <cellStyle name="20% - 강조색6 4 2 3 5 2" xfId="10059"/>
    <cellStyle name="20% - 강조색6 4 2 3 5 3" xfId="10060"/>
    <cellStyle name="20% - 강조색6 4 2 3 6" xfId="10061"/>
    <cellStyle name="20% - 강조색6 4 2 3 7" xfId="10062"/>
    <cellStyle name="20% - 강조색6 4 2 4" xfId="10063"/>
    <cellStyle name="20% - 강조색6 4 2 4 2" xfId="10064"/>
    <cellStyle name="20% - 강조색6 4 2 4 2 2" xfId="10065"/>
    <cellStyle name="20% - 강조색6 4 2 4 2 2 2" xfId="10066"/>
    <cellStyle name="20% - 강조색6 4 2 4 2 2 3" xfId="10067"/>
    <cellStyle name="20% - 강조색6 4 2 4 2 3" xfId="10068"/>
    <cellStyle name="20% - 강조색6 4 2 4 2 4" xfId="10069"/>
    <cellStyle name="20% - 강조색6 4 2 4 3" xfId="10070"/>
    <cellStyle name="20% - 강조색6 4 2 4 3 2" xfId="10071"/>
    <cellStyle name="20% - 강조색6 4 2 4 3 3" xfId="10072"/>
    <cellStyle name="20% - 강조색6 4 2 4 4" xfId="10073"/>
    <cellStyle name="20% - 강조색6 4 2 4 5" xfId="10074"/>
    <cellStyle name="20% - 강조색6 4 2 5" xfId="10075"/>
    <cellStyle name="20% - 강조색6 4 2 5 2" xfId="10076"/>
    <cellStyle name="20% - 강조색6 4 2 5 2 2" xfId="10077"/>
    <cellStyle name="20% - 강조색6 4 2 5 2 2 2" xfId="10078"/>
    <cellStyle name="20% - 강조색6 4 2 5 2 2 3" xfId="10079"/>
    <cellStyle name="20% - 강조색6 4 2 5 2 3" xfId="10080"/>
    <cellStyle name="20% - 강조색6 4 2 5 2 4" xfId="10081"/>
    <cellStyle name="20% - 강조색6 4 2 5 3" xfId="10082"/>
    <cellStyle name="20% - 강조색6 4 2 5 3 2" xfId="10083"/>
    <cellStyle name="20% - 강조색6 4 2 5 3 3" xfId="10084"/>
    <cellStyle name="20% - 강조색6 4 2 5 4" xfId="10085"/>
    <cellStyle name="20% - 강조색6 4 2 5 5" xfId="10086"/>
    <cellStyle name="20% - 강조색6 4 2 6" xfId="10087"/>
    <cellStyle name="20% - 강조색6 4 2 6 2" xfId="10088"/>
    <cellStyle name="20% - 강조색6 4 2 6 2 2" xfId="10089"/>
    <cellStyle name="20% - 강조색6 4 2 6 2 2 2" xfId="10090"/>
    <cellStyle name="20% - 강조색6 4 2 6 2 2 3" xfId="10091"/>
    <cellStyle name="20% - 강조색6 4 2 6 2 3" xfId="10092"/>
    <cellStyle name="20% - 강조색6 4 2 6 2 4" xfId="10093"/>
    <cellStyle name="20% - 강조색6 4 2 6 3" xfId="10094"/>
    <cellStyle name="20% - 강조색6 4 2 6 3 2" xfId="10095"/>
    <cellStyle name="20% - 강조색6 4 2 6 3 3" xfId="10096"/>
    <cellStyle name="20% - 강조색6 4 2 6 4" xfId="10097"/>
    <cellStyle name="20% - 강조색6 4 2 6 5" xfId="10098"/>
    <cellStyle name="20% - 강조색6 4 2 7" xfId="10099"/>
    <cellStyle name="20% - 강조색6 4 2 7 2" xfId="10100"/>
    <cellStyle name="20% - 강조색6 4 2 7 2 2" xfId="10101"/>
    <cellStyle name="20% - 강조색6 4 2 7 2 3" xfId="10102"/>
    <cellStyle name="20% - 강조색6 4 2 7 3" xfId="10103"/>
    <cellStyle name="20% - 강조색6 4 2 7 4" xfId="10104"/>
    <cellStyle name="20% - 강조색6 4 2 8" xfId="10105"/>
    <cellStyle name="20% - 강조색6 4 2 8 2" xfId="10106"/>
    <cellStyle name="20% - 강조색6 4 2 8 3" xfId="10107"/>
    <cellStyle name="20% - 강조색6 4 2 9" xfId="10108"/>
    <cellStyle name="20% - 강조색6 4 3" xfId="10109"/>
    <cellStyle name="20% - 강조색6 4 3 10" xfId="10110"/>
    <cellStyle name="20% - 강조색6 4 3 2" xfId="10111"/>
    <cellStyle name="20% - 강조색6 4 3 2 2" xfId="10112"/>
    <cellStyle name="20% - 강조색6 4 3 2 2 2" xfId="10113"/>
    <cellStyle name="20% - 강조색6 4 3 2 2 2 2" xfId="10114"/>
    <cellStyle name="20% - 강조색6 4 3 2 2 2 2 2" xfId="10115"/>
    <cellStyle name="20% - 강조색6 4 3 2 2 2 2 3" xfId="10116"/>
    <cellStyle name="20% - 강조색6 4 3 2 2 2 3" xfId="10117"/>
    <cellStyle name="20% - 강조색6 4 3 2 2 2 4" xfId="10118"/>
    <cellStyle name="20% - 강조색6 4 3 2 2 3" xfId="10119"/>
    <cellStyle name="20% - 강조색6 4 3 2 2 3 2" xfId="10120"/>
    <cellStyle name="20% - 강조색6 4 3 2 2 3 3" xfId="10121"/>
    <cellStyle name="20% - 강조색6 4 3 2 2 4" xfId="10122"/>
    <cellStyle name="20% - 강조색6 4 3 2 2 5" xfId="10123"/>
    <cellStyle name="20% - 강조색6 4 3 2 3" xfId="10124"/>
    <cellStyle name="20% - 강조색6 4 3 2 3 2" xfId="10125"/>
    <cellStyle name="20% - 강조색6 4 3 2 3 2 2" xfId="10126"/>
    <cellStyle name="20% - 강조색6 4 3 2 3 2 2 2" xfId="10127"/>
    <cellStyle name="20% - 강조색6 4 3 2 3 2 2 3" xfId="10128"/>
    <cellStyle name="20% - 강조색6 4 3 2 3 2 3" xfId="10129"/>
    <cellStyle name="20% - 강조색6 4 3 2 3 2 4" xfId="10130"/>
    <cellStyle name="20% - 강조색6 4 3 2 3 3" xfId="10131"/>
    <cellStyle name="20% - 강조색6 4 3 2 3 3 2" xfId="10132"/>
    <cellStyle name="20% - 강조색6 4 3 2 3 3 3" xfId="10133"/>
    <cellStyle name="20% - 강조색6 4 3 2 3 4" xfId="10134"/>
    <cellStyle name="20% - 강조색6 4 3 2 3 5" xfId="10135"/>
    <cellStyle name="20% - 강조색6 4 3 2 4" xfId="10136"/>
    <cellStyle name="20% - 강조색6 4 3 2 4 2" xfId="10137"/>
    <cellStyle name="20% - 강조색6 4 3 2 4 2 2" xfId="10138"/>
    <cellStyle name="20% - 강조색6 4 3 2 4 2 3" xfId="10139"/>
    <cellStyle name="20% - 강조색6 4 3 2 4 3" xfId="10140"/>
    <cellStyle name="20% - 강조색6 4 3 2 4 4" xfId="10141"/>
    <cellStyle name="20% - 강조색6 4 3 2 5" xfId="10142"/>
    <cellStyle name="20% - 강조색6 4 3 2 5 2" xfId="10143"/>
    <cellStyle name="20% - 강조색6 4 3 2 5 3" xfId="10144"/>
    <cellStyle name="20% - 강조색6 4 3 2 6" xfId="10145"/>
    <cellStyle name="20% - 강조색6 4 3 2 7" xfId="10146"/>
    <cellStyle name="20% - 강조색6 4 3 3" xfId="10147"/>
    <cellStyle name="20% - 강조색6 4 3 3 2" xfId="10148"/>
    <cellStyle name="20% - 강조색6 4 3 3 2 2" xfId="10149"/>
    <cellStyle name="20% - 강조색6 4 3 3 2 2 2" xfId="10150"/>
    <cellStyle name="20% - 강조색6 4 3 3 2 2 2 2" xfId="10151"/>
    <cellStyle name="20% - 강조색6 4 3 3 2 2 2 3" xfId="10152"/>
    <cellStyle name="20% - 강조색6 4 3 3 2 2 3" xfId="10153"/>
    <cellStyle name="20% - 강조색6 4 3 3 2 2 4" xfId="10154"/>
    <cellStyle name="20% - 강조색6 4 3 3 2 3" xfId="10155"/>
    <cellStyle name="20% - 강조색6 4 3 3 2 3 2" xfId="10156"/>
    <cellStyle name="20% - 강조색6 4 3 3 2 3 3" xfId="10157"/>
    <cellStyle name="20% - 강조색6 4 3 3 2 4" xfId="10158"/>
    <cellStyle name="20% - 강조색6 4 3 3 2 5" xfId="10159"/>
    <cellStyle name="20% - 강조색6 4 3 3 3" xfId="10160"/>
    <cellStyle name="20% - 강조색6 4 3 3 3 2" xfId="10161"/>
    <cellStyle name="20% - 강조색6 4 3 3 3 2 2" xfId="10162"/>
    <cellStyle name="20% - 강조색6 4 3 3 3 2 2 2" xfId="10163"/>
    <cellStyle name="20% - 강조색6 4 3 3 3 2 2 3" xfId="10164"/>
    <cellStyle name="20% - 강조색6 4 3 3 3 2 3" xfId="10165"/>
    <cellStyle name="20% - 강조색6 4 3 3 3 2 4" xfId="10166"/>
    <cellStyle name="20% - 강조색6 4 3 3 3 3" xfId="10167"/>
    <cellStyle name="20% - 강조색6 4 3 3 3 3 2" xfId="10168"/>
    <cellStyle name="20% - 강조색6 4 3 3 3 3 3" xfId="10169"/>
    <cellStyle name="20% - 강조색6 4 3 3 3 4" xfId="10170"/>
    <cellStyle name="20% - 강조색6 4 3 3 3 5" xfId="10171"/>
    <cellStyle name="20% - 강조색6 4 3 3 4" xfId="10172"/>
    <cellStyle name="20% - 강조색6 4 3 3 4 2" xfId="10173"/>
    <cellStyle name="20% - 강조색6 4 3 3 4 2 2" xfId="10174"/>
    <cellStyle name="20% - 강조색6 4 3 3 4 2 3" xfId="10175"/>
    <cellStyle name="20% - 강조색6 4 3 3 4 3" xfId="10176"/>
    <cellStyle name="20% - 강조색6 4 3 3 4 4" xfId="10177"/>
    <cellStyle name="20% - 강조색6 4 3 3 5" xfId="10178"/>
    <cellStyle name="20% - 강조색6 4 3 3 5 2" xfId="10179"/>
    <cellStyle name="20% - 강조색6 4 3 3 5 3" xfId="10180"/>
    <cellStyle name="20% - 강조색6 4 3 3 6" xfId="10181"/>
    <cellStyle name="20% - 강조색6 4 3 3 7" xfId="10182"/>
    <cellStyle name="20% - 강조색6 4 3 4" xfId="10183"/>
    <cellStyle name="20% - 강조색6 4 3 4 2" xfId="10184"/>
    <cellStyle name="20% - 강조색6 4 3 4 2 2" xfId="10185"/>
    <cellStyle name="20% - 강조색6 4 3 4 2 2 2" xfId="10186"/>
    <cellStyle name="20% - 강조색6 4 3 4 2 2 3" xfId="10187"/>
    <cellStyle name="20% - 강조색6 4 3 4 2 3" xfId="10188"/>
    <cellStyle name="20% - 강조색6 4 3 4 2 4" xfId="10189"/>
    <cellStyle name="20% - 강조색6 4 3 4 3" xfId="10190"/>
    <cellStyle name="20% - 강조색6 4 3 4 3 2" xfId="10191"/>
    <cellStyle name="20% - 강조색6 4 3 4 3 3" xfId="10192"/>
    <cellStyle name="20% - 강조색6 4 3 4 4" xfId="10193"/>
    <cellStyle name="20% - 강조색6 4 3 4 5" xfId="10194"/>
    <cellStyle name="20% - 강조색6 4 3 5" xfId="10195"/>
    <cellStyle name="20% - 강조색6 4 3 5 2" xfId="10196"/>
    <cellStyle name="20% - 강조색6 4 3 5 2 2" xfId="10197"/>
    <cellStyle name="20% - 강조색6 4 3 5 2 2 2" xfId="10198"/>
    <cellStyle name="20% - 강조색6 4 3 5 2 2 3" xfId="10199"/>
    <cellStyle name="20% - 강조색6 4 3 5 2 3" xfId="10200"/>
    <cellStyle name="20% - 강조색6 4 3 5 2 4" xfId="10201"/>
    <cellStyle name="20% - 강조색6 4 3 5 3" xfId="10202"/>
    <cellStyle name="20% - 강조색6 4 3 5 3 2" xfId="10203"/>
    <cellStyle name="20% - 강조색6 4 3 5 3 3" xfId="10204"/>
    <cellStyle name="20% - 강조색6 4 3 5 4" xfId="10205"/>
    <cellStyle name="20% - 강조색6 4 3 5 5" xfId="10206"/>
    <cellStyle name="20% - 강조색6 4 3 6" xfId="10207"/>
    <cellStyle name="20% - 강조색6 4 3 6 2" xfId="10208"/>
    <cellStyle name="20% - 강조색6 4 3 6 2 2" xfId="10209"/>
    <cellStyle name="20% - 강조색6 4 3 6 2 2 2" xfId="10210"/>
    <cellStyle name="20% - 강조색6 4 3 6 2 2 3" xfId="10211"/>
    <cellStyle name="20% - 강조색6 4 3 6 2 3" xfId="10212"/>
    <cellStyle name="20% - 강조색6 4 3 6 2 4" xfId="10213"/>
    <cellStyle name="20% - 강조색6 4 3 6 3" xfId="10214"/>
    <cellStyle name="20% - 강조색6 4 3 6 3 2" xfId="10215"/>
    <cellStyle name="20% - 강조색6 4 3 6 3 3" xfId="10216"/>
    <cellStyle name="20% - 강조색6 4 3 6 4" xfId="10217"/>
    <cellStyle name="20% - 강조색6 4 3 6 5" xfId="10218"/>
    <cellStyle name="20% - 강조색6 4 3 7" xfId="10219"/>
    <cellStyle name="20% - 강조색6 4 3 7 2" xfId="10220"/>
    <cellStyle name="20% - 강조색6 4 3 7 2 2" xfId="10221"/>
    <cellStyle name="20% - 강조색6 4 3 7 2 3" xfId="10222"/>
    <cellStyle name="20% - 강조색6 4 3 7 3" xfId="10223"/>
    <cellStyle name="20% - 강조색6 4 3 7 4" xfId="10224"/>
    <cellStyle name="20% - 강조색6 4 3 8" xfId="10225"/>
    <cellStyle name="20% - 강조색6 4 3 8 2" xfId="10226"/>
    <cellStyle name="20% - 강조색6 4 3 8 3" xfId="10227"/>
    <cellStyle name="20% - 강조색6 4 3 9" xfId="10228"/>
    <cellStyle name="20% - 강조색6 4 4" xfId="10229"/>
    <cellStyle name="20% - 강조색6 4 4 10" xfId="10230"/>
    <cellStyle name="20% - 강조색6 4 4 2" xfId="10231"/>
    <cellStyle name="20% - 강조색6 4 4 2 2" xfId="10232"/>
    <cellStyle name="20% - 강조색6 4 4 2 2 2" xfId="10233"/>
    <cellStyle name="20% - 강조색6 4 4 2 2 2 2" xfId="10234"/>
    <cellStyle name="20% - 강조색6 4 4 2 2 2 2 2" xfId="10235"/>
    <cellStyle name="20% - 강조색6 4 4 2 2 2 2 3" xfId="10236"/>
    <cellStyle name="20% - 강조색6 4 4 2 2 2 3" xfId="10237"/>
    <cellStyle name="20% - 강조색6 4 4 2 2 2 4" xfId="10238"/>
    <cellStyle name="20% - 강조색6 4 4 2 2 3" xfId="10239"/>
    <cellStyle name="20% - 강조색6 4 4 2 2 3 2" xfId="10240"/>
    <cellStyle name="20% - 강조색6 4 4 2 2 3 3" xfId="10241"/>
    <cellStyle name="20% - 강조색6 4 4 2 2 4" xfId="10242"/>
    <cellStyle name="20% - 강조색6 4 4 2 2 5" xfId="10243"/>
    <cellStyle name="20% - 강조색6 4 4 2 3" xfId="10244"/>
    <cellStyle name="20% - 강조색6 4 4 2 3 2" xfId="10245"/>
    <cellStyle name="20% - 강조색6 4 4 2 3 2 2" xfId="10246"/>
    <cellStyle name="20% - 강조색6 4 4 2 3 2 2 2" xfId="10247"/>
    <cellStyle name="20% - 강조색6 4 4 2 3 2 2 3" xfId="10248"/>
    <cellStyle name="20% - 강조색6 4 4 2 3 2 3" xfId="10249"/>
    <cellStyle name="20% - 강조색6 4 4 2 3 2 4" xfId="10250"/>
    <cellStyle name="20% - 강조색6 4 4 2 3 3" xfId="10251"/>
    <cellStyle name="20% - 강조색6 4 4 2 3 3 2" xfId="10252"/>
    <cellStyle name="20% - 강조색6 4 4 2 3 3 3" xfId="10253"/>
    <cellStyle name="20% - 강조색6 4 4 2 3 4" xfId="10254"/>
    <cellStyle name="20% - 강조색6 4 4 2 3 5" xfId="10255"/>
    <cellStyle name="20% - 강조색6 4 4 2 4" xfId="10256"/>
    <cellStyle name="20% - 강조색6 4 4 2 4 2" xfId="10257"/>
    <cellStyle name="20% - 강조색6 4 4 2 4 2 2" xfId="10258"/>
    <cellStyle name="20% - 강조색6 4 4 2 4 2 3" xfId="10259"/>
    <cellStyle name="20% - 강조색6 4 4 2 4 3" xfId="10260"/>
    <cellStyle name="20% - 강조색6 4 4 2 4 4" xfId="10261"/>
    <cellStyle name="20% - 강조색6 4 4 2 5" xfId="10262"/>
    <cellStyle name="20% - 강조색6 4 4 2 5 2" xfId="10263"/>
    <cellStyle name="20% - 강조색6 4 4 2 5 3" xfId="10264"/>
    <cellStyle name="20% - 강조색6 4 4 2 6" xfId="10265"/>
    <cellStyle name="20% - 강조색6 4 4 2 7" xfId="10266"/>
    <cellStyle name="20% - 강조색6 4 4 3" xfId="10267"/>
    <cellStyle name="20% - 강조색6 4 4 3 2" xfId="10268"/>
    <cellStyle name="20% - 강조색6 4 4 3 2 2" xfId="10269"/>
    <cellStyle name="20% - 강조색6 4 4 3 2 2 2" xfId="10270"/>
    <cellStyle name="20% - 강조색6 4 4 3 2 2 2 2" xfId="10271"/>
    <cellStyle name="20% - 강조색6 4 4 3 2 2 2 3" xfId="10272"/>
    <cellStyle name="20% - 강조색6 4 4 3 2 2 3" xfId="10273"/>
    <cellStyle name="20% - 강조색6 4 4 3 2 2 4" xfId="10274"/>
    <cellStyle name="20% - 강조색6 4 4 3 2 3" xfId="10275"/>
    <cellStyle name="20% - 강조색6 4 4 3 2 3 2" xfId="10276"/>
    <cellStyle name="20% - 강조색6 4 4 3 2 3 3" xfId="10277"/>
    <cellStyle name="20% - 강조색6 4 4 3 2 4" xfId="10278"/>
    <cellStyle name="20% - 강조색6 4 4 3 2 5" xfId="10279"/>
    <cellStyle name="20% - 강조색6 4 4 3 3" xfId="10280"/>
    <cellStyle name="20% - 강조색6 4 4 3 3 2" xfId="10281"/>
    <cellStyle name="20% - 강조색6 4 4 3 3 2 2" xfId="10282"/>
    <cellStyle name="20% - 강조색6 4 4 3 3 2 2 2" xfId="10283"/>
    <cellStyle name="20% - 강조색6 4 4 3 3 2 2 3" xfId="10284"/>
    <cellStyle name="20% - 강조색6 4 4 3 3 2 3" xfId="10285"/>
    <cellStyle name="20% - 강조색6 4 4 3 3 2 4" xfId="10286"/>
    <cellStyle name="20% - 강조색6 4 4 3 3 3" xfId="10287"/>
    <cellStyle name="20% - 강조색6 4 4 3 3 3 2" xfId="10288"/>
    <cellStyle name="20% - 강조색6 4 4 3 3 3 3" xfId="10289"/>
    <cellStyle name="20% - 강조색6 4 4 3 3 4" xfId="10290"/>
    <cellStyle name="20% - 강조색6 4 4 3 3 5" xfId="10291"/>
    <cellStyle name="20% - 강조색6 4 4 3 4" xfId="10292"/>
    <cellStyle name="20% - 강조색6 4 4 3 4 2" xfId="10293"/>
    <cellStyle name="20% - 강조색6 4 4 3 4 2 2" xfId="10294"/>
    <cellStyle name="20% - 강조색6 4 4 3 4 2 3" xfId="10295"/>
    <cellStyle name="20% - 강조색6 4 4 3 4 3" xfId="10296"/>
    <cellStyle name="20% - 강조색6 4 4 3 4 4" xfId="10297"/>
    <cellStyle name="20% - 강조색6 4 4 3 5" xfId="10298"/>
    <cellStyle name="20% - 강조색6 4 4 3 5 2" xfId="10299"/>
    <cellStyle name="20% - 강조색6 4 4 3 5 3" xfId="10300"/>
    <cellStyle name="20% - 강조색6 4 4 3 6" xfId="10301"/>
    <cellStyle name="20% - 강조색6 4 4 3 7" xfId="10302"/>
    <cellStyle name="20% - 강조색6 4 4 4" xfId="10303"/>
    <cellStyle name="20% - 강조색6 4 4 4 2" xfId="10304"/>
    <cellStyle name="20% - 강조색6 4 4 4 2 2" xfId="10305"/>
    <cellStyle name="20% - 강조색6 4 4 4 2 2 2" xfId="10306"/>
    <cellStyle name="20% - 강조색6 4 4 4 2 2 3" xfId="10307"/>
    <cellStyle name="20% - 강조색6 4 4 4 2 3" xfId="10308"/>
    <cellStyle name="20% - 강조색6 4 4 4 2 4" xfId="10309"/>
    <cellStyle name="20% - 강조색6 4 4 4 3" xfId="10310"/>
    <cellStyle name="20% - 강조색6 4 4 4 3 2" xfId="10311"/>
    <cellStyle name="20% - 강조색6 4 4 4 3 3" xfId="10312"/>
    <cellStyle name="20% - 강조색6 4 4 4 4" xfId="10313"/>
    <cellStyle name="20% - 강조색6 4 4 4 5" xfId="10314"/>
    <cellStyle name="20% - 강조색6 4 4 5" xfId="10315"/>
    <cellStyle name="20% - 강조색6 4 4 5 2" xfId="10316"/>
    <cellStyle name="20% - 강조색6 4 4 5 2 2" xfId="10317"/>
    <cellStyle name="20% - 강조색6 4 4 5 2 2 2" xfId="10318"/>
    <cellStyle name="20% - 강조색6 4 4 5 2 2 3" xfId="10319"/>
    <cellStyle name="20% - 강조색6 4 4 5 2 3" xfId="10320"/>
    <cellStyle name="20% - 강조색6 4 4 5 2 4" xfId="10321"/>
    <cellStyle name="20% - 강조색6 4 4 5 3" xfId="10322"/>
    <cellStyle name="20% - 강조색6 4 4 5 3 2" xfId="10323"/>
    <cellStyle name="20% - 강조색6 4 4 5 3 3" xfId="10324"/>
    <cellStyle name="20% - 강조색6 4 4 5 4" xfId="10325"/>
    <cellStyle name="20% - 강조색6 4 4 5 5" xfId="10326"/>
    <cellStyle name="20% - 강조색6 4 4 6" xfId="10327"/>
    <cellStyle name="20% - 강조색6 4 4 6 2" xfId="10328"/>
    <cellStyle name="20% - 강조색6 4 4 6 2 2" xfId="10329"/>
    <cellStyle name="20% - 강조색6 4 4 6 2 2 2" xfId="10330"/>
    <cellStyle name="20% - 강조색6 4 4 6 2 2 3" xfId="10331"/>
    <cellStyle name="20% - 강조색6 4 4 6 2 3" xfId="10332"/>
    <cellStyle name="20% - 강조색6 4 4 6 2 4" xfId="10333"/>
    <cellStyle name="20% - 강조색6 4 4 6 3" xfId="10334"/>
    <cellStyle name="20% - 강조색6 4 4 6 3 2" xfId="10335"/>
    <cellStyle name="20% - 강조색6 4 4 6 3 3" xfId="10336"/>
    <cellStyle name="20% - 강조색6 4 4 6 4" xfId="10337"/>
    <cellStyle name="20% - 강조색6 4 4 6 5" xfId="10338"/>
    <cellStyle name="20% - 강조색6 4 4 7" xfId="10339"/>
    <cellStyle name="20% - 강조색6 4 4 7 2" xfId="10340"/>
    <cellStyle name="20% - 강조색6 4 4 7 2 2" xfId="10341"/>
    <cellStyle name="20% - 강조색6 4 4 7 2 3" xfId="10342"/>
    <cellStyle name="20% - 강조색6 4 4 7 3" xfId="10343"/>
    <cellStyle name="20% - 강조색6 4 4 7 4" xfId="10344"/>
    <cellStyle name="20% - 강조색6 4 4 8" xfId="10345"/>
    <cellStyle name="20% - 강조색6 4 4 8 2" xfId="10346"/>
    <cellStyle name="20% - 강조색6 4 4 8 3" xfId="10347"/>
    <cellStyle name="20% - 강조색6 4 4 9" xfId="10348"/>
    <cellStyle name="20% - 강조색6 4 5" xfId="10349"/>
    <cellStyle name="20% - 강조색6 4 5 2" xfId="10350"/>
    <cellStyle name="20% - 강조색6 4 5 2 2" xfId="10351"/>
    <cellStyle name="20% - 강조색6 4 5 2 2 2" xfId="10352"/>
    <cellStyle name="20% - 강조색6 4 5 2 2 2 2" xfId="10353"/>
    <cellStyle name="20% - 강조색6 4 5 2 2 2 3" xfId="10354"/>
    <cellStyle name="20% - 강조색6 4 5 2 2 3" xfId="10355"/>
    <cellStyle name="20% - 강조색6 4 5 2 2 4" xfId="10356"/>
    <cellStyle name="20% - 강조색6 4 5 2 3" xfId="10357"/>
    <cellStyle name="20% - 강조색6 4 5 2 3 2" xfId="10358"/>
    <cellStyle name="20% - 강조색6 4 5 2 3 3" xfId="10359"/>
    <cellStyle name="20% - 강조색6 4 5 2 4" xfId="10360"/>
    <cellStyle name="20% - 강조색6 4 5 2 5" xfId="10361"/>
    <cellStyle name="20% - 강조색6 4 5 3" xfId="10362"/>
    <cellStyle name="20% - 강조색6 4 5 3 2" xfId="10363"/>
    <cellStyle name="20% - 강조색6 4 5 3 2 2" xfId="10364"/>
    <cellStyle name="20% - 강조색6 4 5 3 2 2 2" xfId="10365"/>
    <cellStyle name="20% - 강조색6 4 5 3 2 2 3" xfId="10366"/>
    <cellStyle name="20% - 강조색6 4 5 3 2 3" xfId="10367"/>
    <cellStyle name="20% - 강조색6 4 5 3 2 4" xfId="10368"/>
    <cellStyle name="20% - 강조색6 4 5 3 3" xfId="10369"/>
    <cellStyle name="20% - 강조색6 4 5 3 3 2" xfId="10370"/>
    <cellStyle name="20% - 강조색6 4 5 3 3 3" xfId="10371"/>
    <cellStyle name="20% - 강조색6 4 5 3 4" xfId="10372"/>
    <cellStyle name="20% - 강조색6 4 5 3 5" xfId="10373"/>
    <cellStyle name="20% - 강조색6 4 5 4" xfId="10374"/>
    <cellStyle name="20% - 강조색6 4 5 4 2" xfId="10375"/>
    <cellStyle name="20% - 강조색6 4 5 4 2 2" xfId="10376"/>
    <cellStyle name="20% - 강조색6 4 5 4 2 3" xfId="10377"/>
    <cellStyle name="20% - 강조색6 4 5 4 3" xfId="10378"/>
    <cellStyle name="20% - 강조색6 4 5 4 4" xfId="10379"/>
    <cellStyle name="20% - 강조색6 4 5 5" xfId="10380"/>
    <cellStyle name="20% - 강조색6 4 5 5 2" xfId="10381"/>
    <cellStyle name="20% - 강조색6 4 5 5 3" xfId="10382"/>
    <cellStyle name="20% - 강조색6 4 5 6" xfId="10383"/>
    <cellStyle name="20% - 강조색6 4 5 7" xfId="10384"/>
    <cellStyle name="20% - 강조색6 4 6" xfId="10385"/>
    <cellStyle name="20% - 강조색6 4 6 2" xfId="10386"/>
    <cellStyle name="20% - 강조색6 4 6 2 2" xfId="10387"/>
    <cellStyle name="20% - 강조색6 4 6 2 2 2" xfId="10388"/>
    <cellStyle name="20% - 강조색6 4 6 2 2 2 2" xfId="10389"/>
    <cellStyle name="20% - 강조색6 4 6 2 2 2 3" xfId="10390"/>
    <cellStyle name="20% - 강조색6 4 6 2 2 3" xfId="10391"/>
    <cellStyle name="20% - 강조색6 4 6 2 2 4" xfId="10392"/>
    <cellStyle name="20% - 강조색6 4 6 2 3" xfId="10393"/>
    <cellStyle name="20% - 강조색6 4 6 2 3 2" xfId="10394"/>
    <cellStyle name="20% - 강조색6 4 6 2 3 3" xfId="10395"/>
    <cellStyle name="20% - 강조색6 4 6 2 4" xfId="10396"/>
    <cellStyle name="20% - 강조색6 4 6 2 5" xfId="10397"/>
    <cellStyle name="20% - 강조색6 4 6 3" xfId="10398"/>
    <cellStyle name="20% - 강조색6 4 6 3 2" xfId="10399"/>
    <cellStyle name="20% - 강조색6 4 6 3 2 2" xfId="10400"/>
    <cellStyle name="20% - 강조색6 4 6 3 2 2 2" xfId="10401"/>
    <cellStyle name="20% - 강조색6 4 6 3 2 2 3" xfId="10402"/>
    <cellStyle name="20% - 강조색6 4 6 3 2 3" xfId="10403"/>
    <cellStyle name="20% - 강조색6 4 6 3 2 4" xfId="10404"/>
    <cellStyle name="20% - 강조색6 4 6 3 3" xfId="10405"/>
    <cellStyle name="20% - 강조색6 4 6 3 3 2" xfId="10406"/>
    <cellStyle name="20% - 강조색6 4 6 3 3 3" xfId="10407"/>
    <cellStyle name="20% - 강조색6 4 6 3 4" xfId="10408"/>
    <cellStyle name="20% - 강조색6 4 6 3 5" xfId="10409"/>
    <cellStyle name="20% - 강조색6 4 6 4" xfId="10410"/>
    <cellStyle name="20% - 강조색6 4 6 4 2" xfId="10411"/>
    <cellStyle name="20% - 강조색6 4 6 4 2 2" xfId="10412"/>
    <cellStyle name="20% - 강조색6 4 6 4 2 3" xfId="10413"/>
    <cellStyle name="20% - 강조색6 4 6 4 3" xfId="10414"/>
    <cellStyle name="20% - 강조색6 4 6 4 4" xfId="10415"/>
    <cellStyle name="20% - 강조색6 4 6 5" xfId="10416"/>
    <cellStyle name="20% - 강조색6 4 6 5 2" xfId="10417"/>
    <cellStyle name="20% - 강조색6 4 6 5 3" xfId="10418"/>
    <cellStyle name="20% - 강조색6 4 6 6" xfId="10419"/>
    <cellStyle name="20% - 강조색6 4 6 7" xfId="10420"/>
    <cellStyle name="20% - 강조색6 4 7" xfId="10421"/>
    <cellStyle name="20% - 강조색6 4 7 2" xfId="10422"/>
    <cellStyle name="20% - 강조색6 4 7 2 2" xfId="10423"/>
    <cellStyle name="20% - 강조색6 4 7 2 2 2" xfId="10424"/>
    <cellStyle name="20% - 강조색6 4 7 2 2 3" xfId="10425"/>
    <cellStyle name="20% - 강조색6 4 7 2 3" xfId="10426"/>
    <cellStyle name="20% - 강조색6 4 7 2 4" xfId="10427"/>
    <cellStyle name="20% - 강조색6 4 7 3" xfId="10428"/>
    <cellStyle name="20% - 강조색6 4 7 3 2" xfId="10429"/>
    <cellStyle name="20% - 강조색6 4 7 3 3" xfId="10430"/>
    <cellStyle name="20% - 강조색6 4 7 4" xfId="10431"/>
    <cellStyle name="20% - 강조색6 4 7 5" xfId="10432"/>
    <cellStyle name="20% - 강조색6 4 8" xfId="10433"/>
    <cellStyle name="20% - 강조색6 4 8 2" xfId="10434"/>
    <cellStyle name="20% - 강조색6 4 8 2 2" xfId="10435"/>
    <cellStyle name="20% - 강조색6 4 8 2 2 2" xfId="10436"/>
    <cellStyle name="20% - 강조색6 4 8 2 2 3" xfId="10437"/>
    <cellStyle name="20% - 강조색6 4 8 2 3" xfId="10438"/>
    <cellStyle name="20% - 강조색6 4 8 2 4" xfId="10439"/>
    <cellStyle name="20% - 강조색6 4 8 3" xfId="10440"/>
    <cellStyle name="20% - 강조색6 4 8 3 2" xfId="10441"/>
    <cellStyle name="20% - 강조색6 4 8 3 3" xfId="10442"/>
    <cellStyle name="20% - 강조색6 4 8 4" xfId="10443"/>
    <cellStyle name="20% - 강조색6 4 8 5" xfId="10444"/>
    <cellStyle name="20% - 강조색6 4 9" xfId="10445"/>
    <cellStyle name="20% - 강조색6 4 9 2" xfId="10446"/>
    <cellStyle name="20% - 강조색6 4 9 2 2" xfId="10447"/>
    <cellStyle name="20% - 강조색6 4 9 2 2 2" xfId="10448"/>
    <cellStyle name="20% - 강조색6 4 9 2 2 3" xfId="10449"/>
    <cellStyle name="20% - 강조색6 4 9 2 3" xfId="10450"/>
    <cellStyle name="20% - 강조색6 4 9 2 4" xfId="10451"/>
    <cellStyle name="20% - 강조색6 4 9 3" xfId="10452"/>
    <cellStyle name="20% - 강조색6 4 9 3 2" xfId="10453"/>
    <cellStyle name="20% - 강조색6 4 9 3 3" xfId="10454"/>
    <cellStyle name="20% - 강조색6 4 9 4" xfId="10455"/>
    <cellStyle name="20% - 강조색6 4 9 5" xfId="10456"/>
    <cellStyle name="20% - 강조색6 40" xfId="10457"/>
    <cellStyle name="20% - 강조색6 41" xfId="10458"/>
    <cellStyle name="20% - 강조색6 42" xfId="10459"/>
    <cellStyle name="20% - 강조색6 43" xfId="10460"/>
    <cellStyle name="20% - 강조색6 44" xfId="10461"/>
    <cellStyle name="20% - 강조색6 45" xfId="10462"/>
    <cellStyle name="20% - 강조색6 46" xfId="10463"/>
    <cellStyle name="20% - 강조색6 47" xfId="10464"/>
    <cellStyle name="20% - 강조색6 48" xfId="10465"/>
    <cellStyle name="20% - 강조색6 49" xfId="10466"/>
    <cellStyle name="20% - 강조색6 5" xfId="10467"/>
    <cellStyle name="20% - 강조색6 5 10" xfId="10468"/>
    <cellStyle name="20% - 강조색6 5 11" xfId="10469"/>
    <cellStyle name="20% - 강조색6 5 2" xfId="10470"/>
    <cellStyle name="20% - 강조색6 5 2 2" xfId="10471"/>
    <cellStyle name="20% - 강조색6 5 2 2 2" xfId="10472"/>
    <cellStyle name="20% - 강조색6 5 2 2 2 2" xfId="10473"/>
    <cellStyle name="20% - 강조색6 5 2 2 2 2 2" xfId="10474"/>
    <cellStyle name="20% - 강조색6 5 2 2 2 2 3" xfId="10475"/>
    <cellStyle name="20% - 강조색6 5 2 2 2 3" xfId="10476"/>
    <cellStyle name="20% - 강조색6 5 2 2 2 4" xfId="10477"/>
    <cellStyle name="20% - 강조색6 5 2 2 3" xfId="10478"/>
    <cellStyle name="20% - 강조색6 5 2 2 3 2" xfId="10479"/>
    <cellStyle name="20% - 강조색6 5 2 2 3 3" xfId="10480"/>
    <cellStyle name="20% - 강조색6 5 2 2 4" xfId="10481"/>
    <cellStyle name="20% - 강조색6 5 2 2 5" xfId="10482"/>
    <cellStyle name="20% - 강조색6 5 2 3" xfId="10483"/>
    <cellStyle name="20% - 강조색6 5 2 3 2" xfId="10484"/>
    <cellStyle name="20% - 강조색6 5 2 3 2 2" xfId="10485"/>
    <cellStyle name="20% - 강조색6 5 2 3 2 2 2" xfId="10486"/>
    <cellStyle name="20% - 강조색6 5 2 3 2 2 3" xfId="10487"/>
    <cellStyle name="20% - 강조색6 5 2 3 2 3" xfId="10488"/>
    <cellStyle name="20% - 강조색6 5 2 3 2 4" xfId="10489"/>
    <cellStyle name="20% - 강조색6 5 2 3 3" xfId="10490"/>
    <cellStyle name="20% - 강조색6 5 2 3 3 2" xfId="10491"/>
    <cellStyle name="20% - 강조색6 5 2 3 3 3" xfId="10492"/>
    <cellStyle name="20% - 강조색6 5 2 3 4" xfId="10493"/>
    <cellStyle name="20% - 강조색6 5 2 3 5" xfId="10494"/>
    <cellStyle name="20% - 강조색6 5 2 4" xfId="10495"/>
    <cellStyle name="20% - 강조색6 5 2 4 2" xfId="10496"/>
    <cellStyle name="20% - 강조색6 5 2 4 2 2" xfId="10497"/>
    <cellStyle name="20% - 강조색6 5 2 4 2 3" xfId="10498"/>
    <cellStyle name="20% - 강조색6 5 2 4 3" xfId="10499"/>
    <cellStyle name="20% - 강조색6 5 2 4 4" xfId="10500"/>
    <cellStyle name="20% - 강조색6 5 2 5" xfId="10501"/>
    <cellStyle name="20% - 강조색6 5 2 5 2" xfId="10502"/>
    <cellStyle name="20% - 강조색6 5 2 5 3" xfId="10503"/>
    <cellStyle name="20% - 강조색6 5 2 6" xfId="10504"/>
    <cellStyle name="20% - 강조색6 5 2 7" xfId="10505"/>
    <cellStyle name="20% - 강조색6 5 3" xfId="10506"/>
    <cellStyle name="20% - 강조색6 5 3 2" xfId="10507"/>
    <cellStyle name="20% - 강조색6 5 3 2 2" xfId="10508"/>
    <cellStyle name="20% - 강조색6 5 3 2 2 2" xfId="10509"/>
    <cellStyle name="20% - 강조색6 5 3 2 2 2 2" xfId="10510"/>
    <cellStyle name="20% - 강조색6 5 3 2 2 2 3" xfId="10511"/>
    <cellStyle name="20% - 강조색6 5 3 2 2 3" xfId="10512"/>
    <cellStyle name="20% - 강조색6 5 3 2 2 4" xfId="10513"/>
    <cellStyle name="20% - 강조색6 5 3 2 3" xfId="10514"/>
    <cellStyle name="20% - 강조색6 5 3 2 3 2" xfId="10515"/>
    <cellStyle name="20% - 강조색6 5 3 2 3 3" xfId="10516"/>
    <cellStyle name="20% - 강조색6 5 3 2 4" xfId="10517"/>
    <cellStyle name="20% - 강조색6 5 3 2 5" xfId="10518"/>
    <cellStyle name="20% - 강조색6 5 3 3" xfId="10519"/>
    <cellStyle name="20% - 강조색6 5 3 3 2" xfId="10520"/>
    <cellStyle name="20% - 강조색6 5 3 3 2 2" xfId="10521"/>
    <cellStyle name="20% - 강조색6 5 3 3 2 2 2" xfId="10522"/>
    <cellStyle name="20% - 강조색6 5 3 3 2 2 3" xfId="10523"/>
    <cellStyle name="20% - 강조색6 5 3 3 2 3" xfId="10524"/>
    <cellStyle name="20% - 강조색6 5 3 3 2 4" xfId="10525"/>
    <cellStyle name="20% - 강조색6 5 3 3 3" xfId="10526"/>
    <cellStyle name="20% - 강조색6 5 3 3 3 2" xfId="10527"/>
    <cellStyle name="20% - 강조색6 5 3 3 3 3" xfId="10528"/>
    <cellStyle name="20% - 강조색6 5 3 3 4" xfId="10529"/>
    <cellStyle name="20% - 강조색6 5 3 3 5" xfId="10530"/>
    <cellStyle name="20% - 강조색6 5 3 4" xfId="10531"/>
    <cellStyle name="20% - 강조색6 5 3 4 2" xfId="10532"/>
    <cellStyle name="20% - 강조색6 5 3 4 2 2" xfId="10533"/>
    <cellStyle name="20% - 강조색6 5 3 4 2 3" xfId="10534"/>
    <cellStyle name="20% - 강조색6 5 3 4 3" xfId="10535"/>
    <cellStyle name="20% - 강조색6 5 3 4 4" xfId="10536"/>
    <cellStyle name="20% - 강조색6 5 3 5" xfId="10537"/>
    <cellStyle name="20% - 강조색6 5 3 5 2" xfId="10538"/>
    <cellStyle name="20% - 강조색6 5 3 5 3" xfId="10539"/>
    <cellStyle name="20% - 강조색6 5 3 6" xfId="10540"/>
    <cellStyle name="20% - 강조색6 5 3 7" xfId="10541"/>
    <cellStyle name="20% - 강조색6 5 4" xfId="10542"/>
    <cellStyle name="20% - 강조색6 5 4 2" xfId="10543"/>
    <cellStyle name="20% - 강조색6 5 4 2 2" xfId="10544"/>
    <cellStyle name="20% - 강조색6 5 4 2 2 2" xfId="10545"/>
    <cellStyle name="20% - 강조색6 5 4 2 2 3" xfId="10546"/>
    <cellStyle name="20% - 강조색6 5 4 2 3" xfId="10547"/>
    <cellStyle name="20% - 강조색6 5 4 2 4" xfId="10548"/>
    <cellStyle name="20% - 강조색6 5 4 3" xfId="10549"/>
    <cellStyle name="20% - 강조색6 5 4 3 2" xfId="10550"/>
    <cellStyle name="20% - 강조색6 5 4 3 3" xfId="10551"/>
    <cellStyle name="20% - 강조색6 5 4 4" xfId="10552"/>
    <cellStyle name="20% - 강조색6 5 4 5" xfId="10553"/>
    <cellStyle name="20% - 강조색6 5 5" xfId="10554"/>
    <cellStyle name="20% - 강조색6 5 5 2" xfId="10555"/>
    <cellStyle name="20% - 강조색6 5 5 2 2" xfId="10556"/>
    <cellStyle name="20% - 강조색6 5 5 2 2 2" xfId="10557"/>
    <cellStyle name="20% - 강조색6 5 5 2 2 3" xfId="10558"/>
    <cellStyle name="20% - 강조색6 5 5 2 3" xfId="10559"/>
    <cellStyle name="20% - 강조색6 5 5 2 4" xfId="10560"/>
    <cellStyle name="20% - 강조색6 5 5 3" xfId="10561"/>
    <cellStyle name="20% - 강조색6 5 5 3 2" xfId="10562"/>
    <cellStyle name="20% - 강조색6 5 5 3 3" xfId="10563"/>
    <cellStyle name="20% - 강조색6 5 5 4" xfId="10564"/>
    <cellStyle name="20% - 강조색6 5 5 5" xfId="10565"/>
    <cellStyle name="20% - 강조색6 5 6" xfId="10566"/>
    <cellStyle name="20% - 강조색6 5 6 2" xfId="10567"/>
    <cellStyle name="20% - 강조색6 5 6 2 2" xfId="10568"/>
    <cellStyle name="20% - 강조색6 5 6 2 2 2" xfId="10569"/>
    <cellStyle name="20% - 강조색6 5 6 2 2 3" xfId="10570"/>
    <cellStyle name="20% - 강조색6 5 6 2 3" xfId="10571"/>
    <cellStyle name="20% - 강조색6 5 6 2 4" xfId="10572"/>
    <cellStyle name="20% - 강조색6 5 6 3" xfId="10573"/>
    <cellStyle name="20% - 강조색6 5 6 3 2" xfId="10574"/>
    <cellStyle name="20% - 강조색6 5 6 3 3" xfId="10575"/>
    <cellStyle name="20% - 강조색6 5 6 4" xfId="10576"/>
    <cellStyle name="20% - 강조색6 5 6 5" xfId="10577"/>
    <cellStyle name="20% - 강조색6 5 7" xfId="10578"/>
    <cellStyle name="20% - 강조색6 5 7 2" xfId="10579"/>
    <cellStyle name="20% - 강조색6 5 7 2 2" xfId="10580"/>
    <cellStyle name="20% - 강조색6 5 7 2 3" xfId="10581"/>
    <cellStyle name="20% - 강조색6 5 7 3" xfId="10582"/>
    <cellStyle name="20% - 강조색6 5 7 4" xfId="10583"/>
    <cellStyle name="20% - 강조색6 5 8" xfId="10584"/>
    <cellStyle name="20% - 강조색6 5 8 2" xfId="10585"/>
    <cellStyle name="20% - 강조색6 5 8 3" xfId="10586"/>
    <cellStyle name="20% - 강조색6 5 9" xfId="10587"/>
    <cellStyle name="20% - 강조색6 50" xfId="10588"/>
    <cellStyle name="20% - 강조색6 51" xfId="10589"/>
    <cellStyle name="20% - 강조색6 52" xfId="10590"/>
    <cellStyle name="20% - 강조색6 53" xfId="10591"/>
    <cellStyle name="20% - 강조색6 54" xfId="10592"/>
    <cellStyle name="20% - 강조색6 55" xfId="10593"/>
    <cellStyle name="20% - 강조색6 56" xfId="10594"/>
    <cellStyle name="20% - 강조색6 57" xfId="10595"/>
    <cellStyle name="20% - 강조색6 58" xfId="10596"/>
    <cellStyle name="20% - 강조색6 59" xfId="10597"/>
    <cellStyle name="20% - 강조색6 6" xfId="10598"/>
    <cellStyle name="20% - 강조색6 6 10" xfId="10599"/>
    <cellStyle name="20% - 강조색6 6 2" xfId="10600"/>
    <cellStyle name="20% - 강조색6 6 2 2" xfId="10601"/>
    <cellStyle name="20% - 강조색6 6 2 2 2" xfId="10602"/>
    <cellStyle name="20% - 강조색6 6 2 2 2 2" xfId="10603"/>
    <cellStyle name="20% - 강조색6 6 2 2 2 2 2" xfId="10604"/>
    <cellStyle name="20% - 강조색6 6 2 2 2 2 3" xfId="10605"/>
    <cellStyle name="20% - 강조색6 6 2 2 2 3" xfId="10606"/>
    <cellStyle name="20% - 강조색6 6 2 2 2 4" xfId="10607"/>
    <cellStyle name="20% - 강조색6 6 2 2 3" xfId="10608"/>
    <cellStyle name="20% - 강조색6 6 2 2 3 2" xfId="10609"/>
    <cellStyle name="20% - 강조색6 6 2 2 3 3" xfId="10610"/>
    <cellStyle name="20% - 강조색6 6 2 2 4" xfId="10611"/>
    <cellStyle name="20% - 강조색6 6 2 2 5" xfId="10612"/>
    <cellStyle name="20% - 강조색6 6 2 3" xfId="10613"/>
    <cellStyle name="20% - 강조색6 6 2 3 2" xfId="10614"/>
    <cellStyle name="20% - 강조색6 6 2 3 2 2" xfId="10615"/>
    <cellStyle name="20% - 강조색6 6 2 3 2 2 2" xfId="10616"/>
    <cellStyle name="20% - 강조색6 6 2 3 2 2 3" xfId="10617"/>
    <cellStyle name="20% - 강조색6 6 2 3 2 3" xfId="10618"/>
    <cellStyle name="20% - 강조색6 6 2 3 2 4" xfId="10619"/>
    <cellStyle name="20% - 강조색6 6 2 3 3" xfId="10620"/>
    <cellStyle name="20% - 강조색6 6 2 3 3 2" xfId="10621"/>
    <cellStyle name="20% - 강조색6 6 2 3 3 3" xfId="10622"/>
    <cellStyle name="20% - 강조색6 6 2 3 4" xfId="10623"/>
    <cellStyle name="20% - 강조색6 6 2 3 5" xfId="10624"/>
    <cellStyle name="20% - 강조색6 6 2 4" xfId="10625"/>
    <cellStyle name="20% - 강조색6 6 2 4 2" xfId="10626"/>
    <cellStyle name="20% - 강조색6 6 2 4 2 2" xfId="10627"/>
    <cellStyle name="20% - 강조색6 6 2 4 2 3" xfId="10628"/>
    <cellStyle name="20% - 강조색6 6 2 4 3" xfId="10629"/>
    <cellStyle name="20% - 강조색6 6 2 4 4" xfId="10630"/>
    <cellStyle name="20% - 강조색6 6 2 5" xfId="10631"/>
    <cellStyle name="20% - 강조색6 6 2 5 2" xfId="10632"/>
    <cellStyle name="20% - 강조색6 6 2 5 3" xfId="10633"/>
    <cellStyle name="20% - 강조색6 6 2 6" xfId="10634"/>
    <cellStyle name="20% - 강조색6 6 2 7" xfId="10635"/>
    <cellStyle name="20% - 강조색6 6 3" xfId="10636"/>
    <cellStyle name="20% - 강조색6 6 3 2" xfId="10637"/>
    <cellStyle name="20% - 강조색6 6 3 2 2" xfId="10638"/>
    <cellStyle name="20% - 강조색6 6 3 2 2 2" xfId="10639"/>
    <cellStyle name="20% - 강조색6 6 3 2 2 2 2" xfId="10640"/>
    <cellStyle name="20% - 강조색6 6 3 2 2 2 3" xfId="10641"/>
    <cellStyle name="20% - 강조색6 6 3 2 2 3" xfId="10642"/>
    <cellStyle name="20% - 강조색6 6 3 2 2 4" xfId="10643"/>
    <cellStyle name="20% - 강조색6 6 3 2 3" xfId="10644"/>
    <cellStyle name="20% - 강조색6 6 3 2 3 2" xfId="10645"/>
    <cellStyle name="20% - 강조색6 6 3 2 3 3" xfId="10646"/>
    <cellStyle name="20% - 강조색6 6 3 2 4" xfId="10647"/>
    <cellStyle name="20% - 강조색6 6 3 2 5" xfId="10648"/>
    <cellStyle name="20% - 강조색6 6 3 3" xfId="10649"/>
    <cellStyle name="20% - 강조색6 6 3 3 2" xfId="10650"/>
    <cellStyle name="20% - 강조색6 6 3 3 2 2" xfId="10651"/>
    <cellStyle name="20% - 강조색6 6 3 3 2 2 2" xfId="10652"/>
    <cellStyle name="20% - 강조색6 6 3 3 2 2 3" xfId="10653"/>
    <cellStyle name="20% - 강조색6 6 3 3 2 3" xfId="10654"/>
    <cellStyle name="20% - 강조색6 6 3 3 2 4" xfId="10655"/>
    <cellStyle name="20% - 강조색6 6 3 3 3" xfId="10656"/>
    <cellStyle name="20% - 강조색6 6 3 3 3 2" xfId="10657"/>
    <cellStyle name="20% - 강조색6 6 3 3 3 3" xfId="10658"/>
    <cellStyle name="20% - 강조색6 6 3 3 4" xfId="10659"/>
    <cellStyle name="20% - 강조색6 6 3 3 5" xfId="10660"/>
    <cellStyle name="20% - 강조색6 6 3 4" xfId="10661"/>
    <cellStyle name="20% - 강조색6 6 3 4 2" xfId="10662"/>
    <cellStyle name="20% - 강조색6 6 3 4 2 2" xfId="10663"/>
    <cellStyle name="20% - 강조색6 6 3 4 2 3" xfId="10664"/>
    <cellStyle name="20% - 강조색6 6 3 4 3" xfId="10665"/>
    <cellStyle name="20% - 강조색6 6 3 4 4" xfId="10666"/>
    <cellStyle name="20% - 강조색6 6 3 5" xfId="10667"/>
    <cellStyle name="20% - 강조색6 6 3 5 2" xfId="10668"/>
    <cellStyle name="20% - 강조색6 6 3 5 3" xfId="10669"/>
    <cellStyle name="20% - 강조색6 6 3 6" xfId="10670"/>
    <cellStyle name="20% - 강조색6 6 3 7" xfId="10671"/>
    <cellStyle name="20% - 강조색6 6 4" xfId="10672"/>
    <cellStyle name="20% - 강조색6 6 4 2" xfId="10673"/>
    <cellStyle name="20% - 강조색6 6 4 2 2" xfId="10674"/>
    <cellStyle name="20% - 강조색6 6 4 2 2 2" xfId="10675"/>
    <cellStyle name="20% - 강조색6 6 4 2 2 3" xfId="10676"/>
    <cellStyle name="20% - 강조색6 6 4 2 3" xfId="10677"/>
    <cellStyle name="20% - 강조색6 6 4 2 4" xfId="10678"/>
    <cellStyle name="20% - 강조색6 6 4 3" xfId="10679"/>
    <cellStyle name="20% - 강조색6 6 4 3 2" xfId="10680"/>
    <cellStyle name="20% - 강조색6 6 4 3 3" xfId="10681"/>
    <cellStyle name="20% - 강조색6 6 4 4" xfId="10682"/>
    <cellStyle name="20% - 강조색6 6 4 5" xfId="10683"/>
    <cellStyle name="20% - 강조색6 6 5" xfId="10684"/>
    <cellStyle name="20% - 강조색6 6 5 2" xfId="10685"/>
    <cellStyle name="20% - 강조색6 6 5 2 2" xfId="10686"/>
    <cellStyle name="20% - 강조색6 6 5 2 2 2" xfId="10687"/>
    <cellStyle name="20% - 강조색6 6 5 2 2 3" xfId="10688"/>
    <cellStyle name="20% - 강조색6 6 5 2 3" xfId="10689"/>
    <cellStyle name="20% - 강조색6 6 5 2 4" xfId="10690"/>
    <cellStyle name="20% - 강조색6 6 5 3" xfId="10691"/>
    <cellStyle name="20% - 강조색6 6 5 3 2" xfId="10692"/>
    <cellStyle name="20% - 강조색6 6 5 3 3" xfId="10693"/>
    <cellStyle name="20% - 강조색6 6 5 4" xfId="10694"/>
    <cellStyle name="20% - 강조색6 6 5 5" xfId="10695"/>
    <cellStyle name="20% - 강조색6 6 6" xfId="10696"/>
    <cellStyle name="20% - 강조색6 6 6 2" xfId="10697"/>
    <cellStyle name="20% - 강조색6 6 6 2 2" xfId="10698"/>
    <cellStyle name="20% - 강조색6 6 6 2 2 2" xfId="10699"/>
    <cellStyle name="20% - 강조색6 6 6 2 2 3" xfId="10700"/>
    <cellStyle name="20% - 강조색6 6 6 2 3" xfId="10701"/>
    <cellStyle name="20% - 강조색6 6 6 2 4" xfId="10702"/>
    <cellStyle name="20% - 강조색6 6 6 3" xfId="10703"/>
    <cellStyle name="20% - 강조색6 6 6 3 2" xfId="10704"/>
    <cellStyle name="20% - 강조색6 6 6 3 3" xfId="10705"/>
    <cellStyle name="20% - 강조색6 6 6 4" xfId="10706"/>
    <cellStyle name="20% - 강조색6 6 6 5" xfId="10707"/>
    <cellStyle name="20% - 강조색6 6 7" xfId="10708"/>
    <cellStyle name="20% - 강조색6 6 7 2" xfId="10709"/>
    <cellStyle name="20% - 강조색6 6 7 2 2" xfId="10710"/>
    <cellStyle name="20% - 강조색6 6 7 2 3" xfId="10711"/>
    <cellStyle name="20% - 강조색6 6 7 3" xfId="10712"/>
    <cellStyle name="20% - 강조색6 6 7 4" xfId="10713"/>
    <cellStyle name="20% - 강조색6 6 8" xfId="10714"/>
    <cellStyle name="20% - 강조색6 6 8 2" xfId="10715"/>
    <cellStyle name="20% - 강조색6 6 8 3" xfId="10716"/>
    <cellStyle name="20% - 강조색6 6 9" xfId="10717"/>
    <cellStyle name="20% - 강조색6 60" xfId="10718"/>
    <cellStyle name="20% - 강조색6 61" xfId="10719"/>
    <cellStyle name="20% - 강조색6 62" xfId="10720"/>
    <cellStyle name="20% - 강조색6 63" xfId="10721"/>
    <cellStyle name="20% - 강조색6 64" xfId="10722"/>
    <cellStyle name="20% - 강조색6 65" xfId="10723"/>
    <cellStyle name="20% - 강조색6 66" xfId="10724"/>
    <cellStyle name="20% - 강조색6 67" xfId="10725"/>
    <cellStyle name="20% - 강조색6 68" xfId="10726"/>
    <cellStyle name="20% - 강조색6 69" xfId="10727"/>
    <cellStyle name="20% - 강조색6 7" xfId="10728"/>
    <cellStyle name="20% - 강조색6 7 10" xfId="10729"/>
    <cellStyle name="20% - 강조색6 7 2" xfId="10730"/>
    <cellStyle name="20% - 강조색6 7 2 2" xfId="10731"/>
    <cellStyle name="20% - 강조색6 7 2 2 2" xfId="10732"/>
    <cellStyle name="20% - 강조색6 7 2 2 2 2" xfId="10733"/>
    <cellStyle name="20% - 강조색6 7 2 2 2 2 2" xfId="10734"/>
    <cellStyle name="20% - 강조색6 7 2 2 2 2 3" xfId="10735"/>
    <cellStyle name="20% - 강조색6 7 2 2 2 3" xfId="10736"/>
    <cellStyle name="20% - 강조색6 7 2 2 2 4" xfId="10737"/>
    <cellStyle name="20% - 강조색6 7 2 2 3" xfId="10738"/>
    <cellStyle name="20% - 강조색6 7 2 2 3 2" xfId="10739"/>
    <cellStyle name="20% - 강조색6 7 2 2 3 3" xfId="10740"/>
    <cellStyle name="20% - 강조색6 7 2 2 4" xfId="10741"/>
    <cellStyle name="20% - 강조색6 7 2 2 5" xfId="10742"/>
    <cellStyle name="20% - 강조색6 7 2 3" xfId="10743"/>
    <cellStyle name="20% - 강조색6 7 2 3 2" xfId="10744"/>
    <cellStyle name="20% - 강조색6 7 2 3 2 2" xfId="10745"/>
    <cellStyle name="20% - 강조색6 7 2 3 2 2 2" xfId="10746"/>
    <cellStyle name="20% - 강조색6 7 2 3 2 2 3" xfId="10747"/>
    <cellStyle name="20% - 강조색6 7 2 3 2 3" xfId="10748"/>
    <cellStyle name="20% - 강조색6 7 2 3 2 4" xfId="10749"/>
    <cellStyle name="20% - 강조색6 7 2 3 3" xfId="10750"/>
    <cellStyle name="20% - 강조색6 7 2 3 3 2" xfId="10751"/>
    <cellStyle name="20% - 강조색6 7 2 3 3 3" xfId="10752"/>
    <cellStyle name="20% - 강조색6 7 2 3 4" xfId="10753"/>
    <cellStyle name="20% - 강조색6 7 2 3 5" xfId="10754"/>
    <cellStyle name="20% - 강조색6 7 2 4" xfId="10755"/>
    <cellStyle name="20% - 강조색6 7 2 4 2" xfId="10756"/>
    <cellStyle name="20% - 강조색6 7 2 4 2 2" xfId="10757"/>
    <cellStyle name="20% - 강조색6 7 2 4 2 3" xfId="10758"/>
    <cellStyle name="20% - 강조색6 7 2 4 3" xfId="10759"/>
    <cellStyle name="20% - 강조색6 7 2 4 4" xfId="10760"/>
    <cellStyle name="20% - 강조색6 7 2 5" xfId="10761"/>
    <cellStyle name="20% - 강조색6 7 2 5 2" xfId="10762"/>
    <cellStyle name="20% - 강조색6 7 2 5 3" xfId="10763"/>
    <cellStyle name="20% - 강조색6 7 2 6" xfId="10764"/>
    <cellStyle name="20% - 강조색6 7 2 7" xfId="10765"/>
    <cellStyle name="20% - 강조색6 7 3" xfId="10766"/>
    <cellStyle name="20% - 강조색6 7 3 2" xfId="10767"/>
    <cellStyle name="20% - 강조색6 7 3 2 2" xfId="10768"/>
    <cellStyle name="20% - 강조색6 7 3 2 2 2" xfId="10769"/>
    <cellStyle name="20% - 강조색6 7 3 2 2 2 2" xfId="10770"/>
    <cellStyle name="20% - 강조색6 7 3 2 2 2 3" xfId="10771"/>
    <cellStyle name="20% - 강조색6 7 3 2 2 3" xfId="10772"/>
    <cellStyle name="20% - 강조색6 7 3 2 2 4" xfId="10773"/>
    <cellStyle name="20% - 강조색6 7 3 2 3" xfId="10774"/>
    <cellStyle name="20% - 강조색6 7 3 2 3 2" xfId="10775"/>
    <cellStyle name="20% - 강조색6 7 3 2 3 3" xfId="10776"/>
    <cellStyle name="20% - 강조색6 7 3 2 4" xfId="10777"/>
    <cellStyle name="20% - 강조색6 7 3 2 5" xfId="10778"/>
    <cellStyle name="20% - 강조색6 7 3 3" xfId="10779"/>
    <cellStyle name="20% - 강조색6 7 3 3 2" xfId="10780"/>
    <cellStyle name="20% - 강조색6 7 3 3 2 2" xfId="10781"/>
    <cellStyle name="20% - 강조색6 7 3 3 2 2 2" xfId="10782"/>
    <cellStyle name="20% - 강조색6 7 3 3 2 2 3" xfId="10783"/>
    <cellStyle name="20% - 강조색6 7 3 3 2 3" xfId="10784"/>
    <cellStyle name="20% - 강조색6 7 3 3 2 4" xfId="10785"/>
    <cellStyle name="20% - 강조색6 7 3 3 3" xfId="10786"/>
    <cellStyle name="20% - 강조색6 7 3 3 3 2" xfId="10787"/>
    <cellStyle name="20% - 강조색6 7 3 3 3 3" xfId="10788"/>
    <cellStyle name="20% - 강조색6 7 3 3 4" xfId="10789"/>
    <cellStyle name="20% - 강조색6 7 3 3 5" xfId="10790"/>
    <cellStyle name="20% - 강조색6 7 3 4" xfId="10791"/>
    <cellStyle name="20% - 강조색6 7 3 4 2" xfId="10792"/>
    <cellStyle name="20% - 강조색6 7 3 4 2 2" xfId="10793"/>
    <cellStyle name="20% - 강조색6 7 3 4 2 3" xfId="10794"/>
    <cellStyle name="20% - 강조색6 7 3 4 3" xfId="10795"/>
    <cellStyle name="20% - 강조색6 7 3 4 4" xfId="10796"/>
    <cellStyle name="20% - 강조색6 7 3 5" xfId="10797"/>
    <cellStyle name="20% - 강조색6 7 3 5 2" xfId="10798"/>
    <cellStyle name="20% - 강조색6 7 3 5 3" xfId="10799"/>
    <cellStyle name="20% - 강조색6 7 3 6" xfId="10800"/>
    <cellStyle name="20% - 강조색6 7 3 7" xfId="10801"/>
    <cellStyle name="20% - 강조색6 7 4" xfId="10802"/>
    <cellStyle name="20% - 강조색6 7 4 2" xfId="10803"/>
    <cellStyle name="20% - 강조색6 7 4 2 2" xfId="10804"/>
    <cellStyle name="20% - 강조색6 7 4 2 2 2" xfId="10805"/>
    <cellStyle name="20% - 강조색6 7 4 2 2 3" xfId="10806"/>
    <cellStyle name="20% - 강조색6 7 4 2 3" xfId="10807"/>
    <cellStyle name="20% - 강조색6 7 4 2 4" xfId="10808"/>
    <cellStyle name="20% - 강조색6 7 4 3" xfId="10809"/>
    <cellStyle name="20% - 강조색6 7 4 3 2" xfId="10810"/>
    <cellStyle name="20% - 강조색6 7 4 3 3" xfId="10811"/>
    <cellStyle name="20% - 강조색6 7 4 4" xfId="10812"/>
    <cellStyle name="20% - 강조색6 7 4 5" xfId="10813"/>
    <cellStyle name="20% - 강조색6 7 5" xfId="10814"/>
    <cellStyle name="20% - 강조색6 7 5 2" xfId="10815"/>
    <cellStyle name="20% - 강조색6 7 5 2 2" xfId="10816"/>
    <cellStyle name="20% - 강조색6 7 5 2 2 2" xfId="10817"/>
    <cellStyle name="20% - 강조색6 7 5 2 2 3" xfId="10818"/>
    <cellStyle name="20% - 강조색6 7 5 2 3" xfId="10819"/>
    <cellStyle name="20% - 강조색6 7 5 2 4" xfId="10820"/>
    <cellStyle name="20% - 강조색6 7 5 3" xfId="10821"/>
    <cellStyle name="20% - 강조색6 7 5 3 2" xfId="10822"/>
    <cellStyle name="20% - 강조색6 7 5 3 3" xfId="10823"/>
    <cellStyle name="20% - 강조색6 7 5 4" xfId="10824"/>
    <cellStyle name="20% - 강조색6 7 5 5" xfId="10825"/>
    <cellStyle name="20% - 강조색6 7 6" xfId="10826"/>
    <cellStyle name="20% - 강조색6 7 6 2" xfId="10827"/>
    <cellStyle name="20% - 강조색6 7 6 2 2" xfId="10828"/>
    <cellStyle name="20% - 강조색6 7 6 2 2 2" xfId="10829"/>
    <cellStyle name="20% - 강조색6 7 6 2 2 3" xfId="10830"/>
    <cellStyle name="20% - 강조색6 7 6 2 3" xfId="10831"/>
    <cellStyle name="20% - 강조색6 7 6 2 4" xfId="10832"/>
    <cellStyle name="20% - 강조색6 7 6 3" xfId="10833"/>
    <cellStyle name="20% - 강조색6 7 6 3 2" xfId="10834"/>
    <cellStyle name="20% - 강조색6 7 6 3 3" xfId="10835"/>
    <cellStyle name="20% - 강조색6 7 6 4" xfId="10836"/>
    <cellStyle name="20% - 강조색6 7 6 5" xfId="10837"/>
    <cellStyle name="20% - 강조색6 7 7" xfId="10838"/>
    <cellStyle name="20% - 강조색6 7 7 2" xfId="10839"/>
    <cellStyle name="20% - 강조색6 7 7 2 2" xfId="10840"/>
    <cellStyle name="20% - 강조색6 7 7 2 3" xfId="10841"/>
    <cellStyle name="20% - 강조색6 7 7 3" xfId="10842"/>
    <cellStyle name="20% - 강조색6 7 7 4" xfId="10843"/>
    <cellStyle name="20% - 강조색6 7 8" xfId="10844"/>
    <cellStyle name="20% - 강조색6 7 8 2" xfId="10845"/>
    <cellStyle name="20% - 강조색6 7 8 3" xfId="10846"/>
    <cellStyle name="20% - 강조색6 7 9" xfId="10847"/>
    <cellStyle name="20% - 강조색6 8" xfId="10848"/>
    <cellStyle name="20% - 강조색6 8 2" xfId="10849"/>
    <cellStyle name="20% - 강조색6 8 2 2" xfId="10850"/>
    <cellStyle name="20% - 강조색6 8 2 2 2" xfId="10851"/>
    <cellStyle name="20% - 강조색6 8 2 2 2 2" xfId="10852"/>
    <cellStyle name="20% - 강조색6 8 2 2 2 3" xfId="10853"/>
    <cellStyle name="20% - 강조색6 8 2 2 3" xfId="10854"/>
    <cellStyle name="20% - 강조색6 8 2 2 4" xfId="10855"/>
    <cellStyle name="20% - 강조색6 8 2 3" xfId="10856"/>
    <cellStyle name="20% - 강조색6 8 2 3 2" xfId="10857"/>
    <cellStyle name="20% - 강조색6 8 2 3 3" xfId="10858"/>
    <cellStyle name="20% - 강조색6 8 2 4" xfId="10859"/>
    <cellStyle name="20% - 강조색6 8 2 5" xfId="10860"/>
    <cellStyle name="20% - 강조색6 8 3" xfId="10861"/>
    <cellStyle name="20% - 강조색6 8 3 2" xfId="10862"/>
    <cellStyle name="20% - 강조색6 8 3 2 2" xfId="10863"/>
    <cellStyle name="20% - 강조색6 8 3 2 2 2" xfId="10864"/>
    <cellStyle name="20% - 강조색6 8 3 2 2 3" xfId="10865"/>
    <cellStyle name="20% - 강조색6 8 3 2 3" xfId="10866"/>
    <cellStyle name="20% - 강조색6 8 3 2 4" xfId="10867"/>
    <cellStyle name="20% - 강조색6 8 3 3" xfId="10868"/>
    <cellStyle name="20% - 강조색6 8 3 3 2" xfId="10869"/>
    <cellStyle name="20% - 강조색6 8 3 3 3" xfId="10870"/>
    <cellStyle name="20% - 강조색6 8 3 4" xfId="10871"/>
    <cellStyle name="20% - 강조색6 8 3 5" xfId="10872"/>
    <cellStyle name="20% - 강조색6 8 4" xfId="10873"/>
    <cellStyle name="20% - 강조색6 8 4 2" xfId="10874"/>
    <cellStyle name="20% - 강조색6 8 4 2 2" xfId="10875"/>
    <cellStyle name="20% - 강조색6 8 4 2 3" xfId="10876"/>
    <cellStyle name="20% - 강조색6 8 4 3" xfId="10877"/>
    <cellStyle name="20% - 강조색6 8 4 4" xfId="10878"/>
    <cellStyle name="20% - 강조색6 8 5" xfId="10879"/>
    <cellStyle name="20% - 강조색6 8 5 2" xfId="10880"/>
    <cellStyle name="20% - 강조색6 8 5 3" xfId="10881"/>
    <cellStyle name="20% - 강조색6 8 6" xfId="10882"/>
    <cellStyle name="20% - 강조색6 8 7" xfId="10883"/>
    <cellStyle name="20% - 강조색6 9" xfId="10884"/>
    <cellStyle name="20% - 강조색6 9 2" xfId="10885"/>
    <cellStyle name="20% - 강조색6 9 2 2" xfId="10886"/>
    <cellStyle name="20% - 강조색6 9 2 2 2" xfId="10887"/>
    <cellStyle name="20% - 강조색6 9 2 2 2 2" xfId="10888"/>
    <cellStyle name="20% - 강조색6 9 2 2 2 3" xfId="10889"/>
    <cellStyle name="20% - 강조색6 9 2 2 3" xfId="10890"/>
    <cellStyle name="20% - 강조색6 9 2 2 4" xfId="10891"/>
    <cellStyle name="20% - 강조색6 9 2 3" xfId="10892"/>
    <cellStyle name="20% - 강조색6 9 2 3 2" xfId="10893"/>
    <cellStyle name="20% - 강조색6 9 2 3 3" xfId="10894"/>
    <cellStyle name="20% - 강조색6 9 2 4" xfId="10895"/>
    <cellStyle name="20% - 강조색6 9 2 5" xfId="10896"/>
    <cellStyle name="20% - 강조색6 9 3" xfId="10897"/>
    <cellStyle name="20% - 강조색6 9 3 2" xfId="10898"/>
    <cellStyle name="20% - 강조색6 9 3 2 2" xfId="10899"/>
    <cellStyle name="20% - 강조색6 9 3 2 2 2" xfId="10900"/>
    <cellStyle name="20% - 강조색6 9 3 2 2 3" xfId="10901"/>
    <cellStyle name="20% - 강조색6 9 3 2 3" xfId="10902"/>
    <cellStyle name="20% - 강조색6 9 3 2 4" xfId="10903"/>
    <cellStyle name="20% - 강조색6 9 3 3" xfId="10904"/>
    <cellStyle name="20% - 강조색6 9 3 3 2" xfId="10905"/>
    <cellStyle name="20% - 강조색6 9 3 3 3" xfId="10906"/>
    <cellStyle name="20% - 강조색6 9 3 4" xfId="10907"/>
    <cellStyle name="20% - 강조색6 9 3 5" xfId="10908"/>
    <cellStyle name="20% - 강조색6 9 4" xfId="10909"/>
    <cellStyle name="20% - 강조색6 9 4 2" xfId="10910"/>
    <cellStyle name="20% - 강조색6 9 4 2 2" xfId="10911"/>
    <cellStyle name="20% - 강조색6 9 4 2 3" xfId="10912"/>
    <cellStyle name="20% - 강조색6 9 4 3" xfId="10913"/>
    <cellStyle name="20% - 강조색6 9 4 4" xfId="10914"/>
    <cellStyle name="20% - 강조색6 9 5" xfId="10915"/>
    <cellStyle name="20% - 강조색6 9 5 2" xfId="10916"/>
    <cellStyle name="20% - 강조색6 9 5 3" xfId="10917"/>
    <cellStyle name="20% - 강조색6 9 6" xfId="10918"/>
    <cellStyle name="20% - 강조색6 9 7" xfId="10919"/>
    <cellStyle name="40% - Accent1 2" xfId="10920"/>
    <cellStyle name="40% - Accent1 2 2" xfId="10921"/>
    <cellStyle name="40% - Accent1 3" xfId="10922"/>
    <cellStyle name="40% - Accent1 3 2" xfId="10923"/>
    <cellStyle name="40% - Accent1 3 2 2" xfId="10924"/>
    <cellStyle name="40% - Accent1 4" xfId="10925"/>
    <cellStyle name="40% - Accent2 2" xfId="10926"/>
    <cellStyle name="40% - Accent2 2 2" xfId="10927"/>
    <cellStyle name="40% - Accent2 3" xfId="10928"/>
    <cellStyle name="40% - Accent2 3 2" xfId="10929"/>
    <cellStyle name="40% - Accent2 3 2 2" xfId="10930"/>
    <cellStyle name="40% - Accent2 4" xfId="10931"/>
    <cellStyle name="40% - Accent3 2" xfId="10932"/>
    <cellStyle name="40% - Accent3 2 2" xfId="10933"/>
    <cellStyle name="40% - Accent3 3" xfId="10934"/>
    <cellStyle name="40% - Accent3 3 2" xfId="10935"/>
    <cellStyle name="40% - Accent3 3 2 2" xfId="10936"/>
    <cellStyle name="40% - Accent3 4" xfId="10937"/>
    <cellStyle name="40% - Accent4 2" xfId="10938"/>
    <cellStyle name="40% - Accent4 2 2" xfId="10939"/>
    <cellStyle name="40% - Accent4 3" xfId="10940"/>
    <cellStyle name="40% - Accent4 3 2" xfId="10941"/>
    <cellStyle name="40% - Accent4 3 2 2" xfId="10942"/>
    <cellStyle name="40% - Accent4 4" xfId="10943"/>
    <cellStyle name="40% - Accent5 2" xfId="10944"/>
    <cellStyle name="40% - Accent5 2 2" xfId="10945"/>
    <cellStyle name="40% - Accent5 3" xfId="10946"/>
    <cellStyle name="40% - Accent5 3 2" xfId="10947"/>
    <cellStyle name="40% - Accent5 3 2 2" xfId="10948"/>
    <cellStyle name="40% - Accent5 4" xfId="10949"/>
    <cellStyle name="40% - Accent6 2" xfId="10950"/>
    <cellStyle name="40% - Accent6 2 2" xfId="10951"/>
    <cellStyle name="40% - Accent6 3" xfId="10952"/>
    <cellStyle name="40% - Accent6 3 2" xfId="10953"/>
    <cellStyle name="40% - Accent6 3 2 2" xfId="10954"/>
    <cellStyle name="40% - Accent6 4" xfId="10955"/>
    <cellStyle name="40% - 강조색1 10" xfId="10956"/>
    <cellStyle name="40% - 강조색1 10 2" xfId="10957"/>
    <cellStyle name="40% - 강조색1 10 2 2" xfId="10958"/>
    <cellStyle name="40% - 강조색1 10 2 2 2" xfId="10959"/>
    <cellStyle name="40% - 강조색1 10 2 2 2 2" xfId="10960"/>
    <cellStyle name="40% - 강조색1 10 2 2 2 3" xfId="10961"/>
    <cellStyle name="40% - 강조색1 10 2 2 3" xfId="10962"/>
    <cellStyle name="40% - 강조색1 10 2 2 4" xfId="10963"/>
    <cellStyle name="40% - 강조색1 10 2 3" xfId="10964"/>
    <cellStyle name="40% - 강조색1 10 2 3 2" xfId="10965"/>
    <cellStyle name="40% - 강조색1 10 2 3 3" xfId="10966"/>
    <cellStyle name="40% - 강조색1 10 2 4" xfId="10967"/>
    <cellStyle name="40% - 강조색1 10 2 5" xfId="10968"/>
    <cellStyle name="40% - 강조색1 10 3" xfId="10969"/>
    <cellStyle name="40% - 강조색1 10 3 2" xfId="10970"/>
    <cellStyle name="40% - 강조색1 10 3 2 2" xfId="10971"/>
    <cellStyle name="40% - 강조색1 10 3 2 2 2" xfId="10972"/>
    <cellStyle name="40% - 강조색1 10 3 2 2 3" xfId="10973"/>
    <cellStyle name="40% - 강조색1 10 3 2 3" xfId="10974"/>
    <cellStyle name="40% - 강조색1 10 3 2 4" xfId="10975"/>
    <cellStyle name="40% - 강조색1 10 3 3" xfId="10976"/>
    <cellStyle name="40% - 강조색1 10 3 3 2" xfId="10977"/>
    <cellStyle name="40% - 강조색1 10 3 3 3" xfId="10978"/>
    <cellStyle name="40% - 강조색1 10 3 4" xfId="10979"/>
    <cellStyle name="40% - 강조색1 10 3 5" xfId="10980"/>
    <cellStyle name="40% - 강조색1 10 4" xfId="10981"/>
    <cellStyle name="40% - 강조색1 10 4 2" xfId="10982"/>
    <cellStyle name="40% - 강조색1 10 4 2 2" xfId="10983"/>
    <cellStyle name="40% - 강조색1 10 4 2 3" xfId="10984"/>
    <cellStyle name="40% - 강조색1 10 4 3" xfId="10985"/>
    <cellStyle name="40% - 강조색1 10 4 4" xfId="10986"/>
    <cellStyle name="40% - 강조색1 10 5" xfId="10987"/>
    <cellStyle name="40% - 강조색1 10 5 2" xfId="10988"/>
    <cellStyle name="40% - 강조색1 10 5 3" xfId="10989"/>
    <cellStyle name="40% - 강조색1 10 6" xfId="10990"/>
    <cellStyle name="40% - 강조색1 10 7" xfId="10991"/>
    <cellStyle name="40% - 강조색1 11" xfId="10992"/>
    <cellStyle name="40% - 강조색1 11 2" xfId="10993"/>
    <cellStyle name="40% - 강조색1 11 2 2" xfId="10994"/>
    <cellStyle name="40% - 강조색1 11 2 2 2" xfId="10995"/>
    <cellStyle name="40% - 강조색1 11 2 2 3" xfId="10996"/>
    <cellStyle name="40% - 강조색1 11 2 3" xfId="10997"/>
    <cellStyle name="40% - 강조색1 11 2 4" xfId="10998"/>
    <cellStyle name="40% - 강조색1 11 3" xfId="10999"/>
    <cellStyle name="40% - 강조색1 11 3 2" xfId="11000"/>
    <cellStyle name="40% - 강조색1 11 3 3" xfId="11001"/>
    <cellStyle name="40% - 강조색1 11 4" xfId="11002"/>
    <cellStyle name="40% - 강조색1 11 5" xfId="11003"/>
    <cellStyle name="40% - 강조색1 12" xfId="11004"/>
    <cellStyle name="40% - 강조색1 12 2" xfId="11005"/>
    <cellStyle name="40% - 강조색1 12 2 2" xfId="11006"/>
    <cellStyle name="40% - 강조색1 12 2 2 2" xfId="11007"/>
    <cellStyle name="40% - 강조색1 12 2 2 3" xfId="11008"/>
    <cellStyle name="40% - 강조색1 12 2 3" xfId="11009"/>
    <cellStyle name="40% - 강조색1 12 2 4" xfId="11010"/>
    <cellStyle name="40% - 강조색1 12 3" xfId="11011"/>
    <cellStyle name="40% - 강조색1 12 3 2" xfId="11012"/>
    <cellStyle name="40% - 강조색1 12 3 3" xfId="11013"/>
    <cellStyle name="40% - 강조색1 12 4" xfId="11014"/>
    <cellStyle name="40% - 강조색1 12 5" xfId="11015"/>
    <cellStyle name="40% - 강조색1 13" xfId="11016"/>
    <cellStyle name="40% - 강조색1 13 2" xfId="11017"/>
    <cellStyle name="40% - 강조색1 13 2 2" xfId="11018"/>
    <cellStyle name="40% - 강조색1 13 2 3" xfId="11019"/>
    <cellStyle name="40% - 강조색1 13 3" xfId="11020"/>
    <cellStyle name="40% - 강조색1 13 4" xfId="11021"/>
    <cellStyle name="40% - 강조색1 14" xfId="11022"/>
    <cellStyle name="40% - 강조색1 14 2" xfId="11023"/>
    <cellStyle name="40% - 강조색1 14 2 2" xfId="11024"/>
    <cellStyle name="40% - 강조색1 14 2 3" xfId="11025"/>
    <cellStyle name="40% - 강조색1 14 3" xfId="11026"/>
    <cellStyle name="40% - 강조색1 14 4" xfId="11027"/>
    <cellStyle name="40% - 강조색1 15" xfId="11028"/>
    <cellStyle name="40% - 강조색1 15 2" xfId="11029"/>
    <cellStyle name="40% - 강조색1 15 3" xfId="11030"/>
    <cellStyle name="40% - 강조색1 16" xfId="11031"/>
    <cellStyle name="40% - 강조색1 16 2" xfId="11032"/>
    <cellStyle name="40% - 강조색1 16 3" xfId="11033"/>
    <cellStyle name="40% - 강조색1 16 4" xfId="11034"/>
    <cellStyle name="40% - 강조색1 17" xfId="11035"/>
    <cellStyle name="40% - 강조색1 17 2" xfId="11036"/>
    <cellStyle name="40% - 강조색1 17 3" xfId="11037"/>
    <cellStyle name="40% - 강조색1 18" xfId="11038"/>
    <cellStyle name="40% - 강조색1 18 2" xfId="11039"/>
    <cellStyle name="40% - 강조색1 18 3" xfId="11040"/>
    <cellStyle name="40% - 강조색1 19" xfId="11041"/>
    <cellStyle name="40% - 강조색1 19 2" xfId="11042"/>
    <cellStyle name="40% - 강조색1 19 3" xfId="11043"/>
    <cellStyle name="40% - 강조색1 2" xfId="11044"/>
    <cellStyle name="40% - 강조색1 2 2" xfId="11045"/>
    <cellStyle name="40% - 강조색1 2 2 2" xfId="11046"/>
    <cellStyle name="40% - 강조색1 2 2 2 2" xfId="11047"/>
    <cellStyle name="40% - 강조색1 2 2 3" xfId="11048"/>
    <cellStyle name="40% - 강조색1 2 3" xfId="11049"/>
    <cellStyle name="40% - 강조색1 2 3 2" xfId="11050"/>
    <cellStyle name="40% - 강조색1 2 3 2 2" xfId="11051"/>
    <cellStyle name="40% - 강조색1 2 3 3" xfId="11052"/>
    <cellStyle name="40% - 강조색1 2 4" xfId="11053"/>
    <cellStyle name="40% - 강조색1 2 4 2" xfId="11054"/>
    <cellStyle name="40% - 강조색1 2 5" xfId="11055"/>
    <cellStyle name="40% - 강조색1 2 6" xfId="11056"/>
    <cellStyle name="40% - 강조색1 20" xfId="11057"/>
    <cellStyle name="40% - 강조색1 20 2" xfId="11058"/>
    <cellStyle name="40% - 강조색1 20 3" xfId="11059"/>
    <cellStyle name="40% - 강조색1 21" xfId="11060"/>
    <cellStyle name="40% - 강조색1 21 2" xfId="11061"/>
    <cellStyle name="40% - 강조색1 21 3" xfId="11062"/>
    <cellStyle name="40% - 강조색1 22" xfId="11063"/>
    <cellStyle name="40% - 강조색1 22 2" xfId="11064"/>
    <cellStyle name="40% - 강조색1 22 3" xfId="11065"/>
    <cellStyle name="40% - 강조색1 23" xfId="11066"/>
    <cellStyle name="40% - 강조색1 23 2" xfId="11067"/>
    <cellStyle name="40% - 강조색1 23 3" xfId="11068"/>
    <cellStyle name="40% - 강조색1 24" xfId="11069"/>
    <cellStyle name="40% - 강조색1 24 2" xfId="11070"/>
    <cellStyle name="40% - 강조색1 25" xfId="11071"/>
    <cellStyle name="40% - 강조색1 25 2" xfId="11072"/>
    <cellStyle name="40% - 강조색1 26" xfId="11073"/>
    <cellStyle name="40% - 강조색1 26 2" xfId="11074"/>
    <cellStyle name="40% - 강조색1 27" xfId="11075"/>
    <cellStyle name="40% - 강조색1 27 2" xfId="11076"/>
    <cellStyle name="40% - 강조색1 28" xfId="11077"/>
    <cellStyle name="40% - 강조색1 28 2" xfId="11078"/>
    <cellStyle name="40% - 강조색1 29" xfId="11079"/>
    <cellStyle name="40% - 강조색1 29 2" xfId="11080"/>
    <cellStyle name="40% - 강조색1 3" xfId="11081"/>
    <cellStyle name="40% - 강조색1 3 10" xfId="11082"/>
    <cellStyle name="40% - 강조색1 3 10 2" xfId="11083"/>
    <cellStyle name="40% - 강조색1 3 10 2 2" xfId="11084"/>
    <cellStyle name="40% - 강조색1 3 10 2 3" xfId="11085"/>
    <cellStyle name="40% - 강조색1 3 10 3" xfId="11086"/>
    <cellStyle name="40% - 강조색1 3 10 4" xfId="11087"/>
    <cellStyle name="40% - 강조색1 3 11" xfId="11088"/>
    <cellStyle name="40% - 강조색1 3 11 2" xfId="11089"/>
    <cellStyle name="40% - 강조색1 3 11 3" xfId="11090"/>
    <cellStyle name="40% - 강조색1 3 12" xfId="11091"/>
    <cellStyle name="40% - 강조색1 3 13" xfId="11092"/>
    <cellStyle name="40% - 강조색1 3 14" xfId="11093"/>
    <cellStyle name="40% - 강조색1 3 15" xfId="11094"/>
    <cellStyle name="40% - 강조색1 3 2" xfId="11095"/>
    <cellStyle name="40% - 강조색1 3 2 10" xfId="11096"/>
    <cellStyle name="40% - 강조색1 3 2 11" xfId="11097"/>
    <cellStyle name="40% - 강조색1 3 2 12" xfId="11098"/>
    <cellStyle name="40% - 강조색1 3 2 2" xfId="11099"/>
    <cellStyle name="40% - 강조색1 3 2 2 2" xfId="11100"/>
    <cellStyle name="40% - 강조색1 3 2 2 2 2" xfId="11101"/>
    <cellStyle name="40% - 강조색1 3 2 2 2 2 2" xfId="11102"/>
    <cellStyle name="40% - 강조색1 3 2 2 2 2 2 2" xfId="11103"/>
    <cellStyle name="40% - 강조색1 3 2 2 2 2 2 3" xfId="11104"/>
    <cellStyle name="40% - 강조색1 3 2 2 2 2 3" xfId="11105"/>
    <cellStyle name="40% - 강조색1 3 2 2 2 2 4" xfId="11106"/>
    <cellStyle name="40% - 강조색1 3 2 2 2 3" xfId="11107"/>
    <cellStyle name="40% - 강조색1 3 2 2 2 3 2" xfId="11108"/>
    <cellStyle name="40% - 강조색1 3 2 2 2 3 3" xfId="11109"/>
    <cellStyle name="40% - 강조색1 3 2 2 2 4" xfId="11110"/>
    <cellStyle name="40% - 강조색1 3 2 2 2 5" xfId="11111"/>
    <cellStyle name="40% - 강조색1 3 2 2 3" xfId="11112"/>
    <cellStyle name="40% - 강조색1 3 2 2 3 2" xfId="11113"/>
    <cellStyle name="40% - 강조색1 3 2 2 3 2 2" xfId="11114"/>
    <cellStyle name="40% - 강조색1 3 2 2 3 2 2 2" xfId="11115"/>
    <cellStyle name="40% - 강조색1 3 2 2 3 2 2 3" xfId="11116"/>
    <cellStyle name="40% - 강조색1 3 2 2 3 2 3" xfId="11117"/>
    <cellStyle name="40% - 강조색1 3 2 2 3 2 4" xfId="11118"/>
    <cellStyle name="40% - 강조색1 3 2 2 3 3" xfId="11119"/>
    <cellStyle name="40% - 강조색1 3 2 2 3 3 2" xfId="11120"/>
    <cellStyle name="40% - 강조색1 3 2 2 3 3 3" xfId="11121"/>
    <cellStyle name="40% - 강조색1 3 2 2 3 4" xfId="11122"/>
    <cellStyle name="40% - 강조색1 3 2 2 3 5" xfId="11123"/>
    <cellStyle name="40% - 강조색1 3 2 2 4" xfId="11124"/>
    <cellStyle name="40% - 강조색1 3 2 2 4 2" xfId="11125"/>
    <cellStyle name="40% - 강조색1 3 2 2 4 2 2" xfId="11126"/>
    <cellStyle name="40% - 강조색1 3 2 2 4 2 3" xfId="11127"/>
    <cellStyle name="40% - 강조색1 3 2 2 4 3" xfId="11128"/>
    <cellStyle name="40% - 강조색1 3 2 2 4 4" xfId="11129"/>
    <cellStyle name="40% - 강조색1 3 2 2 5" xfId="11130"/>
    <cellStyle name="40% - 강조색1 3 2 2 5 2" xfId="11131"/>
    <cellStyle name="40% - 강조색1 3 2 2 5 3" xfId="11132"/>
    <cellStyle name="40% - 강조색1 3 2 2 6" xfId="11133"/>
    <cellStyle name="40% - 강조색1 3 2 2 7" xfId="11134"/>
    <cellStyle name="40% - 강조색1 3 2 2 8" xfId="11135"/>
    <cellStyle name="40% - 강조색1 3 2 2 9" xfId="11136"/>
    <cellStyle name="40% - 강조색1 3 2 3" xfId="11137"/>
    <cellStyle name="40% - 강조색1 3 2 3 2" xfId="11138"/>
    <cellStyle name="40% - 강조색1 3 2 3 2 2" xfId="11139"/>
    <cellStyle name="40% - 강조색1 3 2 3 2 2 2" xfId="11140"/>
    <cellStyle name="40% - 강조색1 3 2 3 2 2 2 2" xfId="11141"/>
    <cellStyle name="40% - 강조색1 3 2 3 2 2 2 3" xfId="11142"/>
    <cellStyle name="40% - 강조색1 3 2 3 2 2 3" xfId="11143"/>
    <cellStyle name="40% - 강조색1 3 2 3 2 2 4" xfId="11144"/>
    <cellStyle name="40% - 강조색1 3 2 3 2 3" xfId="11145"/>
    <cellStyle name="40% - 강조색1 3 2 3 2 3 2" xfId="11146"/>
    <cellStyle name="40% - 강조색1 3 2 3 2 3 3" xfId="11147"/>
    <cellStyle name="40% - 강조색1 3 2 3 2 4" xfId="11148"/>
    <cellStyle name="40% - 강조색1 3 2 3 2 5" xfId="11149"/>
    <cellStyle name="40% - 강조색1 3 2 3 3" xfId="11150"/>
    <cellStyle name="40% - 강조색1 3 2 3 3 2" xfId="11151"/>
    <cellStyle name="40% - 강조색1 3 2 3 3 2 2" xfId="11152"/>
    <cellStyle name="40% - 강조색1 3 2 3 3 2 2 2" xfId="11153"/>
    <cellStyle name="40% - 강조색1 3 2 3 3 2 2 3" xfId="11154"/>
    <cellStyle name="40% - 강조색1 3 2 3 3 2 3" xfId="11155"/>
    <cellStyle name="40% - 강조색1 3 2 3 3 2 4" xfId="11156"/>
    <cellStyle name="40% - 강조색1 3 2 3 3 3" xfId="11157"/>
    <cellStyle name="40% - 강조색1 3 2 3 3 3 2" xfId="11158"/>
    <cellStyle name="40% - 강조색1 3 2 3 3 3 3" xfId="11159"/>
    <cellStyle name="40% - 강조색1 3 2 3 3 4" xfId="11160"/>
    <cellStyle name="40% - 강조색1 3 2 3 3 5" xfId="11161"/>
    <cellStyle name="40% - 강조색1 3 2 3 4" xfId="11162"/>
    <cellStyle name="40% - 강조색1 3 2 3 4 2" xfId="11163"/>
    <cellStyle name="40% - 강조색1 3 2 3 4 2 2" xfId="11164"/>
    <cellStyle name="40% - 강조색1 3 2 3 4 2 3" xfId="11165"/>
    <cellStyle name="40% - 강조색1 3 2 3 4 3" xfId="11166"/>
    <cellStyle name="40% - 강조색1 3 2 3 4 4" xfId="11167"/>
    <cellStyle name="40% - 강조색1 3 2 3 5" xfId="11168"/>
    <cellStyle name="40% - 강조색1 3 2 3 5 2" xfId="11169"/>
    <cellStyle name="40% - 강조색1 3 2 3 5 3" xfId="11170"/>
    <cellStyle name="40% - 강조색1 3 2 3 6" xfId="11171"/>
    <cellStyle name="40% - 강조색1 3 2 3 7" xfId="11172"/>
    <cellStyle name="40% - 강조색1 3 2 4" xfId="11173"/>
    <cellStyle name="40% - 강조색1 3 2 4 2" xfId="11174"/>
    <cellStyle name="40% - 강조색1 3 2 4 2 2" xfId="11175"/>
    <cellStyle name="40% - 강조색1 3 2 4 2 2 2" xfId="11176"/>
    <cellStyle name="40% - 강조색1 3 2 4 2 2 3" xfId="11177"/>
    <cellStyle name="40% - 강조색1 3 2 4 2 3" xfId="11178"/>
    <cellStyle name="40% - 강조색1 3 2 4 2 4" xfId="11179"/>
    <cellStyle name="40% - 강조색1 3 2 4 3" xfId="11180"/>
    <cellStyle name="40% - 강조색1 3 2 4 3 2" xfId="11181"/>
    <cellStyle name="40% - 강조색1 3 2 4 3 3" xfId="11182"/>
    <cellStyle name="40% - 강조색1 3 2 4 4" xfId="11183"/>
    <cellStyle name="40% - 강조색1 3 2 4 5" xfId="11184"/>
    <cellStyle name="40% - 강조색1 3 2 5" xfId="11185"/>
    <cellStyle name="40% - 강조색1 3 2 5 2" xfId="11186"/>
    <cellStyle name="40% - 강조색1 3 2 5 2 2" xfId="11187"/>
    <cellStyle name="40% - 강조색1 3 2 5 2 2 2" xfId="11188"/>
    <cellStyle name="40% - 강조색1 3 2 5 2 2 3" xfId="11189"/>
    <cellStyle name="40% - 강조색1 3 2 5 2 3" xfId="11190"/>
    <cellStyle name="40% - 강조색1 3 2 5 2 4" xfId="11191"/>
    <cellStyle name="40% - 강조색1 3 2 5 3" xfId="11192"/>
    <cellStyle name="40% - 강조색1 3 2 5 3 2" xfId="11193"/>
    <cellStyle name="40% - 강조색1 3 2 5 3 3" xfId="11194"/>
    <cellStyle name="40% - 강조색1 3 2 5 4" xfId="11195"/>
    <cellStyle name="40% - 강조색1 3 2 5 5" xfId="11196"/>
    <cellStyle name="40% - 강조색1 3 2 6" xfId="11197"/>
    <cellStyle name="40% - 강조색1 3 2 6 2" xfId="11198"/>
    <cellStyle name="40% - 강조색1 3 2 6 2 2" xfId="11199"/>
    <cellStyle name="40% - 강조색1 3 2 6 2 2 2" xfId="11200"/>
    <cellStyle name="40% - 강조색1 3 2 6 2 2 3" xfId="11201"/>
    <cellStyle name="40% - 강조색1 3 2 6 2 3" xfId="11202"/>
    <cellStyle name="40% - 강조색1 3 2 6 2 4" xfId="11203"/>
    <cellStyle name="40% - 강조색1 3 2 6 3" xfId="11204"/>
    <cellStyle name="40% - 강조색1 3 2 6 3 2" xfId="11205"/>
    <cellStyle name="40% - 강조색1 3 2 6 3 3" xfId="11206"/>
    <cellStyle name="40% - 강조색1 3 2 6 4" xfId="11207"/>
    <cellStyle name="40% - 강조색1 3 2 6 5" xfId="11208"/>
    <cellStyle name="40% - 강조색1 3 2 7" xfId="11209"/>
    <cellStyle name="40% - 강조색1 3 2 7 2" xfId="11210"/>
    <cellStyle name="40% - 강조색1 3 2 7 2 2" xfId="11211"/>
    <cellStyle name="40% - 강조색1 3 2 7 2 3" xfId="11212"/>
    <cellStyle name="40% - 강조색1 3 2 7 3" xfId="11213"/>
    <cellStyle name="40% - 강조색1 3 2 7 4" xfId="11214"/>
    <cellStyle name="40% - 강조색1 3 2 8" xfId="11215"/>
    <cellStyle name="40% - 강조색1 3 2 8 2" xfId="11216"/>
    <cellStyle name="40% - 강조색1 3 2 8 3" xfId="11217"/>
    <cellStyle name="40% - 강조색1 3 2 9" xfId="11218"/>
    <cellStyle name="40% - 강조색1 3 3" xfId="11219"/>
    <cellStyle name="40% - 강조색1 3 3 10" xfId="11220"/>
    <cellStyle name="40% - 강조색1 3 3 11" xfId="11221"/>
    <cellStyle name="40% - 강조색1 3 3 12" xfId="11222"/>
    <cellStyle name="40% - 강조색1 3 3 2" xfId="11223"/>
    <cellStyle name="40% - 강조색1 3 3 2 2" xfId="11224"/>
    <cellStyle name="40% - 강조색1 3 3 2 2 2" xfId="11225"/>
    <cellStyle name="40% - 강조색1 3 3 2 2 2 2" xfId="11226"/>
    <cellStyle name="40% - 강조색1 3 3 2 2 2 2 2" xfId="11227"/>
    <cellStyle name="40% - 강조색1 3 3 2 2 2 2 3" xfId="11228"/>
    <cellStyle name="40% - 강조색1 3 3 2 2 2 3" xfId="11229"/>
    <cellStyle name="40% - 강조색1 3 3 2 2 2 4" xfId="11230"/>
    <cellStyle name="40% - 강조색1 3 3 2 2 3" xfId="11231"/>
    <cellStyle name="40% - 강조색1 3 3 2 2 3 2" xfId="11232"/>
    <cellStyle name="40% - 강조색1 3 3 2 2 3 3" xfId="11233"/>
    <cellStyle name="40% - 강조색1 3 3 2 2 4" xfId="11234"/>
    <cellStyle name="40% - 강조색1 3 3 2 2 5" xfId="11235"/>
    <cellStyle name="40% - 강조색1 3 3 2 3" xfId="11236"/>
    <cellStyle name="40% - 강조색1 3 3 2 3 2" xfId="11237"/>
    <cellStyle name="40% - 강조색1 3 3 2 3 2 2" xfId="11238"/>
    <cellStyle name="40% - 강조색1 3 3 2 3 2 2 2" xfId="11239"/>
    <cellStyle name="40% - 강조색1 3 3 2 3 2 2 3" xfId="11240"/>
    <cellStyle name="40% - 강조색1 3 3 2 3 2 3" xfId="11241"/>
    <cellStyle name="40% - 강조색1 3 3 2 3 2 4" xfId="11242"/>
    <cellStyle name="40% - 강조색1 3 3 2 3 3" xfId="11243"/>
    <cellStyle name="40% - 강조색1 3 3 2 3 3 2" xfId="11244"/>
    <cellStyle name="40% - 강조색1 3 3 2 3 3 3" xfId="11245"/>
    <cellStyle name="40% - 강조색1 3 3 2 3 4" xfId="11246"/>
    <cellStyle name="40% - 강조색1 3 3 2 3 5" xfId="11247"/>
    <cellStyle name="40% - 강조색1 3 3 2 4" xfId="11248"/>
    <cellStyle name="40% - 강조색1 3 3 2 4 2" xfId="11249"/>
    <cellStyle name="40% - 강조색1 3 3 2 4 2 2" xfId="11250"/>
    <cellStyle name="40% - 강조색1 3 3 2 4 2 3" xfId="11251"/>
    <cellStyle name="40% - 강조색1 3 3 2 4 3" xfId="11252"/>
    <cellStyle name="40% - 강조색1 3 3 2 4 4" xfId="11253"/>
    <cellStyle name="40% - 강조색1 3 3 2 5" xfId="11254"/>
    <cellStyle name="40% - 강조색1 3 3 2 5 2" xfId="11255"/>
    <cellStyle name="40% - 강조색1 3 3 2 5 3" xfId="11256"/>
    <cellStyle name="40% - 강조색1 3 3 2 6" xfId="11257"/>
    <cellStyle name="40% - 강조색1 3 3 2 7" xfId="11258"/>
    <cellStyle name="40% - 강조색1 3 3 2 8" xfId="11259"/>
    <cellStyle name="40% - 강조색1 3 3 2 9" xfId="11260"/>
    <cellStyle name="40% - 강조색1 3 3 3" xfId="11261"/>
    <cellStyle name="40% - 강조색1 3 3 3 2" xfId="11262"/>
    <cellStyle name="40% - 강조색1 3 3 3 2 2" xfId="11263"/>
    <cellStyle name="40% - 강조색1 3 3 3 2 2 2" xfId="11264"/>
    <cellStyle name="40% - 강조색1 3 3 3 2 2 2 2" xfId="11265"/>
    <cellStyle name="40% - 강조색1 3 3 3 2 2 2 3" xfId="11266"/>
    <cellStyle name="40% - 강조색1 3 3 3 2 2 3" xfId="11267"/>
    <cellStyle name="40% - 강조색1 3 3 3 2 2 4" xfId="11268"/>
    <cellStyle name="40% - 강조색1 3 3 3 2 3" xfId="11269"/>
    <cellStyle name="40% - 강조색1 3 3 3 2 3 2" xfId="11270"/>
    <cellStyle name="40% - 강조색1 3 3 3 2 3 3" xfId="11271"/>
    <cellStyle name="40% - 강조색1 3 3 3 2 4" xfId="11272"/>
    <cellStyle name="40% - 강조색1 3 3 3 2 5" xfId="11273"/>
    <cellStyle name="40% - 강조색1 3 3 3 3" xfId="11274"/>
    <cellStyle name="40% - 강조색1 3 3 3 3 2" xfId="11275"/>
    <cellStyle name="40% - 강조색1 3 3 3 3 2 2" xfId="11276"/>
    <cellStyle name="40% - 강조색1 3 3 3 3 2 2 2" xfId="11277"/>
    <cellStyle name="40% - 강조색1 3 3 3 3 2 2 3" xfId="11278"/>
    <cellStyle name="40% - 강조색1 3 3 3 3 2 3" xfId="11279"/>
    <cellStyle name="40% - 강조색1 3 3 3 3 2 4" xfId="11280"/>
    <cellStyle name="40% - 강조색1 3 3 3 3 3" xfId="11281"/>
    <cellStyle name="40% - 강조색1 3 3 3 3 3 2" xfId="11282"/>
    <cellStyle name="40% - 강조색1 3 3 3 3 3 3" xfId="11283"/>
    <cellStyle name="40% - 강조색1 3 3 3 3 4" xfId="11284"/>
    <cellStyle name="40% - 강조색1 3 3 3 3 5" xfId="11285"/>
    <cellStyle name="40% - 강조색1 3 3 3 4" xfId="11286"/>
    <cellStyle name="40% - 강조색1 3 3 3 4 2" xfId="11287"/>
    <cellStyle name="40% - 강조색1 3 3 3 4 2 2" xfId="11288"/>
    <cellStyle name="40% - 강조색1 3 3 3 4 2 3" xfId="11289"/>
    <cellStyle name="40% - 강조색1 3 3 3 4 3" xfId="11290"/>
    <cellStyle name="40% - 강조색1 3 3 3 4 4" xfId="11291"/>
    <cellStyle name="40% - 강조색1 3 3 3 5" xfId="11292"/>
    <cellStyle name="40% - 강조색1 3 3 3 5 2" xfId="11293"/>
    <cellStyle name="40% - 강조색1 3 3 3 5 3" xfId="11294"/>
    <cellStyle name="40% - 강조색1 3 3 3 6" xfId="11295"/>
    <cellStyle name="40% - 강조색1 3 3 3 7" xfId="11296"/>
    <cellStyle name="40% - 강조색1 3 3 4" xfId="11297"/>
    <cellStyle name="40% - 강조색1 3 3 4 2" xfId="11298"/>
    <cellStyle name="40% - 강조색1 3 3 4 2 2" xfId="11299"/>
    <cellStyle name="40% - 강조색1 3 3 4 2 2 2" xfId="11300"/>
    <cellStyle name="40% - 강조색1 3 3 4 2 2 3" xfId="11301"/>
    <cellStyle name="40% - 강조색1 3 3 4 2 3" xfId="11302"/>
    <cellStyle name="40% - 강조색1 3 3 4 2 4" xfId="11303"/>
    <cellStyle name="40% - 강조색1 3 3 4 3" xfId="11304"/>
    <cellStyle name="40% - 강조색1 3 3 4 3 2" xfId="11305"/>
    <cellStyle name="40% - 강조색1 3 3 4 3 3" xfId="11306"/>
    <cellStyle name="40% - 강조색1 3 3 4 4" xfId="11307"/>
    <cellStyle name="40% - 강조색1 3 3 4 5" xfId="11308"/>
    <cellStyle name="40% - 강조색1 3 3 5" xfId="11309"/>
    <cellStyle name="40% - 강조색1 3 3 5 2" xfId="11310"/>
    <cellStyle name="40% - 강조색1 3 3 5 2 2" xfId="11311"/>
    <cellStyle name="40% - 강조색1 3 3 5 2 2 2" xfId="11312"/>
    <cellStyle name="40% - 강조색1 3 3 5 2 2 3" xfId="11313"/>
    <cellStyle name="40% - 강조색1 3 3 5 2 3" xfId="11314"/>
    <cellStyle name="40% - 강조색1 3 3 5 2 4" xfId="11315"/>
    <cellStyle name="40% - 강조색1 3 3 5 3" xfId="11316"/>
    <cellStyle name="40% - 강조색1 3 3 5 3 2" xfId="11317"/>
    <cellStyle name="40% - 강조색1 3 3 5 3 3" xfId="11318"/>
    <cellStyle name="40% - 강조색1 3 3 5 4" xfId="11319"/>
    <cellStyle name="40% - 강조색1 3 3 5 5" xfId="11320"/>
    <cellStyle name="40% - 강조색1 3 3 6" xfId="11321"/>
    <cellStyle name="40% - 강조색1 3 3 6 2" xfId="11322"/>
    <cellStyle name="40% - 강조색1 3 3 6 2 2" xfId="11323"/>
    <cellStyle name="40% - 강조색1 3 3 6 2 2 2" xfId="11324"/>
    <cellStyle name="40% - 강조색1 3 3 6 2 2 3" xfId="11325"/>
    <cellStyle name="40% - 강조색1 3 3 6 2 3" xfId="11326"/>
    <cellStyle name="40% - 강조색1 3 3 6 2 4" xfId="11327"/>
    <cellStyle name="40% - 강조색1 3 3 6 3" xfId="11328"/>
    <cellStyle name="40% - 강조색1 3 3 6 3 2" xfId="11329"/>
    <cellStyle name="40% - 강조색1 3 3 6 3 3" xfId="11330"/>
    <cellStyle name="40% - 강조색1 3 3 6 4" xfId="11331"/>
    <cellStyle name="40% - 강조색1 3 3 6 5" xfId="11332"/>
    <cellStyle name="40% - 강조색1 3 3 7" xfId="11333"/>
    <cellStyle name="40% - 강조색1 3 3 7 2" xfId="11334"/>
    <cellStyle name="40% - 강조색1 3 3 7 2 2" xfId="11335"/>
    <cellStyle name="40% - 강조색1 3 3 7 2 3" xfId="11336"/>
    <cellStyle name="40% - 강조색1 3 3 7 3" xfId="11337"/>
    <cellStyle name="40% - 강조색1 3 3 7 4" xfId="11338"/>
    <cellStyle name="40% - 강조색1 3 3 8" xfId="11339"/>
    <cellStyle name="40% - 강조색1 3 3 8 2" xfId="11340"/>
    <cellStyle name="40% - 강조색1 3 3 8 3" xfId="11341"/>
    <cellStyle name="40% - 강조색1 3 3 9" xfId="11342"/>
    <cellStyle name="40% - 강조색1 3 4" xfId="11343"/>
    <cellStyle name="40% - 강조색1 3 4 10" xfId="11344"/>
    <cellStyle name="40% - 강조색1 3 4 11" xfId="11345"/>
    <cellStyle name="40% - 강조색1 3 4 12" xfId="11346"/>
    <cellStyle name="40% - 강조색1 3 4 2" xfId="11347"/>
    <cellStyle name="40% - 강조색1 3 4 2 2" xfId="11348"/>
    <cellStyle name="40% - 강조색1 3 4 2 2 2" xfId="11349"/>
    <cellStyle name="40% - 강조색1 3 4 2 2 2 2" xfId="11350"/>
    <cellStyle name="40% - 강조색1 3 4 2 2 2 2 2" xfId="11351"/>
    <cellStyle name="40% - 강조색1 3 4 2 2 2 2 3" xfId="11352"/>
    <cellStyle name="40% - 강조색1 3 4 2 2 2 3" xfId="11353"/>
    <cellStyle name="40% - 강조색1 3 4 2 2 2 4" xfId="11354"/>
    <cellStyle name="40% - 강조색1 3 4 2 2 3" xfId="11355"/>
    <cellStyle name="40% - 강조색1 3 4 2 2 3 2" xfId="11356"/>
    <cellStyle name="40% - 강조색1 3 4 2 2 3 3" xfId="11357"/>
    <cellStyle name="40% - 강조색1 3 4 2 2 4" xfId="11358"/>
    <cellStyle name="40% - 강조색1 3 4 2 2 5" xfId="11359"/>
    <cellStyle name="40% - 강조색1 3 4 2 3" xfId="11360"/>
    <cellStyle name="40% - 강조색1 3 4 2 3 2" xfId="11361"/>
    <cellStyle name="40% - 강조색1 3 4 2 3 2 2" xfId="11362"/>
    <cellStyle name="40% - 강조색1 3 4 2 3 2 2 2" xfId="11363"/>
    <cellStyle name="40% - 강조색1 3 4 2 3 2 2 3" xfId="11364"/>
    <cellStyle name="40% - 강조색1 3 4 2 3 2 3" xfId="11365"/>
    <cellStyle name="40% - 강조색1 3 4 2 3 2 4" xfId="11366"/>
    <cellStyle name="40% - 강조색1 3 4 2 3 3" xfId="11367"/>
    <cellStyle name="40% - 강조색1 3 4 2 3 3 2" xfId="11368"/>
    <cellStyle name="40% - 강조색1 3 4 2 3 3 3" xfId="11369"/>
    <cellStyle name="40% - 강조색1 3 4 2 3 4" xfId="11370"/>
    <cellStyle name="40% - 강조색1 3 4 2 3 5" xfId="11371"/>
    <cellStyle name="40% - 강조색1 3 4 2 4" xfId="11372"/>
    <cellStyle name="40% - 강조색1 3 4 2 4 2" xfId="11373"/>
    <cellStyle name="40% - 강조색1 3 4 2 4 2 2" xfId="11374"/>
    <cellStyle name="40% - 강조색1 3 4 2 4 2 3" xfId="11375"/>
    <cellStyle name="40% - 강조색1 3 4 2 4 3" xfId="11376"/>
    <cellStyle name="40% - 강조색1 3 4 2 4 4" xfId="11377"/>
    <cellStyle name="40% - 강조색1 3 4 2 5" xfId="11378"/>
    <cellStyle name="40% - 강조색1 3 4 2 5 2" xfId="11379"/>
    <cellStyle name="40% - 강조색1 3 4 2 5 3" xfId="11380"/>
    <cellStyle name="40% - 강조색1 3 4 2 6" xfId="11381"/>
    <cellStyle name="40% - 강조색1 3 4 2 7" xfId="11382"/>
    <cellStyle name="40% - 강조색1 3 4 3" xfId="11383"/>
    <cellStyle name="40% - 강조색1 3 4 3 2" xfId="11384"/>
    <cellStyle name="40% - 강조색1 3 4 3 2 2" xfId="11385"/>
    <cellStyle name="40% - 강조색1 3 4 3 2 2 2" xfId="11386"/>
    <cellStyle name="40% - 강조색1 3 4 3 2 2 2 2" xfId="11387"/>
    <cellStyle name="40% - 강조색1 3 4 3 2 2 2 3" xfId="11388"/>
    <cellStyle name="40% - 강조색1 3 4 3 2 2 3" xfId="11389"/>
    <cellStyle name="40% - 강조색1 3 4 3 2 2 4" xfId="11390"/>
    <cellStyle name="40% - 강조색1 3 4 3 2 3" xfId="11391"/>
    <cellStyle name="40% - 강조색1 3 4 3 2 3 2" xfId="11392"/>
    <cellStyle name="40% - 강조색1 3 4 3 2 3 3" xfId="11393"/>
    <cellStyle name="40% - 강조색1 3 4 3 2 4" xfId="11394"/>
    <cellStyle name="40% - 강조색1 3 4 3 2 5" xfId="11395"/>
    <cellStyle name="40% - 강조색1 3 4 3 3" xfId="11396"/>
    <cellStyle name="40% - 강조색1 3 4 3 3 2" xfId="11397"/>
    <cellStyle name="40% - 강조색1 3 4 3 3 2 2" xfId="11398"/>
    <cellStyle name="40% - 강조색1 3 4 3 3 2 2 2" xfId="11399"/>
    <cellStyle name="40% - 강조색1 3 4 3 3 2 2 3" xfId="11400"/>
    <cellStyle name="40% - 강조색1 3 4 3 3 2 3" xfId="11401"/>
    <cellStyle name="40% - 강조색1 3 4 3 3 2 4" xfId="11402"/>
    <cellStyle name="40% - 강조색1 3 4 3 3 3" xfId="11403"/>
    <cellStyle name="40% - 강조색1 3 4 3 3 3 2" xfId="11404"/>
    <cellStyle name="40% - 강조색1 3 4 3 3 3 3" xfId="11405"/>
    <cellStyle name="40% - 강조색1 3 4 3 3 4" xfId="11406"/>
    <cellStyle name="40% - 강조색1 3 4 3 3 5" xfId="11407"/>
    <cellStyle name="40% - 강조색1 3 4 3 4" xfId="11408"/>
    <cellStyle name="40% - 강조색1 3 4 3 4 2" xfId="11409"/>
    <cellStyle name="40% - 강조색1 3 4 3 4 2 2" xfId="11410"/>
    <cellStyle name="40% - 강조색1 3 4 3 4 2 3" xfId="11411"/>
    <cellStyle name="40% - 강조색1 3 4 3 4 3" xfId="11412"/>
    <cellStyle name="40% - 강조색1 3 4 3 4 4" xfId="11413"/>
    <cellStyle name="40% - 강조색1 3 4 3 5" xfId="11414"/>
    <cellStyle name="40% - 강조색1 3 4 3 5 2" xfId="11415"/>
    <cellStyle name="40% - 강조색1 3 4 3 5 3" xfId="11416"/>
    <cellStyle name="40% - 강조색1 3 4 3 6" xfId="11417"/>
    <cellStyle name="40% - 강조색1 3 4 3 7" xfId="11418"/>
    <cellStyle name="40% - 강조색1 3 4 4" xfId="11419"/>
    <cellStyle name="40% - 강조색1 3 4 4 2" xfId="11420"/>
    <cellStyle name="40% - 강조색1 3 4 4 2 2" xfId="11421"/>
    <cellStyle name="40% - 강조색1 3 4 4 2 2 2" xfId="11422"/>
    <cellStyle name="40% - 강조색1 3 4 4 2 2 3" xfId="11423"/>
    <cellStyle name="40% - 강조색1 3 4 4 2 3" xfId="11424"/>
    <cellStyle name="40% - 강조색1 3 4 4 2 4" xfId="11425"/>
    <cellStyle name="40% - 강조색1 3 4 4 3" xfId="11426"/>
    <cellStyle name="40% - 강조색1 3 4 4 3 2" xfId="11427"/>
    <cellStyle name="40% - 강조색1 3 4 4 3 3" xfId="11428"/>
    <cellStyle name="40% - 강조색1 3 4 4 4" xfId="11429"/>
    <cellStyle name="40% - 강조색1 3 4 4 5" xfId="11430"/>
    <cellStyle name="40% - 강조색1 3 4 5" xfId="11431"/>
    <cellStyle name="40% - 강조색1 3 4 5 2" xfId="11432"/>
    <cellStyle name="40% - 강조색1 3 4 5 2 2" xfId="11433"/>
    <cellStyle name="40% - 강조색1 3 4 5 2 2 2" xfId="11434"/>
    <cellStyle name="40% - 강조색1 3 4 5 2 2 3" xfId="11435"/>
    <cellStyle name="40% - 강조색1 3 4 5 2 3" xfId="11436"/>
    <cellStyle name="40% - 강조색1 3 4 5 2 4" xfId="11437"/>
    <cellStyle name="40% - 강조색1 3 4 5 3" xfId="11438"/>
    <cellStyle name="40% - 강조색1 3 4 5 3 2" xfId="11439"/>
    <cellStyle name="40% - 강조색1 3 4 5 3 3" xfId="11440"/>
    <cellStyle name="40% - 강조색1 3 4 5 4" xfId="11441"/>
    <cellStyle name="40% - 강조색1 3 4 5 5" xfId="11442"/>
    <cellStyle name="40% - 강조색1 3 4 6" xfId="11443"/>
    <cellStyle name="40% - 강조색1 3 4 6 2" xfId="11444"/>
    <cellStyle name="40% - 강조색1 3 4 6 2 2" xfId="11445"/>
    <cellStyle name="40% - 강조색1 3 4 6 2 2 2" xfId="11446"/>
    <cellStyle name="40% - 강조색1 3 4 6 2 2 3" xfId="11447"/>
    <cellStyle name="40% - 강조색1 3 4 6 2 3" xfId="11448"/>
    <cellStyle name="40% - 강조색1 3 4 6 2 4" xfId="11449"/>
    <cellStyle name="40% - 강조색1 3 4 6 3" xfId="11450"/>
    <cellStyle name="40% - 강조색1 3 4 6 3 2" xfId="11451"/>
    <cellStyle name="40% - 강조색1 3 4 6 3 3" xfId="11452"/>
    <cellStyle name="40% - 강조색1 3 4 6 4" xfId="11453"/>
    <cellStyle name="40% - 강조색1 3 4 6 5" xfId="11454"/>
    <cellStyle name="40% - 강조색1 3 4 7" xfId="11455"/>
    <cellStyle name="40% - 강조색1 3 4 7 2" xfId="11456"/>
    <cellStyle name="40% - 강조색1 3 4 7 2 2" xfId="11457"/>
    <cellStyle name="40% - 강조색1 3 4 7 2 3" xfId="11458"/>
    <cellStyle name="40% - 강조색1 3 4 7 3" xfId="11459"/>
    <cellStyle name="40% - 강조색1 3 4 7 4" xfId="11460"/>
    <cellStyle name="40% - 강조색1 3 4 8" xfId="11461"/>
    <cellStyle name="40% - 강조색1 3 4 8 2" xfId="11462"/>
    <cellStyle name="40% - 강조색1 3 4 8 3" xfId="11463"/>
    <cellStyle name="40% - 강조색1 3 4 9" xfId="11464"/>
    <cellStyle name="40% - 강조색1 3 5" xfId="11465"/>
    <cellStyle name="40% - 강조색1 3 5 2" xfId="11466"/>
    <cellStyle name="40% - 강조색1 3 5 2 2" xfId="11467"/>
    <cellStyle name="40% - 강조색1 3 5 2 2 2" xfId="11468"/>
    <cellStyle name="40% - 강조색1 3 5 2 2 2 2" xfId="11469"/>
    <cellStyle name="40% - 강조색1 3 5 2 2 2 3" xfId="11470"/>
    <cellStyle name="40% - 강조색1 3 5 2 2 3" xfId="11471"/>
    <cellStyle name="40% - 강조색1 3 5 2 2 4" xfId="11472"/>
    <cellStyle name="40% - 강조색1 3 5 2 3" xfId="11473"/>
    <cellStyle name="40% - 강조색1 3 5 2 3 2" xfId="11474"/>
    <cellStyle name="40% - 강조색1 3 5 2 3 3" xfId="11475"/>
    <cellStyle name="40% - 강조색1 3 5 2 4" xfId="11476"/>
    <cellStyle name="40% - 강조색1 3 5 2 5" xfId="11477"/>
    <cellStyle name="40% - 강조색1 3 5 3" xfId="11478"/>
    <cellStyle name="40% - 강조색1 3 5 3 2" xfId="11479"/>
    <cellStyle name="40% - 강조색1 3 5 3 2 2" xfId="11480"/>
    <cellStyle name="40% - 강조색1 3 5 3 2 2 2" xfId="11481"/>
    <cellStyle name="40% - 강조색1 3 5 3 2 2 3" xfId="11482"/>
    <cellStyle name="40% - 강조색1 3 5 3 2 3" xfId="11483"/>
    <cellStyle name="40% - 강조색1 3 5 3 2 4" xfId="11484"/>
    <cellStyle name="40% - 강조색1 3 5 3 3" xfId="11485"/>
    <cellStyle name="40% - 강조색1 3 5 3 3 2" xfId="11486"/>
    <cellStyle name="40% - 강조색1 3 5 3 3 3" xfId="11487"/>
    <cellStyle name="40% - 강조색1 3 5 3 4" xfId="11488"/>
    <cellStyle name="40% - 강조색1 3 5 3 5" xfId="11489"/>
    <cellStyle name="40% - 강조색1 3 5 4" xfId="11490"/>
    <cellStyle name="40% - 강조색1 3 5 4 2" xfId="11491"/>
    <cellStyle name="40% - 강조색1 3 5 4 2 2" xfId="11492"/>
    <cellStyle name="40% - 강조색1 3 5 4 2 3" xfId="11493"/>
    <cellStyle name="40% - 강조색1 3 5 4 3" xfId="11494"/>
    <cellStyle name="40% - 강조색1 3 5 4 4" xfId="11495"/>
    <cellStyle name="40% - 강조색1 3 5 5" xfId="11496"/>
    <cellStyle name="40% - 강조색1 3 5 5 2" xfId="11497"/>
    <cellStyle name="40% - 강조색1 3 5 5 3" xfId="11498"/>
    <cellStyle name="40% - 강조색1 3 5 6" xfId="11499"/>
    <cellStyle name="40% - 강조색1 3 5 7" xfId="11500"/>
    <cellStyle name="40% - 강조색1 3 5 8" xfId="11501"/>
    <cellStyle name="40% - 강조색1 3 6" xfId="11502"/>
    <cellStyle name="40% - 강조색1 3 6 2" xfId="11503"/>
    <cellStyle name="40% - 강조색1 3 6 2 2" xfId="11504"/>
    <cellStyle name="40% - 강조색1 3 6 2 2 2" xfId="11505"/>
    <cellStyle name="40% - 강조색1 3 6 2 2 2 2" xfId="11506"/>
    <cellStyle name="40% - 강조색1 3 6 2 2 2 3" xfId="11507"/>
    <cellStyle name="40% - 강조색1 3 6 2 2 3" xfId="11508"/>
    <cellStyle name="40% - 강조색1 3 6 2 2 4" xfId="11509"/>
    <cellStyle name="40% - 강조색1 3 6 2 3" xfId="11510"/>
    <cellStyle name="40% - 강조색1 3 6 2 3 2" xfId="11511"/>
    <cellStyle name="40% - 강조색1 3 6 2 3 3" xfId="11512"/>
    <cellStyle name="40% - 강조색1 3 6 2 4" xfId="11513"/>
    <cellStyle name="40% - 강조색1 3 6 2 5" xfId="11514"/>
    <cellStyle name="40% - 강조색1 3 6 3" xfId="11515"/>
    <cellStyle name="40% - 강조색1 3 6 3 2" xfId="11516"/>
    <cellStyle name="40% - 강조색1 3 6 3 2 2" xfId="11517"/>
    <cellStyle name="40% - 강조색1 3 6 3 2 2 2" xfId="11518"/>
    <cellStyle name="40% - 강조색1 3 6 3 2 2 3" xfId="11519"/>
    <cellStyle name="40% - 강조색1 3 6 3 2 3" xfId="11520"/>
    <cellStyle name="40% - 강조색1 3 6 3 2 4" xfId="11521"/>
    <cellStyle name="40% - 강조색1 3 6 3 3" xfId="11522"/>
    <cellStyle name="40% - 강조색1 3 6 3 3 2" xfId="11523"/>
    <cellStyle name="40% - 강조색1 3 6 3 3 3" xfId="11524"/>
    <cellStyle name="40% - 강조색1 3 6 3 4" xfId="11525"/>
    <cellStyle name="40% - 강조색1 3 6 3 5" xfId="11526"/>
    <cellStyle name="40% - 강조색1 3 6 4" xfId="11527"/>
    <cellStyle name="40% - 강조색1 3 6 4 2" xfId="11528"/>
    <cellStyle name="40% - 강조색1 3 6 4 2 2" xfId="11529"/>
    <cellStyle name="40% - 강조색1 3 6 4 2 3" xfId="11530"/>
    <cellStyle name="40% - 강조색1 3 6 4 3" xfId="11531"/>
    <cellStyle name="40% - 강조색1 3 6 4 4" xfId="11532"/>
    <cellStyle name="40% - 강조색1 3 6 5" xfId="11533"/>
    <cellStyle name="40% - 강조색1 3 6 5 2" xfId="11534"/>
    <cellStyle name="40% - 강조색1 3 6 5 3" xfId="11535"/>
    <cellStyle name="40% - 강조색1 3 6 6" xfId="11536"/>
    <cellStyle name="40% - 강조색1 3 6 7" xfId="11537"/>
    <cellStyle name="40% - 강조색1 3 7" xfId="11538"/>
    <cellStyle name="40% - 강조색1 3 7 2" xfId="11539"/>
    <cellStyle name="40% - 강조색1 3 7 2 2" xfId="11540"/>
    <cellStyle name="40% - 강조색1 3 7 2 2 2" xfId="11541"/>
    <cellStyle name="40% - 강조색1 3 7 2 2 3" xfId="11542"/>
    <cellStyle name="40% - 강조색1 3 7 2 3" xfId="11543"/>
    <cellStyle name="40% - 강조색1 3 7 2 4" xfId="11544"/>
    <cellStyle name="40% - 강조색1 3 7 3" xfId="11545"/>
    <cellStyle name="40% - 강조색1 3 7 3 2" xfId="11546"/>
    <cellStyle name="40% - 강조색1 3 7 3 3" xfId="11547"/>
    <cellStyle name="40% - 강조색1 3 7 4" xfId="11548"/>
    <cellStyle name="40% - 강조색1 3 7 5" xfId="11549"/>
    <cellStyle name="40% - 강조색1 3 8" xfId="11550"/>
    <cellStyle name="40% - 강조색1 3 8 2" xfId="11551"/>
    <cellStyle name="40% - 강조색1 3 8 2 2" xfId="11552"/>
    <cellStyle name="40% - 강조색1 3 8 2 2 2" xfId="11553"/>
    <cellStyle name="40% - 강조색1 3 8 2 2 3" xfId="11554"/>
    <cellStyle name="40% - 강조색1 3 8 2 3" xfId="11555"/>
    <cellStyle name="40% - 강조색1 3 8 2 4" xfId="11556"/>
    <cellStyle name="40% - 강조색1 3 8 3" xfId="11557"/>
    <cellStyle name="40% - 강조색1 3 8 3 2" xfId="11558"/>
    <cellStyle name="40% - 강조색1 3 8 3 3" xfId="11559"/>
    <cellStyle name="40% - 강조색1 3 8 4" xfId="11560"/>
    <cellStyle name="40% - 강조색1 3 8 5" xfId="11561"/>
    <cellStyle name="40% - 강조색1 3 9" xfId="11562"/>
    <cellStyle name="40% - 강조색1 3 9 2" xfId="11563"/>
    <cellStyle name="40% - 강조색1 3 9 2 2" xfId="11564"/>
    <cellStyle name="40% - 강조색1 3 9 2 2 2" xfId="11565"/>
    <cellStyle name="40% - 강조색1 3 9 2 2 3" xfId="11566"/>
    <cellStyle name="40% - 강조색1 3 9 2 3" xfId="11567"/>
    <cellStyle name="40% - 강조색1 3 9 2 4" xfId="11568"/>
    <cellStyle name="40% - 강조색1 3 9 3" xfId="11569"/>
    <cellStyle name="40% - 강조색1 3 9 3 2" xfId="11570"/>
    <cellStyle name="40% - 강조색1 3 9 3 3" xfId="11571"/>
    <cellStyle name="40% - 강조색1 3 9 4" xfId="11572"/>
    <cellStyle name="40% - 강조색1 3 9 5" xfId="11573"/>
    <cellStyle name="40% - 강조색1 30" xfId="11574"/>
    <cellStyle name="40% - 강조색1 30 2" xfId="11575"/>
    <cellStyle name="40% - 강조색1 31" xfId="11576"/>
    <cellStyle name="40% - 강조색1 31 2" xfId="11577"/>
    <cellStyle name="40% - 강조색1 32" xfId="11578"/>
    <cellStyle name="40% - 강조색1 32 2" xfId="11579"/>
    <cellStyle name="40% - 강조색1 33" xfId="11580"/>
    <cellStyle name="40% - 강조색1 33 2" xfId="11581"/>
    <cellStyle name="40% - 강조색1 34" xfId="11582"/>
    <cellStyle name="40% - 강조색1 34 2" xfId="11583"/>
    <cellStyle name="40% - 강조색1 35" xfId="11584"/>
    <cellStyle name="40% - 강조색1 36" xfId="11585"/>
    <cellStyle name="40% - 강조색1 37" xfId="11586"/>
    <cellStyle name="40% - 강조색1 38" xfId="11587"/>
    <cellStyle name="40% - 강조색1 39" xfId="11588"/>
    <cellStyle name="40% - 강조색1 4" xfId="11589"/>
    <cellStyle name="40% - 강조색1 4 10" xfId="11590"/>
    <cellStyle name="40% - 강조색1 4 10 2" xfId="11591"/>
    <cellStyle name="40% - 강조색1 4 10 2 2" xfId="11592"/>
    <cellStyle name="40% - 강조색1 4 10 2 3" xfId="11593"/>
    <cellStyle name="40% - 강조색1 4 10 3" xfId="11594"/>
    <cellStyle name="40% - 강조색1 4 10 4" xfId="11595"/>
    <cellStyle name="40% - 강조색1 4 11" xfId="11596"/>
    <cellStyle name="40% - 강조색1 4 11 2" xfId="11597"/>
    <cellStyle name="40% - 강조색1 4 11 3" xfId="11598"/>
    <cellStyle name="40% - 강조색1 4 12" xfId="11599"/>
    <cellStyle name="40% - 강조색1 4 13" xfId="11600"/>
    <cellStyle name="40% - 강조색1 4 14" xfId="11601"/>
    <cellStyle name="40% - 강조색1 4 2" xfId="11602"/>
    <cellStyle name="40% - 강조색1 4 2 10" xfId="11603"/>
    <cellStyle name="40% - 강조색1 4 2 2" xfId="11604"/>
    <cellStyle name="40% - 강조색1 4 2 2 2" xfId="11605"/>
    <cellStyle name="40% - 강조색1 4 2 2 2 2" xfId="11606"/>
    <cellStyle name="40% - 강조색1 4 2 2 2 2 2" xfId="11607"/>
    <cellStyle name="40% - 강조색1 4 2 2 2 2 2 2" xfId="11608"/>
    <cellStyle name="40% - 강조색1 4 2 2 2 2 2 3" xfId="11609"/>
    <cellStyle name="40% - 강조색1 4 2 2 2 2 3" xfId="11610"/>
    <cellStyle name="40% - 강조색1 4 2 2 2 2 4" xfId="11611"/>
    <cellStyle name="40% - 강조색1 4 2 2 2 3" xfId="11612"/>
    <cellStyle name="40% - 강조색1 4 2 2 2 3 2" xfId="11613"/>
    <cellStyle name="40% - 강조색1 4 2 2 2 3 3" xfId="11614"/>
    <cellStyle name="40% - 강조색1 4 2 2 2 4" xfId="11615"/>
    <cellStyle name="40% - 강조색1 4 2 2 2 5" xfId="11616"/>
    <cellStyle name="40% - 강조색1 4 2 2 3" xfId="11617"/>
    <cellStyle name="40% - 강조색1 4 2 2 3 2" xfId="11618"/>
    <cellStyle name="40% - 강조색1 4 2 2 3 2 2" xfId="11619"/>
    <cellStyle name="40% - 강조색1 4 2 2 3 2 2 2" xfId="11620"/>
    <cellStyle name="40% - 강조색1 4 2 2 3 2 2 3" xfId="11621"/>
    <cellStyle name="40% - 강조색1 4 2 2 3 2 3" xfId="11622"/>
    <cellStyle name="40% - 강조색1 4 2 2 3 2 4" xfId="11623"/>
    <cellStyle name="40% - 강조색1 4 2 2 3 3" xfId="11624"/>
    <cellStyle name="40% - 강조색1 4 2 2 3 3 2" xfId="11625"/>
    <cellStyle name="40% - 강조색1 4 2 2 3 3 3" xfId="11626"/>
    <cellStyle name="40% - 강조색1 4 2 2 3 4" xfId="11627"/>
    <cellStyle name="40% - 강조색1 4 2 2 3 5" xfId="11628"/>
    <cellStyle name="40% - 강조색1 4 2 2 4" xfId="11629"/>
    <cellStyle name="40% - 강조색1 4 2 2 4 2" xfId="11630"/>
    <cellStyle name="40% - 강조색1 4 2 2 4 2 2" xfId="11631"/>
    <cellStyle name="40% - 강조색1 4 2 2 4 2 3" xfId="11632"/>
    <cellStyle name="40% - 강조색1 4 2 2 4 3" xfId="11633"/>
    <cellStyle name="40% - 강조색1 4 2 2 4 4" xfId="11634"/>
    <cellStyle name="40% - 강조색1 4 2 2 5" xfId="11635"/>
    <cellStyle name="40% - 강조색1 4 2 2 5 2" xfId="11636"/>
    <cellStyle name="40% - 강조색1 4 2 2 5 3" xfId="11637"/>
    <cellStyle name="40% - 강조색1 4 2 2 6" xfId="11638"/>
    <cellStyle name="40% - 강조색1 4 2 2 7" xfId="11639"/>
    <cellStyle name="40% - 강조색1 4 2 3" xfId="11640"/>
    <cellStyle name="40% - 강조색1 4 2 3 2" xfId="11641"/>
    <cellStyle name="40% - 강조색1 4 2 3 2 2" xfId="11642"/>
    <cellStyle name="40% - 강조색1 4 2 3 2 2 2" xfId="11643"/>
    <cellStyle name="40% - 강조색1 4 2 3 2 2 2 2" xfId="11644"/>
    <cellStyle name="40% - 강조색1 4 2 3 2 2 2 3" xfId="11645"/>
    <cellStyle name="40% - 강조색1 4 2 3 2 2 3" xfId="11646"/>
    <cellStyle name="40% - 강조색1 4 2 3 2 2 4" xfId="11647"/>
    <cellStyle name="40% - 강조색1 4 2 3 2 3" xfId="11648"/>
    <cellStyle name="40% - 강조색1 4 2 3 2 3 2" xfId="11649"/>
    <cellStyle name="40% - 강조색1 4 2 3 2 3 3" xfId="11650"/>
    <cellStyle name="40% - 강조색1 4 2 3 2 4" xfId="11651"/>
    <cellStyle name="40% - 강조색1 4 2 3 2 5" xfId="11652"/>
    <cellStyle name="40% - 강조색1 4 2 3 3" xfId="11653"/>
    <cellStyle name="40% - 강조색1 4 2 3 3 2" xfId="11654"/>
    <cellStyle name="40% - 강조색1 4 2 3 3 2 2" xfId="11655"/>
    <cellStyle name="40% - 강조색1 4 2 3 3 2 2 2" xfId="11656"/>
    <cellStyle name="40% - 강조색1 4 2 3 3 2 2 3" xfId="11657"/>
    <cellStyle name="40% - 강조색1 4 2 3 3 2 3" xfId="11658"/>
    <cellStyle name="40% - 강조색1 4 2 3 3 2 4" xfId="11659"/>
    <cellStyle name="40% - 강조색1 4 2 3 3 3" xfId="11660"/>
    <cellStyle name="40% - 강조색1 4 2 3 3 3 2" xfId="11661"/>
    <cellStyle name="40% - 강조색1 4 2 3 3 3 3" xfId="11662"/>
    <cellStyle name="40% - 강조색1 4 2 3 3 4" xfId="11663"/>
    <cellStyle name="40% - 강조색1 4 2 3 3 5" xfId="11664"/>
    <cellStyle name="40% - 강조색1 4 2 3 4" xfId="11665"/>
    <cellStyle name="40% - 강조색1 4 2 3 4 2" xfId="11666"/>
    <cellStyle name="40% - 강조색1 4 2 3 4 2 2" xfId="11667"/>
    <cellStyle name="40% - 강조색1 4 2 3 4 2 3" xfId="11668"/>
    <cellStyle name="40% - 강조색1 4 2 3 4 3" xfId="11669"/>
    <cellStyle name="40% - 강조색1 4 2 3 4 4" xfId="11670"/>
    <cellStyle name="40% - 강조색1 4 2 3 5" xfId="11671"/>
    <cellStyle name="40% - 강조색1 4 2 3 5 2" xfId="11672"/>
    <cellStyle name="40% - 강조색1 4 2 3 5 3" xfId="11673"/>
    <cellStyle name="40% - 강조색1 4 2 3 6" xfId="11674"/>
    <cellStyle name="40% - 강조색1 4 2 3 7" xfId="11675"/>
    <cellStyle name="40% - 강조색1 4 2 4" xfId="11676"/>
    <cellStyle name="40% - 강조색1 4 2 4 2" xfId="11677"/>
    <cellStyle name="40% - 강조색1 4 2 4 2 2" xfId="11678"/>
    <cellStyle name="40% - 강조색1 4 2 4 2 2 2" xfId="11679"/>
    <cellStyle name="40% - 강조색1 4 2 4 2 2 3" xfId="11680"/>
    <cellStyle name="40% - 강조색1 4 2 4 2 3" xfId="11681"/>
    <cellStyle name="40% - 강조색1 4 2 4 2 4" xfId="11682"/>
    <cellStyle name="40% - 강조색1 4 2 4 3" xfId="11683"/>
    <cellStyle name="40% - 강조색1 4 2 4 3 2" xfId="11684"/>
    <cellStyle name="40% - 강조색1 4 2 4 3 3" xfId="11685"/>
    <cellStyle name="40% - 강조색1 4 2 4 4" xfId="11686"/>
    <cellStyle name="40% - 강조색1 4 2 4 5" xfId="11687"/>
    <cellStyle name="40% - 강조색1 4 2 5" xfId="11688"/>
    <cellStyle name="40% - 강조색1 4 2 5 2" xfId="11689"/>
    <cellStyle name="40% - 강조색1 4 2 5 2 2" xfId="11690"/>
    <cellStyle name="40% - 강조색1 4 2 5 2 2 2" xfId="11691"/>
    <cellStyle name="40% - 강조색1 4 2 5 2 2 3" xfId="11692"/>
    <cellStyle name="40% - 강조색1 4 2 5 2 3" xfId="11693"/>
    <cellStyle name="40% - 강조색1 4 2 5 2 4" xfId="11694"/>
    <cellStyle name="40% - 강조색1 4 2 5 3" xfId="11695"/>
    <cellStyle name="40% - 강조색1 4 2 5 3 2" xfId="11696"/>
    <cellStyle name="40% - 강조색1 4 2 5 3 3" xfId="11697"/>
    <cellStyle name="40% - 강조색1 4 2 5 4" xfId="11698"/>
    <cellStyle name="40% - 강조색1 4 2 5 5" xfId="11699"/>
    <cellStyle name="40% - 강조색1 4 2 6" xfId="11700"/>
    <cellStyle name="40% - 강조색1 4 2 6 2" xfId="11701"/>
    <cellStyle name="40% - 강조색1 4 2 6 2 2" xfId="11702"/>
    <cellStyle name="40% - 강조색1 4 2 6 2 2 2" xfId="11703"/>
    <cellStyle name="40% - 강조색1 4 2 6 2 2 3" xfId="11704"/>
    <cellStyle name="40% - 강조색1 4 2 6 2 3" xfId="11705"/>
    <cellStyle name="40% - 강조색1 4 2 6 2 4" xfId="11706"/>
    <cellStyle name="40% - 강조색1 4 2 6 3" xfId="11707"/>
    <cellStyle name="40% - 강조색1 4 2 6 3 2" xfId="11708"/>
    <cellStyle name="40% - 강조색1 4 2 6 3 3" xfId="11709"/>
    <cellStyle name="40% - 강조색1 4 2 6 4" xfId="11710"/>
    <cellStyle name="40% - 강조색1 4 2 6 5" xfId="11711"/>
    <cellStyle name="40% - 강조색1 4 2 7" xfId="11712"/>
    <cellStyle name="40% - 강조색1 4 2 7 2" xfId="11713"/>
    <cellStyle name="40% - 강조색1 4 2 7 2 2" xfId="11714"/>
    <cellStyle name="40% - 강조색1 4 2 7 2 3" xfId="11715"/>
    <cellStyle name="40% - 강조색1 4 2 7 3" xfId="11716"/>
    <cellStyle name="40% - 강조색1 4 2 7 4" xfId="11717"/>
    <cellStyle name="40% - 강조색1 4 2 8" xfId="11718"/>
    <cellStyle name="40% - 강조색1 4 2 8 2" xfId="11719"/>
    <cellStyle name="40% - 강조색1 4 2 8 3" xfId="11720"/>
    <cellStyle name="40% - 강조색1 4 2 9" xfId="11721"/>
    <cellStyle name="40% - 강조색1 4 3" xfId="11722"/>
    <cellStyle name="40% - 강조색1 4 3 10" xfId="11723"/>
    <cellStyle name="40% - 강조색1 4 3 2" xfId="11724"/>
    <cellStyle name="40% - 강조색1 4 3 2 2" xfId="11725"/>
    <cellStyle name="40% - 강조색1 4 3 2 2 2" xfId="11726"/>
    <cellStyle name="40% - 강조색1 4 3 2 2 2 2" xfId="11727"/>
    <cellStyle name="40% - 강조색1 4 3 2 2 2 2 2" xfId="11728"/>
    <cellStyle name="40% - 강조색1 4 3 2 2 2 2 3" xfId="11729"/>
    <cellStyle name="40% - 강조색1 4 3 2 2 2 3" xfId="11730"/>
    <cellStyle name="40% - 강조색1 4 3 2 2 2 4" xfId="11731"/>
    <cellStyle name="40% - 강조색1 4 3 2 2 3" xfId="11732"/>
    <cellStyle name="40% - 강조색1 4 3 2 2 3 2" xfId="11733"/>
    <cellStyle name="40% - 강조색1 4 3 2 2 3 3" xfId="11734"/>
    <cellStyle name="40% - 강조색1 4 3 2 2 4" xfId="11735"/>
    <cellStyle name="40% - 강조색1 4 3 2 2 5" xfId="11736"/>
    <cellStyle name="40% - 강조색1 4 3 2 3" xfId="11737"/>
    <cellStyle name="40% - 강조색1 4 3 2 3 2" xfId="11738"/>
    <cellStyle name="40% - 강조색1 4 3 2 3 2 2" xfId="11739"/>
    <cellStyle name="40% - 강조색1 4 3 2 3 2 2 2" xfId="11740"/>
    <cellStyle name="40% - 강조색1 4 3 2 3 2 2 3" xfId="11741"/>
    <cellStyle name="40% - 강조색1 4 3 2 3 2 3" xfId="11742"/>
    <cellStyle name="40% - 강조색1 4 3 2 3 2 4" xfId="11743"/>
    <cellStyle name="40% - 강조색1 4 3 2 3 3" xfId="11744"/>
    <cellStyle name="40% - 강조색1 4 3 2 3 3 2" xfId="11745"/>
    <cellStyle name="40% - 강조색1 4 3 2 3 3 3" xfId="11746"/>
    <cellStyle name="40% - 강조색1 4 3 2 3 4" xfId="11747"/>
    <cellStyle name="40% - 강조색1 4 3 2 3 5" xfId="11748"/>
    <cellStyle name="40% - 강조색1 4 3 2 4" xfId="11749"/>
    <cellStyle name="40% - 강조색1 4 3 2 4 2" xfId="11750"/>
    <cellStyle name="40% - 강조색1 4 3 2 4 2 2" xfId="11751"/>
    <cellStyle name="40% - 강조색1 4 3 2 4 2 3" xfId="11752"/>
    <cellStyle name="40% - 강조색1 4 3 2 4 3" xfId="11753"/>
    <cellStyle name="40% - 강조색1 4 3 2 4 4" xfId="11754"/>
    <cellStyle name="40% - 강조색1 4 3 2 5" xfId="11755"/>
    <cellStyle name="40% - 강조색1 4 3 2 5 2" xfId="11756"/>
    <cellStyle name="40% - 강조색1 4 3 2 5 3" xfId="11757"/>
    <cellStyle name="40% - 강조색1 4 3 2 6" xfId="11758"/>
    <cellStyle name="40% - 강조색1 4 3 2 7" xfId="11759"/>
    <cellStyle name="40% - 강조색1 4 3 3" xfId="11760"/>
    <cellStyle name="40% - 강조색1 4 3 3 2" xfId="11761"/>
    <cellStyle name="40% - 강조색1 4 3 3 2 2" xfId="11762"/>
    <cellStyle name="40% - 강조색1 4 3 3 2 2 2" xfId="11763"/>
    <cellStyle name="40% - 강조색1 4 3 3 2 2 2 2" xfId="11764"/>
    <cellStyle name="40% - 강조색1 4 3 3 2 2 2 3" xfId="11765"/>
    <cellStyle name="40% - 강조색1 4 3 3 2 2 3" xfId="11766"/>
    <cellStyle name="40% - 강조색1 4 3 3 2 2 4" xfId="11767"/>
    <cellStyle name="40% - 강조색1 4 3 3 2 3" xfId="11768"/>
    <cellStyle name="40% - 강조색1 4 3 3 2 3 2" xfId="11769"/>
    <cellStyle name="40% - 강조색1 4 3 3 2 3 3" xfId="11770"/>
    <cellStyle name="40% - 강조색1 4 3 3 2 4" xfId="11771"/>
    <cellStyle name="40% - 강조색1 4 3 3 2 5" xfId="11772"/>
    <cellStyle name="40% - 강조색1 4 3 3 3" xfId="11773"/>
    <cellStyle name="40% - 강조색1 4 3 3 3 2" xfId="11774"/>
    <cellStyle name="40% - 강조색1 4 3 3 3 2 2" xfId="11775"/>
    <cellStyle name="40% - 강조색1 4 3 3 3 2 2 2" xfId="11776"/>
    <cellStyle name="40% - 강조색1 4 3 3 3 2 2 3" xfId="11777"/>
    <cellStyle name="40% - 강조색1 4 3 3 3 2 3" xfId="11778"/>
    <cellStyle name="40% - 강조색1 4 3 3 3 2 4" xfId="11779"/>
    <cellStyle name="40% - 강조색1 4 3 3 3 3" xfId="11780"/>
    <cellStyle name="40% - 강조색1 4 3 3 3 3 2" xfId="11781"/>
    <cellStyle name="40% - 강조색1 4 3 3 3 3 3" xfId="11782"/>
    <cellStyle name="40% - 강조색1 4 3 3 3 4" xfId="11783"/>
    <cellStyle name="40% - 강조색1 4 3 3 3 5" xfId="11784"/>
    <cellStyle name="40% - 강조색1 4 3 3 4" xfId="11785"/>
    <cellStyle name="40% - 강조색1 4 3 3 4 2" xfId="11786"/>
    <cellStyle name="40% - 강조색1 4 3 3 4 2 2" xfId="11787"/>
    <cellStyle name="40% - 강조색1 4 3 3 4 2 3" xfId="11788"/>
    <cellStyle name="40% - 강조색1 4 3 3 4 3" xfId="11789"/>
    <cellStyle name="40% - 강조색1 4 3 3 4 4" xfId="11790"/>
    <cellStyle name="40% - 강조색1 4 3 3 5" xfId="11791"/>
    <cellStyle name="40% - 강조색1 4 3 3 5 2" xfId="11792"/>
    <cellStyle name="40% - 강조색1 4 3 3 5 3" xfId="11793"/>
    <cellStyle name="40% - 강조색1 4 3 3 6" xfId="11794"/>
    <cellStyle name="40% - 강조색1 4 3 3 7" xfId="11795"/>
    <cellStyle name="40% - 강조색1 4 3 4" xfId="11796"/>
    <cellStyle name="40% - 강조색1 4 3 4 2" xfId="11797"/>
    <cellStyle name="40% - 강조색1 4 3 4 2 2" xfId="11798"/>
    <cellStyle name="40% - 강조색1 4 3 4 2 2 2" xfId="11799"/>
    <cellStyle name="40% - 강조색1 4 3 4 2 2 3" xfId="11800"/>
    <cellStyle name="40% - 강조색1 4 3 4 2 3" xfId="11801"/>
    <cellStyle name="40% - 강조색1 4 3 4 2 4" xfId="11802"/>
    <cellStyle name="40% - 강조색1 4 3 4 3" xfId="11803"/>
    <cellStyle name="40% - 강조색1 4 3 4 3 2" xfId="11804"/>
    <cellStyle name="40% - 강조색1 4 3 4 3 3" xfId="11805"/>
    <cellStyle name="40% - 강조색1 4 3 4 4" xfId="11806"/>
    <cellStyle name="40% - 강조색1 4 3 4 5" xfId="11807"/>
    <cellStyle name="40% - 강조색1 4 3 5" xfId="11808"/>
    <cellStyle name="40% - 강조색1 4 3 5 2" xfId="11809"/>
    <cellStyle name="40% - 강조색1 4 3 5 2 2" xfId="11810"/>
    <cellStyle name="40% - 강조색1 4 3 5 2 2 2" xfId="11811"/>
    <cellStyle name="40% - 강조색1 4 3 5 2 2 3" xfId="11812"/>
    <cellStyle name="40% - 강조색1 4 3 5 2 3" xfId="11813"/>
    <cellStyle name="40% - 강조색1 4 3 5 2 4" xfId="11814"/>
    <cellStyle name="40% - 강조색1 4 3 5 3" xfId="11815"/>
    <cellStyle name="40% - 강조색1 4 3 5 3 2" xfId="11816"/>
    <cellStyle name="40% - 강조색1 4 3 5 3 3" xfId="11817"/>
    <cellStyle name="40% - 강조색1 4 3 5 4" xfId="11818"/>
    <cellStyle name="40% - 강조색1 4 3 5 5" xfId="11819"/>
    <cellStyle name="40% - 강조색1 4 3 6" xfId="11820"/>
    <cellStyle name="40% - 강조색1 4 3 6 2" xfId="11821"/>
    <cellStyle name="40% - 강조색1 4 3 6 2 2" xfId="11822"/>
    <cellStyle name="40% - 강조색1 4 3 6 2 2 2" xfId="11823"/>
    <cellStyle name="40% - 강조색1 4 3 6 2 2 3" xfId="11824"/>
    <cellStyle name="40% - 강조색1 4 3 6 2 3" xfId="11825"/>
    <cellStyle name="40% - 강조색1 4 3 6 2 4" xfId="11826"/>
    <cellStyle name="40% - 강조색1 4 3 6 3" xfId="11827"/>
    <cellStyle name="40% - 강조색1 4 3 6 3 2" xfId="11828"/>
    <cellStyle name="40% - 강조색1 4 3 6 3 3" xfId="11829"/>
    <cellStyle name="40% - 강조색1 4 3 6 4" xfId="11830"/>
    <cellStyle name="40% - 강조색1 4 3 6 5" xfId="11831"/>
    <cellStyle name="40% - 강조색1 4 3 7" xfId="11832"/>
    <cellStyle name="40% - 강조색1 4 3 7 2" xfId="11833"/>
    <cellStyle name="40% - 강조색1 4 3 7 2 2" xfId="11834"/>
    <cellStyle name="40% - 강조색1 4 3 7 2 3" xfId="11835"/>
    <cellStyle name="40% - 강조색1 4 3 7 3" xfId="11836"/>
    <cellStyle name="40% - 강조색1 4 3 7 4" xfId="11837"/>
    <cellStyle name="40% - 강조색1 4 3 8" xfId="11838"/>
    <cellStyle name="40% - 강조색1 4 3 8 2" xfId="11839"/>
    <cellStyle name="40% - 강조색1 4 3 8 3" xfId="11840"/>
    <cellStyle name="40% - 강조색1 4 3 9" xfId="11841"/>
    <cellStyle name="40% - 강조색1 4 4" xfId="11842"/>
    <cellStyle name="40% - 강조색1 4 4 10" xfId="11843"/>
    <cellStyle name="40% - 강조색1 4 4 2" xfId="11844"/>
    <cellStyle name="40% - 강조색1 4 4 2 2" xfId="11845"/>
    <cellStyle name="40% - 강조색1 4 4 2 2 2" xfId="11846"/>
    <cellStyle name="40% - 강조색1 4 4 2 2 2 2" xfId="11847"/>
    <cellStyle name="40% - 강조색1 4 4 2 2 2 2 2" xfId="11848"/>
    <cellStyle name="40% - 강조색1 4 4 2 2 2 2 3" xfId="11849"/>
    <cellStyle name="40% - 강조색1 4 4 2 2 2 3" xfId="11850"/>
    <cellStyle name="40% - 강조색1 4 4 2 2 2 4" xfId="11851"/>
    <cellStyle name="40% - 강조색1 4 4 2 2 3" xfId="11852"/>
    <cellStyle name="40% - 강조색1 4 4 2 2 3 2" xfId="11853"/>
    <cellStyle name="40% - 강조색1 4 4 2 2 3 3" xfId="11854"/>
    <cellStyle name="40% - 강조색1 4 4 2 2 4" xfId="11855"/>
    <cellStyle name="40% - 강조색1 4 4 2 2 5" xfId="11856"/>
    <cellStyle name="40% - 강조색1 4 4 2 3" xfId="11857"/>
    <cellStyle name="40% - 강조색1 4 4 2 3 2" xfId="11858"/>
    <cellStyle name="40% - 강조색1 4 4 2 3 2 2" xfId="11859"/>
    <cellStyle name="40% - 강조색1 4 4 2 3 2 2 2" xfId="11860"/>
    <cellStyle name="40% - 강조색1 4 4 2 3 2 2 3" xfId="11861"/>
    <cellStyle name="40% - 강조색1 4 4 2 3 2 3" xfId="11862"/>
    <cellStyle name="40% - 강조색1 4 4 2 3 2 4" xfId="11863"/>
    <cellStyle name="40% - 강조색1 4 4 2 3 3" xfId="11864"/>
    <cellStyle name="40% - 강조색1 4 4 2 3 3 2" xfId="11865"/>
    <cellStyle name="40% - 강조색1 4 4 2 3 3 3" xfId="11866"/>
    <cellStyle name="40% - 강조색1 4 4 2 3 4" xfId="11867"/>
    <cellStyle name="40% - 강조색1 4 4 2 3 5" xfId="11868"/>
    <cellStyle name="40% - 강조색1 4 4 2 4" xfId="11869"/>
    <cellStyle name="40% - 강조색1 4 4 2 4 2" xfId="11870"/>
    <cellStyle name="40% - 강조색1 4 4 2 4 2 2" xfId="11871"/>
    <cellStyle name="40% - 강조색1 4 4 2 4 2 3" xfId="11872"/>
    <cellStyle name="40% - 강조색1 4 4 2 4 3" xfId="11873"/>
    <cellStyle name="40% - 강조색1 4 4 2 4 4" xfId="11874"/>
    <cellStyle name="40% - 강조색1 4 4 2 5" xfId="11875"/>
    <cellStyle name="40% - 강조색1 4 4 2 5 2" xfId="11876"/>
    <cellStyle name="40% - 강조색1 4 4 2 5 3" xfId="11877"/>
    <cellStyle name="40% - 강조색1 4 4 2 6" xfId="11878"/>
    <cellStyle name="40% - 강조색1 4 4 2 7" xfId="11879"/>
    <cellStyle name="40% - 강조색1 4 4 3" xfId="11880"/>
    <cellStyle name="40% - 강조색1 4 4 3 2" xfId="11881"/>
    <cellStyle name="40% - 강조색1 4 4 3 2 2" xfId="11882"/>
    <cellStyle name="40% - 강조색1 4 4 3 2 2 2" xfId="11883"/>
    <cellStyle name="40% - 강조색1 4 4 3 2 2 2 2" xfId="11884"/>
    <cellStyle name="40% - 강조색1 4 4 3 2 2 2 3" xfId="11885"/>
    <cellStyle name="40% - 강조색1 4 4 3 2 2 3" xfId="11886"/>
    <cellStyle name="40% - 강조색1 4 4 3 2 2 4" xfId="11887"/>
    <cellStyle name="40% - 강조색1 4 4 3 2 3" xfId="11888"/>
    <cellStyle name="40% - 강조색1 4 4 3 2 3 2" xfId="11889"/>
    <cellStyle name="40% - 강조색1 4 4 3 2 3 3" xfId="11890"/>
    <cellStyle name="40% - 강조색1 4 4 3 2 4" xfId="11891"/>
    <cellStyle name="40% - 강조색1 4 4 3 2 5" xfId="11892"/>
    <cellStyle name="40% - 강조색1 4 4 3 3" xfId="11893"/>
    <cellStyle name="40% - 강조색1 4 4 3 3 2" xfId="11894"/>
    <cellStyle name="40% - 강조색1 4 4 3 3 2 2" xfId="11895"/>
    <cellStyle name="40% - 강조색1 4 4 3 3 2 2 2" xfId="11896"/>
    <cellStyle name="40% - 강조색1 4 4 3 3 2 2 3" xfId="11897"/>
    <cellStyle name="40% - 강조색1 4 4 3 3 2 3" xfId="11898"/>
    <cellStyle name="40% - 강조색1 4 4 3 3 2 4" xfId="11899"/>
    <cellStyle name="40% - 강조색1 4 4 3 3 3" xfId="11900"/>
    <cellStyle name="40% - 강조색1 4 4 3 3 3 2" xfId="11901"/>
    <cellStyle name="40% - 강조색1 4 4 3 3 3 3" xfId="11902"/>
    <cellStyle name="40% - 강조색1 4 4 3 3 4" xfId="11903"/>
    <cellStyle name="40% - 강조색1 4 4 3 3 5" xfId="11904"/>
    <cellStyle name="40% - 강조색1 4 4 3 4" xfId="11905"/>
    <cellStyle name="40% - 강조색1 4 4 3 4 2" xfId="11906"/>
    <cellStyle name="40% - 강조색1 4 4 3 4 2 2" xfId="11907"/>
    <cellStyle name="40% - 강조색1 4 4 3 4 2 3" xfId="11908"/>
    <cellStyle name="40% - 강조색1 4 4 3 4 3" xfId="11909"/>
    <cellStyle name="40% - 강조색1 4 4 3 4 4" xfId="11910"/>
    <cellStyle name="40% - 강조색1 4 4 3 5" xfId="11911"/>
    <cellStyle name="40% - 강조색1 4 4 3 5 2" xfId="11912"/>
    <cellStyle name="40% - 강조색1 4 4 3 5 3" xfId="11913"/>
    <cellStyle name="40% - 강조색1 4 4 3 6" xfId="11914"/>
    <cellStyle name="40% - 강조색1 4 4 3 7" xfId="11915"/>
    <cellStyle name="40% - 강조색1 4 4 4" xfId="11916"/>
    <cellStyle name="40% - 강조색1 4 4 4 2" xfId="11917"/>
    <cellStyle name="40% - 강조색1 4 4 4 2 2" xfId="11918"/>
    <cellStyle name="40% - 강조색1 4 4 4 2 2 2" xfId="11919"/>
    <cellStyle name="40% - 강조색1 4 4 4 2 2 3" xfId="11920"/>
    <cellStyle name="40% - 강조색1 4 4 4 2 3" xfId="11921"/>
    <cellStyle name="40% - 강조색1 4 4 4 2 4" xfId="11922"/>
    <cellStyle name="40% - 강조색1 4 4 4 3" xfId="11923"/>
    <cellStyle name="40% - 강조색1 4 4 4 3 2" xfId="11924"/>
    <cellStyle name="40% - 강조색1 4 4 4 3 3" xfId="11925"/>
    <cellStyle name="40% - 강조색1 4 4 4 4" xfId="11926"/>
    <cellStyle name="40% - 강조색1 4 4 4 5" xfId="11927"/>
    <cellStyle name="40% - 강조색1 4 4 5" xfId="11928"/>
    <cellStyle name="40% - 강조색1 4 4 5 2" xfId="11929"/>
    <cellStyle name="40% - 강조색1 4 4 5 2 2" xfId="11930"/>
    <cellStyle name="40% - 강조색1 4 4 5 2 2 2" xfId="11931"/>
    <cellStyle name="40% - 강조색1 4 4 5 2 2 3" xfId="11932"/>
    <cellStyle name="40% - 강조색1 4 4 5 2 3" xfId="11933"/>
    <cellStyle name="40% - 강조색1 4 4 5 2 4" xfId="11934"/>
    <cellStyle name="40% - 강조색1 4 4 5 3" xfId="11935"/>
    <cellStyle name="40% - 강조색1 4 4 5 3 2" xfId="11936"/>
    <cellStyle name="40% - 강조색1 4 4 5 3 3" xfId="11937"/>
    <cellStyle name="40% - 강조색1 4 4 5 4" xfId="11938"/>
    <cellStyle name="40% - 강조색1 4 4 5 5" xfId="11939"/>
    <cellStyle name="40% - 강조색1 4 4 6" xfId="11940"/>
    <cellStyle name="40% - 강조색1 4 4 6 2" xfId="11941"/>
    <cellStyle name="40% - 강조색1 4 4 6 2 2" xfId="11942"/>
    <cellStyle name="40% - 강조색1 4 4 6 2 2 2" xfId="11943"/>
    <cellStyle name="40% - 강조색1 4 4 6 2 2 3" xfId="11944"/>
    <cellStyle name="40% - 강조색1 4 4 6 2 3" xfId="11945"/>
    <cellStyle name="40% - 강조색1 4 4 6 2 4" xfId="11946"/>
    <cellStyle name="40% - 강조색1 4 4 6 3" xfId="11947"/>
    <cellStyle name="40% - 강조색1 4 4 6 3 2" xfId="11948"/>
    <cellStyle name="40% - 강조색1 4 4 6 3 3" xfId="11949"/>
    <cellStyle name="40% - 강조색1 4 4 6 4" xfId="11950"/>
    <cellStyle name="40% - 강조색1 4 4 6 5" xfId="11951"/>
    <cellStyle name="40% - 강조색1 4 4 7" xfId="11952"/>
    <cellStyle name="40% - 강조색1 4 4 7 2" xfId="11953"/>
    <cellStyle name="40% - 강조색1 4 4 7 2 2" xfId="11954"/>
    <cellStyle name="40% - 강조색1 4 4 7 2 3" xfId="11955"/>
    <cellStyle name="40% - 강조색1 4 4 7 3" xfId="11956"/>
    <cellStyle name="40% - 강조색1 4 4 7 4" xfId="11957"/>
    <cellStyle name="40% - 강조색1 4 4 8" xfId="11958"/>
    <cellStyle name="40% - 강조색1 4 4 8 2" xfId="11959"/>
    <cellStyle name="40% - 강조색1 4 4 8 3" xfId="11960"/>
    <cellStyle name="40% - 강조색1 4 4 9" xfId="11961"/>
    <cellStyle name="40% - 강조색1 4 5" xfId="11962"/>
    <cellStyle name="40% - 강조색1 4 5 2" xfId="11963"/>
    <cellStyle name="40% - 강조색1 4 5 2 2" xfId="11964"/>
    <cellStyle name="40% - 강조색1 4 5 2 2 2" xfId="11965"/>
    <cellStyle name="40% - 강조색1 4 5 2 2 2 2" xfId="11966"/>
    <cellStyle name="40% - 강조색1 4 5 2 2 2 3" xfId="11967"/>
    <cellStyle name="40% - 강조색1 4 5 2 2 3" xfId="11968"/>
    <cellStyle name="40% - 강조색1 4 5 2 2 4" xfId="11969"/>
    <cellStyle name="40% - 강조색1 4 5 2 3" xfId="11970"/>
    <cellStyle name="40% - 강조색1 4 5 2 3 2" xfId="11971"/>
    <cellStyle name="40% - 강조색1 4 5 2 3 3" xfId="11972"/>
    <cellStyle name="40% - 강조색1 4 5 2 4" xfId="11973"/>
    <cellStyle name="40% - 강조색1 4 5 2 5" xfId="11974"/>
    <cellStyle name="40% - 강조색1 4 5 3" xfId="11975"/>
    <cellStyle name="40% - 강조색1 4 5 3 2" xfId="11976"/>
    <cellStyle name="40% - 강조색1 4 5 3 2 2" xfId="11977"/>
    <cellStyle name="40% - 강조색1 4 5 3 2 2 2" xfId="11978"/>
    <cellStyle name="40% - 강조색1 4 5 3 2 2 3" xfId="11979"/>
    <cellStyle name="40% - 강조색1 4 5 3 2 3" xfId="11980"/>
    <cellStyle name="40% - 강조색1 4 5 3 2 4" xfId="11981"/>
    <cellStyle name="40% - 강조색1 4 5 3 3" xfId="11982"/>
    <cellStyle name="40% - 강조색1 4 5 3 3 2" xfId="11983"/>
    <cellStyle name="40% - 강조색1 4 5 3 3 3" xfId="11984"/>
    <cellStyle name="40% - 강조색1 4 5 3 4" xfId="11985"/>
    <cellStyle name="40% - 강조색1 4 5 3 5" xfId="11986"/>
    <cellStyle name="40% - 강조색1 4 5 4" xfId="11987"/>
    <cellStyle name="40% - 강조색1 4 5 4 2" xfId="11988"/>
    <cellStyle name="40% - 강조색1 4 5 4 2 2" xfId="11989"/>
    <cellStyle name="40% - 강조색1 4 5 4 2 3" xfId="11990"/>
    <cellStyle name="40% - 강조색1 4 5 4 3" xfId="11991"/>
    <cellStyle name="40% - 강조색1 4 5 4 4" xfId="11992"/>
    <cellStyle name="40% - 강조색1 4 5 5" xfId="11993"/>
    <cellStyle name="40% - 강조색1 4 5 5 2" xfId="11994"/>
    <cellStyle name="40% - 강조색1 4 5 5 3" xfId="11995"/>
    <cellStyle name="40% - 강조색1 4 5 6" xfId="11996"/>
    <cellStyle name="40% - 강조색1 4 5 7" xfId="11997"/>
    <cellStyle name="40% - 강조색1 4 6" xfId="11998"/>
    <cellStyle name="40% - 강조색1 4 6 2" xfId="11999"/>
    <cellStyle name="40% - 강조색1 4 6 2 2" xfId="12000"/>
    <cellStyle name="40% - 강조색1 4 6 2 2 2" xfId="12001"/>
    <cellStyle name="40% - 강조색1 4 6 2 2 2 2" xfId="12002"/>
    <cellStyle name="40% - 강조색1 4 6 2 2 2 3" xfId="12003"/>
    <cellStyle name="40% - 강조색1 4 6 2 2 3" xfId="12004"/>
    <cellStyle name="40% - 강조색1 4 6 2 2 4" xfId="12005"/>
    <cellStyle name="40% - 강조색1 4 6 2 3" xfId="12006"/>
    <cellStyle name="40% - 강조색1 4 6 2 3 2" xfId="12007"/>
    <cellStyle name="40% - 강조색1 4 6 2 3 3" xfId="12008"/>
    <cellStyle name="40% - 강조색1 4 6 2 4" xfId="12009"/>
    <cellStyle name="40% - 강조색1 4 6 2 5" xfId="12010"/>
    <cellStyle name="40% - 강조색1 4 6 3" xfId="12011"/>
    <cellStyle name="40% - 강조색1 4 6 3 2" xfId="12012"/>
    <cellStyle name="40% - 강조색1 4 6 3 2 2" xfId="12013"/>
    <cellStyle name="40% - 강조색1 4 6 3 2 2 2" xfId="12014"/>
    <cellStyle name="40% - 강조색1 4 6 3 2 2 3" xfId="12015"/>
    <cellStyle name="40% - 강조색1 4 6 3 2 3" xfId="12016"/>
    <cellStyle name="40% - 강조색1 4 6 3 2 4" xfId="12017"/>
    <cellStyle name="40% - 강조색1 4 6 3 3" xfId="12018"/>
    <cellStyle name="40% - 강조색1 4 6 3 3 2" xfId="12019"/>
    <cellStyle name="40% - 강조색1 4 6 3 3 3" xfId="12020"/>
    <cellStyle name="40% - 강조색1 4 6 3 4" xfId="12021"/>
    <cellStyle name="40% - 강조색1 4 6 3 5" xfId="12022"/>
    <cellStyle name="40% - 강조색1 4 6 4" xfId="12023"/>
    <cellStyle name="40% - 강조색1 4 6 4 2" xfId="12024"/>
    <cellStyle name="40% - 강조색1 4 6 4 2 2" xfId="12025"/>
    <cellStyle name="40% - 강조색1 4 6 4 2 3" xfId="12026"/>
    <cellStyle name="40% - 강조색1 4 6 4 3" xfId="12027"/>
    <cellStyle name="40% - 강조색1 4 6 4 4" xfId="12028"/>
    <cellStyle name="40% - 강조색1 4 6 5" xfId="12029"/>
    <cellStyle name="40% - 강조색1 4 6 5 2" xfId="12030"/>
    <cellStyle name="40% - 강조색1 4 6 5 3" xfId="12031"/>
    <cellStyle name="40% - 강조색1 4 6 6" xfId="12032"/>
    <cellStyle name="40% - 강조색1 4 6 7" xfId="12033"/>
    <cellStyle name="40% - 강조색1 4 7" xfId="12034"/>
    <cellStyle name="40% - 강조색1 4 7 2" xfId="12035"/>
    <cellStyle name="40% - 강조색1 4 7 2 2" xfId="12036"/>
    <cellStyle name="40% - 강조색1 4 7 2 2 2" xfId="12037"/>
    <cellStyle name="40% - 강조색1 4 7 2 2 3" xfId="12038"/>
    <cellStyle name="40% - 강조색1 4 7 2 3" xfId="12039"/>
    <cellStyle name="40% - 강조색1 4 7 2 4" xfId="12040"/>
    <cellStyle name="40% - 강조색1 4 7 3" xfId="12041"/>
    <cellStyle name="40% - 강조색1 4 7 3 2" xfId="12042"/>
    <cellStyle name="40% - 강조색1 4 7 3 3" xfId="12043"/>
    <cellStyle name="40% - 강조색1 4 7 4" xfId="12044"/>
    <cellStyle name="40% - 강조색1 4 7 5" xfId="12045"/>
    <cellStyle name="40% - 강조색1 4 8" xfId="12046"/>
    <cellStyle name="40% - 강조색1 4 8 2" xfId="12047"/>
    <cellStyle name="40% - 강조색1 4 8 2 2" xfId="12048"/>
    <cellStyle name="40% - 강조색1 4 8 2 2 2" xfId="12049"/>
    <cellStyle name="40% - 강조색1 4 8 2 2 3" xfId="12050"/>
    <cellStyle name="40% - 강조색1 4 8 2 3" xfId="12051"/>
    <cellStyle name="40% - 강조색1 4 8 2 4" xfId="12052"/>
    <cellStyle name="40% - 강조색1 4 8 3" xfId="12053"/>
    <cellStyle name="40% - 강조색1 4 8 3 2" xfId="12054"/>
    <cellStyle name="40% - 강조색1 4 8 3 3" xfId="12055"/>
    <cellStyle name="40% - 강조색1 4 8 4" xfId="12056"/>
    <cellStyle name="40% - 강조색1 4 8 5" xfId="12057"/>
    <cellStyle name="40% - 강조색1 4 9" xfId="12058"/>
    <cellStyle name="40% - 강조색1 4 9 2" xfId="12059"/>
    <cellStyle name="40% - 강조색1 4 9 2 2" xfId="12060"/>
    <cellStyle name="40% - 강조색1 4 9 2 2 2" xfId="12061"/>
    <cellStyle name="40% - 강조색1 4 9 2 2 3" xfId="12062"/>
    <cellStyle name="40% - 강조색1 4 9 2 3" xfId="12063"/>
    <cellStyle name="40% - 강조색1 4 9 2 4" xfId="12064"/>
    <cellStyle name="40% - 강조색1 4 9 3" xfId="12065"/>
    <cellStyle name="40% - 강조색1 4 9 3 2" xfId="12066"/>
    <cellStyle name="40% - 강조색1 4 9 3 3" xfId="12067"/>
    <cellStyle name="40% - 강조색1 4 9 4" xfId="12068"/>
    <cellStyle name="40% - 강조색1 4 9 5" xfId="12069"/>
    <cellStyle name="40% - 강조색1 40" xfId="12070"/>
    <cellStyle name="40% - 강조색1 41" xfId="12071"/>
    <cellStyle name="40% - 강조색1 42" xfId="12072"/>
    <cellStyle name="40% - 강조색1 43" xfId="12073"/>
    <cellStyle name="40% - 강조색1 44" xfId="12074"/>
    <cellStyle name="40% - 강조색1 45" xfId="12075"/>
    <cellStyle name="40% - 강조색1 46" xfId="12076"/>
    <cellStyle name="40% - 강조색1 47" xfId="12077"/>
    <cellStyle name="40% - 강조색1 48" xfId="12078"/>
    <cellStyle name="40% - 강조색1 49" xfId="12079"/>
    <cellStyle name="40% - 강조색1 5" xfId="12080"/>
    <cellStyle name="40% - 강조색1 5 10" xfId="12081"/>
    <cellStyle name="40% - 강조색1 5 11" xfId="12082"/>
    <cellStyle name="40% - 강조색1 5 2" xfId="12083"/>
    <cellStyle name="40% - 강조색1 5 2 2" xfId="12084"/>
    <cellStyle name="40% - 강조색1 5 2 2 2" xfId="12085"/>
    <cellStyle name="40% - 강조색1 5 2 2 2 2" xfId="12086"/>
    <cellStyle name="40% - 강조색1 5 2 2 2 2 2" xfId="12087"/>
    <cellStyle name="40% - 강조색1 5 2 2 2 2 3" xfId="12088"/>
    <cellStyle name="40% - 강조색1 5 2 2 2 3" xfId="12089"/>
    <cellStyle name="40% - 강조색1 5 2 2 2 4" xfId="12090"/>
    <cellStyle name="40% - 강조색1 5 2 2 3" xfId="12091"/>
    <cellStyle name="40% - 강조색1 5 2 2 3 2" xfId="12092"/>
    <cellStyle name="40% - 강조색1 5 2 2 3 3" xfId="12093"/>
    <cellStyle name="40% - 강조색1 5 2 2 4" xfId="12094"/>
    <cellStyle name="40% - 강조색1 5 2 2 5" xfId="12095"/>
    <cellStyle name="40% - 강조색1 5 2 3" xfId="12096"/>
    <cellStyle name="40% - 강조색1 5 2 3 2" xfId="12097"/>
    <cellStyle name="40% - 강조색1 5 2 3 2 2" xfId="12098"/>
    <cellStyle name="40% - 강조색1 5 2 3 2 2 2" xfId="12099"/>
    <cellStyle name="40% - 강조색1 5 2 3 2 2 3" xfId="12100"/>
    <cellStyle name="40% - 강조색1 5 2 3 2 3" xfId="12101"/>
    <cellStyle name="40% - 강조색1 5 2 3 2 4" xfId="12102"/>
    <cellStyle name="40% - 강조색1 5 2 3 3" xfId="12103"/>
    <cellStyle name="40% - 강조색1 5 2 3 3 2" xfId="12104"/>
    <cellStyle name="40% - 강조색1 5 2 3 3 3" xfId="12105"/>
    <cellStyle name="40% - 강조색1 5 2 3 4" xfId="12106"/>
    <cellStyle name="40% - 강조색1 5 2 3 5" xfId="12107"/>
    <cellStyle name="40% - 강조색1 5 2 4" xfId="12108"/>
    <cellStyle name="40% - 강조색1 5 2 4 2" xfId="12109"/>
    <cellStyle name="40% - 강조색1 5 2 4 2 2" xfId="12110"/>
    <cellStyle name="40% - 강조색1 5 2 4 2 3" xfId="12111"/>
    <cellStyle name="40% - 강조색1 5 2 4 3" xfId="12112"/>
    <cellStyle name="40% - 강조색1 5 2 4 4" xfId="12113"/>
    <cellStyle name="40% - 강조색1 5 2 5" xfId="12114"/>
    <cellStyle name="40% - 강조색1 5 2 5 2" xfId="12115"/>
    <cellStyle name="40% - 강조색1 5 2 5 3" xfId="12116"/>
    <cellStyle name="40% - 강조색1 5 2 6" xfId="12117"/>
    <cellStyle name="40% - 강조색1 5 2 7" xfId="12118"/>
    <cellStyle name="40% - 강조색1 5 3" xfId="12119"/>
    <cellStyle name="40% - 강조색1 5 3 2" xfId="12120"/>
    <cellStyle name="40% - 강조색1 5 3 2 2" xfId="12121"/>
    <cellStyle name="40% - 강조색1 5 3 2 2 2" xfId="12122"/>
    <cellStyle name="40% - 강조색1 5 3 2 2 2 2" xfId="12123"/>
    <cellStyle name="40% - 강조색1 5 3 2 2 2 3" xfId="12124"/>
    <cellStyle name="40% - 강조색1 5 3 2 2 3" xfId="12125"/>
    <cellStyle name="40% - 강조색1 5 3 2 2 4" xfId="12126"/>
    <cellStyle name="40% - 강조색1 5 3 2 3" xfId="12127"/>
    <cellStyle name="40% - 강조색1 5 3 2 3 2" xfId="12128"/>
    <cellStyle name="40% - 강조색1 5 3 2 3 3" xfId="12129"/>
    <cellStyle name="40% - 강조색1 5 3 2 4" xfId="12130"/>
    <cellStyle name="40% - 강조색1 5 3 2 5" xfId="12131"/>
    <cellStyle name="40% - 강조색1 5 3 3" xfId="12132"/>
    <cellStyle name="40% - 강조색1 5 3 3 2" xfId="12133"/>
    <cellStyle name="40% - 강조색1 5 3 3 2 2" xfId="12134"/>
    <cellStyle name="40% - 강조색1 5 3 3 2 2 2" xfId="12135"/>
    <cellStyle name="40% - 강조색1 5 3 3 2 2 3" xfId="12136"/>
    <cellStyle name="40% - 강조색1 5 3 3 2 3" xfId="12137"/>
    <cellStyle name="40% - 강조색1 5 3 3 2 4" xfId="12138"/>
    <cellStyle name="40% - 강조색1 5 3 3 3" xfId="12139"/>
    <cellStyle name="40% - 강조색1 5 3 3 3 2" xfId="12140"/>
    <cellStyle name="40% - 강조색1 5 3 3 3 3" xfId="12141"/>
    <cellStyle name="40% - 강조색1 5 3 3 4" xfId="12142"/>
    <cellStyle name="40% - 강조색1 5 3 3 5" xfId="12143"/>
    <cellStyle name="40% - 강조색1 5 3 4" xfId="12144"/>
    <cellStyle name="40% - 강조색1 5 3 4 2" xfId="12145"/>
    <cellStyle name="40% - 강조색1 5 3 4 2 2" xfId="12146"/>
    <cellStyle name="40% - 강조색1 5 3 4 2 3" xfId="12147"/>
    <cellStyle name="40% - 강조색1 5 3 4 3" xfId="12148"/>
    <cellStyle name="40% - 강조색1 5 3 4 4" xfId="12149"/>
    <cellStyle name="40% - 강조색1 5 3 5" xfId="12150"/>
    <cellStyle name="40% - 강조색1 5 3 5 2" xfId="12151"/>
    <cellStyle name="40% - 강조색1 5 3 5 3" xfId="12152"/>
    <cellStyle name="40% - 강조색1 5 3 6" xfId="12153"/>
    <cellStyle name="40% - 강조색1 5 3 7" xfId="12154"/>
    <cellStyle name="40% - 강조색1 5 4" xfId="12155"/>
    <cellStyle name="40% - 강조색1 5 4 2" xfId="12156"/>
    <cellStyle name="40% - 강조색1 5 4 2 2" xfId="12157"/>
    <cellStyle name="40% - 강조색1 5 4 2 2 2" xfId="12158"/>
    <cellStyle name="40% - 강조색1 5 4 2 2 3" xfId="12159"/>
    <cellStyle name="40% - 강조색1 5 4 2 3" xfId="12160"/>
    <cellStyle name="40% - 강조색1 5 4 2 4" xfId="12161"/>
    <cellStyle name="40% - 강조색1 5 4 3" xfId="12162"/>
    <cellStyle name="40% - 강조색1 5 4 3 2" xfId="12163"/>
    <cellStyle name="40% - 강조색1 5 4 3 3" xfId="12164"/>
    <cellStyle name="40% - 강조색1 5 4 4" xfId="12165"/>
    <cellStyle name="40% - 강조색1 5 4 5" xfId="12166"/>
    <cellStyle name="40% - 강조색1 5 5" xfId="12167"/>
    <cellStyle name="40% - 강조색1 5 5 2" xfId="12168"/>
    <cellStyle name="40% - 강조색1 5 5 2 2" xfId="12169"/>
    <cellStyle name="40% - 강조색1 5 5 2 2 2" xfId="12170"/>
    <cellStyle name="40% - 강조색1 5 5 2 2 3" xfId="12171"/>
    <cellStyle name="40% - 강조색1 5 5 2 3" xfId="12172"/>
    <cellStyle name="40% - 강조색1 5 5 2 4" xfId="12173"/>
    <cellStyle name="40% - 강조색1 5 5 3" xfId="12174"/>
    <cellStyle name="40% - 강조색1 5 5 3 2" xfId="12175"/>
    <cellStyle name="40% - 강조색1 5 5 3 3" xfId="12176"/>
    <cellStyle name="40% - 강조색1 5 5 4" xfId="12177"/>
    <cellStyle name="40% - 강조색1 5 5 5" xfId="12178"/>
    <cellStyle name="40% - 강조색1 5 6" xfId="12179"/>
    <cellStyle name="40% - 강조색1 5 6 2" xfId="12180"/>
    <cellStyle name="40% - 강조색1 5 6 2 2" xfId="12181"/>
    <cellStyle name="40% - 강조색1 5 6 2 2 2" xfId="12182"/>
    <cellStyle name="40% - 강조색1 5 6 2 2 3" xfId="12183"/>
    <cellStyle name="40% - 강조색1 5 6 2 3" xfId="12184"/>
    <cellStyle name="40% - 강조색1 5 6 2 4" xfId="12185"/>
    <cellStyle name="40% - 강조색1 5 6 3" xfId="12186"/>
    <cellStyle name="40% - 강조색1 5 6 3 2" xfId="12187"/>
    <cellStyle name="40% - 강조색1 5 6 3 3" xfId="12188"/>
    <cellStyle name="40% - 강조색1 5 6 4" xfId="12189"/>
    <cellStyle name="40% - 강조색1 5 6 5" xfId="12190"/>
    <cellStyle name="40% - 강조색1 5 7" xfId="12191"/>
    <cellStyle name="40% - 강조색1 5 7 2" xfId="12192"/>
    <cellStyle name="40% - 강조색1 5 7 2 2" xfId="12193"/>
    <cellStyle name="40% - 강조색1 5 7 2 3" xfId="12194"/>
    <cellStyle name="40% - 강조색1 5 7 3" xfId="12195"/>
    <cellStyle name="40% - 강조색1 5 7 4" xfId="12196"/>
    <cellStyle name="40% - 강조색1 5 8" xfId="12197"/>
    <cellStyle name="40% - 강조색1 5 8 2" xfId="12198"/>
    <cellStyle name="40% - 강조색1 5 8 3" xfId="12199"/>
    <cellStyle name="40% - 강조색1 5 9" xfId="12200"/>
    <cellStyle name="40% - 강조색1 50" xfId="12201"/>
    <cellStyle name="40% - 강조색1 51" xfId="12202"/>
    <cellStyle name="40% - 강조색1 52" xfId="12203"/>
    <cellStyle name="40% - 강조색1 53" xfId="12204"/>
    <cellStyle name="40% - 강조색1 54" xfId="12205"/>
    <cellStyle name="40% - 강조색1 55" xfId="12206"/>
    <cellStyle name="40% - 강조색1 56" xfId="12207"/>
    <cellStyle name="40% - 강조색1 57" xfId="12208"/>
    <cellStyle name="40% - 강조색1 58" xfId="12209"/>
    <cellStyle name="40% - 강조색1 59" xfId="12210"/>
    <cellStyle name="40% - 강조색1 6" xfId="12211"/>
    <cellStyle name="40% - 강조색1 6 10" xfId="12212"/>
    <cellStyle name="40% - 강조색1 6 2" xfId="12213"/>
    <cellStyle name="40% - 강조색1 6 2 2" xfId="12214"/>
    <cellStyle name="40% - 강조색1 6 2 2 2" xfId="12215"/>
    <cellStyle name="40% - 강조색1 6 2 2 2 2" xfId="12216"/>
    <cellStyle name="40% - 강조색1 6 2 2 2 2 2" xfId="12217"/>
    <cellStyle name="40% - 강조색1 6 2 2 2 2 3" xfId="12218"/>
    <cellStyle name="40% - 강조색1 6 2 2 2 3" xfId="12219"/>
    <cellStyle name="40% - 강조색1 6 2 2 2 4" xfId="12220"/>
    <cellStyle name="40% - 강조색1 6 2 2 3" xfId="12221"/>
    <cellStyle name="40% - 강조색1 6 2 2 3 2" xfId="12222"/>
    <cellStyle name="40% - 강조색1 6 2 2 3 3" xfId="12223"/>
    <cellStyle name="40% - 강조색1 6 2 2 4" xfId="12224"/>
    <cellStyle name="40% - 강조색1 6 2 2 5" xfId="12225"/>
    <cellStyle name="40% - 강조색1 6 2 3" xfId="12226"/>
    <cellStyle name="40% - 강조색1 6 2 3 2" xfId="12227"/>
    <cellStyle name="40% - 강조색1 6 2 3 2 2" xfId="12228"/>
    <cellStyle name="40% - 강조색1 6 2 3 2 2 2" xfId="12229"/>
    <cellStyle name="40% - 강조색1 6 2 3 2 2 3" xfId="12230"/>
    <cellStyle name="40% - 강조색1 6 2 3 2 3" xfId="12231"/>
    <cellStyle name="40% - 강조색1 6 2 3 2 4" xfId="12232"/>
    <cellStyle name="40% - 강조색1 6 2 3 3" xfId="12233"/>
    <cellStyle name="40% - 강조색1 6 2 3 3 2" xfId="12234"/>
    <cellStyle name="40% - 강조색1 6 2 3 3 3" xfId="12235"/>
    <cellStyle name="40% - 강조색1 6 2 3 4" xfId="12236"/>
    <cellStyle name="40% - 강조색1 6 2 3 5" xfId="12237"/>
    <cellStyle name="40% - 강조색1 6 2 4" xfId="12238"/>
    <cellStyle name="40% - 강조색1 6 2 4 2" xfId="12239"/>
    <cellStyle name="40% - 강조색1 6 2 4 2 2" xfId="12240"/>
    <cellStyle name="40% - 강조색1 6 2 4 2 3" xfId="12241"/>
    <cellStyle name="40% - 강조색1 6 2 4 3" xfId="12242"/>
    <cellStyle name="40% - 강조색1 6 2 4 4" xfId="12243"/>
    <cellStyle name="40% - 강조색1 6 2 5" xfId="12244"/>
    <cellStyle name="40% - 강조색1 6 2 5 2" xfId="12245"/>
    <cellStyle name="40% - 강조색1 6 2 5 3" xfId="12246"/>
    <cellStyle name="40% - 강조색1 6 2 6" xfId="12247"/>
    <cellStyle name="40% - 강조색1 6 2 7" xfId="12248"/>
    <cellStyle name="40% - 강조색1 6 3" xfId="12249"/>
    <cellStyle name="40% - 강조색1 6 3 2" xfId="12250"/>
    <cellStyle name="40% - 강조색1 6 3 2 2" xfId="12251"/>
    <cellStyle name="40% - 강조색1 6 3 2 2 2" xfId="12252"/>
    <cellStyle name="40% - 강조색1 6 3 2 2 2 2" xfId="12253"/>
    <cellStyle name="40% - 강조색1 6 3 2 2 2 3" xfId="12254"/>
    <cellStyle name="40% - 강조색1 6 3 2 2 3" xfId="12255"/>
    <cellStyle name="40% - 강조색1 6 3 2 2 4" xfId="12256"/>
    <cellStyle name="40% - 강조색1 6 3 2 3" xfId="12257"/>
    <cellStyle name="40% - 강조색1 6 3 2 3 2" xfId="12258"/>
    <cellStyle name="40% - 강조색1 6 3 2 3 3" xfId="12259"/>
    <cellStyle name="40% - 강조색1 6 3 2 4" xfId="12260"/>
    <cellStyle name="40% - 강조색1 6 3 2 5" xfId="12261"/>
    <cellStyle name="40% - 강조색1 6 3 3" xfId="12262"/>
    <cellStyle name="40% - 강조색1 6 3 3 2" xfId="12263"/>
    <cellStyle name="40% - 강조색1 6 3 3 2 2" xfId="12264"/>
    <cellStyle name="40% - 강조색1 6 3 3 2 2 2" xfId="12265"/>
    <cellStyle name="40% - 강조색1 6 3 3 2 2 3" xfId="12266"/>
    <cellStyle name="40% - 강조색1 6 3 3 2 3" xfId="12267"/>
    <cellStyle name="40% - 강조색1 6 3 3 2 4" xfId="12268"/>
    <cellStyle name="40% - 강조색1 6 3 3 3" xfId="12269"/>
    <cellStyle name="40% - 강조색1 6 3 3 3 2" xfId="12270"/>
    <cellStyle name="40% - 강조색1 6 3 3 3 3" xfId="12271"/>
    <cellStyle name="40% - 강조색1 6 3 3 4" xfId="12272"/>
    <cellStyle name="40% - 강조색1 6 3 3 5" xfId="12273"/>
    <cellStyle name="40% - 강조색1 6 3 4" xfId="12274"/>
    <cellStyle name="40% - 강조색1 6 3 4 2" xfId="12275"/>
    <cellStyle name="40% - 강조색1 6 3 4 2 2" xfId="12276"/>
    <cellStyle name="40% - 강조색1 6 3 4 2 3" xfId="12277"/>
    <cellStyle name="40% - 강조색1 6 3 4 3" xfId="12278"/>
    <cellStyle name="40% - 강조색1 6 3 4 4" xfId="12279"/>
    <cellStyle name="40% - 강조색1 6 3 5" xfId="12280"/>
    <cellStyle name="40% - 강조색1 6 3 5 2" xfId="12281"/>
    <cellStyle name="40% - 강조색1 6 3 5 3" xfId="12282"/>
    <cellStyle name="40% - 강조색1 6 3 6" xfId="12283"/>
    <cellStyle name="40% - 강조색1 6 3 7" xfId="12284"/>
    <cellStyle name="40% - 강조색1 6 4" xfId="12285"/>
    <cellStyle name="40% - 강조색1 6 4 2" xfId="12286"/>
    <cellStyle name="40% - 강조색1 6 4 2 2" xfId="12287"/>
    <cellStyle name="40% - 강조색1 6 4 2 2 2" xfId="12288"/>
    <cellStyle name="40% - 강조색1 6 4 2 2 3" xfId="12289"/>
    <cellStyle name="40% - 강조색1 6 4 2 3" xfId="12290"/>
    <cellStyle name="40% - 강조색1 6 4 2 4" xfId="12291"/>
    <cellStyle name="40% - 강조색1 6 4 3" xfId="12292"/>
    <cellStyle name="40% - 강조색1 6 4 3 2" xfId="12293"/>
    <cellStyle name="40% - 강조색1 6 4 3 3" xfId="12294"/>
    <cellStyle name="40% - 강조색1 6 4 4" xfId="12295"/>
    <cellStyle name="40% - 강조색1 6 4 5" xfId="12296"/>
    <cellStyle name="40% - 강조색1 6 5" xfId="12297"/>
    <cellStyle name="40% - 강조색1 6 5 2" xfId="12298"/>
    <cellStyle name="40% - 강조색1 6 5 2 2" xfId="12299"/>
    <cellStyle name="40% - 강조색1 6 5 2 2 2" xfId="12300"/>
    <cellStyle name="40% - 강조색1 6 5 2 2 3" xfId="12301"/>
    <cellStyle name="40% - 강조색1 6 5 2 3" xfId="12302"/>
    <cellStyle name="40% - 강조색1 6 5 2 4" xfId="12303"/>
    <cellStyle name="40% - 강조색1 6 5 3" xfId="12304"/>
    <cellStyle name="40% - 강조색1 6 5 3 2" xfId="12305"/>
    <cellStyle name="40% - 강조색1 6 5 3 3" xfId="12306"/>
    <cellStyle name="40% - 강조색1 6 5 4" xfId="12307"/>
    <cellStyle name="40% - 강조색1 6 5 5" xfId="12308"/>
    <cellStyle name="40% - 강조색1 6 6" xfId="12309"/>
    <cellStyle name="40% - 강조색1 6 6 2" xfId="12310"/>
    <cellStyle name="40% - 강조색1 6 6 2 2" xfId="12311"/>
    <cellStyle name="40% - 강조색1 6 6 2 2 2" xfId="12312"/>
    <cellStyle name="40% - 강조색1 6 6 2 2 3" xfId="12313"/>
    <cellStyle name="40% - 강조색1 6 6 2 3" xfId="12314"/>
    <cellStyle name="40% - 강조색1 6 6 2 4" xfId="12315"/>
    <cellStyle name="40% - 강조색1 6 6 3" xfId="12316"/>
    <cellStyle name="40% - 강조색1 6 6 3 2" xfId="12317"/>
    <cellStyle name="40% - 강조색1 6 6 3 3" xfId="12318"/>
    <cellStyle name="40% - 강조색1 6 6 4" xfId="12319"/>
    <cellStyle name="40% - 강조색1 6 6 5" xfId="12320"/>
    <cellStyle name="40% - 강조색1 6 7" xfId="12321"/>
    <cellStyle name="40% - 강조색1 6 7 2" xfId="12322"/>
    <cellStyle name="40% - 강조색1 6 7 2 2" xfId="12323"/>
    <cellStyle name="40% - 강조색1 6 7 2 3" xfId="12324"/>
    <cellStyle name="40% - 강조색1 6 7 3" xfId="12325"/>
    <cellStyle name="40% - 강조색1 6 7 4" xfId="12326"/>
    <cellStyle name="40% - 강조색1 6 8" xfId="12327"/>
    <cellStyle name="40% - 강조색1 6 8 2" xfId="12328"/>
    <cellStyle name="40% - 강조색1 6 8 3" xfId="12329"/>
    <cellStyle name="40% - 강조색1 6 9" xfId="12330"/>
    <cellStyle name="40% - 강조색1 60" xfId="12331"/>
    <cellStyle name="40% - 강조색1 61" xfId="12332"/>
    <cellStyle name="40% - 강조색1 62" xfId="12333"/>
    <cellStyle name="40% - 강조색1 63" xfId="12334"/>
    <cellStyle name="40% - 강조색1 64" xfId="12335"/>
    <cellStyle name="40% - 강조색1 65" xfId="12336"/>
    <cellStyle name="40% - 강조색1 66" xfId="12337"/>
    <cellStyle name="40% - 강조색1 67" xfId="12338"/>
    <cellStyle name="40% - 강조색1 68" xfId="12339"/>
    <cellStyle name="40% - 강조색1 69" xfId="12340"/>
    <cellStyle name="40% - 강조색1 7" xfId="12341"/>
    <cellStyle name="40% - 강조색1 7 10" xfId="12342"/>
    <cellStyle name="40% - 강조색1 7 2" xfId="12343"/>
    <cellStyle name="40% - 강조색1 7 2 2" xfId="12344"/>
    <cellStyle name="40% - 강조색1 7 2 2 2" xfId="12345"/>
    <cellStyle name="40% - 강조색1 7 2 2 2 2" xfId="12346"/>
    <cellStyle name="40% - 강조색1 7 2 2 2 2 2" xfId="12347"/>
    <cellStyle name="40% - 강조색1 7 2 2 2 2 3" xfId="12348"/>
    <cellStyle name="40% - 강조색1 7 2 2 2 3" xfId="12349"/>
    <cellStyle name="40% - 강조색1 7 2 2 2 4" xfId="12350"/>
    <cellStyle name="40% - 강조색1 7 2 2 3" xfId="12351"/>
    <cellStyle name="40% - 강조색1 7 2 2 3 2" xfId="12352"/>
    <cellStyle name="40% - 강조색1 7 2 2 3 3" xfId="12353"/>
    <cellStyle name="40% - 강조색1 7 2 2 4" xfId="12354"/>
    <cellStyle name="40% - 강조색1 7 2 2 5" xfId="12355"/>
    <cellStyle name="40% - 강조색1 7 2 3" xfId="12356"/>
    <cellStyle name="40% - 강조색1 7 2 3 2" xfId="12357"/>
    <cellStyle name="40% - 강조색1 7 2 3 2 2" xfId="12358"/>
    <cellStyle name="40% - 강조색1 7 2 3 2 2 2" xfId="12359"/>
    <cellStyle name="40% - 강조색1 7 2 3 2 2 3" xfId="12360"/>
    <cellStyle name="40% - 강조색1 7 2 3 2 3" xfId="12361"/>
    <cellStyle name="40% - 강조색1 7 2 3 2 4" xfId="12362"/>
    <cellStyle name="40% - 강조색1 7 2 3 3" xfId="12363"/>
    <cellStyle name="40% - 강조색1 7 2 3 3 2" xfId="12364"/>
    <cellStyle name="40% - 강조색1 7 2 3 3 3" xfId="12365"/>
    <cellStyle name="40% - 강조색1 7 2 3 4" xfId="12366"/>
    <cellStyle name="40% - 강조색1 7 2 3 5" xfId="12367"/>
    <cellStyle name="40% - 강조색1 7 2 4" xfId="12368"/>
    <cellStyle name="40% - 강조색1 7 2 4 2" xfId="12369"/>
    <cellStyle name="40% - 강조색1 7 2 4 2 2" xfId="12370"/>
    <cellStyle name="40% - 강조색1 7 2 4 2 3" xfId="12371"/>
    <cellStyle name="40% - 강조색1 7 2 4 3" xfId="12372"/>
    <cellStyle name="40% - 강조색1 7 2 4 4" xfId="12373"/>
    <cellStyle name="40% - 강조색1 7 2 5" xfId="12374"/>
    <cellStyle name="40% - 강조색1 7 2 5 2" xfId="12375"/>
    <cellStyle name="40% - 강조색1 7 2 5 3" xfId="12376"/>
    <cellStyle name="40% - 강조색1 7 2 6" xfId="12377"/>
    <cellStyle name="40% - 강조색1 7 2 7" xfId="12378"/>
    <cellStyle name="40% - 강조색1 7 3" xfId="12379"/>
    <cellStyle name="40% - 강조색1 7 3 2" xfId="12380"/>
    <cellStyle name="40% - 강조색1 7 3 2 2" xfId="12381"/>
    <cellStyle name="40% - 강조색1 7 3 2 2 2" xfId="12382"/>
    <cellStyle name="40% - 강조색1 7 3 2 2 2 2" xfId="12383"/>
    <cellStyle name="40% - 강조색1 7 3 2 2 2 3" xfId="12384"/>
    <cellStyle name="40% - 강조색1 7 3 2 2 3" xfId="12385"/>
    <cellStyle name="40% - 강조색1 7 3 2 2 4" xfId="12386"/>
    <cellStyle name="40% - 강조색1 7 3 2 3" xfId="12387"/>
    <cellStyle name="40% - 강조색1 7 3 2 3 2" xfId="12388"/>
    <cellStyle name="40% - 강조색1 7 3 2 3 3" xfId="12389"/>
    <cellStyle name="40% - 강조색1 7 3 2 4" xfId="12390"/>
    <cellStyle name="40% - 강조색1 7 3 2 5" xfId="12391"/>
    <cellStyle name="40% - 강조색1 7 3 3" xfId="12392"/>
    <cellStyle name="40% - 강조색1 7 3 3 2" xfId="12393"/>
    <cellStyle name="40% - 강조색1 7 3 3 2 2" xfId="12394"/>
    <cellStyle name="40% - 강조색1 7 3 3 2 2 2" xfId="12395"/>
    <cellStyle name="40% - 강조색1 7 3 3 2 2 3" xfId="12396"/>
    <cellStyle name="40% - 강조색1 7 3 3 2 3" xfId="12397"/>
    <cellStyle name="40% - 강조색1 7 3 3 2 4" xfId="12398"/>
    <cellStyle name="40% - 강조색1 7 3 3 3" xfId="12399"/>
    <cellStyle name="40% - 강조색1 7 3 3 3 2" xfId="12400"/>
    <cellStyle name="40% - 강조색1 7 3 3 3 3" xfId="12401"/>
    <cellStyle name="40% - 강조색1 7 3 3 4" xfId="12402"/>
    <cellStyle name="40% - 강조색1 7 3 3 5" xfId="12403"/>
    <cellStyle name="40% - 강조색1 7 3 4" xfId="12404"/>
    <cellStyle name="40% - 강조색1 7 3 4 2" xfId="12405"/>
    <cellStyle name="40% - 강조색1 7 3 4 2 2" xfId="12406"/>
    <cellStyle name="40% - 강조색1 7 3 4 2 3" xfId="12407"/>
    <cellStyle name="40% - 강조색1 7 3 4 3" xfId="12408"/>
    <cellStyle name="40% - 강조색1 7 3 4 4" xfId="12409"/>
    <cellStyle name="40% - 강조색1 7 3 5" xfId="12410"/>
    <cellStyle name="40% - 강조색1 7 3 5 2" xfId="12411"/>
    <cellStyle name="40% - 강조색1 7 3 5 3" xfId="12412"/>
    <cellStyle name="40% - 강조색1 7 3 6" xfId="12413"/>
    <cellStyle name="40% - 강조색1 7 3 7" xfId="12414"/>
    <cellStyle name="40% - 강조색1 7 4" xfId="12415"/>
    <cellStyle name="40% - 강조색1 7 4 2" xfId="12416"/>
    <cellStyle name="40% - 강조색1 7 4 2 2" xfId="12417"/>
    <cellStyle name="40% - 강조색1 7 4 2 2 2" xfId="12418"/>
    <cellStyle name="40% - 강조색1 7 4 2 2 3" xfId="12419"/>
    <cellStyle name="40% - 강조색1 7 4 2 3" xfId="12420"/>
    <cellStyle name="40% - 강조색1 7 4 2 4" xfId="12421"/>
    <cellStyle name="40% - 강조색1 7 4 3" xfId="12422"/>
    <cellStyle name="40% - 강조색1 7 4 3 2" xfId="12423"/>
    <cellStyle name="40% - 강조색1 7 4 3 3" xfId="12424"/>
    <cellStyle name="40% - 강조색1 7 4 4" xfId="12425"/>
    <cellStyle name="40% - 강조색1 7 4 5" xfId="12426"/>
    <cellStyle name="40% - 강조색1 7 5" xfId="12427"/>
    <cellStyle name="40% - 강조색1 7 5 2" xfId="12428"/>
    <cellStyle name="40% - 강조색1 7 5 2 2" xfId="12429"/>
    <cellStyle name="40% - 강조색1 7 5 2 2 2" xfId="12430"/>
    <cellStyle name="40% - 강조색1 7 5 2 2 3" xfId="12431"/>
    <cellStyle name="40% - 강조색1 7 5 2 3" xfId="12432"/>
    <cellStyle name="40% - 강조색1 7 5 2 4" xfId="12433"/>
    <cellStyle name="40% - 강조색1 7 5 3" xfId="12434"/>
    <cellStyle name="40% - 강조색1 7 5 3 2" xfId="12435"/>
    <cellStyle name="40% - 강조색1 7 5 3 3" xfId="12436"/>
    <cellStyle name="40% - 강조색1 7 5 4" xfId="12437"/>
    <cellStyle name="40% - 강조색1 7 5 5" xfId="12438"/>
    <cellStyle name="40% - 강조색1 7 6" xfId="12439"/>
    <cellStyle name="40% - 강조색1 7 6 2" xfId="12440"/>
    <cellStyle name="40% - 강조색1 7 6 2 2" xfId="12441"/>
    <cellStyle name="40% - 강조색1 7 6 2 2 2" xfId="12442"/>
    <cellStyle name="40% - 강조색1 7 6 2 2 3" xfId="12443"/>
    <cellStyle name="40% - 강조색1 7 6 2 3" xfId="12444"/>
    <cellStyle name="40% - 강조색1 7 6 2 4" xfId="12445"/>
    <cellStyle name="40% - 강조색1 7 6 3" xfId="12446"/>
    <cellStyle name="40% - 강조색1 7 6 3 2" xfId="12447"/>
    <cellStyle name="40% - 강조색1 7 6 3 3" xfId="12448"/>
    <cellStyle name="40% - 강조색1 7 6 4" xfId="12449"/>
    <cellStyle name="40% - 강조색1 7 6 5" xfId="12450"/>
    <cellStyle name="40% - 강조색1 7 7" xfId="12451"/>
    <cellStyle name="40% - 강조색1 7 7 2" xfId="12452"/>
    <cellStyle name="40% - 강조색1 7 7 2 2" xfId="12453"/>
    <cellStyle name="40% - 강조색1 7 7 2 3" xfId="12454"/>
    <cellStyle name="40% - 강조색1 7 7 3" xfId="12455"/>
    <cellStyle name="40% - 강조색1 7 7 4" xfId="12456"/>
    <cellStyle name="40% - 강조색1 7 8" xfId="12457"/>
    <cellStyle name="40% - 강조색1 7 8 2" xfId="12458"/>
    <cellStyle name="40% - 강조색1 7 8 3" xfId="12459"/>
    <cellStyle name="40% - 강조색1 7 9" xfId="12460"/>
    <cellStyle name="40% - 강조색1 8" xfId="12461"/>
    <cellStyle name="40% - 강조색1 8 2" xfId="12462"/>
    <cellStyle name="40% - 강조색1 8 2 2" xfId="12463"/>
    <cellStyle name="40% - 강조색1 8 2 2 2" xfId="12464"/>
    <cellStyle name="40% - 강조색1 8 2 2 2 2" xfId="12465"/>
    <cellStyle name="40% - 강조색1 8 2 2 2 3" xfId="12466"/>
    <cellStyle name="40% - 강조색1 8 2 2 3" xfId="12467"/>
    <cellStyle name="40% - 강조색1 8 2 2 4" xfId="12468"/>
    <cellStyle name="40% - 강조색1 8 2 3" xfId="12469"/>
    <cellStyle name="40% - 강조색1 8 2 3 2" xfId="12470"/>
    <cellStyle name="40% - 강조색1 8 2 3 3" xfId="12471"/>
    <cellStyle name="40% - 강조색1 8 2 4" xfId="12472"/>
    <cellStyle name="40% - 강조색1 8 2 5" xfId="12473"/>
    <cellStyle name="40% - 강조색1 8 3" xfId="12474"/>
    <cellStyle name="40% - 강조색1 8 3 2" xfId="12475"/>
    <cellStyle name="40% - 강조색1 8 3 2 2" xfId="12476"/>
    <cellStyle name="40% - 강조색1 8 3 2 2 2" xfId="12477"/>
    <cellStyle name="40% - 강조색1 8 3 2 2 3" xfId="12478"/>
    <cellStyle name="40% - 강조색1 8 3 2 3" xfId="12479"/>
    <cellStyle name="40% - 강조색1 8 3 2 4" xfId="12480"/>
    <cellStyle name="40% - 강조색1 8 3 3" xfId="12481"/>
    <cellStyle name="40% - 강조색1 8 3 3 2" xfId="12482"/>
    <cellStyle name="40% - 강조색1 8 3 3 3" xfId="12483"/>
    <cellStyle name="40% - 강조색1 8 3 4" xfId="12484"/>
    <cellStyle name="40% - 강조색1 8 3 5" xfId="12485"/>
    <cellStyle name="40% - 강조색1 8 4" xfId="12486"/>
    <cellStyle name="40% - 강조색1 8 4 2" xfId="12487"/>
    <cellStyle name="40% - 강조색1 8 4 2 2" xfId="12488"/>
    <cellStyle name="40% - 강조색1 8 4 2 3" xfId="12489"/>
    <cellStyle name="40% - 강조색1 8 4 3" xfId="12490"/>
    <cellStyle name="40% - 강조색1 8 4 4" xfId="12491"/>
    <cellStyle name="40% - 강조색1 8 5" xfId="12492"/>
    <cellStyle name="40% - 강조색1 8 5 2" xfId="12493"/>
    <cellStyle name="40% - 강조색1 8 5 3" xfId="12494"/>
    <cellStyle name="40% - 강조색1 8 6" xfId="12495"/>
    <cellStyle name="40% - 강조색1 8 7" xfId="12496"/>
    <cellStyle name="40% - 강조색1 9" xfId="12497"/>
    <cellStyle name="40% - 강조색1 9 2" xfId="12498"/>
    <cellStyle name="40% - 강조색1 9 2 2" xfId="12499"/>
    <cellStyle name="40% - 강조색1 9 2 2 2" xfId="12500"/>
    <cellStyle name="40% - 강조색1 9 2 2 2 2" xfId="12501"/>
    <cellStyle name="40% - 강조색1 9 2 2 2 3" xfId="12502"/>
    <cellStyle name="40% - 강조색1 9 2 2 3" xfId="12503"/>
    <cellStyle name="40% - 강조색1 9 2 2 4" xfId="12504"/>
    <cellStyle name="40% - 강조색1 9 2 3" xfId="12505"/>
    <cellStyle name="40% - 강조색1 9 2 3 2" xfId="12506"/>
    <cellStyle name="40% - 강조색1 9 2 3 3" xfId="12507"/>
    <cellStyle name="40% - 강조색1 9 2 4" xfId="12508"/>
    <cellStyle name="40% - 강조색1 9 2 5" xfId="12509"/>
    <cellStyle name="40% - 강조색1 9 3" xfId="12510"/>
    <cellStyle name="40% - 강조색1 9 3 2" xfId="12511"/>
    <cellStyle name="40% - 강조색1 9 3 2 2" xfId="12512"/>
    <cellStyle name="40% - 강조색1 9 3 2 2 2" xfId="12513"/>
    <cellStyle name="40% - 강조색1 9 3 2 2 3" xfId="12514"/>
    <cellStyle name="40% - 강조색1 9 3 2 3" xfId="12515"/>
    <cellStyle name="40% - 강조색1 9 3 2 4" xfId="12516"/>
    <cellStyle name="40% - 강조색1 9 3 3" xfId="12517"/>
    <cellStyle name="40% - 강조색1 9 3 3 2" xfId="12518"/>
    <cellStyle name="40% - 강조색1 9 3 3 3" xfId="12519"/>
    <cellStyle name="40% - 강조색1 9 3 4" xfId="12520"/>
    <cellStyle name="40% - 강조색1 9 3 5" xfId="12521"/>
    <cellStyle name="40% - 강조색1 9 4" xfId="12522"/>
    <cellStyle name="40% - 강조색1 9 4 2" xfId="12523"/>
    <cellStyle name="40% - 강조색1 9 4 2 2" xfId="12524"/>
    <cellStyle name="40% - 강조색1 9 4 2 3" xfId="12525"/>
    <cellStyle name="40% - 강조색1 9 4 3" xfId="12526"/>
    <cellStyle name="40% - 강조색1 9 4 4" xfId="12527"/>
    <cellStyle name="40% - 강조색1 9 5" xfId="12528"/>
    <cellStyle name="40% - 강조색1 9 5 2" xfId="12529"/>
    <cellStyle name="40% - 강조색1 9 5 3" xfId="12530"/>
    <cellStyle name="40% - 강조색1 9 6" xfId="12531"/>
    <cellStyle name="40% - 강조색1 9 7" xfId="12532"/>
    <cellStyle name="40% - 강조색2 10" xfId="12533"/>
    <cellStyle name="40% - 강조색2 10 2" xfId="12534"/>
    <cellStyle name="40% - 강조색2 10 2 2" xfId="12535"/>
    <cellStyle name="40% - 강조색2 10 2 2 2" xfId="12536"/>
    <cellStyle name="40% - 강조색2 10 2 2 2 2" xfId="12537"/>
    <cellStyle name="40% - 강조색2 10 2 2 2 3" xfId="12538"/>
    <cellStyle name="40% - 강조색2 10 2 2 3" xfId="12539"/>
    <cellStyle name="40% - 강조색2 10 2 2 4" xfId="12540"/>
    <cellStyle name="40% - 강조색2 10 2 3" xfId="12541"/>
    <cellStyle name="40% - 강조색2 10 2 3 2" xfId="12542"/>
    <cellStyle name="40% - 강조색2 10 2 3 3" xfId="12543"/>
    <cellStyle name="40% - 강조색2 10 2 4" xfId="12544"/>
    <cellStyle name="40% - 강조색2 10 2 5" xfId="12545"/>
    <cellStyle name="40% - 강조색2 10 3" xfId="12546"/>
    <cellStyle name="40% - 강조색2 10 3 2" xfId="12547"/>
    <cellStyle name="40% - 강조색2 10 3 2 2" xfId="12548"/>
    <cellStyle name="40% - 강조색2 10 3 2 2 2" xfId="12549"/>
    <cellStyle name="40% - 강조색2 10 3 2 2 3" xfId="12550"/>
    <cellStyle name="40% - 강조색2 10 3 2 3" xfId="12551"/>
    <cellStyle name="40% - 강조색2 10 3 2 4" xfId="12552"/>
    <cellStyle name="40% - 강조색2 10 3 3" xfId="12553"/>
    <cellStyle name="40% - 강조색2 10 3 3 2" xfId="12554"/>
    <cellStyle name="40% - 강조색2 10 3 3 3" xfId="12555"/>
    <cellStyle name="40% - 강조색2 10 3 4" xfId="12556"/>
    <cellStyle name="40% - 강조색2 10 3 5" xfId="12557"/>
    <cellStyle name="40% - 강조색2 10 4" xfId="12558"/>
    <cellStyle name="40% - 강조색2 10 4 2" xfId="12559"/>
    <cellStyle name="40% - 강조색2 10 4 2 2" xfId="12560"/>
    <cellStyle name="40% - 강조색2 10 4 2 3" xfId="12561"/>
    <cellStyle name="40% - 강조색2 10 4 3" xfId="12562"/>
    <cellStyle name="40% - 강조색2 10 4 4" xfId="12563"/>
    <cellStyle name="40% - 강조색2 10 5" xfId="12564"/>
    <cellStyle name="40% - 강조색2 10 5 2" xfId="12565"/>
    <cellStyle name="40% - 강조색2 10 5 3" xfId="12566"/>
    <cellStyle name="40% - 강조색2 10 6" xfId="12567"/>
    <cellStyle name="40% - 강조색2 10 7" xfId="12568"/>
    <cellStyle name="40% - 강조색2 11" xfId="12569"/>
    <cellStyle name="40% - 강조색2 11 2" xfId="12570"/>
    <cellStyle name="40% - 강조색2 11 2 2" xfId="12571"/>
    <cellStyle name="40% - 강조색2 11 2 2 2" xfId="12572"/>
    <cellStyle name="40% - 강조색2 11 2 2 3" xfId="12573"/>
    <cellStyle name="40% - 강조색2 11 2 3" xfId="12574"/>
    <cellStyle name="40% - 강조색2 11 2 4" xfId="12575"/>
    <cellStyle name="40% - 강조색2 11 3" xfId="12576"/>
    <cellStyle name="40% - 강조색2 11 3 2" xfId="12577"/>
    <cellStyle name="40% - 강조색2 11 3 3" xfId="12578"/>
    <cellStyle name="40% - 강조색2 11 4" xfId="12579"/>
    <cellStyle name="40% - 강조색2 11 5" xfId="12580"/>
    <cellStyle name="40% - 강조색2 12" xfId="12581"/>
    <cellStyle name="40% - 강조색2 12 2" xfId="12582"/>
    <cellStyle name="40% - 강조색2 12 2 2" xfId="12583"/>
    <cellStyle name="40% - 강조색2 12 2 2 2" xfId="12584"/>
    <cellStyle name="40% - 강조색2 12 2 2 3" xfId="12585"/>
    <cellStyle name="40% - 강조색2 12 2 3" xfId="12586"/>
    <cellStyle name="40% - 강조색2 12 2 4" xfId="12587"/>
    <cellStyle name="40% - 강조색2 12 3" xfId="12588"/>
    <cellStyle name="40% - 강조색2 12 3 2" xfId="12589"/>
    <cellStyle name="40% - 강조색2 12 3 3" xfId="12590"/>
    <cellStyle name="40% - 강조색2 12 4" xfId="12591"/>
    <cellStyle name="40% - 강조색2 12 5" xfId="12592"/>
    <cellStyle name="40% - 강조색2 13" xfId="12593"/>
    <cellStyle name="40% - 강조색2 13 2" xfId="12594"/>
    <cellStyle name="40% - 강조색2 13 2 2" xfId="12595"/>
    <cellStyle name="40% - 강조색2 13 2 3" xfId="12596"/>
    <cellStyle name="40% - 강조색2 13 3" xfId="12597"/>
    <cellStyle name="40% - 강조색2 13 4" xfId="12598"/>
    <cellStyle name="40% - 강조색2 14" xfId="12599"/>
    <cellStyle name="40% - 강조색2 14 2" xfId="12600"/>
    <cellStyle name="40% - 강조색2 14 2 2" xfId="12601"/>
    <cellStyle name="40% - 강조색2 14 2 3" xfId="12602"/>
    <cellStyle name="40% - 강조색2 14 3" xfId="12603"/>
    <cellStyle name="40% - 강조색2 14 4" xfId="12604"/>
    <cellStyle name="40% - 강조색2 15" xfId="12605"/>
    <cellStyle name="40% - 강조색2 15 2" xfId="12606"/>
    <cellStyle name="40% - 강조색2 15 3" xfId="12607"/>
    <cellStyle name="40% - 강조색2 16" xfId="12608"/>
    <cellStyle name="40% - 강조색2 16 2" xfId="12609"/>
    <cellStyle name="40% - 강조색2 16 3" xfId="12610"/>
    <cellStyle name="40% - 강조색2 16 4" xfId="12611"/>
    <cellStyle name="40% - 강조색2 17" xfId="12612"/>
    <cellStyle name="40% - 강조색2 17 2" xfId="12613"/>
    <cellStyle name="40% - 강조색2 17 3" xfId="12614"/>
    <cellStyle name="40% - 강조색2 18" xfId="12615"/>
    <cellStyle name="40% - 강조색2 18 2" xfId="12616"/>
    <cellStyle name="40% - 강조색2 18 3" xfId="12617"/>
    <cellStyle name="40% - 강조색2 19" xfId="12618"/>
    <cellStyle name="40% - 강조색2 19 2" xfId="12619"/>
    <cellStyle name="40% - 강조색2 19 3" xfId="12620"/>
    <cellStyle name="40% - 강조색2 2" xfId="12621"/>
    <cellStyle name="40% - 강조색2 2 2" xfId="12622"/>
    <cellStyle name="40% - 강조색2 2 2 2" xfId="12623"/>
    <cellStyle name="40% - 강조색2 2 2 2 2" xfId="12624"/>
    <cellStyle name="40% - 강조색2 2 2 3" xfId="12625"/>
    <cellStyle name="40% - 강조색2 2 3" xfId="12626"/>
    <cellStyle name="40% - 강조색2 2 3 2" xfId="12627"/>
    <cellStyle name="40% - 강조색2 2 3 2 2" xfId="12628"/>
    <cellStyle name="40% - 강조색2 2 3 3" xfId="12629"/>
    <cellStyle name="40% - 강조색2 2 4" xfId="12630"/>
    <cellStyle name="40% - 강조색2 2 4 2" xfId="12631"/>
    <cellStyle name="40% - 강조색2 2 5" xfId="12632"/>
    <cellStyle name="40% - 강조색2 2 6" xfId="12633"/>
    <cellStyle name="40% - 강조색2 20" xfId="12634"/>
    <cellStyle name="40% - 강조색2 20 2" xfId="12635"/>
    <cellStyle name="40% - 강조색2 20 3" xfId="12636"/>
    <cellStyle name="40% - 강조색2 21" xfId="12637"/>
    <cellStyle name="40% - 강조색2 21 2" xfId="12638"/>
    <cellStyle name="40% - 강조색2 21 3" xfId="12639"/>
    <cellStyle name="40% - 강조색2 22" xfId="12640"/>
    <cellStyle name="40% - 강조색2 22 2" xfId="12641"/>
    <cellStyle name="40% - 강조색2 22 3" xfId="12642"/>
    <cellStyle name="40% - 강조색2 23" xfId="12643"/>
    <cellStyle name="40% - 강조색2 23 2" xfId="12644"/>
    <cellStyle name="40% - 강조색2 23 3" xfId="12645"/>
    <cellStyle name="40% - 강조색2 24" xfId="12646"/>
    <cellStyle name="40% - 강조색2 24 2" xfId="12647"/>
    <cellStyle name="40% - 강조색2 25" xfId="12648"/>
    <cellStyle name="40% - 강조색2 25 2" xfId="12649"/>
    <cellStyle name="40% - 강조색2 26" xfId="12650"/>
    <cellStyle name="40% - 강조색2 26 2" xfId="12651"/>
    <cellStyle name="40% - 강조색2 27" xfId="12652"/>
    <cellStyle name="40% - 강조색2 27 2" xfId="12653"/>
    <cellStyle name="40% - 강조색2 28" xfId="12654"/>
    <cellStyle name="40% - 강조색2 28 2" xfId="12655"/>
    <cellStyle name="40% - 강조색2 29" xfId="12656"/>
    <cellStyle name="40% - 강조색2 29 2" xfId="12657"/>
    <cellStyle name="40% - 강조색2 3" xfId="12658"/>
    <cellStyle name="40% - 강조색2 3 10" xfId="12659"/>
    <cellStyle name="40% - 강조색2 3 10 2" xfId="12660"/>
    <cellStyle name="40% - 강조색2 3 10 2 2" xfId="12661"/>
    <cellStyle name="40% - 강조색2 3 10 2 3" xfId="12662"/>
    <cellStyle name="40% - 강조색2 3 10 3" xfId="12663"/>
    <cellStyle name="40% - 강조색2 3 10 4" xfId="12664"/>
    <cellStyle name="40% - 강조색2 3 11" xfId="12665"/>
    <cellStyle name="40% - 강조색2 3 11 2" xfId="12666"/>
    <cellStyle name="40% - 강조색2 3 11 3" xfId="12667"/>
    <cellStyle name="40% - 강조색2 3 12" xfId="12668"/>
    <cellStyle name="40% - 강조색2 3 13" xfId="12669"/>
    <cellStyle name="40% - 강조색2 3 14" xfId="12670"/>
    <cellStyle name="40% - 강조색2 3 15" xfId="12671"/>
    <cellStyle name="40% - 강조색2 3 2" xfId="12672"/>
    <cellStyle name="40% - 강조색2 3 2 10" xfId="12673"/>
    <cellStyle name="40% - 강조색2 3 2 11" xfId="12674"/>
    <cellStyle name="40% - 강조색2 3 2 12" xfId="12675"/>
    <cellStyle name="40% - 강조색2 3 2 2" xfId="12676"/>
    <cellStyle name="40% - 강조색2 3 2 2 2" xfId="12677"/>
    <cellStyle name="40% - 강조색2 3 2 2 2 2" xfId="12678"/>
    <cellStyle name="40% - 강조색2 3 2 2 2 2 2" xfId="12679"/>
    <cellStyle name="40% - 강조색2 3 2 2 2 2 2 2" xfId="12680"/>
    <cellStyle name="40% - 강조색2 3 2 2 2 2 2 3" xfId="12681"/>
    <cellStyle name="40% - 강조색2 3 2 2 2 2 3" xfId="12682"/>
    <cellStyle name="40% - 강조색2 3 2 2 2 2 4" xfId="12683"/>
    <cellStyle name="40% - 강조색2 3 2 2 2 3" xfId="12684"/>
    <cellStyle name="40% - 강조색2 3 2 2 2 3 2" xfId="12685"/>
    <cellStyle name="40% - 강조색2 3 2 2 2 3 3" xfId="12686"/>
    <cellStyle name="40% - 강조색2 3 2 2 2 4" xfId="12687"/>
    <cellStyle name="40% - 강조색2 3 2 2 2 5" xfId="12688"/>
    <cellStyle name="40% - 강조색2 3 2 2 3" xfId="12689"/>
    <cellStyle name="40% - 강조색2 3 2 2 3 2" xfId="12690"/>
    <cellStyle name="40% - 강조색2 3 2 2 3 2 2" xfId="12691"/>
    <cellStyle name="40% - 강조색2 3 2 2 3 2 2 2" xfId="12692"/>
    <cellStyle name="40% - 강조색2 3 2 2 3 2 2 3" xfId="12693"/>
    <cellStyle name="40% - 강조색2 3 2 2 3 2 3" xfId="12694"/>
    <cellStyle name="40% - 강조색2 3 2 2 3 2 4" xfId="12695"/>
    <cellStyle name="40% - 강조색2 3 2 2 3 3" xfId="12696"/>
    <cellStyle name="40% - 강조색2 3 2 2 3 3 2" xfId="12697"/>
    <cellStyle name="40% - 강조색2 3 2 2 3 3 3" xfId="12698"/>
    <cellStyle name="40% - 강조색2 3 2 2 3 4" xfId="12699"/>
    <cellStyle name="40% - 강조색2 3 2 2 3 5" xfId="12700"/>
    <cellStyle name="40% - 강조색2 3 2 2 4" xfId="12701"/>
    <cellStyle name="40% - 강조색2 3 2 2 4 2" xfId="12702"/>
    <cellStyle name="40% - 강조색2 3 2 2 4 2 2" xfId="12703"/>
    <cellStyle name="40% - 강조색2 3 2 2 4 2 3" xfId="12704"/>
    <cellStyle name="40% - 강조색2 3 2 2 4 3" xfId="12705"/>
    <cellStyle name="40% - 강조색2 3 2 2 4 4" xfId="12706"/>
    <cellStyle name="40% - 강조색2 3 2 2 5" xfId="12707"/>
    <cellStyle name="40% - 강조색2 3 2 2 5 2" xfId="12708"/>
    <cellStyle name="40% - 강조색2 3 2 2 5 3" xfId="12709"/>
    <cellStyle name="40% - 강조색2 3 2 2 6" xfId="12710"/>
    <cellStyle name="40% - 강조색2 3 2 2 7" xfId="12711"/>
    <cellStyle name="40% - 강조색2 3 2 2 8" xfId="12712"/>
    <cellStyle name="40% - 강조색2 3 2 2 9" xfId="12713"/>
    <cellStyle name="40% - 강조색2 3 2 3" xfId="12714"/>
    <cellStyle name="40% - 강조색2 3 2 3 2" xfId="12715"/>
    <cellStyle name="40% - 강조색2 3 2 3 2 2" xfId="12716"/>
    <cellStyle name="40% - 강조색2 3 2 3 2 2 2" xfId="12717"/>
    <cellStyle name="40% - 강조색2 3 2 3 2 2 2 2" xfId="12718"/>
    <cellStyle name="40% - 강조색2 3 2 3 2 2 2 3" xfId="12719"/>
    <cellStyle name="40% - 강조색2 3 2 3 2 2 3" xfId="12720"/>
    <cellStyle name="40% - 강조색2 3 2 3 2 2 4" xfId="12721"/>
    <cellStyle name="40% - 강조색2 3 2 3 2 3" xfId="12722"/>
    <cellStyle name="40% - 강조색2 3 2 3 2 3 2" xfId="12723"/>
    <cellStyle name="40% - 강조색2 3 2 3 2 3 3" xfId="12724"/>
    <cellStyle name="40% - 강조색2 3 2 3 2 4" xfId="12725"/>
    <cellStyle name="40% - 강조색2 3 2 3 2 5" xfId="12726"/>
    <cellStyle name="40% - 강조색2 3 2 3 3" xfId="12727"/>
    <cellStyle name="40% - 강조색2 3 2 3 3 2" xfId="12728"/>
    <cellStyle name="40% - 강조색2 3 2 3 3 2 2" xfId="12729"/>
    <cellStyle name="40% - 강조색2 3 2 3 3 2 2 2" xfId="12730"/>
    <cellStyle name="40% - 강조색2 3 2 3 3 2 2 3" xfId="12731"/>
    <cellStyle name="40% - 강조색2 3 2 3 3 2 3" xfId="12732"/>
    <cellStyle name="40% - 강조색2 3 2 3 3 2 4" xfId="12733"/>
    <cellStyle name="40% - 강조색2 3 2 3 3 3" xfId="12734"/>
    <cellStyle name="40% - 강조색2 3 2 3 3 3 2" xfId="12735"/>
    <cellStyle name="40% - 강조색2 3 2 3 3 3 3" xfId="12736"/>
    <cellStyle name="40% - 강조색2 3 2 3 3 4" xfId="12737"/>
    <cellStyle name="40% - 강조색2 3 2 3 3 5" xfId="12738"/>
    <cellStyle name="40% - 강조색2 3 2 3 4" xfId="12739"/>
    <cellStyle name="40% - 강조색2 3 2 3 4 2" xfId="12740"/>
    <cellStyle name="40% - 강조색2 3 2 3 4 2 2" xfId="12741"/>
    <cellStyle name="40% - 강조색2 3 2 3 4 2 3" xfId="12742"/>
    <cellStyle name="40% - 강조색2 3 2 3 4 3" xfId="12743"/>
    <cellStyle name="40% - 강조색2 3 2 3 4 4" xfId="12744"/>
    <cellStyle name="40% - 강조색2 3 2 3 5" xfId="12745"/>
    <cellStyle name="40% - 강조색2 3 2 3 5 2" xfId="12746"/>
    <cellStyle name="40% - 강조색2 3 2 3 5 3" xfId="12747"/>
    <cellStyle name="40% - 강조색2 3 2 3 6" xfId="12748"/>
    <cellStyle name="40% - 강조색2 3 2 3 7" xfId="12749"/>
    <cellStyle name="40% - 강조색2 3 2 4" xfId="12750"/>
    <cellStyle name="40% - 강조색2 3 2 4 2" xfId="12751"/>
    <cellStyle name="40% - 강조색2 3 2 4 2 2" xfId="12752"/>
    <cellStyle name="40% - 강조색2 3 2 4 2 2 2" xfId="12753"/>
    <cellStyle name="40% - 강조색2 3 2 4 2 2 3" xfId="12754"/>
    <cellStyle name="40% - 강조색2 3 2 4 2 3" xfId="12755"/>
    <cellStyle name="40% - 강조색2 3 2 4 2 4" xfId="12756"/>
    <cellStyle name="40% - 강조색2 3 2 4 3" xfId="12757"/>
    <cellStyle name="40% - 강조색2 3 2 4 3 2" xfId="12758"/>
    <cellStyle name="40% - 강조색2 3 2 4 3 3" xfId="12759"/>
    <cellStyle name="40% - 강조색2 3 2 4 4" xfId="12760"/>
    <cellStyle name="40% - 강조색2 3 2 4 5" xfId="12761"/>
    <cellStyle name="40% - 강조색2 3 2 5" xfId="12762"/>
    <cellStyle name="40% - 강조색2 3 2 5 2" xfId="12763"/>
    <cellStyle name="40% - 강조색2 3 2 5 2 2" xfId="12764"/>
    <cellStyle name="40% - 강조색2 3 2 5 2 2 2" xfId="12765"/>
    <cellStyle name="40% - 강조색2 3 2 5 2 2 3" xfId="12766"/>
    <cellStyle name="40% - 강조색2 3 2 5 2 3" xfId="12767"/>
    <cellStyle name="40% - 강조색2 3 2 5 2 4" xfId="12768"/>
    <cellStyle name="40% - 강조색2 3 2 5 3" xfId="12769"/>
    <cellStyle name="40% - 강조색2 3 2 5 3 2" xfId="12770"/>
    <cellStyle name="40% - 강조색2 3 2 5 3 3" xfId="12771"/>
    <cellStyle name="40% - 강조색2 3 2 5 4" xfId="12772"/>
    <cellStyle name="40% - 강조색2 3 2 5 5" xfId="12773"/>
    <cellStyle name="40% - 강조색2 3 2 6" xfId="12774"/>
    <cellStyle name="40% - 강조색2 3 2 6 2" xfId="12775"/>
    <cellStyle name="40% - 강조색2 3 2 6 2 2" xfId="12776"/>
    <cellStyle name="40% - 강조색2 3 2 6 2 2 2" xfId="12777"/>
    <cellStyle name="40% - 강조색2 3 2 6 2 2 3" xfId="12778"/>
    <cellStyle name="40% - 강조색2 3 2 6 2 3" xfId="12779"/>
    <cellStyle name="40% - 강조색2 3 2 6 2 4" xfId="12780"/>
    <cellStyle name="40% - 강조색2 3 2 6 3" xfId="12781"/>
    <cellStyle name="40% - 강조색2 3 2 6 3 2" xfId="12782"/>
    <cellStyle name="40% - 강조색2 3 2 6 3 3" xfId="12783"/>
    <cellStyle name="40% - 강조색2 3 2 6 4" xfId="12784"/>
    <cellStyle name="40% - 강조색2 3 2 6 5" xfId="12785"/>
    <cellStyle name="40% - 강조색2 3 2 7" xfId="12786"/>
    <cellStyle name="40% - 강조색2 3 2 7 2" xfId="12787"/>
    <cellStyle name="40% - 강조색2 3 2 7 2 2" xfId="12788"/>
    <cellStyle name="40% - 강조색2 3 2 7 2 3" xfId="12789"/>
    <cellStyle name="40% - 강조색2 3 2 7 3" xfId="12790"/>
    <cellStyle name="40% - 강조색2 3 2 7 4" xfId="12791"/>
    <cellStyle name="40% - 강조색2 3 2 8" xfId="12792"/>
    <cellStyle name="40% - 강조색2 3 2 8 2" xfId="12793"/>
    <cellStyle name="40% - 강조색2 3 2 8 3" xfId="12794"/>
    <cellStyle name="40% - 강조색2 3 2 9" xfId="12795"/>
    <cellStyle name="40% - 강조색2 3 3" xfId="12796"/>
    <cellStyle name="40% - 강조색2 3 3 10" xfId="12797"/>
    <cellStyle name="40% - 강조색2 3 3 11" xfId="12798"/>
    <cellStyle name="40% - 강조색2 3 3 12" xfId="12799"/>
    <cellStyle name="40% - 강조색2 3 3 2" xfId="12800"/>
    <cellStyle name="40% - 강조색2 3 3 2 2" xfId="12801"/>
    <cellStyle name="40% - 강조색2 3 3 2 2 2" xfId="12802"/>
    <cellStyle name="40% - 강조색2 3 3 2 2 2 2" xfId="12803"/>
    <cellStyle name="40% - 강조색2 3 3 2 2 2 2 2" xfId="12804"/>
    <cellStyle name="40% - 강조색2 3 3 2 2 2 2 3" xfId="12805"/>
    <cellStyle name="40% - 강조색2 3 3 2 2 2 3" xfId="12806"/>
    <cellStyle name="40% - 강조색2 3 3 2 2 2 4" xfId="12807"/>
    <cellStyle name="40% - 강조색2 3 3 2 2 3" xfId="12808"/>
    <cellStyle name="40% - 강조색2 3 3 2 2 3 2" xfId="12809"/>
    <cellStyle name="40% - 강조색2 3 3 2 2 3 3" xfId="12810"/>
    <cellStyle name="40% - 강조색2 3 3 2 2 4" xfId="12811"/>
    <cellStyle name="40% - 강조색2 3 3 2 2 5" xfId="12812"/>
    <cellStyle name="40% - 강조색2 3 3 2 3" xfId="12813"/>
    <cellStyle name="40% - 강조색2 3 3 2 3 2" xfId="12814"/>
    <cellStyle name="40% - 강조색2 3 3 2 3 2 2" xfId="12815"/>
    <cellStyle name="40% - 강조색2 3 3 2 3 2 2 2" xfId="12816"/>
    <cellStyle name="40% - 강조색2 3 3 2 3 2 2 3" xfId="12817"/>
    <cellStyle name="40% - 강조색2 3 3 2 3 2 3" xfId="12818"/>
    <cellStyle name="40% - 강조색2 3 3 2 3 2 4" xfId="12819"/>
    <cellStyle name="40% - 강조색2 3 3 2 3 3" xfId="12820"/>
    <cellStyle name="40% - 강조색2 3 3 2 3 3 2" xfId="12821"/>
    <cellStyle name="40% - 강조색2 3 3 2 3 3 3" xfId="12822"/>
    <cellStyle name="40% - 강조색2 3 3 2 3 4" xfId="12823"/>
    <cellStyle name="40% - 강조색2 3 3 2 3 5" xfId="12824"/>
    <cellStyle name="40% - 강조색2 3 3 2 4" xfId="12825"/>
    <cellStyle name="40% - 강조색2 3 3 2 4 2" xfId="12826"/>
    <cellStyle name="40% - 강조색2 3 3 2 4 2 2" xfId="12827"/>
    <cellStyle name="40% - 강조색2 3 3 2 4 2 3" xfId="12828"/>
    <cellStyle name="40% - 강조색2 3 3 2 4 3" xfId="12829"/>
    <cellStyle name="40% - 강조색2 3 3 2 4 4" xfId="12830"/>
    <cellStyle name="40% - 강조색2 3 3 2 5" xfId="12831"/>
    <cellStyle name="40% - 강조색2 3 3 2 5 2" xfId="12832"/>
    <cellStyle name="40% - 강조색2 3 3 2 5 3" xfId="12833"/>
    <cellStyle name="40% - 강조색2 3 3 2 6" xfId="12834"/>
    <cellStyle name="40% - 강조색2 3 3 2 7" xfId="12835"/>
    <cellStyle name="40% - 강조색2 3 3 2 8" xfId="12836"/>
    <cellStyle name="40% - 강조색2 3 3 2 9" xfId="12837"/>
    <cellStyle name="40% - 강조색2 3 3 3" xfId="12838"/>
    <cellStyle name="40% - 강조색2 3 3 3 2" xfId="12839"/>
    <cellStyle name="40% - 강조색2 3 3 3 2 2" xfId="12840"/>
    <cellStyle name="40% - 강조색2 3 3 3 2 2 2" xfId="12841"/>
    <cellStyle name="40% - 강조색2 3 3 3 2 2 2 2" xfId="12842"/>
    <cellStyle name="40% - 강조색2 3 3 3 2 2 2 3" xfId="12843"/>
    <cellStyle name="40% - 강조색2 3 3 3 2 2 3" xfId="12844"/>
    <cellStyle name="40% - 강조색2 3 3 3 2 2 4" xfId="12845"/>
    <cellStyle name="40% - 강조색2 3 3 3 2 3" xfId="12846"/>
    <cellStyle name="40% - 강조색2 3 3 3 2 3 2" xfId="12847"/>
    <cellStyle name="40% - 강조색2 3 3 3 2 3 3" xfId="12848"/>
    <cellStyle name="40% - 강조색2 3 3 3 2 4" xfId="12849"/>
    <cellStyle name="40% - 강조색2 3 3 3 2 5" xfId="12850"/>
    <cellStyle name="40% - 강조색2 3 3 3 3" xfId="12851"/>
    <cellStyle name="40% - 강조색2 3 3 3 3 2" xfId="12852"/>
    <cellStyle name="40% - 강조색2 3 3 3 3 2 2" xfId="12853"/>
    <cellStyle name="40% - 강조색2 3 3 3 3 2 2 2" xfId="12854"/>
    <cellStyle name="40% - 강조색2 3 3 3 3 2 2 3" xfId="12855"/>
    <cellStyle name="40% - 강조색2 3 3 3 3 2 3" xfId="12856"/>
    <cellStyle name="40% - 강조색2 3 3 3 3 2 4" xfId="12857"/>
    <cellStyle name="40% - 강조색2 3 3 3 3 3" xfId="12858"/>
    <cellStyle name="40% - 강조색2 3 3 3 3 3 2" xfId="12859"/>
    <cellStyle name="40% - 강조색2 3 3 3 3 3 3" xfId="12860"/>
    <cellStyle name="40% - 강조색2 3 3 3 3 4" xfId="12861"/>
    <cellStyle name="40% - 강조색2 3 3 3 3 5" xfId="12862"/>
    <cellStyle name="40% - 강조색2 3 3 3 4" xfId="12863"/>
    <cellStyle name="40% - 강조색2 3 3 3 4 2" xfId="12864"/>
    <cellStyle name="40% - 강조색2 3 3 3 4 2 2" xfId="12865"/>
    <cellStyle name="40% - 강조색2 3 3 3 4 2 3" xfId="12866"/>
    <cellStyle name="40% - 강조색2 3 3 3 4 3" xfId="12867"/>
    <cellStyle name="40% - 강조색2 3 3 3 4 4" xfId="12868"/>
    <cellStyle name="40% - 강조색2 3 3 3 5" xfId="12869"/>
    <cellStyle name="40% - 강조색2 3 3 3 5 2" xfId="12870"/>
    <cellStyle name="40% - 강조색2 3 3 3 5 3" xfId="12871"/>
    <cellStyle name="40% - 강조색2 3 3 3 6" xfId="12872"/>
    <cellStyle name="40% - 강조색2 3 3 3 7" xfId="12873"/>
    <cellStyle name="40% - 강조색2 3 3 4" xfId="12874"/>
    <cellStyle name="40% - 강조색2 3 3 4 2" xfId="12875"/>
    <cellStyle name="40% - 강조색2 3 3 4 2 2" xfId="12876"/>
    <cellStyle name="40% - 강조색2 3 3 4 2 2 2" xfId="12877"/>
    <cellStyle name="40% - 강조색2 3 3 4 2 2 3" xfId="12878"/>
    <cellStyle name="40% - 강조색2 3 3 4 2 3" xfId="12879"/>
    <cellStyle name="40% - 강조색2 3 3 4 2 4" xfId="12880"/>
    <cellStyle name="40% - 강조색2 3 3 4 3" xfId="12881"/>
    <cellStyle name="40% - 강조색2 3 3 4 3 2" xfId="12882"/>
    <cellStyle name="40% - 강조색2 3 3 4 3 3" xfId="12883"/>
    <cellStyle name="40% - 강조색2 3 3 4 4" xfId="12884"/>
    <cellStyle name="40% - 강조색2 3 3 4 5" xfId="12885"/>
    <cellStyle name="40% - 강조색2 3 3 5" xfId="12886"/>
    <cellStyle name="40% - 강조색2 3 3 5 2" xfId="12887"/>
    <cellStyle name="40% - 강조색2 3 3 5 2 2" xfId="12888"/>
    <cellStyle name="40% - 강조색2 3 3 5 2 2 2" xfId="12889"/>
    <cellStyle name="40% - 강조색2 3 3 5 2 2 3" xfId="12890"/>
    <cellStyle name="40% - 강조색2 3 3 5 2 3" xfId="12891"/>
    <cellStyle name="40% - 강조색2 3 3 5 2 4" xfId="12892"/>
    <cellStyle name="40% - 강조색2 3 3 5 3" xfId="12893"/>
    <cellStyle name="40% - 강조색2 3 3 5 3 2" xfId="12894"/>
    <cellStyle name="40% - 강조색2 3 3 5 3 3" xfId="12895"/>
    <cellStyle name="40% - 강조색2 3 3 5 4" xfId="12896"/>
    <cellStyle name="40% - 강조색2 3 3 5 5" xfId="12897"/>
    <cellStyle name="40% - 강조색2 3 3 6" xfId="12898"/>
    <cellStyle name="40% - 강조색2 3 3 6 2" xfId="12899"/>
    <cellStyle name="40% - 강조색2 3 3 6 2 2" xfId="12900"/>
    <cellStyle name="40% - 강조색2 3 3 6 2 2 2" xfId="12901"/>
    <cellStyle name="40% - 강조색2 3 3 6 2 2 3" xfId="12902"/>
    <cellStyle name="40% - 강조색2 3 3 6 2 3" xfId="12903"/>
    <cellStyle name="40% - 강조색2 3 3 6 2 4" xfId="12904"/>
    <cellStyle name="40% - 강조색2 3 3 6 3" xfId="12905"/>
    <cellStyle name="40% - 강조색2 3 3 6 3 2" xfId="12906"/>
    <cellStyle name="40% - 강조색2 3 3 6 3 3" xfId="12907"/>
    <cellStyle name="40% - 강조색2 3 3 6 4" xfId="12908"/>
    <cellStyle name="40% - 강조색2 3 3 6 5" xfId="12909"/>
    <cellStyle name="40% - 강조색2 3 3 7" xfId="12910"/>
    <cellStyle name="40% - 강조색2 3 3 7 2" xfId="12911"/>
    <cellStyle name="40% - 강조색2 3 3 7 2 2" xfId="12912"/>
    <cellStyle name="40% - 강조색2 3 3 7 2 3" xfId="12913"/>
    <cellStyle name="40% - 강조색2 3 3 7 3" xfId="12914"/>
    <cellStyle name="40% - 강조색2 3 3 7 4" xfId="12915"/>
    <cellStyle name="40% - 강조색2 3 3 8" xfId="12916"/>
    <cellStyle name="40% - 강조색2 3 3 8 2" xfId="12917"/>
    <cellStyle name="40% - 강조색2 3 3 8 3" xfId="12918"/>
    <cellStyle name="40% - 강조색2 3 3 9" xfId="12919"/>
    <cellStyle name="40% - 강조색2 3 4" xfId="12920"/>
    <cellStyle name="40% - 강조색2 3 4 10" xfId="12921"/>
    <cellStyle name="40% - 강조색2 3 4 11" xfId="12922"/>
    <cellStyle name="40% - 강조색2 3 4 12" xfId="12923"/>
    <cellStyle name="40% - 강조색2 3 4 2" xfId="12924"/>
    <cellStyle name="40% - 강조색2 3 4 2 2" xfId="12925"/>
    <cellStyle name="40% - 강조색2 3 4 2 2 2" xfId="12926"/>
    <cellStyle name="40% - 강조색2 3 4 2 2 2 2" xfId="12927"/>
    <cellStyle name="40% - 강조색2 3 4 2 2 2 2 2" xfId="12928"/>
    <cellStyle name="40% - 강조색2 3 4 2 2 2 2 3" xfId="12929"/>
    <cellStyle name="40% - 강조색2 3 4 2 2 2 3" xfId="12930"/>
    <cellStyle name="40% - 강조색2 3 4 2 2 2 4" xfId="12931"/>
    <cellStyle name="40% - 강조색2 3 4 2 2 3" xfId="12932"/>
    <cellStyle name="40% - 강조색2 3 4 2 2 3 2" xfId="12933"/>
    <cellStyle name="40% - 강조색2 3 4 2 2 3 3" xfId="12934"/>
    <cellStyle name="40% - 강조색2 3 4 2 2 4" xfId="12935"/>
    <cellStyle name="40% - 강조색2 3 4 2 2 5" xfId="12936"/>
    <cellStyle name="40% - 강조색2 3 4 2 3" xfId="12937"/>
    <cellStyle name="40% - 강조색2 3 4 2 3 2" xfId="12938"/>
    <cellStyle name="40% - 강조색2 3 4 2 3 2 2" xfId="12939"/>
    <cellStyle name="40% - 강조색2 3 4 2 3 2 2 2" xfId="12940"/>
    <cellStyle name="40% - 강조색2 3 4 2 3 2 2 3" xfId="12941"/>
    <cellStyle name="40% - 강조색2 3 4 2 3 2 3" xfId="12942"/>
    <cellStyle name="40% - 강조색2 3 4 2 3 2 4" xfId="12943"/>
    <cellStyle name="40% - 강조색2 3 4 2 3 3" xfId="12944"/>
    <cellStyle name="40% - 강조색2 3 4 2 3 3 2" xfId="12945"/>
    <cellStyle name="40% - 강조색2 3 4 2 3 3 3" xfId="12946"/>
    <cellStyle name="40% - 강조색2 3 4 2 3 4" xfId="12947"/>
    <cellStyle name="40% - 강조색2 3 4 2 3 5" xfId="12948"/>
    <cellStyle name="40% - 강조색2 3 4 2 4" xfId="12949"/>
    <cellStyle name="40% - 강조색2 3 4 2 4 2" xfId="12950"/>
    <cellStyle name="40% - 강조색2 3 4 2 4 2 2" xfId="12951"/>
    <cellStyle name="40% - 강조색2 3 4 2 4 2 3" xfId="12952"/>
    <cellStyle name="40% - 강조색2 3 4 2 4 3" xfId="12953"/>
    <cellStyle name="40% - 강조색2 3 4 2 4 4" xfId="12954"/>
    <cellStyle name="40% - 강조색2 3 4 2 5" xfId="12955"/>
    <cellStyle name="40% - 강조색2 3 4 2 5 2" xfId="12956"/>
    <cellStyle name="40% - 강조색2 3 4 2 5 3" xfId="12957"/>
    <cellStyle name="40% - 강조색2 3 4 2 6" xfId="12958"/>
    <cellStyle name="40% - 강조색2 3 4 2 7" xfId="12959"/>
    <cellStyle name="40% - 강조색2 3 4 3" xfId="12960"/>
    <cellStyle name="40% - 강조색2 3 4 3 2" xfId="12961"/>
    <cellStyle name="40% - 강조색2 3 4 3 2 2" xfId="12962"/>
    <cellStyle name="40% - 강조색2 3 4 3 2 2 2" xfId="12963"/>
    <cellStyle name="40% - 강조색2 3 4 3 2 2 2 2" xfId="12964"/>
    <cellStyle name="40% - 강조색2 3 4 3 2 2 2 3" xfId="12965"/>
    <cellStyle name="40% - 강조색2 3 4 3 2 2 3" xfId="12966"/>
    <cellStyle name="40% - 강조색2 3 4 3 2 2 4" xfId="12967"/>
    <cellStyle name="40% - 강조색2 3 4 3 2 3" xfId="12968"/>
    <cellStyle name="40% - 강조색2 3 4 3 2 3 2" xfId="12969"/>
    <cellStyle name="40% - 강조색2 3 4 3 2 3 3" xfId="12970"/>
    <cellStyle name="40% - 강조색2 3 4 3 2 4" xfId="12971"/>
    <cellStyle name="40% - 강조색2 3 4 3 2 5" xfId="12972"/>
    <cellStyle name="40% - 강조색2 3 4 3 3" xfId="12973"/>
    <cellStyle name="40% - 강조색2 3 4 3 3 2" xfId="12974"/>
    <cellStyle name="40% - 강조색2 3 4 3 3 2 2" xfId="12975"/>
    <cellStyle name="40% - 강조색2 3 4 3 3 2 2 2" xfId="12976"/>
    <cellStyle name="40% - 강조색2 3 4 3 3 2 2 3" xfId="12977"/>
    <cellStyle name="40% - 강조색2 3 4 3 3 2 3" xfId="12978"/>
    <cellStyle name="40% - 강조색2 3 4 3 3 2 4" xfId="12979"/>
    <cellStyle name="40% - 강조색2 3 4 3 3 3" xfId="12980"/>
    <cellStyle name="40% - 강조색2 3 4 3 3 3 2" xfId="12981"/>
    <cellStyle name="40% - 강조색2 3 4 3 3 3 3" xfId="12982"/>
    <cellStyle name="40% - 강조색2 3 4 3 3 4" xfId="12983"/>
    <cellStyle name="40% - 강조색2 3 4 3 3 5" xfId="12984"/>
    <cellStyle name="40% - 강조색2 3 4 3 4" xfId="12985"/>
    <cellStyle name="40% - 강조색2 3 4 3 4 2" xfId="12986"/>
    <cellStyle name="40% - 강조색2 3 4 3 4 2 2" xfId="12987"/>
    <cellStyle name="40% - 강조색2 3 4 3 4 2 3" xfId="12988"/>
    <cellStyle name="40% - 강조색2 3 4 3 4 3" xfId="12989"/>
    <cellStyle name="40% - 강조색2 3 4 3 4 4" xfId="12990"/>
    <cellStyle name="40% - 강조색2 3 4 3 5" xfId="12991"/>
    <cellStyle name="40% - 강조색2 3 4 3 5 2" xfId="12992"/>
    <cellStyle name="40% - 강조색2 3 4 3 5 3" xfId="12993"/>
    <cellStyle name="40% - 강조색2 3 4 3 6" xfId="12994"/>
    <cellStyle name="40% - 강조색2 3 4 3 7" xfId="12995"/>
    <cellStyle name="40% - 강조색2 3 4 4" xfId="12996"/>
    <cellStyle name="40% - 강조색2 3 4 4 2" xfId="12997"/>
    <cellStyle name="40% - 강조색2 3 4 4 2 2" xfId="12998"/>
    <cellStyle name="40% - 강조색2 3 4 4 2 2 2" xfId="12999"/>
    <cellStyle name="40% - 강조색2 3 4 4 2 2 3" xfId="13000"/>
    <cellStyle name="40% - 강조색2 3 4 4 2 3" xfId="13001"/>
    <cellStyle name="40% - 강조색2 3 4 4 2 4" xfId="13002"/>
    <cellStyle name="40% - 강조색2 3 4 4 3" xfId="13003"/>
    <cellStyle name="40% - 강조색2 3 4 4 3 2" xfId="13004"/>
    <cellStyle name="40% - 강조색2 3 4 4 3 3" xfId="13005"/>
    <cellStyle name="40% - 강조색2 3 4 4 4" xfId="13006"/>
    <cellStyle name="40% - 강조색2 3 4 4 5" xfId="13007"/>
    <cellStyle name="40% - 강조색2 3 4 5" xfId="13008"/>
    <cellStyle name="40% - 강조색2 3 4 5 2" xfId="13009"/>
    <cellStyle name="40% - 강조색2 3 4 5 2 2" xfId="13010"/>
    <cellStyle name="40% - 강조색2 3 4 5 2 2 2" xfId="13011"/>
    <cellStyle name="40% - 강조색2 3 4 5 2 2 3" xfId="13012"/>
    <cellStyle name="40% - 강조색2 3 4 5 2 3" xfId="13013"/>
    <cellStyle name="40% - 강조색2 3 4 5 2 4" xfId="13014"/>
    <cellStyle name="40% - 강조색2 3 4 5 3" xfId="13015"/>
    <cellStyle name="40% - 강조색2 3 4 5 3 2" xfId="13016"/>
    <cellStyle name="40% - 강조색2 3 4 5 3 3" xfId="13017"/>
    <cellStyle name="40% - 강조색2 3 4 5 4" xfId="13018"/>
    <cellStyle name="40% - 강조색2 3 4 5 5" xfId="13019"/>
    <cellStyle name="40% - 강조색2 3 4 6" xfId="13020"/>
    <cellStyle name="40% - 강조색2 3 4 6 2" xfId="13021"/>
    <cellStyle name="40% - 강조색2 3 4 6 2 2" xfId="13022"/>
    <cellStyle name="40% - 강조색2 3 4 6 2 2 2" xfId="13023"/>
    <cellStyle name="40% - 강조색2 3 4 6 2 2 3" xfId="13024"/>
    <cellStyle name="40% - 강조색2 3 4 6 2 3" xfId="13025"/>
    <cellStyle name="40% - 강조색2 3 4 6 2 4" xfId="13026"/>
    <cellStyle name="40% - 강조색2 3 4 6 3" xfId="13027"/>
    <cellStyle name="40% - 강조색2 3 4 6 3 2" xfId="13028"/>
    <cellStyle name="40% - 강조색2 3 4 6 3 3" xfId="13029"/>
    <cellStyle name="40% - 강조색2 3 4 6 4" xfId="13030"/>
    <cellStyle name="40% - 강조색2 3 4 6 5" xfId="13031"/>
    <cellStyle name="40% - 강조색2 3 4 7" xfId="13032"/>
    <cellStyle name="40% - 강조색2 3 4 7 2" xfId="13033"/>
    <cellStyle name="40% - 강조색2 3 4 7 2 2" xfId="13034"/>
    <cellStyle name="40% - 강조색2 3 4 7 2 3" xfId="13035"/>
    <cellStyle name="40% - 강조색2 3 4 7 3" xfId="13036"/>
    <cellStyle name="40% - 강조색2 3 4 7 4" xfId="13037"/>
    <cellStyle name="40% - 강조색2 3 4 8" xfId="13038"/>
    <cellStyle name="40% - 강조색2 3 4 8 2" xfId="13039"/>
    <cellStyle name="40% - 강조색2 3 4 8 3" xfId="13040"/>
    <cellStyle name="40% - 강조색2 3 4 9" xfId="13041"/>
    <cellStyle name="40% - 강조색2 3 5" xfId="13042"/>
    <cellStyle name="40% - 강조색2 3 5 2" xfId="13043"/>
    <cellStyle name="40% - 강조색2 3 5 2 2" xfId="13044"/>
    <cellStyle name="40% - 강조색2 3 5 2 2 2" xfId="13045"/>
    <cellStyle name="40% - 강조색2 3 5 2 2 2 2" xfId="13046"/>
    <cellStyle name="40% - 강조색2 3 5 2 2 2 3" xfId="13047"/>
    <cellStyle name="40% - 강조색2 3 5 2 2 3" xfId="13048"/>
    <cellStyle name="40% - 강조색2 3 5 2 2 4" xfId="13049"/>
    <cellStyle name="40% - 강조색2 3 5 2 3" xfId="13050"/>
    <cellStyle name="40% - 강조색2 3 5 2 3 2" xfId="13051"/>
    <cellStyle name="40% - 강조색2 3 5 2 3 3" xfId="13052"/>
    <cellStyle name="40% - 강조색2 3 5 2 4" xfId="13053"/>
    <cellStyle name="40% - 강조색2 3 5 2 5" xfId="13054"/>
    <cellStyle name="40% - 강조색2 3 5 3" xfId="13055"/>
    <cellStyle name="40% - 강조색2 3 5 3 2" xfId="13056"/>
    <cellStyle name="40% - 강조색2 3 5 3 2 2" xfId="13057"/>
    <cellStyle name="40% - 강조색2 3 5 3 2 2 2" xfId="13058"/>
    <cellStyle name="40% - 강조색2 3 5 3 2 2 3" xfId="13059"/>
    <cellStyle name="40% - 강조색2 3 5 3 2 3" xfId="13060"/>
    <cellStyle name="40% - 강조색2 3 5 3 2 4" xfId="13061"/>
    <cellStyle name="40% - 강조색2 3 5 3 3" xfId="13062"/>
    <cellStyle name="40% - 강조색2 3 5 3 3 2" xfId="13063"/>
    <cellStyle name="40% - 강조색2 3 5 3 3 3" xfId="13064"/>
    <cellStyle name="40% - 강조색2 3 5 3 4" xfId="13065"/>
    <cellStyle name="40% - 강조색2 3 5 3 5" xfId="13066"/>
    <cellStyle name="40% - 강조색2 3 5 4" xfId="13067"/>
    <cellStyle name="40% - 강조색2 3 5 4 2" xfId="13068"/>
    <cellStyle name="40% - 강조색2 3 5 4 2 2" xfId="13069"/>
    <cellStyle name="40% - 강조색2 3 5 4 2 3" xfId="13070"/>
    <cellStyle name="40% - 강조색2 3 5 4 3" xfId="13071"/>
    <cellStyle name="40% - 강조색2 3 5 4 4" xfId="13072"/>
    <cellStyle name="40% - 강조색2 3 5 5" xfId="13073"/>
    <cellStyle name="40% - 강조색2 3 5 5 2" xfId="13074"/>
    <cellStyle name="40% - 강조색2 3 5 5 3" xfId="13075"/>
    <cellStyle name="40% - 강조색2 3 5 6" xfId="13076"/>
    <cellStyle name="40% - 강조색2 3 5 7" xfId="13077"/>
    <cellStyle name="40% - 강조색2 3 6" xfId="13078"/>
    <cellStyle name="40% - 강조색2 3 6 2" xfId="13079"/>
    <cellStyle name="40% - 강조색2 3 6 2 2" xfId="13080"/>
    <cellStyle name="40% - 강조색2 3 6 2 2 2" xfId="13081"/>
    <cellStyle name="40% - 강조색2 3 6 2 2 2 2" xfId="13082"/>
    <cellStyle name="40% - 강조색2 3 6 2 2 2 3" xfId="13083"/>
    <cellStyle name="40% - 강조색2 3 6 2 2 3" xfId="13084"/>
    <cellStyle name="40% - 강조색2 3 6 2 2 4" xfId="13085"/>
    <cellStyle name="40% - 강조색2 3 6 2 3" xfId="13086"/>
    <cellStyle name="40% - 강조색2 3 6 2 3 2" xfId="13087"/>
    <cellStyle name="40% - 강조색2 3 6 2 3 3" xfId="13088"/>
    <cellStyle name="40% - 강조색2 3 6 2 4" xfId="13089"/>
    <cellStyle name="40% - 강조색2 3 6 2 5" xfId="13090"/>
    <cellStyle name="40% - 강조색2 3 6 3" xfId="13091"/>
    <cellStyle name="40% - 강조색2 3 6 3 2" xfId="13092"/>
    <cellStyle name="40% - 강조색2 3 6 3 2 2" xfId="13093"/>
    <cellStyle name="40% - 강조색2 3 6 3 2 2 2" xfId="13094"/>
    <cellStyle name="40% - 강조색2 3 6 3 2 2 3" xfId="13095"/>
    <cellStyle name="40% - 강조색2 3 6 3 2 3" xfId="13096"/>
    <cellStyle name="40% - 강조색2 3 6 3 2 4" xfId="13097"/>
    <cellStyle name="40% - 강조색2 3 6 3 3" xfId="13098"/>
    <cellStyle name="40% - 강조색2 3 6 3 3 2" xfId="13099"/>
    <cellStyle name="40% - 강조색2 3 6 3 3 3" xfId="13100"/>
    <cellStyle name="40% - 강조색2 3 6 3 4" xfId="13101"/>
    <cellStyle name="40% - 강조색2 3 6 3 5" xfId="13102"/>
    <cellStyle name="40% - 강조색2 3 6 4" xfId="13103"/>
    <cellStyle name="40% - 강조색2 3 6 4 2" xfId="13104"/>
    <cellStyle name="40% - 강조색2 3 6 4 2 2" xfId="13105"/>
    <cellStyle name="40% - 강조색2 3 6 4 2 3" xfId="13106"/>
    <cellStyle name="40% - 강조색2 3 6 4 3" xfId="13107"/>
    <cellStyle name="40% - 강조색2 3 6 4 4" xfId="13108"/>
    <cellStyle name="40% - 강조색2 3 6 5" xfId="13109"/>
    <cellStyle name="40% - 강조색2 3 6 5 2" xfId="13110"/>
    <cellStyle name="40% - 강조색2 3 6 5 3" xfId="13111"/>
    <cellStyle name="40% - 강조색2 3 6 6" xfId="13112"/>
    <cellStyle name="40% - 강조색2 3 6 7" xfId="13113"/>
    <cellStyle name="40% - 강조색2 3 7" xfId="13114"/>
    <cellStyle name="40% - 강조색2 3 7 2" xfId="13115"/>
    <cellStyle name="40% - 강조색2 3 7 2 2" xfId="13116"/>
    <cellStyle name="40% - 강조색2 3 7 2 2 2" xfId="13117"/>
    <cellStyle name="40% - 강조색2 3 7 2 2 3" xfId="13118"/>
    <cellStyle name="40% - 강조색2 3 7 2 3" xfId="13119"/>
    <cellStyle name="40% - 강조색2 3 7 2 4" xfId="13120"/>
    <cellStyle name="40% - 강조색2 3 7 3" xfId="13121"/>
    <cellStyle name="40% - 강조색2 3 7 3 2" xfId="13122"/>
    <cellStyle name="40% - 강조색2 3 7 3 3" xfId="13123"/>
    <cellStyle name="40% - 강조색2 3 7 4" xfId="13124"/>
    <cellStyle name="40% - 강조색2 3 7 5" xfId="13125"/>
    <cellStyle name="40% - 강조색2 3 8" xfId="13126"/>
    <cellStyle name="40% - 강조색2 3 8 2" xfId="13127"/>
    <cellStyle name="40% - 강조색2 3 8 2 2" xfId="13128"/>
    <cellStyle name="40% - 강조색2 3 8 2 2 2" xfId="13129"/>
    <cellStyle name="40% - 강조색2 3 8 2 2 3" xfId="13130"/>
    <cellStyle name="40% - 강조색2 3 8 2 3" xfId="13131"/>
    <cellStyle name="40% - 강조색2 3 8 2 4" xfId="13132"/>
    <cellStyle name="40% - 강조색2 3 8 3" xfId="13133"/>
    <cellStyle name="40% - 강조색2 3 8 3 2" xfId="13134"/>
    <cellStyle name="40% - 강조색2 3 8 3 3" xfId="13135"/>
    <cellStyle name="40% - 강조색2 3 8 4" xfId="13136"/>
    <cellStyle name="40% - 강조색2 3 8 5" xfId="13137"/>
    <cellStyle name="40% - 강조색2 3 9" xfId="13138"/>
    <cellStyle name="40% - 강조색2 3 9 2" xfId="13139"/>
    <cellStyle name="40% - 강조색2 3 9 2 2" xfId="13140"/>
    <cellStyle name="40% - 강조색2 3 9 2 2 2" xfId="13141"/>
    <cellStyle name="40% - 강조색2 3 9 2 2 3" xfId="13142"/>
    <cellStyle name="40% - 강조색2 3 9 2 3" xfId="13143"/>
    <cellStyle name="40% - 강조색2 3 9 2 4" xfId="13144"/>
    <cellStyle name="40% - 강조색2 3 9 3" xfId="13145"/>
    <cellStyle name="40% - 강조색2 3 9 3 2" xfId="13146"/>
    <cellStyle name="40% - 강조색2 3 9 3 3" xfId="13147"/>
    <cellStyle name="40% - 강조색2 3 9 4" xfId="13148"/>
    <cellStyle name="40% - 강조색2 3 9 5" xfId="13149"/>
    <cellStyle name="40% - 강조색2 30" xfId="13150"/>
    <cellStyle name="40% - 강조색2 30 2" xfId="13151"/>
    <cellStyle name="40% - 강조색2 31" xfId="13152"/>
    <cellStyle name="40% - 강조색2 31 2" xfId="13153"/>
    <cellStyle name="40% - 강조색2 32" xfId="13154"/>
    <cellStyle name="40% - 강조색2 32 2" xfId="13155"/>
    <cellStyle name="40% - 강조색2 33" xfId="13156"/>
    <cellStyle name="40% - 강조색2 33 2" xfId="13157"/>
    <cellStyle name="40% - 강조색2 34" xfId="13158"/>
    <cellStyle name="40% - 강조색2 34 2" xfId="13159"/>
    <cellStyle name="40% - 강조색2 35" xfId="13160"/>
    <cellStyle name="40% - 강조색2 36" xfId="13161"/>
    <cellStyle name="40% - 강조색2 37" xfId="13162"/>
    <cellStyle name="40% - 강조색2 38" xfId="13163"/>
    <cellStyle name="40% - 강조색2 39" xfId="13164"/>
    <cellStyle name="40% - 강조색2 4" xfId="13165"/>
    <cellStyle name="40% - 강조색2 4 10" xfId="13166"/>
    <cellStyle name="40% - 강조색2 4 10 2" xfId="13167"/>
    <cellStyle name="40% - 강조색2 4 10 2 2" xfId="13168"/>
    <cellStyle name="40% - 강조색2 4 10 2 3" xfId="13169"/>
    <cellStyle name="40% - 강조색2 4 10 3" xfId="13170"/>
    <cellStyle name="40% - 강조색2 4 10 4" xfId="13171"/>
    <cellStyle name="40% - 강조색2 4 11" xfId="13172"/>
    <cellStyle name="40% - 강조색2 4 11 2" xfId="13173"/>
    <cellStyle name="40% - 강조색2 4 11 3" xfId="13174"/>
    <cellStyle name="40% - 강조색2 4 12" xfId="13175"/>
    <cellStyle name="40% - 강조색2 4 13" xfId="13176"/>
    <cellStyle name="40% - 강조색2 4 14" xfId="13177"/>
    <cellStyle name="40% - 강조색2 4 2" xfId="13178"/>
    <cellStyle name="40% - 강조색2 4 2 10" xfId="13179"/>
    <cellStyle name="40% - 강조색2 4 2 2" xfId="13180"/>
    <cellStyle name="40% - 강조색2 4 2 2 2" xfId="13181"/>
    <cellStyle name="40% - 강조색2 4 2 2 2 2" xfId="13182"/>
    <cellStyle name="40% - 강조색2 4 2 2 2 2 2" xfId="13183"/>
    <cellStyle name="40% - 강조색2 4 2 2 2 2 2 2" xfId="13184"/>
    <cellStyle name="40% - 강조색2 4 2 2 2 2 2 3" xfId="13185"/>
    <cellStyle name="40% - 강조색2 4 2 2 2 2 3" xfId="13186"/>
    <cellStyle name="40% - 강조색2 4 2 2 2 2 4" xfId="13187"/>
    <cellStyle name="40% - 강조색2 4 2 2 2 3" xfId="13188"/>
    <cellStyle name="40% - 강조색2 4 2 2 2 3 2" xfId="13189"/>
    <cellStyle name="40% - 강조색2 4 2 2 2 3 3" xfId="13190"/>
    <cellStyle name="40% - 강조색2 4 2 2 2 4" xfId="13191"/>
    <cellStyle name="40% - 강조색2 4 2 2 2 5" xfId="13192"/>
    <cellStyle name="40% - 강조색2 4 2 2 3" xfId="13193"/>
    <cellStyle name="40% - 강조색2 4 2 2 3 2" xfId="13194"/>
    <cellStyle name="40% - 강조색2 4 2 2 3 2 2" xfId="13195"/>
    <cellStyle name="40% - 강조색2 4 2 2 3 2 2 2" xfId="13196"/>
    <cellStyle name="40% - 강조색2 4 2 2 3 2 2 3" xfId="13197"/>
    <cellStyle name="40% - 강조색2 4 2 2 3 2 3" xfId="13198"/>
    <cellStyle name="40% - 강조색2 4 2 2 3 2 4" xfId="13199"/>
    <cellStyle name="40% - 강조색2 4 2 2 3 3" xfId="13200"/>
    <cellStyle name="40% - 강조색2 4 2 2 3 3 2" xfId="13201"/>
    <cellStyle name="40% - 강조색2 4 2 2 3 3 3" xfId="13202"/>
    <cellStyle name="40% - 강조색2 4 2 2 3 4" xfId="13203"/>
    <cellStyle name="40% - 강조색2 4 2 2 3 5" xfId="13204"/>
    <cellStyle name="40% - 강조색2 4 2 2 4" xfId="13205"/>
    <cellStyle name="40% - 강조색2 4 2 2 4 2" xfId="13206"/>
    <cellStyle name="40% - 강조색2 4 2 2 4 2 2" xfId="13207"/>
    <cellStyle name="40% - 강조색2 4 2 2 4 2 3" xfId="13208"/>
    <cellStyle name="40% - 강조색2 4 2 2 4 3" xfId="13209"/>
    <cellStyle name="40% - 강조색2 4 2 2 4 4" xfId="13210"/>
    <cellStyle name="40% - 강조색2 4 2 2 5" xfId="13211"/>
    <cellStyle name="40% - 강조색2 4 2 2 5 2" xfId="13212"/>
    <cellStyle name="40% - 강조색2 4 2 2 5 3" xfId="13213"/>
    <cellStyle name="40% - 강조색2 4 2 2 6" xfId="13214"/>
    <cellStyle name="40% - 강조색2 4 2 2 7" xfId="13215"/>
    <cellStyle name="40% - 강조색2 4 2 3" xfId="13216"/>
    <cellStyle name="40% - 강조색2 4 2 3 2" xfId="13217"/>
    <cellStyle name="40% - 강조색2 4 2 3 2 2" xfId="13218"/>
    <cellStyle name="40% - 강조색2 4 2 3 2 2 2" xfId="13219"/>
    <cellStyle name="40% - 강조색2 4 2 3 2 2 2 2" xfId="13220"/>
    <cellStyle name="40% - 강조색2 4 2 3 2 2 2 3" xfId="13221"/>
    <cellStyle name="40% - 강조색2 4 2 3 2 2 3" xfId="13222"/>
    <cellStyle name="40% - 강조색2 4 2 3 2 2 4" xfId="13223"/>
    <cellStyle name="40% - 강조색2 4 2 3 2 3" xfId="13224"/>
    <cellStyle name="40% - 강조색2 4 2 3 2 3 2" xfId="13225"/>
    <cellStyle name="40% - 강조색2 4 2 3 2 3 3" xfId="13226"/>
    <cellStyle name="40% - 강조색2 4 2 3 2 4" xfId="13227"/>
    <cellStyle name="40% - 강조색2 4 2 3 2 5" xfId="13228"/>
    <cellStyle name="40% - 강조색2 4 2 3 3" xfId="13229"/>
    <cellStyle name="40% - 강조색2 4 2 3 3 2" xfId="13230"/>
    <cellStyle name="40% - 강조색2 4 2 3 3 2 2" xfId="13231"/>
    <cellStyle name="40% - 강조색2 4 2 3 3 2 2 2" xfId="13232"/>
    <cellStyle name="40% - 강조색2 4 2 3 3 2 2 3" xfId="13233"/>
    <cellStyle name="40% - 강조색2 4 2 3 3 2 3" xfId="13234"/>
    <cellStyle name="40% - 강조색2 4 2 3 3 2 4" xfId="13235"/>
    <cellStyle name="40% - 강조색2 4 2 3 3 3" xfId="13236"/>
    <cellStyle name="40% - 강조색2 4 2 3 3 3 2" xfId="13237"/>
    <cellStyle name="40% - 강조색2 4 2 3 3 3 3" xfId="13238"/>
    <cellStyle name="40% - 강조색2 4 2 3 3 4" xfId="13239"/>
    <cellStyle name="40% - 강조색2 4 2 3 3 5" xfId="13240"/>
    <cellStyle name="40% - 강조색2 4 2 3 4" xfId="13241"/>
    <cellStyle name="40% - 강조색2 4 2 3 4 2" xfId="13242"/>
    <cellStyle name="40% - 강조색2 4 2 3 4 2 2" xfId="13243"/>
    <cellStyle name="40% - 강조색2 4 2 3 4 2 3" xfId="13244"/>
    <cellStyle name="40% - 강조색2 4 2 3 4 3" xfId="13245"/>
    <cellStyle name="40% - 강조색2 4 2 3 4 4" xfId="13246"/>
    <cellStyle name="40% - 강조색2 4 2 3 5" xfId="13247"/>
    <cellStyle name="40% - 강조색2 4 2 3 5 2" xfId="13248"/>
    <cellStyle name="40% - 강조색2 4 2 3 5 3" xfId="13249"/>
    <cellStyle name="40% - 강조색2 4 2 3 6" xfId="13250"/>
    <cellStyle name="40% - 강조색2 4 2 3 7" xfId="13251"/>
    <cellStyle name="40% - 강조색2 4 2 4" xfId="13252"/>
    <cellStyle name="40% - 강조색2 4 2 4 2" xfId="13253"/>
    <cellStyle name="40% - 강조색2 4 2 4 2 2" xfId="13254"/>
    <cellStyle name="40% - 강조색2 4 2 4 2 2 2" xfId="13255"/>
    <cellStyle name="40% - 강조색2 4 2 4 2 2 3" xfId="13256"/>
    <cellStyle name="40% - 강조색2 4 2 4 2 3" xfId="13257"/>
    <cellStyle name="40% - 강조색2 4 2 4 2 4" xfId="13258"/>
    <cellStyle name="40% - 강조색2 4 2 4 3" xfId="13259"/>
    <cellStyle name="40% - 강조색2 4 2 4 3 2" xfId="13260"/>
    <cellStyle name="40% - 강조색2 4 2 4 3 3" xfId="13261"/>
    <cellStyle name="40% - 강조색2 4 2 4 4" xfId="13262"/>
    <cellStyle name="40% - 강조색2 4 2 4 5" xfId="13263"/>
    <cellStyle name="40% - 강조색2 4 2 5" xfId="13264"/>
    <cellStyle name="40% - 강조색2 4 2 5 2" xfId="13265"/>
    <cellStyle name="40% - 강조색2 4 2 5 2 2" xfId="13266"/>
    <cellStyle name="40% - 강조색2 4 2 5 2 2 2" xfId="13267"/>
    <cellStyle name="40% - 강조색2 4 2 5 2 2 3" xfId="13268"/>
    <cellStyle name="40% - 강조색2 4 2 5 2 3" xfId="13269"/>
    <cellStyle name="40% - 강조색2 4 2 5 2 4" xfId="13270"/>
    <cellStyle name="40% - 강조색2 4 2 5 3" xfId="13271"/>
    <cellStyle name="40% - 강조색2 4 2 5 3 2" xfId="13272"/>
    <cellStyle name="40% - 강조색2 4 2 5 3 3" xfId="13273"/>
    <cellStyle name="40% - 강조색2 4 2 5 4" xfId="13274"/>
    <cellStyle name="40% - 강조색2 4 2 5 5" xfId="13275"/>
    <cellStyle name="40% - 강조색2 4 2 6" xfId="13276"/>
    <cellStyle name="40% - 강조색2 4 2 6 2" xfId="13277"/>
    <cellStyle name="40% - 강조색2 4 2 6 2 2" xfId="13278"/>
    <cellStyle name="40% - 강조색2 4 2 6 2 2 2" xfId="13279"/>
    <cellStyle name="40% - 강조색2 4 2 6 2 2 3" xfId="13280"/>
    <cellStyle name="40% - 강조색2 4 2 6 2 3" xfId="13281"/>
    <cellStyle name="40% - 강조색2 4 2 6 2 4" xfId="13282"/>
    <cellStyle name="40% - 강조색2 4 2 6 3" xfId="13283"/>
    <cellStyle name="40% - 강조색2 4 2 6 3 2" xfId="13284"/>
    <cellStyle name="40% - 강조색2 4 2 6 3 3" xfId="13285"/>
    <cellStyle name="40% - 강조색2 4 2 6 4" xfId="13286"/>
    <cellStyle name="40% - 강조색2 4 2 6 5" xfId="13287"/>
    <cellStyle name="40% - 강조색2 4 2 7" xfId="13288"/>
    <cellStyle name="40% - 강조색2 4 2 7 2" xfId="13289"/>
    <cellStyle name="40% - 강조색2 4 2 7 2 2" xfId="13290"/>
    <cellStyle name="40% - 강조색2 4 2 7 2 3" xfId="13291"/>
    <cellStyle name="40% - 강조색2 4 2 7 3" xfId="13292"/>
    <cellStyle name="40% - 강조색2 4 2 7 4" xfId="13293"/>
    <cellStyle name="40% - 강조색2 4 2 8" xfId="13294"/>
    <cellStyle name="40% - 강조색2 4 2 8 2" xfId="13295"/>
    <cellStyle name="40% - 강조색2 4 2 8 3" xfId="13296"/>
    <cellStyle name="40% - 강조색2 4 2 9" xfId="13297"/>
    <cellStyle name="40% - 강조색2 4 3" xfId="13298"/>
    <cellStyle name="40% - 강조색2 4 3 10" xfId="13299"/>
    <cellStyle name="40% - 강조색2 4 3 2" xfId="13300"/>
    <cellStyle name="40% - 강조색2 4 3 2 2" xfId="13301"/>
    <cellStyle name="40% - 강조색2 4 3 2 2 2" xfId="13302"/>
    <cellStyle name="40% - 강조색2 4 3 2 2 2 2" xfId="13303"/>
    <cellStyle name="40% - 강조색2 4 3 2 2 2 2 2" xfId="13304"/>
    <cellStyle name="40% - 강조색2 4 3 2 2 2 2 3" xfId="13305"/>
    <cellStyle name="40% - 강조색2 4 3 2 2 2 3" xfId="13306"/>
    <cellStyle name="40% - 강조색2 4 3 2 2 2 4" xfId="13307"/>
    <cellStyle name="40% - 강조색2 4 3 2 2 3" xfId="13308"/>
    <cellStyle name="40% - 강조색2 4 3 2 2 3 2" xfId="13309"/>
    <cellStyle name="40% - 강조색2 4 3 2 2 3 3" xfId="13310"/>
    <cellStyle name="40% - 강조색2 4 3 2 2 4" xfId="13311"/>
    <cellStyle name="40% - 강조색2 4 3 2 2 5" xfId="13312"/>
    <cellStyle name="40% - 강조색2 4 3 2 3" xfId="13313"/>
    <cellStyle name="40% - 강조색2 4 3 2 3 2" xfId="13314"/>
    <cellStyle name="40% - 강조색2 4 3 2 3 2 2" xfId="13315"/>
    <cellStyle name="40% - 강조색2 4 3 2 3 2 2 2" xfId="13316"/>
    <cellStyle name="40% - 강조색2 4 3 2 3 2 2 3" xfId="13317"/>
    <cellStyle name="40% - 강조색2 4 3 2 3 2 3" xfId="13318"/>
    <cellStyle name="40% - 강조색2 4 3 2 3 2 4" xfId="13319"/>
    <cellStyle name="40% - 강조색2 4 3 2 3 3" xfId="13320"/>
    <cellStyle name="40% - 강조색2 4 3 2 3 3 2" xfId="13321"/>
    <cellStyle name="40% - 강조색2 4 3 2 3 3 3" xfId="13322"/>
    <cellStyle name="40% - 강조색2 4 3 2 3 4" xfId="13323"/>
    <cellStyle name="40% - 강조색2 4 3 2 3 5" xfId="13324"/>
    <cellStyle name="40% - 강조색2 4 3 2 4" xfId="13325"/>
    <cellStyle name="40% - 강조색2 4 3 2 4 2" xfId="13326"/>
    <cellStyle name="40% - 강조색2 4 3 2 4 2 2" xfId="13327"/>
    <cellStyle name="40% - 강조색2 4 3 2 4 2 3" xfId="13328"/>
    <cellStyle name="40% - 강조색2 4 3 2 4 3" xfId="13329"/>
    <cellStyle name="40% - 강조색2 4 3 2 4 4" xfId="13330"/>
    <cellStyle name="40% - 강조색2 4 3 2 5" xfId="13331"/>
    <cellStyle name="40% - 강조색2 4 3 2 5 2" xfId="13332"/>
    <cellStyle name="40% - 강조색2 4 3 2 5 3" xfId="13333"/>
    <cellStyle name="40% - 강조색2 4 3 2 6" xfId="13334"/>
    <cellStyle name="40% - 강조색2 4 3 2 7" xfId="13335"/>
    <cellStyle name="40% - 강조색2 4 3 3" xfId="13336"/>
    <cellStyle name="40% - 강조색2 4 3 3 2" xfId="13337"/>
    <cellStyle name="40% - 강조색2 4 3 3 2 2" xfId="13338"/>
    <cellStyle name="40% - 강조색2 4 3 3 2 2 2" xfId="13339"/>
    <cellStyle name="40% - 강조색2 4 3 3 2 2 2 2" xfId="13340"/>
    <cellStyle name="40% - 강조색2 4 3 3 2 2 2 3" xfId="13341"/>
    <cellStyle name="40% - 강조색2 4 3 3 2 2 3" xfId="13342"/>
    <cellStyle name="40% - 강조색2 4 3 3 2 2 4" xfId="13343"/>
    <cellStyle name="40% - 강조색2 4 3 3 2 3" xfId="13344"/>
    <cellStyle name="40% - 강조색2 4 3 3 2 3 2" xfId="13345"/>
    <cellStyle name="40% - 강조색2 4 3 3 2 3 3" xfId="13346"/>
    <cellStyle name="40% - 강조색2 4 3 3 2 4" xfId="13347"/>
    <cellStyle name="40% - 강조색2 4 3 3 2 5" xfId="13348"/>
    <cellStyle name="40% - 강조색2 4 3 3 3" xfId="13349"/>
    <cellStyle name="40% - 강조색2 4 3 3 3 2" xfId="13350"/>
    <cellStyle name="40% - 강조색2 4 3 3 3 2 2" xfId="13351"/>
    <cellStyle name="40% - 강조색2 4 3 3 3 2 2 2" xfId="13352"/>
    <cellStyle name="40% - 강조색2 4 3 3 3 2 2 3" xfId="13353"/>
    <cellStyle name="40% - 강조색2 4 3 3 3 2 3" xfId="13354"/>
    <cellStyle name="40% - 강조색2 4 3 3 3 2 4" xfId="13355"/>
    <cellStyle name="40% - 강조색2 4 3 3 3 3" xfId="13356"/>
    <cellStyle name="40% - 강조색2 4 3 3 3 3 2" xfId="13357"/>
    <cellStyle name="40% - 강조색2 4 3 3 3 3 3" xfId="13358"/>
    <cellStyle name="40% - 강조색2 4 3 3 3 4" xfId="13359"/>
    <cellStyle name="40% - 강조색2 4 3 3 3 5" xfId="13360"/>
    <cellStyle name="40% - 강조색2 4 3 3 4" xfId="13361"/>
    <cellStyle name="40% - 강조색2 4 3 3 4 2" xfId="13362"/>
    <cellStyle name="40% - 강조색2 4 3 3 4 2 2" xfId="13363"/>
    <cellStyle name="40% - 강조색2 4 3 3 4 2 3" xfId="13364"/>
    <cellStyle name="40% - 강조색2 4 3 3 4 3" xfId="13365"/>
    <cellStyle name="40% - 강조색2 4 3 3 4 4" xfId="13366"/>
    <cellStyle name="40% - 강조색2 4 3 3 5" xfId="13367"/>
    <cellStyle name="40% - 강조색2 4 3 3 5 2" xfId="13368"/>
    <cellStyle name="40% - 강조색2 4 3 3 5 3" xfId="13369"/>
    <cellStyle name="40% - 강조색2 4 3 3 6" xfId="13370"/>
    <cellStyle name="40% - 강조색2 4 3 3 7" xfId="13371"/>
    <cellStyle name="40% - 강조색2 4 3 4" xfId="13372"/>
    <cellStyle name="40% - 강조색2 4 3 4 2" xfId="13373"/>
    <cellStyle name="40% - 강조색2 4 3 4 2 2" xfId="13374"/>
    <cellStyle name="40% - 강조색2 4 3 4 2 2 2" xfId="13375"/>
    <cellStyle name="40% - 강조색2 4 3 4 2 2 3" xfId="13376"/>
    <cellStyle name="40% - 강조색2 4 3 4 2 3" xfId="13377"/>
    <cellStyle name="40% - 강조색2 4 3 4 2 4" xfId="13378"/>
    <cellStyle name="40% - 강조색2 4 3 4 3" xfId="13379"/>
    <cellStyle name="40% - 강조색2 4 3 4 3 2" xfId="13380"/>
    <cellStyle name="40% - 강조색2 4 3 4 3 3" xfId="13381"/>
    <cellStyle name="40% - 강조색2 4 3 4 4" xfId="13382"/>
    <cellStyle name="40% - 강조색2 4 3 4 5" xfId="13383"/>
    <cellStyle name="40% - 강조색2 4 3 5" xfId="13384"/>
    <cellStyle name="40% - 강조색2 4 3 5 2" xfId="13385"/>
    <cellStyle name="40% - 강조색2 4 3 5 2 2" xfId="13386"/>
    <cellStyle name="40% - 강조색2 4 3 5 2 2 2" xfId="13387"/>
    <cellStyle name="40% - 강조색2 4 3 5 2 2 3" xfId="13388"/>
    <cellStyle name="40% - 강조색2 4 3 5 2 3" xfId="13389"/>
    <cellStyle name="40% - 강조색2 4 3 5 2 4" xfId="13390"/>
    <cellStyle name="40% - 강조색2 4 3 5 3" xfId="13391"/>
    <cellStyle name="40% - 강조색2 4 3 5 3 2" xfId="13392"/>
    <cellStyle name="40% - 강조색2 4 3 5 3 3" xfId="13393"/>
    <cellStyle name="40% - 강조색2 4 3 5 4" xfId="13394"/>
    <cellStyle name="40% - 강조색2 4 3 5 5" xfId="13395"/>
    <cellStyle name="40% - 강조색2 4 3 6" xfId="13396"/>
    <cellStyle name="40% - 강조색2 4 3 6 2" xfId="13397"/>
    <cellStyle name="40% - 강조색2 4 3 6 2 2" xfId="13398"/>
    <cellStyle name="40% - 강조색2 4 3 6 2 2 2" xfId="13399"/>
    <cellStyle name="40% - 강조색2 4 3 6 2 2 3" xfId="13400"/>
    <cellStyle name="40% - 강조색2 4 3 6 2 3" xfId="13401"/>
    <cellStyle name="40% - 강조색2 4 3 6 2 4" xfId="13402"/>
    <cellStyle name="40% - 강조색2 4 3 6 3" xfId="13403"/>
    <cellStyle name="40% - 강조색2 4 3 6 3 2" xfId="13404"/>
    <cellStyle name="40% - 강조색2 4 3 6 3 3" xfId="13405"/>
    <cellStyle name="40% - 강조색2 4 3 6 4" xfId="13406"/>
    <cellStyle name="40% - 강조색2 4 3 6 5" xfId="13407"/>
    <cellStyle name="40% - 강조색2 4 3 7" xfId="13408"/>
    <cellStyle name="40% - 강조색2 4 3 7 2" xfId="13409"/>
    <cellStyle name="40% - 강조색2 4 3 7 2 2" xfId="13410"/>
    <cellStyle name="40% - 강조색2 4 3 7 2 3" xfId="13411"/>
    <cellStyle name="40% - 강조색2 4 3 7 3" xfId="13412"/>
    <cellStyle name="40% - 강조색2 4 3 7 4" xfId="13413"/>
    <cellStyle name="40% - 강조색2 4 3 8" xfId="13414"/>
    <cellStyle name="40% - 강조색2 4 3 8 2" xfId="13415"/>
    <cellStyle name="40% - 강조색2 4 3 8 3" xfId="13416"/>
    <cellStyle name="40% - 강조색2 4 3 9" xfId="13417"/>
    <cellStyle name="40% - 강조색2 4 4" xfId="13418"/>
    <cellStyle name="40% - 강조색2 4 4 10" xfId="13419"/>
    <cellStyle name="40% - 강조색2 4 4 2" xfId="13420"/>
    <cellStyle name="40% - 강조색2 4 4 2 2" xfId="13421"/>
    <cellStyle name="40% - 강조색2 4 4 2 2 2" xfId="13422"/>
    <cellStyle name="40% - 강조색2 4 4 2 2 2 2" xfId="13423"/>
    <cellStyle name="40% - 강조색2 4 4 2 2 2 2 2" xfId="13424"/>
    <cellStyle name="40% - 강조색2 4 4 2 2 2 2 3" xfId="13425"/>
    <cellStyle name="40% - 강조색2 4 4 2 2 2 3" xfId="13426"/>
    <cellStyle name="40% - 강조색2 4 4 2 2 2 4" xfId="13427"/>
    <cellStyle name="40% - 강조색2 4 4 2 2 3" xfId="13428"/>
    <cellStyle name="40% - 강조색2 4 4 2 2 3 2" xfId="13429"/>
    <cellStyle name="40% - 강조색2 4 4 2 2 3 3" xfId="13430"/>
    <cellStyle name="40% - 강조색2 4 4 2 2 4" xfId="13431"/>
    <cellStyle name="40% - 강조색2 4 4 2 2 5" xfId="13432"/>
    <cellStyle name="40% - 강조색2 4 4 2 3" xfId="13433"/>
    <cellStyle name="40% - 강조색2 4 4 2 3 2" xfId="13434"/>
    <cellStyle name="40% - 강조색2 4 4 2 3 2 2" xfId="13435"/>
    <cellStyle name="40% - 강조색2 4 4 2 3 2 2 2" xfId="13436"/>
    <cellStyle name="40% - 강조색2 4 4 2 3 2 2 3" xfId="13437"/>
    <cellStyle name="40% - 강조색2 4 4 2 3 2 3" xfId="13438"/>
    <cellStyle name="40% - 강조색2 4 4 2 3 2 4" xfId="13439"/>
    <cellStyle name="40% - 강조색2 4 4 2 3 3" xfId="13440"/>
    <cellStyle name="40% - 강조색2 4 4 2 3 3 2" xfId="13441"/>
    <cellStyle name="40% - 강조색2 4 4 2 3 3 3" xfId="13442"/>
    <cellStyle name="40% - 강조색2 4 4 2 3 4" xfId="13443"/>
    <cellStyle name="40% - 강조색2 4 4 2 3 5" xfId="13444"/>
    <cellStyle name="40% - 강조색2 4 4 2 4" xfId="13445"/>
    <cellStyle name="40% - 강조색2 4 4 2 4 2" xfId="13446"/>
    <cellStyle name="40% - 강조색2 4 4 2 4 2 2" xfId="13447"/>
    <cellStyle name="40% - 강조색2 4 4 2 4 2 3" xfId="13448"/>
    <cellStyle name="40% - 강조색2 4 4 2 4 3" xfId="13449"/>
    <cellStyle name="40% - 강조색2 4 4 2 4 4" xfId="13450"/>
    <cellStyle name="40% - 강조색2 4 4 2 5" xfId="13451"/>
    <cellStyle name="40% - 강조색2 4 4 2 5 2" xfId="13452"/>
    <cellStyle name="40% - 강조색2 4 4 2 5 3" xfId="13453"/>
    <cellStyle name="40% - 강조색2 4 4 2 6" xfId="13454"/>
    <cellStyle name="40% - 강조색2 4 4 2 7" xfId="13455"/>
    <cellStyle name="40% - 강조색2 4 4 3" xfId="13456"/>
    <cellStyle name="40% - 강조색2 4 4 3 2" xfId="13457"/>
    <cellStyle name="40% - 강조색2 4 4 3 2 2" xfId="13458"/>
    <cellStyle name="40% - 강조색2 4 4 3 2 2 2" xfId="13459"/>
    <cellStyle name="40% - 강조색2 4 4 3 2 2 2 2" xfId="13460"/>
    <cellStyle name="40% - 강조색2 4 4 3 2 2 2 3" xfId="13461"/>
    <cellStyle name="40% - 강조색2 4 4 3 2 2 3" xfId="13462"/>
    <cellStyle name="40% - 강조색2 4 4 3 2 2 4" xfId="13463"/>
    <cellStyle name="40% - 강조색2 4 4 3 2 3" xfId="13464"/>
    <cellStyle name="40% - 강조색2 4 4 3 2 3 2" xfId="13465"/>
    <cellStyle name="40% - 강조색2 4 4 3 2 3 3" xfId="13466"/>
    <cellStyle name="40% - 강조색2 4 4 3 2 4" xfId="13467"/>
    <cellStyle name="40% - 강조색2 4 4 3 2 5" xfId="13468"/>
    <cellStyle name="40% - 강조색2 4 4 3 3" xfId="13469"/>
    <cellStyle name="40% - 강조색2 4 4 3 3 2" xfId="13470"/>
    <cellStyle name="40% - 강조색2 4 4 3 3 2 2" xfId="13471"/>
    <cellStyle name="40% - 강조색2 4 4 3 3 2 2 2" xfId="13472"/>
    <cellStyle name="40% - 강조색2 4 4 3 3 2 2 3" xfId="13473"/>
    <cellStyle name="40% - 강조색2 4 4 3 3 2 3" xfId="13474"/>
    <cellStyle name="40% - 강조색2 4 4 3 3 2 4" xfId="13475"/>
    <cellStyle name="40% - 강조색2 4 4 3 3 3" xfId="13476"/>
    <cellStyle name="40% - 강조색2 4 4 3 3 3 2" xfId="13477"/>
    <cellStyle name="40% - 강조색2 4 4 3 3 3 3" xfId="13478"/>
    <cellStyle name="40% - 강조색2 4 4 3 3 4" xfId="13479"/>
    <cellStyle name="40% - 강조색2 4 4 3 3 5" xfId="13480"/>
    <cellStyle name="40% - 강조색2 4 4 3 4" xfId="13481"/>
    <cellStyle name="40% - 강조색2 4 4 3 4 2" xfId="13482"/>
    <cellStyle name="40% - 강조색2 4 4 3 4 2 2" xfId="13483"/>
    <cellStyle name="40% - 강조색2 4 4 3 4 2 3" xfId="13484"/>
    <cellStyle name="40% - 강조색2 4 4 3 4 3" xfId="13485"/>
    <cellStyle name="40% - 강조색2 4 4 3 4 4" xfId="13486"/>
    <cellStyle name="40% - 강조색2 4 4 3 5" xfId="13487"/>
    <cellStyle name="40% - 강조색2 4 4 3 5 2" xfId="13488"/>
    <cellStyle name="40% - 강조색2 4 4 3 5 3" xfId="13489"/>
    <cellStyle name="40% - 강조색2 4 4 3 6" xfId="13490"/>
    <cellStyle name="40% - 강조색2 4 4 3 7" xfId="13491"/>
    <cellStyle name="40% - 강조색2 4 4 4" xfId="13492"/>
    <cellStyle name="40% - 강조색2 4 4 4 2" xfId="13493"/>
    <cellStyle name="40% - 강조색2 4 4 4 2 2" xfId="13494"/>
    <cellStyle name="40% - 강조색2 4 4 4 2 2 2" xfId="13495"/>
    <cellStyle name="40% - 강조색2 4 4 4 2 2 3" xfId="13496"/>
    <cellStyle name="40% - 강조색2 4 4 4 2 3" xfId="13497"/>
    <cellStyle name="40% - 강조색2 4 4 4 2 4" xfId="13498"/>
    <cellStyle name="40% - 강조색2 4 4 4 3" xfId="13499"/>
    <cellStyle name="40% - 강조색2 4 4 4 3 2" xfId="13500"/>
    <cellStyle name="40% - 강조색2 4 4 4 3 3" xfId="13501"/>
    <cellStyle name="40% - 강조색2 4 4 4 4" xfId="13502"/>
    <cellStyle name="40% - 강조색2 4 4 4 5" xfId="13503"/>
    <cellStyle name="40% - 강조색2 4 4 5" xfId="13504"/>
    <cellStyle name="40% - 강조색2 4 4 5 2" xfId="13505"/>
    <cellStyle name="40% - 강조색2 4 4 5 2 2" xfId="13506"/>
    <cellStyle name="40% - 강조색2 4 4 5 2 2 2" xfId="13507"/>
    <cellStyle name="40% - 강조색2 4 4 5 2 2 3" xfId="13508"/>
    <cellStyle name="40% - 강조색2 4 4 5 2 3" xfId="13509"/>
    <cellStyle name="40% - 강조색2 4 4 5 2 4" xfId="13510"/>
    <cellStyle name="40% - 강조색2 4 4 5 3" xfId="13511"/>
    <cellStyle name="40% - 강조색2 4 4 5 3 2" xfId="13512"/>
    <cellStyle name="40% - 강조색2 4 4 5 3 3" xfId="13513"/>
    <cellStyle name="40% - 강조색2 4 4 5 4" xfId="13514"/>
    <cellStyle name="40% - 강조색2 4 4 5 5" xfId="13515"/>
    <cellStyle name="40% - 강조색2 4 4 6" xfId="13516"/>
    <cellStyle name="40% - 강조색2 4 4 6 2" xfId="13517"/>
    <cellStyle name="40% - 강조색2 4 4 6 2 2" xfId="13518"/>
    <cellStyle name="40% - 강조색2 4 4 6 2 2 2" xfId="13519"/>
    <cellStyle name="40% - 강조색2 4 4 6 2 2 3" xfId="13520"/>
    <cellStyle name="40% - 강조색2 4 4 6 2 3" xfId="13521"/>
    <cellStyle name="40% - 강조색2 4 4 6 2 4" xfId="13522"/>
    <cellStyle name="40% - 강조색2 4 4 6 3" xfId="13523"/>
    <cellStyle name="40% - 강조색2 4 4 6 3 2" xfId="13524"/>
    <cellStyle name="40% - 강조색2 4 4 6 3 3" xfId="13525"/>
    <cellStyle name="40% - 강조색2 4 4 6 4" xfId="13526"/>
    <cellStyle name="40% - 강조색2 4 4 6 5" xfId="13527"/>
    <cellStyle name="40% - 강조색2 4 4 7" xfId="13528"/>
    <cellStyle name="40% - 강조색2 4 4 7 2" xfId="13529"/>
    <cellStyle name="40% - 강조색2 4 4 7 2 2" xfId="13530"/>
    <cellStyle name="40% - 강조색2 4 4 7 2 3" xfId="13531"/>
    <cellStyle name="40% - 강조색2 4 4 7 3" xfId="13532"/>
    <cellStyle name="40% - 강조색2 4 4 7 4" xfId="13533"/>
    <cellStyle name="40% - 강조색2 4 4 8" xfId="13534"/>
    <cellStyle name="40% - 강조색2 4 4 8 2" xfId="13535"/>
    <cellStyle name="40% - 강조색2 4 4 8 3" xfId="13536"/>
    <cellStyle name="40% - 강조색2 4 4 9" xfId="13537"/>
    <cellStyle name="40% - 강조색2 4 5" xfId="13538"/>
    <cellStyle name="40% - 강조색2 4 5 2" xfId="13539"/>
    <cellStyle name="40% - 강조색2 4 5 2 2" xfId="13540"/>
    <cellStyle name="40% - 강조색2 4 5 2 2 2" xfId="13541"/>
    <cellStyle name="40% - 강조색2 4 5 2 2 2 2" xfId="13542"/>
    <cellStyle name="40% - 강조색2 4 5 2 2 2 3" xfId="13543"/>
    <cellStyle name="40% - 강조색2 4 5 2 2 3" xfId="13544"/>
    <cellStyle name="40% - 강조색2 4 5 2 2 4" xfId="13545"/>
    <cellStyle name="40% - 강조색2 4 5 2 3" xfId="13546"/>
    <cellStyle name="40% - 강조색2 4 5 2 3 2" xfId="13547"/>
    <cellStyle name="40% - 강조색2 4 5 2 3 3" xfId="13548"/>
    <cellStyle name="40% - 강조색2 4 5 2 4" xfId="13549"/>
    <cellStyle name="40% - 강조색2 4 5 2 5" xfId="13550"/>
    <cellStyle name="40% - 강조색2 4 5 3" xfId="13551"/>
    <cellStyle name="40% - 강조색2 4 5 3 2" xfId="13552"/>
    <cellStyle name="40% - 강조색2 4 5 3 2 2" xfId="13553"/>
    <cellStyle name="40% - 강조색2 4 5 3 2 2 2" xfId="13554"/>
    <cellStyle name="40% - 강조색2 4 5 3 2 2 3" xfId="13555"/>
    <cellStyle name="40% - 강조색2 4 5 3 2 3" xfId="13556"/>
    <cellStyle name="40% - 강조색2 4 5 3 2 4" xfId="13557"/>
    <cellStyle name="40% - 강조색2 4 5 3 3" xfId="13558"/>
    <cellStyle name="40% - 강조색2 4 5 3 3 2" xfId="13559"/>
    <cellStyle name="40% - 강조색2 4 5 3 3 3" xfId="13560"/>
    <cellStyle name="40% - 강조색2 4 5 3 4" xfId="13561"/>
    <cellStyle name="40% - 강조색2 4 5 3 5" xfId="13562"/>
    <cellStyle name="40% - 강조색2 4 5 4" xfId="13563"/>
    <cellStyle name="40% - 강조색2 4 5 4 2" xfId="13564"/>
    <cellStyle name="40% - 강조색2 4 5 4 2 2" xfId="13565"/>
    <cellStyle name="40% - 강조색2 4 5 4 2 3" xfId="13566"/>
    <cellStyle name="40% - 강조색2 4 5 4 3" xfId="13567"/>
    <cellStyle name="40% - 강조색2 4 5 4 4" xfId="13568"/>
    <cellStyle name="40% - 강조색2 4 5 5" xfId="13569"/>
    <cellStyle name="40% - 강조색2 4 5 5 2" xfId="13570"/>
    <cellStyle name="40% - 강조색2 4 5 5 3" xfId="13571"/>
    <cellStyle name="40% - 강조색2 4 5 6" xfId="13572"/>
    <cellStyle name="40% - 강조색2 4 5 7" xfId="13573"/>
    <cellStyle name="40% - 강조색2 4 6" xfId="13574"/>
    <cellStyle name="40% - 강조색2 4 6 2" xfId="13575"/>
    <cellStyle name="40% - 강조색2 4 6 2 2" xfId="13576"/>
    <cellStyle name="40% - 강조색2 4 6 2 2 2" xfId="13577"/>
    <cellStyle name="40% - 강조색2 4 6 2 2 2 2" xfId="13578"/>
    <cellStyle name="40% - 강조색2 4 6 2 2 2 3" xfId="13579"/>
    <cellStyle name="40% - 강조색2 4 6 2 2 3" xfId="13580"/>
    <cellStyle name="40% - 강조색2 4 6 2 2 4" xfId="13581"/>
    <cellStyle name="40% - 강조색2 4 6 2 3" xfId="13582"/>
    <cellStyle name="40% - 강조색2 4 6 2 3 2" xfId="13583"/>
    <cellStyle name="40% - 강조색2 4 6 2 3 3" xfId="13584"/>
    <cellStyle name="40% - 강조색2 4 6 2 4" xfId="13585"/>
    <cellStyle name="40% - 강조색2 4 6 2 5" xfId="13586"/>
    <cellStyle name="40% - 강조색2 4 6 3" xfId="13587"/>
    <cellStyle name="40% - 강조색2 4 6 3 2" xfId="13588"/>
    <cellStyle name="40% - 강조색2 4 6 3 2 2" xfId="13589"/>
    <cellStyle name="40% - 강조색2 4 6 3 2 2 2" xfId="13590"/>
    <cellStyle name="40% - 강조색2 4 6 3 2 2 3" xfId="13591"/>
    <cellStyle name="40% - 강조색2 4 6 3 2 3" xfId="13592"/>
    <cellStyle name="40% - 강조색2 4 6 3 2 4" xfId="13593"/>
    <cellStyle name="40% - 강조색2 4 6 3 3" xfId="13594"/>
    <cellStyle name="40% - 강조색2 4 6 3 3 2" xfId="13595"/>
    <cellStyle name="40% - 강조색2 4 6 3 3 3" xfId="13596"/>
    <cellStyle name="40% - 강조색2 4 6 3 4" xfId="13597"/>
    <cellStyle name="40% - 강조색2 4 6 3 5" xfId="13598"/>
    <cellStyle name="40% - 강조색2 4 6 4" xfId="13599"/>
    <cellStyle name="40% - 강조색2 4 6 4 2" xfId="13600"/>
    <cellStyle name="40% - 강조색2 4 6 4 2 2" xfId="13601"/>
    <cellStyle name="40% - 강조색2 4 6 4 2 3" xfId="13602"/>
    <cellStyle name="40% - 강조색2 4 6 4 3" xfId="13603"/>
    <cellStyle name="40% - 강조색2 4 6 4 4" xfId="13604"/>
    <cellStyle name="40% - 강조색2 4 6 5" xfId="13605"/>
    <cellStyle name="40% - 강조색2 4 6 5 2" xfId="13606"/>
    <cellStyle name="40% - 강조색2 4 6 5 3" xfId="13607"/>
    <cellStyle name="40% - 강조색2 4 6 6" xfId="13608"/>
    <cellStyle name="40% - 강조색2 4 6 7" xfId="13609"/>
    <cellStyle name="40% - 강조색2 4 7" xfId="13610"/>
    <cellStyle name="40% - 강조색2 4 7 2" xfId="13611"/>
    <cellStyle name="40% - 강조색2 4 7 2 2" xfId="13612"/>
    <cellStyle name="40% - 강조색2 4 7 2 2 2" xfId="13613"/>
    <cellStyle name="40% - 강조색2 4 7 2 2 3" xfId="13614"/>
    <cellStyle name="40% - 강조색2 4 7 2 3" xfId="13615"/>
    <cellStyle name="40% - 강조색2 4 7 2 4" xfId="13616"/>
    <cellStyle name="40% - 강조색2 4 7 3" xfId="13617"/>
    <cellStyle name="40% - 강조색2 4 7 3 2" xfId="13618"/>
    <cellStyle name="40% - 강조색2 4 7 3 3" xfId="13619"/>
    <cellStyle name="40% - 강조색2 4 7 4" xfId="13620"/>
    <cellStyle name="40% - 강조색2 4 7 5" xfId="13621"/>
    <cellStyle name="40% - 강조색2 4 8" xfId="13622"/>
    <cellStyle name="40% - 강조색2 4 8 2" xfId="13623"/>
    <cellStyle name="40% - 강조색2 4 8 2 2" xfId="13624"/>
    <cellStyle name="40% - 강조색2 4 8 2 2 2" xfId="13625"/>
    <cellStyle name="40% - 강조색2 4 8 2 2 3" xfId="13626"/>
    <cellStyle name="40% - 강조색2 4 8 2 3" xfId="13627"/>
    <cellStyle name="40% - 강조색2 4 8 2 4" xfId="13628"/>
    <cellStyle name="40% - 강조색2 4 8 3" xfId="13629"/>
    <cellStyle name="40% - 강조색2 4 8 3 2" xfId="13630"/>
    <cellStyle name="40% - 강조색2 4 8 3 3" xfId="13631"/>
    <cellStyle name="40% - 강조색2 4 8 4" xfId="13632"/>
    <cellStyle name="40% - 강조색2 4 8 5" xfId="13633"/>
    <cellStyle name="40% - 강조색2 4 9" xfId="13634"/>
    <cellStyle name="40% - 강조색2 4 9 2" xfId="13635"/>
    <cellStyle name="40% - 강조색2 4 9 2 2" xfId="13636"/>
    <cellStyle name="40% - 강조색2 4 9 2 2 2" xfId="13637"/>
    <cellStyle name="40% - 강조색2 4 9 2 2 3" xfId="13638"/>
    <cellStyle name="40% - 강조색2 4 9 2 3" xfId="13639"/>
    <cellStyle name="40% - 강조색2 4 9 2 4" xfId="13640"/>
    <cellStyle name="40% - 강조색2 4 9 3" xfId="13641"/>
    <cellStyle name="40% - 강조색2 4 9 3 2" xfId="13642"/>
    <cellStyle name="40% - 강조색2 4 9 3 3" xfId="13643"/>
    <cellStyle name="40% - 강조색2 4 9 4" xfId="13644"/>
    <cellStyle name="40% - 강조색2 4 9 5" xfId="13645"/>
    <cellStyle name="40% - 강조색2 40" xfId="13646"/>
    <cellStyle name="40% - 강조색2 41" xfId="13647"/>
    <cellStyle name="40% - 강조색2 42" xfId="13648"/>
    <cellStyle name="40% - 강조색2 43" xfId="13649"/>
    <cellStyle name="40% - 강조색2 44" xfId="13650"/>
    <cellStyle name="40% - 강조색2 45" xfId="13651"/>
    <cellStyle name="40% - 강조색2 46" xfId="13652"/>
    <cellStyle name="40% - 강조색2 47" xfId="13653"/>
    <cellStyle name="40% - 강조색2 48" xfId="13654"/>
    <cellStyle name="40% - 강조색2 49" xfId="13655"/>
    <cellStyle name="40% - 강조색2 5" xfId="13656"/>
    <cellStyle name="40% - 강조색2 5 10" xfId="13657"/>
    <cellStyle name="40% - 강조색2 5 11" xfId="13658"/>
    <cellStyle name="40% - 강조색2 5 2" xfId="13659"/>
    <cellStyle name="40% - 강조색2 5 2 2" xfId="13660"/>
    <cellStyle name="40% - 강조색2 5 2 2 2" xfId="13661"/>
    <cellStyle name="40% - 강조색2 5 2 2 2 2" xfId="13662"/>
    <cellStyle name="40% - 강조색2 5 2 2 2 2 2" xfId="13663"/>
    <cellStyle name="40% - 강조색2 5 2 2 2 2 3" xfId="13664"/>
    <cellStyle name="40% - 강조색2 5 2 2 2 3" xfId="13665"/>
    <cellStyle name="40% - 강조색2 5 2 2 2 4" xfId="13666"/>
    <cellStyle name="40% - 강조색2 5 2 2 3" xfId="13667"/>
    <cellStyle name="40% - 강조색2 5 2 2 3 2" xfId="13668"/>
    <cellStyle name="40% - 강조색2 5 2 2 3 3" xfId="13669"/>
    <cellStyle name="40% - 강조색2 5 2 2 4" xfId="13670"/>
    <cellStyle name="40% - 강조색2 5 2 2 5" xfId="13671"/>
    <cellStyle name="40% - 강조색2 5 2 3" xfId="13672"/>
    <cellStyle name="40% - 강조색2 5 2 3 2" xfId="13673"/>
    <cellStyle name="40% - 강조색2 5 2 3 2 2" xfId="13674"/>
    <cellStyle name="40% - 강조색2 5 2 3 2 2 2" xfId="13675"/>
    <cellStyle name="40% - 강조색2 5 2 3 2 2 3" xfId="13676"/>
    <cellStyle name="40% - 강조색2 5 2 3 2 3" xfId="13677"/>
    <cellStyle name="40% - 강조색2 5 2 3 2 4" xfId="13678"/>
    <cellStyle name="40% - 강조색2 5 2 3 3" xfId="13679"/>
    <cellStyle name="40% - 강조색2 5 2 3 3 2" xfId="13680"/>
    <cellStyle name="40% - 강조색2 5 2 3 3 3" xfId="13681"/>
    <cellStyle name="40% - 강조색2 5 2 3 4" xfId="13682"/>
    <cellStyle name="40% - 강조색2 5 2 3 5" xfId="13683"/>
    <cellStyle name="40% - 강조색2 5 2 4" xfId="13684"/>
    <cellStyle name="40% - 강조색2 5 2 4 2" xfId="13685"/>
    <cellStyle name="40% - 강조색2 5 2 4 2 2" xfId="13686"/>
    <cellStyle name="40% - 강조색2 5 2 4 2 3" xfId="13687"/>
    <cellStyle name="40% - 강조색2 5 2 4 3" xfId="13688"/>
    <cellStyle name="40% - 강조색2 5 2 4 4" xfId="13689"/>
    <cellStyle name="40% - 강조색2 5 2 5" xfId="13690"/>
    <cellStyle name="40% - 강조색2 5 2 5 2" xfId="13691"/>
    <cellStyle name="40% - 강조색2 5 2 5 3" xfId="13692"/>
    <cellStyle name="40% - 강조색2 5 2 6" xfId="13693"/>
    <cellStyle name="40% - 강조색2 5 2 7" xfId="13694"/>
    <cellStyle name="40% - 강조색2 5 3" xfId="13695"/>
    <cellStyle name="40% - 강조색2 5 3 2" xfId="13696"/>
    <cellStyle name="40% - 강조색2 5 3 2 2" xfId="13697"/>
    <cellStyle name="40% - 강조색2 5 3 2 2 2" xfId="13698"/>
    <cellStyle name="40% - 강조색2 5 3 2 2 2 2" xfId="13699"/>
    <cellStyle name="40% - 강조색2 5 3 2 2 2 3" xfId="13700"/>
    <cellStyle name="40% - 강조색2 5 3 2 2 3" xfId="13701"/>
    <cellStyle name="40% - 강조색2 5 3 2 2 4" xfId="13702"/>
    <cellStyle name="40% - 강조색2 5 3 2 3" xfId="13703"/>
    <cellStyle name="40% - 강조색2 5 3 2 3 2" xfId="13704"/>
    <cellStyle name="40% - 강조색2 5 3 2 3 3" xfId="13705"/>
    <cellStyle name="40% - 강조색2 5 3 2 4" xfId="13706"/>
    <cellStyle name="40% - 강조색2 5 3 2 5" xfId="13707"/>
    <cellStyle name="40% - 강조색2 5 3 3" xfId="13708"/>
    <cellStyle name="40% - 강조색2 5 3 3 2" xfId="13709"/>
    <cellStyle name="40% - 강조색2 5 3 3 2 2" xfId="13710"/>
    <cellStyle name="40% - 강조색2 5 3 3 2 2 2" xfId="13711"/>
    <cellStyle name="40% - 강조색2 5 3 3 2 2 3" xfId="13712"/>
    <cellStyle name="40% - 강조색2 5 3 3 2 3" xfId="13713"/>
    <cellStyle name="40% - 강조색2 5 3 3 2 4" xfId="13714"/>
    <cellStyle name="40% - 강조색2 5 3 3 3" xfId="13715"/>
    <cellStyle name="40% - 강조색2 5 3 3 3 2" xfId="13716"/>
    <cellStyle name="40% - 강조색2 5 3 3 3 3" xfId="13717"/>
    <cellStyle name="40% - 강조색2 5 3 3 4" xfId="13718"/>
    <cellStyle name="40% - 강조색2 5 3 3 5" xfId="13719"/>
    <cellStyle name="40% - 강조색2 5 3 4" xfId="13720"/>
    <cellStyle name="40% - 강조색2 5 3 4 2" xfId="13721"/>
    <cellStyle name="40% - 강조색2 5 3 4 2 2" xfId="13722"/>
    <cellStyle name="40% - 강조색2 5 3 4 2 3" xfId="13723"/>
    <cellStyle name="40% - 강조색2 5 3 4 3" xfId="13724"/>
    <cellStyle name="40% - 강조색2 5 3 4 4" xfId="13725"/>
    <cellStyle name="40% - 강조색2 5 3 5" xfId="13726"/>
    <cellStyle name="40% - 강조색2 5 3 5 2" xfId="13727"/>
    <cellStyle name="40% - 강조색2 5 3 5 3" xfId="13728"/>
    <cellStyle name="40% - 강조색2 5 3 6" xfId="13729"/>
    <cellStyle name="40% - 강조색2 5 3 7" xfId="13730"/>
    <cellStyle name="40% - 강조색2 5 4" xfId="13731"/>
    <cellStyle name="40% - 강조색2 5 4 2" xfId="13732"/>
    <cellStyle name="40% - 강조색2 5 4 2 2" xfId="13733"/>
    <cellStyle name="40% - 강조색2 5 4 2 2 2" xfId="13734"/>
    <cellStyle name="40% - 강조색2 5 4 2 2 3" xfId="13735"/>
    <cellStyle name="40% - 강조색2 5 4 2 3" xfId="13736"/>
    <cellStyle name="40% - 강조색2 5 4 2 4" xfId="13737"/>
    <cellStyle name="40% - 강조색2 5 4 3" xfId="13738"/>
    <cellStyle name="40% - 강조색2 5 4 3 2" xfId="13739"/>
    <cellStyle name="40% - 강조색2 5 4 3 3" xfId="13740"/>
    <cellStyle name="40% - 강조색2 5 4 4" xfId="13741"/>
    <cellStyle name="40% - 강조색2 5 4 5" xfId="13742"/>
    <cellStyle name="40% - 강조색2 5 5" xfId="13743"/>
    <cellStyle name="40% - 강조색2 5 5 2" xfId="13744"/>
    <cellStyle name="40% - 강조색2 5 5 2 2" xfId="13745"/>
    <cellStyle name="40% - 강조색2 5 5 2 2 2" xfId="13746"/>
    <cellStyle name="40% - 강조색2 5 5 2 2 3" xfId="13747"/>
    <cellStyle name="40% - 강조색2 5 5 2 3" xfId="13748"/>
    <cellStyle name="40% - 강조색2 5 5 2 4" xfId="13749"/>
    <cellStyle name="40% - 강조색2 5 5 3" xfId="13750"/>
    <cellStyle name="40% - 강조색2 5 5 3 2" xfId="13751"/>
    <cellStyle name="40% - 강조색2 5 5 3 3" xfId="13752"/>
    <cellStyle name="40% - 강조색2 5 5 4" xfId="13753"/>
    <cellStyle name="40% - 강조색2 5 5 5" xfId="13754"/>
    <cellStyle name="40% - 강조색2 5 6" xfId="13755"/>
    <cellStyle name="40% - 강조색2 5 6 2" xfId="13756"/>
    <cellStyle name="40% - 강조색2 5 6 2 2" xfId="13757"/>
    <cellStyle name="40% - 강조색2 5 6 2 2 2" xfId="13758"/>
    <cellStyle name="40% - 강조색2 5 6 2 2 3" xfId="13759"/>
    <cellStyle name="40% - 강조색2 5 6 2 3" xfId="13760"/>
    <cellStyle name="40% - 강조색2 5 6 2 4" xfId="13761"/>
    <cellStyle name="40% - 강조색2 5 6 3" xfId="13762"/>
    <cellStyle name="40% - 강조색2 5 6 3 2" xfId="13763"/>
    <cellStyle name="40% - 강조색2 5 6 3 3" xfId="13764"/>
    <cellStyle name="40% - 강조색2 5 6 4" xfId="13765"/>
    <cellStyle name="40% - 강조색2 5 6 5" xfId="13766"/>
    <cellStyle name="40% - 강조색2 5 7" xfId="13767"/>
    <cellStyle name="40% - 강조색2 5 7 2" xfId="13768"/>
    <cellStyle name="40% - 강조색2 5 7 2 2" xfId="13769"/>
    <cellStyle name="40% - 강조색2 5 7 2 3" xfId="13770"/>
    <cellStyle name="40% - 강조색2 5 7 3" xfId="13771"/>
    <cellStyle name="40% - 강조색2 5 7 4" xfId="13772"/>
    <cellStyle name="40% - 강조색2 5 8" xfId="13773"/>
    <cellStyle name="40% - 강조색2 5 8 2" xfId="13774"/>
    <cellStyle name="40% - 강조색2 5 8 3" xfId="13775"/>
    <cellStyle name="40% - 강조색2 5 9" xfId="13776"/>
    <cellStyle name="40% - 강조색2 50" xfId="13777"/>
    <cellStyle name="40% - 강조색2 51" xfId="13778"/>
    <cellStyle name="40% - 강조색2 52" xfId="13779"/>
    <cellStyle name="40% - 강조색2 53" xfId="13780"/>
    <cellStyle name="40% - 강조색2 54" xfId="13781"/>
    <cellStyle name="40% - 강조색2 55" xfId="13782"/>
    <cellStyle name="40% - 강조색2 56" xfId="13783"/>
    <cellStyle name="40% - 강조색2 57" xfId="13784"/>
    <cellStyle name="40% - 강조색2 58" xfId="13785"/>
    <cellStyle name="40% - 강조색2 59" xfId="13786"/>
    <cellStyle name="40% - 강조색2 6" xfId="13787"/>
    <cellStyle name="40% - 강조색2 6 10" xfId="13788"/>
    <cellStyle name="40% - 강조색2 6 2" xfId="13789"/>
    <cellStyle name="40% - 강조색2 6 2 2" xfId="13790"/>
    <cellStyle name="40% - 강조색2 6 2 2 2" xfId="13791"/>
    <cellStyle name="40% - 강조색2 6 2 2 2 2" xfId="13792"/>
    <cellStyle name="40% - 강조색2 6 2 2 2 2 2" xfId="13793"/>
    <cellStyle name="40% - 강조색2 6 2 2 2 2 3" xfId="13794"/>
    <cellStyle name="40% - 강조색2 6 2 2 2 3" xfId="13795"/>
    <cellStyle name="40% - 강조색2 6 2 2 2 4" xfId="13796"/>
    <cellStyle name="40% - 강조색2 6 2 2 3" xfId="13797"/>
    <cellStyle name="40% - 강조색2 6 2 2 3 2" xfId="13798"/>
    <cellStyle name="40% - 강조색2 6 2 2 3 3" xfId="13799"/>
    <cellStyle name="40% - 강조색2 6 2 2 4" xfId="13800"/>
    <cellStyle name="40% - 강조색2 6 2 2 5" xfId="13801"/>
    <cellStyle name="40% - 강조색2 6 2 3" xfId="13802"/>
    <cellStyle name="40% - 강조색2 6 2 3 2" xfId="13803"/>
    <cellStyle name="40% - 강조색2 6 2 3 2 2" xfId="13804"/>
    <cellStyle name="40% - 강조색2 6 2 3 2 2 2" xfId="13805"/>
    <cellStyle name="40% - 강조색2 6 2 3 2 2 3" xfId="13806"/>
    <cellStyle name="40% - 강조색2 6 2 3 2 3" xfId="13807"/>
    <cellStyle name="40% - 강조색2 6 2 3 2 4" xfId="13808"/>
    <cellStyle name="40% - 강조색2 6 2 3 3" xfId="13809"/>
    <cellStyle name="40% - 강조색2 6 2 3 3 2" xfId="13810"/>
    <cellStyle name="40% - 강조색2 6 2 3 3 3" xfId="13811"/>
    <cellStyle name="40% - 강조색2 6 2 3 4" xfId="13812"/>
    <cellStyle name="40% - 강조색2 6 2 3 5" xfId="13813"/>
    <cellStyle name="40% - 강조색2 6 2 4" xfId="13814"/>
    <cellStyle name="40% - 강조색2 6 2 4 2" xfId="13815"/>
    <cellStyle name="40% - 강조색2 6 2 4 2 2" xfId="13816"/>
    <cellStyle name="40% - 강조색2 6 2 4 2 3" xfId="13817"/>
    <cellStyle name="40% - 강조색2 6 2 4 3" xfId="13818"/>
    <cellStyle name="40% - 강조색2 6 2 4 4" xfId="13819"/>
    <cellStyle name="40% - 강조색2 6 2 5" xfId="13820"/>
    <cellStyle name="40% - 강조색2 6 2 5 2" xfId="13821"/>
    <cellStyle name="40% - 강조색2 6 2 5 3" xfId="13822"/>
    <cellStyle name="40% - 강조색2 6 2 6" xfId="13823"/>
    <cellStyle name="40% - 강조색2 6 2 7" xfId="13824"/>
    <cellStyle name="40% - 강조색2 6 3" xfId="13825"/>
    <cellStyle name="40% - 강조색2 6 3 2" xfId="13826"/>
    <cellStyle name="40% - 강조색2 6 3 2 2" xfId="13827"/>
    <cellStyle name="40% - 강조색2 6 3 2 2 2" xfId="13828"/>
    <cellStyle name="40% - 강조색2 6 3 2 2 2 2" xfId="13829"/>
    <cellStyle name="40% - 강조색2 6 3 2 2 2 3" xfId="13830"/>
    <cellStyle name="40% - 강조색2 6 3 2 2 3" xfId="13831"/>
    <cellStyle name="40% - 강조색2 6 3 2 2 4" xfId="13832"/>
    <cellStyle name="40% - 강조색2 6 3 2 3" xfId="13833"/>
    <cellStyle name="40% - 강조색2 6 3 2 3 2" xfId="13834"/>
    <cellStyle name="40% - 강조색2 6 3 2 3 3" xfId="13835"/>
    <cellStyle name="40% - 강조색2 6 3 2 4" xfId="13836"/>
    <cellStyle name="40% - 강조색2 6 3 2 5" xfId="13837"/>
    <cellStyle name="40% - 강조색2 6 3 3" xfId="13838"/>
    <cellStyle name="40% - 강조색2 6 3 3 2" xfId="13839"/>
    <cellStyle name="40% - 강조색2 6 3 3 2 2" xfId="13840"/>
    <cellStyle name="40% - 강조색2 6 3 3 2 2 2" xfId="13841"/>
    <cellStyle name="40% - 강조색2 6 3 3 2 2 3" xfId="13842"/>
    <cellStyle name="40% - 강조색2 6 3 3 2 3" xfId="13843"/>
    <cellStyle name="40% - 강조색2 6 3 3 2 4" xfId="13844"/>
    <cellStyle name="40% - 강조색2 6 3 3 3" xfId="13845"/>
    <cellStyle name="40% - 강조색2 6 3 3 3 2" xfId="13846"/>
    <cellStyle name="40% - 강조색2 6 3 3 3 3" xfId="13847"/>
    <cellStyle name="40% - 강조색2 6 3 3 4" xfId="13848"/>
    <cellStyle name="40% - 강조색2 6 3 3 5" xfId="13849"/>
    <cellStyle name="40% - 강조색2 6 3 4" xfId="13850"/>
    <cellStyle name="40% - 강조색2 6 3 4 2" xfId="13851"/>
    <cellStyle name="40% - 강조색2 6 3 4 2 2" xfId="13852"/>
    <cellStyle name="40% - 강조색2 6 3 4 2 3" xfId="13853"/>
    <cellStyle name="40% - 강조색2 6 3 4 3" xfId="13854"/>
    <cellStyle name="40% - 강조색2 6 3 4 4" xfId="13855"/>
    <cellStyle name="40% - 강조색2 6 3 5" xfId="13856"/>
    <cellStyle name="40% - 강조색2 6 3 5 2" xfId="13857"/>
    <cellStyle name="40% - 강조색2 6 3 5 3" xfId="13858"/>
    <cellStyle name="40% - 강조색2 6 3 6" xfId="13859"/>
    <cellStyle name="40% - 강조색2 6 3 7" xfId="13860"/>
    <cellStyle name="40% - 강조색2 6 4" xfId="13861"/>
    <cellStyle name="40% - 강조색2 6 4 2" xfId="13862"/>
    <cellStyle name="40% - 강조색2 6 4 2 2" xfId="13863"/>
    <cellStyle name="40% - 강조색2 6 4 2 2 2" xfId="13864"/>
    <cellStyle name="40% - 강조색2 6 4 2 2 3" xfId="13865"/>
    <cellStyle name="40% - 강조색2 6 4 2 3" xfId="13866"/>
    <cellStyle name="40% - 강조색2 6 4 2 4" xfId="13867"/>
    <cellStyle name="40% - 강조색2 6 4 3" xfId="13868"/>
    <cellStyle name="40% - 강조색2 6 4 3 2" xfId="13869"/>
    <cellStyle name="40% - 강조색2 6 4 3 3" xfId="13870"/>
    <cellStyle name="40% - 강조색2 6 4 4" xfId="13871"/>
    <cellStyle name="40% - 강조색2 6 4 5" xfId="13872"/>
    <cellStyle name="40% - 강조색2 6 5" xfId="13873"/>
    <cellStyle name="40% - 강조색2 6 5 2" xfId="13874"/>
    <cellStyle name="40% - 강조색2 6 5 2 2" xfId="13875"/>
    <cellStyle name="40% - 강조색2 6 5 2 2 2" xfId="13876"/>
    <cellStyle name="40% - 강조색2 6 5 2 2 3" xfId="13877"/>
    <cellStyle name="40% - 강조색2 6 5 2 3" xfId="13878"/>
    <cellStyle name="40% - 강조색2 6 5 2 4" xfId="13879"/>
    <cellStyle name="40% - 강조색2 6 5 3" xfId="13880"/>
    <cellStyle name="40% - 강조색2 6 5 3 2" xfId="13881"/>
    <cellStyle name="40% - 강조색2 6 5 3 3" xfId="13882"/>
    <cellStyle name="40% - 강조색2 6 5 4" xfId="13883"/>
    <cellStyle name="40% - 강조색2 6 5 5" xfId="13884"/>
    <cellStyle name="40% - 강조색2 6 6" xfId="13885"/>
    <cellStyle name="40% - 강조색2 6 6 2" xfId="13886"/>
    <cellStyle name="40% - 강조색2 6 6 2 2" xfId="13887"/>
    <cellStyle name="40% - 강조색2 6 6 2 2 2" xfId="13888"/>
    <cellStyle name="40% - 강조색2 6 6 2 2 3" xfId="13889"/>
    <cellStyle name="40% - 강조색2 6 6 2 3" xfId="13890"/>
    <cellStyle name="40% - 강조색2 6 6 2 4" xfId="13891"/>
    <cellStyle name="40% - 강조색2 6 6 3" xfId="13892"/>
    <cellStyle name="40% - 강조색2 6 6 3 2" xfId="13893"/>
    <cellStyle name="40% - 강조색2 6 6 3 3" xfId="13894"/>
    <cellStyle name="40% - 강조색2 6 6 4" xfId="13895"/>
    <cellStyle name="40% - 강조색2 6 6 5" xfId="13896"/>
    <cellStyle name="40% - 강조색2 6 7" xfId="13897"/>
    <cellStyle name="40% - 강조색2 6 7 2" xfId="13898"/>
    <cellStyle name="40% - 강조색2 6 7 2 2" xfId="13899"/>
    <cellStyle name="40% - 강조색2 6 7 2 3" xfId="13900"/>
    <cellStyle name="40% - 강조색2 6 7 3" xfId="13901"/>
    <cellStyle name="40% - 강조색2 6 7 4" xfId="13902"/>
    <cellStyle name="40% - 강조색2 6 8" xfId="13903"/>
    <cellStyle name="40% - 강조색2 6 8 2" xfId="13904"/>
    <cellStyle name="40% - 강조색2 6 8 3" xfId="13905"/>
    <cellStyle name="40% - 강조색2 6 9" xfId="13906"/>
    <cellStyle name="40% - 강조색2 60" xfId="13907"/>
    <cellStyle name="40% - 강조색2 61" xfId="13908"/>
    <cellStyle name="40% - 강조색2 62" xfId="13909"/>
    <cellStyle name="40% - 강조색2 63" xfId="13910"/>
    <cellStyle name="40% - 강조색2 64" xfId="13911"/>
    <cellStyle name="40% - 강조색2 65" xfId="13912"/>
    <cellStyle name="40% - 강조색2 66" xfId="13913"/>
    <cellStyle name="40% - 강조색2 67" xfId="13914"/>
    <cellStyle name="40% - 강조색2 68" xfId="13915"/>
    <cellStyle name="40% - 강조색2 69" xfId="13916"/>
    <cellStyle name="40% - 강조색2 7" xfId="13917"/>
    <cellStyle name="40% - 강조색2 7 10" xfId="13918"/>
    <cellStyle name="40% - 강조색2 7 2" xfId="13919"/>
    <cellStyle name="40% - 강조색2 7 2 2" xfId="13920"/>
    <cellStyle name="40% - 강조색2 7 2 2 2" xfId="13921"/>
    <cellStyle name="40% - 강조색2 7 2 2 2 2" xfId="13922"/>
    <cellStyle name="40% - 강조색2 7 2 2 2 2 2" xfId="13923"/>
    <cellStyle name="40% - 강조색2 7 2 2 2 2 3" xfId="13924"/>
    <cellStyle name="40% - 강조색2 7 2 2 2 3" xfId="13925"/>
    <cellStyle name="40% - 강조색2 7 2 2 2 4" xfId="13926"/>
    <cellStyle name="40% - 강조색2 7 2 2 3" xfId="13927"/>
    <cellStyle name="40% - 강조색2 7 2 2 3 2" xfId="13928"/>
    <cellStyle name="40% - 강조색2 7 2 2 3 3" xfId="13929"/>
    <cellStyle name="40% - 강조색2 7 2 2 4" xfId="13930"/>
    <cellStyle name="40% - 강조색2 7 2 2 5" xfId="13931"/>
    <cellStyle name="40% - 강조색2 7 2 3" xfId="13932"/>
    <cellStyle name="40% - 강조색2 7 2 3 2" xfId="13933"/>
    <cellStyle name="40% - 강조색2 7 2 3 2 2" xfId="13934"/>
    <cellStyle name="40% - 강조색2 7 2 3 2 2 2" xfId="13935"/>
    <cellStyle name="40% - 강조색2 7 2 3 2 2 3" xfId="13936"/>
    <cellStyle name="40% - 강조색2 7 2 3 2 3" xfId="13937"/>
    <cellStyle name="40% - 강조색2 7 2 3 2 4" xfId="13938"/>
    <cellStyle name="40% - 강조색2 7 2 3 3" xfId="13939"/>
    <cellStyle name="40% - 강조색2 7 2 3 3 2" xfId="13940"/>
    <cellStyle name="40% - 강조색2 7 2 3 3 3" xfId="13941"/>
    <cellStyle name="40% - 강조색2 7 2 3 4" xfId="13942"/>
    <cellStyle name="40% - 강조색2 7 2 3 5" xfId="13943"/>
    <cellStyle name="40% - 강조색2 7 2 4" xfId="13944"/>
    <cellStyle name="40% - 강조색2 7 2 4 2" xfId="13945"/>
    <cellStyle name="40% - 강조색2 7 2 4 2 2" xfId="13946"/>
    <cellStyle name="40% - 강조색2 7 2 4 2 3" xfId="13947"/>
    <cellStyle name="40% - 강조색2 7 2 4 3" xfId="13948"/>
    <cellStyle name="40% - 강조색2 7 2 4 4" xfId="13949"/>
    <cellStyle name="40% - 강조색2 7 2 5" xfId="13950"/>
    <cellStyle name="40% - 강조색2 7 2 5 2" xfId="13951"/>
    <cellStyle name="40% - 강조색2 7 2 5 3" xfId="13952"/>
    <cellStyle name="40% - 강조색2 7 2 6" xfId="13953"/>
    <cellStyle name="40% - 강조색2 7 2 7" xfId="13954"/>
    <cellStyle name="40% - 강조색2 7 3" xfId="13955"/>
    <cellStyle name="40% - 강조색2 7 3 2" xfId="13956"/>
    <cellStyle name="40% - 강조색2 7 3 2 2" xfId="13957"/>
    <cellStyle name="40% - 강조색2 7 3 2 2 2" xfId="13958"/>
    <cellStyle name="40% - 강조색2 7 3 2 2 2 2" xfId="13959"/>
    <cellStyle name="40% - 강조색2 7 3 2 2 2 3" xfId="13960"/>
    <cellStyle name="40% - 강조색2 7 3 2 2 3" xfId="13961"/>
    <cellStyle name="40% - 강조색2 7 3 2 2 4" xfId="13962"/>
    <cellStyle name="40% - 강조색2 7 3 2 3" xfId="13963"/>
    <cellStyle name="40% - 강조색2 7 3 2 3 2" xfId="13964"/>
    <cellStyle name="40% - 강조색2 7 3 2 3 3" xfId="13965"/>
    <cellStyle name="40% - 강조색2 7 3 2 4" xfId="13966"/>
    <cellStyle name="40% - 강조색2 7 3 2 5" xfId="13967"/>
    <cellStyle name="40% - 강조색2 7 3 3" xfId="13968"/>
    <cellStyle name="40% - 강조색2 7 3 3 2" xfId="13969"/>
    <cellStyle name="40% - 강조색2 7 3 3 2 2" xfId="13970"/>
    <cellStyle name="40% - 강조색2 7 3 3 2 2 2" xfId="13971"/>
    <cellStyle name="40% - 강조색2 7 3 3 2 2 3" xfId="13972"/>
    <cellStyle name="40% - 강조색2 7 3 3 2 3" xfId="13973"/>
    <cellStyle name="40% - 강조색2 7 3 3 2 4" xfId="13974"/>
    <cellStyle name="40% - 강조색2 7 3 3 3" xfId="13975"/>
    <cellStyle name="40% - 강조색2 7 3 3 3 2" xfId="13976"/>
    <cellStyle name="40% - 강조색2 7 3 3 3 3" xfId="13977"/>
    <cellStyle name="40% - 강조색2 7 3 3 4" xfId="13978"/>
    <cellStyle name="40% - 강조색2 7 3 3 5" xfId="13979"/>
    <cellStyle name="40% - 강조색2 7 3 4" xfId="13980"/>
    <cellStyle name="40% - 강조색2 7 3 4 2" xfId="13981"/>
    <cellStyle name="40% - 강조색2 7 3 4 2 2" xfId="13982"/>
    <cellStyle name="40% - 강조색2 7 3 4 2 3" xfId="13983"/>
    <cellStyle name="40% - 강조색2 7 3 4 3" xfId="13984"/>
    <cellStyle name="40% - 강조색2 7 3 4 4" xfId="13985"/>
    <cellStyle name="40% - 강조색2 7 3 5" xfId="13986"/>
    <cellStyle name="40% - 강조색2 7 3 5 2" xfId="13987"/>
    <cellStyle name="40% - 강조색2 7 3 5 3" xfId="13988"/>
    <cellStyle name="40% - 강조색2 7 3 6" xfId="13989"/>
    <cellStyle name="40% - 강조색2 7 3 7" xfId="13990"/>
    <cellStyle name="40% - 강조색2 7 4" xfId="13991"/>
    <cellStyle name="40% - 강조색2 7 4 2" xfId="13992"/>
    <cellStyle name="40% - 강조색2 7 4 2 2" xfId="13993"/>
    <cellStyle name="40% - 강조색2 7 4 2 2 2" xfId="13994"/>
    <cellStyle name="40% - 강조색2 7 4 2 2 3" xfId="13995"/>
    <cellStyle name="40% - 강조색2 7 4 2 3" xfId="13996"/>
    <cellStyle name="40% - 강조색2 7 4 2 4" xfId="13997"/>
    <cellStyle name="40% - 강조색2 7 4 3" xfId="13998"/>
    <cellStyle name="40% - 강조색2 7 4 3 2" xfId="13999"/>
    <cellStyle name="40% - 강조색2 7 4 3 3" xfId="14000"/>
    <cellStyle name="40% - 강조색2 7 4 4" xfId="14001"/>
    <cellStyle name="40% - 강조색2 7 4 5" xfId="14002"/>
    <cellStyle name="40% - 강조색2 7 5" xfId="14003"/>
    <cellStyle name="40% - 강조색2 7 5 2" xfId="14004"/>
    <cellStyle name="40% - 강조색2 7 5 2 2" xfId="14005"/>
    <cellStyle name="40% - 강조색2 7 5 2 2 2" xfId="14006"/>
    <cellStyle name="40% - 강조색2 7 5 2 2 3" xfId="14007"/>
    <cellStyle name="40% - 강조색2 7 5 2 3" xfId="14008"/>
    <cellStyle name="40% - 강조색2 7 5 2 4" xfId="14009"/>
    <cellStyle name="40% - 강조색2 7 5 3" xfId="14010"/>
    <cellStyle name="40% - 강조색2 7 5 3 2" xfId="14011"/>
    <cellStyle name="40% - 강조색2 7 5 3 3" xfId="14012"/>
    <cellStyle name="40% - 강조색2 7 5 4" xfId="14013"/>
    <cellStyle name="40% - 강조색2 7 5 5" xfId="14014"/>
    <cellStyle name="40% - 강조색2 7 6" xfId="14015"/>
    <cellStyle name="40% - 강조색2 7 6 2" xfId="14016"/>
    <cellStyle name="40% - 강조색2 7 6 2 2" xfId="14017"/>
    <cellStyle name="40% - 강조색2 7 6 2 2 2" xfId="14018"/>
    <cellStyle name="40% - 강조색2 7 6 2 2 3" xfId="14019"/>
    <cellStyle name="40% - 강조색2 7 6 2 3" xfId="14020"/>
    <cellStyle name="40% - 강조색2 7 6 2 4" xfId="14021"/>
    <cellStyle name="40% - 강조색2 7 6 3" xfId="14022"/>
    <cellStyle name="40% - 강조색2 7 6 3 2" xfId="14023"/>
    <cellStyle name="40% - 강조색2 7 6 3 3" xfId="14024"/>
    <cellStyle name="40% - 강조색2 7 6 4" xfId="14025"/>
    <cellStyle name="40% - 강조색2 7 6 5" xfId="14026"/>
    <cellStyle name="40% - 강조색2 7 7" xfId="14027"/>
    <cellStyle name="40% - 강조색2 7 7 2" xfId="14028"/>
    <cellStyle name="40% - 강조색2 7 7 2 2" xfId="14029"/>
    <cellStyle name="40% - 강조색2 7 7 2 3" xfId="14030"/>
    <cellStyle name="40% - 강조색2 7 7 3" xfId="14031"/>
    <cellStyle name="40% - 강조색2 7 7 4" xfId="14032"/>
    <cellStyle name="40% - 강조색2 7 8" xfId="14033"/>
    <cellStyle name="40% - 강조색2 7 8 2" xfId="14034"/>
    <cellStyle name="40% - 강조색2 7 8 3" xfId="14035"/>
    <cellStyle name="40% - 강조색2 7 9" xfId="14036"/>
    <cellStyle name="40% - 강조색2 8" xfId="14037"/>
    <cellStyle name="40% - 강조색2 8 2" xfId="14038"/>
    <cellStyle name="40% - 강조색2 8 2 2" xfId="14039"/>
    <cellStyle name="40% - 강조색2 8 2 2 2" xfId="14040"/>
    <cellStyle name="40% - 강조색2 8 2 2 2 2" xfId="14041"/>
    <cellStyle name="40% - 강조색2 8 2 2 2 3" xfId="14042"/>
    <cellStyle name="40% - 강조색2 8 2 2 3" xfId="14043"/>
    <cellStyle name="40% - 강조색2 8 2 2 4" xfId="14044"/>
    <cellStyle name="40% - 강조색2 8 2 3" xfId="14045"/>
    <cellStyle name="40% - 강조색2 8 2 3 2" xfId="14046"/>
    <cellStyle name="40% - 강조색2 8 2 3 3" xfId="14047"/>
    <cellStyle name="40% - 강조색2 8 2 4" xfId="14048"/>
    <cellStyle name="40% - 강조색2 8 2 5" xfId="14049"/>
    <cellStyle name="40% - 강조색2 8 3" xfId="14050"/>
    <cellStyle name="40% - 강조색2 8 3 2" xfId="14051"/>
    <cellStyle name="40% - 강조색2 8 3 2 2" xfId="14052"/>
    <cellStyle name="40% - 강조색2 8 3 2 2 2" xfId="14053"/>
    <cellStyle name="40% - 강조색2 8 3 2 2 3" xfId="14054"/>
    <cellStyle name="40% - 강조색2 8 3 2 3" xfId="14055"/>
    <cellStyle name="40% - 강조색2 8 3 2 4" xfId="14056"/>
    <cellStyle name="40% - 강조색2 8 3 3" xfId="14057"/>
    <cellStyle name="40% - 강조색2 8 3 3 2" xfId="14058"/>
    <cellStyle name="40% - 강조색2 8 3 3 3" xfId="14059"/>
    <cellStyle name="40% - 강조색2 8 3 4" xfId="14060"/>
    <cellStyle name="40% - 강조색2 8 3 5" xfId="14061"/>
    <cellStyle name="40% - 강조색2 8 4" xfId="14062"/>
    <cellStyle name="40% - 강조색2 8 4 2" xfId="14063"/>
    <cellStyle name="40% - 강조색2 8 4 2 2" xfId="14064"/>
    <cellStyle name="40% - 강조색2 8 4 2 3" xfId="14065"/>
    <cellStyle name="40% - 강조색2 8 4 3" xfId="14066"/>
    <cellStyle name="40% - 강조색2 8 4 4" xfId="14067"/>
    <cellStyle name="40% - 강조색2 8 5" xfId="14068"/>
    <cellStyle name="40% - 강조색2 8 5 2" xfId="14069"/>
    <cellStyle name="40% - 강조색2 8 5 3" xfId="14070"/>
    <cellStyle name="40% - 강조색2 8 6" xfId="14071"/>
    <cellStyle name="40% - 강조색2 8 7" xfId="14072"/>
    <cellStyle name="40% - 강조색2 9" xfId="14073"/>
    <cellStyle name="40% - 강조색2 9 2" xfId="14074"/>
    <cellStyle name="40% - 강조색2 9 2 2" xfId="14075"/>
    <cellStyle name="40% - 강조색2 9 2 2 2" xfId="14076"/>
    <cellStyle name="40% - 강조색2 9 2 2 2 2" xfId="14077"/>
    <cellStyle name="40% - 강조색2 9 2 2 2 3" xfId="14078"/>
    <cellStyle name="40% - 강조색2 9 2 2 3" xfId="14079"/>
    <cellStyle name="40% - 강조색2 9 2 2 4" xfId="14080"/>
    <cellStyle name="40% - 강조색2 9 2 3" xfId="14081"/>
    <cellStyle name="40% - 강조색2 9 2 3 2" xfId="14082"/>
    <cellStyle name="40% - 강조색2 9 2 3 3" xfId="14083"/>
    <cellStyle name="40% - 강조색2 9 2 4" xfId="14084"/>
    <cellStyle name="40% - 강조색2 9 2 5" xfId="14085"/>
    <cellStyle name="40% - 강조색2 9 3" xfId="14086"/>
    <cellStyle name="40% - 강조색2 9 3 2" xfId="14087"/>
    <cellStyle name="40% - 강조색2 9 3 2 2" xfId="14088"/>
    <cellStyle name="40% - 강조색2 9 3 2 2 2" xfId="14089"/>
    <cellStyle name="40% - 강조색2 9 3 2 2 3" xfId="14090"/>
    <cellStyle name="40% - 강조색2 9 3 2 3" xfId="14091"/>
    <cellStyle name="40% - 강조색2 9 3 2 4" xfId="14092"/>
    <cellStyle name="40% - 강조색2 9 3 3" xfId="14093"/>
    <cellStyle name="40% - 강조색2 9 3 3 2" xfId="14094"/>
    <cellStyle name="40% - 강조색2 9 3 3 3" xfId="14095"/>
    <cellStyle name="40% - 강조색2 9 3 4" xfId="14096"/>
    <cellStyle name="40% - 강조색2 9 3 5" xfId="14097"/>
    <cellStyle name="40% - 강조색2 9 4" xfId="14098"/>
    <cellStyle name="40% - 강조색2 9 4 2" xfId="14099"/>
    <cellStyle name="40% - 강조색2 9 4 2 2" xfId="14100"/>
    <cellStyle name="40% - 강조색2 9 4 2 3" xfId="14101"/>
    <cellStyle name="40% - 강조색2 9 4 3" xfId="14102"/>
    <cellStyle name="40% - 강조색2 9 4 4" xfId="14103"/>
    <cellStyle name="40% - 강조색2 9 5" xfId="14104"/>
    <cellStyle name="40% - 강조색2 9 5 2" xfId="14105"/>
    <cellStyle name="40% - 강조색2 9 5 3" xfId="14106"/>
    <cellStyle name="40% - 강조색2 9 6" xfId="14107"/>
    <cellStyle name="40% - 강조색2 9 7" xfId="14108"/>
    <cellStyle name="40% - 강조색3 10" xfId="14109"/>
    <cellStyle name="40% - 강조색3 10 2" xfId="14110"/>
    <cellStyle name="40% - 강조색3 10 2 2" xfId="14111"/>
    <cellStyle name="40% - 강조색3 10 2 2 2" xfId="14112"/>
    <cellStyle name="40% - 강조색3 10 2 2 2 2" xfId="14113"/>
    <cellStyle name="40% - 강조색3 10 2 2 2 3" xfId="14114"/>
    <cellStyle name="40% - 강조색3 10 2 2 3" xfId="14115"/>
    <cellStyle name="40% - 강조색3 10 2 2 4" xfId="14116"/>
    <cellStyle name="40% - 강조색3 10 2 3" xfId="14117"/>
    <cellStyle name="40% - 강조색3 10 2 3 2" xfId="14118"/>
    <cellStyle name="40% - 강조색3 10 2 3 3" xfId="14119"/>
    <cellStyle name="40% - 강조색3 10 2 4" xfId="14120"/>
    <cellStyle name="40% - 강조색3 10 2 5" xfId="14121"/>
    <cellStyle name="40% - 강조색3 10 3" xfId="14122"/>
    <cellStyle name="40% - 강조색3 10 3 2" xfId="14123"/>
    <cellStyle name="40% - 강조색3 10 3 2 2" xfId="14124"/>
    <cellStyle name="40% - 강조색3 10 3 2 2 2" xfId="14125"/>
    <cellStyle name="40% - 강조색3 10 3 2 2 3" xfId="14126"/>
    <cellStyle name="40% - 강조색3 10 3 2 3" xfId="14127"/>
    <cellStyle name="40% - 강조색3 10 3 2 4" xfId="14128"/>
    <cellStyle name="40% - 강조색3 10 3 3" xfId="14129"/>
    <cellStyle name="40% - 강조색3 10 3 3 2" xfId="14130"/>
    <cellStyle name="40% - 강조색3 10 3 3 3" xfId="14131"/>
    <cellStyle name="40% - 강조색3 10 3 4" xfId="14132"/>
    <cellStyle name="40% - 강조색3 10 3 5" xfId="14133"/>
    <cellStyle name="40% - 강조색3 10 4" xfId="14134"/>
    <cellStyle name="40% - 강조색3 10 4 2" xfId="14135"/>
    <cellStyle name="40% - 강조색3 10 4 2 2" xfId="14136"/>
    <cellStyle name="40% - 강조색3 10 4 2 3" xfId="14137"/>
    <cellStyle name="40% - 강조색3 10 4 3" xfId="14138"/>
    <cellStyle name="40% - 강조색3 10 4 4" xfId="14139"/>
    <cellStyle name="40% - 강조색3 10 5" xfId="14140"/>
    <cellStyle name="40% - 강조색3 10 5 2" xfId="14141"/>
    <cellStyle name="40% - 강조색3 10 5 3" xfId="14142"/>
    <cellStyle name="40% - 강조색3 10 6" xfId="14143"/>
    <cellStyle name="40% - 강조색3 10 7" xfId="14144"/>
    <cellStyle name="40% - 강조색3 11" xfId="14145"/>
    <cellStyle name="40% - 강조색3 11 2" xfId="14146"/>
    <cellStyle name="40% - 강조색3 11 2 2" xfId="14147"/>
    <cellStyle name="40% - 강조색3 11 2 2 2" xfId="14148"/>
    <cellStyle name="40% - 강조색3 11 2 2 3" xfId="14149"/>
    <cellStyle name="40% - 강조색3 11 2 3" xfId="14150"/>
    <cellStyle name="40% - 강조색3 11 2 4" xfId="14151"/>
    <cellStyle name="40% - 강조색3 11 3" xfId="14152"/>
    <cellStyle name="40% - 강조색3 11 3 2" xfId="14153"/>
    <cellStyle name="40% - 강조색3 11 3 3" xfId="14154"/>
    <cellStyle name="40% - 강조색3 11 4" xfId="14155"/>
    <cellStyle name="40% - 강조색3 11 5" xfId="14156"/>
    <cellStyle name="40% - 강조색3 12" xfId="14157"/>
    <cellStyle name="40% - 강조색3 12 2" xfId="14158"/>
    <cellStyle name="40% - 강조색3 12 2 2" xfId="14159"/>
    <cellStyle name="40% - 강조색3 12 2 2 2" xfId="14160"/>
    <cellStyle name="40% - 강조색3 12 2 2 3" xfId="14161"/>
    <cellStyle name="40% - 강조색3 12 2 3" xfId="14162"/>
    <cellStyle name="40% - 강조색3 12 2 4" xfId="14163"/>
    <cellStyle name="40% - 강조색3 12 3" xfId="14164"/>
    <cellStyle name="40% - 강조색3 12 3 2" xfId="14165"/>
    <cellStyle name="40% - 강조색3 12 3 3" xfId="14166"/>
    <cellStyle name="40% - 강조색3 12 4" xfId="14167"/>
    <cellStyle name="40% - 강조색3 12 5" xfId="14168"/>
    <cellStyle name="40% - 강조색3 13" xfId="14169"/>
    <cellStyle name="40% - 강조색3 13 2" xfId="14170"/>
    <cellStyle name="40% - 강조색3 13 2 2" xfId="14171"/>
    <cellStyle name="40% - 강조색3 13 2 3" xfId="14172"/>
    <cellStyle name="40% - 강조색3 13 3" xfId="14173"/>
    <cellStyle name="40% - 강조색3 13 4" xfId="14174"/>
    <cellStyle name="40% - 강조색3 14" xfId="14175"/>
    <cellStyle name="40% - 강조색3 14 2" xfId="14176"/>
    <cellStyle name="40% - 강조색3 14 2 2" xfId="14177"/>
    <cellStyle name="40% - 강조색3 14 2 3" xfId="14178"/>
    <cellStyle name="40% - 강조색3 14 3" xfId="14179"/>
    <cellStyle name="40% - 강조색3 14 4" xfId="14180"/>
    <cellStyle name="40% - 강조색3 15" xfId="14181"/>
    <cellStyle name="40% - 강조색3 15 2" xfId="14182"/>
    <cellStyle name="40% - 강조색3 15 3" xfId="14183"/>
    <cellStyle name="40% - 강조색3 16" xfId="14184"/>
    <cellStyle name="40% - 강조색3 16 2" xfId="14185"/>
    <cellStyle name="40% - 강조색3 16 3" xfId="14186"/>
    <cellStyle name="40% - 강조색3 16 4" xfId="14187"/>
    <cellStyle name="40% - 강조색3 17" xfId="14188"/>
    <cellStyle name="40% - 강조색3 17 2" xfId="14189"/>
    <cellStyle name="40% - 강조색3 17 3" xfId="14190"/>
    <cellStyle name="40% - 강조색3 18" xfId="14191"/>
    <cellStyle name="40% - 강조색3 18 2" xfId="14192"/>
    <cellStyle name="40% - 강조색3 18 3" xfId="14193"/>
    <cellStyle name="40% - 강조색3 19" xfId="14194"/>
    <cellStyle name="40% - 강조색3 19 2" xfId="14195"/>
    <cellStyle name="40% - 강조색3 19 3" xfId="14196"/>
    <cellStyle name="40% - 강조색3 2" xfId="14197"/>
    <cellStyle name="40% - 강조색3 2 2" xfId="14198"/>
    <cellStyle name="40% - 강조색3 2 2 2" xfId="14199"/>
    <cellStyle name="40% - 강조색3 2 2 2 2" xfId="14200"/>
    <cellStyle name="40% - 강조색3 2 2 3" xfId="14201"/>
    <cellStyle name="40% - 강조색3 2 3" xfId="14202"/>
    <cellStyle name="40% - 강조색3 2 3 2" xfId="14203"/>
    <cellStyle name="40% - 강조색3 2 3 2 2" xfId="14204"/>
    <cellStyle name="40% - 강조색3 2 3 3" xfId="14205"/>
    <cellStyle name="40% - 강조색3 2 4" xfId="14206"/>
    <cellStyle name="40% - 강조색3 2 4 2" xfId="14207"/>
    <cellStyle name="40% - 강조색3 2 5" xfId="14208"/>
    <cellStyle name="40% - 강조색3 2 6" xfId="14209"/>
    <cellStyle name="40% - 강조색3 20" xfId="14210"/>
    <cellStyle name="40% - 강조색3 20 2" xfId="14211"/>
    <cellStyle name="40% - 강조색3 20 3" xfId="14212"/>
    <cellStyle name="40% - 강조색3 21" xfId="14213"/>
    <cellStyle name="40% - 강조색3 21 2" xfId="14214"/>
    <cellStyle name="40% - 강조색3 21 3" xfId="14215"/>
    <cellStyle name="40% - 강조색3 22" xfId="14216"/>
    <cellStyle name="40% - 강조색3 22 2" xfId="14217"/>
    <cellStyle name="40% - 강조색3 22 3" xfId="14218"/>
    <cellStyle name="40% - 강조색3 23" xfId="14219"/>
    <cellStyle name="40% - 강조색3 23 2" xfId="14220"/>
    <cellStyle name="40% - 강조색3 23 3" xfId="14221"/>
    <cellStyle name="40% - 강조색3 24" xfId="14222"/>
    <cellStyle name="40% - 강조색3 24 2" xfId="14223"/>
    <cellStyle name="40% - 강조색3 25" xfId="14224"/>
    <cellStyle name="40% - 강조색3 25 2" xfId="14225"/>
    <cellStyle name="40% - 강조색3 26" xfId="14226"/>
    <cellStyle name="40% - 강조색3 26 2" xfId="14227"/>
    <cellStyle name="40% - 강조색3 27" xfId="14228"/>
    <cellStyle name="40% - 강조색3 27 2" xfId="14229"/>
    <cellStyle name="40% - 강조색3 28" xfId="14230"/>
    <cellStyle name="40% - 강조색3 28 2" xfId="14231"/>
    <cellStyle name="40% - 강조색3 29" xfId="14232"/>
    <cellStyle name="40% - 강조색3 29 2" xfId="14233"/>
    <cellStyle name="40% - 강조색3 3" xfId="14234"/>
    <cellStyle name="40% - 강조색3 3 10" xfId="14235"/>
    <cellStyle name="40% - 강조색3 3 10 2" xfId="14236"/>
    <cellStyle name="40% - 강조색3 3 10 2 2" xfId="14237"/>
    <cellStyle name="40% - 강조색3 3 10 2 3" xfId="14238"/>
    <cellStyle name="40% - 강조색3 3 10 3" xfId="14239"/>
    <cellStyle name="40% - 강조색3 3 10 4" xfId="14240"/>
    <cellStyle name="40% - 강조색3 3 11" xfId="14241"/>
    <cellStyle name="40% - 강조색3 3 11 2" xfId="14242"/>
    <cellStyle name="40% - 강조색3 3 11 3" xfId="14243"/>
    <cellStyle name="40% - 강조색3 3 12" xfId="14244"/>
    <cellStyle name="40% - 강조색3 3 13" xfId="14245"/>
    <cellStyle name="40% - 강조색3 3 14" xfId="14246"/>
    <cellStyle name="40% - 강조색3 3 15" xfId="14247"/>
    <cellStyle name="40% - 강조색3 3 2" xfId="14248"/>
    <cellStyle name="40% - 강조색3 3 2 10" xfId="14249"/>
    <cellStyle name="40% - 강조색3 3 2 11" xfId="14250"/>
    <cellStyle name="40% - 강조색3 3 2 12" xfId="14251"/>
    <cellStyle name="40% - 강조색3 3 2 2" xfId="14252"/>
    <cellStyle name="40% - 강조색3 3 2 2 2" xfId="14253"/>
    <cellStyle name="40% - 강조색3 3 2 2 2 2" xfId="14254"/>
    <cellStyle name="40% - 강조색3 3 2 2 2 2 2" xfId="14255"/>
    <cellStyle name="40% - 강조색3 3 2 2 2 2 2 2" xfId="14256"/>
    <cellStyle name="40% - 강조색3 3 2 2 2 2 2 3" xfId="14257"/>
    <cellStyle name="40% - 강조색3 3 2 2 2 2 3" xfId="14258"/>
    <cellStyle name="40% - 강조색3 3 2 2 2 2 4" xfId="14259"/>
    <cellStyle name="40% - 강조색3 3 2 2 2 3" xfId="14260"/>
    <cellStyle name="40% - 강조색3 3 2 2 2 3 2" xfId="14261"/>
    <cellStyle name="40% - 강조색3 3 2 2 2 3 3" xfId="14262"/>
    <cellStyle name="40% - 강조색3 3 2 2 2 4" xfId="14263"/>
    <cellStyle name="40% - 강조색3 3 2 2 2 5" xfId="14264"/>
    <cellStyle name="40% - 강조색3 3 2 2 3" xfId="14265"/>
    <cellStyle name="40% - 강조색3 3 2 2 3 2" xfId="14266"/>
    <cellStyle name="40% - 강조색3 3 2 2 3 2 2" xfId="14267"/>
    <cellStyle name="40% - 강조색3 3 2 2 3 2 2 2" xfId="14268"/>
    <cellStyle name="40% - 강조색3 3 2 2 3 2 2 3" xfId="14269"/>
    <cellStyle name="40% - 강조색3 3 2 2 3 2 3" xfId="14270"/>
    <cellStyle name="40% - 강조색3 3 2 2 3 2 4" xfId="14271"/>
    <cellStyle name="40% - 강조색3 3 2 2 3 3" xfId="14272"/>
    <cellStyle name="40% - 강조색3 3 2 2 3 3 2" xfId="14273"/>
    <cellStyle name="40% - 강조색3 3 2 2 3 3 3" xfId="14274"/>
    <cellStyle name="40% - 강조색3 3 2 2 3 4" xfId="14275"/>
    <cellStyle name="40% - 강조색3 3 2 2 3 5" xfId="14276"/>
    <cellStyle name="40% - 강조색3 3 2 2 4" xfId="14277"/>
    <cellStyle name="40% - 강조색3 3 2 2 4 2" xfId="14278"/>
    <cellStyle name="40% - 강조색3 3 2 2 4 2 2" xfId="14279"/>
    <cellStyle name="40% - 강조색3 3 2 2 4 2 3" xfId="14280"/>
    <cellStyle name="40% - 강조색3 3 2 2 4 3" xfId="14281"/>
    <cellStyle name="40% - 강조색3 3 2 2 4 4" xfId="14282"/>
    <cellStyle name="40% - 강조색3 3 2 2 5" xfId="14283"/>
    <cellStyle name="40% - 강조색3 3 2 2 5 2" xfId="14284"/>
    <cellStyle name="40% - 강조색3 3 2 2 5 3" xfId="14285"/>
    <cellStyle name="40% - 강조색3 3 2 2 6" xfId="14286"/>
    <cellStyle name="40% - 강조색3 3 2 2 7" xfId="14287"/>
    <cellStyle name="40% - 강조색3 3 2 2 8" xfId="14288"/>
    <cellStyle name="40% - 강조색3 3 2 2 9" xfId="14289"/>
    <cellStyle name="40% - 강조색3 3 2 3" xfId="14290"/>
    <cellStyle name="40% - 강조색3 3 2 3 2" xfId="14291"/>
    <cellStyle name="40% - 강조색3 3 2 3 2 2" xfId="14292"/>
    <cellStyle name="40% - 강조색3 3 2 3 2 2 2" xfId="14293"/>
    <cellStyle name="40% - 강조색3 3 2 3 2 2 2 2" xfId="14294"/>
    <cellStyle name="40% - 강조색3 3 2 3 2 2 2 3" xfId="14295"/>
    <cellStyle name="40% - 강조색3 3 2 3 2 2 3" xfId="14296"/>
    <cellStyle name="40% - 강조색3 3 2 3 2 2 4" xfId="14297"/>
    <cellStyle name="40% - 강조색3 3 2 3 2 3" xfId="14298"/>
    <cellStyle name="40% - 강조색3 3 2 3 2 3 2" xfId="14299"/>
    <cellStyle name="40% - 강조색3 3 2 3 2 3 3" xfId="14300"/>
    <cellStyle name="40% - 강조색3 3 2 3 2 4" xfId="14301"/>
    <cellStyle name="40% - 강조색3 3 2 3 2 5" xfId="14302"/>
    <cellStyle name="40% - 강조색3 3 2 3 3" xfId="14303"/>
    <cellStyle name="40% - 강조색3 3 2 3 3 2" xfId="14304"/>
    <cellStyle name="40% - 강조색3 3 2 3 3 2 2" xfId="14305"/>
    <cellStyle name="40% - 강조색3 3 2 3 3 2 2 2" xfId="14306"/>
    <cellStyle name="40% - 강조색3 3 2 3 3 2 2 3" xfId="14307"/>
    <cellStyle name="40% - 강조색3 3 2 3 3 2 3" xfId="14308"/>
    <cellStyle name="40% - 강조색3 3 2 3 3 2 4" xfId="14309"/>
    <cellStyle name="40% - 강조색3 3 2 3 3 3" xfId="14310"/>
    <cellStyle name="40% - 강조색3 3 2 3 3 3 2" xfId="14311"/>
    <cellStyle name="40% - 강조색3 3 2 3 3 3 3" xfId="14312"/>
    <cellStyle name="40% - 강조색3 3 2 3 3 4" xfId="14313"/>
    <cellStyle name="40% - 강조색3 3 2 3 3 5" xfId="14314"/>
    <cellStyle name="40% - 강조색3 3 2 3 4" xfId="14315"/>
    <cellStyle name="40% - 강조색3 3 2 3 4 2" xfId="14316"/>
    <cellStyle name="40% - 강조색3 3 2 3 4 2 2" xfId="14317"/>
    <cellStyle name="40% - 강조색3 3 2 3 4 2 3" xfId="14318"/>
    <cellStyle name="40% - 강조색3 3 2 3 4 3" xfId="14319"/>
    <cellStyle name="40% - 강조색3 3 2 3 4 4" xfId="14320"/>
    <cellStyle name="40% - 강조색3 3 2 3 5" xfId="14321"/>
    <cellStyle name="40% - 강조색3 3 2 3 5 2" xfId="14322"/>
    <cellStyle name="40% - 강조색3 3 2 3 5 3" xfId="14323"/>
    <cellStyle name="40% - 강조색3 3 2 3 6" xfId="14324"/>
    <cellStyle name="40% - 강조색3 3 2 3 7" xfId="14325"/>
    <cellStyle name="40% - 강조색3 3 2 4" xfId="14326"/>
    <cellStyle name="40% - 강조색3 3 2 4 2" xfId="14327"/>
    <cellStyle name="40% - 강조색3 3 2 4 2 2" xfId="14328"/>
    <cellStyle name="40% - 강조색3 3 2 4 2 2 2" xfId="14329"/>
    <cellStyle name="40% - 강조색3 3 2 4 2 2 3" xfId="14330"/>
    <cellStyle name="40% - 강조색3 3 2 4 2 3" xfId="14331"/>
    <cellStyle name="40% - 강조색3 3 2 4 2 4" xfId="14332"/>
    <cellStyle name="40% - 강조색3 3 2 4 3" xfId="14333"/>
    <cellStyle name="40% - 강조색3 3 2 4 3 2" xfId="14334"/>
    <cellStyle name="40% - 강조색3 3 2 4 3 3" xfId="14335"/>
    <cellStyle name="40% - 강조색3 3 2 4 4" xfId="14336"/>
    <cellStyle name="40% - 강조색3 3 2 4 5" xfId="14337"/>
    <cellStyle name="40% - 강조색3 3 2 5" xfId="14338"/>
    <cellStyle name="40% - 강조색3 3 2 5 2" xfId="14339"/>
    <cellStyle name="40% - 강조색3 3 2 5 2 2" xfId="14340"/>
    <cellStyle name="40% - 강조색3 3 2 5 2 2 2" xfId="14341"/>
    <cellStyle name="40% - 강조색3 3 2 5 2 2 3" xfId="14342"/>
    <cellStyle name="40% - 강조색3 3 2 5 2 3" xfId="14343"/>
    <cellStyle name="40% - 강조색3 3 2 5 2 4" xfId="14344"/>
    <cellStyle name="40% - 강조색3 3 2 5 3" xfId="14345"/>
    <cellStyle name="40% - 강조색3 3 2 5 3 2" xfId="14346"/>
    <cellStyle name="40% - 강조색3 3 2 5 3 3" xfId="14347"/>
    <cellStyle name="40% - 강조색3 3 2 5 4" xfId="14348"/>
    <cellStyle name="40% - 강조색3 3 2 5 5" xfId="14349"/>
    <cellStyle name="40% - 강조색3 3 2 6" xfId="14350"/>
    <cellStyle name="40% - 강조색3 3 2 6 2" xfId="14351"/>
    <cellStyle name="40% - 강조색3 3 2 6 2 2" xfId="14352"/>
    <cellStyle name="40% - 강조색3 3 2 6 2 2 2" xfId="14353"/>
    <cellStyle name="40% - 강조색3 3 2 6 2 2 3" xfId="14354"/>
    <cellStyle name="40% - 강조색3 3 2 6 2 3" xfId="14355"/>
    <cellStyle name="40% - 강조색3 3 2 6 2 4" xfId="14356"/>
    <cellStyle name="40% - 강조색3 3 2 6 3" xfId="14357"/>
    <cellStyle name="40% - 강조색3 3 2 6 3 2" xfId="14358"/>
    <cellStyle name="40% - 강조색3 3 2 6 3 3" xfId="14359"/>
    <cellStyle name="40% - 강조색3 3 2 6 4" xfId="14360"/>
    <cellStyle name="40% - 강조색3 3 2 6 5" xfId="14361"/>
    <cellStyle name="40% - 강조색3 3 2 7" xfId="14362"/>
    <cellStyle name="40% - 강조색3 3 2 7 2" xfId="14363"/>
    <cellStyle name="40% - 강조색3 3 2 7 2 2" xfId="14364"/>
    <cellStyle name="40% - 강조색3 3 2 7 2 3" xfId="14365"/>
    <cellStyle name="40% - 강조색3 3 2 7 3" xfId="14366"/>
    <cellStyle name="40% - 강조색3 3 2 7 4" xfId="14367"/>
    <cellStyle name="40% - 강조색3 3 2 8" xfId="14368"/>
    <cellStyle name="40% - 강조색3 3 2 8 2" xfId="14369"/>
    <cellStyle name="40% - 강조색3 3 2 8 3" xfId="14370"/>
    <cellStyle name="40% - 강조색3 3 2 9" xfId="14371"/>
    <cellStyle name="40% - 강조색3 3 3" xfId="14372"/>
    <cellStyle name="40% - 강조색3 3 3 10" xfId="14373"/>
    <cellStyle name="40% - 강조색3 3 3 11" xfId="14374"/>
    <cellStyle name="40% - 강조색3 3 3 12" xfId="14375"/>
    <cellStyle name="40% - 강조색3 3 3 2" xfId="14376"/>
    <cellStyle name="40% - 강조색3 3 3 2 2" xfId="14377"/>
    <cellStyle name="40% - 강조색3 3 3 2 2 2" xfId="14378"/>
    <cellStyle name="40% - 강조색3 3 3 2 2 2 2" xfId="14379"/>
    <cellStyle name="40% - 강조색3 3 3 2 2 2 2 2" xfId="14380"/>
    <cellStyle name="40% - 강조색3 3 3 2 2 2 2 3" xfId="14381"/>
    <cellStyle name="40% - 강조색3 3 3 2 2 2 3" xfId="14382"/>
    <cellStyle name="40% - 강조색3 3 3 2 2 2 4" xfId="14383"/>
    <cellStyle name="40% - 강조색3 3 3 2 2 3" xfId="14384"/>
    <cellStyle name="40% - 강조색3 3 3 2 2 3 2" xfId="14385"/>
    <cellStyle name="40% - 강조색3 3 3 2 2 3 3" xfId="14386"/>
    <cellStyle name="40% - 강조색3 3 3 2 2 4" xfId="14387"/>
    <cellStyle name="40% - 강조색3 3 3 2 2 5" xfId="14388"/>
    <cellStyle name="40% - 강조색3 3 3 2 3" xfId="14389"/>
    <cellStyle name="40% - 강조색3 3 3 2 3 2" xfId="14390"/>
    <cellStyle name="40% - 강조색3 3 3 2 3 2 2" xfId="14391"/>
    <cellStyle name="40% - 강조색3 3 3 2 3 2 2 2" xfId="14392"/>
    <cellStyle name="40% - 강조색3 3 3 2 3 2 2 3" xfId="14393"/>
    <cellStyle name="40% - 강조색3 3 3 2 3 2 3" xfId="14394"/>
    <cellStyle name="40% - 강조색3 3 3 2 3 2 4" xfId="14395"/>
    <cellStyle name="40% - 강조색3 3 3 2 3 3" xfId="14396"/>
    <cellStyle name="40% - 강조색3 3 3 2 3 3 2" xfId="14397"/>
    <cellStyle name="40% - 강조색3 3 3 2 3 3 3" xfId="14398"/>
    <cellStyle name="40% - 강조색3 3 3 2 3 4" xfId="14399"/>
    <cellStyle name="40% - 강조색3 3 3 2 3 5" xfId="14400"/>
    <cellStyle name="40% - 강조색3 3 3 2 4" xfId="14401"/>
    <cellStyle name="40% - 강조색3 3 3 2 4 2" xfId="14402"/>
    <cellStyle name="40% - 강조색3 3 3 2 4 2 2" xfId="14403"/>
    <cellStyle name="40% - 강조색3 3 3 2 4 2 3" xfId="14404"/>
    <cellStyle name="40% - 강조색3 3 3 2 4 3" xfId="14405"/>
    <cellStyle name="40% - 강조색3 3 3 2 4 4" xfId="14406"/>
    <cellStyle name="40% - 강조색3 3 3 2 5" xfId="14407"/>
    <cellStyle name="40% - 강조색3 3 3 2 5 2" xfId="14408"/>
    <cellStyle name="40% - 강조색3 3 3 2 5 3" xfId="14409"/>
    <cellStyle name="40% - 강조색3 3 3 2 6" xfId="14410"/>
    <cellStyle name="40% - 강조색3 3 3 2 7" xfId="14411"/>
    <cellStyle name="40% - 강조색3 3 3 2 8" xfId="14412"/>
    <cellStyle name="40% - 강조색3 3 3 2 9" xfId="14413"/>
    <cellStyle name="40% - 강조색3 3 3 3" xfId="14414"/>
    <cellStyle name="40% - 강조색3 3 3 3 2" xfId="14415"/>
    <cellStyle name="40% - 강조색3 3 3 3 2 2" xfId="14416"/>
    <cellStyle name="40% - 강조색3 3 3 3 2 2 2" xfId="14417"/>
    <cellStyle name="40% - 강조색3 3 3 3 2 2 2 2" xfId="14418"/>
    <cellStyle name="40% - 강조색3 3 3 3 2 2 2 3" xfId="14419"/>
    <cellStyle name="40% - 강조색3 3 3 3 2 2 3" xfId="14420"/>
    <cellStyle name="40% - 강조색3 3 3 3 2 2 4" xfId="14421"/>
    <cellStyle name="40% - 강조색3 3 3 3 2 3" xfId="14422"/>
    <cellStyle name="40% - 강조색3 3 3 3 2 3 2" xfId="14423"/>
    <cellStyle name="40% - 강조색3 3 3 3 2 3 3" xfId="14424"/>
    <cellStyle name="40% - 강조색3 3 3 3 2 4" xfId="14425"/>
    <cellStyle name="40% - 강조색3 3 3 3 2 5" xfId="14426"/>
    <cellStyle name="40% - 강조색3 3 3 3 3" xfId="14427"/>
    <cellStyle name="40% - 강조색3 3 3 3 3 2" xfId="14428"/>
    <cellStyle name="40% - 강조색3 3 3 3 3 2 2" xfId="14429"/>
    <cellStyle name="40% - 강조색3 3 3 3 3 2 2 2" xfId="14430"/>
    <cellStyle name="40% - 강조색3 3 3 3 3 2 2 3" xfId="14431"/>
    <cellStyle name="40% - 강조색3 3 3 3 3 2 3" xfId="14432"/>
    <cellStyle name="40% - 강조색3 3 3 3 3 2 4" xfId="14433"/>
    <cellStyle name="40% - 강조색3 3 3 3 3 3" xfId="14434"/>
    <cellStyle name="40% - 강조색3 3 3 3 3 3 2" xfId="14435"/>
    <cellStyle name="40% - 강조색3 3 3 3 3 3 3" xfId="14436"/>
    <cellStyle name="40% - 강조색3 3 3 3 3 4" xfId="14437"/>
    <cellStyle name="40% - 강조색3 3 3 3 3 5" xfId="14438"/>
    <cellStyle name="40% - 강조색3 3 3 3 4" xfId="14439"/>
    <cellStyle name="40% - 강조색3 3 3 3 4 2" xfId="14440"/>
    <cellStyle name="40% - 강조색3 3 3 3 4 2 2" xfId="14441"/>
    <cellStyle name="40% - 강조색3 3 3 3 4 2 3" xfId="14442"/>
    <cellStyle name="40% - 강조색3 3 3 3 4 3" xfId="14443"/>
    <cellStyle name="40% - 강조색3 3 3 3 4 4" xfId="14444"/>
    <cellStyle name="40% - 강조색3 3 3 3 5" xfId="14445"/>
    <cellStyle name="40% - 강조색3 3 3 3 5 2" xfId="14446"/>
    <cellStyle name="40% - 강조색3 3 3 3 5 3" xfId="14447"/>
    <cellStyle name="40% - 강조색3 3 3 3 6" xfId="14448"/>
    <cellStyle name="40% - 강조색3 3 3 3 7" xfId="14449"/>
    <cellStyle name="40% - 강조색3 3 3 4" xfId="14450"/>
    <cellStyle name="40% - 강조색3 3 3 4 2" xfId="14451"/>
    <cellStyle name="40% - 강조색3 3 3 4 2 2" xfId="14452"/>
    <cellStyle name="40% - 강조색3 3 3 4 2 2 2" xfId="14453"/>
    <cellStyle name="40% - 강조색3 3 3 4 2 2 3" xfId="14454"/>
    <cellStyle name="40% - 강조색3 3 3 4 2 3" xfId="14455"/>
    <cellStyle name="40% - 강조색3 3 3 4 2 4" xfId="14456"/>
    <cellStyle name="40% - 강조색3 3 3 4 3" xfId="14457"/>
    <cellStyle name="40% - 강조색3 3 3 4 3 2" xfId="14458"/>
    <cellStyle name="40% - 강조색3 3 3 4 3 3" xfId="14459"/>
    <cellStyle name="40% - 강조색3 3 3 4 4" xfId="14460"/>
    <cellStyle name="40% - 강조색3 3 3 4 5" xfId="14461"/>
    <cellStyle name="40% - 강조색3 3 3 5" xfId="14462"/>
    <cellStyle name="40% - 강조색3 3 3 5 2" xfId="14463"/>
    <cellStyle name="40% - 강조색3 3 3 5 2 2" xfId="14464"/>
    <cellStyle name="40% - 강조색3 3 3 5 2 2 2" xfId="14465"/>
    <cellStyle name="40% - 강조색3 3 3 5 2 2 3" xfId="14466"/>
    <cellStyle name="40% - 강조색3 3 3 5 2 3" xfId="14467"/>
    <cellStyle name="40% - 강조색3 3 3 5 2 4" xfId="14468"/>
    <cellStyle name="40% - 강조색3 3 3 5 3" xfId="14469"/>
    <cellStyle name="40% - 강조색3 3 3 5 3 2" xfId="14470"/>
    <cellStyle name="40% - 강조색3 3 3 5 3 3" xfId="14471"/>
    <cellStyle name="40% - 강조색3 3 3 5 4" xfId="14472"/>
    <cellStyle name="40% - 강조색3 3 3 5 5" xfId="14473"/>
    <cellStyle name="40% - 강조색3 3 3 6" xfId="14474"/>
    <cellStyle name="40% - 강조색3 3 3 6 2" xfId="14475"/>
    <cellStyle name="40% - 강조색3 3 3 6 2 2" xfId="14476"/>
    <cellStyle name="40% - 강조색3 3 3 6 2 2 2" xfId="14477"/>
    <cellStyle name="40% - 강조색3 3 3 6 2 2 3" xfId="14478"/>
    <cellStyle name="40% - 강조색3 3 3 6 2 3" xfId="14479"/>
    <cellStyle name="40% - 강조색3 3 3 6 2 4" xfId="14480"/>
    <cellStyle name="40% - 강조색3 3 3 6 3" xfId="14481"/>
    <cellStyle name="40% - 강조색3 3 3 6 3 2" xfId="14482"/>
    <cellStyle name="40% - 강조색3 3 3 6 3 3" xfId="14483"/>
    <cellStyle name="40% - 강조색3 3 3 6 4" xfId="14484"/>
    <cellStyle name="40% - 강조색3 3 3 6 5" xfId="14485"/>
    <cellStyle name="40% - 강조색3 3 3 7" xfId="14486"/>
    <cellStyle name="40% - 강조색3 3 3 7 2" xfId="14487"/>
    <cellStyle name="40% - 강조색3 3 3 7 2 2" xfId="14488"/>
    <cellStyle name="40% - 강조색3 3 3 7 2 3" xfId="14489"/>
    <cellStyle name="40% - 강조색3 3 3 7 3" xfId="14490"/>
    <cellStyle name="40% - 강조색3 3 3 7 4" xfId="14491"/>
    <cellStyle name="40% - 강조색3 3 3 8" xfId="14492"/>
    <cellStyle name="40% - 강조색3 3 3 8 2" xfId="14493"/>
    <cellStyle name="40% - 강조색3 3 3 8 3" xfId="14494"/>
    <cellStyle name="40% - 강조색3 3 3 9" xfId="14495"/>
    <cellStyle name="40% - 강조색3 3 4" xfId="14496"/>
    <cellStyle name="40% - 강조색3 3 4 10" xfId="14497"/>
    <cellStyle name="40% - 강조색3 3 4 11" xfId="14498"/>
    <cellStyle name="40% - 강조색3 3 4 12" xfId="14499"/>
    <cellStyle name="40% - 강조색3 3 4 2" xfId="14500"/>
    <cellStyle name="40% - 강조색3 3 4 2 2" xfId="14501"/>
    <cellStyle name="40% - 강조색3 3 4 2 2 2" xfId="14502"/>
    <cellStyle name="40% - 강조색3 3 4 2 2 2 2" xfId="14503"/>
    <cellStyle name="40% - 강조색3 3 4 2 2 2 2 2" xfId="14504"/>
    <cellStyle name="40% - 강조색3 3 4 2 2 2 2 3" xfId="14505"/>
    <cellStyle name="40% - 강조색3 3 4 2 2 2 3" xfId="14506"/>
    <cellStyle name="40% - 강조색3 3 4 2 2 2 4" xfId="14507"/>
    <cellStyle name="40% - 강조색3 3 4 2 2 3" xfId="14508"/>
    <cellStyle name="40% - 강조색3 3 4 2 2 3 2" xfId="14509"/>
    <cellStyle name="40% - 강조색3 3 4 2 2 3 3" xfId="14510"/>
    <cellStyle name="40% - 강조색3 3 4 2 2 4" xfId="14511"/>
    <cellStyle name="40% - 강조색3 3 4 2 2 5" xfId="14512"/>
    <cellStyle name="40% - 강조색3 3 4 2 3" xfId="14513"/>
    <cellStyle name="40% - 강조색3 3 4 2 3 2" xfId="14514"/>
    <cellStyle name="40% - 강조색3 3 4 2 3 2 2" xfId="14515"/>
    <cellStyle name="40% - 강조색3 3 4 2 3 2 2 2" xfId="14516"/>
    <cellStyle name="40% - 강조색3 3 4 2 3 2 2 3" xfId="14517"/>
    <cellStyle name="40% - 강조색3 3 4 2 3 2 3" xfId="14518"/>
    <cellStyle name="40% - 강조색3 3 4 2 3 2 4" xfId="14519"/>
    <cellStyle name="40% - 강조색3 3 4 2 3 3" xfId="14520"/>
    <cellStyle name="40% - 강조색3 3 4 2 3 3 2" xfId="14521"/>
    <cellStyle name="40% - 강조색3 3 4 2 3 3 3" xfId="14522"/>
    <cellStyle name="40% - 강조색3 3 4 2 3 4" xfId="14523"/>
    <cellStyle name="40% - 강조색3 3 4 2 3 5" xfId="14524"/>
    <cellStyle name="40% - 강조색3 3 4 2 4" xfId="14525"/>
    <cellStyle name="40% - 강조색3 3 4 2 4 2" xfId="14526"/>
    <cellStyle name="40% - 강조색3 3 4 2 4 2 2" xfId="14527"/>
    <cellStyle name="40% - 강조색3 3 4 2 4 2 3" xfId="14528"/>
    <cellStyle name="40% - 강조색3 3 4 2 4 3" xfId="14529"/>
    <cellStyle name="40% - 강조색3 3 4 2 4 4" xfId="14530"/>
    <cellStyle name="40% - 강조색3 3 4 2 5" xfId="14531"/>
    <cellStyle name="40% - 강조색3 3 4 2 5 2" xfId="14532"/>
    <cellStyle name="40% - 강조색3 3 4 2 5 3" xfId="14533"/>
    <cellStyle name="40% - 강조색3 3 4 2 6" xfId="14534"/>
    <cellStyle name="40% - 강조색3 3 4 2 7" xfId="14535"/>
    <cellStyle name="40% - 강조색3 3 4 3" xfId="14536"/>
    <cellStyle name="40% - 강조색3 3 4 3 2" xfId="14537"/>
    <cellStyle name="40% - 강조색3 3 4 3 2 2" xfId="14538"/>
    <cellStyle name="40% - 강조색3 3 4 3 2 2 2" xfId="14539"/>
    <cellStyle name="40% - 강조색3 3 4 3 2 2 2 2" xfId="14540"/>
    <cellStyle name="40% - 강조색3 3 4 3 2 2 2 3" xfId="14541"/>
    <cellStyle name="40% - 강조색3 3 4 3 2 2 3" xfId="14542"/>
    <cellStyle name="40% - 강조색3 3 4 3 2 2 4" xfId="14543"/>
    <cellStyle name="40% - 강조색3 3 4 3 2 3" xfId="14544"/>
    <cellStyle name="40% - 강조색3 3 4 3 2 3 2" xfId="14545"/>
    <cellStyle name="40% - 강조색3 3 4 3 2 3 3" xfId="14546"/>
    <cellStyle name="40% - 강조색3 3 4 3 2 4" xfId="14547"/>
    <cellStyle name="40% - 강조색3 3 4 3 2 5" xfId="14548"/>
    <cellStyle name="40% - 강조색3 3 4 3 3" xfId="14549"/>
    <cellStyle name="40% - 강조색3 3 4 3 3 2" xfId="14550"/>
    <cellStyle name="40% - 강조색3 3 4 3 3 2 2" xfId="14551"/>
    <cellStyle name="40% - 강조색3 3 4 3 3 2 2 2" xfId="14552"/>
    <cellStyle name="40% - 강조색3 3 4 3 3 2 2 3" xfId="14553"/>
    <cellStyle name="40% - 강조색3 3 4 3 3 2 3" xfId="14554"/>
    <cellStyle name="40% - 강조색3 3 4 3 3 2 4" xfId="14555"/>
    <cellStyle name="40% - 강조색3 3 4 3 3 3" xfId="14556"/>
    <cellStyle name="40% - 강조색3 3 4 3 3 3 2" xfId="14557"/>
    <cellStyle name="40% - 강조색3 3 4 3 3 3 3" xfId="14558"/>
    <cellStyle name="40% - 강조색3 3 4 3 3 4" xfId="14559"/>
    <cellStyle name="40% - 강조색3 3 4 3 3 5" xfId="14560"/>
    <cellStyle name="40% - 강조색3 3 4 3 4" xfId="14561"/>
    <cellStyle name="40% - 강조색3 3 4 3 4 2" xfId="14562"/>
    <cellStyle name="40% - 강조색3 3 4 3 4 2 2" xfId="14563"/>
    <cellStyle name="40% - 강조색3 3 4 3 4 2 3" xfId="14564"/>
    <cellStyle name="40% - 강조색3 3 4 3 4 3" xfId="14565"/>
    <cellStyle name="40% - 강조색3 3 4 3 4 4" xfId="14566"/>
    <cellStyle name="40% - 강조색3 3 4 3 5" xfId="14567"/>
    <cellStyle name="40% - 강조색3 3 4 3 5 2" xfId="14568"/>
    <cellStyle name="40% - 강조색3 3 4 3 5 3" xfId="14569"/>
    <cellStyle name="40% - 강조색3 3 4 3 6" xfId="14570"/>
    <cellStyle name="40% - 강조색3 3 4 3 7" xfId="14571"/>
    <cellStyle name="40% - 강조색3 3 4 4" xfId="14572"/>
    <cellStyle name="40% - 강조색3 3 4 4 2" xfId="14573"/>
    <cellStyle name="40% - 강조색3 3 4 4 2 2" xfId="14574"/>
    <cellStyle name="40% - 강조색3 3 4 4 2 2 2" xfId="14575"/>
    <cellStyle name="40% - 강조색3 3 4 4 2 2 3" xfId="14576"/>
    <cellStyle name="40% - 강조색3 3 4 4 2 3" xfId="14577"/>
    <cellStyle name="40% - 강조색3 3 4 4 2 4" xfId="14578"/>
    <cellStyle name="40% - 강조색3 3 4 4 3" xfId="14579"/>
    <cellStyle name="40% - 강조색3 3 4 4 3 2" xfId="14580"/>
    <cellStyle name="40% - 강조색3 3 4 4 3 3" xfId="14581"/>
    <cellStyle name="40% - 강조색3 3 4 4 4" xfId="14582"/>
    <cellStyle name="40% - 강조색3 3 4 4 5" xfId="14583"/>
    <cellStyle name="40% - 강조색3 3 4 5" xfId="14584"/>
    <cellStyle name="40% - 강조색3 3 4 5 2" xfId="14585"/>
    <cellStyle name="40% - 강조색3 3 4 5 2 2" xfId="14586"/>
    <cellStyle name="40% - 강조색3 3 4 5 2 2 2" xfId="14587"/>
    <cellStyle name="40% - 강조색3 3 4 5 2 2 3" xfId="14588"/>
    <cellStyle name="40% - 강조색3 3 4 5 2 3" xfId="14589"/>
    <cellStyle name="40% - 강조색3 3 4 5 2 4" xfId="14590"/>
    <cellStyle name="40% - 강조색3 3 4 5 3" xfId="14591"/>
    <cellStyle name="40% - 강조색3 3 4 5 3 2" xfId="14592"/>
    <cellStyle name="40% - 강조색3 3 4 5 3 3" xfId="14593"/>
    <cellStyle name="40% - 강조색3 3 4 5 4" xfId="14594"/>
    <cellStyle name="40% - 강조색3 3 4 5 5" xfId="14595"/>
    <cellStyle name="40% - 강조색3 3 4 6" xfId="14596"/>
    <cellStyle name="40% - 강조색3 3 4 6 2" xfId="14597"/>
    <cellStyle name="40% - 강조색3 3 4 6 2 2" xfId="14598"/>
    <cellStyle name="40% - 강조색3 3 4 6 2 2 2" xfId="14599"/>
    <cellStyle name="40% - 강조색3 3 4 6 2 2 3" xfId="14600"/>
    <cellStyle name="40% - 강조색3 3 4 6 2 3" xfId="14601"/>
    <cellStyle name="40% - 강조색3 3 4 6 2 4" xfId="14602"/>
    <cellStyle name="40% - 강조색3 3 4 6 3" xfId="14603"/>
    <cellStyle name="40% - 강조색3 3 4 6 3 2" xfId="14604"/>
    <cellStyle name="40% - 강조색3 3 4 6 3 3" xfId="14605"/>
    <cellStyle name="40% - 강조색3 3 4 6 4" xfId="14606"/>
    <cellStyle name="40% - 강조색3 3 4 6 5" xfId="14607"/>
    <cellStyle name="40% - 강조색3 3 4 7" xfId="14608"/>
    <cellStyle name="40% - 강조색3 3 4 7 2" xfId="14609"/>
    <cellStyle name="40% - 강조색3 3 4 7 2 2" xfId="14610"/>
    <cellStyle name="40% - 강조색3 3 4 7 2 3" xfId="14611"/>
    <cellStyle name="40% - 강조색3 3 4 7 3" xfId="14612"/>
    <cellStyle name="40% - 강조색3 3 4 7 4" xfId="14613"/>
    <cellStyle name="40% - 강조색3 3 4 8" xfId="14614"/>
    <cellStyle name="40% - 강조색3 3 4 8 2" xfId="14615"/>
    <cellStyle name="40% - 강조색3 3 4 8 3" xfId="14616"/>
    <cellStyle name="40% - 강조색3 3 4 9" xfId="14617"/>
    <cellStyle name="40% - 강조색3 3 5" xfId="14618"/>
    <cellStyle name="40% - 강조색3 3 5 2" xfId="14619"/>
    <cellStyle name="40% - 강조색3 3 5 2 2" xfId="14620"/>
    <cellStyle name="40% - 강조색3 3 5 2 2 2" xfId="14621"/>
    <cellStyle name="40% - 강조색3 3 5 2 2 2 2" xfId="14622"/>
    <cellStyle name="40% - 강조색3 3 5 2 2 2 3" xfId="14623"/>
    <cellStyle name="40% - 강조색3 3 5 2 2 3" xfId="14624"/>
    <cellStyle name="40% - 강조색3 3 5 2 2 4" xfId="14625"/>
    <cellStyle name="40% - 강조색3 3 5 2 3" xfId="14626"/>
    <cellStyle name="40% - 강조색3 3 5 2 3 2" xfId="14627"/>
    <cellStyle name="40% - 강조색3 3 5 2 3 3" xfId="14628"/>
    <cellStyle name="40% - 강조색3 3 5 2 4" xfId="14629"/>
    <cellStyle name="40% - 강조색3 3 5 2 5" xfId="14630"/>
    <cellStyle name="40% - 강조색3 3 5 3" xfId="14631"/>
    <cellStyle name="40% - 강조색3 3 5 3 2" xfId="14632"/>
    <cellStyle name="40% - 강조색3 3 5 3 2 2" xfId="14633"/>
    <cellStyle name="40% - 강조색3 3 5 3 2 2 2" xfId="14634"/>
    <cellStyle name="40% - 강조색3 3 5 3 2 2 3" xfId="14635"/>
    <cellStyle name="40% - 강조색3 3 5 3 2 3" xfId="14636"/>
    <cellStyle name="40% - 강조색3 3 5 3 2 4" xfId="14637"/>
    <cellStyle name="40% - 강조색3 3 5 3 3" xfId="14638"/>
    <cellStyle name="40% - 강조색3 3 5 3 3 2" xfId="14639"/>
    <cellStyle name="40% - 강조색3 3 5 3 3 3" xfId="14640"/>
    <cellStyle name="40% - 강조색3 3 5 3 4" xfId="14641"/>
    <cellStyle name="40% - 강조색3 3 5 3 5" xfId="14642"/>
    <cellStyle name="40% - 강조색3 3 5 4" xfId="14643"/>
    <cellStyle name="40% - 강조색3 3 5 4 2" xfId="14644"/>
    <cellStyle name="40% - 강조색3 3 5 4 2 2" xfId="14645"/>
    <cellStyle name="40% - 강조색3 3 5 4 2 3" xfId="14646"/>
    <cellStyle name="40% - 강조색3 3 5 4 3" xfId="14647"/>
    <cellStyle name="40% - 강조색3 3 5 4 4" xfId="14648"/>
    <cellStyle name="40% - 강조색3 3 5 5" xfId="14649"/>
    <cellStyle name="40% - 강조색3 3 5 5 2" xfId="14650"/>
    <cellStyle name="40% - 강조색3 3 5 5 3" xfId="14651"/>
    <cellStyle name="40% - 강조색3 3 5 6" xfId="14652"/>
    <cellStyle name="40% - 강조색3 3 5 7" xfId="14653"/>
    <cellStyle name="40% - 강조색3 3 5 8" xfId="14654"/>
    <cellStyle name="40% - 강조색3 3 6" xfId="14655"/>
    <cellStyle name="40% - 강조색3 3 6 2" xfId="14656"/>
    <cellStyle name="40% - 강조색3 3 6 2 2" xfId="14657"/>
    <cellStyle name="40% - 강조색3 3 6 2 2 2" xfId="14658"/>
    <cellStyle name="40% - 강조색3 3 6 2 2 2 2" xfId="14659"/>
    <cellStyle name="40% - 강조색3 3 6 2 2 2 3" xfId="14660"/>
    <cellStyle name="40% - 강조색3 3 6 2 2 3" xfId="14661"/>
    <cellStyle name="40% - 강조색3 3 6 2 2 4" xfId="14662"/>
    <cellStyle name="40% - 강조색3 3 6 2 3" xfId="14663"/>
    <cellStyle name="40% - 강조색3 3 6 2 3 2" xfId="14664"/>
    <cellStyle name="40% - 강조색3 3 6 2 3 3" xfId="14665"/>
    <cellStyle name="40% - 강조색3 3 6 2 4" xfId="14666"/>
    <cellStyle name="40% - 강조색3 3 6 2 5" xfId="14667"/>
    <cellStyle name="40% - 강조색3 3 6 3" xfId="14668"/>
    <cellStyle name="40% - 강조색3 3 6 3 2" xfId="14669"/>
    <cellStyle name="40% - 강조색3 3 6 3 2 2" xfId="14670"/>
    <cellStyle name="40% - 강조색3 3 6 3 2 2 2" xfId="14671"/>
    <cellStyle name="40% - 강조색3 3 6 3 2 2 3" xfId="14672"/>
    <cellStyle name="40% - 강조색3 3 6 3 2 3" xfId="14673"/>
    <cellStyle name="40% - 강조색3 3 6 3 2 4" xfId="14674"/>
    <cellStyle name="40% - 강조색3 3 6 3 3" xfId="14675"/>
    <cellStyle name="40% - 강조색3 3 6 3 3 2" xfId="14676"/>
    <cellStyle name="40% - 강조색3 3 6 3 3 3" xfId="14677"/>
    <cellStyle name="40% - 강조색3 3 6 3 4" xfId="14678"/>
    <cellStyle name="40% - 강조색3 3 6 3 5" xfId="14679"/>
    <cellStyle name="40% - 강조색3 3 6 4" xfId="14680"/>
    <cellStyle name="40% - 강조색3 3 6 4 2" xfId="14681"/>
    <cellStyle name="40% - 강조색3 3 6 4 2 2" xfId="14682"/>
    <cellStyle name="40% - 강조색3 3 6 4 2 3" xfId="14683"/>
    <cellStyle name="40% - 강조색3 3 6 4 3" xfId="14684"/>
    <cellStyle name="40% - 강조색3 3 6 4 4" xfId="14685"/>
    <cellStyle name="40% - 강조색3 3 6 5" xfId="14686"/>
    <cellStyle name="40% - 강조색3 3 6 5 2" xfId="14687"/>
    <cellStyle name="40% - 강조색3 3 6 5 3" xfId="14688"/>
    <cellStyle name="40% - 강조색3 3 6 6" xfId="14689"/>
    <cellStyle name="40% - 강조색3 3 6 7" xfId="14690"/>
    <cellStyle name="40% - 강조색3 3 7" xfId="14691"/>
    <cellStyle name="40% - 강조색3 3 7 2" xfId="14692"/>
    <cellStyle name="40% - 강조색3 3 7 2 2" xfId="14693"/>
    <cellStyle name="40% - 강조색3 3 7 2 2 2" xfId="14694"/>
    <cellStyle name="40% - 강조색3 3 7 2 2 3" xfId="14695"/>
    <cellStyle name="40% - 강조색3 3 7 2 3" xfId="14696"/>
    <cellStyle name="40% - 강조색3 3 7 2 4" xfId="14697"/>
    <cellStyle name="40% - 강조색3 3 7 3" xfId="14698"/>
    <cellStyle name="40% - 강조색3 3 7 3 2" xfId="14699"/>
    <cellStyle name="40% - 강조색3 3 7 3 3" xfId="14700"/>
    <cellStyle name="40% - 강조색3 3 7 4" xfId="14701"/>
    <cellStyle name="40% - 강조색3 3 7 5" xfId="14702"/>
    <cellStyle name="40% - 강조색3 3 8" xfId="14703"/>
    <cellStyle name="40% - 강조색3 3 8 2" xfId="14704"/>
    <cellStyle name="40% - 강조색3 3 8 2 2" xfId="14705"/>
    <cellStyle name="40% - 강조색3 3 8 2 2 2" xfId="14706"/>
    <cellStyle name="40% - 강조색3 3 8 2 2 3" xfId="14707"/>
    <cellStyle name="40% - 강조색3 3 8 2 3" xfId="14708"/>
    <cellStyle name="40% - 강조색3 3 8 2 4" xfId="14709"/>
    <cellStyle name="40% - 강조색3 3 8 3" xfId="14710"/>
    <cellStyle name="40% - 강조색3 3 8 3 2" xfId="14711"/>
    <cellStyle name="40% - 강조색3 3 8 3 3" xfId="14712"/>
    <cellStyle name="40% - 강조색3 3 8 4" xfId="14713"/>
    <cellStyle name="40% - 강조색3 3 8 5" xfId="14714"/>
    <cellStyle name="40% - 강조색3 3 9" xfId="14715"/>
    <cellStyle name="40% - 강조색3 3 9 2" xfId="14716"/>
    <cellStyle name="40% - 강조색3 3 9 2 2" xfId="14717"/>
    <cellStyle name="40% - 강조색3 3 9 2 2 2" xfId="14718"/>
    <cellStyle name="40% - 강조색3 3 9 2 2 3" xfId="14719"/>
    <cellStyle name="40% - 강조색3 3 9 2 3" xfId="14720"/>
    <cellStyle name="40% - 강조색3 3 9 2 4" xfId="14721"/>
    <cellStyle name="40% - 강조색3 3 9 3" xfId="14722"/>
    <cellStyle name="40% - 강조색3 3 9 3 2" xfId="14723"/>
    <cellStyle name="40% - 강조색3 3 9 3 3" xfId="14724"/>
    <cellStyle name="40% - 강조색3 3 9 4" xfId="14725"/>
    <cellStyle name="40% - 강조색3 3 9 5" xfId="14726"/>
    <cellStyle name="40% - 강조색3 30" xfId="14727"/>
    <cellStyle name="40% - 강조색3 30 2" xfId="14728"/>
    <cellStyle name="40% - 강조색3 31" xfId="14729"/>
    <cellStyle name="40% - 강조색3 31 2" xfId="14730"/>
    <cellStyle name="40% - 강조색3 32" xfId="14731"/>
    <cellStyle name="40% - 강조색3 32 2" xfId="14732"/>
    <cellStyle name="40% - 강조색3 33" xfId="14733"/>
    <cellStyle name="40% - 강조색3 33 2" xfId="14734"/>
    <cellStyle name="40% - 강조색3 34" xfId="14735"/>
    <cellStyle name="40% - 강조색3 34 2" xfId="14736"/>
    <cellStyle name="40% - 강조색3 35" xfId="14737"/>
    <cellStyle name="40% - 강조색3 36" xfId="14738"/>
    <cellStyle name="40% - 강조색3 37" xfId="14739"/>
    <cellStyle name="40% - 강조색3 38" xfId="14740"/>
    <cellStyle name="40% - 강조색3 39" xfId="14741"/>
    <cellStyle name="40% - 강조색3 4" xfId="14742"/>
    <cellStyle name="40% - 강조색3 4 10" xfId="14743"/>
    <cellStyle name="40% - 강조색3 4 10 2" xfId="14744"/>
    <cellStyle name="40% - 강조색3 4 10 2 2" xfId="14745"/>
    <cellStyle name="40% - 강조색3 4 10 2 3" xfId="14746"/>
    <cellStyle name="40% - 강조색3 4 10 3" xfId="14747"/>
    <cellStyle name="40% - 강조색3 4 10 4" xfId="14748"/>
    <cellStyle name="40% - 강조색3 4 11" xfId="14749"/>
    <cellStyle name="40% - 강조색3 4 11 2" xfId="14750"/>
    <cellStyle name="40% - 강조색3 4 11 3" xfId="14751"/>
    <cellStyle name="40% - 강조색3 4 12" xfId="14752"/>
    <cellStyle name="40% - 강조색3 4 13" xfId="14753"/>
    <cellStyle name="40% - 강조색3 4 14" xfId="14754"/>
    <cellStyle name="40% - 강조색3 4 2" xfId="14755"/>
    <cellStyle name="40% - 강조색3 4 2 10" xfId="14756"/>
    <cellStyle name="40% - 강조색3 4 2 2" xfId="14757"/>
    <cellStyle name="40% - 강조색3 4 2 2 2" xfId="14758"/>
    <cellStyle name="40% - 강조색3 4 2 2 2 2" xfId="14759"/>
    <cellStyle name="40% - 강조색3 4 2 2 2 2 2" xfId="14760"/>
    <cellStyle name="40% - 강조색3 4 2 2 2 2 2 2" xfId="14761"/>
    <cellStyle name="40% - 강조색3 4 2 2 2 2 2 3" xfId="14762"/>
    <cellStyle name="40% - 강조색3 4 2 2 2 2 3" xfId="14763"/>
    <cellStyle name="40% - 강조색3 4 2 2 2 2 4" xfId="14764"/>
    <cellStyle name="40% - 강조색3 4 2 2 2 3" xfId="14765"/>
    <cellStyle name="40% - 강조색3 4 2 2 2 3 2" xfId="14766"/>
    <cellStyle name="40% - 강조색3 4 2 2 2 3 3" xfId="14767"/>
    <cellStyle name="40% - 강조색3 4 2 2 2 4" xfId="14768"/>
    <cellStyle name="40% - 강조색3 4 2 2 2 5" xfId="14769"/>
    <cellStyle name="40% - 강조색3 4 2 2 3" xfId="14770"/>
    <cellStyle name="40% - 강조색3 4 2 2 3 2" xfId="14771"/>
    <cellStyle name="40% - 강조색3 4 2 2 3 2 2" xfId="14772"/>
    <cellStyle name="40% - 강조색3 4 2 2 3 2 2 2" xfId="14773"/>
    <cellStyle name="40% - 강조색3 4 2 2 3 2 2 3" xfId="14774"/>
    <cellStyle name="40% - 강조색3 4 2 2 3 2 3" xfId="14775"/>
    <cellStyle name="40% - 강조색3 4 2 2 3 2 4" xfId="14776"/>
    <cellStyle name="40% - 강조색3 4 2 2 3 3" xfId="14777"/>
    <cellStyle name="40% - 강조색3 4 2 2 3 3 2" xfId="14778"/>
    <cellStyle name="40% - 강조색3 4 2 2 3 3 3" xfId="14779"/>
    <cellStyle name="40% - 강조색3 4 2 2 3 4" xfId="14780"/>
    <cellStyle name="40% - 강조색3 4 2 2 3 5" xfId="14781"/>
    <cellStyle name="40% - 강조색3 4 2 2 4" xfId="14782"/>
    <cellStyle name="40% - 강조색3 4 2 2 4 2" xfId="14783"/>
    <cellStyle name="40% - 강조색3 4 2 2 4 2 2" xfId="14784"/>
    <cellStyle name="40% - 강조색3 4 2 2 4 2 3" xfId="14785"/>
    <cellStyle name="40% - 강조색3 4 2 2 4 3" xfId="14786"/>
    <cellStyle name="40% - 강조색3 4 2 2 4 4" xfId="14787"/>
    <cellStyle name="40% - 강조색3 4 2 2 5" xfId="14788"/>
    <cellStyle name="40% - 강조색3 4 2 2 5 2" xfId="14789"/>
    <cellStyle name="40% - 강조색3 4 2 2 5 3" xfId="14790"/>
    <cellStyle name="40% - 강조색3 4 2 2 6" xfId="14791"/>
    <cellStyle name="40% - 강조색3 4 2 2 7" xfId="14792"/>
    <cellStyle name="40% - 강조색3 4 2 3" xfId="14793"/>
    <cellStyle name="40% - 강조색3 4 2 3 2" xfId="14794"/>
    <cellStyle name="40% - 강조색3 4 2 3 2 2" xfId="14795"/>
    <cellStyle name="40% - 강조색3 4 2 3 2 2 2" xfId="14796"/>
    <cellStyle name="40% - 강조색3 4 2 3 2 2 2 2" xfId="14797"/>
    <cellStyle name="40% - 강조색3 4 2 3 2 2 2 3" xfId="14798"/>
    <cellStyle name="40% - 강조색3 4 2 3 2 2 3" xfId="14799"/>
    <cellStyle name="40% - 강조색3 4 2 3 2 2 4" xfId="14800"/>
    <cellStyle name="40% - 강조색3 4 2 3 2 3" xfId="14801"/>
    <cellStyle name="40% - 강조색3 4 2 3 2 3 2" xfId="14802"/>
    <cellStyle name="40% - 강조색3 4 2 3 2 3 3" xfId="14803"/>
    <cellStyle name="40% - 강조색3 4 2 3 2 4" xfId="14804"/>
    <cellStyle name="40% - 강조색3 4 2 3 2 5" xfId="14805"/>
    <cellStyle name="40% - 강조색3 4 2 3 3" xfId="14806"/>
    <cellStyle name="40% - 강조색3 4 2 3 3 2" xfId="14807"/>
    <cellStyle name="40% - 강조색3 4 2 3 3 2 2" xfId="14808"/>
    <cellStyle name="40% - 강조색3 4 2 3 3 2 2 2" xfId="14809"/>
    <cellStyle name="40% - 강조색3 4 2 3 3 2 2 3" xfId="14810"/>
    <cellStyle name="40% - 강조색3 4 2 3 3 2 3" xfId="14811"/>
    <cellStyle name="40% - 강조색3 4 2 3 3 2 4" xfId="14812"/>
    <cellStyle name="40% - 강조색3 4 2 3 3 3" xfId="14813"/>
    <cellStyle name="40% - 강조색3 4 2 3 3 3 2" xfId="14814"/>
    <cellStyle name="40% - 강조색3 4 2 3 3 3 3" xfId="14815"/>
    <cellStyle name="40% - 강조색3 4 2 3 3 4" xfId="14816"/>
    <cellStyle name="40% - 강조색3 4 2 3 3 5" xfId="14817"/>
    <cellStyle name="40% - 강조색3 4 2 3 4" xfId="14818"/>
    <cellStyle name="40% - 강조색3 4 2 3 4 2" xfId="14819"/>
    <cellStyle name="40% - 강조색3 4 2 3 4 2 2" xfId="14820"/>
    <cellStyle name="40% - 강조색3 4 2 3 4 2 3" xfId="14821"/>
    <cellStyle name="40% - 강조색3 4 2 3 4 3" xfId="14822"/>
    <cellStyle name="40% - 강조색3 4 2 3 4 4" xfId="14823"/>
    <cellStyle name="40% - 강조색3 4 2 3 5" xfId="14824"/>
    <cellStyle name="40% - 강조색3 4 2 3 5 2" xfId="14825"/>
    <cellStyle name="40% - 강조색3 4 2 3 5 3" xfId="14826"/>
    <cellStyle name="40% - 강조색3 4 2 3 6" xfId="14827"/>
    <cellStyle name="40% - 강조색3 4 2 3 7" xfId="14828"/>
    <cellStyle name="40% - 강조색3 4 2 4" xfId="14829"/>
    <cellStyle name="40% - 강조색3 4 2 4 2" xfId="14830"/>
    <cellStyle name="40% - 강조색3 4 2 4 2 2" xfId="14831"/>
    <cellStyle name="40% - 강조색3 4 2 4 2 2 2" xfId="14832"/>
    <cellStyle name="40% - 강조색3 4 2 4 2 2 3" xfId="14833"/>
    <cellStyle name="40% - 강조색3 4 2 4 2 3" xfId="14834"/>
    <cellStyle name="40% - 강조색3 4 2 4 2 4" xfId="14835"/>
    <cellStyle name="40% - 강조색3 4 2 4 3" xfId="14836"/>
    <cellStyle name="40% - 강조색3 4 2 4 3 2" xfId="14837"/>
    <cellStyle name="40% - 강조색3 4 2 4 3 3" xfId="14838"/>
    <cellStyle name="40% - 강조색3 4 2 4 4" xfId="14839"/>
    <cellStyle name="40% - 강조색3 4 2 4 5" xfId="14840"/>
    <cellStyle name="40% - 강조색3 4 2 5" xfId="14841"/>
    <cellStyle name="40% - 강조색3 4 2 5 2" xfId="14842"/>
    <cellStyle name="40% - 강조색3 4 2 5 2 2" xfId="14843"/>
    <cellStyle name="40% - 강조색3 4 2 5 2 2 2" xfId="14844"/>
    <cellStyle name="40% - 강조색3 4 2 5 2 2 3" xfId="14845"/>
    <cellStyle name="40% - 강조색3 4 2 5 2 3" xfId="14846"/>
    <cellStyle name="40% - 강조색3 4 2 5 2 4" xfId="14847"/>
    <cellStyle name="40% - 강조색3 4 2 5 3" xfId="14848"/>
    <cellStyle name="40% - 강조색3 4 2 5 3 2" xfId="14849"/>
    <cellStyle name="40% - 강조색3 4 2 5 3 3" xfId="14850"/>
    <cellStyle name="40% - 강조색3 4 2 5 4" xfId="14851"/>
    <cellStyle name="40% - 강조색3 4 2 5 5" xfId="14852"/>
    <cellStyle name="40% - 강조색3 4 2 6" xfId="14853"/>
    <cellStyle name="40% - 강조색3 4 2 6 2" xfId="14854"/>
    <cellStyle name="40% - 강조색3 4 2 6 2 2" xfId="14855"/>
    <cellStyle name="40% - 강조색3 4 2 6 2 2 2" xfId="14856"/>
    <cellStyle name="40% - 강조색3 4 2 6 2 2 3" xfId="14857"/>
    <cellStyle name="40% - 강조색3 4 2 6 2 3" xfId="14858"/>
    <cellStyle name="40% - 강조색3 4 2 6 2 4" xfId="14859"/>
    <cellStyle name="40% - 강조색3 4 2 6 3" xfId="14860"/>
    <cellStyle name="40% - 강조색3 4 2 6 3 2" xfId="14861"/>
    <cellStyle name="40% - 강조색3 4 2 6 3 3" xfId="14862"/>
    <cellStyle name="40% - 강조색3 4 2 6 4" xfId="14863"/>
    <cellStyle name="40% - 강조색3 4 2 6 5" xfId="14864"/>
    <cellStyle name="40% - 강조색3 4 2 7" xfId="14865"/>
    <cellStyle name="40% - 강조색3 4 2 7 2" xfId="14866"/>
    <cellStyle name="40% - 강조색3 4 2 7 2 2" xfId="14867"/>
    <cellStyle name="40% - 강조색3 4 2 7 2 3" xfId="14868"/>
    <cellStyle name="40% - 강조색3 4 2 7 3" xfId="14869"/>
    <cellStyle name="40% - 강조색3 4 2 7 4" xfId="14870"/>
    <cellStyle name="40% - 강조색3 4 2 8" xfId="14871"/>
    <cellStyle name="40% - 강조색3 4 2 8 2" xfId="14872"/>
    <cellStyle name="40% - 강조색3 4 2 8 3" xfId="14873"/>
    <cellStyle name="40% - 강조색3 4 2 9" xfId="14874"/>
    <cellStyle name="40% - 강조색3 4 3" xfId="14875"/>
    <cellStyle name="40% - 강조색3 4 3 10" xfId="14876"/>
    <cellStyle name="40% - 강조색3 4 3 2" xfId="14877"/>
    <cellStyle name="40% - 강조색3 4 3 2 2" xfId="14878"/>
    <cellStyle name="40% - 강조색3 4 3 2 2 2" xfId="14879"/>
    <cellStyle name="40% - 강조색3 4 3 2 2 2 2" xfId="14880"/>
    <cellStyle name="40% - 강조색3 4 3 2 2 2 2 2" xfId="14881"/>
    <cellStyle name="40% - 강조색3 4 3 2 2 2 2 3" xfId="14882"/>
    <cellStyle name="40% - 강조색3 4 3 2 2 2 3" xfId="14883"/>
    <cellStyle name="40% - 강조색3 4 3 2 2 2 4" xfId="14884"/>
    <cellStyle name="40% - 강조색3 4 3 2 2 3" xfId="14885"/>
    <cellStyle name="40% - 강조색3 4 3 2 2 3 2" xfId="14886"/>
    <cellStyle name="40% - 강조색3 4 3 2 2 3 3" xfId="14887"/>
    <cellStyle name="40% - 강조색3 4 3 2 2 4" xfId="14888"/>
    <cellStyle name="40% - 강조색3 4 3 2 2 5" xfId="14889"/>
    <cellStyle name="40% - 강조색3 4 3 2 3" xfId="14890"/>
    <cellStyle name="40% - 강조색3 4 3 2 3 2" xfId="14891"/>
    <cellStyle name="40% - 강조색3 4 3 2 3 2 2" xfId="14892"/>
    <cellStyle name="40% - 강조색3 4 3 2 3 2 2 2" xfId="14893"/>
    <cellStyle name="40% - 강조색3 4 3 2 3 2 2 3" xfId="14894"/>
    <cellStyle name="40% - 강조색3 4 3 2 3 2 3" xfId="14895"/>
    <cellStyle name="40% - 강조색3 4 3 2 3 2 4" xfId="14896"/>
    <cellStyle name="40% - 강조색3 4 3 2 3 3" xfId="14897"/>
    <cellStyle name="40% - 강조색3 4 3 2 3 3 2" xfId="14898"/>
    <cellStyle name="40% - 강조색3 4 3 2 3 3 3" xfId="14899"/>
    <cellStyle name="40% - 강조색3 4 3 2 3 4" xfId="14900"/>
    <cellStyle name="40% - 강조색3 4 3 2 3 5" xfId="14901"/>
    <cellStyle name="40% - 강조색3 4 3 2 4" xfId="14902"/>
    <cellStyle name="40% - 강조색3 4 3 2 4 2" xfId="14903"/>
    <cellStyle name="40% - 강조색3 4 3 2 4 2 2" xfId="14904"/>
    <cellStyle name="40% - 강조색3 4 3 2 4 2 3" xfId="14905"/>
    <cellStyle name="40% - 강조색3 4 3 2 4 3" xfId="14906"/>
    <cellStyle name="40% - 강조색3 4 3 2 4 4" xfId="14907"/>
    <cellStyle name="40% - 강조색3 4 3 2 5" xfId="14908"/>
    <cellStyle name="40% - 강조색3 4 3 2 5 2" xfId="14909"/>
    <cellStyle name="40% - 강조색3 4 3 2 5 3" xfId="14910"/>
    <cellStyle name="40% - 강조색3 4 3 2 6" xfId="14911"/>
    <cellStyle name="40% - 강조색3 4 3 2 7" xfId="14912"/>
    <cellStyle name="40% - 강조색3 4 3 3" xfId="14913"/>
    <cellStyle name="40% - 강조색3 4 3 3 2" xfId="14914"/>
    <cellStyle name="40% - 강조색3 4 3 3 2 2" xfId="14915"/>
    <cellStyle name="40% - 강조색3 4 3 3 2 2 2" xfId="14916"/>
    <cellStyle name="40% - 강조색3 4 3 3 2 2 2 2" xfId="14917"/>
    <cellStyle name="40% - 강조색3 4 3 3 2 2 2 3" xfId="14918"/>
    <cellStyle name="40% - 강조색3 4 3 3 2 2 3" xfId="14919"/>
    <cellStyle name="40% - 강조색3 4 3 3 2 2 4" xfId="14920"/>
    <cellStyle name="40% - 강조색3 4 3 3 2 3" xfId="14921"/>
    <cellStyle name="40% - 강조색3 4 3 3 2 3 2" xfId="14922"/>
    <cellStyle name="40% - 강조색3 4 3 3 2 3 3" xfId="14923"/>
    <cellStyle name="40% - 강조색3 4 3 3 2 4" xfId="14924"/>
    <cellStyle name="40% - 강조색3 4 3 3 2 5" xfId="14925"/>
    <cellStyle name="40% - 강조색3 4 3 3 3" xfId="14926"/>
    <cellStyle name="40% - 강조색3 4 3 3 3 2" xfId="14927"/>
    <cellStyle name="40% - 강조색3 4 3 3 3 2 2" xfId="14928"/>
    <cellStyle name="40% - 강조색3 4 3 3 3 2 2 2" xfId="14929"/>
    <cellStyle name="40% - 강조색3 4 3 3 3 2 2 3" xfId="14930"/>
    <cellStyle name="40% - 강조색3 4 3 3 3 2 3" xfId="14931"/>
    <cellStyle name="40% - 강조색3 4 3 3 3 2 4" xfId="14932"/>
    <cellStyle name="40% - 강조색3 4 3 3 3 3" xfId="14933"/>
    <cellStyle name="40% - 강조색3 4 3 3 3 3 2" xfId="14934"/>
    <cellStyle name="40% - 강조색3 4 3 3 3 3 3" xfId="14935"/>
    <cellStyle name="40% - 강조색3 4 3 3 3 4" xfId="14936"/>
    <cellStyle name="40% - 강조색3 4 3 3 3 5" xfId="14937"/>
    <cellStyle name="40% - 강조색3 4 3 3 4" xfId="14938"/>
    <cellStyle name="40% - 강조색3 4 3 3 4 2" xfId="14939"/>
    <cellStyle name="40% - 강조색3 4 3 3 4 2 2" xfId="14940"/>
    <cellStyle name="40% - 강조색3 4 3 3 4 2 3" xfId="14941"/>
    <cellStyle name="40% - 강조색3 4 3 3 4 3" xfId="14942"/>
    <cellStyle name="40% - 강조색3 4 3 3 4 4" xfId="14943"/>
    <cellStyle name="40% - 강조색3 4 3 3 5" xfId="14944"/>
    <cellStyle name="40% - 강조색3 4 3 3 5 2" xfId="14945"/>
    <cellStyle name="40% - 강조색3 4 3 3 5 3" xfId="14946"/>
    <cellStyle name="40% - 강조색3 4 3 3 6" xfId="14947"/>
    <cellStyle name="40% - 강조색3 4 3 3 7" xfId="14948"/>
    <cellStyle name="40% - 강조색3 4 3 4" xfId="14949"/>
    <cellStyle name="40% - 강조색3 4 3 4 2" xfId="14950"/>
    <cellStyle name="40% - 강조색3 4 3 4 2 2" xfId="14951"/>
    <cellStyle name="40% - 강조색3 4 3 4 2 2 2" xfId="14952"/>
    <cellStyle name="40% - 강조색3 4 3 4 2 2 3" xfId="14953"/>
    <cellStyle name="40% - 강조색3 4 3 4 2 3" xfId="14954"/>
    <cellStyle name="40% - 강조색3 4 3 4 2 4" xfId="14955"/>
    <cellStyle name="40% - 강조색3 4 3 4 3" xfId="14956"/>
    <cellStyle name="40% - 강조색3 4 3 4 3 2" xfId="14957"/>
    <cellStyle name="40% - 강조색3 4 3 4 3 3" xfId="14958"/>
    <cellStyle name="40% - 강조색3 4 3 4 4" xfId="14959"/>
    <cellStyle name="40% - 강조색3 4 3 4 5" xfId="14960"/>
    <cellStyle name="40% - 강조색3 4 3 5" xfId="14961"/>
    <cellStyle name="40% - 강조색3 4 3 5 2" xfId="14962"/>
    <cellStyle name="40% - 강조색3 4 3 5 2 2" xfId="14963"/>
    <cellStyle name="40% - 강조색3 4 3 5 2 2 2" xfId="14964"/>
    <cellStyle name="40% - 강조색3 4 3 5 2 2 3" xfId="14965"/>
    <cellStyle name="40% - 강조색3 4 3 5 2 3" xfId="14966"/>
    <cellStyle name="40% - 강조색3 4 3 5 2 4" xfId="14967"/>
    <cellStyle name="40% - 강조색3 4 3 5 3" xfId="14968"/>
    <cellStyle name="40% - 강조색3 4 3 5 3 2" xfId="14969"/>
    <cellStyle name="40% - 강조색3 4 3 5 3 3" xfId="14970"/>
    <cellStyle name="40% - 강조색3 4 3 5 4" xfId="14971"/>
    <cellStyle name="40% - 강조색3 4 3 5 5" xfId="14972"/>
    <cellStyle name="40% - 강조색3 4 3 6" xfId="14973"/>
    <cellStyle name="40% - 강조색3 4 3 6 2" xfId="14974"/>
    <cellStyle name="40% - 강조색3 4 3 6 2 2" xfId="14975"/>
    <cellStyle name="40% - 강조색3 4 3 6 2 2 2" xfId="14976"/>
    <cellStyle name="40% - 강조색3 4 3 6 2 2 3" xfId="14977"/>
    <cellStyle name="40% - 강조색3 4 3 6 2 3" xfId="14978"/>
    <cellStyle name="40% - 강조색3 4 3 6 2 4" xfId="14979"/>
    <cellStyle name="40% - 강조색3 4 3 6 3" xfId="14980"/>
    <cellStyle name="40% - 강조색3 4 3 6 3 2" xfId="14981"/>
    <cellStyle name="40% - 강조색3 4 3 6 3 3" xfId="14982"/>
    <cellStyle name="40% - 강조색3 4 3 6 4" xfId="14983"/>
    <cellStyle name="40% - 강조색3 4 3 6 5" xfId="14984"/>
    <cellStyle name="40% - 강조색3 4 3 7" xfId="14985"/>
    <cellStyle name="40% - 강조색3 4 3 7 2" xfId="14986"/>
    <cellStyle name="40% - 강조색3 4 3 7 2 2" xfId="14987"/>
    <cellStyle name="40% - 강조색3 4 3 7 2 3" xfId="14988"/>
    <cellStyle name="40% - 강조색3 4 3 7 3" xfId="14989"/>
    <cellStyle name="40% - 강조색3 4 3 7 4" xfId="14990"/>
    <cellStyle name="40% - 강조색3 4 3 8" xfId="14991"/>
    <cellStyle name="40% - 강조색3 4 3 8 2" xfId="14992"/>
    <cellStyle name="40% - 강조색3 4 3 8 3" xfId="14993"/>
    <cellStyle name="40% - 강조색3 4 3 9" xfId="14994"/>
    <cellStyle name="40% - 강조색3 4 4" xfId="14995"/>
    <cellStyle name="40% - 강조색3 4 4 10" xfId="14996"/>
    <cellStyle name="40% - 강조색3 4 4 2" xfId="14997"/>
    <cellStyle name="40% - 강조색3 4 4 2 2" xfId="14998"/>
    <cellStyle name="40% - 강조색3 4 4 2 2 2" xfId="14999"/>
    <cellStyle name="40% - 강조색3 4 4 2 2 2 2" xfId="15000"/>
    <cellStyle name="40% - 강조색3 4 4 2 2 2 2 2" xfId="15001"/>
    <cellStyle name="40% - 강조색3 4 4 2 2 2 2 3" xfId="15002"/>
    <cellStyle name="40% - 강조색3 4 4 2 2 2 3" xfId="15003"/>
    <cellStyle name="40% - 강조색3 4 4 2 2 2 4" xfId="15004"/>
    <cellStyle name="40% - 강조색3 4 4 2 2 3" xfId="15005"/>
    <cellStyle name="40% - 강조색3 4 4 2 2 3 2" xfId="15006"/>
    <cellStyle name="40% - 강조색3 4 4 2 2 3 3" xfId="15007"/>
    <cellStyle name="40% - 강조색3 4 4 2 2 4" xfId="15008"/>
    <cellStyle name="40% - 강조색3 4 4 2 2 5" xfId="15009"/>
    <cellStyle name="40% - 강조색3 4 4 2 3" xfId="15010"/>
    <cellStyle name="40% - 강조색3 4 4 2 3 2" xfId="15011"/>
    <cellStyle name="40% - 강조색3 4 4 2 3 2 2" xfId="15012"/>
    <cellStyle name="40% - 강조색3 4 4 2 3 2 2 2" xfId="15013"/>
    <cellStyle name="40% - 강조색3 4 4 2 3 2 2 3" xfId="15014"/>
    <cellStyle name="40% - 강조색3 4 4 2 3 2 3" xfId="15015"/>
    <cellStyle name="40% - 강조색3 4 4 2 3 2 4" xfId="15016"/>
    <cellStyle name="40% - 강조색3 4 4 2 3 3" xfId="15017"/>
    <cellStyle name="40% - 강조색3 4 4 2 3 3 2" xfId="15018"/>
    <cellStyle name="40% - 강조색3 4 4 2 3 3 3" xfId="15019"/>
    <cellStyle name="40% - 강조색3 4 4 2 3 4" xfId="15020"/>
    <cellStyle name="40% - 강조색3 4 4 2 3 5" xfId="15021"/>
    <cellStyle name="40% - 강조색3 4 4 2 4" xfId="15022"/>
    <cellStyle name="40% - 강조색3 4 4 2 4 2" xfId="15023"/>
    <cellStyle name="40% - 강조색3 4 4 2 4 2 2" xfId="15024"/>
    <cellStyle name="40% - 강조색3 4 4 2 4 2 3" xfId="15025"/>
    <cellStyle name="40% - 강조색3 4 4 2 4 3" xfId="15026"/>
    <cellStyle name="40% - 강조색3 4 4 2 4 4" xfId="15027"/>
    <cellStyle name="40% - 강조색3 4 4 2 5" xfId="15028"/>
    <cellStyle name="40% - 강조색3 4 4 2 5 2" xfId="15029"/>
    <cellStyle name="40% - 강조색3 4 4 2 5 3" xfId="15030"/>
    <cellStyle name="40% - 강조색3 4 4 2 6" xfId="15031"/>
    <cellStyle name="40% - 강조색3 4 4 2 7" xfId="15032"/>
    <cellStyle name="40% - 강조색3 4 4 3" xfId="15033"/>
    <cellStyle name="40% - 강조색3 4 4 3 2" xfId="15034"/>
    <cellStyle name="40% - 강조색3 4 4 3 2 2" xfId="15035"/>
    <cellStyle name="40% - 강조색3 4 4 3 2 2 2" xfId="15036"/>
    <cellStyle name="40% - 강조색3 4 4 3 2 2 2 2" xfId="15037"/>
    <cellStyle name="40% - 강조색3 4 4 3 2 2 2 3" xfId="15038"/>
    <cellStyle name="40% - 강조색3 4 4 3 2 2 3" xfId="15039"/>
    <cellStyle name="40% - 강조색3 4 4 3 2 2 4" xfId="15040"/>
    <cellStyle name="40% - 강조색3 4 4 3 2 3" xfId="15041"/>
    <cellStyle name="40% - 강조색3 4 4 3 2 3 2" xfId="15042"/>
    <cellStyle name="40% - 강조색3 4 4 3 2 3 3" xfId="15043"/>
    <cellStyle name="40% - 강조색3 4 4 3 2 4" xfId="15044"/>
    <cellStyle name="40% - 강조색3 4 4 3 2 5" xfId="15045"/>
    <cellStyle name="40% - 강조색3 4 4 3 3" xfId="15046"/>
    <cellStyle name="40% - 강조색3 4 4 3 3 2" xfId="15047"/>
    <cellStyle name="40% - 강조색3 4 4 3 3 2 2" xfId="15048"/>
    <cellStyle name="40% - 강조색3 4 4 3 3 2 2 2" xfId="15049"/>
    <cellStyle name="40% - 강조색3 4 4 3 3 2 2 3" xfId="15050"/>
    <cellStyle name="40% - 강조색3 4 4 3 3 2 3" xfId="15051"/>
    <cellStyle name="40% - 강조색3 4 4 3 3 2 4" xfId="15052"/>
    <cellStyle name="40% - 강조색3 4 4 3 3 3" xfId="15053"/>
    <cellStyle name="40% - 강조색3 4 4 3 3 3 2" xfId="15054"/>
    <cellStyle name="40% - 강조색3 4 4 3 3 3 3" xfId="15055"/>
    <cellStyle name="40% - 강조색3 4 4 3 3 4" xfId="15056"/>
    <cellStyle name="40% - 강조색3 4 4 3 3 5" xfId="15057"/>
    <cellStyle name="40% - 강조색3 4 4 3 4" xfId="15058"/>
    <cellStyle name="40% - 강조색3 4 4 3 4 2" xfId="15059"/>
    <cellStyle name="40% - 강조색3 4 4 3 4 2 2" xfId="15060"/>
    <cellStyle name="40% - 강조색3 4 4 3 4 2 3" xfId="15061"/>
    <cellStyle name="40% - 강조색3 4 4 3 4 3" xfId="15062"/>
    <cellStyle name="40% - 강조색3 4 4 3 4 4" xfId="15063"/>
    <cellStyle name="40% - 강조색3 4 4 3 5" xfId="15064"/>
    <cellStyle name="40% - 강조색3 4 4 3 5 2" xfId="15065"/>
    <cellStyle name="40% - 강조색3 4 4 3 5 3" xfId="15066"/>
    <cellStyle name="40% - 강조색3 4 4 3 6" xfId="15067"/>
    <cellStyle name="40% - 강조색3 4 4 3 7" xfId="15068"/>
    <cellStyle name="40% - 강조색3 4 4 4" xfId="15069"/>
    <cellStyle name="40% - 강조색3 4 4 4 2" xfId="15070"/>
    <cellStyle name="40% - 강조색3 4 4 4 2 2" xfId="15071"/>
    <cellStyle name="40% - 강조색3 4 4 4 2 2 2" xfId="15072"/>
    <cellStyle name="40% - 강조색3 4 4 4 2 2 3" xfId="15073"/>
    <cellStyle name="40% - 강조색3 4 4 4 2 3" xfId="15074"/>
    <cellStyle name="40% - 강조색3 4 4 4 2 4" xfId="15075"/>
    <cellStyle name="40% - 강조색3 4 4 4 3" xfId="15076"/>
    <cellStyle name="40% - 강조색3 4 4 4 3 2" xfId="15077"/>
    <cellStyle name="40% - 강조색3 4 4 4 3 3" xfId="15078"/>
    <cellStyle name="40% - 강조색3 4 4 4 4" xfId="15079"/>
    <cellStyle name="40% - 강조색3 4 4 4 5" xfId="15080"/>
    <cellStyle name="40% - 강조색3 4 4 5" xfId="15081"/>
    <cellStyle name="40% - 강조색3 4 4 5 2" xfId="15082"/>
    <cellStyle name="40% - 강조색3 4 4 5 2 2" xfId="15083"/>
    <cellStyle name="40% - 강조색3 4 4 5 2 2 2" xfId="15084"/>
    <cellStyle name="40% - 강조색3 4 4 5 2 2 3" xfId="15085"/>
    <cellStyle name="40% - 강조색3 4 4 5 2 3" xfId="15086"/>
    <cellStyle name="40% - 강조색3 4 4 5 2 4" xfId="15087"/>
    <cellStyle name="40% - 강조색3 4 4 5 3" xfId="15088"/>
    <cellStyle name="40% - 강조색3 4 4 5 3 2" xfId="15089"/>
    <cellStyle name="40% - 강조색3 4 4 5 3 3" xfId="15090"/>
    <cellStyle name="40% - 강조색3 4 4 5 4" xfId="15091"/>
    <cellStyle name="40% - 강조색3 4 4 5 5" xfId="15092"/>
    <cellStyle name="40% - 강조색3 4 4 6" xfId="15093"/>
    <cellStyle name="40% - 강조색3 4 4 6 2" xfId="15094"/>
    <cellStyle name="40% - 강조색3 4 4 6 2 2" xfId="15095"/>
    <cellStyle name="40% - 강조색3 4 4 6 2 2 2" xfId="15096"/>
    <cellStyle name="40% - 강조색3 4 4 6 2 2 3" xfId="15097"/>
    <cellStyle name="40% - 강조색3 4 4 6 2 3" xfId="15098"/>
    <cellStyle name="40% - 강조색3 4 4 6 2 4" xfId="15099"/>
    <cellStyle name="40% - 강조색3 4 4 6 3" xfId="15100"/>
    <cellStyle name="40% - 강조색3 4 4 6 3 2" xfId="15101"/>
    <cellStyle name="40% - 강조색3 4 4 6 3 3" xfId="15102"/>
    <cellStyle name="40% - 강조색3 4 4 6 4" xfId="15103"/>
    <cellStyle name="40% - 강조색3 4 4 6 5" xfId="15104"/>
    <cellStyle name="40% - 강조색3 4 4 7" xfId="15105"/>
    <cellStyle name="40% - 강조색3 4 4 7 2" xfId="15106"/>
    <cellStyle name="40% - 강조색3 4 4 7 2 2" xfId="15107"/>
    <cellStyle name="40% - 강조색3 4 4 7 2 3" xfId="15108"/>
    <cellStyle name="40% - 강조색3 4 4 7 3" xfId="15109"/>
    <cellStyle name="40% - 강조색3 4 4 7 4" xfId="15110"/>
    <cellStyle name="40% - 강조색3 4 4 8" xfId="15111"/>
    <cellStyle name="40% - 강조색3 4 4 8 2" xfId="15112"/>
    <cellStyle name="40% - 강조색3 4 4 8 3" xfId="15113"/>
    <cellStyle name="40% - 강조색3 4 4 9" xfId="15114"/>
    <cellStyle name="40% - 강조색3 4 5" xfId="15115"/>
    <cellStyle name="40% - 강조색3 4 5 2" xfId="15116"/>
    <cellStyle name="40% - 강조색3 4 5 2 2" xfId="15117"/>
    <cellStyle name="40% - 강조색3 4 5 2 2 2" xfId="15118"/>
    <cellStyle name="40% - 강조색3 4 5 2 2 2 2" xfId="15119"/>
    <cellStyle name="40% - 강조색3 4 5 2 2 2 3" xfId="15120"/>
    <cellStyle name="40% - 강조색3 4 5 2 2 3" xfId="15121"/>
    <cellStyle name="40% - 강조색3 4 5 2 2 4" xfId="15122"/>
    <cellStyle name="40% - 강조색3 4 5 2 3" xfId="15123"/>
    <cellStyle name="40% - 강조색3 4 5 2 3 2" xfId="15124"/>
    <cellStyle name="40% - 강조색3 4 5 2 3 3" xfId="15125"/>
    <cellStyle name="40% - 강조색3 4 5 2 4" xfId="15126"/>
    <cellStyle name="40% - 강조색3 4 5 2 5" xfId="15127"/>
    <cellStyle name="40% - 강조색3 4 5 3" xfId="15128"/>
    <cellStyle name="40% - 강조색3 4 5 3 2" xfId="15129"/>
    <cellStyle name="40% - 강조색3 4 5 3 2 2" xfId="15130"/>
    <cellStyle name="40% - 강조색3 4 5 3 2 2 2" xfId="15131"/>
    <cellStyle name="40% - 강조색3 4 5 3 2 2 3" xfId="15132"/>
    <cellStyle name="40% - 강조색3 4 5 3 2 3" xfId="15133"/>
    <cellStyle name="40% - 강조색3 4 5 3 2 4" xfId="15134"/>
    <cellStyle name="40% - 강조색3 4 5 3 3" xfId="15135"/>
    <cellStyle name="40% - 강조색3 4 5 3 3 2" xfId="15136"/>
    <cellStyle name="40% - 강조색3 4 5 3 3 3" xfId="15137"/>
    <cellStyle name="40% - 강조색3 4 5 3 4" xfId="15138"/>
    <cellStyle name="40% - 강조색3 4 5 3 5" xfId="15139"/>
    <cellStyle name="40% - 강조색3 4 5 4" xfId="15140"/>
    <cellStyle name="40% - 강조색3 4 5 4 2" xfId="15141"/>
    <cellStyle name="40% - 강조색3 4 5 4 2 2" xfId="15142"/>
    <cellStyle name="40% - 강조색3 4 5 4 2 3" xfId="15143"/>
    <cellStyle name="40% - 강조색3 4 5 4 3" xfId="15144"/>
    <cellStyle name="40% - 강조색3 4 5 4 4" xfId="15145"/>
    <cellStyle name="40% - 강조색3 4 5 5" xfId="15146"/>
    <cellStyle name="40% - 강조색3 4 5 5 2" xfId="15147"/>
    <cellStyle name="40% - 강조색3 4 5 5 3" xfId="15148"/>
    <cellStyle name="40% - 강조색3 4 5 6" xfId="15149"/>
    <cellStyle name="40% - 강조색3 4 5 7" xfId="15150"/>
    <cellStyle name="40% - 강조색3 4 6" xfId="15151"/>
    <cellStyle name="40% - 강조색3 4 6 2" xfId="15152"/>
    <cellStyle name="40% - 강조색3 4 6 2 2" xfId="15153"/>
    <cellStyle name="40% - 강조색3 4 6 2 2 2" xfId="15154"/>
    <cellStyle name="40% - 강조색3 4 6 2 2 2 2" xfId="15155"/>
    <cellStyle name="40% - 강조색3 4 6 2 2 2 3" xfId="15156"/>
    <cellStyle name="40% - 강조색3 4 6 2 2 3" xfId="15157"/>
    <cellStyle name="40% - 강조색3 4 6 2 2 4" xfId="15158"/>
    <cellStyle name="40% - 강조색3 4 6 2 3" xfId="15159"/>
    <cellStyle name="40% - 강조색3 4 6 2 3 2" xfId="15160"/>
    <cellStyle name="40% - 강조색3 4 6 2 3 3" xfId="15161"/>
    <cellStyle name="40% - 강조색3 4 6 2 4" xfId="15162"/>
    <cellStyle name="40% - 강조색3 4 6 2 5" xfId="15163"/>
    <cellStyle name="40% - 강조색3 4 6 3" xfId="15164"/>
    <cellStyle name="40% - 강조색3 4 6 3 2" xfId="15165"/>
    <cellStyle name="40% - 강조색3 4 6 3 2 2" xfId="15166"/>
    <cellStyle name="40% - 강조색3 4 6 3 2 2 2" xfId="15167"/>
    <cellStyle name="40% - 강조색3 4 6 3 2 2 3" xfId="15168"/>
    <cellStyle name="40% - 강조색3 4 6 3 2 3" xfId="15169"/>
    <cellStyle name="40% - 강조색3 4 6 3 2 4" xfId="15170"/>
    <cellStyle name="40% - 강조색3 4 6 3 3" xfId="15171"/>
    <cellStyle name="40% - 강조색3 4 6 3 3 2" xfId="15172"/>
    <cellStyle name="40% - 강조색3 4 6 3 3 3" xfId="15173"/>
    <cellStyle name="40% - 강조색3 4 6 3 4" xfId="15174"/>
    <cellStyle name="40% - 강조색3 4 6 3 5" xfId="15175"/>
    <cellStyle name="40% - 강조색3 4 6 4" xfId="15176"/>
    <cellStyle name="40% - 강조색3 4 6 4 2" xfId="15177"/>
    <cellStyle name="40% - 강조색3 4 6 4 2 2" xfId="15178"/>
    <cellStyle name="40% - 강조색3 4 6 4 2 3" xfId="15179"/>
    <cellStyle name="40% - 강조색3 4 6 4 3" xfId="15180"/>
    <cellStyle name="40% - 강조색3 4 6 4 4" xfId="15181"/>
    <cellStyle name="40% - 강조색3 4 6 5" xfId="15182"/>
    <cellStyle name="40% - 강조색3 4 6 5 2" xfId="15183"/>
    <cellStyle name="40% - 강조색3 4 6 5 3" xfId="15184"/>
    <cellStyle name="40% - 강조색3 4 6 6" xfId="15185"/>
    <cellStyle name="40% - 강조색3 4 6 7" xfId="15186"/>
    <cellStyle name="40% - 강조색3 4 7" xfId="15187"/>
    <cellStyle name="40% - 강조색3 4 7 2" xfId="15188"/>
    <cellStyle name="40% - 강조색3 4 7 2 2" xfId="15189"/>
    <cellStyle name="40% - 강조색3 4 7 2 2 2" xfId="15190"/>
    <cellStyle name="40% - 강조색3 4 7 2 2 3" xfId="15191"/>
    <cellStyle name="40% - 강조색3 4 7 2 3" xfId="15192"/>
    <cellStyle name="40% - 강조색3 4 7 2 4" xfId="15193"/>
    <cellStyle name="40% - 강조색3 4 7 3" xfId="15194"/>
    <cellStyle name="40% - 강조색3 4 7 3 2" xfId="15195"/>
    <cellStyle name="40% - 강조색3 4 7 3 3" xfId="15196"/>
    <cellStyle name="40% - 강조색3 4 7 4" xfId="15197"/>
    <cellStyle name="40% - 강조색3 4 7 5" xfId="15198"/>
    <cellStyle name="40% - 강조색3 4 8" xfId="15199"/>
    <cellStyle name="40% - 강조색3 4 8 2" xfId="15200"/>
    <cellStyle name="40% - 강조색3 4 8 2 2" xfId="15201"/>
    <cellStyle name="40% - 강조색3 4 8 2 2 2" xfId="15202"/>
    <cellStyle name="40% - 강조색3 4 8 2 2 3" xfId="15203"/>
    <cellStyle name="40% - 강조색3 4 8 2 3" xfId="15204"/>
    <cellStyle name="40% - 강조색3 4 8 2 4" xfId="15205"/>
    <cellStyle name="40% - 강조색3 4 8 3" xfId="15206"/>
    <cellStyle name="40% - 강조색3 4 8 3 2" xfId="15207"/>
    <cellStyle name="40% - 강조색3 4 8 3 3" xfId="15208"/>
    <cellStyle name="40% - 강조색3 4 8 4" xfId="15209"/>
    <cellStyle name="40% - 강조색3 4 8 5" xfId="15210"/>
    <cellStyle name="40% - 강조색3 4 9" xfId="15211"/>
    <cellStyle name="40% - 강조색3 4 9 2" xfId="15212"/>
    <cellStyle name="40% - 강조색3 4 9 2 2" xfId="15213"/>
    <cellStyle name="40% - 강조색3 4 9 2 2 2" xfId="15214"/>
    <cellStyle name="40% - 강조색3 4 9 2 2 3" xfId="15215"/>
    <cellStyle name="40% - 강조색3 4 9 2 3" xfId="15216"/>
    <cellStyle name="40% - 강조색3 4 9 2 4" xfId="15217"/>
    <cellStyle name="40% - 강조색3 4 9 3" xfId="15218"/>
    <cellStyle name="40% - 강조색3 4 9 3 2" xfId="15219"/>
    <cellStyle name="40% - 강조색3 4 9 3 3" xfId="15220"/>
    <cellStyle name="40% - 강조색3 4 9 4" xfId="15221"/>
    <cellStyle name="40% - 강조색3 4 9 5" xfId="15222"/>
    <cellStyle name="40% - 강조색3 40" xfId="15223"/>
    <cellStyle name="40% - 강조색3 41" xfId="15224"/>
    <cellStyle name="40% - 강조색3 42" xfId="15225"/>
    <cellStyle name="40% - 강조색3 43" xfId="15226"/>
    <cellStyle name="40% - 강조색3 44" xfId="15227"/>
    <cellStyle name="40% - 강조색3 45" xfId="15228"/>
    <cellStyle name="40% - 강조색3 46" xfId="15229"/>
    <cellStyle name="40% - 강조색3 47" xfId="15230"/>
    <cellStyle name="40% - 강조색3 48" xfId="15231"/>
    <cellStyle name="40% - 강조색3 49" xfId="15232"/>
    <cellStyle name="40% - 강조색3 5" xfId="15233"/>
    <cellStyle name="40% - 강조색3 5 10" xfId="15234"/>
    <cellStyle name="40% - 강조색3 5 11" xfId="15235"/>
    <cellStyle name="40% - 강조색3 5 2" xfId="15236"/>
    <cellStyle name="40% - 강조색3 5 2 2" xfId="15237"/>
    <cellStyle name="40% - 강조색3 5 2 2 2" xfId="15238"/>
    <cellStyle name="40% - 강조색3 5 2 2 2 2" xfId="15239"/>
    <cellStyle name="40% - 강조색3 5 2 2 2 2 2" xfId="15240"/>
    <cellStyle name="40% - 강조색3 5 2 2 2 2 3" xfId="15241"/>
    <cellStyle name="40% - 강조색3 5 2 2 2 3" xfId="15242"/>
    <cellStyle name="40% - 강조색3 5 2 2 2 4" xfId="15243"/>
    <cellStyle name="40% - 강조색3 5 2 2 3" xfId="15244"/>
    <cellStyle name="40% - 강조색3 5 2 2 3 2" xfId="15245"/>
    <cellStyle name="40% - 강조색3 5 2 2 3 3" xfId="15246"/>
    <cellStyle name="40% - 강조색3 5 2 2 4" xfId="15247"/>
    <cellStyle name="40% - 강조색3 5 2 2 5" xfId="15248"/>
    <cellStyle name="40% - 강조색3 5 2 3" xfId="15249"/>
    <cellStyle name="40% - 강조색3 5 2 3 2" xfId="15250"/>
    <cellStyle name="40% - 강조색3 5 2 3 2 2" xfId="15251"/>
    <cellStyle name="40% - 강조색3 5 2 3 2 2 2" xfId="15252"/>
    <cellStyle name="40% - 강조색3 5 2 3 2 2 3" xfId="15253"/>
    <cellStyle name="40% - 강조색3 5 2 3 2 3" xfId="15254"/>
    <cellStyle name="40% - 강조색3 5 2 3 2 4" xfId="15255"/>
    <cellStyle name="40% - 강조색3 5 2 3 3" xfId="15256"/>
    <cellStyle name="40% - 강조색3 5 2 3 3 2" xfId="15257"/>
    <cellStyle name="40% - 강조색3 5 2 3 3 3" xfId="15258"/>
    <cellStyle name="40% - 강조색3 5 2 3 4" xfId="15259"/>
    <cellStyle name="40% - 강조색3 5 2 3 5" xfId="15260"/>
    <cellStyle name="40% - 강조색3 5 2 4" xfId="15261"/>
    <cellStyle name="40% - 강조색3 5 2 4 2" xfId="15262"/>
    <cellStyle name="40% - 강조색3 5 2 4 2 2" xfId="15263"/>
    <cellStyle name="40% - 강조색3 5 2 4 2 3" xfId="15264"/>
    <cellStyle name="40% - 강조색3 5 2 4 3" xfId="15265"/>
    <cellStyle name="40% - 강조색3 5 2 4 4" xfId="15266"/>
    <cellStyle name="40% - 강조색3 5 2 5" xfId="15267"/>
    <cellStyle name="40% - 강조색3 5 2 5 2" xfId="15268"/>
    <cellStyle name="40% - 강조색3 5 2 5 3" xfId="15269"/>
    <cellStyle name="40% - 강조색3 5 2 6" xfId="15270"/>
    <cellStyle name="40% - 강조색3 5 2 7" xfId="15271"/>
    <cellStyle name="40% - 강조색3 5 3" xfId="15272"/>
    <cellStyle name="40% - 강조색3 5 3 2" xfId="15273"/>
    <cellStyle name="40% - 강조색3 5 3 2 2" xfId="15274"/>
    <cellStyle name="40% - 강조색3 5 3 2 2 2" xfId="15275"/>
    <cellStyle name="40% - 강조색3 5 3 2 2 2 2" xfId="15276"/>
    <cellStyle name="40% - 강조색3 5 3 2 2 2 3" xfId="15277"/>
    <cellStyle name="40% - 강조색3 5 3 2 2 3" xfId="15278"/>
    <cellStyle name="40% - 강조색3 5 3 2 2 4" xfId="15279"/>
    <cellStyle name="40% - 강조색3 5 3 2 3" xfId="15280"/>
    <cellStyle name="40% - 강조색3 5 3 2 3 2" xfId="15281"/>
    <cellStyle name="40% - 강조색3 5 3 2 3 3" xfId="15282"/>
    <cellStyle name="40% - 강조색3 5 3 2 4" xfId="15283"/>
    <cellStyle name="40% - 강조색3 5 3 2 5" xfId="15284"/>
    <cellStyle name="40% - 강조색3 5 3 3" xfId="15285"/>
    <cellStyle name="40% - 강조색3 5 3 3 2" xfId="15286"/>
    <cellStyle name="40% - 강조색3 5 3 3 2 2" xfId="15287"/>
    <cellStyle name="40% - 강조색3 5 3 3 2 2 2" xfId="15288"/>
    <cellStyle name="40% - 강조색3 5 3 3 2 2 3" xfId="15289"/>
    <cellStyle name="40% - 강조색3 5 3 3 2 3" xfId="15290"/>
    <cellStyle name="40% - 강조색3 5 3 3 2 4" xfId="15291"/>
    <cellStyle name="40% - 강조색3 5 3 3 3" xfId="15292"/>
    <cellStyle name="40% - 강조색3 5 3 3 3 2" xfId="15293"/>
    <cellStyle name="40% - 강조색3 5 3 3 3 3" xfId="15294"/>
    <cellStyle name="40% - 강조색3 5 3 3 4" xfId="15295"/>
    <cellStyle name="40% - 강조색3 5 3 3 5" xfId="15296"/>
    <cellStyle name="40% - 강조색3 5 3 4" xfId="15297"/>
    <cellStyle name="40% - 강조색3 5 3 4 2" xfId="15298"/>
    <cellStyle name="40% - 강조색3 5 3 4 2 2" xfId="15299"/>
    <cellStyle name="40% - 강조색3 5 3 4 2 3" xfId="15300"/>
    <cellStyle name="40% - 강조색3 5 3 4 3" xfId="15301"/>
    <cellStyle name="40% - 강조색3 5 3 4 4" xfId="15302"/>
    <cellStyle name="40% - 강조색3 5 3 5" xfId="15303"/>
    <cellStyle name="40% - 강조색3 5 3 5 2" xfId="15304"/>
    <cellStyle name="40% - 강조색3 5 3 5 3" xfId="15305"/>
    <cellStyle name="40% - 강조색3 5 3 6" xfId="15306"/>
    <cellStyle name="40% - 강조색3 5 3 7" xfId="15307"/>
    <cellStyle name="40% - 강조색3 5 4" xfId="15308"/>
    <cellStyle name="40% - 강조색3 5 4 2" xfId="15309"/>
    <cellStyle name="40% - 강조색3 5 4 2 2" xfId="15310"/>
    <cellStyle name="40% - 강조색3 5 4 2 2 2" xfId="15311"/>
    <cellStyle name="40% - 강조색3 5 4 2 2 3" xfId="15312"/>
    <cellStyle name="40% - 강조색3 5 4 2 3" xfId="15313"/>
    <cellStyle name="40% - 강조색3 5 4 2 4" xfId="15314"/>
    <cellStyle name="40% - 강조색3 5 4 3" xfId="15315"/>
    <cellStyle name="40% - 강조색3 5 4 3 2" xfId="15316"/>
    <cellStyle name="40% - 강조색3 5 4 3 3" xfId="15317"/>
    <cellStyle name="40% - 강조색3 5 4 4" xfId="15318"/>
    <cellStyle name="40% - 강조색3 5 4 5" xfId="15319"/>
    <cellStyle name="40% - 강조색3 5 5" xfId="15320"/>
    <cellStyle name="40% - 강조색3 5 5 2" xfId="15321"/>
    <cellStyle name="40% - 강조색3 5 5 2 2" xfId="15322"/>
    <cellStyle name="40% - 강조색3 5 5 2 2 2" xfId="15323"/>
    <cellStyle name="40% - 강조색3 5 5 2 2 3" xfId="15324"/>
    <cellStyle name="40% - 강조색3 5 5 2 3" xfId="15325"/>
    <cellStyle name="40% - 강조색3 5 5 2 4" xfId="15326"/>
    <cellStyle name="40% - 강조색3 5 5 3" xfId="15327"/>
    <cellStyle name="40% - 강조색3 5 5 3 2" xfId="15328"/>
    <cellStyle name="40% - 강조색3 5 5 3 3" xfId="15329"/>
    <cellStyle name="40% - 강조색3 5 5 4" xfId="15330"/>
    <cellStyle name="40% - 강조색3 5 5 5" xfId="15331"/>
    <cellStyle name="40% - 강조색3 5 6" xfId="15332"/>
    <cellStyle name="40% - 강조색3 5 6 2" xfId="15333"/>
    <cellStyle name="40% - 강조색3 5 6 2 2" xfId="15334"/>
    <cellStyle name="40% - 강조색3 5 6 2 2 2" xfId="15335"/>
    <cellStyle name="40% - 강조색3 5 6 2 2 3" xfId="15336"/>
    <cellStyle name="40% - 강조색3 5 6 2 3" xfId="15337"/>
    <cellStyle name="40% - 강조색3 5 6 2 4" xfId="15338"/>
    <cellStyle name="40% - 강조색3 5 6 3" xfId="15339"/>
    <cellStyle name="40% - 강조색3 5 6 3 2" xfId="15340"/>
    <cellStyle name="40% - 강조색3 5 6 3 3" xfId="15341"/>
    <cellStyle name="40% - 강조색3 5 6 4" xfId="15342"/>
    <cellStyle name="40% - 강조색3 5 6 5" xfId="15343"/>
    <cellStyle name="40% - 강조색3 5 7" xfId="15344"/>
    <cellStyle name="40% - 강조색3 5 7 2" xfId="15345"/>
    <cellStyle name="40% - 강조색3 5 7 2 2" xfId="15346"/>
    <cellStyle name="40% - 강조색3 5 7 2 3" xfId="15347"/>
    <cellStyle name="40% - 강조색3 5 7 3" xfId="15348"/>
    <cellStyle name="40% - 강조색3 5 7 4" xfId="15349"/>
    <cellStyle name="40% - 강조색3 5 8" xfId="15350"/>
    <cellStyle name="40% - 강조색3 5 8 2" xfId="15351"/>
    <cellStyle name="40% - 강조색3 5 8 3" xfId="15352"/>
    <cellStyle name="40% - 강조색3 5 9" xfId="15353"/>
    <cellStyle name="40% - 강조색3 50" xfId="15354"/>
    <cellStyle name="40% - 강조색3 51" xfId="15355"/>
    <cellStyle name="40% - 강조색3 52" xfId="15356"/>
    <cellStyle name="40% - 강조색3 53" xfId="15357"/>
    <cellStyle name="40% - 강조색3 54" xfId="15358"/>
    <cellStyle name="40% - 강조색3 55" xfId="15359"/>
    <cellStyle name="40% - 강조색3 56" xfId="15360"/>
    <cellStyle name="40% - 강조색3 57" xfId="15361"/>
    <cellStyle name="40% - 강조색3 58" xfId="15362"/>
    <cellStyle name="40% - 강조색3 59" xfId="15363"/>
    <cellStyle name="40% - 강조색3 6" xfId="15364"/>
    <cellStyle name="40% - 강조색3 6 10" xfId="15365"/>
    <cellStyle name="40% - 강조색3 6 2" xfId="15366"/>
    <cellStyle name="40% - 강조색3 6 2 2" xfId="15367"/>
    <cellStyle name="40% - 강조색3 6 2 2 2" xfId="15368"/>
    <cellStyle name="40% - 강조색3 6 2 2 2 2" xfId="15369"/>
    <cellStyle name="40% - 강조색3 6 2 2 2 2 2" xfId="15370"/>
    <cellStyle name="40% - 강조색3 6 2 2 2 2 3" xfId="15371"/>
    <cellStyle name="40% - 강조색3 6 2 2 2 3" xfId="15372"/>
    <cellStyle name="40% - 강조색3 6 2 2 2 4" xfId="15373"/>
    <cellStyle name="40% - 강조색3 6 2 2 3" xfId="15374"/>
    <cellStyle name="40% - 강조색3 6 2 2 3 2" xfId="15375"/>
    <cellStyle name="40% - 강조색3 6 2 2 3 3" xfId="15376"/>
    <cellStyle name="40% - 강조색3 6 2 2 4" xfId="15377"/>
    <cellStyle name="40% - 강조색3 6 2 2 5" xfId="15378"/>
    <cellStyle name="40% - 강조색3 6 2 3" xfId="15379"/>
    <cellStyle name="40% - 강조색3 6 2 3 2" xfId="15380"/>
    <cellStyle name="40% - 강조색3 6 2 3 2 2" xfId="15381"/>
    <cellStyle name="40% - 강조색3 6 2 3 2 2 2" xfId="15382"/>
    <cellStyle name="40% - 강조색3 6 2 3 2 2 3" xfId="15383"/>
    <cellStyle name="40% - 강조색3 6 2 3 2 3" xfId="15384"/>
    <cellStyle name="40% - 강조색3 6 2 3 2 4" xfId="15385"/>
    <cellStyle name="40% - 강조색3 6 2 3 3" xfId="15386"/>
    <cellStyle name="40% - 강조색3 6 2 3 3 2" xfId="15387"/>
    <cellStyle name="40% - 강조색3 6 2 3 3 3" xfId="15388"/>
    <cellStyle name="40% - 강조색3 6 2 3 4" xfId="15389"/>
    <cellStyle name="40% - 강조색3 6 2 3 5" xfId="15390"/>
    <cellStyle name="40% - 강조색3 6 2 4" xfId="15391"/>
    <cellStyle name="40% - 강조색3 6 2 4 2" xfId="15392"/>
    <cellStyle name="40% - 강조색3 6 2 4 2 2" xfId="15393"/>
    <cellStyle name="40% - 강조색3 6 2 4 2 3" xfId="15394"/>
    <cellStyle name="40% - 강조색3 6 2 4 3" xfId="15395"/>
    <cellStyle name="40% - 강조색3 6 2 4 4" xfId="15396"/>
    <cellStyle name="40% - 강조색3 6 2 5" xfId="15397"/>
    <cellStyle name="40% - 강조색3 6 2 5 2" xfId="15398"/>
    <cellStyle name="40% - 강조색3 6 2 5 3" xfId="15399"/>
    <cellStyle name="40% - 강조색3 6 2 6" xfId="15400"/>
    <cellStyle name="40% - 강조색3 6 2 7" xfId="15401"/>
    <cellStyle name="40% - 강조색3 6 3" xfId="15402"/>
    <cellStyle name="40% - 강조색3 6 3 2" xfId="15403"/>
    <cellStyle name="40% - 강조색3 6 3 2 2" xfId="15404"/>
    <cellStyle name="40% - 강조색3 6 3 2 2 2" xfId="15405"/>
    <cellStyle name="40% - 강조색3 6 3 2 2 2 2" xfId="15406"/>
    <cellStyle name="40% - 강조색3 6 3 2 2 2 3" xfId="15407"/>
    <cellStyle name="40% - 강조색3 6 3 2 2 3" xfId="15408"/>
    <cellStyle name="40% - 강조색3 6 3 2 2 4" xfId="15409"/>
    <cellStyle name="40% - 강조색3 6 3 2 3" xfId="15410"/>
    <cellStyle name="40% - 강조색3 6 3 2 3 2" xfId="15411"/>
    <cellStyle name="40% - 강조색3 6 3 2 3 3" xfId="15412"/>
    <cellStyle name="40% - 강조색3 6 3 2 4" xfId="15413"/>
    <cellStyle name="40% - 강조색3 6 3 2 5" xfId="15414"/>
    <cellStyle name="40% - 강조색3 6 3 3" xfId="15415"/>
    <cellStyle name="40% - 강조색3 6 3 3 2" xfId="15416"/>
    <cellStyle name="40% - 강조색3 6 3 3 2 2" xfId="15417"/>
    <cellStyle name="40% - 강조색3 6 3 3 2 2 2" xfId="15418"/>
    <cellStyle name="40% - 강조색3 6 3 3 2 2 3" xfId="15419"/>
    <cellStyle name="40% - 강조색3 6 3 3 2 3" xfId="15420"/>
    <cellStyle name="40% - 강조색3 6 3 3 2 4" xfId="15421"/>
    <cellStyle name="40% - 강조색3 6 3 3 3" xfId="15422"/>
    <cellStyle name="40% - 강조색3 6 3 3 3 2" xfId="15423"/>
    <cellStyle name="40% - 강조색3 6 3 3 3 3" xfId="15424"/>
    <cellStyle name="40% - 강조색3 6 3 3 4" xfId="15425"/>
    <cellStyle name="40% - 강조색3 6 3 3 5" xfId="15426"/>
    <cellStyle name="40% - 강조색3 6 3 4" xfId="15427"/>
    <cellStyle name="40% - 강조색3 6 3 4 2" xfId="15428"/>
    <cellStyle name="40% - 강조색3 6 3 4 2 2" xfId="15429"/>
    <cellStyle name="40% - 강조색3 6 3 4 2 3" xfId="15430"/>
    <cellStyle name="40% - 강조색3 6 3 4 3" xfId="15431"/>
    <cellStyle name="40% - 강조색3 6 3 4 4" xfId="15432"/>
    <cellStyle name="40% - 강조색3 6 3 5" xfId="15433"/>
    <cellStyle name="40% - 강조색3 6 3 5 2" xfId="15434"/>
    <cellStyle name="40% - 강조색3 6 3 5 3" xfId="15435"/>
    <cellStyle name="40% - 강조색3 6 3 6" xfId="15436"/>
    <cellStyle name="40% - 강조색3 6 3 7" xfId="15437"/>
    <cellStyle name="40% - 강조색3 6 4" xfId="15438"/>
    <cellStyle name="40% - 강조색3 6 4 2" xfId="15439"/>
    <cellStyle name="40% - 강조색3 6 4 2 2" xfId="15440"/>
    <cellStyle name="40% - 강조색3 6 4 2 2 2" xfId="15441"/>
    <cellStyle name="40% - 강조색3 6 4 2 2 3" xfId="15442"/>
    <cellStyle name="40% - 강조색3 6 4 2 3" xfId="15443"/>
    <cellStyle name="40% - 강조색3 6 4 2 4" xfId="15444"/>
    <cellStyle name="40% - 강조색3 6 4 3" xfId="15445"/>
    <cellStyle name="40% - 강조색3 6 4 3 2" xfId="15446"/>
    <cellStyle name="40% - 강조색3 6 4 3 3" xfId="15447"/>
    <cellStyle name="40% - 강조색3 6 4 4" xfId="15448"/>
    <cellStyle name="40% - 강조색3 6 4 5" xfId="15449"/>
    <cellStyle name="40% - 강조색3 6 5" xfId="15450"/>
    <cellStyle name="40% - 강조색3 6 5 2" xfId="15451"/>
    <cellStyle name="40% - 강조색3 6 5 2 2" xfId="15452"/>
    <cellStyle name="40% - 강조색3 6 5 2 2 2" xfId="15453"/>
    <cellStyle name="40% - 강조색3 6 5 2 2 3" xfId="15454"/>
    <cellStyle name="40% - 강조색3 6 5 2 3" xfId="15455"/>
    <cellStyle name="40% - 강조색3 6 5 2 4" xfId="15456"/>
    <cellStyle name="40% - 강조색3 6 5 3" xfId="15457"/>
    <cellStyle name="40% - 강조색3 6 5 3 2" xfId="15458"/>
    <cellStyle name="40% - 강조색3 6 5 3 3" xfId="15459"/>
    <cellStyle name="40% - 강조색3 6 5 4" xfId="15460"/>
    <cellStyle name="40% - 강조색3 6 5 5" xfId="15461"/>
    <cellStyle name="40% - 강조색3 6 6" xfId="15462"/>
    <cellStyle name="40% - 강조색3 6 6 2" xfId="15463"/>
    <cellStyle name="40% - 강조색3 6 6 2 2" xfId="15464"/>
    <cellStyle name="40% - 강조색3 6 6 2 2 2" xfId="15465"/>
    <cellStyle name="40% - 강조색3 6 6 2 2 3" xfId="15466"/>
    <cellStyle name="40% - 강조색3 6 6 2 3" xfId="15467"/>
    <cellStyle name="40% - 강조색3 6 6 2 4" xfId="15468"/>
    <cellStyle name="40% - 강조색3 6 6 3" xfId="15469"/>
    <cellStyle name="40% - 강조색3 6 6 3 2" xfId="15470"/>
    <cellStyle name="40% - 강조색3 6 6 3 3" xfId="15471"/>
    <cellStyle name="40% - 강조색3 6 6 4" xfId="15472"/>
    <cellStyle name="40% - 강조색3 6 6 5" xfId="15473"/>
    <cellStyle name="40% - 강조색3 6 7" xfId="15474"/>
    <cellStyle name="40% - 강조색3 6 7 2" xfId="15475"/>
    <cellStyle name="40% - 강조색3 6 7 2 2" xfId="15476"/>
    <cellStyle name="40% - 강조색3 6 7 2 3" xfId="15477"/>
    <cellStyle name="40% - 강조색3 6 7 3" xfId="15478"/>
    <cellStyle name="40% - 강조색3 6 7 4" xfId="15479"/>
    <cellStyle name="40% - 강조색3 6 8" xfId="15480"/>
    <cellStyle name="40% - 강조색3 6 8 2" xfId="15481"/>
    <cellStyle name="40% - 강조색3 6 8 3" xfId="15482"/>
    <cellStyle name="40% - 강조색3 6 9" xfId="15483"/>
    <cellStyle name="40% - 강조색3 60" xfId="15484"/>
    <cellStyle name="40% - 강조색3 61" xfId="15485"/>
    <cellStyle name="40% - 강조색3 62" xfId="15486"/>
    <cellStyle name="40% - 강조색3 63" xfId="15487"/>
    <cellStyle name="40% - 강조색3 64" xfId="15488"/>
    <cellStyle name="40% - 강조색3 65" xfId="15489"/>
    <cellStyle name="40% - 강조색3 66" xfId="15490"/>
    <cellStyle name="40% - 강조색3 67" xfId="15491"/>
    <cellStyle name="40% - 강조색3 68" xfId="15492"/>
    <cellStyle name="40% - 강조색3 69" xfId="15493"/>
    <cellStyle name="40% - 강조색3 7" xfId="15494"/>
    <cellStyle name="40% - 강조색3 7 10" xfId="15495"/>
    <cellStyle name="40% - 강조색3 7 2" xfId="15496"/>
    <cellStyle name="40% - 강조색3 7 2 2" xfId="15497"/>
    <cellStyle name="40% - 강조색3 7 2 2 2" xfId="15498"/>
    <cellStyle name="40% - 강조색3 7 2 2 2 2" xfId="15499"/>
    <cellStyle name="40% - 강조색3 7 2 2 2 2 2" xfId="15500"/>
    <cellStyle name="40% - 강조색3 7 2 2 2 2 3" xfId="15501"/>
    <cellStyle name="40% - 강조색3 7 2 2 2 3" xfId="15502"/>
    <cellStyle name="40% - 강조색3 7 2 2 2 4" xfId="15503"/>
    <cellStyle name="40% - 강조색3 7 2 2 3" xfId="15504"/>
    <cellStyle name="40% - 강조색3 7 2 2 3 2" xfId="15505"/>
    <cellStyle name="40% - 강조색3 7 2 2 3 3" xfId="15506"/>
    <cellStyle name="40% - 강조색3 7 2 2 4" xfId="15507"/>
    <cellStyle name="40% - 강조색3 7 2 2 5" xfId="15508"/>
    <cellStyle name="40% - 강조색3 7 2 3" xfId="15509"/>
    <cellStyle name="40% - 강조색3 7 2 3 2" xfId="15510"/>
    <cellStyle name="40% - 강조색3 7 2 3 2 2" xfId="15511"/>
    <cellStyle name="40% - 강조색3 7 2 3 2 2 2" xfId="15512"/>
    <cellStyle name="40% - 강조색3 7 2 3 2 2 3" xfId="15513"/>
    <cellStyle name="40% - 강조색3 7 2 3 2 3" xfId="15514"/>
    <cellStyle name="40% - 강조색3 7 2 3 2 4" xfId="15515"/>
    <cellStyle name="40% - 강조색3 7 2 3 3" xfId="15516"/>
    <cellStyle name="40% - 강조색3 7 2 3 3 2" xfId="15517"/>
    <cellStyle name="40% - 강조색3 7 2 3 3 3" xfId="15518"/>
    <cellStyle name="40% - 강조색3 7 2 3 4" xfId="15519"/>
    <cellStyle name="40% - 강조색3 7 2 3 5" xfId="15520"/>
    <cellStyle name="40% - 강조색3 7 2 4" xfId="15521"/>
    <cellStyle name="40% - 강조색3 7 2 4 2" xfId="15522"/>
    <cellStyle name="40% - 강조색3 7 2 4 2 2" xfId="15523"/>
    <cellStyle name="40% - 강조색3 7 2 4 2 3" xfId="15524"/>
    <cellStyle name="40% - 강조색3 7 2 4 3" xfId="15525"/>
    <cellStyle name="40% - 강조색3 7 2 4 4" xfId="15526"/>
    <cellStyle name="40% - 강조색3 7 2 5" xfId="15527"/>
    <cellStyle name="40% - 강조색3 7 2 5 2" xfId="15528"/>
    <cellStyle name="40% - 강조색3 7 2 5 3" xfId="15529"/>
    <cellStyle name="40% - 강조색3 7 2 6" xfId="15530"/>
    <cellStyle name="40% - 강조색3 7 2 7" xfId="15531"/>
    <cellStyle name="40% - 강조색3 7 3" xfId="15532"/>
    <cellStyle name="40% - 강조색3 7 3 2" xfId="15533"/>
    <cellStyle name="40% - 강조색3 7 3 2 2" xfId="15534"/>
    <cellStyle name="40% - 강조색3 7 3 2 2 2" xfId="15535"/>
    <cellStyle name="40% - 강조색3 7 3 2 2 2 2" xfId="15536"/>
    <cellStyle name="40% - 강조색3 7 3 2 2 2 3" xfId="15537"/>
    <cellStyle name="40% - 강조색3 7 3 2 2 3" xfId="15538"/>
    <cellStyle name="40% - 강조색3 7 3 2 2 4" xfId="15539"/>
    <cellStyle name="40% - 강조색3 7 3 2 3" xfId="15540"/>
    <cellStyle name="40% - 강조색3 7 3 2 3 2" xfId="15541"/>
    <cellStyle name="40% - 강조색3 7 3 2 3 3" xfId="15542"/>
    <cellStyle name="40% - 강조색3 7 3 2 4" xfId="15543"/>
    <cellStyle name="40% - 강조색3 7 3 2 5" xfId="15544"/>
    <cellStyle name="40% - 강조색3 7 3 3" xfId="15545"/>
    <cellStyle name="40% - 강조색3 7 3 3 2" xfId="15546"/>
    <cellStyle name="40% - 강조색3 7 3 3 2 2" xfId="15547"/>
    <cellStyle name="40% - 강조색3 7 3 3 2 2 2" xfId="15548"/>
    <cellStyle name="40% - 강조색3 7 3 3 2 2 3" xfId="15549"/>
    <cellStyle name="40% - 강조색3 7 3 3 2 3" xfId="15550"/>
    <cellStyle name="40% - 강조색3 7 3 3 2 4" xfId="15551"/>
    <cellStyle name="40% - 강조색3 7 3 3 3" xfId="15552"/>
    <cellStyle name="40% - 강조색3 7 3 3 3 2" xfId="15553"/>
    <cellStyle name="40% - 강조색3 7 3 3 3 3" xfId="15554"/>
    <cellStyle name="40% - 강조색3 7 3 3 4" xfId="15555"/>
    <cellStyle name="40% - 강조색3 7 3 3 5" xfId="15556"/>
    <cellStyle name="40% - 강조색3 7 3 4" xfId="15557"/>
    <cellStyle name="40% - 강조색3 7 3 4 2" xfId="15558"/>
    <cellStyle name="40% - 강조색3 7 3 4 2 2" xfId="15559"/>
    <cellStyle name="40% - 강조색3 7 3 4 2 3" xfId="15560"/>
    <cellStyle name="40% - 강조색3 7 3 4 3" xfId="15561"/>
    <cellStyle name="40% - 강조색3 7 3 4 4" xfId="15562"/>
    <cellStyle name="40% - 강조색3 7 3 5" xfId="15563"/>
    <cellStyle name="40% - 강조색3 7 3 5 2" xfId="15564"/>
    <cellStyle name="40% - 강조색3 7 3 5 3" xfId="15565"/>
    <cellStyle name="40% - 강조색3 7 3 6" xfId="15566"/>
    <cellStyle name="40% - 강조색3 7 3 7" xfId="15567"/>
    <cellStyle name="40% - 강조색3 7 4" xfId="15568"/>
    <cellStyle name="40% - 강조색3 7 4 2" xfId="15569"/>
    <cellStyle name="40% - 강조색3 7 4 2 2" xfId="15570"/>
    <cellStyle name="40% - 강조색3 7 4 2 2 2" xfId="15571"/>
    <cellStyle name="40% - 강조색3 7 4 2 2 3" xfId="15572"/>
    <cellStyle name="40% - 강조색3 7 4 2 3" xfId="15573"/>
    <cellStyle name="40% - 강조색3 7 4 2 4" xfId="15574"/>
    <cellStyle name="40% - 강조색3 7 4 3" xfId="15575"/>
    <cellStyle name="40% - 강조색3 7 4 3 2" xfId="15576"/>
    <cellStyle name="40% - 강조색3 7 4 3 3" xfId="15577"/>
    <cellStyle name="40% - 강조색3 7 4 4" xfId="15578"/>
    <cellStyle name="40% - 강조색3 7 4 5" xfId="15579"/>
    <cellStyle name="40% - 강조색3 7 5" xfId="15580"/>
    <cellStyle name="40% - 강조색3 7 5 2" xfId="15581"/>
    <cellStyle name="40% - 강조색3 7 5 2 2" xfId="15582"/>
    <cellStyle name="40% - 강조색3 7 5 2 2 2" xfId="15583"/>
    <cellStyle name="40% - 강조색3 7 5 2 2 3" xfId="15584"/>
    <cellStyle name="40% - 강조색3 7 5 2 3" xfId="15585"/>
    <cellStyle name="40% - 강조색3 7 5 2 4" xfId="15586"/>
    <cellStyle name="40% - 강조색3 7 5 3" xfId="15587"/>
    <cellStyle name="40% - 강조색3 7 5 3 2" xfId="15588"/>
    <cellStyle name="40% - 강조색3 7 5 3 3" xfId="15589"/>
    <cellStyle name="40% - 강조색3 7 5 4" xfId="15590"/>
    <cellStyle name="40% - 강조색3 7 5 5" xfId="15591"/>
    <cellStyle name="40% - 강조색3 7 6" xfId="15592"/>
    <cellStyle name="40% - 강조색3 7 6 2" xfId="15593"/>
    <cellStyle name="40% - 강조색3 7 6 2 2" xfId="15594"/>
    <cellStyle name="40% - 강조색3 7 6 2 2 2" xfId="15595"/>
    <cellStyle name="40% - 강조색3 7 6 2 2 3" xfId="15596"/>
    <cellStyle name="40% - 강조색3 7 6 2 3" xfId="15597"/>
    <cellStyle name="40% - 강조색3 7 6 2 4" xfId="15598"/>
    <cellStyle name="40% - 강조색3 7 6 3" xfId="15599"/>
    <cellStyle name="40% - 강조색3 7 6 3 2" xfId="15600"/>
    <cellStyle name="40% - 강조색3 7 6 3 3" xfId="15601"/>
    <cellStyle name="40% - 강조색3 7 6 4" xfId="15602"/>
    <cellStyle name="40% - 강조색3 7 6 5" xfId="15603"/>
    <cellStyle name="40% - 강조색3 7 7" xfId="15604"/>
    <cellStyle name="40% - 강조색3 7 7 2" xfId="15605"/>
    <cellStyle name="40% - 강조색3 7 7 2 2" xfId="15606"/>
    <cellStyle name="40% - 강조색3 7 7 2 3" xfId="15607"/>
    <cellStyle name="40% - 강조색3 7 7 3" xfId="15608"/>
    <cellStyle name="40% - 강조색3 7 7 4" xfId="15609"/>
    <cellStyle name="40% - 강조색3 7 8" xfId="15610"/>
    <cellStyle name="40% - 강조색3 7 8 2" xfId="15611"/>
    <cellStyle name="40% - 강조색3 7 8 3" xfId="15612"/>
    <cellStyle name="40% - 강조색3 7 9" xfId="15613"/>
    <cellStyle name="40% - 강조색3 8" xfId="15614"/>
    <cellStyle name="40% - 강조색3 8 2" xfId="15615"/>
    <cellStyle name="40% - 강조색3 8 2 2" xfId="15616"/>
    <cellStyle name="40% - 강조색3 8 2 2 2" xfId="15617"/>
    <cellStyle name="40% - 강조색3 8 2 2 2 2" xfId="15618"/>
    <cellStyle name="40% - 강조색3 8 2 2 2 3" xfId="15619"/>
    <cellStyle name="40% - 강조색3 8 2 2 3" xfId="15620"/>
    <cellStyle name="40% - 강조색3 8 2 2 4" xfId="15621"/>
    <cellStyle name="40% - 강조색3 8 2 3" xfId="15622"/>
    <cellStyle name="40% - 강조색3 8 2 3 2" xfId="15623"/>
    <cellStyle name="40% - 강조색3 8 2 3 3" xfId="15624"/>
    <cellStyle name="40% - 강조색3 8 2 4" xfId="15625"/>
    <cellStyle name="40% - 강조색3 8 2 5" xfId="15626"/>
    <cellStyle name="40% - 강조색3 8 3" xfId="15627"/>
    <cellStyle name="40% - 강조색3 8 3 2" xfId="15628"/>
    <cellStyle name="40% - 강조색3 8 3 2 2" xfId="15629"/>
    <cellStyle name="40% - 강조색3 8 3 2 2 2" xfId="15630"/>
    <cellStyle name="40% - 강조색3 8 3 2 2 3" xfId="15631"/>
    <cellStyle name="40% - 강조색3 8 3 2 3" xfId="15632"/>
    <cellStyle name="40% - 강조색3 8 3 2 4" xfId="15633"/>
    <cellStyle name="40% - 강조색3 8 3 3" xfId="15634"/>
    <cellStyle name="40% - 강조색3 8 3 3 2" xfId="15635"/>
    <cellStyle name="40% - 강조색3 8 3 3 3" xfId="15636"/>
    <cellStyle name="40% - 강조색3 8 3 4" xfId="15637"/>
    <cellStyle name="40% - 강조색3 8 3 5" xfId="15638"/>
    <cellStyle name="40% - 강조색3 8 4" xfId="15639"/>
    <cellStyle name="40% - 강조색3 8 4 2" xfId="15640"/>
    <cellStyle name="40% - 강조색3 8 4 2 2" xfId="15641"/>
    <cellStyle name="40% - 강조색3 8 4 2 3" xfId="15642"/>
    <cellStyle name="40% - 강조색3 8 4 3" xfId="15643"/>
    <cellStyle name="40% - 강조색3 8 4 4" xfId="15644"/>
    <cellStyle name="40% - 강조색3 8 5" xfId="15645"/>
    <cellStyle name="40% - 강조색3 8 5 2" xfId="15646"/>
    <cellStyle name="40% - 강조색3 8 5 3" xfId="15647"/>
    <cellStyle name="40% - 강조색3 8 6" xfId="15648"/>
    <cellStyle name="40% - 강조색3 8 7" xfId="15649"/>
    <cellStyle name="40% - 강조색3 9" xfId="15650"/>
    <cellStyle name="40% - 강조색3 9 2" xfId="15651"/>
    <cellStyle name="40% - 강조색3 9 2 2" xfId="15652"/>
    <cellStyle name="40% - 강조색3 9 2 2 2" xfId="15653"/>
    <cellStyle name="40% - 강조색3 9 2 2 2 2" xfId="15654"/>
    <cellStyle name="40% - 강조색3 9 2 2 2 3" xfId="15655"/>
    <cellStyle name="40% - 강조색3 9 2 2 3" xfId="15656"/>
    <cellStyle name="40% - 강조색3 9 2 2 4" xfId="15657"/>
    <cellStyle name="40% - 강조색3 9 2 3" xfId="15658"/>
    <cellStyle name="40% - 강조색3 9 2 3 2" xfId="15659"/>
    <cellStyle name="40% - 강조색3 9 2 3 3" xfId="15660"/>
    <cellStyle name="40% - 강조색3 9 2 4" xfId="15661"/>
    <cellStyle name="40% - 강조색3 9 2 5" xfId="15662"/>
    <cellStyle name="40% - 강조색3 9 3" xfId="15663"/>
    <cellStyle name="40% - 강조색3 9 3 2" xfId="15664"/>
    <cellStyle name="40% - 강조색3 9 3 2 2" xfId="15665"/>
    <cellStyle name="40% - 강조색3 9 3 2 2 2" xfId="15666"/>
    <cellStyle name="40% - 강조색3 9 3 2 2 3" xfId="15667"/>
    <cellStyle name="40% - 강조색3 9 3 2 3" xfId="15668"/>
    <cellStyle name="40% - 강조색3 9 3 2 4" xfId="15669"/>
    <cellStyle name="40% - 강조색3 9 3 3" xfId="15670"/>
    <cellStyle name="40% - 강조색3 9 3 3 2" xfId="15671"/>
    <cellStyle name="40% - 강조색3 9 3 3 3" xfId="15672"/>
    <cellStyle name="40% - 강조색3 9 3 4" xfId="15673"/>
    <cellStyle name="40% - 강조색3 9 3 5" xfId="15674"/>
    <cellStyle name="40% - 강조색3 9 4" xfId="15675"/>
    <cellStyle name="40% - 강조색3 9 4 2" xfId="15676"/>
    <cellStyle name="40% - 강조색3 9 4 2 2" xfId="15677"/>
    <cellStyle name="40% - 강조색3 9 4 2 3" xfId="15678"/>
    <cellStyle name="40% - 강조색3 9 4 3" xfId="15679"/>
    <cellStyle name="40% - 강조색3 9 4 4" xfId="15680"/>
    <cellStyle name="40% - 강조색3 9 5" xfId="15681"/>
    <cellStyle name="40% - 강조색3 9 5 2" xfId="15682"/>
    <cellStyle name="40% - 강조색3 9 5 3" xfId="15683"/>
    <cellStyle name="40% - 강조색3 9 6" xfId="15684"/>
    <cellStyle name="40% - 강조색3 9 7" xfId="15685"/>
    <cellStyle name="40% - 강조색4 10" xfId="15686"/>
    <cellStyle name="40% - 강조색4 10 2" xfId="15687"/>
    <cellStyle name="40% - 강조색4 10 2 2" xfId="15688"/>
    <cellStyle name="40% - 강조색4 10 2 2 2" xfId="15689"/>
    <cellStyle name="40% - 강조색4 10 2 2 2 2" xfId="15690"/>
    <cellStyle name="40% - 강조색4 10 2 2 2 3" xfId="15691"/>
    <cellStyle name="40% - 강조색4 10 2 2 3" xfId="15692"/>
    <cellStyle name="40% - 강조색4 10 2 2 4" xfId="15693"/>
    <cellStyle name="40% - 강조색4 10 2 3" xfId="15694"/>
    <cellStyle name="40% - 강조색4 10 2 3 2" xfId="15695"/>
    <cellStyle name="40% - 강조색4 10 2 3 3" xfId="15696"/>
    <cellStyle name="40% - 강조색4 10 2 4" xfId="15697"/>
    <cellStyle name="40% - 강조색4 10 2 5" xfId="15698"/>
    <cellStyle name="40% - 강조색4 10 3" xfId="15699"/>
    <cellStyle name="40% - 강조색4 10 3 2" xfId="15700"/>
    <cellStyle name="40% - 강조색4 10 3 2 2" xfId="15701"/>
    <cellStyle name="40% - 강조색4 10 3 2 2 2" xfId="15702"/>
    <cellStyle name="40% - 강조색4 10 3 2 2 3" xfId="15703"/>
    <cellStyle name="40% - 강조색4 10 3 2 3" xfId="15704"/>
    <cellStyle name="40% - 강조색4 10 3 2 4" xfId="15705"/>
    <cellStyle name="40% - 강조색4 10 3 3" xfId="15706"/>
    <cellStyle name="40% - 강조색4 10 3 3 2" xfId="15707"/>
    <cellStyle name="40% - 강조색4 10 3 3 3" xfId="15708"/>
    <cellStyle name="40% - 강조색4 10 3 4" xfId="15709"/>
    <cellStyle name="40% - 강조색4 10 3 5" xfId="15710"/>
    <cellStyle name="40% - 강조색4 10 4" xfId="15711"/>
    <cellStyle name="40% - 강조색4 10 4 2" xfId="15712"/>
    <cellStyle name="40% - 강조색4 10 4 2 2" xfId="15713"/>
    <cellStyle name="40% - 강조색4 10 4 2 3" xfId="15714"/>
    <cellStyle name="40% - 강조색4 10 4 3" xfId="15715"/>
    <cellStyle name="40% - 강조색4 10 4 4" xfId="15716"/>
    <cellStyle name="40% - 강조색4 10 5" xfId="15717"/>
    <cellStyle name="40% - 강조색4 10 5 2" xfId="15718"/>
    <cellStyle name="40% - 강조색4 10 5 3" xfId="15719"/>
    <cellStyle name="40% - 강조색4 10 6" xfId="15720"/>
    <cellStyle name="40% - 강조색4 10 7" xfId="15721"/>
    <cellStyle name="40% - 강조색4 11" xfId="15722"/>
    <cellStyle name="40% - 강조색4 11 2" xfId="15723"/>
    <cellStyle name="40% - 강조색4 11 2 2" xfId="15724"/>
    <cellStyle name="40% - 강조색4 11 2 2 2" xfId="15725"/>
    <cellStyle name="40% - 강조색4 11 2 2 3" xfId="15726"/>
    <cellStyle name="40% - 강조색4 11 2 3" xfId="15727"/>
    <cellStyle name="40% - 강조색4 11 2 4" xfId="15728"/>
    <cellStyle name="40% - 강조색4 11 3" xfId="15729"/>
    <cellStyle name="40% - 강조색4 11 3 2" xfId="15730"/>
    <cellStyle name="40% - 강조색4 11 3 3" xfId="15731"/>
    <cellStyle name="40% - 강조색4 11 4" xfId="15732"/>
    <cellStyle name="40% - 강조색4 11 5" xfId="15733"/>
    <cellStyle name="40% - 강조색4 12" xfId="15734"/>
    <cellStyle name="40% - 강조색4 12 2" xfId="15735"/>
    <cellStyle name="40% - 강조색4 12 2 2" xfId="15736"/>
    <cellStyle name="40% - 강조색4 12 2 2 2" xfId="15737"/>
    <cellStyle name="40% - 강조색4 12 2 2 3" xfId="15738"/>
    <cellStyle name="40% - 강조색4 12 2 3" xfId="15739"/>
    <cellStyle name="40% - 강조색4 12 2 4" xfId="15740"/>
    <cellStyle name="40% - 강조색4 12 3" xfId="15741"/>
    <cellStyle name="40% - 강조색4 12 3 2" xfId="15742"/>
    <cellStyle name="40% - 강조색4 12 3 3" xfId="15743"/>
    <cellStyle name="40% - 강조색4 12 4" xfId="15744"/>
    <cellStyle name="40% - 강조색4 12 5" xfId="15745"/>
    <cellStyle name="40% - 강조색4 13" xfId="15746"/>
    <cellStyle name="40% - 강조색4 13 2" xfId="15747"/>
    <cellStyle name="40% - 강조색4 13 2 2" xfId="15748"/>
    <cellStyle name="40% - 강조색4 13 2 3" xfId="15749"/>
    <cellStyle name="40% - 강조색4 13 3" xfId="15750"/>
    <cellStyle name="40% - 강조색4 13 4" xfId="15751"/>
    <cellStyle name="40% - 강조색4 14" xfId="15752"/>
    <cellStyle name="40% - 강조색4 14 2" xfId="15753"/>
    <cellStyle name="40% - 강조색4 14 2 2" xfId="15754"/>
    <cellStyle name="40% - 강조색4 14 2 3" xfId="15755"/>
    <cellStyle name="40% - 강조색4 14 3" xfId="15756"/>
    <cellStyle name="40% - 강조색4 14 4" xfId="15757"/>
    <cellStyle name="40% - 강조색4 15" xfId="15758"/>
    <cellStyle name="40% - 강조색4 15 2" xfId="15759"/>
    <cellStyle name="40% - 강조색4 15 3" xfId="15760"/>
    <cellStyle name="40% - 강조색4 16" xfId="15761"/>
    <cellStyle name="40% - 강조색4 16 2" xfId="15762"/>
    <cellStyle name="40% - 강조색4 16 3" xfId="15763"/>
    <cellStyle name="40% - 강조색4 16 4" xfId="15764"/>
    <cellStyle name="40% - 강조색4 17" xfId="15765"/>
    <cellStyle name="40% - 강조색4 17 2" xfId="15766"/>
    <cellStyle name="40% - 강조색4 17 3" xfId="15767"/>
    <cellStyle name="40% - 강조색4 18" xfId="15768"/>
    <cellStyle name="40% - 강조색4 18 2" xfId="15769"/>
    <cellStyle name="40% - 강조색4 18 3" xfId="15770"/>
    <cellStyle name="40% - 강조색4 19" xfId="15771"/>
    <cellStyle name="40% - 강조색4 19 2" xfId="15772"/>
    <cellStyle name="40% - 강조색4 19 3" xfId="15773"/>
    <cellStyle name="40% - 강조색4 2" xfId="15774"/>
    <cellStyle name="40% - 강조색4 2 2" xfId="15775"/>
    <cellStyle name="40% - 강조색4 2 2 2" xfId="15776"/>
    <cellStyle name="40% - 강조색4 2 2 2 2" xfId="15777"/>
    <cellStyle name="40% - 강조색4 2 2 3" xfId="15778"/>
    <cellStyle name="40% - 강조색4 2 3" xfId="15779"/>
    <cellStyle name="40% - 강조색4 2 3 2" xfId="15780"/>
    <cellStyle name="40% - 강조색4 2 3 2 2" xfId="15781"/>
    <cellStyle name="40% - 강조색4 2 3 3" xfId="15782"/>
    <cellStyle name="40% - 강조색4 2 4" xfId="15783"/>
    <cellStyle name="40% - 강조색4 2 4 2" xfId="15784"/>
    <cellStyle name="40% - 강조색4 2 5" xfId="15785"/>
    <cellStyle name="40% - 강조색4 2 6" xfId="15786"/>
    <cellStyle name="40% - 강조색4 20" xfId="15787"/>
    <cellStyle name="40% - 강조색4 20 2" xfId="15788"/>
    <cellStyle name="40% - 강조색4 20 3" xfId="15789"/>
    <cellStyle name="40% - 강조색4 21" xfId="15790"/>
    <cellStyle name="40% - 강조색4 21 2" xfId="15791"/>
    <cellStyle name="40% - 강조색4 21 3" xfId="15792"/>
    <cellStyle name="40% - 강조색4 22" xfId="15793"/>
    <cellStyle name="40% - 강조색4 22 2" xfId="15794"/>
    <cellStyle name="40% - 강조색4 22 3" xfId="15795"/>
    <cellStyle name="40% - 강조색4 23" xfId="15796"/>
    <cellStyle name="40% - 강조색4 23 2" xfId="15797"/>
    <cellStyle name="40% - 강조색4 23 3" xfId="15798"/>
    <cellStyle name="40% - 강조색4 24" xfId="15799"/>
    <cellStyle name="40% - 강조색4 24 2" xfId="15800"/>
    <cellStyle name="40% - 강조색4 25" xfId="15801"/>
    <cellStyle name="40% - 강조색4 25 2" xfId="15802"/>
    <cellStyle name="40% - 강조색4 26" xfId="15803"/>
    <cellStyle name="40% - 강조색4 26 2" xfId="15804"/>
    <cellStyle name="40% - 강조색4 27" xfId="15805"/>
    <cellStyle name="40% - 강조색4 27 2" xfId="15806"/>
    <cellStyle name="40% - 강조색4 28" xfId="15807"/>
    <cellStyle name="40% - 강조색4 28 2" xfId="15808"/>
    <cellStyle name="40% - 강조색4 29" xfId="15809"/>
    <cellStyle name="40% - 강조색4 29 2" xfId="15810"/>
    <cellStyle name="40% - 강조색4 3" xfId="15811"/>
    <cellStyle name="40% - 강조색4 3 10" xfId="15812"/>
    <cellStyle name="40% - 강조색4 3 10 2" xfId="15813"/>
    <cellStyle name="40% - 강조색4 3 10 2 2" xfId="15814"/>
    <cellStyle name="40% - 강조색4 3 10 2 3" xfId="15815"/>
    <cellStyle name="40% - 강조색4 3 10 3" xfId="15816"/>
    <cellStyle name="40% - 강조색4 3 10 4" xfId="15817"/>
    <cellStyle name="40% - 강조색4 3 11" xfId="15818"/>
    <cellStyle name="40% - 강조색4 3 11 2" xfId="15819"/>
    <cellStyle name="40% - 강조색4 3 11 3" xfId="15820"/>
    <cellStyle name="40% - 강조색4 3 12" xfId="15821"/>
    <cellStyle name="40% - 강조색4 3 13" xfId="15822"/>
    <cellStyle name="40% - 강조색4 3 14" xfId="15823"/>
    <cellStyle name="40% - 강조색4 3 15" xfId="15824"/>
    <cellStyle name="40% - 강조색4 3 2" xfId="15825"/>
    <cellStyle name="40% - 강조색4 3 2 10" xfId="15826"/>
    <cellStyle name="40% - 강조색4 3 2 11" xfId="15827"/>
    <cellStyle name="40% - 강조색4 3 2 12" xfId="15828"/>
    <cellStyle name="40% - 강조색4 3 2 2" xfId="15829"/>
    <cellStyle name="40% - 강조색4 3 2 2 2" xfId="15830"/>
    <cellStyle name="40% - 강조색4 3 2 2 2 2" xfId="15831"/>
    <cellStyle name="40% - 강조색4 3 2 2 2 2 2" xfId="15832"/>
    <cellStyle name="40% - 강조색4 3 2 2 2 2 2 2" xfId="15833"/>
    <cellStyle name="40% - 강조색4 3 2 2 2 2 2 3" xfId="15834"/>
    <cellStyle name="40% - 강조색4 3 2 2 2 2 3" xfId="15835"/>
    <cellStyle name="40% - 강조색4 3 2 2 2 2 4" xfId="15836"/>
    <cellStyle name="40% - 강조색4 3 2 2 2 3" xfId="15837"/>
    <cellStyle name="40% - 강조색4 3 2 2 2 3 2" xfId="15838"/>
    <cellStyle name="40% - 강조색4 3 2 2 2 3 3" xfId="15839"/>
    <cellStyle name="40% - 강조색4 3 2 2 2 4" xfId="15840"/>
    <cellStyle name="40% - 강조색4 3 2 2 2 5" xfId="15841"/>
    <cellStyle name="40% - 강조색4 3 2 2 3" xfId="15842"/>
    <cellStyle name="40% - 강조색4 3 2 2 3 2" xfId="15843"/>
    <cellStyle name="40% - 강조색4 3 2 2 3 2 2" xfId="15844"/>
    <cellStyle name="40% - 강조색4 3 2 2 3 2 2 2" xfId="15845"/>
    <cellStyle name="40% - 강조색4 3 2 2 3 2 2 3" xfId="15846"/>
    <cellStyle name="40% - 강조색4 3 2 2 3 2 3" xfId="15847"/>
    <cellStyle name="40% - 강조색4 3 2 2 3 2 4" xfId="15848"/>
    <cellStyle name="40% - 강조색4 3 2 2 3 3" xfId="15849"/>
    <cellStyle name="40% - 강조색4 3 2 2 3 3 2" xfId="15850"/>
    <cellStyle name="40% - 강조색4 3 2 2 3 3 3" xfId="15851"/>
    <cellStyle name="40% - 강조색4 3 2 2 3 4" xfId="15852"/>
    <cellStyle name="40% - 강조색4 3 2 2 3 5" xfId="15853"/>
    <cellStyle name="40% - 강조색4 3 2 2 4" xfId="15854"/>
    <cellStyle name="40% - 강조색4 3 2 2 4 2" xfId="15855"/>
    <cellStyle name="40% - 강조색4 3 2 2 4 2 2" xfId="15856"/>
    <cellStyle name="40% - 강조색4 3 2 2 4 2 3" xfId="15857"/>
    <cellStyle name="40% - 강조색4 3 2 2 4 3" xfId="15858"/>
    <cellStyle name="40% - 강조색4 3 2 2 4 4" xfId="15859"/>
    <cellStyle name="40% - 강조색4 3 2 2 5" xfId="15860"/>
    <cellStyle name="40% - 강조색4 3 2 2 5 2" xfId="15861"/>
    <cellStyle name="40% - 강조색4 3 2 2 5 3" xfId="15862"/>
    <cellStyle name="40% - 강조색4 3 2 2 6" xfId="15863"/>
    <cellStyle name="40% - 강조색4 3 2 2 7" xfId="15864"/>
    <cellStyle name="40% - 강조색4 3 2 2 8" xfId="15865"/>
    <cellStyle name="40% - 강조색4 3 2 2 9" xfId="15866"/>
    <cellStyle name="40% - 강조색4 3 2 3" xfId="15867"/>
    <cellStyle name="40% - 강조색4 3 2 3 2" xfId="15868"/>
    <cellStyle name="40% - 강조색4 3 2 3 2 2" xfId="15869"/>
    <cellStyle name="40% - 강조색4 3 2 3 2 2 2" xfId="15870"/>
    <cellStyle name="40% - 강조색4 3 2 3 2 2 2 2" xfId="15871"/>
    <cellStyle name="40% - 강조색4 3 2 3 2 2 2 3" xfId="15872"/>
    <cellStyle name="40% - 강조색4 3 2 3 2 2 3" xfId="15873"/>
    <cellStyle name="40% - 강조색4 3 2 3 2 2 4" xfId="15874"/>
    <cellStyle name="40% - 강조색4 3 2 3 2 3" xfId="15875"/>
    <cellStyle name="40% - 강조색4 3 2 3 2 3 2" xfId="15876"/>
    <cellStyle name="40% - 강조색4 3 2 3 2 3 3" xfId="15877"/>
    <cellStyle name="40% - 강조색4 3 2 3 2 4" xfId="15878"/>
    <cellStyle name="40% - 강조색4 3 2 3 2 5" xfId="15879"/>
    <cellStyle name="40% - 강조색4 3 2 3 3" xfId="15880"/>
    <cellStyle name="40% - 강조색4 3 2 3 3 2" xfId="15881"/>
    <cellStyle name="40% - 강조색4 3 2 3 3 2 2" xfId="15882"/>
    <cellStyle name="40% - 강조색4 3 2 3 3 2 2 2" xfId="15883"/>
    <cellStyle name="40% - 강조색4 3 2 3 3 2 2 3" xfId="15884"/>
    <cellStyle name="40% - 강조색4 3 2 3 3 2 3" xfId="15885"/>
    <cellStyle name="40% - 강조색4 3 2 3 3 2 4" xfId="15886"/>
    <cellStyle name="40% - 강조색4 3 2 3 3 3" xfId="15887"/>
    <cellStyle name="40% - 강조색4 3 2 3 3 3 2" xfId="15888"/>
    <cellStyle name="40% - 강조색4 3 2 3 3 3 3" xfId="15889"/>
    <cellStyle name="40% - 강조색4 3 2 3 3 4" xfId="15890"/>
    <cellStyle name="40% - 강조색4 3 2 3 3 5" xfId="15891"/>
    <cellStyle name="40% - 강조색4 3 2 3 4" xfId="15892"/>
    <cellStyle name="40% - 강조색4 3 2 3 4 2" xfId="15893"/>
    <cellStyle name="40% - 강조색4 3 2 3 4 2 2" xfId="15894"/>
    <cellStyle name="40% - 강조색4 3 2 3 4 2 3" xfId="15895"/>
    <cellStyle name="40% - 강조색4 3 2 3 4 3" xfId="15896"/>
    <cellStyle name="40% - 강조색4 3 2 3 4 4" xfId="15897"/>
    <cellStyle name="40% - 강조색4 3 2 3 5" xfId="15898"/>
    <cellStyle name="40% - 강조색4 3 2 3 5 2" xfId="15899"/>
    <cellStyle name="40% - 강조색4 3 2 3 5 3" xfId="15900"/>
    <cellStyle name="40% - 강조색4 3 2 3 6" xfId="15901"/>
    <cellStyle name="40% - 강조색4 3 2 3 7" xfId="15902"/>
    <cellStyle name="40% - 강조색4 3 2 4" xfId="15903"/>
    <cellStyle name="40% - 강조색4 3 2 4 2" xfId="15904"/>
    <cellStyle name="40% - 강조색4 3 2 4 2 2" xfId="15905"/>
    <cellStyle name="40% - 강조색4 3 2 4 2 2 2" xfId="15906"/>
    <cellStyle name="40% - 강조색4 3 2 4 2 2 3" xfId="15907"/>
    <cellStyle name="40% - 강조색4 3 2 4 2 3" xfId="15908"/>
    <cellStyle name="40% - 강조색4 3 2 4 2 4" xfId="15909"/>
    <cellStyle name="40% - 강조색4 3 2 4 3" xfId="15910"/>
    <cellStyle name="40% - 강조색4 3 2 4 3 2" xfId="15911"/>
    <cellStyle name="40% - 강조색4 3 2 4 3 3" xfId="15912"/>
    <cellStyle name="40% - 강조색4 3 2 4 4" xfId="15913"/>
    <cellStyle name="40% - 강조색4 3 2 4 5" xfId="15914"/>
    <cellStyle name="40% - 강조색4 3 2 5" xfId="15915"/>
    <cellStyle name="40% - 강조색4 3 2 5 2" xfId="15916"/>
    <cellStyle name="40% - 강조색4 3 2 5 2 2" xfId="15917"/>
    <cellStyle name="40% - 강조색4 3 2 5 2 2 2" xfId="15918"/>
    <cellStyle name="40% - 강조색4 3 2 5 2 2 3" xfId="15919"/>
    <cellStyle name="40% - 강조색4 3 2 5 2 3" xfId="15920"/>
    <cellStyle name="40% - 강조색4 3 2 5 2 4" xfId="15921"/>
    <cellStyle name="40% - 강조색4 3 2 5 3" xfId="15922"/>
    <cellStyle name="40% - 강조색4 3 2 5 3 2" xfId="15923"/>
    <cellStyle name="40% - 강조색4 3 2 5 3 3" xfId="15924"/>
    <cellStyle name="40% - 강조색4 3 2 5 4" xfId="15925"/>
    <cellStyle name="40% - 강조색4 3 2 5 5" xfId="15926"/>
    <cellStyle name="40% - 강조색4 3 2 6" xfId="15927"/>
    <cellStyle name="40% - 강조색4 3 2 6 2" xfId="15928"/>
    <cellStyle name="40% - 강조색4 3 2 6 2 2" xfId="15929"/>
    <cellStyle name="40% - 강조색4 3 2 6 2 2 2" xfId="15930"/>
    <cellStyle name="40% - 강조색4 3 2 6 2 2 3" xfId="15931"/>
    <cellStyle name="40% - 강조색4 3 2 6 2 3" xfId="15932"/>
    <cellStyle name="40% - 강조색4 3 2 6 2 4" xfId="15933"/>
    <cellStyle name="40% - 강조색4 3 2 6 3" xfId="15934"/>
    <cellStyle name="40% - 강조색4 3 2 6 3 2" xfId="15935"/>
    <cellStyle name="40% - 강조색4 3 2 6 3 3" xfId="15936"/>
    <cellStyle name="40% - 강조색4 3 2 6 4" xfId="15937"/>
    <cellStyle name="40% - 강조색4 3 2 6 5" xfId="15938"/>
    <cellStyle name="40% - 강조색4 3 2 7" xfId="15939"/>
    <cellStyle name="40% - 강조색4 3 2 7 2" xfId="15940"/>
    <cellStyle name="40% - 강조색4 3 2 7 2 2" xfId="15941"/>
    <cellStyle name="40% - 강조색4 3 2 7 2 3" xfId="15942"/>
    <cellStyle name="40% - 강조색4 3 2 7 3" xfId="15943"/>
    <cellStyle name="40% - 강조색4 3 2 7 4" xfId="15944"/>
    <cellStyle name="40% - 강조색4 3 2 8" xfId="15945"/>
    <cellStyle name="40% - 강조색4 3 2 8 2" xfId="15946"/>
    <cellStyle name="40% - 강조색4 3 2 8 3" xfId="15947"/>
    <cellStyle name="40% - 강조색4 3 2 9" xfId="15948"/>
    <cellStyle name="40% - 강조색4 3 3" xfId="15949"/>
    <cellStyle name="40% - 강조색4 3 3 10" xfId="15950"/>
    <cellStyle name="40% - 강조색4 3 3 11" xfId="15951"/>
    <cellStyle name="40% - 강조색4 3 3 12" xfId="15952"/>
    <cellStyle name="40% - 강조색4 3 3 2" xfId="15953"/>
    <cellStyle name="40% - 강조색4 3 3 2 2" xfId="15954"/>
    <cellStyle name="40% - 강조색4 3 3 2 2 2" xfId="15955"/>
    <cellStyle name="40% - 강조색4 3 3 2 2 2 2" xfId="15956"/>
    <cellStyle name="40% - 강조색4 3 3 2 2 2 2 2" xfId="15957"/>
    <cellStyle name="40% - 강조색4 3 3 2 2 2 2 3" xfId="15958"/>
    <cellStyle name="40% - 강조색4 3 3 2 2 2 3" xfId="15959"/>
    <cellStyle name="40% - 강조색4 3 3 2 2 2 4" xfId="15960"/>
    <cellStyle name="40% - 강조색4 3 3 2 2 3" xfId="15961"/>
    <cellStyle name="40% - 강조색4 3 3 2 2 3 2" xfId="15962"/>
    <cellStyle name="40% - 강조색4 3 3 2 2 3 3" xfId="15963"/>
    <cellStyle name="40% - 강조색4 3 3 2 2 4" xfId="15964"/>
    <cellStyle name="40% - 강조색4 3 3 2 2 5" xfId="15965"/>
    <cellStyle name="40% - 강조색4 3 3 2 3" xfId="15966"/>
    <cellStyle name="40% - 강조색4 3 3 2 3 2" xfId="15967"/>
    <cellStyle name="40% - 강조색4 3 3 2 3 2 2" xfId="15968"/>
    <cellStyle name="40% - 강조색4 3 3 2 3 2 2 2" xfId="15969"/>
    <cellStyle name="40% - 강조색4 3 3 2 3 2 2 3" xfId="15970"/>
    <cellStyle name="40% - 강조색4 3 3 2 3 2 3" xfId="15971"/>
    <cellStyle name="40% - 강조색4 3 3 2 3 2 4" xfId="15972"/>
    <cellStyle name="40% - 강조색4 3 3 2 3 3" xfId="15973"/>
    <cellStyle name="40% - 강조색4 3 3 2 3 3 2" xfId="15974"/>
    <cellStyle name="40% - 강조색4 3 3 2 3 3 3" xfId="15975"/>
    <cellStyle name="40% - 강조색4 3 3 2 3 4" xfId="15976"/>
    <cellStyle name="40% - 강조색4 3 3 2 3 5" xfId="15977"/>
    <cellStyle name="40% - 강조색4 3 3 2 4" xfId="15978"/>
    <cellStyle name="40% - 강조색4 3 3 2 4 2" xfId="15979"/>
    <cellStyle name="40% - 강조색4 3 3 2 4 2 2" xfId="15980"/>
    <cellStyle name="40% - 강조색4 3 3 2 4 2 3" xfId="15981"/>
    <cellStyle name="40% - 강조색4 3 3 2 4 3" xfId="15982"/>
    <cellStyle name="40% - 강조색4 3 3 2 4 4" xfId="15983"/>
    <cellStyle name="40% - 강조색4 3 3 2 5" xfId="15984"/>
    <cellStyle name="40% - 강조색4 3 3 2 5 2" xfId="15985"/>
    <cellStyle name="40% - 강조색4 3 3 2 5 3" xfId="15986"/>
    <cellStyle name="40% - 강조색4 3 3 2 6" xfId="15987"/>
    <cellStyle name="40% - 강조색4 3 3 2 7" xfId="15988"/>
    <cellStyle name="40% - 강조색4 3 3 2 8" xfId="15989"/>
    <cellStyle name="40% - 강조색4 3 3 2 9" xfId="15990"/>
    <cellStyle name="40% - 강조색4 3 3 3" xfId="15991"/>
    <cellStyle name="40% - 강조색4 3 3 3 2" xfId="15992"/>
    <cellStyle name="40% - 강조색4 3 3 3 2 2" xfId="15993"/>
    <cellStyle name="40% - 강조색4 3 3 3 2 2 2" xfId="15994"/>
    <cellStyle name="40% - 강조색4 3 3 3 2 2 2 2" xfId="15995"/>
    <cellStyle name="40% - 강조색4 3 3 3 2 2 2 3" xfId="15996"/>
    <cellStyle name="40% - 강조색4 3 3 3 2 2 3" xfId="15997"/>
    <cellStyle name="40% - 강조색4 3 3 3 2 2 4" xfId="15998"/>
    <cellStyle name="40% - 강조색4 3 3 3 2 3" xfId="15999"/>
    <cellStyle name="40% - 강조색4 3 3 3 2 3 2" xfId="16000"/>
    <cellStyle name="40% - 강조색4 3 3 3 2 3 3" xfId="16001"/>
    <cellStyle name="40% - 강조색4 3 3 3 2 4" xfId="16002"/>
    <cellStyle name="40% - 강조색4 3 3 3 2 5" xfId="16003"/>
    <cellStyle name="40% - 강조색4 3 3 3 3" xfId="16004"/>
    <cellStyle name="40% - 강조색4 3 3 3 3 2" xfId="16005"/>
    <cellStyle name="40% - 강조색4 3 3 3 3 2 2" xfId="16006"/>
    <cellStyle name="40% - 강조색4 3 3 3 3 2 2 2" xfId="16007"/>
    <cellStyle name="40% - 강조색4 3 3 3 3 2 2 3" xfId="16008"/>
    <cellStyle name="40% - 강조색4 3 3 3 3 2 3" xfId="16009"/>
    <cellStyle name="40% - 강조색4 3 3 3 3 2 4" xfId="16010"/>
    <cellStyle name="40% - 강조색4 3 3 3 3 3" xfId="16011"/>
    <cellStyle name="40% - 강조색4 3 3 3 3 3 2" xfId="16012"/>
    <cellStyle name="40% - 강조색4 3 3 3 3 3 3" xfId="16013"/>
    <cellStyle name="40% - 강조색4 3 3 3 3 4" xfId="16014"/>
    <cellStyle name="40% - 강조색4 3 3 3 3 5" xfId="16015"/>
    <cellStyle name="40% - 강조색4 3 3 3 4" xfId="16016"/>
    <cellStyle name="40% - 강조색4 3 3 3 4 2" xfId="16017"/>
    <cellStyle name="40% - 강조색4 3 3 3 4 2 2" xfId="16018"/>
    <cellStyle name="40% - 강조색4 3 3 3 4 2 3" xfId="16019"/>
    <cellStyle name="40% - 강조색4 3 3 3 4 3" xfId="16020"/>
    <cellStyle name="40% - 강조색4 3 3 3 4 4" xfId="16021"/>
    <cellStyle name="40% - 강조색4 3 3 3 5" xfId="16022"/>
    <cellStyle name="40% - 강조색4 3 3 3 5 2" xfId="16023"/>
    <cellStyle name="40% - 강조색4 3 3 3 5 3" xfId="16024"/>
    <cellStyle name="40% - 강조색4 3 3 3 6" xfId="16025"/>
    <cellStyle name="40% - 강조색4 3 3 3 7" xfId="16026"/>
    <cellStyle name="40% - 강조색4 3 3 4" xfId="16027"/>
    <cellStyle name="40% - 강조색4 3 3 4 2" xfId="16028"/>
    <cellStyle name="40% - 강조색4 3 3 4 2 2" xfId="16029"/>
    <cellStyle name="40% - 강조색4 3 3 4 2 2 2" xfId="16030"/>
    <cellStyle name="40% - 강조색4 3 3 4 2 2 3" xfId="16031"/>
    <cellStyle name="40% - 강조색4 3 3 4 2 3" xfId="16032"/>
    <cellStyle name="40% - 강조색4 3 3 4 2 4" xfId="16033"/>
    <cellStyle name="40% - 강조색4 3 3 4 3" xfId="16034"/>
    <cellStyle name="40% - 강조색4 3 3 4 3 2" xfId="16035"/>
    <cellStyle name="40% - 강조색4 3 3 4 3 3" xfId="16036"/>
    <cellStyle name="40% - 강조색4 3 3 4 4" xfId="16037"/>
    <cellStyle name="40% - 강조색4 3 3 4 5" xfId="16038"/>
    <cellStyle name="40% - 강조색4 3 3 5" xfId="16039"/>
    <cellStyle name="40% - 강조색4 3 3 5 2" xfId="16040"/>
    <cellStyle name="40% - 강조색4 3 3 5 2 2" xfId="16041"/>
    <cellStyle name="40% - 강조색4 3 3 5 2 2 2" xfId="16042"/>
    <cellStyle name="40% - 강조색4 3 3 5 2 2 3" xfId="16043"/>
    <cellStyle name="40% - 강조색4 3 3 5 2 3" xfId="16044"/>
    <cellStyle name="40% - 강조색4 3 3 5 2 4" xfId="16045"/>
    <cellStyle name="40% - 강조색4 3 3 5 3" xfId="16046"/>
    <cellStyle name="40% - 강조색4 3 3 5 3 2" xfId="16047"/>
    <cellStyle name="40% - 강조색4 3 3 5 3 3" xfId="16048"/>
    <cellStyle name="40% - 강조색4 3 3 5 4" xfId="16049"/>
    <cellStyle name="40% - 강조색4 3 3 5 5" xfId="16050"/>
    <cellStyle name="40% - 강조색4 3 3 6" xfId="16051"/>
    <cellStyle name="40% - 강조색4 3 3 6 2" xfId="16052"/>
    <cellStyle name="40% - 강조색4 3 3 6 2 2" xfId="16053"/>
    <cellStyle name="40% - 강조색4 3 3 6 2 2 2" xfId="16054"/>
    <cellStyle name="40% - 강조색4 3 3 6 2 2 3" xfId="16055"/>
    <cellStyle name="40% - 강조색4 3 3 6 2 3" xfId="16056"/>
    <cellStyle name="40% - 강조색4 3 3 6 2 4" xfId="16057"/>
    <cellStyle name="40% - 강조색4 3 3 6 3" xfId="16058"/>
    <cellStyle name="40% - 강조색4 3 3 6 3 2" xfId="16059"/>
    <cellStyle name="40% - 강조색4 3 3 6 3 3" xfId="16060"/>
    <cellStyle name="40% - 강조색4 3 3 6 4" xfId="16061"/>
    <cellStyle name="40% - 강조색4 3 3 6 5" xfId="16062"/>
    <cellStyle name="40% - 강조색4 3 3 7" xfId="16063"/>
    <cellStyle name="40% - 강조색4 3 3 7 2" xfId="16064"/>
    <cellStyle name="40% - 강조색4 3 3 7 2 2" xfId="16065"/>
    <cellStyle name="40% - 강조색4 3 3 7 2 3" xfId="16066"/>
    <cellStyle name="40% - 강조색4 3 3 7 3" xfId="16067"/>
    <cellStyle name="40% - 강조색4 3 3 7 4" xfId="16068"/>
    <cellStyle name="40% - 강조색4 3 3 8" xfId="16069"/>
    <cellStyle name="40% - 강조색4 3 3 8 2" xfId="16070"/>
    <cellStyle name="40% - 강조색4 3 3 8 3" xfId="16071"/>
    <cellStyle name="40% - 강조색4 3 3 9" xfId="16072"/>
    <cellStyle name="40% - 강조색4 3 4" xfId="16073"/>
    <cellStyle name="40% - 강조색4 3 4 10" xfId="16074"/>
    <cellStyle name="40% - 강조색4 3 4 11" xfId="16075"/>
    <cellStyle name="40% - 강조색4 3 4 12" xfId="16076"/>
    <cellStyle name="40% - 강조색4 3 4 2" xfId="16077"/>
    <cellStyle name="40% - 강조색4 3 4 2 2" xfId="16078"/>
    <cellStyle name="40% - 강조색4 3 4 2 2 2" xfId="16079"/>
    <cellStyle name="40% - 강조색4 3 4 2 2 2 2" xfId="16080"/>
    <cellStyle name="40% - 강조색4 3 4 2 2 2 2 2" xfId="16081"/>
    <cellStyle name="40% - 강조색4 3 4 2 2 2 2 3" xfId="16082"/>
    <cellStyle name="40% - 강조색4 3 4 2 2 2 3" xfId="16083"/>
    <cellStyle name="40% - 강조색4 3 4 2 2 2 4" xfId="16084"/>
    <cellStyle name="40% - 강조색4 3 4 2 2 3" xfId="16085"/>
    <cellStyle name="40% - 강조색4 3 4 2 2 3 2" xfId="16086"/>
    <cellStyle name="40% - 강조색4 3 4 2 2 3 3" xfId="16087"/>
    <cellStyle name="40% - 강조색4 3 4 2 2 4" xfId="16088"/>
    <cellStyle name="40% - 강조색4 3 4 2 2 5" xfId="16089"/>
    <cellStyle name="40% - 강조색4 3 4 2 3" xfId="16090"/>
    <cellStyle name="40% - 강조색4 3 4 2 3 2" xfId="16091"/>
    <cellStyle name="40% - 강조색4 3 4 2 3 2 2" xfId="16092"/>
    <cellStyle name="40% - 강조색4 3 4 2 3 2 2 2" xfId="16093"/>
    <cellStyle name="40% - 강조색4 3 4 2 3 2 2 3" xfId="16094"/>
    <cellStyle name="40% - 강조색4 3 4 2 3 2 3" xfId="16095"/>
    <cellStyle name="40% - 강조색4 3 4 2 3 2 4" xfId="16096"/>
    <cellStyle name="40% - 강조색4 3 4 2 3 3" xfId="16097"/>
    <cellStyle name="40% - 강조색4 3 4 2 3 3 2" xfId="16098"/>
    <cellStyle name="40% - 강조색4 3 4 2 3 3 3" xfId="16099"/>
    <cellStyle name="40% - 강조색4 3 4 2 3 4" xfId="16100"/>
    <cellStyle name="40% - 강조색4 3 4 2 3 5" xfId="16101"/>
    <cellStyle name="40% - 강조색4 3 4 2 4" xfId="16102"/>
    <cellStyle name="40% - 강조색4 3 4 2 4 2" xfId="16103"/>
    <cellStyle name="40% - 강조색4 3 4 2 4 2 2" xfId="16104"/>
    <cellStyle name="40% - 강조색4 3 4 2 4 2 3" xfId="16105"/>
    <cellStyle name="40% - 강조색4 3 4 2 4 3" xfId="16106"/>
    <cellStyle name="40% - 강조색4 3 4 2 4 4" xfId="16107"/>
    <cellStyle name="40% - 강조색4 3 4 2 5" xfId="16108"/>
    <cellStyle name="40% - 강조색4 3 4 2 5 2" xfId="16109"/>
    <cellStyle name="40% - 강조색4 3 4 2 5 3" xfId="16110"/>
    <cellStyle name="40% - 강조색4 3 4 2 6" xfId="16111"/>
    <cellStyle name="40% - 강조색4 3 4 2 7" xfId="16112"/>
    <cellStyle name="40% - 강조색4 3 4 3" xfId="16113"/>
    <cellStyle name="40% - 강조색4 3 4 3 2" xfId="16114"/>
    <cellStyle name="40% - 강조색4 3 4 3 2 2" xfId="16115"/>
    <cellStyle name="40% - 강조색4 3 4 3 2 2 2" xfId="16116"/>
    <cellStyle name="40% - 강조색4 3 4 3 2 2 2 2" xfId="16117"/>
    <cellStyle name="40% - 강조색4 3 4 3 2 2 2 3" xfId="16118"/>
    <cellStyle name="40% - 강조색4 3 4 3 2 2 3" xfId="16119"/>
    <cellStyle name="40% - 강조색4 3 4 3 2 2 4" xfId="16120"/>
    <cellStyle name="40% - 강조색4 3 4 3 2 3" xfId="16121"/>
    <cellStyle name="40% - 강조색4 3 4 3 2 3 2" xfId="16122"/>
    <cellStyle name="40% - 강조색4 3 4 3 2 3 3" xfId="16123"/>
    <cellStyle name="40% - 강조색4 3 4 3 2 4" xfId="16124"/>
    <cellStyle name="40% - 강조색4 3 4 3 2 5" xfId="16125"/>
    <cellStyle name="40% - 강조색4 3 4 3 3" xfId="16126"/>
    <cellStyle name="40% - 강조색4 3 4 3 3 2" xfId="16127"/>
    <cellStyle name="40% - 강조색4 3 4 3 3 2 2" xfId="16128"/>
    <cellStyle name="40% - 강조색4 3 4 3 3 2 2 2" xfId="16129"/>
    <cellStyle name="40% - 강조색4 3 4 3 3 2 2 3" xfId="16130"/>
    <cellStyle name="40% - 강조색4 3 4 3 3 2 3" xfId="16131"/>
    <cellStyle name="40% - 강조색4 3 4 3 3 2 4" xfId="16132"/>
    <cellStyle name="40% - 강조색4 3 4 3 3 3" xfId="16133"/>
    <cellStyle name="40% - 강조색4 3 4 3 3 3 2" xfId="16134"/>
    <cellStyle name="40% - 강조색4 3 4 3 3 3 3" xfId="16135"/>
    <cellStyle name="40% - 강조색4 3 4 3 3 4" xfId="16136"/>
    <cellStyle name="40% - 강조색4 3 4 3 3 5" xfId="16137"/>
    <cellStyle name="40% - 강조색4 3 4 3 4" xfId="16138"/>
    <cellStyle name="40% - 강조색4 3 4 3 4 2" xfId="16139"/>
    <cellStyle name="40% - 강조색4 3 4 3 4 2 2" xfId="16140"/>
    <cellStyle name="40% - 강조색4 3 4 3 4 2 3" xfId="16141"/>
    <cellStyle name="40% - 강조색4 3 4 3 4 3" xfId="16142"/>
    <cellStyle name="40% - 강조색4 3 4 3 4 4" xfId="16143"/>
    <cellStyle name="40% - 강조색4 3 4 3 5" xfId="16144"/>
    <cellStyle name="40% - 강조색4 3 4 3 5 2" xfId="16145"/>
    <cellStyle name="40% - 강조색4 3 4 3 5 3" xfId="16146"/>
    <cellStyle name="40% - 강조색4 3 4 3 6" xfId="16147"/>
    <cellStyle name="40% - 강조색4 3 4 3 7" xfId="16148"/>
    <cellStyle name="40% - 강조색4 3 4 4" xfId="16149"/>
    <cellStyle name="40% - 강조색4 3 4 4 2" xfId="16150"/>
    <cellStyle name="40% - 강조색4 3 4 4 2 2" xfId="16151"/>
    <cellStyle name="40% - 강조색4 3 4 4 2 2 2" xfId="16152"/>
    <cellStyle name="40% - 강조색4 3 4 4 2 2 3" xfId="16153"/>
    <cellStyle name="40% - 강조색4 3 4 4 2 3" xfId="16154"/>
    <cellStyle name="40% - 강조색4 3 4 4 2 4" xfId="16155"/>
    <cellStyle name="40% - 강조색4 3 4 4 3" xfId="16156"/>
    <cellStyle name="40% - 강조색4 3 4 4 3 2" xfId="16157"/>
    <cellStyle name="40% - 강조색4 3 4 4 3 3" xfId="16158"/>
    <cellStyle name="40% - 강조색4 3 4 4 4" xfId="16159"/>
    <cellStyle name="40% - 강조색4 3 4 4 5" xfId="16160"/>
    <cellStyle name="40% - 강조색4 3 4 5" xfId="16161"/>
    <cellStyle name="40% - 강조색4 3 4 5 2" xfId="16162"/>
    <cellStyle name="40% - 강조색4 3 4 5 2 2" xfId="16163"/>
    <cellStyle name="40% - 강조색4 3 4 5 2 2 2" xfId="16164"/>
    <cellStyle name="40% - 강조색4 3 4 5 2 2 3" xfId="16165"/>
    <cellStyle name="40% - 강조색4 3 4 5 2 3" xfId="16166"/>
    <cellStyle name="40% - 강조색4 3 4 5 2 4" xfId="16167"/>
    <cellStyle name="40% - 강조색4 3 4 5 3" xfId="16168"/>
    <cellStyle name="40% - 강조색4 3 4 5 3 2" xfId="16169"/>
    <cellStyle name="40% - 강조색4 3 4 5 3 3" xfId="16170"/>
    <cellStyle name="40% - 강조색4 3 4 5 4" xfId="16171"/>
    <cellStyle name="40% - 강조색4 3 4 5 5" xfId="16172"/>
    <cellStyle name="40% - 강조색4 3 4 6" xfId="16173"/>
    <cellStyle name="40% - 강조색4 3 4 6 2" xfId="16174"/>
    <cellStyle name="40% - 강조색4 3 4 6 2 2" xfId="16175"/>
    <cellStyle name="40% - 강조색4 3 4 6 2 2 2" xfId="16176"/>
    <cellStyle name="40% - 강조색4 3 4 6 2 2 3" xfId="16177"/>
    <cellStyle name="40% - 강조색4 3 4 6 2 3" xfId="16178"/>
    <cellStyle name="40% - 강조색4 3 4 6 2 4" xfId="16179"/>
    <cellStyle name="40% - 강조색4 3 4 6 3" xfId="16180"/>
    <cellStyle name="40% - 강조색4 3 4 6 3 2" xfId="16181"/>
    <cellStyle name="40% - 강조색4 3 4 6 3 3" xfId="16182"/>
    <cellStyle name="40% - 강조색4 3 4 6 4" xfId="16183"/>
    <cellStyle name="40% - 강조색4 3 4 6 5" xfId="16184"/>
    <cellStyle name="40% - 강조색4 3 4 7" xfId="16185"/>
    <cellStyle name="40% - 강조색4 3 4 7 2" xfId="16186"/>
    <cellStyle name="40% - 강조색4 3 4 7 2 2" xfId="16187"/>
    <cellStyle name="40% - 강조색4 3 4 7 2 3" xfId="16188"/>
    <cellStyle name="40% - 강조색4 3 4 7 3" xfId="16189"/>
    <cellStyle name="40% - 강조색4 3 4 7 4" xfId="16190"/>
    <cellStyle name="40% - 강조색4 3 4 8" xfId="16191"/>
    <cellStyle name="40% - 강조색4 3 4 8 2" xfId="16192"/>
    <cellStyle name="40% - 강조색4 3 4 8 3" xfId="16193"/>
    <cellStyle name="40% - 강조색4 3 4 9" xfId="16194"/>
    <cellStyle name="40% - 강조색4 3 5" xfId="16195"/>
    <cellStyle name="40% - 강조색4 3 5 2" xfId="16196"/>
    <cellStyle name="40% - 강조색4 3 5 2 2" xfId="16197"/>
    <cellStyle name="40% - 강조색4 3 5 2 2 2" xfId="16198"/>
    <cellStyle name="40% - 강조색4 3 5 2 2 2 2" xfId="16199"/>
    <cellStyle name="40% - 강조색4 3 5 2 2 2 3" xfId="16200"/>
    <cellStyle name="40% - 강조색4 3 5 2 2 3" xfId="16201"/>
    <cellStyle name="40% - 강조색4 3 5 2 2 4" xfId="16202"/>
    <cellStyle name="40% - 강조색4 3 5 2 3" xfId="16203"/>
    <cellStyle name="40% - 강조색4 3 5 2 3 2" xfId="16204"/>
    <cellStyle name="40% - 강조색4 3 5 2 3 3" xfId="16205"/>
    <cellStyle name="40% - 강조색4 3 5 2 4" xfId="16206"/>
    <cellStyle name="40% - 강조색4 3 5 2 5" xfId="16207"/>
    <cellStyle name="40% - 강조색4 3 5 3" xfId="16208"/>
    <cellStyle name="40% - 강조색4 3 5 3 2" xfId="16209"/>
    <cellStyle name="40% - 강조색4 3 5 3 2 2" xfId="16210"/>
    <cellStyle name="40% - 강조색4 3 5 3 2 2 2" xfId="16211"/>
    <cellStyle name="40% - 강조색4 3 5 3 2 2 3" xfId="16212"/>
    <cellStyle name="40% - 강조색4 3 5 3 2 3" xfId="16213"/>
    <cellStyle name="40% - 강조색4 3 5 3 2 4" xfId="16214"/>
    <cellStyle name="40% - 강조색4 3 5 3 3" xfId="16215"/>
    <cellStyle name="40% - 강조색4 3 5 3 3 2" xfId="16216"/>
    <cellStyle name="40% - 강조색4 3 5 3 3 3" xfId="16217"/>
    <cellStyle name="40% - 강조색4 3 5 3 4" xfId="16218"/>
    <cellStyle name="40% - 강조색4 3 5 3 5" xfId="16219"/>
    <cellStyle name="40% - 강조색4 3 5 4" xfId="16220"/>
    <cellStyle name="40% - 강조색4 3 5 4 2" xfId="16221"/>
    <cellStyle name="40% - 강조색4 3 5 4 2 2" xfId="16222"/>
    <cellStyle name="40% - 강조색4 3 5 4 2 3" xfId="16223"/>
    <cellStyle name="40% - 강조색4 3 5 4 3" xfId="16224"/>
    <cellStyle name="40% - 강조색4 3 5 4 4" xfId="16225"/>
    <cellStyle name="40% - 강조색4 3 5 5" xfId="16226"/>
    <cellStyle name="40% - 강조색4 3 5 5 2" xfId="16227"/>
    <cellStyle name="40% - 강조색4 3 5 5 3" xfId="16228"/>
    <cellStyle name="40% - 강조색4 3 5 6" xfId="16229"/>
    <cellStyle name="40% - 강조색4 3 5 7" xfId="16230"/>
    <cellStyle name="40% - 강조색4 3 5 8" xfId="16231"/>
    <cellStyle name="40% - 강조색4 3 6" xfId="16232"/>
    <cellStyle name="40% - 강조색4 3 6 2" xfId="16233"/>
    <cellStyle name="40% - 강조색4 3 6 2 2" xfId="16234"/>
    <cellStyle name="40% - 강조색4 3 6 2 2 2" xfId="16235"/>
    <cellStyle name="40% - 강조색4 3 6 2 2 2 2" xfId="16236"/>
    <cellStyle name="40% - 강조색4 3 6 2 2 2 3" xfId="16237"/>
    <cellStyle name="40% - 강조색4 3 6 2 2 3" xfId="16238"/>
    <cellStyle name="40% - 강조색4 3 6 2 2 4" xfId="16239"/>
    <cellStyle name="40% - 강조색4 3 6 2 3" xfId="16240"/>
    <cellStyle name="40% - 강조색4 3 6 2 3 2" xfId="16241"/>
    <cellStyle name="40% - 강조색4 3 6 2 3 3" xfId="16242"/>
    <cellStyle name="40% - 강조색4 3 6 2 4" xfId="16243"/>
    <cellStyle name="40% - 강조색4 3 6 2 5" xfId="16244"/>
    <cellStyle name="40% - 강조색4 3 6 3" xfId="16245"/>
    <cellStyle name="40% - 강조색4 3 6 3 2" xfId="16246"/>
    <cellStyle name="40% - 강조색4 3 6 3 2 2" xfId="16247"/>
    <cellStyle name="40% - 강조색4 3 6 3 2 2 2" xfId="16248"/>
    <cellStyle name="40% - 강조색4 3 6 3 2 2 3" xfId="16249"/>
    <cellStyle name="40% - 강조색4 3 6 3 2 3" xfId="16250"/>
    <cellStyle name="40% - 강조색4 3 6 3 2 4" xfId="16251"/>
    <cellStyle name="40% - 강조색4 3 6 3 3" xfId="16252"/>
    <cellStyle name="40% - 강조색4 3 6 3 3 2" xfId="16253"/>
    <cellStyle name="40% - 강조색4 3 6 3 3 3" xfId="16254"/>
    <cellStyle name="40% - 강조색4 3 6 3 4" xfId="16255"/>
    <cellStyle name="40% - 강조색4 3 6 3 5" xfId="16256"/>
    <cellStyle name="40% - 강조색4 3 6 4" xfId="16257"/>
    <cellStyle name="40% - 강조색4 3 6 4 2" xfId="16258"/>
    <cellStyle name="40% - 강조색4 3 6 4 2 2" xfId="16259"/>
    <cellStyle name="40% - 강조색4 3 6 4 2 3" xfId="16260"/>
    <cellStyle name="40% - 강조색4 3 6 4 3" xfId="16261"/>
    <cellStyle name="40% - 강조색4 3 6 4 4" xfId="16262"/>
    <cellStyle name="40% - 강조색4 3 6 5" xfId="16263"/>
    <cellStyle name="40% - 강조색4 3 6 5 2" xfId="16264"/>
    <cellStyle name="40% - 강조색4 3 6 5 3" xfId="16265"/>
    <cellStyle name="40% - 강조색4 3 6 6" xfId="16266"/>
    <cellStyle name="40% - 강조색4 3 6 7" xfId="16267"/>
    <cellStyle name="40% - 강조색4 3 7" xfId="16268"/>
    <cellStyle name="40% - 강조색4 3 7 2" xfId="16269"/>
    <cellStyle name="40% - 강조색4 3 7 2 2" xfId="16270"/>
    <cellStyle name="40% - 강조색4 3 7 2 2 2" xfId="16271"/>
    <cellStyle name="40% - 강조색4 3 7 2 2 3" xfId="16272"/>
    <cellStyle name="40% - 강조색4 3 7 2 3" xfId="16273"/>
    <cellStyle name="40% - 강조색4 3 7 2 4" xfId="16274"/>
    <cellStyle name="40% - 강조색4 3 7 3" xfId="16275"/>
    <cellStyle name="40% - 강조색4 3 7 3 2" xfId="16276"/>
    <cellStyle name="40% - 강조색4 3 7 3 3" xfId="16277"/>
    <cellStyle name="40% - 강조색4 3 7 4" xfId="16278"/>
    <cellStyle name="40% - 강조색4 3 7 5" xfId="16279"/>
    <cellStyle name="40% - 강조색4 3 8" xfId="16280"/>
    <cellStyle name="40% - 강조색4 3 8 2" xfId="16281"/>
    <cellStyle name="40% - 강조색4 3 8 2 2" xfId="16282"/>
    <cellStyle name="40% - 강조색4 3 8 2 2 2" xfId="16283"/>
    <cellStyle name="40% - 강조색4 3 8 2 2 3" xfId="16284"/>
    <cellStyle name="40% - 강조색4 3 8 2 3" xfId="16285"/>
    <cellStyle name="40% - 강조색4 3 8 2 4" xfId="16286"/>
    <cellStyle name="40% - 강조색4 3 8 3" xfId="16287"/>
    <cellStyle name="40% - 강조색4 3 8 3 2" xfId="16288"/>
    <cellStyle name="40% - 강조색4 3 8 3 3" xfId="16289"/>
    <cellStyle name="40% - 강조색4 3 8 4" xfId="16290"/>
    <cellStyle name="40% - 강조색4 3 8 5" xfId="16291"/>
    <cellStyle name="40% - 강조색4 3 9" xfId="16292"/>
    <cellStyle name="40% - 강조색4 3 9 2" xfId="16293"/>
    <cellStyle name="40% - 강조색4 3 9 2 2" xfId="16294"/>
    <cellStyle name="40% - 강조색4 3 9 2 2 2" xfId="16295"/>
    <cellStyle name="40% - 강조색4 3 9 2 2 3" xfId="16296"/>
    <cellStyle name="40% - 강조색4 3 9 2 3" xfId="16297"/>
    <cellStyle name="40% - 강조색4 3 9 2 4" xfId="16298"/>
    <cellStyle name="40% - 강조색4 3 9 3" xfId="16299"/>
    <cellStyle name="40% - 강조색4 3 9 3 2" xfId="16300"/>
    <cellStyle name="40% - 강조색4 3 9 3 3" xfId="16301"/>
    <cellStyle name="40% - 강조색4 3 9 4" xfId="16302"/>
    <cellStyle name="40% - 강조색4 3 9 5" xfId="16303"/>
    <cellStyle name="40% - 강조색4 30" xfId="16304"/>
    <cellStyle name="40% - 강조색4 30 2" xfId="16305"/>
    <cellStyle name="40% - 강조색4 31" xfId="16306"/>
    <cellStyle name="40% - 강조색4 31 2" xfId="16307"/>
    <cellStyle name="40% - 강조색4 32" xfId="16308"/>
    <cellStyle name="40% - 강조색4 32 2" xfId="16309"/>
    <cellStyle name="40% - 강조색4 33" xfId="16310"/>
    <cellStyle name="40% - 강조색4 33 2" xfId="16311"/>
    <cellStyle name="40% - 강조색4 34" xfId="16312"/>
    <cellStyle name="40% - 강조색4 34 2" xfId="16313"/>
    <cellStyle name="40% - 강조색4 35" xfId="16314"/>
    <cellStyle name="40% - 강조색4 36" xfId="16315"/>
    <cellStyle name="40% - 강조색4 37" xfId="16316"/>
    <cellStyle name="40% - 강조색4 38" xfId="16317"/>
    <cellStyle name="40% - 강조색4 39" xfId="16318"/>
    <cellStyle name="40% - 강조색4 4" xfId="16319"/>
    <cellStyle name="40% - 강조색4 4 10" xfId="16320"/>
    <cellStyle name="40% - 강조색4 4 10 2" xfId="16321"/>
    <cellStyle name="40% - 강조색4 4 10 2 2" xfId="16322"/>
    <cellStyle name="40% - 강조색4 4 10 2 3" xfId="16323"/>
    <cellStyle name="40% - 강조색4 4 10 3" xfId="16324"/>
    <cellStyle name="40% - 강조색4 4 10 4" xfId="16325"/>
    <cellStyle name="40% - 강조색4 4 11" xfId="16326"/>
    <cellStyle name="40% - 강조색4 4 11 2" xfId="16327"/>
    <cellStyle name="40% - 강조색4 4 11 3" xfId="16328"/>
    <cellStyle name="40% - 강조색4 4 12" xfId="16329"/>
    <cellStyle name="40% - 강조색4 4 13" xfId="16330"/>
    <cellStyle name="40% - 강조색4 4 14" xfId="16331"/>
    <cellStyle name="40% - 강조색4 4 2" xfId="16332"/>
    <cellStyle name="40% - 강조색4 4 2 10" xfId="16333"/>
    <cellStyle name="40% - 강조색4 4 2 2" xfId="16334"/>
    <cellStyle name="40% - 강조색4 4 2 2 2" xfId="16335"/>
    <cellStyle name="40% - 강조색4 4 2 2 2 2" xfId="16336"/>
    <cellStyle name="40% - 강조색4 4 2 2 2 2 2" xfId="16337"/>
    <cellStyle name="40% - 강조색4 4 2 2 2 2 2 2" xfId="16338"/>
    <cellStyle name="40% - 강조색4 4 2 2 2 2 2 3" xfId="16339"/>
    <cellStyle name="40% - 강조색4 4 2 2 2 2 3" xfId="16340"/>
    <cellStyle name="40% - 강조색4 4 2 2 2 2 4" xfId="16341"/>
    <cellStyle name="40% - 강조색4 4 2 2 2 3" xfId="16342"/>
    <cellStyle name="40% - 강조색4 4 2 2 2 3 2" xfId="16343"/>
    <cellStyle name="40% - 강조색4 4 2 2 2 3 3" xfId="16344"/>
    <cellStyle name="40% - 강조색4 4 2 2 2 4" xfId="16345"/>
    <cellStyle name="40% - 강조색4 4 2 2 2 5" xfId="16346"/>
    <cellStyle name="40% - 강조색4 4 2 2 3" xfId="16347"/>
    <cellStyle name="40% - 강조색4 4 2 2 3 2" xfId="16348"/>
    <cellStyle name="40% - 강조색4 4 2 2 3 2 2" xfId="16349"/>
    <cellStyle name="40% - 강조색4 4 2 2 3 2 2 2" xfId="16350"/>
    <cellStyle name="40% - 강조색4 4 2 2 3 2 2 3" xfId="16351"/>
    <cellStyle name="40% - 강조색4 4 2 2 3 2 3" xfId="16352"/>
    <cellStyle name="40% - 강조색4 4 2 2 3 2 4" xfId="16353"/>
    <cellStyle name="40% - 강조색4 4 2 2 3 3" xfId="16354"/>
    <cellStyle name="40% - 강조색4 4 2 2 3 3 2" xfId="16355"/>
    <cellStyle name="40% - 강조색4 4 2 2 3 3 3" xfId="16356"/>
    <cellStyle name="40% - 강조색4 4 2 2 3 4" xfId="16357"/>
    <cellStyle name="40% - 강조색4 4 2 2 3 5" xfId="16358"/>
    <cellStyle name="40% - 강조색4 4 2 2 4" xfId="16359"/>
    <cellStyle name="40% - 강조색4 4 2 2 4 2" xfId="16360"/>
    <cellStyle name="40% - 강조색4 4 2 2 4 2 2" xfId="16361"/>
    <cellStyle name="40% - 강조색4 4 2 2 4 2 3" xfId="16362"/>
    <cellStyle name="40% - 강조색4 4 2 2 4 3" xfId="16363"/>
    <cellStyle name="40% - 강조색4 4 2 2 4 4" xfId="16364"/>
    <cellStyle name="40% - 강조색4 4 2 2 5" xfId="16365"/>
    <cellStyle name="40% - 강조색4 4 2 2 5 2" xfId="16366"/>
    <cellStyle name="40% - 강조색4 4 2 2 5 3" xfId="16367"/>
    <cellStyle name="40% - 강조색4 4 2 2 6" xfId="16368"/>
    <cellStyle name="40% - 강조색4 4 2 2 7" xfId="16369"/>
    <cellStyle name="40% - 강조색4 4 2 3" xfId="16370"/>
    <cellStyle name="40% - 강조색4 4 2 3 2" xfId="16371"/>
    <cellStyle name="40% - 강조색4 4 2 3 2 2" xfId="16372"/>
    <cellStyle name="40% - 강조색4 4 2 3 2 2 2" xfId="16373"/>
    <cellStyle name="40% - 강조색4 4 2 3 2 2 2 2" xfId="16374"/>
    <cellStyle name="40% - 강조색4 4 2 3 2 2 2 3" xfId="16375"/>
    <cellStyle name="40% - 강조색4 4 2 3 2 2 3" xfId="16376"/>
    <cellStyle name="40% - 강조색4 4 2 3 2 2 4" xfId="16377"/>
    <cellStyle name="40% - 강조색4 4 2 3 2 3" xfId="16378"/>
    <cellStyle name="40% - 강조색4 4 2 3 2 3 2" xfId="16379"/>
    <cellStyle name="40% - 강조색4 4 2 3 2 3 3" xfId="16380"/>
    <cellStyle name="40% - 강조색4 4 2 3 2 4" xfId="16381"/>
    <cellStyle name="40% - 강조색4 4 2 3 2 5" xfId="16382"/>
    <cellStyle name="40% - 강조색4 4 2 3 3" xfId="16383"/>
    <cellStyle name="40% - 강조색4 4 2 3 3 2" xfId="16384"/>
    <cellStyle name="40% - 강조색4 4 2 3 3 2 2" xfId="16385"/>
    <cellStyle name="40% - 강조색4 4 2 3 3 2 2 2" xfId="16386"/>
    <cellStyle name="40% - 강조색4 4 2 3 3 2 2 3" xfId="16387"/>
    <cellStyle name="40% - 강조색4 4 2 3 3 2 3" xfId="16388"/>
    <cellStyle name="40% - 강조색4 4 2 3 3 2 4" xfId="16389"/>
    <cellStyle name="40% - 강조색4 4 2 3 3 3" xfId="16390"/>
    <cellStyle name="40% - 강조색4 4 2 3 3 3 2" xfId="16391"/>
    <cellStyle name="40% - 강조색4 4 2 3 3 3 3" xfId="16392"/>
    <cellStyle name="40% - 강조색4 4 2 3 3 4" xfId="16393"/>
    <cellStyle name="40% - 강조색4 4 2 3 3 5" xfId="16394"/>
    <cellStyle name="40% - 강조색4 4 2 3 4" xfId="16395"/>
    <cellStyle name="40% - 강조색4 4 2 3 4 2" xfId="16396"/>
    <cellStyle name="40% - 강조색4 4 2 3 4 2 2" xfId="16397"/>
    <cellStyle name="40% - 강조색4 4 2 3 4 2 3" xfId="16398"/>
    <cellStyle name="40% - 강조색4 4 2 3 4 3" xfId="16399"/>
    <cellStyle name="40% - 강조색4 4 2 3 4 4" xfId="16400"/>
    <cellStyle name="40% - 강조색4 4 2 3 5" xfId="16401"/>
    <cellStyle name="40% - 강조색4 4 2 3 5 2" xfId="16402"/>
    <cellStyle name="40% - 강조색4 4 2 3 5 3" xfId="16403"/>
    <cellStyle name="40% - 강조색4 4 2 3 6" xfId="16404"/>
    <cellStyle name="40% - 강조색4 4 2 3 7" xfId="16405"/>
    <cellStyle name="40% - 강조색4 4 2 4" xfId="16406"/>
    <cellStyle name="40% - 강조색4 4 2 4 2" xfId="16407"/>
    <cellStyle name="40% - 강조색4 4 2 4 2 2" xfId="16408"/>
    <cellStyle name="40% - 강조색4 4 2 4 2 2 2" xfId="16409"/>
    <cellStyle name="40% - 강조색4 4 2 4 2 2 3" xfId="16410"/>
    <cellStyle name="40% - 강조색4 4 2 4 2 3" xfId="16411"/>
    <cellStyle name="40% - 강조색4 4 2 4 2 4" xfId="16412"/>
    <cellStyle name="40% - 강조색4 4 2 4 3" xfId="16413"/>
    <cellStyle name="40% - 강조색4 4 2 4 3 2" xfId="16414"/>
    <cellStyle name="40% - 강조색4 4 2 4 3 3" xfId="16415"/>
    <cellStyle name="40% - 강조색4 4 2 4 4" xfId="16416"/>
    <cellStyle name="40% - 강조색4 4 2 4 5" xfId="16417"/>
    <cellStyle name="40% - 강조색4 4 2 5" xfId="16418"/>
    <cellStyle name="40% - 강조색4 4 2 5 2" xfId="16419"/>
    <cellStyle name="40% - 강조색4 4 2 5 2 2" xfId="16420"/>
    <cellStyle name="40% - 강조색4 4 2 5 2 2 2" xfId="16421"/>
    <cellStyle name="40% - 강조색4 4 2 5 2 2 3" xfId="16422"/>
    <cellStyle name="40% - 강조색4 4 2 5 2 3" xfId="16423"/>
    <cellStyle name="40% - 강조색4 4 2 5 2 4" xfId="16424"/>
    <cellStyle name="40% - 강조색4 4 2 5 3" xfId="16425"/>
    <cellStyle name="40% - 강조색4 4 2 5 3 2" xfId="16426"/>
    <cellStyle name="40% - 강조색4 4 2 5 3 3" xfId="16427"/>
    <cellStyle name="40% - 강조색4 4 2 5 4" xfId="16428"/>
    <cellStyle name="40% - 강조색4 4 2 5 5" xfId="16429"/>
    <cellStyle name="40% - 강조색4 4 2 6" xfId="16430"/>
    <cellStyle name="40% - 강조색4 4 2 6 2" xfId="16431"/>
    <cellStyle name="40% - 강조색4 4 2 6 2 2" xfId="16432"/>
    <cellStyle name="40% - 강조색4 4 2 6 2 2 2" xfId="16433"/>
    <cellStyle name="40% - 강조색4 4 2 6 2 2 3" xfId="16434"/>
    <cellStyle name="40% - 강조색4 4 2 6 2 3" xfId="16435"/>
    <cellStyle name="40% - 강조색4 4 2 6 2 4" xfId="16436"/>
    <cellStyle name="40% - 강조색4 4 2 6 3" xfId="16437"/>
    <cellStyle name="40% - 강조색4 4 2 6 3 2" xfId="16438"/>
    <cellStyle name="40% - 강조색4 4 2 6 3 3" xfId="16439"/>
    <cellStyle name="40% - 강조색4 4 2 6 4" xfId="16440"/>
    <cellStyle name="40% - 강조색4 4 2 6 5" xfId="16441"/>
    <cellStyle name="40% - 강조색4 4 2 7" xfId="16442"/>
    <cellStyle name="40% - 강조색4 4 2 7 2" xfId="16443"/>
    <cellStyle name="40% - 강조색4 4 2 7 2 2" xfId="16444"/>
    <cellStyle name="40% - 강조색4 4 2 7 2 3" xfId="16445"/>
    <cellStyle name="40% - 강조색4 4 2 7 3" xfId="16446"/>
    <cellStyle name="40% - 강조색4 4 2 7 4" xfId="16447"/>
    <cellStyle name="40% - 강조색4 4 2 8" xfId="16448"/>
    <cellStyle name="40% - 강조색4 4 2 8 2" xfId="16449"/>
    <cellStyle name="40% - 강조색4 4 2 8 3" xfId="16450"/>
    <cellStyle name="40% - 강조색4 4 2 9" xfId="16451"/>
    <cellStyle name="40% - 강조색4 4 3" xfId="16452"/>
    <cellStyle name="40% - 강조색4 4 3 10" xfId="16453"/>
    <cellStyle name="40% - 강조색4 4 3 2" xfId="16454"/>
    <cellStyle name="40% - 강조색4 4 3 2 2" xfId="16455"/>
    <cellStyle name="40% - 강조색4 4 3 2 2 2" xfId="16456"/>
    <cellStyle name="40% - 강조색4 4 3 2 2 2 2" xfId="16457"/>
    <cellStyle name="40% - 강조색4 4 3 2 2 2 2 2" xfId="16458"/>
    <cellStyle name="40% - 강조색4 4 3 2 2 2 2 3" xfId="16459"/>
    <cellStyle name="40% - 강조색4 4 3 2 2 2 3" xfId="16460"/>
    <cellStyle name="40% - 강조색4 4 3 2 2 2 4" xfId="16461"/>
    <cellStyle name="40% - 강조색4 4 3 2 2 3" xfId="16462"/>
    <cellStyle name="40% - 강조색4 4 3 2 2 3 2" xfId="16463"/>
    <cellStyle name="40% - 강조색4 4 3 2 2 3 3" xfId="16464"/>
    <cellStyle name="40% - 강조색4 4 3 2 2 4" xfId="16465"/>
    <cellStyle name="40% - 강조색4 4 3 2 2 5" xfId="16466"/>
    <cellStyle name="40% - 강조색4 4 3 2 3" xfId="16467"/>
    <cellStyle name="40% - 강조색4 4 3 2 3 2" xfId="16468"/>
    <cellStyle name="40% - 강조색4 4 3 2 3 2 2" xfId="16469"/>
    <cellStyle name="40% - 강조색4 4 3 2 3 2 2 2" xfId="16470"/>
    <cellStyle name="40% - 강조색4 4 3 2 3 2 2 3" xfId="16471"/>
    <cellStyle name="40% - 강조색4 4 3 2 3 2 3" xfId="16472"/>
    <cellStyle name="40% - 강조색4 4 3 2 3 2 4" xfId="16473"/>
    <cellStyle name="40% - 강조색4 4 3 2 3 3" xfId="16474"/>
    <cellStyle name="40% - 강조색4 4 3 2 3 3 2" xfId="16475"/>
    <cellStyle name="40% - 강조색4 4 3 2 3 3 3" xfId="16476"/>
    <cellStyle name="40% - 강조색4 4 3 2 3 4" xfId="16477"/>
    <cellStyle name="40% - 강조색4 4 3 2 3 5" xfId="16478"/>
    <cellStyle name="40% - 강조색4 4 3 2 4" xfId="16479"/>
    <cellStyle name="40% - 강조색4 4 3 2 4 2" xfId="16480"/>
    <cellStyle name="40% - 강조색4 4 3 2 4 2 2" xfId="16481"/>
    <cellStyle name="40% - 강조색4 4 3 2 4 2 3" xfId="16482"/>
    <cellStyle name="40% - 강조색4 4 3 2 4 3" xfId="16483"/>
    <cellStyle name="40% - 강조색4 4 3 2 4 4" xfId="16484"/>
    <cellStyle name="40% - 강조색4 4 3 2 5" xfId="16485"/>
    <cellStyle name="40% - 강조색4 4 3 2 5 2" xfId="16486"/>
    <cellStyle name="40% - 강조색4 4 3 2 5 3" xfId="16487"/>
    <cellStyle name="40% - 강조색4 4 3 2 6" xfId="16488"/>
    <cellStyle name="40% - 강조색4 4 3 2 7" xfId="16489"/>
    <cellStyle name="40% - 강조색4 4 3 3" xfId="16490"/>
    <cellStyle name="40% - 강조색4 4 3 3 2" xfId="16491"/>
    <cellStyle name="40% - 강조색4 4 3 3 2 2" xfId="16492"/>
    <cellStyle name="40% - 강조색4 4 3 3 2 2 2" xfId="16493"/>
    <cellStyle name="40% - 강조색4 4 3 3 2 2 2 2" xfId="16494"/>
    <cellStyle name="40% - 강조색4 4 3 3 2 2 2 3" xfId="16495"/>
    <cellStyle name="40% - 강조색4 4 3 3 2 2 3" xfId="16496"/>
    <cellStyle name="40% - 강조색4 4 3 3 2 2 4" xfId="16497"/>
    <cellStyle name="40% - 강조색4 4 3 3 2 3" xfId="16498"/>
    <cellStyle name="40% - 강조색4 4 3 3 2 3 2" xfId="16499"/>
    <cellStyle name="40% - 강조색4 4 3 3 2 3 3" xfId="16500"/>
    <cellStyle name="40% - 강조색4 4 3 3 2 4" xfId="16501"/>
    <cellStyle name="40% - 강조색4 4 3 3 2 5" xfId="16502"/>
    <cellStyle name="40% - 강조색4 4 3 3 3" xfId="16503"/>
    <cellStyle name="40% - 강조색4 4 3 3 3 2" xfId="16504"/>
    <cellStyle name="40% - 강조색4 4 3 3 3 2 2" xfId="16505"/>
    <cellStyle name="40% - 강조색4 4 3 3 3 2 2 2" xfId="16506"/>
    <cellStyle name="40% - 강조색4 4 3 3 3 2 2 3" xfId="16507"/>
    <cellStyle name="40% - 강조색4 4 3 3 3 2 3" xfId="16508"/>
    <cellStyle name="40% - 강조색4 4 3 3 3 2 4" xfId="16509"/>
    <cellStyle name="40% - 강조색4 4 3 3 3 3" xfId="16510"/>
    <cellStyle name="40% - 강조색4 4 3 3 3 3 2" xfId="16511"/>
    <cellStyle name="40% - 강조색4 4 3 3 3 3 3" xfId="16512"/>
    <cellStyle name="40% - 강조색4 4 3 3 3 4" xfId="16513"/>
    <cellStyle name="40% - 강조색4 4 3 3 3 5" xfId="16514"/>
    <cellStyle name="40% - 강조색4 4 3 3 4" xfId="16515"/>
    <cellStyle name="40% - 강조색4 4 3 3 4 2" xfId="16516"/>
    <cellStyle name="40% - 강조색4 4 3 3 4 2 2" xfId="16517"/>
    <cellStyle name="40% - 강조색4 4 3 3 4 2 3" xfId="16518"/>
    <cellStyle name="40% - 강조색4 4 3 3 4 3" xfId="16519"/>
    <cellStyle name="40% - 강조색4 4 3 3 4 4" xfId="16520"/>
    <cellStyle name="40% - 강조색4 4 3 3 5" xfId="16521"/>
    <cellStyle name="40% - 강조색4 4 3 3 5 2" xfId="16522"/>
    <cellStyle name="40% - 강조색4 4 3 3 5 3" xfId="16523"/>
    <cellStyle name="40% - 강조색4 4 3 3 6" xfId="16524"/>
    <cellStyle name="40% - 강조색4 4 3 3 7" xfId="16525"/>
    <cellStyle name="40% - 강조색4 4 3 4" xfId="16526"/>
    <cellStyle name="40% - 강조색4 4 3 4 2" xfId="16527"/>
    <cellStyle name="40% - 강조색4 4 3 4 2 2" xfId="16528"/>
    <cellStyle name="40% - 강조색4 4 3 4 2 2 2" xfId="16529"/>
    <cellStyle name="40% - 강조색4 4 3 4 2 2 3" xfId="16530"/>
    <cellStyle name="40% - 강조색4 4 3 4 2 3" xfId="16531"/>
    <cellStyle name="40% - 강조색4 4 3 4 2 4" xfId="16532"/>
    <cellStyle name="40% - 강조색4 4 3 4 3" xfId="16533"/>
    <cellStyle name="40% - 강조색4 4 3 4 3 2" xfId="16534"/>
    <cellStyle name="40% - 강조색4 4 3 4 3 3" xfId="16535"/>
    <cellStyle name="40% - 강조색4 4 3 4 4" xfId="16536"/>
    <cellStyle name="40% - 강조색4 4 3 4 5" xfId="16537"/>
    <cellStyle name="40% - 강조색4 4 3 5" xfId="16538"/>
    <cellStyle name="40% - 강조색4 4 3 5 2" xfId="16539"/>
    <cellStyle name="40% - 강조색4 4 3 5 2 2" xfId="16540"/>
    <cellStyle name="40% - 강조색4 4 3 5 2 2 2" xfId="16541"/>
    <cellStyle name="40% - 강조색4 4 3 5 2 2 3" xfId="16542"/>
    <cellStyle name="40% - 강조색4 4 3 5 2 3" xfId="16543"/>
    <cellStyle name="40% - 강조색4 4 3 5 2 4" xfId="16544"/>
    <cellStyle name="40% - 강조색4 4 3 5 3" xfId="16545"/>
    <cellStyle name="40% - 강조색4 4 3 5 3 2" xfId="16546"/>
    <cellStyle name="40% - 강조색4 4 3 5 3 3" xfId="16547"/>
    <cellStyle name="40% - 강조색4 4 3 5 4" xfId="16548"/>
    <cellStyle name="40% - 강조색4 4 3 5 5" xfId="16549"/>
    <cellStyle name="40% - 강조색4 4 3 6" xfId="16550"/>
    <cellStyle name="40% - 강조색4 4 3 6 2" xfId="16551"/>
    <cellStyle name="40% - 강조색4 4 3 6 2 2" xfId="16552"/>
    <cellStyle name="40% - 강조색4 4 3 6 2 2 2" xfId="16553"/>
    <cellStyle name="40% - 강조색4 4 3 6 2 2 3" xfId="16554"/>
    <cellStyle name="40% - 강조색4 4 3 6 2 3" xfId="16555"/>
    <cellStyle name="40% - 강조색4 4 3 6 2 4" xfId="16556"/>
    <cellStyle name="40% - 강조색4 4 3 6 3" xfId="16557"/>
    <cellStyle name="40% - 강조색4 4 3 6 3 2" xfId="16558"/>
    <cellStyle name="40% - 강조색4 4 3 6 3 3" xfId="16559"/>
    <cellStyle name="40% - 강조색4 4 3 6 4" xfId="16560"/>
    <cellStyle name="40% - 강조색4 4 3 6 5" xfId="16561"/>
    <cellStyle name="40% - 강조색4 4 3 7" xfId="16562"/>
    <cellStyle name="40% - 강조색4 4 3 7 2" xfId="16563"/>
    <cellStyle name="40% - 강조색4 4 3 7 2 2" xfId="16564"/>
    <cellStyle name="40% - 강조색4 4 3 7 2 3" xfId="16565"/>
    <cellStyle name="40% - 강조색4 4 3 7 3" xfId="16566"/>
    <cellStyle name="40% - 강조색4 4 3 7 4" xfId="16567"/>
    <cellStyle name="40% - 강조색4 4 3 8" xfId="16568"/>
    <cellStyle name="40% - 강조색4 4 3 8 2" xfId="16569"/>
    <cellStyle name="40% - 강조색4 4 3 8 3" xfId="16570"/>
    <cellStyle name="40% - 강조색4 4 3 9" xfId="16571"/>
    <cellStyle name="40% - 강조색4 4 4" xfId="16572"/>
    <cellStyle name="40% - 강조색4 4 4 10" xfId="16573"/>
    <cellStyle name="40% - 강조색4 4 4 2" xfId="16574"/>
    <cellStyle name="40% - 강조색4 4 4 2 2" xfId="16575"/>
    <cellStyle name="40% - 강조색4 4 4 2 2 2" xfId="16576"/>
    <cellStyle name="40% - 강조색4 4 4 2 2 2 2" xfId="16577"/>
    <cellStyle name="40% - 강조색4 4 4 2 2 2 2 2" xfId="16578"/>
    <cellStyle name="40% - 강조색4 4 4 2 2 2 2 3" xfId="16579"/>
    <cellStyle name="40% - 강조색4 4 4 2 2 2 3" xfId="16580"/>
    <cellStyle name="40% - 강조색4 4 4 2 2 2 4" xfId="16581"/>
    <cellStyle name="40% - 강조색4 4 4 2 2 3" xfId="16582"/>
    <cellStyle name="40% - 강조색4 4 4 2 2 3 2" xfId="16583"/>
    <cellStyle name="40% - 강조색4 4 4 2 2 3 3" xfId="16584"/>
    <cellStyle name="40% - 강조색4 4 4 2 2 4" xfId="16585"/>
    <cellStyle name="40% - 강조색4 4 4 2 2 5" xfId="16586"/>
    <cellStyle name="40% - 강조색4 4 4 2 3" xfId="16587"/>
    <cellStyle name="40% - 강조색4 4 4 2 3 2" xfId="16588"/>
    <cellStyle name="40% - 강조색4 4 4 2 3 2 2" xfId="16589"/>
    <cellStyle name="40% - 강조색4 4 4 2 3 2 2 2" xfId="16590"/>
    <cellStyle name="40% - 강조색4 4 4 2 3 2 2 3" xfId="16591"/>
    <cellStyle name="40% - 강조색4 4 4 2 3 2 3" xfId="16592"/>
    <cellStyle name="40% - 강조색4 4 4 2 3 2 4" xfId="16593"/>
    <cellStyle name="40% - 강조색4 4 4 2 3 3" xfId="16594"/>
    <cellStyle name="40% - 강조색4 4 4 2 3 3 2" xfId="16595"/>
    <cellStyle name="40% - 강조색4 4 4 2 3 3 3" xfId="16596"/>
    <cellStyle name="40% - 강조색4 4 4 2 3 4" xfId="16597"/>
    <cellStyle name="40% - 강조색4 4 4 2 3 5" xfId="16598"/>
    <cellStyle name="40% - 강조색4 4 4 2 4" xfId="16599"/>
    <cellStyle name="40% - 강조색4 4 4 2 4 2" xfId="16600"/>
    <cellStyle name="40% - 강조색4 4 4 2 4 2 2" xfId="16601"/>
    <cellStyle name="40% - 강조색4 4 4 2 4 2 3" xfId="16602"/>
    <cellStyle name="40% - 강조색4 4 4 2 4 3" xfId="16603"/>
    <cellStyle name="40% - 강조색4 4 4 2 4 4" xfId="16604"/>
    <cellStyle name="40% - 강조색4 4 4 2 5" xfId="16605"/>
    <cellStyle name="40% - 강조색4 4 4 2 5 2" xfId="16606"/>
    <cellStyle name="40% - 강조색4 4 4 2 5 3" xfId="16607"/>
    <cellStyle name="40% - 강조색4 4 4 2 6" xfId="16608"/>
    <cellStyle name="40% - 강조색4 4 4 2 7" xfId="16609"/>
    <cellStyle name="40% - 강조색4 4 4 3" xfId="16610"/>
    <cellStyle name="40% - 강조색4 4 4 3 2" xfId="16611"/>
    <cellStyle name="40% - 강조색4 4 4 3 2 2" xfId="16612"/>
    <cellStyle name="40% - 강조색4 4 4 3 2 2 2" xfId="16613"/>
    <cellStyle name="40% - 강조색4 4 4 3 2 2 2 2" xfId="16614"/>
    <cellStyle name="40% - 강조색4 4 4 3 2 2 2 3" xfId="16615"/>
    <cellStyle name="40% - 강조색4 4 4 3 2 2 3" xfId="16616"/>
    <cellStyle name="40% - 강조색4 4 4 3 2 2 4" xfId="16617"/>
    <cellStyle name="40% - 강조색4 4 4 3 2 3" xfId="16618"/>
    <cellStyle name="40% - 강조색4 4 4 3 2 3 2" xfId="16619"/>
    <cellStyle name="40% - 강조색4 4 4 3 2 3 3" xfId="16620"/>
    <cellStyle name="40% - 강조색4 4 4 3 2 4" xfId="16621"/>
    <cellStyle name="40% - 강조색4 4 4 3 2 5" xfId="16622"/>
    <cellStyle name="40% - 강조색4 4 4 3 3" xfId="16623"/>
    <cellStyle name="40% - 강조색4 4 4 3 3 2" xfId="16624"/>
    <cellStyle name="40% - 강조색4 4 4 3 3 2 2" xfId="16625"/>
    <cellStyle name="40% - 강조색4 4 4 3 3 2 2 2" xfId="16626"/>
    <cellStyle name="40% - 강조색4 4 4 3 3 2 2 3" xfId="16627"/>
    <cellStyle name="40% - 강조색4 4 4 3 3 2 3" xfId="16628"/>
    <cellStyle name="40% - 강조색4 4 4 3 3 2 4" xfId="16629"/>
    <cellStyle name="40% - 강조색4 4 4 3 3 3" xfId="16630"/>
    <cellStyle name="40% - 강조색4 4 4 3 3 3 2" xfId="16631"/>
    <cellStyle name="40% - 강조색4 4 4 3 3 3 3" xfId="16632"/>
    <cellStyle name="40% - 강조색4 4 4 3 3 4" xfId="16633"/>
    <cellStyle name="40% - 강조색4 4 4 3 3 5" xfId="16634"/>
    <cellStyle name="40% - 강조색4 4 4 3 4" xfId="16635"/>
    <cellStyle name="40% - 강조색4 4 4 3 4 2" xfId="16636"/>
    <cellStyle name="40% - 강조색4 4 4 3 4 2 2" xfId="16637"/>
    <cellStyle name="40% - 강조색4 4 4 3 4 2 3" xfId="16638"/>
    <cellStyle name="40% - 강조색4 4 4 3 4 3" xfId="16639"/>
    <cellStyle name="40% - 강조색4 4 4 3 4 4" xfId="16640"/>
    <cellStyle name="40% - 강조색4 4 4 3 5" xfId="16641"/>
    <cellStyle name="40% - 강조색4 4 4 3 5 2" xfId="16642"/>
    <cellStyle name="40% - 강조색4 4 4 3 5 3" xfId="16643"/>
    <cellStyle name="40% - 강조색4 4 4 3 6" xfId="16644"/>
    <cellStyle name="40% - 강조색4 4 4 3 7" xfId="16645"/>
    <cellStyle name="40% - 강조색4 4 4 4" xfId="16646"/>
    <cellStyle name="40% - 강조색4 4 4 4 2" xfId="16647"/>
    <cellStyle name="40% - 강조색4 4 4 4 2 2" xfId="16648"/>
    <cellStyle name="40% - 강조색4 4 4 4 2 2 2" xfId="16649"/>
    <cellStyle name="40% - 강조색4 4 4 4 2 2 3" xfId="16650"/>
    <cellStyle name="40% - 강조색4 4 4 4 2 3" xfId="16651"/>
    <cellStyle name="40% - 강조색4 4 4 4 2 4" xfId="16652"/>
    <cellStyle name="40% - 강조색4 4 4 4 3" xfId="16653"/>
    <cellStyle name="40% - 강조색4 4 4 4 3 2" xfId="16654"/>
    <cellStyle name="40% - 강조색4 4 4 4 3 3" xfId="16655"/>
    <cellStyle name="40% - 강조색4 4 4 4 4" xfId="16656"/>
    <cellStyle name="40% - 강조색4 4 4 4 5" xfId="16657"/>
    <cellStyle name="40% - 강조색4 4 4 5" xfId="16658"/>
    <cellStyle name="40% - 강조색4 4 4 5 2" xfId="16659"/>
    <cellStyle name="40% - 강조색4 4 4 5 2 2" xfId="16660"/>
    <cellStyle name="40% - 강조색4 4 4 5 2 2 2" xfId="16661"/>
    <cellStyle name="40% - 강조색4 4 4 5 2 2 3" xfId="16662"/>
    <cellStyle name="40% - 강조색4 4 4 5 2 3" xfId="16663"/>
    <cellStyle name="40% - 강조색4 4 4 5 2 4" xfId="16664"/>
    <cellStyle name="40% - 강조색4 4 4 5 3" xfId="16665"/>
    <cellStyle name="40% - 강조색4 4 4 5 3 2" xfId="16666"/>
    <cellStyle name="40% - 강조색4 4 4 5 3 3" xfId="16667"/>
    <cellStyle name="40% - 강조색4 4 4 5 4" xfId="16668"/>
    <cellStyle name="40% - 강조색4 4 4 5 5" xfId="16669"/>
    <cellStyle name="40% - 강조색4 4 4 6" xfId="16670"/>
    <cellStyle name="40% - 강조색4 4 4 6 2" xfId="16671"/>
    <cellStyle name="40% - 강조색4 4 4 6 2 2" xfId="16672"/>
    <cellStyle name="40% - 강조색4 4 4 6 2 2 2" xfId="16673"/>
    <cellStyle name="40% - 강조색4 4 4 6 2 2 3" xfId="16674"/>
    <cellStyle name="40% - 강조색4 4 4 6 2 3" xfId="16675"/>
    <cellStyle name="40% - 강조색4 4 4 6 2 4" xfId="16676"/>
    <cellStyle name="40% - 강조색4 4 4 6 3" xfId="16677"/>
    <cellStyle name="40% - 강조색4 4 4 6 3 2" xfId="16678"/>
    <cellStyle name="40% - 강조색4 4 4 6 3 3" xfId="16679"/>
    <cellStyle name="40% - 강조색4 4 4 6 4" xfId="16680"/>
    <cellStyle name="40% - 강조색4 4 4 6 5" xfId="16681"/>
    <cellStyle name="40% - 강조색4 4 4 7" xfId="16682"/>
    <cellStyle name="40% - 강조색4 4 4 7 2" xfId="16683"/>
    <cellStyle name="40% - 강조색4 4 4 7 2 2" xfId="16684"/>
    <cellStyle name="40% - 강조색4 4 4 7 2 3" xfId="16685"/>
    <cellStyle name="40% - 강조색4 4 4 7 3" xfId="16686"/>
    <cellStyle name="40% - 강조색4 4 4 7 4" xfId="16687"/>
    <cellStyle name="40% - 강조색4 4 4 8" xfId="16688"/>
    <cellStyle name="40% - 강조색4 4 4 8 2" xfId="16689"/>
    <cellStyle name="40% - 강조색4 4 4 8 3" xfId="16690"/>
    <cellStyle name="40% - 강조색4 4 4 9" xfId="16691"/>
    <cellStyle name="40% - 강조색4 4 5" xfId="16692"/>
    <cellStyle name="40% - 강조색4 4 5 2" xfId="16693"/>
    <cellStyle name="40% - 강조색4 4 5 2 2" xfId="16694"/>
    <cellStyle name="40% - 강조색4 4 5 2 2 2" xfId="16695"/>
    <cellStyle name="40% - 강조색4 4 5 2 2 2 2" xfId="16696"/>
    <cellStyle name="40% - 강조색4 4 5 2 2 2 3" xfId="16697"/>
    <cellStyle name="40% - 강조색4 4 5 2 2 3" xfId="16698"/>
    <cellStyle name="40% - 강조색4 4 5 2 2 4" xfId="16699"/>
    <cellStyle name="40% - 강조색4 4 5 2 3" xfId="16700"/>
    <cellStyle name="40% - 강조색4 4 5 2 3 2" xfId="16701"/>
    <cellStyle name="40% - 강조색4 4 5 2 3 3" xfId="16702"/>
    <cellStyle name="40% - 강조색4 4 5 2 4" xfId="16703"/>
    <cellStyle name="40% - 강조색4 4 5 2 5" xfId="16704"/>
    <cellStyle name="40% - 강조색4 4 5 3" xfId="16705"/>
    <cellStyle name="40% - 강조색4 4 5 3 2" xfId="16706"/>
    <cellStyle name="40% - 강조색4 4 5 3 2 2" xfId="16707"/>
    <cellStyle name="40% - 강조색4 4 5 3 2 2 2" xfId="16708"/>
    <cellStyle name="40% - 강조색4 4 5 3 2 2 3" xfId="16709"/>
    <cellStyle name="40% - 강조색4 4 5 3 2 3" xfId="16710"/>
    <cellStyle name="40% - 강조색4 4 5 3 2 4" xfId="16711"/>
    <cellStyle name="40% - 강조색4 4 5 3 3" xfId="16712"/>
    <cellStyle name="40% - 강조색4 4 5 3 3 2" xfId="16713"/>
    <cellStyle name="40% - 강조색4 4 5 3 3 3" xfId="16714"/>
    <cellStyle name="40% - 강조색4 4 5 3 4" xfId="16715"/>
    <cellStyle name="40% - 강조색4 4 5 3 5" xfId="16716"/>
    <cellStyle name="40% - 강조색4 4 5 4" xfId="16717"/>
    <cellStyle name="40% - 강조색4 4 5 4 2" xfId="16718"/>
    <cellStyle name="40% - 강조색4 4 5 4 2 2" xfId="16719"/>
    <cellStyle name="40% - 강조색4 4 5 4 2 3" xfId="16720"/>
    <cellStyle name="40% - 강조색4 4 5 4 3" xfId="16721"/>
    <cellStyle name="40% - 강조색4 4 5 4 4" xfId="16722"/>
    <cellStyle name="40% - 강조색4 4 5 5" xfId="16723"/>
    <cellStyle name="40% - 강조색4 4 5 5 2" xfId="16724"/>
    <cellStyle name="40% - 강조색4 4 5 5 3" xfId="16725"/>
    <cellStyle name="40% - 강조색4 4 5 6" xfId="16726"/>
    <cellStyle name="40% - 강조색4 4 5 7" xfId="16727"/>
    <cellStyle name="40% - 강조색4 4 6" xfId="16728"/>
    <cellStyle name="40% - 강조색4 4 6 2" xfId="16729"/>
    <cellStyle name="40% - 강조색4 4 6 2 2" xfId="16730"/>
    <cellStyle name="40% - 강조색4 4 6 2 2 2" xfId="16731"/>
    <cellStyle name="40% - 강조색4 4 6 2 2 2 2" xfId="16732"/>
    <cellStyle name="40% - 강조색4 4 6 2 2 2 3" xfId="16733"/>
    <cellStyle name="40% - 강조색4 4 6 2 2 3" xfId="16734"/>
    <cellStyle name="40% - 강조색4 4 6 2 2 4" xfId="16735"/>
    <cellStyle name="40% - 강조색4 4 6 2 3" xfId="16736"/>
    <cellStyle name="40% - 강조색4 4 6 2 3 2" xfId="16737"/>
    <cellStyle name="40% - 강조색4 4 6 2 3 3" xfId="16738"/>
    <cellStyle name="40% - 강조색4 4 6 2 4" xfId="16739"/>
    <cellStyle name="40% - 강조색4 4 6 2 5" xfId="16740"/>
    <cellStyle name="40% - 강조색4 4 6 3" xfId="16741"/>
    <cellStyle name="40% - 강조색4 4 6 3 2" xfId="16742"/>
    <cellStyle name="40% - 강조색4 4 6 3 2 2" xfId="16743"/>
    <cellStyle name="40% - 강조색4 4 6 3 2 2 2" xfId="16744"/>
    <cellStyle name="40% - 강조색4 4 6 3 2 2 3" xfId="16745"/>
    <cellStyle name="40% - 강조색4 4 6 3 2 3" xfId="16746"/>
    <cellStyle name="40% - 강조색4 4 6 3 2 4" xfId="16747"/>
    <cellStyle name="40% - 강조색4 4 6 3 3" xfId="16748"/>
    <cellStyle name="40% - 강조색4 4 6 3 3 2" xfId="16749"/>
    <cellStyle name="40% - 강조색4 4 6 3 3 3" xfId="16750"/>
    <cellStyle name="40% - 강조색4 4 6 3 4" xfId="16751"/>
    <cellStyle name="40% - 강조색4 4 6 3 5" xfId="16752"/>
    <cellStyle name="40% - 강조색4 4 6 4" xfId="16753"/>
    <cellStyle name="40% - 강조색4 4 6 4 2" xfId="16754"/>
    <cellStyle name="40% - 강조색4 4 6 4 2 2" xfId="16755"/>
    <cellStyle name="40% - 강조색4 4 6 4 2 3" xfId="16756"/>
    <cellStyle name="40% - 강조색4 4 6 4 3" xfId="16757"/>
    <cellStyle name="40% - 강조색4 4 6 4 4" xfId="16758"/>
    <cellStyle name="40% - 강조색4 4 6 5" xfId="16759"/>
    <cellStyle name="40% - 강조색4 4 6 5 2" xfId="16760"/>
    <cellStyle name="40% - 강조색4 4 6 5 3" xfId="16761"/>
    <cellStyle name="40% - 강조색4 4 6 6" xfId="16762"/>
    <cellStyle name="40% - 강조색4 4 6 7" xfId="16763"/>
    <cellStyle name="40% - 강조색4 4 7" xfId="16764"/>
    <cellStyle name="40% - 강조색4 4 7 2" xfId="16765"/>
    <cellStyle name="40% - 강조색4 4 7 2 2" xfId="16766"/>
    <cellStyle name="40% - 강조색4 4 7 2 2 2" xfId="16767"/>
    <cellStyle name="40% - 강조색4 4 7 2 2 3" xfId="16768"/>
    <cellStyle name="40% - 강조색4 4 7 2 3" xfId="16769"/>
    <cellStyle name="40% - 강조색4 4 7 2 4" xfId="16770"/>
    <cellStyle name="40% - 강조색4 4 7 3" xfId="16771"/>
    <cellStyle name="40% - 강조색4 4 7 3 2" xfId="16772"/>
    <cellStyle name="40% - 강조색4 4 7 3 3" xfId="16773"/>
    <cellStyle name="40% - 강조색4 4 7 4" xfId="16774"/>
    <cellStyle name="40% - 강조색4 4 7 5" xfId="16775"/>
    <cellStyle name="40% - 강조색4 4 8" xfId="16776"/>
    <cellStyle name="40% - 강조색4 4 8 2" xfId="16777"/>
    <cellStyle name="40% - 강조색4 4 8 2 2" xfId="16778"/>
    <cellStyle name="40% - 강조색4 4 8 2 2 2" xfId="16779"/>
    <cellStyle name="40% - 강조색4 4 8 2 2 3" xfId="16780"/>
    <cellStyle name="40% - 강조색4 4 8 2 3" xfId="16781"/>
    <cellStyle name="40% - 강조색4 4 8 2 4" xfId="16782"/>
    <cellStyle name="40% - 강조색4 4 8 3" xfId="16783"/>
    <cellStyle name="40% - 강조색4 4 8 3 2" xfId="16784"/>
    <cellStyle name="40% - 강조색4 4 8 3 3" xfId="16785"/>
    <cellStyle name="40% - 강조색4 4 8 4" xfId="16786"/>
    <cellStyle name="40% - 강조색4 4 8 5" xfId="16787"/>
    <cellStyle name="40% - 강조색4 4 9" xfId="16788"/>
    <cellStyle name="40% - 강조색4 4 9 2" xfId="16789"/>
    <cellStyle name="40% - 강조색4 4 9 2 2" xfId="16790"/>
    <cellStyle name="40% - 강조색4 4 9 2 2 2" xfId="16791"/>
    <cellStyle name="40% - 강조색4 4 9 2 2 3" xfId="16792"/>
    <cellStyle name="40% - 강조색4 4 9 2 3" xfId="16793"/>
    <cellStyle name="40% - 강조색4 4 9 2 4" xfId="16794"/>
    <cellStyle name="40% - 강조색4 4 9 3" xfId="16795"/>
    <cellStyle name="40% - 강조색4 4 9 3 2" xfId="16796"/>
    <cellStyle name="40% - 강조색4 4 9 3 3" xfId="16797"/>
    <cellStyle name="40% - 강조색4 4 9 4" xfId="16798"/>
    <cellStyle name="40% - 강조색4 4 9 5" xfId="16799"/>
    <cellStyle name="40% - 강조색4 40" xfId="16800"/>
    <cellStyle name="40% - 강조색4 41" xfId="16801"/>
    <cellStyle name="40% - 강조색4 42" xfId="16802"/>
    <cellStyle name="40% - 강조색4 43" xfId="16803"/>
    <cellStyle name="40% - 강조색4 44" xfId="16804"/>
    <cellStyle name="40% - 강조색4 45" xfId="16805"/>
    <cellStyle name="40% - 강조색4 46" xfId="16806"/>
    <cellStyle name="40% - 강조색4 47" xfId="16807"/>
    <cellStyle name="40% - 강조색4 48" xfId="16808"/>
    <cellStyle name="40% - 강조색4 49" xfId="16809"/>
    <cellStyle name="40% - 강조색4 5" xfId="16810"/>
    <cellStyle name="40% - 강조색4 5 10" xfId="16811"/>
    <cellStyle name="40% - 강조색4 5 11" xfId="16812"/>
    <cellStyle name="40% - 강조색4 5 2" xfId="16813"/>
    <cellStyle name="40% - 강조색4 5 2 2" xfId="16814"/>
    <cellStyle name="40% - 강조색4 5 2 2 2" xfId="16815"/>
    <cellStyle name="40% - 강조색4 5 2 2 2 2" xfId="16816"/>
    <cellStyle name="40% - 강조색4 5 2 2 2 2 2" xfId="16817"/>
    <cellStyle name="40% - 강조색4 5 2 2 2 2 3" xfId="16818"/>
    <cellStyle name="40% - 강조색4 5 2 2 2 3" xfId="16819"/>
    <cellStyle name="40% - 강조색4 5 2 2 2 4" xfId="16820"/>
    <cellStyle name="40% - 강조색4 5 2 2 3" xfId="16821"/>
    <cellStyle name="40% - 강조색4 5 2 2 3 2" xfId="16822"/>
    <cellStyle name="40% - 강조색4 5 2 2 3 3" xfId="16823"/>
    <cellStyle name="40% - 강조색4 5 2 2 4" xfId="16824"/>
    <cellStyle name="40% - 강조색4 5 2 2 5" xfId="16825"/>
    <cellStyle name="40% - 강조색4 5 2 3" xfId="16826"/>
    <cellStyle name="40% - 강조색4 5 2 3 2" xfId="16827"/>
    <cellStyle name="40% - 강조색4 5 2 3 2 2" xfId="16828"/>
    <cellStyle name="40% - 강조색4 5 2 3 2 2 2" xfId="16829"/>
    <cellStyle name="40% - 강조색4 5 2 3 2 2 3" xfId="16830"/>
    <cellStyle name="40% - 강조색4 5 2 3 2 3" xfId="16831"/>
    <cellStyle name="40% - 강조색4 5 2 3 2 4" xfId="16832"/>
    <cellStyle name="40% - 강조색4 5 2 3 3" xfId="16833"/>
    <cellStyle name="40% - 강조색4 5 2 3 3 2" xfId="16834"/>
    <cellStyle name="40% - 강조색4 5 2 3 3 3" xfId="16835"/>
    <cellStyle name="40% - 강조색4 5 2 3 4" xfId="16836"/>
    <cellStyle name="40% - 강조색4 5 2 3 5" xfId="16837"/>
    <cellStyle name="40% - 강조색4 5 2 4" xfId="16838"/>
    <cellStyle name="40% - 강조색4 5 2 4 2" xfId="16839"/>
    <cellStyle name="40% - 강조색4 5 2 4 2 2" xfId="16840"/>
    <cellStyle name="40% - 강조색4 5 2 4 2 3" xfId="16841"/>
    <cellStyle name="40% - 강조색4 5 2 4 3" xfId="16842"/>
    <cellStyle name="40% - 강조색4 5 2 4 4" xfId="16843"/>
    <cellStyle name="40% - 강조색4 5 2 5" xfId="16844"/>
    <cellStyle name="40% - 강조색4 5 2 5 2" xfId="16845"/>
    <cellStyle name="40% - 강조색4 5 2 5 3" xfId="16846"/>
    <cellStyle name="40% - 강조색4 5 2 6" xfId="16847"/>
    <cellStyle name="40% - 강조색4 5 2 7" xfId="16848"/>
    <cellStyle name="40% - 강조색4 5 3" xfId="16849"/>
    <cellStyle name="40% - 강조색4 5 3 2" xfId="16850"/>
    <cellStyle name="40% - 강조색4 5 3 2 2" xfId="16851"/>
    <cellStyle name="40% - 강조색4 5 3 2 2 2" xfId="16852"/>
    <cellStyle name="40% - 강조색4 5 3 2 2 2 2" xfId="16853"/>
    <cellStyle name="40% - 강조색4 5 3 2 2 2 3" xfId="16854"/>
    <cellStyle name="40% - 강조색4 5 3 2 2 3" xfId="16855"/>
    <cellStyle name="40% - 강조색4 5 3 2 2 4" xfId="16856"/>
    <cellStyle name="40% - 강조색4 5 3 2 3" xfId="16857"/>
    <cellStyle name="40% - 강조색4 5 3 2 3 2" xfId="16858"/>
    <cellStyle name="40% - 강조색4 5 3 2 3 3" xfId="16859"/>
    <cellStyle name="40% - 강조색4 5 3 2 4" xfId="16860"/>
    <cellStyle name="40% - 강조색4 5 3 2 5" xfId="16861"/>
    <cellStyle name="40% - 강조색4 5 3 3" xfId="16862"/>
    <cellStyle name="40% - 강조색4 5 3 3 2" xfId="16863"/>
    <cellStyle name="40% - 강조색4 5 3 3 2 2" xfId="16864"/>
    <cellStyle name="40% - 강조색4 5 3 3 2 2 2" xfId="16865"/>
    <cellStyle name="40% - 강조색4 5 3 3 2 2 3" xfId="16866"/>
    <cellStyle name="40% - 강조색4 5 3 3 2 3" xfId="16867"/>
    <cellStyle name="40% - 강조색4 5 3 3 2 4" xfId="16868"/>
    <cellStyle name="40% - 강조색4 5 3 3 3" xfId="16869"/>
    <cellStyle name="40% - 강조색4 5 3 3 3 2" xfId="16870"/>
    <cellStyle name="40% - 강조색4 5 3 3 3 3" xfId="16871"/>
    <cellStyle name="40% - 강조색4 5 3 3 4" xfId="16872"/>
    <cellStyle name="40% - 강조색4 5 3 3 5" xfId="16873"/>
    <cellStyle name="40% - 강조색4 5 3 4" xfId="16874"/>
    <cellStyle name="40% - 강조색4 5 3 4 2" xfId="16875"/>
    <cellStyle name="40% - 강조색4 5 3 4 2 2" xfId="16876"/>
    <cellStyle name="40% - 강조색4 5 3 4 2 3" xfId="16877"/>
    <cellStyle name="40% - 강조색4 5 3 4 3" xfId="16878"/>
    <cellStyle name="40% - 강조색4 5 3 4 4" xfId="16879"/>
    <cellStyle name="40% - 강조색4 5 3 5" xfId="16880"/>
    <cellStyle name="40% - 강조색4 5 3 5 2" xfId="16881"/>
    <cellStyle name="40% - 강조색4 5 3 5 3" xfId="16882"/>
    <cellStyle name="40% - 강조색4 5 3 6" xfId="16883"/>
    <cellStyle name="40% - 강조색4 5 3 7" xfId="16884"/>
    <cellStyle name="40% - 강조색4 5 4" xfId="16885"/>
    <cellStyle name="40% - 강조색4 5 4 2" xfId="16886"/>
    <cellStyle name="40% - 강조색4 5 4 2 2" xfId="16887"/>
    <cellStyle name="40% - 강조색4 5 4 2 2 2" xfId="16888"/>
    <cellStyle name="40% - 강조색4 5 4 2 2 3" xfId="16889"/>
    <cellStyle name="40% - 강조색4 5 4 2 3" xfId="16890"/>
    <cellStyle name="40% - 강조색4 5 4 2 4" xfId="16891"/>
    <cellStyle name="40% - 강조색4 5 4 3" xfId="16892"/>
    <cellStyle name="40% - 강조색4 5 4 3 2" xfId="16893"/>
    <cellStyle name="40% - 강조색4 5 4 3 3" xfId="16894"/>
    <cellStyle name="40% - 강조색4 5 4 4" xfId="16895"/>
    <cellStyle name="40% - 강조색4 5 4 5" xfId="16896"/>
    <cellStyle name="40% - 강조색4 5 5" xfId="16897"/>
    <cellStyle name="40% - 강조색4 5 5 2" xfId="16898"/>
    <cellStyle name="40% - 강조색4 5 5 2 2" xfId="16899"/>
    <cellStyle name="40% - 강조색4 5 5 2 2 2" xfId="16900"/>
    <cellStyle name="40% - 강조색4 5 5 2 2 3" xfId="16901"/>
    <cellStyle name="40% - 강조색4 5 5 2 3" xfId="16902"/>
    <cellStyle name="40% - 강조색4 5 5 2 4" xfId="16903"/>
    <cellStyle name="40% - 강조색4 5 5 3" xfId="16904"/>
    <cellStyle name="40% - 강조색4 5 5 3 2" xfId="16905"/>
    <cellStyle name="40% - 강조색4 5 5 3 3" xfId="16906"/>
    <cellStyle name="40% - 강조색4 5 5 4" xfId="16907"/>
    <cellStyle name="40% - 강조색4 5 5 5" xfId="16908"/>
    <cellStyle name="40% - 강조색4 5 6" xfId="16909"/>
    <cellStyle name="40% - 강조색4 5 6 2" xfId="16910"/>
    <cellStyle name="40% - 강조색4 5 6 2 2" xfId="16911"/>
    <cellStyle name="40% - 강조색4 5 6 2 2 2" xfId="16912"/>
    <cellStyle name="40% - 강조색4 5 6 2 2 3" xfId="16913"/>
    <cellStyle name="40% - 강조색4 5 6 2 3" xfId="16914"/>
    <cellStyle name="40% - 강조색4 5 6 2 4" xfId="16915"/>
    <cellStyle name="40% - 강조색4 5 6 3" xfId="16916"/>
    <cellStyle name="40% - 강조색4 5 6 3 2" xfId="16917"/>
    <cellStyle name="40% - 강조색4 5 6 3 3" xfId="16918"/>
    <cellStyle name="40% - 강조색4 5 6 4" xfId="16919"/>
    <cellStyle name="40% - 강조색4 5 6 5" xfId="16920"/>
    <cellStyle name="40% - 강조색4 5 7" xfId="16921"/>
    <cellStyle name="40% - 강조색4 5 7 2" xfId="16922"/>
    <cellStyle name="40% - 강조색4 5 7 2 2" xfId="16923"/>
    <cellStyle name="40% - 강조색4 5 7 2 3" xfId="16924"/>
    <cellStyle name="40% - 강조색4 5 7 3" xfId="16925"/>
    <cellStyle name="40% - 강조색4 5 7 4" xfId="16926"/>
    <cellStyle name="40% - 강조색4 5 8" xfId="16927"/>
    <cellStyle name="40% - 강조색4 5 8 2" xfId="16928"/>
    <cellStyle name="40% - 강조색4 5 8 3" xfId="16929"/>
    <cellStyle name="40% - 강조색4 5 9" xfId="16930"/>
    <cellStyle name="40% - 강조색4 50" xfId="16931"/>
    <cellStyle name="40% - 강조색4 51" xfId="16932"/>
    <cellStyle name="40% - 강조색4 52" xfId="16933"/>
    <cellStyle name="40% - 강조색4 53" xfId="16934"/>
    <cellStyle name="40% - 강조색4 54" xfId="16935"/>
    <cellStyle name="40% - 강조색4 55" xfId="16936"/>
    <cellStyle name="40% - 강조색4 56" xfId="16937"/>
    <cellStyle name="40% - 강조색4 57" xfId="16938"/>
    <cellStyle name="40% - 강조색4 58" xfId="16939"/>
    <cellStyle name="40% - 강조색4 59" xfId="16940"/>
    <cellStyle name="40% - 강조색4 6" xfId="16941"/>
    <cellStyle name="40% - 강조색4 6 10" xfId="16942"/>
    <cellStyle name="40% - 강조색4 6 2" xfId="16943"/>
    <cellStyle name="40% - 강조색4 6 2 2" xfId="16944"/>
    <cellStyle name="40% - 강조색4 6 2 2 2" xfId="16945"/>
    <cellStyle name="40% - 강조색4 6 2 2 2 2" xfId="16946"/>
    <cellStyle name="40% - 강조색4 6 2 2 2 2 2" xfId="16947"/>
    <cellStyle name="40% - 강조색4 6 2 2 2 2 3" xfId="16948"/>
    <cellStyle name="40% - 강조색4 6 2 2 2 3" xfId="16949"/>
    <cellStyle name="40% - 강조색4 6 2 2 2 4" xfId="16950"/>
    <cellStyle name="40% - 강조색4 6 2 2 3" xfId="16951"/>
    <cellStyle name="40% - 강조색4 6 2 2 3 2" xfId="16952"/>
    <cellStyle name="40% - 강조색4 6 2 2 3 3" xfId="16953"/>
    <cellStyle name="40% - 강조색4 6 2 2 4" xfId="16954"/>
    <cellStyle name="40% - 강조색4 6 2 2 5" xfId="16955"/>
    <cellStyle name="40% - 강조색4 6 2 3" xfId="16956"/>
    <cellStyle name="40% - 강조색4 6 2 3 2" xfId="16957"/>
    <cellStyle name="40% - 강조색4 6 2 3 2 2" xfId="16958"/>
    <cellStyle name="40% - 강조색4 6 2 3 2 2 2" xfId="16959"/>
    <cellStyle name="40% - 강조색4 6 2 3 2 2 3" xfId="16960"/>
    <cellStyle name="40% - 강조색4 6 2 3 2 3" xfId="16961"/>
    <cellStyle name="40% - 강조색4 6 2 3 2 4" xfId="16962"/>
    <cellStyle name="40% - 강조색4 6 2 3 3" xfId="16963"/>
    <cellStyle name="40% - 강조색4 6 2 3 3 2" xfId="16964"/>
    <cellStyle name="40% - 강조색4 6 2 3 3 3" xfId="16965"/>
    <cellStyle name="40% - 강조색4 6 2 3 4" xfId="16966"/>
    <cellStyle name="40% - 강조색4 6 2 3 5" xfId="16967"/>
    <cellStyle name="40% - 강조색4 6 2 4" xfId="16968"/>
    <cellStyle name="40% - 강조색4 6 2 4 2" xfId="16969"/>
    <cellStyle name="40% - 강조색4 6 2 4 2 2" xfId="16970"/>
    <cellStyle name="40% - 강조색4 6 2 4 2 3" xfId="16971"/>
    <cellStyle name="40% - 강조색4 6 2 4 3" xfId="16972"/>
    <cellStyle name="40% - 강조색4 6 2 4 4" xfId="16973"/>
    <cellStyle name="40% - 강조색4 6 2 5" xfId="16974"/>
    <cellStyle name="40% - 강조색4 6 2 5 2" xfId="16975"/>
    <cellStyle name="40% - 강조색4 6 2 5 3" xfId="16976"/>
    <cellStyle name="40% - 강조색4 6 2 6" xfId="16977"/>
    <cellStyle name="40% - 강조색4 6 2 7" xfId="16978"/>
    <cellStyle name="40% - 강조색4 6 3" xfId="16979"/>
    <cellStyle name="40% - 강조색4 6 3 2" xfId="16980"/>
    <cellStyle name="40% - 강조색4 6 3 2 2" xfId="16981"/>
    <cellStyle name="40% - 강조색4 6 3 2 2 2" xfId="16982"/>
    <cellStyle name="40% - 강조색4 6 3 2 2 2 2" xfId="16983"/>
    <cellStyle name="40% - 강조색4 6 3 2 2 2 3" xfId="16984"/>
    <cellStyle name="40% - 강조색4 6 3 2 2 3" xfId="16985"/>
    <cellStyle name="40% - 강조색4 6 3 2 2 4" xfId="16986"/>
    <cellStyle name="40% - 강조색4 6 3 2 3" xfId="16987"/>
    <cellStyle name="40% - 강조색4 6 3 2 3 2" xfId="16988"/>
    <cellStyle name="40% - 강조색4 6 3 2 3 3" xfId="16989"/>
    <cellStyle name="40% - 강조색4 6 3 2 4" xfId="16990"/>
    <cellStyle name="40% - 강조색4 6 3 2 5" xfId="16991"/>
    <cellStyle name="40% - 강조색4 6 3 3" xfId="16992"/>
    <cellStyle name="40% - 강조색4 6 3 3 2" xfId="16993"/>
    <cellStyle name="40% - 강조색4 6 3 3 2 2" xfId="16994"/>
    <cellStyle name="40% - 강조색4 6 3 3 2 2 2" xfId="16995"/>
    <cellStyle name="40% - 강조색4 6 3 3 2 2 3" xfId="16996"/>
    <cellStyle name="40% - 강조색4 6 3 3 2 3" xfId="16997"/>
    <cellStyle name="40% - 강조색4 6 3 3 2 4" xfId="16998"/>
    <cellStyle name="40% - 강조색4 6 3 3 3" xfId="16999"/>
    <cellStyle name="40% - 강조색4 6 3 3 3 2" xfId="17000"/>
    <cellStyle name="40% - 강조색4 6 3 3 3 3" xfId="17001"/>
    <cellStyle name="40% - 강조색4 6 3 3 4" xfId="17002"/>
    <cellStyle name="40% - 강조색4 6 3 3 5" xfId="17003"/>
    <cellStyle name="40% - 강조색4 6 3 4" xfId="17004"/>
    <cellStyle name="40% - 강조색4 6 3 4 2" xfId="17005"/>
    <cellStyle name="40% - 강조색4 6 3 4 2 2" xfId="17006"/>
    <cellStyle name="40% - 강조색4 6 3 4 2 3" xfId="17007"/>
    <cellStyle name="40% - 강조색4 6 3 4 3" xfId="17008"/>
    <cellStyle name="40% - 강조색4 6 3 4 4" xfId="17009"/>
    <cellStyle name="40% - 강조색4 6 3 5" xfId="17010"/>
    <cellStyle name="40% - 강조색4 6 3 5 2" xfId="17011"/>
    <cellStyle name="40% - 강조색4 6 3 5 3" xfId="17012"/>
    <cellStyle name="40% - 강조색4 6 3 6" xfId="17013"/>
    <cellStyle name="40% - 강조색4 6 3 7" xfId="17014"/>
    <cellStyle name="40% - 강조색4 6 4" xfId="17015"/>
    <cellStyle name="40% - 강조색4 6 4 2" xfId="17016"/>
    <cellStyle name="40% - 강조색4 6 4 2 2" xfId="17017"/>
    <cellStyle name="40% - 강조색4 6 4 2 2 2" xfId="17018"/>
    <cellStyle name="40% - 강조색4 6 4 2 2 3" xfId="17019"/>
    <cellStyle name="40% - 강조색4 6 4 2 3" xfId="17020"/>
    <cellStyle name="40% - 강조색4 6 4 2 4" xfId="17021"/>
    <cellStyle name="40% - 강조색4 6 4 3" xfId="17022"/>
    <cellStyle name="40% - 강조색4 6 4 3 2" xfId="17023"/>
    <cellStyle name="40% - 강조색4 6 4 3 3" xfId="17024"/>
    <cellStyle name="40% - 강조색4 6 4 4" xfId="17025"/>
    <cellStyle name="40% - 강조색4 6 4 5" xfId="17026"/>
    <cellStyle name="40% - 강조색4 6 5" xfId="17027"/>
    <cellStyle name="40% - 강조색4 6 5 2" xfId="17028"/>
    <cellStyle name="40% - 강조색4 6 5 2 2" xfId="17029"/>
    <cellStyle name="40% - 강조색4 6 5 2 2 2" xfId="17030"/>
    <cellStyle name="40% - 강조색4 6 5 2 2 3" xfId="17031"/>
    <cellStyle name="40% - 강조색4 6 5 2 3" xfId="17032"/>
    <cellStyle name="40% - 강조색4 6 5 2 4" xfId="17033"/>
    <cellStyle name="40% - 강조색4 6 5 3" xfId="17034"/>
    <cellStyle name="40% - 강조색4 6 5 3 2" xfId="17035"/>
    <cellStyle name="40% - 강조색4 6 5 3 3" xfId="17036"/>
    <cellStyle name="40% - 강조색4 6 5 4" xfId="17037"/>
    <cellStyle name="40% - 강조색4 6 5 5" xfId="17038"/>
    <cellStyle name="40% - 강조색4 6 6" xfId="17039"/>
    <cellStyle name="40% - 강조색4 6 6 2" xfId="17040"/>
    <cellStyle name="40% - 강조색4 6 6 2 2" xfId="17041"/>
    <cellStyle name="40% - 강조색4 6 6 2 2 2" xfId="17042"/>
    <cellStyle name="40% - 강조색4 6 6 2 2 3" xfId="17043"/>
    <cellStyle name="40% - 강조색4 6 6 2 3" xfId="17044"/>
    <cellStyle name="40% - 강조색4 6 6 2 4" xfId="17045"/>
    <cellStyle name="40% - 강조색4 6 6 3" xfId="17046"/>
    <cellStyle name="40% - 강조색4 6 6 3 2" xfId="17047"/>
    <cellStyle name="40% - 강조색4 6 6 3 3" xfId="17048"/>
    <cellStyle name="40% - 강조색4 6 6 4" xfId="17049"/>
    <cellStyle name="40% - 강조색4 6 6 5" xfId="17050"/>
    <cellStyle name="40% - 강조색4 6 7" xfId="17051"/>
    <cellStyle name="40% - 강조색4 6 7 2" xfId="17052"/>
    <cellStyle name="40% - 강조색4 6 7 2 2" xfId="17053"/>
    <cellStyle name="40% - 강조색4 6 7 2 3" xfId="17054"/>
    <cellStyle name="40% - 강조색4 6 7 3" xfId="17055"/>
    <cellStyle name="40% - 강조색4 6 7 4" xfId="17056"/>
    <cellStyle name="40% - 강조색4 6 8" xfId="17057"/>
    <cellStyle name="40% - 강조색4 6 8 2" xfId="17058"/>
    <cellStyle name="40% - 강조색4 6 8 3" xfId="17059"/>
    <cellStyle name="40% - 강조색4 6 9" xfId="17060"/>
    <cellStyle name="40% - 강조색4 60" xfId="17061"/>
    <cellStyle name="40% - 강조색4 61" xfId="17062"/>
    <cellStyle name="40% - 강조색4 62" xfId="17063"/>
    <cellStyle name="40% - 강조색4 63" xfId="17064"/>
    <cellStyle name="40% - 강조색4 64" xfId="17065"/>
    <cellStyle name="40% - 강조색4 65" xfId="17066"/>
    <cellStyle name="40% - 강조색4 66" xfId="17067"/>
    <cellStyle name="40% - 강조색4 67" xfId="17068"/>
    <cellStyle name="40% - 강조색4 68" xfId="17069"/>
    <cellStyle name="40% - 강조색4 69" xfId="17070"/>
    <cellStyle name="40% - 강조색4 7" xfId="17071"/>
    <cellStyle name="40% - 강조색4 7 10" xfId="17072"/>
    <cellStyle name="40% - 강조색4 7 2" xfId="17073"/>
    <cellStyle name="40% - 강조색4 7 2 2" xfId="17074"/>
    <cellStyle name="40% - 강조색4 7 2 2 2" xfId="17075"/>
    <cellStyle name="40% - 강조색4 7 2 2 2 2" xfId="17076"/>
    <cellStyle name="40% - 강조색4 7 2 2 2 2 2" xfId="17077"/>
    <cellStyle name="40% - 강조색4 7 2 2 2 2 3" xfId="17078"/>
    <cellStyle name="40% - 강조색4 7 2 2 2 3" xfId="17079"/>
    <cellStyle name="40% - 강조색4 7 2 2 2 4" xfId="17080"/>
    <cellStyle name="40% - 강조색4 7 2 2 3" xfId="17081"/>
    <cellStyle name="40% - 강조색4 7 2 2 3 2" xfId="17082"/>
    <cellStyle name="40% - 강조색4 7 2 2 3 3" xfId="17083"/>
    <cellStyle name="40% - 강조색4 7 2 2 4" xfId="17084"/>
    <cellStyle name="40% - 강조색4 7 2 2 5" xfId="17085"/>
    <cellStyle name="40% - 강조색4 7 2 3" xfId="17086"/>
    <cellStyle name="40% - 강조색4 7 2 3 2" xfId="17087"/>
    <cellStyle name="40% - 강조색4 7 2 3 2 2" xfId="17088"/>
    <cellStyle name="40% - 강조색4 7 2 3 2 2 2" xfId="17089"/>
    <cellStyle name="40% - 강조색4 7 2 3 2 2 3" xfId="17090"/>
    <cellStyle name="40% - 강조색4 7 2 3 2 3" xfId="17091"/>
    <cellStyle name="40% - 강조색4 7 2 3 2 4" xfId="17092"/>
    <cellStyle name="40% - 강조색4 7 2 3 3" xfId="17093"/>
    <cellStyle name="40% - 강조색4 7 2 3 3 2" xfId="17094"/>
    <cellStyle name="40% - 강조색4 7 2 3 3 3" xfId="17095"/>
    <cellStyle name="40% - 강조색4 7 2 3 4" xfId="17096"/>
    <cellStyle name="40% - 강조색4 7 2 3 5" xfId="17097"/>
    <cellStyle name="40% - 강조색4 7 2 4" xfId="17098"/>
    <cellStyle name="40% - 강조색4 7 2 4 2" xfId="17099"/>
    <cellStyle name="40% - 강조색4 7 2 4 2 2" xfId="17100"/>
    <cellStyle name="40% - 강조색4 7 2 4 2 3" xfId="17101"/>
    <cellStyle name="40% - 강조색4 7 2 4 3" xfId="17102"/>
    <cellStyle name="40% - 강조색4 7 2 4 4" xfId="17103"/>
    <cellStyle name="40% - 강조색4 7 2 5" xfId="17104"/>
    <cellStyle name="40% - 강조색4 7 2 5 2" xfId="17105"/>
    <cellStyle name="40% - 강조색4 7 2 5 3" xfId="17106"/>
    <cellStyle name="40% - 강조색4 7 2 6" xfId="17107"/>
    <cellStyle name="40% - 강조색4 7 2 7" xfId="17108"/>
    <cellStyle name="40% - 강조색4 7 3" xfId="17109"/>
    <cellStyle name="40% - 강조색4 7 3 2" xfId="17110"/>
    <cellStyle name="40% - 강조색4 7 3 2 2" xfId="17111"/>
    <cellStyle name="40% - 강조색4 7 3 2 2 2" xfId="17112"/>
    <cellStyle name="40% - 강조색4 7 3 2 2 2 2" xfId="17113"/>
    <cellStyle name="40% - 강조색4 7 3 2 2 2 3" xfId="17114"/>
    <cellStyle name="40% - 강조색4 7 3 2 2 3" xfId="17115"/>
    <cellStyle name="40% - 강조색4 7 3 2 2 4" xfId="17116"/>
    <cellStyle name="40% - 강조색4 7 3 2 3" xfId="17117"/>
    <cellStyle name="40% - 강조색4 7 3 2 3 2" xfId="17118"/>
    <cellStyle name="40% - 강조색4 7 3 2 3 3" xfId="17119"/>
    <cellStyle name="40% - 강조색4 7 3 2 4" xfId="17120"/>
    <cellStyle name="40% - 강조색4 7 3 2 5" xfId="17121"/>
    <cellStyle name="40% - 강조색4 7 3 3" xfId="17122"/>
    <cellStyle name="40% - 강조색4 7 3 3 2" xfId="17123"/>
    <cellStyle name="40% - 강조색4 7 3 3 2 2" xfId="17124"/>
    <cellStyle name="40% - 강조색4 7 3 3 2 2 2" xfId="17125"/>
    <cellStyle name="40% - 강조색4 7 3 3 2 2 3" xfId="17126"/>
    <cellStyle name="40% - 강조색4 7 3 3 2 3" xfId="17127"/>
    <cellStyle name="40% - 강조색4 7 3 3 2 4" xfId="17128"/>
    <cellStyle name="40% - 강조색4 7 3 3 3" xfId="17129"/>
    <cellStyle name="40% - 강조색4 7 3 3 3 2" xfId="17130"/>
    <cellStyle name="40% - 강조색4 7 3 3 3 3" xfId="17131"/>
    <cellStyle name="40% - 강조색4 7 3 3 4" xfId="17132"/>
    <cellStyle name="40% - 강조색4 7 3 3 5" xfId="17133"/>
    <cellStyle name="40% - 강조색4 7 3 4" xfId="17134"/>
    <cellStyle name="40% - 강조색4 7 3 4 2" xfId="17135"/>
    <cellStyle name="40% - 강조색4 7 3 4 2 2" xfId="17136"/>
    <cellStyle name="40% - 강조색4 7 3 4 2 3" xfId="17137"/>
    <cellStyle name="40% - 강조색4 7 3 4 3" xfId="17138"/>
    <cellStyle name="40% - 강조색4 7 3 4 4" xfId="17139"/>
    <cellStyle name="40% - 강조색4 7 3 5" xfId="17140"/>
    <cellStyle name="40% - 강조색4 7 3 5 2" xfId="17141"/>
    <cellStyle name="40% - 강조색4 7 3 5 3" xfId="17142"/>
    <cellStyle name="40% - 강조색4 7 3 6" xfId="17143"/>
    <cellStyle name="40% - 강조색4 7 3 7" xfId="17144"/>
    <cellStyle name="40% - 강조색4 7 4" xfId="17145"/>
    <cellStyle name="40% - 강조색4 7 4 2" xfId="17146"/>
    <cellStyle name="40% - 강조색4 7 4 2 2" xfId="17147"/>
    <cellStyle name="40% - 강조색4 7 4 2 2 2" xfId="17148"/>
    <cellStyle name="40% - 강조색4 7 4 2 2 3" xfId="17149"/>
    <cellStyle name="40% - 강조색4 7 4 2 3" xfId="17150"/>
    <cellStyle name="40% - 강조색4 7 4 2 4" xfId="17151"/>
    <cellStyle name="40% - 강조색4 7 4 3" xfId="17152"/>
    <cellStyle name="40% - 강조색4 7 4 3 2" xfId="17153"/>
    <cellStyle name="40% - 강조색4 7 4 3 3" xfId="17154"/>
    <cellStyle name="40% - 강조색4 7 4 4" xfId="17155"/>
    <cellStyle name="40% - 강조색4 7 4 5" xfId="17156"/>
    <cellStyle name="40% - 강조색4 7 5" xfId="17157"/>
    <cellStyle name="40% - 강조색4 7 5 2" xfId="17158"/>
    <cellStyle name="40% - 강조색4 7 5 2 2" xfId="17159"/>
    <cellStyle name="40% - 강조색4 7 5 2 2 2" xfId="17160"/>
    <cellStyle name="40% - 강조색4 7 5 2 2 3" xfId="17161"/>
    <cellStyle name="40% - 강조색4 7 5 2 3" xfId="17162"/>
    <cellStyle name="40% - 강조색4 7 5 2 4" xfId="17163"/>
    <cellStyle name="40% - 강조색4 7 5 3" xfId="17164"/>
    <cellStyle name="40% - 강조색4 7 5 3 2" xfId="17165"/>
    <cellStyle name="40% - 강조색4 7 5 3 3" xfId="17166"/>
    <cellStyle name="40% - 강조색4 7 5 4" xfId="17167"/>
    <cellStyle name="40% - 강조색4 7 5 5" xfId="17168"/>
    <cellStyle name="40% - 강조색4 7 6" xfId="17169"/>
    <cellStyle name="40% - 강조색4 7 6 2" xfId="17170"/>
    <cellStyle name="40% - 강조색4 7 6 2 2" xfId="17171"/>
    <cellStyle name="40% - 강조색4 7 6 2 2 2" xfId="17172"/>
    <cellStyle name="40% - 강조색4 7 6 2 2 3" xfId="17173"/>
    <cellStyle name="40% - 강조색4 7 6 2 3" xfId="17174"/>
    <cellStyle name="40% - 강조색4 7 6 2 4" xfId="17175"/>
    <cellStyle name="40% - 강조색4 7 6 3" xfId="17176"/>
    <cellStyle name="40% - 강조색4 7 6 3 2" xfId="17177"/>
    <cellStyle name="40% - 강조색4 7 6 3 3" xfId="17178"/>
    <cellStyle name="40% - 강조색4 7 6 4" xfId="17179"/>
    <cellStyle name="40% - 강조색4 7 6 5" xfId="17180"/>
    <cellStyle name="40% - 강조색4 7 7" xfId="17181"/>
    <cellStyle name="40% - 강조색4 7 7 2" xfId="17182"/>
    <cellStyle name="40% - 강조색4 7 7 2 2" xfId="17183"/>
    <cellStyle name="40% - 강조색4 7 7 2 3" xfId="17184"/>
    <cellStyle name="40% - 강조색4 7 7 3" xfId="17185"/>
    <cellStyle name="40% - 강조색4 7 7 4" xfId="17186"/>
    <cellStyle name="40% - 강조색4 7 8" xfId="17187"/>
    <cellStyle name="40% - 강조색4 7 8 2" xfId="17188"/>
    <cellStyle name="40% - 강조색4 7 8 3" xfId="17189"/>
    <cellStyle name="40% - 강조색4 7 9" xfId="17190"/>
    <cellStyle name="40% - 강조색4 8" xfId="17191"/>
    <cellStyle name="40% - 강조색4 8 2" xfId="17192"/>
    <cellStyle name="40% - 강조색4 8 2 2" xfId="17193"/>
    <cellStyle name="40% - 강조색4 8 2 2 2" xfId="17194"/>
    <cellStyle name="40% - 강조색4 8 2 2 2 2" xfId="17195"/>
    <cellStyle name="40% - 강조색4 8 2 2 2 3" xfId="17196"/>
    <cellStyle name="40% - 강조색4 8 2 2 3" xfId="17197"/>
    <cellStyle name="40% - 강조색4 8 2 2 4" xfId="17198"/>
    <cellStyle name="40% - 강조색4 8 2 3" xfId="17199"/>
    <cellStyle name="40% - 강조색4 8 2 3 2" xfId="17200"/>
    <cellStyle name="40% - 강조색4 8 2 3 3" xfId="17201"/>
    <cellStyle name="40% - 강조색4 8 2 4" xfId="17202"/>
    <cellStyle name="40% - 강조색4 8 2 5" xfId="17203"/>
    <cellStyle name="40% - 강조색4 8 3" xfId="17204"/>
    <cellStyle name="40% - 강조색4 8 3 2" xfId="17205"/>
    <cellStyle name="40% - 강조색4 8 3 2 2" xfId="17206"/>
    <cellStyle name="40% - 강조색4 8 3 2 2 2" xfId="17207"/>
    <cellStyle name="40% - 강조색4 8 3 2 2 3" xfId="17208"/>
    <cellStyle name="40% - 강조색4 8 3 2 3" xfId="17209"/>
    <cellStyle name="40% - 강조색4 8 3 2 4" xfId="17210"/>
    <cellStyle name="40% - 강조색4 8 3 3" xfId="17211"/>
    <cellStyle name="40% - 강조색4 8 3 3 2" xfId="17212"/>
    <cellStyle name="40% - 강조색4 8 3 3 3" xfId="17213"/>
    <cellStyle name="40% - 강조색4 8 3 4" xfId="17214"/>
    <cellStyle name="40% - 강조색4 8 3 5" xfId="17215"/>
    <cellStyle name="40% - 강조색4 8 4" xfId="17216"/>
    <cellStyle name="40% - 강조색4 8 4 2" xfId="17217"/>
    <cellStyle name="40% - 강조색4 8 4 2 2" xfId="17218"/>
    <cellStyle name="40% - 강조색4 8 4 2 3" xfId="17219"/>
    <cellStyle name="40% - 강조색4 8 4 3" xfId="17220"/>
    <cellStyle name="40% - 강조색4 8 4 4" xfId="17221"/>
    <cellStyle name="40% - 강조색4 8 5" xfId="17222"/>
    <cellStyle name="40% - 강조색4 8 5 2" xfId="17223"/>
    <cellStyle name="40% - 강조색4 8 5 3" xfId="17224"/>
    <cellStyle name="40% - 강조색4 8 6" xfId="17225"/>
    <cellStyle name="40% - 강조색4 8 7" xfId="17226"/>
    <cellStyle name="40% - 강조색4 9" xfId="17227"/>
    <cellStyle name="40% - 강조색4 9 2" xfId="17228"/>
    <cellStyle name="40% - 강조색4 9 2 2" xfId="17229"/>
    <cellStyle name="40% - 강조색4 9 2 2 2" xfId="17230"/>
    <cellStyle name="40% - 강조색4 9 2 2 2 2" xfId="17231"/>
    <cellStyle name="40% - 강조색4 9 2 2 2 3" xfId="17232"/>
    <cellStyle name="40% - 강조색4 9 2 2 3" xfId="17233"/>
    <cellStyle name="40% - 강조색4 9 2 2 4" xfId="17234"/>
    <cellStyle name="40% - 강조색4 9 2 3" xfId="17235"/>
    <cellStyle name="40% - 강조색4 9 2 3 2" xfId="17236"/>
    <cellStyle name="40% - 강조색4 9 2 3 3" xfId="17237"/>
    <cellStyle name="40% - 강조색4 9 2 4" xfId="17238"/>
    <cellStyle name="40% - 강조색4 9 2 5" xfId="17239"/>
    <cellStyle name="40% - 강조색4 9 3" xfId="17240"/>
    <cellStyle name="40% - 강조색4 9 3 2" xfId="17241"/>
    <cellStyle name="40% - 강조색4 9 3 2 2" xfId="17242"/>
    <cellStyle name="40% - 강조색4 9 3 2 2 2" xfId="17243"/>
    <cellStyle name="40% - 강조색4 9 3 2 2 3" xfId="17244"/>
    <cellStyle name="40% - 강조색4 9 3 2 3" xfId="17245"/>
    <cellStyle name="40% - 강조색4 9 3 2 4" xfId="17246"/>
    <cellStyle name="40% - 강조색4 9 3 3" xfId="17247"/>
    <cellStyle name="40% - 강조색4 9 3 3 2" xfId="17248"/>
    <cellStyle name="40% - 강조색4 9 3 3 3" xfId="17249"/>
    <cellStyle name="40% - 강조색4 9 3 4" xfId="17250"/>
    <cellStyle name="40% - 강조색4 9 3 5" xfId="17251"/>
    <cellStyle name="40% - 강조색4 9 4" xfId="17252"/>
    <cellStyle name="40% - 강조색4 9 4 2" xfId="17253"/>
    <cellStyle name="40% - 강조색4 9 4 2 2" xfId="17254"/>
    <cellStyle name="40% - 강조색4 9 4 2 3" xfId="17255"/>
    <cellStyle name="40% - 강조색4 9 4 3" xfId="17256"/>
    <cellStyle name="40% - 강조색4 9 4 4" xfId="17257"/>
    <cellStyle name="40% - 강조색4 9 5" xfId="17258"/>
    <cellStyle name="40% - 강조색4 9 5 2" xfId="17259"/>
    <cellStyle name="40% - 강조색4 9 5 3" xfId="17260"/>
    <cellStyle name="40% - 강조색4 9 6" xfId="17261"/>
    <cellStyle name="40% - 강조색4 9 7" xfId="17262"/>
    <cellStyle name="40% - 강조색5 10" xfId="17263"/>
    <cellStyle name="40% - 강조색5 10 2" xfId="17264"/>
    <cellStyle name="40% - 강조색5 10 2 2" xfId="17265"/>
    <cellStyle name="40% - 강조색5 10 2 2 2" xfId="17266"/>
    <cellStyle name="40% - 강조색5 10 2 2 2 2" xfId="17267"/>
    <cellStyle name="40% - 강조색5 10 2 2 2 3" xfId="17268"/>
    <cellStyle name="40% - 강조색5 10 2 2 3" xfId="17269"/>
    <cellStyle name="40% - 강조색5 10 2 2 4" xfId="17270"/>
    <cellStyle name="40% - 강조색5 10 2 3" xfId="17271"/>
    <cellStyle name="40% - 강조색5 10 2 3 2" xfId="17272"/>
    <cellStyle name="40% - 강조색5 10 2 3 3" xfId="17273"/>
    <cellStyle name="40% - 강조색5 10 2 4" xfId="17274"/>
    <cellStyle name="40% - 강조색5 10 2 5" xfId="17275"/>
    <cellStyle name="40% - 강조색5 10 3" xfId="17276"/>
    <cellStyle name="40% - 강조색5 10 3 2" xfId="17277"/>
    <cellStyle name="40% - 강조색5 10 3 2 2" xfId="17278"/>
    <cellStyle name="40% - 강조색5 10 3 2 2 2" xfId="17279"/>
    <cellStyle name="40% - 강조색5 10 3 2 2 3" xfId="17280"/>
    <cellStyle name="40% - 강조색5 10 3 2 3" xfId="17281"/>
    <cellStyle name="40% - 강조색5 10 3 2 4" xfId="17282"/>
    <cellStyle name="40% - 강조색5 10 3 3" xfId="17283"/>
    <cellStyle name="40% - 강조색5 10 3 3 2" xfId="17284"/>
    <cellStyle name="40% - 강조색5 10 3 3 3" xfId="17285"/>
    <cellStyle name="40% - 강조색5 10 3 4" xfId="17286"/>
    <cellStyle name="40% - 강조색5 10 3 5" xfId="17287"/>
    <cellStyle name="40% - 강조색5 10 4" xfId="17288"/>
    <cellStyle name="40% - 강조색5 10 4 2" xfId="17289"/>
    <cellStyle name="40% - 강조색5 10 4 2 2" xfId="17290"/>
    <cellStyle name="40% - 강조색5 10 4 2 3" xfId="17291"/>
    <cellStyle name="40% - 강조색5 10 4 3" xfId="17292"/>
    <cellStyle name="40% - 강조색5 10 4 4" xfId="17293"/>
    <cellStyle name="40% - 강조색5 10 5" xfId="17294"/>
    <cellStyle name="40% - 강조색5 10 5 2" xfId="17295"/>
    <cellStyle name="40% - 강조색5 10 5 3" xfId="17296"/>
    <cellStyle name="40% - 강조색5 10 6" xfId="17297"/>
    <cellStyle name="40% - 강조색5 10 7" xfId="17298"/>
    <cellStyle name="40% - 강조색5 11" xfId="17299"/>
    <cellStyle name="40% - 강조색5 11 2" xfId="17300"/>
    <cellStyle name="40% - 강조색5 11 2 2" xfId="17301"/>
    <cellStyle name="40% - 강조색5 11 2 2 2" xfId="17302"/>
    <cellStyle name="40% - 강조색5 11 2 2 3" xfId="17303"/>
    <cellStyle name="40% - 강조색5 11 2 3" xfId="17304"/>
    <cellStyle name="40% - 강조색5 11 2 4" xfId="17305"/>
    <cellStyle name="40% - 강조색5 11 3" xfId="17306"/>
    <cellStyle name="40% - 강조색5 11 3 2" xfId="17307"/>
    <cellStyle name="40% - 강조색5 11 3 3" xfId="17308"/>
    <cellStyle name="40% - 강조색5 11 4" xfId="17309"/>
    <cellStyle name="40% - 강조색5 11 5" xfId="17310"/>
    <cellStyle name="40% - 강조색5 12" xfId="17311"/>
    <cellStyle name="40% - 강조색5 12 2" xfId="17312"/>
    <cellStyle name="40% - 강조색5 12 2 2" xfId="17313"/>
    <cellStyle name="40% - 강조색5 12 2 2 2" xfId="17314"/>
    <cellStyle name="40% - 강조색5 12 2 2 3" xfId="17315"/>
    <cellStyle name="40% - 강조색5 12 2 3" xfId="17316"/>
    <cellStyle name="40% - 강조색5 12 2 4" xfId="17317"/>
    <cellStyle name="40% - 강조색5 12 3" xfId="17318"/>
    <cellStyle name="40% - 강조색5 12 3 2" xfId="17319"/>
    <cellStyle name="40% - 강조색5 12 3 3" xfId="17320"/>
    <cellStyle name="40% - 강조색5 12 4" xfId="17321"/>
    <cellStyle name="40% - 강조색5 12 5" xfId="17322"/>
    <cellStyle name="40% - 강조색5 13" xfId="17323"/>
    <cellStyle name="40% - 강조색5 13 2" xfId="17324"/>
    <cellStyle name="40% - 강조색5 13 2 2" xfId="17325"/>
    <cellStyle name="40% - 강조색5 13 2 3" xfId="17326"/>
    <cellStyle name="40% - 강조색5 13 3" xfId="17327"/>
    <cellStyle name="40% - 강조색5 13 4" xfId="17328"/>
    <cellStyle name="40% - 강조색5 14" xfId="17329"/>
    <cellStyle name="40% - 강조색5 14 2" xfId="17330"/>
    <cellStyle name="40% - 강조색5 14 2 2" xfId="17331"/>
    <cellStyle name="40% - 강조색5 14 2 3" xfId="17332"/>
    <cellStyle name="40% - 강조색5 14 3" xfId="17333"/>
    <cellStyle name="40% - 강조색5 14 4" xfId="17334"/>
    <cellStyle name="40% - 강조색5 15" xfId="17335"/>
    <cellStyle name="40% - 강조색5 15 2" xfId="17336"/>
    <cellStyle name="40% - 강조색5 15 3" xfId="17337"/>
    <cellStyle name="40% - 강조색5 16" xfId="17338"/>
    <cellStyle name="40% - 강조색5 16 2" xfId="17339"/>
    <cellStyle name="40% - 강조색5 16 3" xfId="17340"/>
    <cellStyle name="40% - 강조색5 16 4" xfId="17341"/>
    <cellStyle name="40% - 강조색5 17" xfId="17342"/>
    <cellStyle name="40% - 강조색5 17 2" xfId="17343"/>
    <cellStyle name="40% - 강조색5 17 3" xfId="17344"/>
    <cellStyle name="40% - 강조색5 18" xfId="17345"/>
    <cellStyle name="40% - 강조색5 18 2" xfId="17346"/>
    <cellStyle name="40% - 강조색5 18 3" xfId="17347"/>
    <cellStyle name="40% - 강조색5 19" xfId="17348"/>
    <cellStyle name="40% - 강조색5 19 2" xfId="17349"/>
    <cellStyle name="40% - 강조색5 19 3" xfId="17350"/>
    <cellStyle name="40% - 강조색5 2" xfId="17351"/>
    <cellStyle name="40% - 강조색5 2 2" xfId="17352"/>
    <cellStyle name="40% - 강조색5 2 2 2" xfId="17353"/>
    <cellStyle name="40% - 강조색5 2 2 2 2" xfId="17354"/>
    <cellStyle name="40% - 강조색5 2 2 3" xfId="17355"/>
    <cellStyle name="40% - 강조색5 2 3" xfId="17356"/>
    <cellStyle name="40% - 강조색5 2 3 2" xfId="17357"/>
    <cellStyle name="40% - 강조색5 2 3 2 2" xfId="17358"/>
    <cellStyle name="40% - 강조색5 2 3 3" xfId="17359"/>
    <cellStyle name="40% - 강조색5 2 4" xfId="17360"/>
    <cellStyle name="40% - 강조색5 2 4 2" xfId="17361"/>
    <cellStyle name="40% - 강조색5 2 5" xfId="17362"/>
    <cellStyle name="40% - 강조색5 2 6" xfId="17363"/>
    <cellStyle name="40% - 강조색5 20" xfId="17364"/>
    <cellStyle name="40% - 강조색5 20 2" xfId="17365"/>
    <cellStyle name="40% - 강조색5 20 3" xfId="17366"/>
    <cellStyle name="40% - 강조색5 21" xfId="17367"/>
    <cellStyle name="40% - 강조색5 21 2" xfId="17368"/>
    <cellStyle name="40% - 강조색5 21 3" xfId="17369"/>
    <cellStyle name="40% - 강조색5 22" xfId="17370"/>
    <cellStyle name="40% - 강조색5 22 2" xfId="17371"/>
    <cellStyle name="40% - 강조색5 22 3" xfId="17372"/>
    <cellStyle name="40% - 강조색5 23" xfId="17373"/>
    <cellStyle name="40% - 강조색5 23 2" xfId="17374"/>
    <cellStyle name="40% - 강조색5 23 3" xfId="17375"/>
    <cellStyle name="40% - 강조색5 24" xfId="17376"/>
    <cellStyle name="40% - 강조색5 24 2" xfId="17377"/>
    <cellStyle name="40% - 강조색5 25" xfId="17378"/>
    <cellStyle name="40% - 강조색5 25 2" xfId="17379"/>
    <cellStyle name="40% - 강조색5 26" xfId="17380"/>
    <cellStyle name="40% - 강조색5 26 2" xfId="17381"/>
    <cellStyle name="40% - 강조색5 27" xfId="17382"/>
    <cellStyle name="40% - 강조색5 27 2" xfId="17383"/>
    <cellStyle name="40% - 강조색5 28" xfId="17384"/>
    <cellStyle name="40% - 강조색5 28 2" xfId="17385"/>
    <cellStyle name="40% - 강조색5 29" xfId="17386"/>
    <cellStyle name="40% - 강조색5 29 2" xfId="17387"/>
    <cellStyle name="40% - 강조색5 3" xfId="17388"/>
    <cellStyle name="40% - 강조색5 3 10" xfId="17389"/>
    <cellStyle name="40% - 강조색5 3 10 2" xfId="17390"/>
    <cellStyle name="40% - 강조색5 3 10 2 2" xfId="17391"/>
    <cellStyle name="40% - 강조색5 3 10 2 3" xfId="17392"/>
    <cellStyle name="40% - 강조색5 3 10 3" xfId="17393"/>
    <cellStyle name="40% - 강조색5 3 10 4" xfId="17394"/>
    <cellStyle name="40% - 강조색5 3 11" xfId="17395"/>
    <cellStyle name="40% - 강조색5 3 11 2" xfId="17396"/>
    <cellStyle name="40% - 강조색5 3 11 3" xfId="17397"/>
    <cellStyle name="40% - 강조색5 3 12" xfId="17398"/>
    <cellStyle name="40% - 강조색5 3 13" xfId="17399"/>
    <cellStyle name="40% - 강조색5 3 14" xfId="17400"/>
    <cellStyle name="40% - 강조색5 3 15" xfId="17401"/>
    <cellStyle name="40% - 강조색5 3 2" xfId="17402"/>
    <cellStyle name="40% - 강조색5 3 2 10" xfId="17403"/>
    <cellStyle name="40% - 강조색5 3 2 11" xfId="17404"/>
    <cellStyle name="40% - 강조색5 3 2 12" xfId="17405"/>
    <cellStyle name="40% - 강조색5 3 2 2" xfId="17406"/>
    <cellStyle name="40% - 강조색5 3 2 2 2" xfId="17407"/>
    <cellStyle name="40% - 강조색5 3 2 2 2 2" xfId="17408"/>
    <cellStyle name="40% - 강조색5 3 2 2 2 2 2" xfId="17409"/>
    <cellStyle name="40% - 강조색5 3 2 2 2 2 2 2" xfId="17410"/>
    <cellStyle name="40% - 강조색5 3 2 2 2 2 2 3" xfId="17411"/>
    <cellStyle name="40% - 강조색5 3 2 2 2 2 3" xfId="17412"/>
    <cellStyle name="40% - 강조색5 3 2 2 2 2 4" xfId="17413"/>
    <cellStyle name="40% - 강조색5 3 2 2 2 3" xfId="17414"/>
    <cellStyle name="40% - 강조색5 3 2 2 2 3 2" xfId="17415"/>
    <cellStyle name="40% - 강조색5 3 2 2 2 3 3" xfId="17416"/>
    <cellStyle name="40% - 강조색5 3 2 2 2 4" xfId="17417"/>
    <cellStyle name="40% - 강조색5 3 2 2 2 5" xfId="17418"/>
    <cellStyle name="40% - 강조색5 3 2 2 3" xfId="17419"/>
    <cellStyle name="40% - 강조색5 3 2 2 3 2" xfId="17420"/>
    <cellStyle name="40% - 강조색5 3 2 2 3 2 2" xfId="17421"/>
    <cellStyle name="40% - 강조색5 3 2 2 3 2 2 2" xfId="17422"/>
    <cellStyle name="40% - 강조색5 3 2 2 3 2 2 3" xfId="17423"/>
    <cellStyle name="40% - 강조색5 3 2 2 3 2 3" xfId="17424"/>
    <cellStyle name="40% - 강조색5 3 2 2 3 2 4" xfId="17425"/>
    <cellStyle name="40% - 강조색5 3 2 2 3 3" xfId="17426"/>
    <cellStyle name="40% - 강조색5 3 2 2 3 3 2" xfId="17427"/>
    <cellStyle name="40% - 강조색5 3 2 2 3 3 3" xfId="17428"/>
    <cellStyle name="40% - 강조색5 3 2 2 3 4" xfId="17429"/>
    <cellStyle name="40% - 강조색5 3 2 2 3 5" xfId="17430"/>
    <cellStyle name="40% - 강조색5 3 2 2 4" xfId="17431"/>
    <cellStyle name="40% - 강조색5 3 2 2 4 2" xfId="17432"/>
    <cellStyle name="40% - 강조색5 3 2 2 4 2 2" xfId="17433"/>
    <cellStyle name="40% - 강조색5 3 2 2 4 2 3" xfId="17434"/>
    <cellStyle name="40% - 강조색5 3 2 2 4 3" xfId="17435"/>
    <cellStyle name="40% - 강조색5 3 2 2 4 4" xfId="17436"/>
    <cellStyle name="40% - 강조색5 3 2 2 5" xfId="17437"/>
    <cellStyle name="40% - 강조색5 3 2 2 5 2" xfId="17438"/>
    <cellStyle name="40% - 강조색5 3 2 2 5 3" xfId="17439"/>
    <cellStyle name="40% - 강조색5 3 2 2 6" xfId="17440"/>
    <cellStyle name="40% - 강조색5 3 2 2 7" xfId="17441"/>
    <cellStyle name="40% - 강조색5 3 2 2 8" xfId="17442"/>
    <cellStyle name="40% - 강조색5 3 2 2 9" xfId="17443"/>
    <cellStyle name="40% - 강조색5 3 2 3" xfId="17444"/>
    <cellStyle name="40% - 강조색5 3 2 3 2" xfId="17445"/>
    <cellStyle name="40% - 강조색5 3 2 3 2 2" xfId="17446"/>
    <cellStyle name="40% - 강조색5 3 2 3 2 2 2" xfId="17447"/>
    <cellStyle name="40% - 강조색5 3 2 3 2 2 2 2" xfId="17448"/>
    <cellStyle name="40% - 강조색5 3 2 3 2 2 2 3" xfId="17449"/>
    <cellStyle name="40% - 강조색5 3 2 3 2 2 3" xfId="17450"/>
    <cellStyle name="40% - 강조색5 3 2 3 2 2 4" xfId="17451"/>
    <cellStyle name="40% - 강조색5 3 2 3 2 3" xfId="17452"/>
    <cellStyle name="40% - 강조색5 3 2 3 2 3 2" xfId="17453"/>
    <cellStyle name="40% - 강조색5 3 2 3 2 3 3" xfId="17454"/>
    <cellStyle name="40% - 강조색5 3 2 3 2 4" xfId="17455"/>
    <cellStyle name="40% - 강조색5 3 2 3 2 5" xfId="17456"/>
    <cellStyle name="40% - 강조색5 3 2 3 3" xfId="17457"/>
    <cellStyle name="40% - 강조색5 3 2 3 3 2" xfId="17458"/>
    <cellStyle name="40% - 강조색5 3 2 3 3 2 2" xfId="17459"/>
    <cellStyle name="40% - 강조색5 3 2 3 3 2 2 2" xfId="17460"/>
    <cellStyle name="40% - 강조색5 3 2 3 3 2 2 3" xfId="17461"/>
    <cellStyle name="40% - 강조색5 3 2 3 3 2 3" xfId="17462"/>
    <cellStyle name="40% - 강조색5 3 2 3 3 2 4" xfId="17463"/>
    <cellStyle name="40% - 강조색5 3 2 3 3 3" xfId="17464"/>
    <cellStyle name="40% - 강조색5 3 2 3 3 3 2" xfId="17465"/>
    <cellStyle name="40% - 강조색5 3 2 3 3 3 3" xfId="17466"/>
    <cellStyle name="40% - 강조색5 3 2 3 3 4" xfId="17467"/>
    <cellStyle name="40% - 강조색5 3 2 3 3 5" xfId="17468"/>
    <cellStyle name="40% - 강조색5 3 2 3 4" xfId="17469"/>
    <cellStyle name="40% - 강조색5 3 2 3 4 2" xfId="17470"/>
    <cellStyle name="40% - 강조색5 3 2 3 4 2 2" xfId="17471"/>
    <cellStyle name="40% - 강조색5 3 2 3 4 2 3" xfId="17472"/>
    <cellStyle name="40% - 강조색5 3 2 3 4 3" xfId="17473"/>
    <cellStyle name="40% - 강조색5 3 2 3 4 4" xfId="17474"/>
    <cellStyle name="40% - 강조색5 3 2 3 5" xfId="17475"/>
    <cellStyle name="40% - 강조색5 3 2 3 5 2" xfId="17476"/>
    <cellStyle name="40% - 강조색5 3 2 3 5 3" xfId="17477"/>
    <cellStyle name="40% - 강조색5 3 2 3 6" xfId="17478"/>
    <cellStyle name="40% - 강조색5 3 2 3 7" xfId="17479"/>
    <cellStyle name="40% - 강조색5 3 2 4" xfId="17480"/>
    <cellStyle name="40% - 강조색5 3 2 4 2" xfId="17481"/>
    <cellStyle name="40% - 강조색5 3 2 4 2 2" xfId="17482"/>
    <cellStyle name="40% - 강조색5 3 2 4 2 2 2" xfId="17483"/>
    <cellStyle name="40% - 강조색5 3 2 4 2 2 3" xfId="17484"/>
    <cellStyle name="40% - 강조색5 3 2 4 2 3" xfId="17485"/>
    <cellStyle name="40% - 강조색5 3 2 4 2 4" xfId="17486"/>
    <cellStyle name="40% - 강조색5 3 2 4 3" xfId="17487"/>
    <cellStyle name="40% - 강조색5 3 2 4 3 2" xfId="17488"/>
    <cellStyle name="40% - 강조색5 3 2 4 3 3" xfId="17489"/>
    <cellStyle name="40% - 강조색5 3 2 4 4" xfId="17490"/>
    <cellStyle name="40% - 강조색5 3 2 4 5" xfId="17491"/>
    <cellStyle name="40% - 강조색5 3 2 5" xfId="17492"/>
    <cellStyle name="40% - 강조색5 3 2 5 2" xfId="17493"/>
    <cellStyle name="40% - 강조색5 3 2 5 2 2" xfId="17494"/>
    <cellStyle name="40% - 강조색5 3 2 5 2 2 2" xfId="17495"/>
    <cellStyle name="40% - 강조색5 3 2 5 2 2 3" xfId="17496"/>
    <cellStyle name="40% - 강조색5 3 2 5 2 3" xfId="17497"/>
    <cellStyle name="40% - 강조색5 3 2 5 2 4" xfId="17498"/>
    <cellStyle name="40% - 강조색5 3 2 5 3" xfId="17499"/>
    <cellStyle name="40% - 강조색5 3 2 5 3 2" xfId="17500"/>
    <cellStyle name="40% - 강조색5 3 2 5 3 3" xfId="17501"/>
    <cellStyle name="40% - 강조색5 3 2 5 4" xfId="17502"/>
    <cellStyle name="40% - 강조색5 3 2 5 5" xfId="17503"/>
    <cellStyle name="40% - 강조색5 3 2 6" xfId="17504"/>
    <cellStyle name="40% - 강조색5 3 2 6 2" xfId="17505"/>
    <cellStyle name="40% - 강조색5 3 2 6 2 2" xfId="17506"/>
    <cellStyle name="40% - 강조색5 3 2 6 2 2 2" xfId="17507"/>
    <cellStyle name="40% - 강조색5 3 2 6 2 2 3" xfId="17508"/>
    <cellStyle name="40% - 강조색5 3 2 6 2 3" xfId="17509"/>
    <cellStyle name="40% - 강조색5 3 2 6 2 4" xfId="17510"/>
    <cellStyle name="40% - 강조색5 3 2 6 3" xfId="17511"/>
    <cellStyle name="40% - 강조색5 3 2 6 3 2" xfId="17512"/>
    <cellStyle name="40% - 강조색5 3 2 6 3 3" xfId="17513"/>
    <cellStyle name="40% - 강조색5 3 2 6 4" xfId="17514"/>
    <cellStyle name="40% - 강조색5 3 2 6 5" xfId="17515"/>
    <cellStyle name="40% - 강조색5 3 2 7" xfId="17516"/>
    <cellStyle name="40% - 강조색5 3 2 7 2" xfId="17517"/>
    <cellStyle name="40% - 강조색5 3 2 7 2 2" xfId="17518"/>
    <cellStyle name="40% - 강조색5 3 2 7 2 3" xfId="17519"/>
    <cellStyle name="40% - 강조색5 3 2 7 3" xfId="17520"/>
    <cellStyle name="40% - 강조색5 3 2 7 4" xfId="17521"/>
    <cellStyle name="40% - 강조색5 3 2 8" xfId="17522"/>
    <cellStyle name="40% - 강조색5 3 2 8 2" xfId="17523"/>
    <cellStyle name="40% - 강조색5 3 2 8 3" xfId="17524"/>
    <cellStyle name="40% - 강조색5 3 2 9" xfId="17525"/>
    <cellStyle name="40% - 강조색5 3 3" xfId="17526"/>
    <cellStyle name="40% - 강조색5 3 3 10" xfId="17527"/>
    <cellStyle name="40% - 강조색5 3 3 11" xfId="17528"/>
    <cellStyle name="40% - 강조색5 3 3 12" xfId="17529"/>
    <cellStyle name="40% - 강조색5 3 3 2" xfId="17530"/>
    <cellStyle name="40% - 강조색5 3 3 2 2" xfId="17531"/>
    <cellStyle name="40% - 강조색5 3 3 2 2 2" xfId="17532"/>
    <cellStyle name="40% - 강조색5 3 3 2 2 2 2" xfId="17533"/>
    <cellStyle name="40% - 강조색5 3 3 2 2 2 2 2" xfId="17534"/>
    <cellStyle name="40% - 강조색5 3 3 2 2 2 2 3" xfId="17535"/>
    <cellStyle name="40% - 강조색5 3 3 2 2 2 3" xfId="17536"/>
    <cellStyle name="40% - 강조색5 3 3 2 2 2 4" xfId="17537"/>
    <cellStyle name="40% - 강조색5 3 3 2 2 3" xfId="17538"/>
    <cellStyle name="40% - 강조색5 3 3 2 2 3 2" xfId="17539"/>
    <cellStyle name="40% - 강조색5 3 3 2 2 3 3" xfId="17540"/>
    <cellStyle name="40% - 강조색5 3 3 2 2 4" xfId="17541"/>
    <cellStyle name="40% - 강조색5 3 3 2 2 5" xfId="17542"/>
    <cellStyle name="40% - 강조색5 3 3 2 3" xfId="17543"/>
    <cellStyle name="40% - 강조색5 3 3 2 3 2" xfId="17544"/>
    <cellStyle name="40% - 강조색5 3 3 2 3 2 2" xfId="17545"/>
    <cellStyle name="40% - 강조색5 3 3 2 3 2 2 2" xfId="17546"/>
    <cellStyle name="40% - 강조색5 3 3 2 3 2 2 3" xfId="17547"/>
    <cellStyle name="40% - 강조색5 3 3 2 3 2 3" xfId="17548"/>
    <cellStyle name="40% - 강조색5 3 3 2 3 2 4" xfId="17549"/>
    <cellStyle name="40% - 강조색5 3 3 2 3 3" xfId="17550"/>
    <cellStyle name="40% - 강조색5 3 3 2 3 3 2" xfId="17551"/>
    <cellStyle name="40% - 강조색5 3 3 2 3 3 3" xfId="17552"/>
    <cellStyle name="40% - 강조색5 3 3 2 3 4" xfId="17553"/>
    <cellStyle name="40% - 강조색5 3 3 2 3 5" xfId="17554"/>
    <cellStyle name="40% - 강조색5 3 3 2 4" xfId="17555"/>
    <cellStyle name="40% - 강조색5 3 3 2 4 2" xfId="17556"/>
    <cellStyle name="40% - 강조색5 3 3 2 4 2 2" xfId="17557"/>
    <cellStyle name="40% - 강조색5 3 3 2 4 2 3" xfId="17558"/>
    <cellStyle name="40% - 강조색5 3 3 2 4 3" xfId="17559"/>
    <cellStyle name="40% - 강조색5 3 3 2 4 4" xfId="17560"/>
    <cellStyle name="40% - 강조색5 3 3 2 5" xfId="17561"/>
    <cellStyle name="40% - 강조색5 3 3 2 5 2" xfId="17562"/>
    <cellStyle name="40% - 강조색5 3 3 2 5 3" xfId="17563"/>
    <cellStyle name="40% - 강조색5 3 3 2 6" xfId="17564"/>
    <cellStyle name="40% - 강조색5 3 3 2 7" xfId="17565"/>
    <cellStyle name="40% - 강조색5 3 3 2 8" xfId="17566"/>
    <cellStyle name="40% - 강조색5 3 3 2 9" xfId="17567"/>
    <cellStyle name="40% - 강조색5 3 3 3" xfId="17568"/>
    <cellStyle name="40% - 강조색5 3 3 3 2" xfId="17569"/>
    <cellStyle name="40% - 강조색5 3 3 3 2 2" xfId="17570"/>
    <cellStyle name="40% - 강조색5 3 3 3 2 2 2" xfId="17571"/>
    <cellStyle name="40% - 강조색5 3 3 3 2 2 2 2" xfId="17572"/>
    <cellStyle name="40% - 강조색5 3 3 3 2 2 2 3" xfId="17573"/>
    <cellStyle name="40% - 강조색5 3 3 3 2 2 3" xfId="17574"/>
    <cellStyle name="40% - 강조색5 3 3 3 2 2 4" xfId="17575"/>
    <cellStyle name="40% - 강조색5 3 3 3 2 3" xfId="17576"/>
    <cellStyle name="40% - 강조색5 3 3 3 2 3 2" xfId="17577"/>
    <cellStyle name="40% - 강조색5 3 3 3 2 3 3" xfId="17578"/>
    <cellStyle name="40% - 강조색5 3 3 3 2 4" xfId="17579"/>
    <cellStyle name="40% - 강조색5 3 3 3 2 5" xfId="17580"/>
    <cellStyle name="40% - 강조색5 3 3 3 3" xfId="17581"/>
    <cellStyle name="40% - 강조색5 3 3 3 3 2" xfId="17582"/>
    <cellStyle name="40% - 강조색5 3 3 3 3 2 2" xfId="17583"/>
    <cellStyle name="40% - 강조색5 3 3 3 3 2 2 2" xfId="17584"/>
    <cellStyle name="40% - 강조색5 3 3 3 3 2 2 3" xfId="17585"/>
    <cellStyle name="40% - 강조색5 3 3 3 3 2 3" xfId="17586"/>
    <cellStyle name="40% - 강조색5 3 3 3 3 2 4" xfId="17587"/>
    <cellStyle name="40% - 강조색5 3 3 3 3 3" xfId="17588"/>
    <cellStyle name="40% - 강조색5 3 3 3 3 3 2" xfId="17589"/>
    <cellStyle name="40% - 강조색5 3 3 3 3 3 3" xfId="17590"/>
    <cellStyle name="40% - 강조색5 3 3 3 3 4" xfId="17591"/>
    <cellStyle name="40% - 강조색5 3 3 3 3 5" xfId="17592"/>
    <cellStyle name="40% - 강조색5 3 3 3 4" xfId="17593"/>
    <cellStyle name="40% - 강조색5 3 3 3 4 2" xfId="17594"/>
    <cellStyle name="40% - 강조색5 3 3 3 4 2 2" xfId="17595"/>
    <cellStyle name="40% - 강조색5 3 3 3 4 2 3" xfId="17596"/>
    <cellStyle name="40% - 강조색5 3 3 3 4 3" xfId="17597"/>
    <cellStyle name="40% - 강조색5 3 3 3 4 4" xfId="17598"/>
    <cellStyle name="40% - 강조색5 3 3 3 5" xfId="17599"/>
    <cellStyle name="40% - 강조색5 3 3 3 5 2" xfId="17600"/>
    <cellStyle name="40% - 강조색5 3 3 3 5 3" xfId="17601"/>
    <cellStyle name="40% - 강조색5 3 3 3 6" xfId="17602"/>
    <cellStyle name="40% - 강조색5 3 3 3 7" xfId="17603"/>
    <cellStyle name="40% - 강조색5 3 3 4" xfId="17604"/>
    <cellStyle name="40% - 강조색5 3 3 4 2" xfId="17605"/>
    <cellStyle name="40% - 강조색5 3 3 4 2 2" xfId="17606"/>
    <cellStyle name="40% - 강조색5 3 3 4 2 2 2" xfId="17607"/>
    <cellStyle name="40% - 강조색5 3 3 4 2 2 3" xfId="17608"/>
    <cellStyle name="40% - 강조색5 3 3 4 2 3" xfId="17609"/>
    <cellStyle name="40% - 강조색5 3 3 4 2 4" xfId="17610"/>
    <cellStyle name="40% - 강조색5 3 3 4 3" xfId="17611"/>
    <cellStyle name="40% - 강조색5 3 3 4 3 2" xfId="17612"/>
    <cellStyle name="40% - 강조색5 3 3 4 3 3" xfId="17613"/>
    <cellStyle name="40% - 강조색5 3 3 4 4" xfId="17614"/>
    <cellStyle name="40% - 강조색5 3 3 4 5" xfId="17615"/>
    <cellStyle name="40% - 강조색5 3 3 5" xfId="17616"/>
    <cellStyle name="40% - 강조색5 3 3 5 2" xfId="17617"/>
    <cellStyle name="40% - 강조색5 3 3 5 2 2" xfId="17618"/>
    <cellStyle name="40% - 강조색5 3 3 5 2 2 2" xfId="17619"/>
    <cellStyle name="40% - 강조색5 3 3 5 2 2 3" xfId="17620"/>
    <cellStyle name="40% - 강조색5 3 3 5 2 3" xfId="17621"/>
    <cellStyle name="40% - 강조색5 3 3 5 2 4" xfId="17622"/>
    <cellStyle name="40% - 강조색5 3 3 5 3" xfId="17623"/>
    <cellStyle name="40% - 강조색5 3 3 5 3 2" xfId="17624"/>
    <cellStyle name="40% - 강조색5 3 3 5 3 3" xfId="17625"/>
    <cellStyle name="40% - 강조색5 3 3 5 4" xfId="17626"/>
    <cellStyle name="40% - 강조색5 3 3 5 5" xfId="17627"/>
    <cellStyle name="40% - 강조색5 3 3 6" xfId="17628"/>
    <cellStyle name="40% - 강조색5 3 3 6 2" xfId="17629"/>
    <cellStyle name="40% - 강조색5 3 3 6 2 2" xfId="17630"/>
    <cellStyle name="40% - 강조색5 3 3 6 2 2 2" xfId="17631"/>
    <cellStyle name="40% - 강조색5 3 3 6 2 2 3" xfId="17632"/>
    <cellStyle name="40% - 강조색5 3 3 6 2 3" xfId="17633"/>
    <cellStyle name="40% - 강조색5 3 3 6 2 4" xfId="17634"/>
    <cellStyle name="40% - 강조색5 3 3 6 3" xfId="17635"/>
    <cellStyle name="40% - 강조색5 3 3 6 3 2" xfId="17636"/>
    <cellStyle name="40% - 강조색5 3 3 6 3 3" xfId="17637"/>
    <cellStyle name="40% - 강조색5 3 3 6 4" xfId="17638"/>
    <cellStyle name="40% - 강조색5 3 3 6 5" xfId="17639"/>
    <cellStyle name="40% - 강조색5 3 3 7" xfId="17640"/>
    <cellStyle name="40% - 강조색5 3 3 7 2" xfId="17641"/>
    <cellStyle name="40% - 강조색5 3 3 7 2 2" xfId="17642"/>
    <cellStyle name="40% - 강조색5 3 3 7 2 3" xfId="17643"/>
    <cellStyle name="40% - 강조색5 3 3 7 3" xfId="17644"/>
    <cellStyle name="40% - 강조색5 3 3 7 4" xfId="17645"/>
    <cellStyle name="40% - 강조색5 3 3 8" xfId="17646"/>
    <cellStyle name="40% - 강조색5 3 3 8 2" xfId="17647"/>
    <cellStyle name="40% - 강조색5 3 3 8 3" xfId="17648"/>
    <cellStyle name="40% - 강조색5 3 3 9" xfId="17649"/>
    <cellStyle name="40% - 강조색5 3 4" xfId="17650"/>
    <cellStyle name="40% - 강조색5 3 4 10" xfId="17651"/>
    <cellStyle name="40% - 강조색5 3 4 11" xfId="17652"/>
    <cellStyle name="40% - 강조색5 3 4 12" xfId="17653"/>
    <cellStyle name="40% - 강조색5 3 4 2" xfId="17654"/>
    <cellStyle name="40% - 강조색5 3 4 2 2" xfId="17655"/>
    <cellStyle name="40% - 강조색5 3 4 2 2 2" xfId="17656"/>
    <cellStyle name="40% - 강조색5 3 4 2 2 2 2" xfId="17657"/>
    <cellStyle name="40% - 강조색5 3 4 2 2 2 2 2" xfId="17658"/>
    <cellStyle name="40% - 강조색5 3 4 2 2 2 2 3" xfId="17659"/>
    <cellStyle name="40% - 강조색5 3 4 2 2 2 3" xfId="17660"/>
    <cellStyle name="40% - 강조색5 3 4 2 2 2 4" xfId="17661"/>
    <cellStyle name="40% - 강조색5 3 4 2 2 3" xfId="17662"/>
    <cellStyle name="40% - 강조색5 3 4 2 2 3 2" xfId="17663"/>
    <cellStyle name="40% - 강조색5 3 4 2 2 3 3" xfId="17664"/>
    <cellStyle name="40% - 강조색5 3 4 2 2 4" xfId="17665"/>
    <cellStyle name="40% - 강조색5 3 4 2 2 5" xfId="17666"/>
    <cellStyle name="40% - 강조색5 3 4 2 3" xfId="17667"/>
    <cellStyle name="40% - 강조색5 3 4 2 3 2" xfId="17668"/>
    <cellStyle name="40% - 강조색5 3 4 2 3 2 2" xfId="17669"/>
    <cellStyle name="40% - 강조색5 3 4 2 3 2 2 2" xfId="17670"/>
    <cellStyle name="40% - 강조색5 3 4 2 3 2 2 3" xfId="17671"/>
    <cellStyle name="40% - 강조색5 3 4 2 3 2 3" xfId="17672"/>
    <cellStyle name="40% - 강조색5 3 4 2 3 2 4" xfId="17673"/>
    <cellStyle name="40% - 강조색5 3 4 2 3 3" xfId="17674"/>
    <cellStyle name="40% - 강조색5 3 4 2 3 3 2" xfId="17675"/>
    <cellStyle name="40% - 강조색5 3 4 2 3 3 3" xfId="17676"/>
    <cellStyle name="40% - 강조색5 3 4 2 3 4" xfId="17677"/>
    <cellStyle name="40% - 강조색5 3 4 2 3 5" xfId="17678"/>
    <cellStyle name="40% - 강조색5 3 4 2 4" xfId="17679"/>
    <cellStyle name="40% - 강조색5 3 4 2 4 2" xfId="17680"/>
    <cellStyle name="40% - 강조색5 3 4 2 4 2 2" xfId="17681"/>
    <cellStyle name="40% - 강조색5 3 4 2 4 2 3" xfId="17682"/>
    <cellStyle name="40% - 강조색5 3 4 2 4 3" xfId="17683"/>
    <cellStyle name="40% - 강조색5 3 4 2 4 4" xfId="17684"/>
    <cellStyle name="40% - 강조색5 3 4 2 5" xfId="17685"/>
    <cellStyle name="40% - 강조색5 3 4 2 5 2" xfId="17686"/>
    <cellStyle name="40% - 강조색5 3 4 2 5 3" xfId="17687"/>
    <cellStyle name="40% - 강조색5 3 4 2 6" xfId="17688"/>
    <cellStyle name="40% - 강조색5 3 4 2 7" xfId="17689"/>
    <cellStyle name="40% - 강조색5 3 4 3" xfId="17690"/>
    <cellStyle name="40% - 강조색5 3 4 3 2" xfId="17691"/>
    <cellStyle name="40% - 강조색5 3 4 3 2 2" xfId="17692"/>
    <cellStyle name="40% - 강조색5 3 4 3 2 2 2" xfId="17693"/>
    <cellStyle name="40% - 강조색5 3 4 3 2 2 2 2" xfId="17694"/>
    <cellStyle name="40% - 강조색5 3 4 3 2 2 2 3" xfId="17695"/>
    <cellStyle name="40% - 강조색5 3 4 3 2 2 3" xfId="17696"/>
    <cellStyle name="40% - 강조색5 3 4 3 2 2 4" xfId="17697"/>
    <cellStyle name="40% - 강조색5 3 4 3 2 3" xfId="17698"/>
    <cellStyle name="40% - 강조색5 3 4 3 2 3 2" xfId="17699"/>
    <cellStyle name="40% - 강조색5 3 4 3 2 3 3" xfId="17700"/>
    <cellStyle name="40% - 강조색5 3 4 3 2 4" xfId="17701"/>
    <cellStyle name="40% - 강조색5 3 4 3 2 5" xfId="17702"/>
    <cellStyle name="40% - 강조색5 3 4 3 3" xfId="17703"/>
    <cellStyle name="40% - 강조색5 3 4 3 3 2" xfId="17704"/>
    <cellStyle name="40% - 강조색5 3 4 3 3 2 2" xfId="17705"/>
    <cellStyle name="40% - 강조색5 3 4 3 3 2 2 2" xfId="17706"/>
    <cellStyle name="40% - 강조색5 3 4 3 3 2 2 3" xfId="17707"/>
    <cellStyle name="40% - 강조색5 3 4 3 3 2 3" xfId="17708"/>
    <cellStyle name="40% - 강조색5 3 4 3 3 2 4" xfId="17709"/>
    <cellStyle name="40% - 강조색5 3 4 3 3 3" xfId="17710"/>
    <cellStyle name="40% - 강조색5 3 4 3 3 3 2" xfId="17711"/>
    <cellStyle name="40% - 강조색5 3 4 3 3 3 3" xfId="17712"/>
    <cellStyle name="40% - 강조색5 3 4 3 3 4" xfId="17713"/>
    <cellStyle name="40% - 강조색5 3 4 3 3 5" xfId="17714"/>
    <cellStyle name="40% - 강조색5 3 4 3 4" xfId="17715"/>
    <cellStyle name="40% - 강조색5 3 4 3 4 2" xfId="17716"/>
    <cellStyle name="40% - 강조색5 3 4 3 4 2 2" xfId="17717"/>
    <cellStyle name="40% - 강조색5 3 4 3 4 2 3" xfId="17718"/>
    <cellStyle name="40% - 강조색5 3 4 3 4 3" xfId="17719"/>
    <cellStyle name="40% - 강조색5 3 4 3 4 4" xfId="17720"/>
    <cellStyle name="40% - 강조색5 3 4 3 5" xfId="17721"/>
    <cellStyle name="40% - 강조색5 3 4 3 5 2" xfId="17722"/>
    <cellStyle name="40% - 강조색5 3 4 3 5 3" xfId="17723"/>
    <cellStyle name="40% - 강조색5 3 4 3 6" xfId="17724"/>
    <cellStyle name="40% - 강조색5 3 4 3 7" xfId="17725"/>
    <cellStyle name="40% - 강조색5 3 4 4" xfId="17726"/>
    <cellStyle name="40% - 강조색5 3 4 4 2" xfId="17727"/>
    <cellStyle name="40% - 강조색5 3 4 4 2 2" xfId="17728"/>
    <cellStyle name="40% - 강조색5 3 4 4 2 2 2" xfId="17729"/>
    <cellStyle name="40% - 강조색5 3 4 4 2 2 3" xfId="17730"/>
    <cellStyle name="40% - 강조색5 3 4 4 2 3" xfId="17731"/>
    <cellStyle name="40% - 강조색5 3 4 4 2 4" xfId="17732"/>
    <cellStyle name="40% - 강조색5 3 4 4 3" xfId="17733"/>
    <cellStyle name="40% - 강조색5 3 4 4 3 2" xfId="17734"/>
    <cellStyle name="40% - 강조색5 3 4 4 3 3" xfId="17735"/>
    <cellStyle name="40% - 강조색5 3 4 4 4" xfId="17736"/>
    <cellStyle name="40% - 강조색5 3 4 4 5" xfId="17737"/>
    <cellStyle name="40% - 강조색5 3 4 5" xfId="17738"/>
    <cellStyle name="40% - 강조색5 3 4 5 2" xfId="17739"/>
    <cellStyle name="40% - 강조색5 3 4 5 2 2" xfId="17740"/>
    <cellStyle name="40% - 강조색5 3 4 5 2 2 2" xfId="17741"/>
    <cellStyle name="40% - 강조색5 3 4 5 2 2 3" xfId="17742"/>
    <cellStyle name="40% - 강조색5 3 4 5 2 3" xfId="17743"/>
    <cellStyle name="40% - 강조색5 3 4 5 2 4" xfId="17744"/>
    <cellStyle name="40% - 강조색5 3 4 5 3" xfId="17745"/>
    <cellStyle name="40% - 강조색5 3 4 5 3 2" xfId="17746"/>
    <cellStyle name="40% - 강조색5 3 4 5 3 3" xfId="17747"/>
    <cellStyle name="40% - 강조색5 3 4 5 4" xfId="17748"/>
    <cellStyle name="40% - 강조색5 3 4 5 5" xfId="17749"/>
    <cellStyle name="40% - 강조색5 3 4 6" xfId="17750"/>
    <cellStyle name="40% - 강조색5 3 4 6 2" xfId="17751"/>
    <cellStyle name="40% - 강조색5 3 4 6 2 2" xfId="17752"/>
    <cellStyle name="40% - 강조색5 3 4 6 2 2 2" xfId="17753"/>
    <cellStyle name="40% - 강조색5 3 4 6 2 2 3" xfId="17754"/>
    <cellStyle name="40% - 강조색5 3 4 6 2 3" xfId="17755"/>
    <cellStyle name="40% - 강조색5 3 4 6 2 4" xfId="17756"/>
    <cellStyle name="40% - 강조색5 3 4 6 3" xfId="17757"/>
    <cellStyle name="40% - 강조색5 3 4 6 3 2" xfId="17758"/>
    <cellStyle name="40% - 강조색5 3 4 6 3 3" xfId="17759"/>
    <cellStyle name="40% - 강조색5 3 4 6 4" xfId="17760"/>
    <cellStyle name="40% - 강조색5 3 4 6 5" xfId="17761"/>
    <cellStyle name="40% - 강조색5 3 4 7" xfId="17762"/>
    <cellStyle name="40% - 강조색5 3 4 7 2" xfId="17763"/>
    <cellStyle name="40% - 강조색5 3 4 7 2 2" xfId="17764"/>
    <cellStyle name="40% - 강조색5 3 4 7 2 3" xfId="17765"/>
    <cellStyle name="40% - 강조색5 3 4 7 3" xfId="17766"/>
    <cellStyle name="40% - 강조색5 3 4 7 4" xfId="17767"/>
    <cellStyle name="40% - 강조색5 3 4 8" xfId="17768"/>
    <cellStyle name="40% - 강조색5 3 4 8 2" xfId="17769"/>
    <cellStyle name="40% - 강조색5 3 4 8 3" xfId="17770"/>
    <cellStyle name="40% - 강조색5 3 4 9" xfId="17771"/>
    <cellStyle name="40% - 강조색5 3 5" xfId="17772"/>
    <cellStyle name="40% - 강조색5 3 5 2" xfId="17773"/>
    <cellStyle name="40% - 강조색5 3 5 2 2" xfId="17774"/>
    <cellStyle name="40% - 강조색5 3 5 2 2 2" xfId="17775"/>
    <cellStyle name="40% - 강조색5 3 5 2 2 2 2" xfId="17776"/>
    <cellStyle name="40% - 강조색5 3 5 2 2 2 3" xfId="17777"/>
    <cellStyle name="40% - 강조색5 3 5 2 2 3" xfId="17778"/>
    <cellStyle name="40% - 강조색5 3 5 2 2 4" xfId="17779"/>
    <cellStyle name="40% - 강조색5 3 5 2 3" xfId="17780"/>
    <cellStyle name="40% - 강조색5 3 5 2 3 2" xfId="17781"/>
    <cellStyle name="40% - 강조색5 3 5 2 3 3" xfId="17782"/>
    <cellStyle name="40% - 강조색5 3 5 2 4" xfId="17783"/>
    <cellStyle name="40% - 강조색5 3 5 2 5" xfId="17784"/>
    <cellStyle name="40% - 강조색5 3 5 3" xfId="17785"/>
    <cellStyle name="40% - 강조색5 3 5 3 2" xfId="17786"/>
    <cellStyle name="40% - 강조색5 3 5 3 2 2" xfId="17787"/>
    <cellStyle name="40% - 강조색5 3 5 3 2 2 2" xfId="17788"/>
    <cellStyle name="40% - 강조색5 3 5 3 2 2 3" xfId="17789"/>
    <cellStyle name="40% - 강조색5 3 5 3 2 3" xfId="17790"/>
    <cellStyle name="40% - 강조색5 3 5 3 2 4" xfId="17791"/>
    <cellStyle name="40% - 강조색5 3 5 3 3" xfId="17792"/>
    <cellStyle name="40% - 강조색5 3 5 3 3 2" xfId="17793"/>
    <cellStyle name="40% - 강조색5 3 5 3 3 3" xfId="17794"/>
    <cellStyle name="40% - 강조색5 3 5 3 4" xfId="17795"/>
    <cellStyle name="40% - 강조색5 3 5 3 5" xfId="17796"/>
    <cellStyle name="40% - 강조색5 3 5 4" xfId="17797"/>
    <cellStyle name="40% - 강조색5 3 5 4 2" xfId="17798"/>
    <cellStyle name="40% - 강조색5 3 5 4 2 2" xfId="17799"/>
    <cellStyle name="40% - 강조색5 3 5 4 2 3" xfId="17800"/>
    <cellStyle name="40% - 강조색5 3 5 4 3" xfId="17801"/>
    <cellStyle name="40% - 강조색5 3 5 4 4" xfId="17802"/>
    <cellStyle name="40% - 강조색5 3 5 5" xfId="17803"/>
    <cellStyle name="40% - 강조색5 3 5 5 2" xfId="17804"/>
    <cellStyle name="40% - 강조색5 3 5 5 3" xfId="17805"/>
    <cellStyle name="40% - 강조색5 3 5 6" xfId="17806"/>
    <cellStyle name="40% - 강조색5 3 5 7" xfId="17807"/>
    <cellStyle name="40% - 강조색5 3 5 8" xfId="17808"/>
    <cellStyle name="40% - 강조색5 3 6" xfId="17809"/>
    <cellStyle name="40% - 강조색5 3 6 2" xfId="17810"/>
    <cellStyle name="40% - 강조색5 3 6 2 2" xfId="17811"/>
    <cellStyle name="40% - 강조색5 3 6 2 2 2" xfId="17812"/>
    <cellStyle name="40% - 강조색5 3 6 2 2 2 2" xfId="17813"/>
    <cellStyle name="40% - 강조색5 3 6 2 2 2 3" xfId="17814"/>
    <cellStyle name="40% - 강조색5 3 6 2 2 3" xfId="17815"/>
    <cellStyle name="40% - 강조색5 3 6 2 2 4" xfId="17816"/>
    <cellStyle name="40% - 강조색5 3 6 2 3" xfId="17817"/>
    <cellStyle name="40% - 강조색5 3 6 2 3 2" xfId="17818"/>
    <cellStyle name="40% - 강조색5 3 6 2 3 3" xfId="17819"/>
    <cellStyle name="40% - 강조색5 3 6 2 4" xfId="17820"/>
    <cellStyle name="40% - 강조색5 3 6 2 5" xfId="17821"/>
    <cellStyle name="40% - 강조색5 3 6 3" xfId="17822"/>
    <cellStyle name="40% - 강조색5 3 6 3 2" xfId="17823"/>
    <cellStyle name="40% - 강조색5 3 6 3 2 2" xfId="17824"/>
    <cellStyle name="40% - 강조색5 3 6 3 2 2 2" xfId="17825"/>
    <cellStyle name="40% - 강조색5 3 6 3 2 2 3" xfId="17826"/>
    <cellStyle name="40% - 강조색5 3 6 3 2 3" xfId="17827"/>
    <cellStyle name="40% - 강조색5 3 6 3 2 4" xfId="17828"/>
    <cellStyle name="40% - 강조색5 3 6 3 3" xfId="17829"/>
    <cellStyle name="40% - 강조색5 3 6 3 3 2" xfId="17830"/>
    <cellStyle name="40% - 강조색5 3 6 3 3 3" xfId="17831"/>
    <cellStyle name="40% - 강조색5 3 6 3 4" xfId="17832"/>
    <cellStyle name="40% - 강조색5 3 6 3 5" xfId="17833"/>
    <cellStyle name="40% - 강조색5 3 6 4" xfId="17834"/>
    <cellStyle name="40% - 강조색5 3 6 4 2" xfId="17835"/>
    <cellStyle name="40% - 강조색5 3 6 4 2 2" xfId="17836"/>
    <cellStyle name="40% - 강조색5 3 6 4 2 3" xfId="17837"/>
    <cellStyle name="40% - 강조색5 3 6 4 3" xfId="17838"/>
    <cellStyle name="40% - 강조색5 3 6 4 4" xfId="17839"/>
    <cellStyle name="40% - 강조색5 3 6 5" xfId="17840"/>
    <cellStyle name="40% - 강조색5 3 6 5 2" xfId="17841"/>
    <cellStyle name="40% - 강조색5 3 6 5 3" xfId="17842"/>
    <cellStyle name="40% - 강조색5 3 6 6" xfId="17843"/>
    <cellStyle name="40% - 강조색5 3 6 7" xfId="17844"/>
    <cellStyle name="40% - 강조색5 3 7" xfId="17845"/>
    <cellStyle name="40% - 강조색5 3 7 2" xfId="17846"/>
    <cellStyle name="40% - 강조색5 3 7 2 2" xfId="17847"/>
    <cellStyle name="40% - 강조색5 3 7 2 2 2" xfId="17848"/>
    <cellStyle name="40% - 강조색5 3 7 2 2 3" xfId="17849"/>
    <cellStyle name="40% - 강조색5 3 7 2 3" xfId="17850"/>
    <cellStyle name="40% - 강조색5 3 7 2 4" xfId="17851"/>
    <cellStyle name="40% - 강조색5 3 7 3" xfId="17852"/>
    <cellStyle name="40% - 강조색5 3 7 3 2" xfId="17853"/>
    <cellStyle name="40% - 강조색5 3 7 3 3" xfId="17854"/>
    <cellStyle name="40% - 강조색5 3 7 4" xfId="17855"/>
    <cellStyle name="40% - 강조색5 3 7 5" xfId="17856"/>
    <cellStyle name="40% - 강조색5 3 8" xfId="17857"/>
    <cellStyle name="40% - 강조색5 3 8 2" xfId="17858"/>
    <cellStyle name="40% - 강조색5 3 8 2 2" xfId="17859"/>
    <cellStyle name="40% - 강조색5 3 8 2 2 2" xfId="17860"/>
    <cellStyle name="40% - 강조색5 3 8 2 2 3" xfId="17861"/>
    <cellStyle name="40% - 강조색5 3 8 2 3" xfId="17862"/>
    <cellStyle name="40% - 강조색5 3 8 2 4" xfId="17863"/>
    <cellStyle name="40% - 강조색5 3 8 3" xfId="17864"/>
    <cellStyle name="40% - 강조색5 3 8 3 2" xfId="17865"/>
    <cellStyle name="40% - 강조색5 3 8 3 3" xfId="17866"/>
    <cellStyle name="40% - 강조색5 3 8 4" xfId="17867"/>
    <cellStyle name="40% - 강조색5 3 8 5" xfId="17868"/>
    <cellStyle name="40% - 강조색5 3 9" xfId="17869"/>
    <cellStyle name="40% - 강조색5 3 9 2" xfId="17870"/>
    <cellStyle name="40% - 강조색5 3 9 2 2" xfId="17871"/>
    <cellStyle name="40% - 강조색5 3 9 2 2 2" xfId="17872"/>
    <cellStyle name="40% - 강조색5 3 9 2 2 3" xfId="17873"/>
    <cellStyle name="40% - 강조색5 3 9 2 3" xfId="17874"/>
    <cellStyle name="40% - 강조색5 3 9 2 4" xfId="17875"/>
    <cellStyle name="40% - 강조색5 3 9 3" xfId="17876"/>
    <cellStyle name="40% - 강조색5 3 9 3 2" xfId="17877"/>
    <cellStyle name="40% - 강조색5 3 9 3 3" xfId="17878"/>
    <cellStyle name="40% - 강조색5 3 9 4" xfId="17879"/>
    <cellStyle name="40% - 강조색5 3 9 5" xfId="17880"/>
    <cellStyle name="40% - 강조색5 30" xfId="17881"/>
    <cellStyle name="40% - 강조색5 30 2" xfId="17882"/>
    <cellStyle name="40% - 강조색5 31" xfId="17883"/>
    <cellStyle name="40% - 강조색5 31 2" xfId="17884"/>
    <cellStyle name="40% - 강조색5 32" xfId="17885"/>
    <cellStyle name="40% - 강조색5 32 2" xfId="17886"/>
    <cellStyle name="40% - 강조색5 33" xfId="17887"/>
    <cellStyle name="40% - 강조색5 33 2" xfId="17888"/>
    <cellStyle name="40% - 강조색5 34" xfId="17889"/>
    <cellStyle name="40% - 강조색5 34 2" xfId="17890"/>
    <cellStyle name="40% - 강조색5 35" xfId="17891"/>
    <cellStyle name="40% - 강조색5 36" xfId="17892"/>
    <cellStyle name="40% - 강조색5 37" xfId="17893"/>
    <cellStyle name="40% - 강조색5 38" xfId="17894"/>
    <cellStyle name="40% - 강조색5 39" xfId="17895"/>
    <cellStyle name="40% - 강조색5 4" xfId="17896"/>
    <cellStyle name="40% - 강조색5 4 10" xfId="17897"/>
    <cellStyle name="40% - 강조색5 4 10 2" xfId="17898"/>
    <cellStyle name="40% - 강조색5 4 10 2 2" xfId="17899"/>
    <cellStyle name="40% - 강조색5 4 10 2 3" xfId="17900"/>
    <cellStyle name="40% - 강조색5 4 10 3" xfId="17901"/>
    <cellStyle name="40% - 강조색5 4 10 4" xfId="17902"/>
    <cellStyle name="40% - 강조색5 4 11" xfId="17903"/>
    <cellStyle name="40% - 강조색5 4 11 2" xfId="17904"/>
    <cellStyle name="40% - 강조색5 4 11 3" xfId="17905"/>
    <cellStyle name="40% - 강조색5 4 12" xfId="17906"/>
    <cellStyle name="40% - 강조색5 4 13" xfId="17907"/>
    <cellStyle name="40% - 강조색5 4 14" xfId="17908"/>
    <cellStyle name="40% - 강조색5 4 2" xfId="17909"/>
    <cellStyle name="40% - 강조색5 4 2 10" xfId="17910"/>
    <cellStyle name="40% - 강조색5 4 2 2" xfId="17911"/>
    <cellStyle name="40% - 강조색5 4 2 2 2" xfId="17912"/>
    <cellStyle name="40% - 강조색5 4 2 2 2 2" xfId="17913"/>
    <cellStyle name="40% - 강조색5 4 2 2 2 2 2" xfId="17914"/>
    <cellStyle name="40% - 강조색5 4 2 2 2 2 2 2" xfId="17915"/>
    <cellStyle name="40% - 강조색5 4 2 2 2 2 2 3" xfId="17916"/>
    <cellStyle name="40% - 강조색5 4 2 2 2 2 3" xfId="17917"/>
    <cellStyle name="40% - 강조색5 4 2 2 2 2 4" xfId="17918"/>
    <cellStyle name="40% - 강조색5 4 2 2 2 3" xfId="17919"/>
    <cellStyle name="40% - 강조색5 4 2 2 2 3 2" xfId="17920"/>
    <cellStyle name="40% - 강조색5 4 2 2 2 3 3" xfId="17921"/>
    <cellStyle name="40% - 강조색5 4 2 2 2 4" xfId="17922"/>
    <cellStyle name="40% - 강조색5 4 2 2 2 5" xfId="17923"/>
    <cellStyle name="40% - 강조색5 4 2 2 3" xfId="17924"/>
    <cellStyle name="40% - 강조색5 4 2 2 3 2" xfId="17925"/>
    <cellStyle name="40% - 강조색5 4 2 2 3 2 2" xfId="17926"/>
    <cellStyle name="40% - 강조색5 4 2 2 3 2 2 2" xfId="17927"/>
    <cellStyle name="40% - 강조색5 4 2 2 3 2 2 3" xfId="17928"/>
    <cellStyle name="40% - 강조색5 4 2 2 3 2 3" xfId="17929"/>
    <cellStyle name="40% - 강조색5 4 2 2 3 2 4" xfId="17930"/>
    <cellStyle name="40% - 강조색5 4 2 2 3 3" xfId="17931"/>
    <cellStyle name="40% - 강조색5 4 2 2 3 3 2" xfId="17932"/>
    <cellStyle name="40% - 강조색5 4 2 2 3 3 3" xfId="17933"/>
    <cellStyle name="40% - 강조색5 4 2 2 3 4" xfId="17934"/>
    <cellStyle name="40% - 강조색5 4 2 2 3 5" xfId="17935"/>
    <cellStyle name="40% - 강조색5 4 2 2 4" xfId="17936"/>
    <cellStyle name="40% - 강조색5 4 2 2 4 2" xfId="17937"/>
    <cellStyle name="40% - 강조색5 4 2 2 4 2 2" xfId="17938"/>
    <cellStyle name="40% - 강조색5 4 2 2 4 2 3" xfId="17939"/>
    <cellStyle name="40% - 강조색5 4 2 2 4 3" xfId="17940"/>
    <cellStyle name="40% - 강조색5 4 2 2 4 4" xfId="17941"/>
    <cellStyle name="40% - 강조색5 4 2 2 5" xfId="17942"/>
    <cellStyle name="40% - 강조색5 4 2 2 5 2" xfId="17943"/>
    <cellStyle name="40% - 강조색5 4 2 2 5 3" xfId="17944"/>
    <cellStyle name="40% - 강조색5 4 2 2 6" xfId="17945"/>
    <cellStyle name="40% - 강조색5 4 2 2 7" xfId="17946"/>
    <cellStyle name="40% - 강조색5 4 2 3" xfId="17947"/>
    <cellStyle name="40% - 강조색5 4 2 3 2" xfId="17948"/>
    <cellStyle name="40% - 강조색5 4 2 3 2 2" xfId="17949"/>
    <cellStyle name="40% - 강조색5 4 2 3 2 2 2" xfId="17950"/>
    <cellStyle name="40% - 강조색5 4 2 3 2 2 2 2" xfId="17951"/>
    <cellStyle name="40% - 강조색5 4 2 3 2 2 2 3" xfId="17952"/>
    <cellStyle name="40% - 강조색5 4 2 3 2 2 3" xfId="17953"/>
    <cellStyle name="40% - 강조색5 4 2 3 2 2 4" xfId="17954"/>
    <cellStyle name="40% - 강조색5 4 2 3 2 3" xfId="17955"/>
    <cellStyle name="40% - 강조색5 4 2 3 2 3 2" xfId="17956"/>
    <cellStyle name="40% - 강조색5 4 2 3 2 3 3" xfId="17957"/>
    <cellStyle name="40% - 강조색5 4 2 3 2 4" xfId="17958"/>
    <cellStyle name="40% - 강조색5 4 2 3 2 5" xfId="17959"/>
    <cellStyle name="40% - 강조색5 4 2 3 3" xfId="17960"/>
    <cellStyle name="40% - 강조색5 4 2 3 3 2" xfId="17961"/>
    <cellStyle name="40% - 강조색5 4 2 3 3 2 2" xfId="17962"/>
    <cellStyle name="40% - 강조색5 4 2 3 3 2 2 2" xfId="17963"/>
    <cellStyle name="40% - 강조색5 4 2 3 3 2 2 3" xfId="17964"/>
    <cellStyle name="40% - 강조색5 4 2 3 3 2 3" xfId="17965"/>
    <cellStyle name="40% - 강조색5 4 2 3 3 2 4" xfId="17966"/>
    <cellStyle name="40% - 강조색5 4 2 3 3 3" xfId="17967"/>
    <cellStyle name="40% - 강조색5 4 2 3 3 3 2" xfId="17968"/>
    <cellStyle name="40% - 강조색5 4 2 3 3 3 3" xfId="17969"/>
    <cellStyle name="40% - 강조색5 4 2 3 3 4" xfId="17970"/>
    <cellStyle name="40% - 강조색5 4 2 3 3 5" xfId="17971"/>
    <cellStyle name="40% - 강조색5 4 2 3 4" xfId="17972"/>
    <cellStyle name="40% - 강조색5 4 2 3 4 2" xfId="17973"/>
    <cellStyle name="40% - 강조색5 4 2 3 4 2 2" xfId="17974"/>
    <cellStyle name="40% - 강조색5 4 2 3 4 2 3" xfId="17975"/>
    <cellStyle name="40% - 강조색5 4 2 3 4 3" xfId="17976"/>
    <cellStyle name="40% - 강조색5 4 2 3 4 4" xfId="17977"/>
    <cellStyle name="40% - 강조색5 4 2 3 5" xfId="17978"/>
    <cellStyle name="40% - 강조색5 4 2 3 5 2" xfId="17979"/>
    <cellStyle name="40% - 강조색5 4 2 3 5 3" xfId="17980"/>
    <cellStyle name="40% - 강조색5 4 2 3 6" xfId="17981"/>
    <cellStyle name="40% - 강조색5 4 2 3 7" xfId="17982"/>
    <cellStyle name="40% - 강조색5 4 2 4" xfId="17983"/>
    <cellStyle name="40% - 강조색5 4 2 4 2" xfId="17984"/>
    <cellStyle name="40% - 강조색5 4 2 4 2 2" xfId="17985"/>
    <cellStyle name="40% - 강조색5 4 2 4 2 2 2" xfId="17986"/>
    <cellStyle name="40% - 강조색5 4 2 4 2 2 3" xfId="17987"/>
    <cellStyle name="40% - 강조색5 4 2 4 2 3" xfId="17988"/>
    <cellStyle name="40% - 강조색5 4 2 4 2 4" xfId="17989"/>
    <cellStyle name="40% - 강조색5 4 2 4 3" xfId="17990"/>
    <cellStyle name="40% - 강조색5 4 2 4 3 2" xfId="17991"/>
    <cellStyle name="40% - 강조색5 4 2 4 3 3" xfId="17992"/>
    <cellStyle name="40% - 강조색5 4 2 4 4" xfId="17993"/>
    <cellStyle name="40% - 강조색5 4 2 4 5" xfId="17994"/>
    <cellStyle name="40% - 강조색5 4 2 5" xfId="17995"/>
    <cellStyle name="40% - 강조색5 4 2 5 2" xfId="17996"/>
    <cellStyle name="40% - 강조색5 4 2 5 2 2" xfId="17997"/>
    <cellStyle name="40% - 강조색5 4 2 5 2 2 2" xfId="17998"/>
    <cellStyle name="40% - 강조색5 4 2 5 2 2 3" xfId="17999"/>
    <cellStyle name="40% - 강조색5 4 2 5 2 3" xfId="18000"/>
    <cellStyle name="40% - 강조색5 4 2 5 2 4" xfId="18001"/>
    <cellStyle name="40% - 강조색5 4 2 5 3" xfId="18002"/>
    <cellStyle name="40% - 강조색5 4 2 5 3 2" xfId="18003"/>
    <cellStyle name="40% - 강조색5 4 2 5 3 3" xfId="18004"/>
    <cellStyle name="40% - 강조색5 4 2 5 4" xfId="18005"/>
    <cellStyle name="40% - 강조색5 4 2 5 5" xfId="18006"/>
    <cellStyle name="40% - 강조색5 4 2 6" xfId="18007"/>
    <cellStyle name="40% - 강조색5 4 2 6 2" xfId="18008"/>
    <cellStyle name="40% - 강조색5 4 2 6 2 2" xfId="18009"/>
    <cellStyle name="40% - 강조색5 4 2 6 2 2 2" xfId="18010"/>
    <cellStyle name="40% - 강조색5 4 2 6 2 2 3" xfId="18011"/>
    <cellStyle name="40% - 강조색5 4 2 6 2 3" xfId="18012"/>
    <cellStyle name="40% - 강조색5 4 2 6 2 4" xfId="18013"/>
    <cellStyle name="40% - 강조색5 4 2 6 3" xfId="18014"/>
    <cellStyle name="40% - 강조색5 4 2 6 3 2" xfId="18015"/>
    <cellStyle name="40% - 강조색5 4 2 6 3 3" xfId="18016"/>
    <cellStyle name="40% - 강조색5 4 2 6 4" xfId="18017"/>
    <cellStyle name="40% - 강조색5 4 2 6 5" xfId="18018"/>
    <cellStyle name="40% - 강조색5 4 2 7" xfId="18019"/>
    <cellStyle name="40% - 강조색5 4 2 7 2" xfId="18020"/>
    <cellStyle name="40% - 강조색5 4 2 7 2 2" xfId="18021"/>
    <cellStyle name="40% - 강조색5 4 2 7 2 3" xfId="18022"/>
    <cellStyle name="40% - 강조색5 4 2 7 3" xfId="18023"/>
    <cellStyle name="40% - 강조색5 4 2 7 4" xfId="18024"/>
    <cellStyle name="40% - 강조색5 4 2 8" xfId="18025"/>
    <cellStyle name="40% - 강조색5 4 2 8 2" xfId="18026"/>
    <cellStyle name="40% - 강조색5 4 2 8 3" xfId="18027"/>
    <cellStyle name="40% - 강조색5 4 2 9" xfId="18028"/>
    <cellStyle name="40% - 강조색5 4 3" xfId="18029"/>
    <cellStyle name="40% - 강조색5 4 3 10" xfId="18030"/>
    <cellStyle name="40% - 강조색5 4 3 2" xfId="18031"/>
    <cellStyle name="40% - 강조색5 4 3 2 2" xfId="18032"/>
    <cellStyle name="40% - 강조색5 4 3 2 2 2" xfId="18033"/>
    <cellStyle name="40% - 강조색5 4 3 2 2 2 2" xfId="18034"/>
    <cellStyle name="40% - 강조색5 4 3 2 2 2 2 2" xfId="18035"/>
    <cellStyle name="40% - 강조색5 4 3 2 2 2 2 3" xfId="18036"/>
    <cellStyle name="40% - 강조색5 4 3 2 2 2 3" xfId="18037"/>
    <cellStyle name="40% - 강조색5 4 3 2 2 2 4" xfId="18038"/>
    <cellStyle name="40% - 강조색5 4 3 2 2 3" xfId="18039"/>
    <cellStyle name="40% - 강조색5 4 3 2 2 3 2" xfId="18040"/>
    <cellStyle name="40% - 강조색5 4 3 2 2 3 3" xfId="18041"/>
    <cellStyle name="40% - 강조색5 4 3 2 2 4" xfId="18042"/>
    <cellStyle name="40% - 강조색5 4 3 2 2 5" xfId="18043"/>
    <cellStyle name="40% - 강조색5 4 3 2 3" xfId="18044"/>
    <cellStyle name="40% - 강조색5 4 3 2 3 2" xfId="18045"/>
    <cellStyle name="40% - 강조색5 4 3 2 3 2 2" xfId="18046"/>
    <cellStyle name="40% - 강조색5 4 3 2 3 2 2 2" xfId="18047"/>
    <cellStyle name="40% - 강조색5 4 3 2 3 2 2 3" xfId="18048"/>
    <cellStyle name="40% - 강조색5 4 3 2 3 2 3" xfId="18049"/>
    <cellStyle name="40% - 강조색5 4 3 2 3 2 4" xfId="18050"/>
    <cellStyle name="40% - 강조색5 4 3 2 3 3" xfId="18051"/>
    <cellStyle name="40% - 강조색5 4 3 2 3 3 2" xfId="18052"/>
    <cellStyle name="40% - 강조색5 4 3 2 3 3 3" xfId="18053"/>
    <cellStyle name="40% - 강조색5 4 3 2 3 4" xfId="18054"/>
    <cellStyle name="40% - 강조색5 4 3 2 3 5" xfId="18055"/>
    <cellStyle name="40% - 강조색5 4 3 2 4" xfId="18056"/>
    <cellStyle name="40% - 강조색5 4 3 2 4 2" xfId="18057"/>
    <cellStyle name="40% - 강조색5 4 3 2 4 2 2" xfId="18058"/>
    <cellStyle name="40% - 강조색5 4 3 2 4 2 3" xfId="18059"/>
    <cellStyle name="40% - 강조색5 4 3 2 4 3" xfId="18060"/>
    <cellStyle name="40% - 강조색5 4 3 2 4 4" xfId="18061"/>
    <cellStyle name="40% - 강조색5 4 3 2 5" xfId="18062"/>
    <cellStyle name="40% - 강조색5 4 3 2 5 2" xfId="18063"/>
    <cellStyle name="40% - 강조색5 4 3 2 5 3" xfId="18064"/>
    <cellStyle name="40% - 강조색5 4 3 2 6" xfId="18065"/>
    <cellStyle name="40% - 강조색5 4 3 2 7" xfId="18066"/>
    <cellStyle name="40% - 강조색5 4 3 3" xfId="18067"/>
    <cellStyle name="40% - 강조색5 4 3 3 2" xfId="18068"/>
    <cellStyle name="40% - 강조색5 4 3 3 2 2" xfId="18069"/>
    <cellStyle name="40% - 강조색5 4 3 3 2 2 2" xfId="18070"/>
    <cellStyle name="40% - 강조색5 4 3 3 2 2 2 2" xfId="18071"/>
    <cellStyle name="40% - 강조색5 4 3 3 2 2 2 3" xfId="18072"/>
    <cellStyle name="40% - 강조색5 4 3 3 2 2 3" xfId="18073"/>
    <cellStyle name="40% - 강조색5 4 3 3 2 2 4" xfId="18074"/>
    <cellStyle name="40% - 강조색5 4 3 3 2 3" xfId="18075"/>
    <cellStyle name="40% - 강조색5 4 3 3 2 3 2" xfId="18076"/>
    <cellStyle name="40% - 강조색5 4 3 3 2 3 3" xfId="18077"/>
    <cellStyle name="40% - 강조색5 4 3 3 2 4" xfId="18078"/>
    <cellStyle name="40% - 강조색5 4 3 3 2 5" xfId="18079"/>
    <cellStyle name="40% - 강조색5 4 3 3 3" xfId="18080"/>
    <cellStyle name="40% - 강조색5 4 3 3 3 2" xfId="18081"/>
    <cellStyle name="40% - 강조색5 4 3 3 3 2 2" xfId="18082"/>
    <cellStyle name="40% - 강조색5 4 3 3 3 2 2 2" xfId="18083"/>
    <cellStyle name="40% - 강조색5 4 3 3 3 2 2 3" xfId="18084"/>
    <cellStyle name="40% - 강조색5 4 3 3 3 2 3" xfId="18085"/>
    <cellStyle name="40% - 강조색5 4 3 3 3 2 4" xfId="18086"/>
    <cellStyle name="40% - 강조색5 4 3 3 3 3" xfId="18087"/>
    <cellStyle name="40% - 강조색5 4 3 3 3 3 2" xfId="18088"/>
    <cellStyle name="40% - 강조색5 4 3 3 3 3 3" xfId="18089"/>
    <cellStyle name="40% - 강조색5 4 3 3 3 4" xfId="18090"/>
    <cellStyle name="40% - 강조색5 4 3 3 3 5" xfId="18091"/>
    <cellStyle name="40% - 강조색5 4 3 3 4" xfId="18092"/>
    <cellStyle name="40% - 강조색5 4 3 3 4 2" xfId="18093"/>
    <cellStyle name="40% - 강조색5 4 3 3 4 2 2" xfId="18094"/>
    <cellStyle name="40% - 강조색5 4 3 3 4 2 3" xfId="18095"/>
    <cellStyle name="40% - 강조색5 4 3 3 4 3" xfId="18096"/>
    <cellStyle name="40% - 강조색5 4 3 3 4 4" xfId="18097"/>
    <cellStyle name="40% - 강조색5 4 3 3 5" xfId="18098"/>
    <cellStyle name="40% - 강조색5 4 3 3 5 2" xfId="18099"/>
    <cellStyle name="40% - 강조색5 4 3 3 5 3" xfId="18100"/>
    <cellStyle name="40% - 강조색5 4 3 3 6" xfId="18101"/>
    <cellStyle name="40% - 강조색5 4 3 3 7" xfId="18102"/>
    <cellStyle name="40% - 강조색5 4 3 4" xfId="18103"/>
    <cellStyle name="40% - 강조색5 4 3 4 2" xfId="18104"/>
    <cellStyle name="40% - 강조색5 4 3 4 2 2" xfId="18105"/>
    <cellStyle name="40% - 강조색5 4 3 4 2 2 2" xfId="18106"/>
    <cellStyle name="40% - 강조색5 4 3 4 2 2 3" xfId="18107"/>
    <cellStyle name="40% - 강조색5 4 3 4 2 3" xfId="18108"/>
    <cellStyle name="40% - 강조색5 4 3 4 2 4" xfId="18109"/>
    <cellStyle name="40% - 강조색5 4 3 4 3" xfId="18110"/>
    <cellStyle name="40% - 강조색5 4 3 4 3 2" xfId="18111"/>
    <cellStyle name="40% - 강조색5 4 3 4 3 3" xfId="18112"/>
    <cellStyle name="40% - 강조색5 4 3 4 4" xfId="18113"/>
    <cellStyle name="40% - 강조색5 4 3 4 5" xfId="18114"/>
    <cellStyle name="40% - 강조색5 4 3 5" xfId="18115"/>
    <cellStyle name="40% - 강조색5 4 3 5 2" xfId="18116"/>
    <cellStyle name="40% - 강조색5 4 3 5 2 2" xfId="18117"/>
    <cellStyle name="40% - 강조색5 4 3 5 2 2 2" xfId="18118"/>
    <cellStyle name="40% - 강조색5 4 3 5 2 2 3" xfId="18119"/>
    <cellStyle name="40% - 강조색5 4 3 5 2 3" xfId="18120"/>
    <cellStyle name="40% - 강조색5 4 3 5 2 4" xfId="18121"/>
    <cellStyle name="40% - 강조색5 4 3 5 3" xfId="18122"/>
    <cellStyle name="40% - 강조색5 4 3 5 3 2" xfId="18123"/>
    <cellStyle name="40% - 강조색5 4 3 5 3 3" xfId="18124"/>
    <cellStyle name="40% - 강조색5 4 3 5 4" xfId="18125"/>
    <cellStyle name="40% - 강조색5 4 3 5 5" xfId="18126"/>
    <cellStyle name="40% - 강조색5 4 3 6" xfId="18127"/>
    <cellStyle name="40% - 강조색5 4 3 6 2" xfId="18128"/>
    <cellStyle name="40% - 강조색5 4 3 6 2 2" xfId="18129"/>
    <cellStyle name="40% - 강조색5 4 3 6 2 2 2" xfId="18130"/>
    <cellStyle name="40% - 강조색5 4 3 6 2 2 3" xfId="18131"/>
    <cellStyle name="40% - 강조색5 4 3 6 2 3" xfId="18132"/>
    <cellStyle name="40% - 강조색5 4 3 6 2 4" xfId="18133"/>
    <cellStyle name="40% - 강조색5 4 3 6 3" xfId="18134"/>
    <cellStyle name="40% - 강조색5 4 3 6 3 2" xfId="18135"/>
    <cellStyle name="40% - 강조색5 4 3 6 3 3" xfId="18136"/>
    <cellStyle name="40% - 강조색5 4 3 6 4" xfId="18137"/>
    <cellStyle name="40% - 강조색5 4 3 6 5" xfId="18138"/>
    <cellStyle name="40% - 강조색5 4 3 7" xfId="18139"/>
    <cellStyle name="40% - 강조색5 4 3 7 2" xfId="18140"/>
    <cellStyle name="40% - 강조색5 4 3 7 2 2" xfId="18141"/>
    <cellStyle name="40% - 강조색5 4 3 7 2 3" xfId="18142"/>
    <cellStyle name="40% - 강조색5 4 3 7 3" xfId="18143"/>
    <cellStyle name="40% - 강조색5 4 3 7 4" xfId="18144"/>
    <cellStyle name="40% - 강조색5 4 3 8" xfId="18145"/>
    <cellStyle name="40% - 강조색5 4 3 8 2" xfId="18146"/>
    <cellStyle name="40% - 강조색5 4 3 8 3" xfId="18147"/>
    <cellStyle name="40% - 강조색5 4 3 9" xfId="18148"/>
    <cellStyle name="40% - 강조색5 4 4" xfId="18149"/>
    <cellStyle name="40% - 강조색5 4 4 10" xfId="18150"/>
    <cellStyle name="40% - 강조색5 4 4 2" xfId="18151"/>
    <cellStyle name="40% - 강조색5 4 4 2 2" xfId="18152"/>
    <cellStyle name="40% - 강조색5 4 4 2 2 2" xfId="18153"/>
    <cellStyle name="40% - 강조색5 4 4 2 2 2 2" xfId="18154"/>
    <cellStyle name="40% - 강조색5 4 4 2 2 2 2 2" xfId="18155"/>
    <cellStyle name="40% - 강조색5 4 4 2 2 2 2 3" xfId="18156"/>
    <cellStyle name="40% - 강조색5 4 4 2 2 2 3" xfId="18157"/>
    <cellStyle name="40% - 강조색5 4 4 2 2 2 4" xfId="18158"/>
    <cellStyle name="40% - 강조색5 4 4 2 2 3" xfId="18159"/>
    <cellStyle name="40% - 강조색5 4 4 2 2 3 2" xfId="18160"/>
    <cellStyle name="40% - 강조색5 4 4 2 2 3 3" xfId="18161"/>
    <cellStyle name="40% - 강조색5 4 4 2 2 4" xfId="18162"/>
    <cellStyle name="40% - 강조색5 4 4 2 2 5" xfId="18163"/>
    <cellStyle name="40% - 강조색5 4 4 2 3" xfId="18164"/>
    <cellStyle name="40% - 강조색5 4 4 2 3 2" xfId="18165"/>
    <cellStyle name="40% - 강조색5 4 4 2 3 2 2" xfId="18166"/>
    <cellStyle name="40% - 강조색5 4 4 2 3 2 2 2" xfId="18167"/>
    <cellStyle name="40% - 강조색5 4 4 2 3 2 2 3" xfId="18168"/>
    <cellStyle name="40% - 강조색5 4 4 2 3 2 3" xfId="18169"/>
    <cellStyle name="40% - 강조색5 4 4 2 3 2 4" xfId="18170"/>
    <cellStyle name="40% - 강조색5 4 4 2 3 3" xfId="18171"/>
    <cellStyle name="40% - 강조색5 4 4 2 3 3 2" xfId="18172"/>
    <cellStyle name="40% - 강조색5 4 4 2 3 3 3" xfId="18173"/>
    <cellStyle name="40% - 강조색5 4 4 2 3 4" xfId="18174"/>
    <cellStyle name="40% - 강조색5 4 4 2 3 5" xfId="18175"/>
    <cellStyle name="40% - 강조색5 4 4 2 4" xfId="18176"/>
    <cellStyle name="40% - 강조색5 4 4 2 4 2" xfId="18177"/>
    <cellStyle name="40% - 강조색5 4 4 2 4 2 2" xfId="18178"/>
    <cellStyle name="40% - 강조색5 4 4 2 4 2 3" xfId="18179"/>
    <cellStyle name="40% - 강조색5 4 4 2 4 3" xfId="18180"/>
    <cellStyle name="40% - 강조색5 4 4 2 4 4" xfId="18181"/>
    <cellStyle name="40% - 강조색5 4 4 2 5" xfId="18182"/>
    <cellStyle name="40% - 강조색5 4 4 2 5 2" xfId="18183"/>
    <cellStyle name="40% - 강조색5 4 4 2 5 3" xfId="18184"/>
    <cellStyle name="40% - 강조색5 4 4 2 6" xfId="18185"/>
    <cellStyle name="40% - 강조색5 4 4 2 7" xfId="18186"/>
    <cellStyle name="40% - 강조색5 4 4 3" xfId="18187"/>
    <cellStyle name="40% - 강조색5 4 4 3 2" xfId="18188"/>
    <cellStyle name="40% - 강조색5 4 4 3 2 2" xfId="18189"/>
    <cellStyle name="40% - 강조색5 4 4 3 2 2 2" xfId="18190"/>
    <cellStyle name="40% - 강조색5 4 4 3 2 2 2 2" xfId="18191"/>
    <cellStyle name="40% - 강조색5 4 4 3 2 2 2 3" xfId="18192"/>
    <cellStyle name="40% - 강조색5 4 4 3 2 2 3" xfId="18193"/>
    <cellStyle name="40% - 강조색5 4 4 3 2 2 4" xfId="18194"/>
    <cellStyle name="40% - 강조색5 4 4 3 2 3" xfId="18195"/>
    <cellStyle name="40% - 강조색5 4 4 3 2 3 2" xfId="18196"/>
    <cellStyle name="40% - 강조색5 4 4 3 2 3 3" xfId="18197"/>
    <cellStyle name="40% - 강조색5 4 4 3 2 4" xfId="18198"/>
    <cellStyle name="40% - 강조색5 4 4 3 2 5" xfId="18199"/>
    <cellStyle name="40% - 강조색5 4 4 3 3" xfId="18200"/>
    <cellStyle name="40% - 강조색5 4 4 3 3 2" xfId="18201"/>
    <cellStyle name="40% - 강조색5 4 4 3 3 2 2" xfId="18202"/>
    <cellStyle name="40% - 강조색5 4 4 3 3 2 2 2" xfId="18203"/>
    <cellStyle name="40% - 강조색5 4 4 3 3 2 2 3" xfId="18204"/>
    <cellStyle name="40% - 강조색5 4 4 3 3 2 3" xfId="18205"/>
    <cellStyle name="40% - 강조색5 4 4 3 3 2 4" xfId="18206"/>
    <cellStyle name="40% - 강조색5 4 4 3 3 3" xfId="18207"/>
    <cellStyle name="40% - 강조색5 4 4 3 3 3 2" xfId="18208"/>
    <cellStyle name="40% - 강조색5 4 4 3 3 3 3" xfId="18209"/>
    <cellStyle name="40% - 강조색5 4 4 3 3 4" xfId="18210"/>
    <cellStyle name="40% - 강조색5 4 4 3 3 5" xfId="18211"/>
    <cellStyle name="40% - 강조색5 4 4 3 4" xfId="18212"/>
    <cellStyle name="40% - 강조색5 4 4 3 4 2" xfId="18213"/>
    <cellStyle name="40% - 강조색5 4 4 3 4 2 2" xfId="18214"/>
    <cellStyle name="40% - 강조색5 4 4 3 4 2 3" xfId="18215"/>
    <cellStyle name="40% - 강조색5 4 4 3 4 3" xfId="18216"/>
    <cellStyle name="40% - 강조색5 4 4 3 4 4" xfId="18217"/>
    <cellStyle name="40% - 강조색5 4 4 3 5" xfId="18218"/>
    <cellStyle name="40% - 강조색5 4 4 3 5 2" xfId="18219"/>
    <cellStyle name="40% - 강조색5 4 4 3 5 3" xfId="18220"/>
    <cellStyle name="40% - 강조색5 4 4 3 6" xfId="18221"/>
    <cellStyle name="40% - 강조색5 4 4 3 7" xfId="18222"/>
    <cellStyle name="40% - 강조색5 4 4 4" xfId="18223"/>
    <cellStyle name="40% - 강조색5 4 4 4 2" xfId="18224"/>
    <cellStyle name="40% - 강조색5 4 4 4 2 2" xfId="18225"/>
    <cellStyle name="40% - 강조색5 4 4 4 2 2 2" xfId="18226"/>
    <cellStyle name="40% - 강조색5 4 4 4 2 2 3" xfId="18227"/>
    <cellStyle name="40% - 강조색5 4 4 4 2 3" xfId="18228"/>
    <cellStyle name="40% - 강조색5 4 4 4 2 4" xfId="18229"/>
    <cellStyle name="40% - 강조색5 4 4 4 3" xfId="18230"/>
    <cellStyle name="40% - 강조색5 4 4 4 3 2" xfId="18231"/>
    <cellStyle name="40% - 강조색5 4 4 4 3 3" xfId="18232"/>
    <cellStyle name="40% - 강조색5 4 4 4 4" xfId="18233"/>
    <cellStyle name="40% - 강조색5 4 4 4 5" xfId="18234"/>
    <cellStyle name="40% - 강조색5 4 4 5" xfId="18235"/>
    <cellStyle name="40% - 강조색5 4 4 5 2" xfId="18236"/>
    <cellStyle name="40% - 강조색5 4 4 5 2 2" xfId="18237"/>
    <cellStyle name="40% - 강조색5 4 4 5 2 2 2" xfId="18238"/>
    <cellStyle name="40% - 강조색5 4 4 5 2 2 3" xfId="18239"/>
    <cellStyle name="40% - 강조색5 4 4 5 2 3" xfId="18240"/>
    <cellStyle name="40% - 강조색5 4 4 5 2 4" xfId="18241"/>
    <cellStyle name="40% - 강조색5 4 4 5 3" xfId="18242"/>
    <cellStyle name="40% - 강조색5 4 4 5 3 2" xfId="18243"/>
    <cellStyle name="40% - 강조색5 4 4 5 3 3" xfId="18244"/>
    <cellStyle name="40% - 강조색5 4 4 5 4" xfId="18245"/>
    <cellStyle name="40% - 강조색5 4 4 5 5" xfId="18246"/>
    <cellStyle name="40% - 강조색5 4 4 6" xfId="18247"/>
    <cellStyle name="40% - 강조색5 4 4 6 2" xfId="18248"/>
    <cellStyle name="40% - 강조색5 4 4 6 2 2" xfId="18249"/>
    <cellStyle name="40% - 강조색5 4 4 6 2 2 2" xfId="18250"/>
    <cellStyle name="40% - 강조색5 4 4 6 2 2 3" xfId="18251"/>
    <cellStyle name="40% - 강조색5 4 4 6 2 3" xfId="18252"/>
    <cellStyle name="40% - 강조색5 4 4 6 2 4" xfId="18253"/>
    <cellStyle name="40% - 강조색5 4 4 6 3" xfId="18254"/>
    <cellStyle name="40% - 강조색5 4 4 6 3 2" xfId="18255"/>
    <cellStyle name="40% - 강조색5 4 4 6 3 3" xfId="18256"/>
    <cellStyle name="40% - 강조색5 4 4 6 4" xfId="18257"/>
    <cellStyle name="40% - 강조색5 4 4 6 5" xfId="18258"/>
    <cellStyle name="40% - 강조색5 4 4 7" xfId="18259"/>
    <cellStyle name="40% - 강조색5 4 4 7 2" xfId="18260"/>
    <cellStyle name="40% - 강조색5 4 4 7 2 2" xfId="18261"/>
    <cellStyle name="40% - 강조색5 4 4 7 2 3" xfId="18262"/>
    <cellStyle name="40% - 강조색5 4 4 7 3" xfId="18263"/>
    <cellStyle name="40% - 강조색5 4 4 7 4" xfId="18264"/>
    <cellStyle name="40% - 강조색5 4 4 8" xfId="18265"/>
    <cellStyle name="40% - 강조색5 4 4 8 2" xfId="18266"/>
    <cellStyle name="40% - 강조색5 4 4 8 3" xfId="18267"/>
    <cellStyle name="40% - 강조색5 4 4 9" xfId="18268"/>
    <cellStyle name="40% - 강조색5 4 5" xfId="18269"/>
    <cellStyle name="40% - 강조색5 4 5 2" xfId="18270"/>
    <cellStyle name="40% - 강조색5 4 5 2 2" xfId="18271"/>
    <cellStyle name="40% - 강조색5 4 5 2 2 2" xfId="18272"/>
    <cellStyle name="40% - 강조색5 4 5 2 2 2 2" xfId="18273"/>
    <cellStyle name="40% - 강조색5 4 5 2 2 2 3" xfId="18274"/>
    <cellStyle name="40% - 강조색5 4 5 2 2 3" xfId="18275"/>
    <cellStyle name="40% - 강조색5 4 5 2 2 4" xfId="18276"/>
    <cellStyle name="40% - 강조색5 4 5 2 3" xfId="18277"/>
    <cellStyle name="40% - 강조색5 4 5 2 3 2" xfId="18278"/>
    <cellStyle name="40% - 강조색5 4 5 2 3 3" xfId="18279"/>
    <cellStyle name="40% - 강조색5 4 5 2 4" xfId="18280"/>
    <cellStyle name="40% - 강조색5 4 5 2 5" xfId="18281"/>
    <cellStyle name="40% - 강조색5 4 5 3" xfId="18282"/>
    <cellStyle name="40% - 강조색5 4 5 3 2" xfId="18283"/>
    <cellStyle name="40% - 강조색5 4 5 3 2 2" xfId="18284"/>
    <cellStyle name="40% - 강조색5 4 5 3 2 2 2" xfId="18285"/>
    <cellStyle name="40% - 강조색5 4 5 3 2 2 3" xfId="18286"/>
    <cellStyle name="40% - 강조색5 4 5 3 2 3" xfId="18287"/>
    <cellStyle name="40% - 강조색5 4 5 3 2 4" xfId="18288"/>
    <cellStyle name="40% - 강조색5 4 5 3 3" xfId="18289"/>
    <cellStyle name="40% - 강조색5 4 5 3 3 2" xfId="18290"/>
    <cellStyle name="40% - 강조색5 4 5 3 3 3" xfId="18291"/>
    <cellStyle name="40% - 강조색5 4 5 3 4" xfId="18292"/>
    <cellStyle name="40% - 강조색5 4 5 3 5" xfId="18293"/>
    <cellStyle name="40% - 강조색5 4 5 4" xfId="18294"/>
    <cellStyle name="40% - 강조색5 4 5 4 2" xfId="18295"/>
    <cellStyle name="40% - 강조색5 4 5 4 2 2" xfId="18296"/>
    <cellStyle name="40% - 강조색5 4 5 4 2 3" xfId="18297"/>
    <cellStyle name="40% - 강조색5 4 5 4 3" xfId="18298"/>
    <cellStyle name="40% - 강조색5 4 5 4 4" xfId="18299"/>
    <cellStyle name="40% - 강조색5 4 5 5" xfId="18300"/>
    <cellStyle name="40% - 강조색5 4 5 5 2" xfId="18301"/>
    <cellStyle name="40% - 강조색5 4 5 5 3" xfId="18302"/>
    <cellStyle name="40% - 강조색5 4 5 6" xfId="18303"/>
    <cellStyle name="40% - 강조색5 4 5 7" xfId="18304"/>
    <cellStyle name="40% - 강조색5 4 6" xfId="18305"/>
    <cellStyle name="40% - 강조색5 4 6 2" xfId="18306"/>
    <cellStyle name="40% - 강조색5 4 6 2 2" xfId="18307"/>
    <cellStyle name="40% - 강조색5 4 6 2 2 2" xfId="18308"/>
    <cellStyle name="40% - 강조색5 4 6 2 2 2 2" xfId="18309"/>
    <cellStyle name="40% - 강조색5 4 6 2 2 2 3" xfId="18310"/>
    <cellStyle name="40% - 강조색5 4 6 2 2 3" xfId="18311"/>
    <cellStyle name="40% - 강조색5 4 6 2 2 4" xfId="18312"/>
    <cellStyle name="40% - 강조색5 4 6 2 3" xfId="18313"/>
    <cellStyle name="40% - 강조색5 4 6 2 3 2" xfId="18314"/>
    <cellStyle name="40% - 강조색5 4 6 2 3 3" xfId="18315"/>
    <cellStyle name="40% - 강조색5 4 6 2 4" xfId="18316"/>
    <cellStyle name="40% - 강조색5 4 6 2 5" xfId="18317"/>
    <cellStyle name="40% - 강조색5 4 6 3" xfId="18318"/>
    <cellStyle name="40% - 강조색5 4 6 3 2" xfId="18319"/>
    <cellStyle name="40% - 강조색5 4 6 3 2 2" xfId="18320"/>
    <cellStyle name="40% - 강조색5 4 6 3 2 2 2" xfId="18321"/>
    <cellStyle name="40% - 강조색5 4 6 3 2 2 3" xfId="18322"/>
    <cellStyle name="40% - 강조색5 4 6 3 2 3" xfId="18323"/>
    <cellStyle name="40% - 강조색5 4 6 3 2 4" xfId="18324"/>
    <cellStyle name="40% - 강조색5 4 6 3 3" xfId="18325"/>
    <cellStyle name="40% - 강조색5 4 6 3 3 2" xfId="18326"/>
    <cellStyle name="40% - 강조색5 4 6 3 3 3" xfId="18327"/>
    <cellStyle name="40% - 강조색5 4 6 3 4" xfId="18328"/>
    <cellStyle name="40% - 강조색5 4 6 3 5" xfId="18329"/>
    <cellStyle name="40% - 강조색5 4 6 4" xfId="18330"/>
    <cellStyle name="40% - 강조색5 4 6 4 2" xfId="18331"/>
    <cellStyle name="40% - 강조색5 4 6 4 2 2" xfId="18332"/>
    <cellStyle name="40% - 강조색5 4 6 4 2 3" xfId="18333"/>
    <cellStyle name="40% - 강조색5 4 6 4 3" xfId="18334"/>
    <cellStyle name="40% - 강조색5 4 6 4 4" xfId="18335"/>
    <cellStyle name="40% - 강조색5 4 6 5" xfId="18336"/>
    <cellStyle name="40% - 강조색5 4 6 5 2" xfId="18337"/>
    <cellStyle name="40% - 강조색5 4 6 5 3" xfId="18338"/>
    <cellStyle name="40% - 강조색5 4 6 6" xfId="18339"/>
    <cellStyle name="40% - 강조색5 4 6 7" xfId="18340"/>
    <cellStyle name="40% - 강조색5 4 7" xfId="18341"/>
    <cellStyle name="40% - 강조색5 4 7 2" xfId="18342"/>
    <cellStyle name="40% - 강조색5 4 7 2 2" xfId="18343"/>
    <cellStyle name="40% - 강조색5 4 7 2 2 2" xfId="18344"/>
    <cellStyle name="40% - 강조색5 4 7 2 2 3" xfId="18345"/>
    <cellStyle name="40% - 강조색5 4 7 2 3" xfId="18346"/>
    <cellStyle name="40% - 강조색5 4 7 2 4" xfId="18347"/>
    <cellStyle name="40% - 강조색5 4 7 3" xfId="18348"/>
    <cellStyle name="40% - 강조색5 4 7 3 2" xfId="18349"/>
    <cellStyle name="40% - 강조색5 4 7 3 3" xfId="18350"/>
    <cellStyle name="40% - 강조색5 4 7 4" xfId="18351"/>
    <cellStyle name="40% - 강조색5 4 7 5" xfId="18352"/>
    <cellStyle name="40% - 강조색5 4 8" xfId="18353"/>
    <cellStyle name="40% - 강조색5 4 8 2" xfId="18354"/>
    <cellStyle name="40% - 강조색5 4 8 2 2" xfId="18355"/>
    <cellStyle name="40% - 강조색5 4 8 2 2 2" xfId="18356"/>
    <cellStyle name="40% - 강조색5 4 8 2 2 3" xfId="18357"/>
    <cellStyle name="40% - 강조색5 4 8 2 3" xfId="18358"/>
    <cellStyle name="40% - 강조색5 4 8 2 4" xfId="18359"/>
    <cellStyle name="40% - 강조색5 4 8 3" xfId="18360"/>
    <cellStyle name="40% - 강조색5 4 8 3 2" xfId="18361"/>
    <cellStyle name="40% - 강조색5 4 8 3 3" xfId="18362"/>
    <cellStyle name="40% - 강조색5 4 8 4" xfId="18363"/>
    <cellStyle name="40% - 강조색5 4 8 5" xfId="18364"/>
    <cellStyle name="40% - 강조색5 4 9" xfId="18365"/>
    <cellStyle name="40% - 강조색5 4 9 2" xfId="18366"/>
    <cellStyle name="40% - 강조색5 4 9 2 2" xfId="18367"/>
    <cellStyle name="40% - 강조색5 4 9 2 2 2" xfId="18368"/>
    <cellStyle name="40% - 강조색5 4 9 2 2 3" xfId="18369"/>
    <cellStyle name="40% - 강조색5 4 9 2 3" xfId="18370"/>
    <cellStyle name="40% - 강조색5 4 9 2 4" xfId="18371"/>
    <cellStyle name="40% - 강조색5 4 9 3" xfId="18372"/>
    <cellStyle name="40% - 강조색5 4 9 3 2" xfId="18373"/>
    <cellStyle name="40% - 강조색5 4 9 3 3" xfId="18374"/>
    <cellStyle name="40% - 강조색5 4 9 4" xfId="18375"/>
    <cellStyle name="40% - 강조색5 4 9 5" xfId="18376"/>
    <cellStyle name="40% - 강조색5 40" xfId="18377"/>
    <cellStyle name="40% - 강조색5 41" xfId="18378"/>
    <cellStyle name="40% - 강조색5 42" xfId="18379"/>
    <cellStyle name="40% - 강조색5 43" xfId="18380"/>
    <cellStyle name="40% - 강조색5 44" xfId="18381"/>
    <cellStyle name="40% - 강조색5 45" xfId="18382"/>
    <cellStyle name="40% - 강조색5 46" xfId="18383"/>
    <cellStyle name="40% - 강조색5 47" xfId="18384"/>
    <cellStyle name="40% - 강조색5 48" xfId="18385"/>
    <cellStyle name="40% - 강조색5 49" xfId="18386"/>
    <cellStyle name="40% - 강조색5 5" xfId="18387"/>
    <cellStyle name="40% - 강조색5 5 10" xfId="18388"/>
    <cellStyle name="40% - 강조색5 5 11" xfId="18389"/>
    <cellStyle name="40% - 강조색5 5 2" xfId="18390"/>
    <cellStyle name="40% - 강조색5 5 2 2" xfId="18391"/>
    <cellStyle name="40% - 강조색5 5 2 2 2" xfId="18392"/>
    <cellStyle name="40% - 강조색5 5 2 2 2 2" xfId="18393"/>
    <cellStyle name="40% - 강조색5 5 2 2 2 2 2" xfId="18394"/>
    <cellStyle name="40% - 강조색5 5 2 2 2 2 3" xfId="18395"/>
    <cellStyle name="40% - 강조색5 5 2 2 2 3" xfId="18396"/>
    <cellStyle name="40% - 강조색5 5 2 2 2 4" xfId="18397"/>
    <cellStyle name="40% - 강조색5 5 2 2 3" xfId="18398"/>
    <cellStyle name="40% - 강조색5 5 2 2 3 2" xfId="18399"/>
    <cellStyle name="40% - 강조색5 5 2 2 3 3" xfId="18400"/>
    <cellStyle name="40% - 강조색5 5 2 2 4" xfId="18401"/>
    <cellStyle name="40% - 강조색5 5 2 2 5" xfId="18402"/>
    <cellStyle name="40% - 강조색5 5 2 3" xfId="18403"/>
    <cellStyle name="40% - 강조색5 5 2 3 2" xfId="18404"/>
    <cellStyle name="40% - 강조색5 5 2 3 2 2" xfId="18405"/>
    <cellStyle name="40% - 강조색5 5 2 3 2 2 2" xfId="18406"/>
    <cellStyle name="40% - 강조색5 5 2 3 2 2 3" xfId="18407"/>
    <cellStyle name="40% - 강조색5 5 2 3 2 3" xfId="18408"/>
    <cellStyle name="40% - 강조색5 5 2 3 2 4" xfId="18409"/>
    <cellStyle name="40% - 강조색5 5 2 3 3" xfId="18410"/>
    <cellStyle name="40% - 강조색5 5 2 3 3 2" xfId="18411"/>
    <cellStyle name="40% - 강조색5 5 2 3 3 3" xfId="18412"/>
    <cellStyle name="40% - 강조색5 5 2 3 4" xfId="18413"/>
    <cellStyle name="40% - 강조색5 5 2 3 5" xfId="18414"/>
    <cellStyle name="40% - 강조색5 5 2 4" xfId="18415"/>
    <cellStyle name="40% - 강조색5 5 2 4 2" xfId="18416"/>
    <cellStyle name="40% - 강조색5 5 2 4 2 2" xfId="18417"/>
    <cellStyle name="40% - 강조색5 5 2 4 2 3" xfId="18418"/>
    <cellStyle name="40% - 강조색5 5 2 4 3" xfId="18419"/>
    <cellStyle name="40% - 강조색5 5 2 4 4" xfId="18420"/>
    <cellStyle name="40% - 강조색5 5 2 5" xfId="18421"/>
    <cellStyle name="40% - 강조색5 5 2 5 2" xfId="18422"/>
    <cellStyle name="40% - 강조색5 5 2 5 3" xfId="18423"/>
    <cellStyle name="40% - 강조색5 5 2 6" xfId="18424"/>
    <cellStyle name="40% - 강조색5 5 2 7" xfId="18425"/>
    <cellStyle name="40% - 강조색5 5 3" xfId="18426"/>
    <cellStyle name="40% - 강조색5 5 3 2" xfId="18427"/>
    <cellStyle name="40% - 강조색5 5 3 2 2" xfId="18428"/>
    <cellStyle name="40% - 강조색5 5 3 2 2 2" xfId="18429"/>
    <cellStyle name="40% - 강조색5 5 3 2 2 2 2" xfId="18430"/>
    <cellStyle name="40% - 강조색5 5 3 2 2 2 3" xfId="18431"/>
    <cellStyle name="40% - 강조색5 5 3 2 2 3" xfId="18432"/>
    <cellStyle name="40% - 강조색5 5 3 2 2 4" xfId="18433"/>
    <cellStyle name="40% - 강조색5 5 3 2 3" xfId="18434"/>
    <cellStyle name="40% - 강조색5 5 3 2 3 2" xfId="18435"/>
    <cellStyle name="40% - 강조색5 5 3 2 3 3" xfId="18436"/>
    <cellStyle name="40% - 강조색5 5 3 2 4" xfId="18437"/>
    <cellStyle name="40% - 강조색5 5 3 2 5" xfId="18438"/>
    <cellStyle name="40% - 강조색5 5 3 3" xfId="18439"/>
    <cellStyle name="40% - 강조색5 5 3 3 2" xfId="18440"/>
    <cellStyle name="40% - 강조색5 5 3 3 2 2" xfId="18441"/>
    <cellStyle name="40% - 강조색5 5 3 3 2 2 2" xfId="18442"/>
    <cellStyle name="40% - 강조색5 5 3 3 2 2 3" xfId="18443"/>
    <cellStyle name="40% - 강조색5 5 3 3 2 3" xfId="18444"/>
    <cellStyle name="40% - 강조색5 5 3 3 2 4" xfId="18445"/>
    <cellStyle name="40% - 강조색5 5 3 3 3" xfId="18446"/>
    <cellStyle name="40% - 강조색5 5 3 3 3 2" xfId="18447"/>
    <cellStyle name="40% - 강조색5 5 3 3 3 3" xfId="18448"/>
    <cellStyle name="40% - 강조색5 5 3 3 4" xfId="18449"/>
    <cellStyle name="40% - 강조색5 5 3 3 5" xfId="18450"/>
    <cellStyle name="40% - 강조색5 5 3 4" xfId="18451"/>
    <cellStyle name="40% - 강조색5 5 3 4 2" xfId="18452"/>
    <cellStyle name="40% - 강조색5 5 3 4 2 2" xfId="18453"/>
    <cellStyle name="40% - 강조색5 5 3 4 2 3" xfId="18454"/>
    <cellStyle name="40% - 강조색5 5 3 4 3" xfId="18455"/>
    <cellStyle name="40% - 강조색5 5 3 4 4" xfId="18456"/>
    <cellStyle name="40% - 강조색5 5 3 5" xfId="18457"/>
    <cellStyle name="40% - 강조색5 5 3 5 2" xfId="18458"/>
    <cellStyle name="40% - 강조색5 5 3 5 3" xfId="18459"/>
    <cellStyle name="40% - 강조색5 5 3 6" xfId="18460"/>
    <cellStyle name="40% - 강조색5 5 3 7" xfId="18461"/>
    <cellStyle name="40% - 강조색5 5 4" xfId="18462"/>
    <cellStyle name="40% - 강조색5 5 4 2" xfId="18463"/>
    <cellStyle name="40% - 강조색5 5 4 2 2" xfId="18464"/>
    <cellStyle name="40% - 강조색5 5 4 2 2 2" xfId="18465"/>
    <cellStyle name="40% - 강조색5 5 4 2 2 3" xfId="18466"/>
    <cellStyle name="40% - 강조색5 5 4 2 3" xfId="18467"/>
    <cellStyle name="40% - 강조색5 5 4 2 4" xfId="18468"/>
    <cellStyle name="40% - 강조색5 5 4 3" xfId="18469"/>
    <cellStyle name="40% - 강조색5 5 4 3 2" xfId="18470"/>
    <cellStyle name="40% - 강조색5 5 4 3 3" xfId="18471"/>
    <cellStyle name="40% - 강조색5 5 4 4" xfId="18472"/>
    <cellStyle name="40% - 강조색5 5 4 5" xfId="18473"/>
    <cellStyle name="40% - 강조색5 5 5" xfId="18474"/>
    <cellStyle name="40% - 강조색5 5 5 2" xfId="18475"/>
    <cellStyle name="40% - 강조색5 5 5 2 2" xfId="18476"/>
    <cellStyle name="40% - 강조색5 5 5 2 2 2" xfId="18477"/>
    <cellStyle name="40% - 강조색5 5 5 2 2 3" xfId="18478"/>
    <cellStyle name="40% - 강조색5 5 5 2 3" xfId="18479"/>
    <cellStyle name="40% - 강조색5 5 5 2 4" xfId="18480"/>
    <cellStyle name="40% - 강조색5 5 5 3" xfId="18481"/>
    <cellStyle name="40% - 강조색5 5 5 3 2" xfId="18482"/>
    <cellStyle name="40% - 강조색5 5 5 3 3" xfId="18483"/>
    <cellStyle name="40% - 강조색5 5 5 4" xfId="18484"/>
    <cellStyle name="40% - 강조색5 5 5 5" xfId="18485"/>
    <cellStyle name="40% - 강조색5 5 6" xfId="18486"/>
    <cellStyle name="40% - 강조색5 5 6 2" xfId="18487"/>
    <cellStyle name="40% - 강조색5 5 6 2 2" xfId="18488"/>
    <cellStyle name="40% - 강조색5 5 6 2 2 2" xfId="18489"/>
    <cellStyle name="40% - 강조색5 5 6 2 2 3" xfId="18490"/>
    <cellStyle name="40% - 강조색5 5 6 2 3" xfId="18491"/>
    <cellStyle name="40% - 강조색5 5 6 2 4" xfId="18492"/>
    <cellStyle name="40% - 강조색5 5 6 3" xfId="18493"/>
    <cellStyle name="40% - 강조색5 5 6 3 2" xfId="18494"/>
    <cellStyle name="40% - 강조색5 5 6 3 3" xfId="18495"/>
    <cellStyle name="40% - 강조색5 5 6 4" xfId="18496"/>
    <cellStyle name="40% - 강조색5 5 6 5" xfId="18497"/>
    <cellStyle name="40% - 강조색5 5 7" xfId="18498"/>
    <cellStyle name="40% - 강조색5 5 7 2" xfId="18499"/>
    <cellStyle name="40% - 강조색5 5 7 2 2" xfId="18500"/>
    <cellStyle name="40% - 강조색5 5 7 2 3" xfId="18501"/>
    <cellStyle name="40% - 강조색5 5 7 3" xfId="18502"/>
    <cellStyle name="40% - 강조색5 5 7 4" xfId="18503"/>
    <cellStyle name="40% - 강조색5 5 8" xfId="18504"/>
    <cellStyle name="40% - 강조색5 5 8 2" xfId="18505"/>
    <cellStyle name="40% - 강조색5 5 8 3" xfId="18506"/>
    <cellStyle name="40% - 강조색5 5 9" xfId="18507"/>
    <cellStyle name="40% - 강조색5 50" xfId="18508"/>
    <cellStyle name="40% - 강조색5 51" xfId="18509"/>
    <cellStyle name="40% - 강조색5 52" xfId="18510"/>
    <cellStyle name="40% - 강조색5 53" xfId="18511"/>
    <cellStyle name="40% - 강조색5 54" xfId="18512"/>
    <cellStyle name="40% - 강조색5 55" xfId="18513"/>
    <cellStyle name="40% - 강조색5 56" xfId="18514"/>
    <cellStyle name="40% - 강조색5 57" xfId="18515"/>
    <cellStyle name="40% - 강조색5 58" xfId="18516"/>
    <cellStyle name="40% - 강조색5 59" xfId="18517"/>
    <cellStyle name="40% - 강조색5 6" xfId="18518"/>
    <cellStyle name="40% - 강조색5 6 10" xfId="18519"/>
    <cellStyle name="40% - 강조색5 6 2" xfId="18520"/>
    <cellStyle name="40% - 강조색5 6 2 2" xfId="18521"/>
    <cellStyle name="40% - 강조색5 6 2 2 2" xfId="18522"/>
    <cellStyle name="40% - 강조색5 6 2 2 2 2" xfId="18523"/>
    <cellStyle name="40% - 강조색5 6 2 2 2 2 2" xfId="18524"/>
    <cellStyle name="40% - 강조색5 6 2 2 2 2 3" xfId="18525"/>
    <cellStyle name="40% - 강조색5 6 2 2 2 3" xfId="18526"/>
    <cellStyle name="40% - 강조색5 6 2 2 2 4" xfId="18527"/>
    <cellStyle name="40% - 강조색5 6 2 2 3" xfId="18528"/>
    <cellStyle name="40% - 강조색5 6 2 2 3 2" xfId="18529"/>
    <cellStyle name="40% - 강조색5 6 2 2 3 3" xfId="18530"/>
    <cellStyle name="40% - 강조색5 6 2 2 4" xfId="18531"/>
    <cellStyle name="40% - 강조색5 6 2 2 5" xfId="18532"/>
    <cellStyle name="40% - 강조색5 6 2 3" xfId="18533"/>
    <cellStyle name="40% - 강조색5 6 2 3 2" xfId="18534"/>
    <cellStyle name="40% - 강조색5 6 2 3 2 2" xfId="18535"/>
    <cellStyle name="40% - 강조색5 6 2 3 2 2 2" xfId="18536"/>
    <cellStyle name="40% - 강조색5 6 2 3 2 2 3" xfId="18537"/>
    <cellStyle name="40% - 강조색5 6 2 3 2 3" xfId="18538"/>
    <cellStyle name="40% - 강조색5 6 2 3 2 4" xfId="18539"/>
    <cellStyle name="40% - 강조색5 6 2 3 3" xfId="18540"/>
    <cellStyle name="40% - 강조색5 6 2 3 3 2" xfId="18541"/>
    <cellStyle name="40% - 강조색5 6 2 3 3 3" xfId="18542"/>
    <cellStyle name="40% - 강조색5 6 2 3 4" xfId="18543"/>
    <cellStyle name="40% - 강조색5 6 2 3 5" xfId="18544"/>
    <cellStyle name="40% - 강조색5 6 2 4" xfId="18545"/>
    <cellStyle name="40% - 강조색5 6 2 4 2" xfId="18546"/>
    <cellStyle name="40% - 강조색5 6 2 4 2 2" xfId="18547"/>
    <cellStyle name="40% - 강조색5 6 2 4 2 3" xfId="18548"/>
    <cellStyle name="40% - 강조색5 6 2 4 3" xfId="18549"/>
    <cellStyle name="40% - 강조색5 6 2 4 4" xfId="18550"/>
    <cellStyle name="40% - 강조색5 6 2 5" xfId="18551"/>
    <cellStyle name="40% - 강조색5 6 2 5 2" xfId="18552"/>
    <cellStyle name="40% - 강조색5 6 2 5 3" xfId="18553"/>
    <cellStyle name="40% - 강조색5 6 2 6" xfId="18554"/>
    <cellStyle name="40% - 강조색5 6 2 7" xfId="18555"/>
    <cellStyle name="40% - 강조색5 6 3" xfId="18556"/>
    <cellStyle name="40% - 강조색5 6 3 2" xfId="18557"/>
    <cellStyle name="40% - 강조색5 6 3 2 2" xfId="18558"/>
    <cellStyle name="40% - 강조색5 6 3 2 2 2" xfId="18559"/>
    <cellStyle name="40% - 강조색5 6 3 2 2 2 2" xfId="18560"/>
    <cellStyle name="40% - 강조색5 6 3 2 2 2 3" xfId="18561"/>
    <cellStyle name="40% - 강조색5 6 3 2 2 3" xfId="18562"/>
    <cellStyle name="40% - 강조색5 6 3 2 2 4" xfId="18563"/>
    <cellStyle name="40% - 강조색5 6 3 2 3" xfId="18564"/>
    <cellStyle name="40% - 강조색5 6 3 2 3 2" xfId="18565"/>
    <cellStyle name="40% - 강조색5 6 3 2 3 3" xfId="18566"/>
    <cellStyle name="40% - 강조색5 6 3 2 4" xfId="18567"/>
    <cellStyle name="40% - 강조색5 6 3 2 5" xfId="18568"/>
    <cellStyle name="40% - 강조색5 6 3 3" xfId="18569"/>
    <cellStyle name="40% - 강조색5 6 3 3 2" xfId="18570"/>
    <cellStyle name="40% - 강조색5 6 3 3 2 2" xfId="18571"/>
    <cellStyle name="40% - 강조색5 6 3 3 2 2 2" xfId="18572"/>
    <cellStyle name="40% - 강조색5 6 3 3 2 2 3" xfId="18573"/>
    <cellStyle name="40% - 강조색5 6 3 3 2 3" xfId="18574"/>
    <cellStyle name="40% - 강조색5 6 3 3 2 4" xfId="18575"/>
    <cellStyle name="40% - 강조색5 6 3 3 3" xfId="18576"/>
    <cellStyle name="40% - 강조색5 6 3 3 3 2" xfId="18577"/>
    <cellStyle name="40% - 강조색5 6 3 3 3 3" xfId="18578"/>
    <cellStyle name="40% - 강조색5 6 3 3 4" xfId="18579"/>
    <cellStyle name="40% - 강조색5 6 3 3 5" xfId="18580"/>
    <cellStyle name="40% - 강조색5 6 3 4" xfId="18581"/>
    <cellStyle name="40% - 강조색5 6 3 4 2" xfId="18582"/>
    <cellStyle name="40% - 강조색5 6 3 4 2 2" xfId="18583"/>
    <cellStyle name="40% - 강조색5 6 3 4 2 3" xfId="18584"/>
    <cellStyle name="40% - 강조색5 6 3 4 3" xfId="18585"/>
    <cellStyle name="40% - 강조색5 6 3 4 4" xfId="18586"/>
    <cellStyle name="40% - 강조색5 6 3 5" xfId="18587"/>
    <cellStyle name="40% - 강조색5 6 3 5 2" xfId="18588"/>
    <cellStyle name="40% - 강조색5 6 3 5 3" xfId="18589"/>
    <cellStyle name="40% - 강조색5 6 3 6" xfId="18590"/>
    <cellStyle name="40% - 강조색5 6 3 7" xfId="18591"/>
    <cellStyle name="40% - 강조색5 6 4" xfId="18592"/>
    <cellStyle name="40% - 강조색5 6 4 2" xfId="18593"/>
    <cellStyle name="40% - 강조색5 6 4 2 2" xfId="18594"/>
    <cellStyle name="40% - 강조색5 6 4 2 2 2" xfId="18595"/>
    <cellStyle name="40% - 강조색5 6 4 2 2 3" xfId="18596"/>
    <cellStyle name="40% - 강조색5 6 4 2 3" xfId="18597"/>
    <cellStyle name="40% - 강조색5 6 4 2 4" xfId="18598"/>
    <cellStyle name="40% - 강조색5 6 4 3" xfId="18599"/>
    <cellStyle name="40% - 강조색5 6 4 3 2" xfId="18600"/>
    <cellStyle name="40% - 강조색5 6 4 3 3" xfId="18601"/>
    <cellStyle name="40% - 강조색5 6 4 4" xfId="18602"/>
    <cellStyle name="40% - 강조색5 6 4 5" xfId="18603"/>
    <cellStyle name="40% - 강조색5 6 5" xfId="18604"/>
    <cellStyle name="40% - 강조색5 6 5 2" xfId="18605"/>
    <cellStyle name="40% - 강조색5 6 5 2 2" xfId="18606"/>
    <cellStyle name="40% - 강조색5 6 5 2 2 2" xfId="18607"/>
    <cellStyle name="40% - 강조색5 6 5 2 2 3" xfId="18608"/>
    <cellStyle name="40% - 강조색5 6 5 2 3" xfId="18609"/>
    <cellStyle name="40% - 강조색5 6 5 2 4" xfId="18610"/>
    <cellStyle name="40% - 강조색5 6 5 3" xfId="18611"/>
    <cellStyle name="40% - 강조색5 6 5 3 2" xfId="18612"/>
    <cellStyle name="40% - 강조색5 6 5 3 3" xfId="18613"/>
    <cellStyle name="40% - 강조색5 6 5 4" xfId="18614"/>
    <cellStyle name="40% - 강조색5 6 5 5" xfId="18615"/>
    <cellStyle name="40% - 강조색5 6 6" xfId="18616"/>
    <cellStyle name="40% - 강조색5 6 6 2" xfId="18617"/>
    <cellStyle name="40% - 강조색5 6 6 2 2" xfId="18618"/>
    <cellStyle name="40% - 강조색5 6 6 2 2 2" xfId="18619"/>
    <cellStyle name="40% - 강조색5 6 6 2 2 3" xfId="18620"/>
    <cellStyle name="40% - 강조색5 6 6 2 3" xfId="18621"/>
    <cellStyle name="40% - 강조색5 6 6 2 4" xfId="18622"/>
    <cellStyle name="40% - 강조색5 6 6 3" xfId="18623"/>
    <cellStyle name="40% - 강조색5 6 6 3 2" xfId="18624"/>
    <cellStyle name="40% - 강조색5 6 6 3 3" xfId="18625"/>
    <cellStyle name="40% - 강조색5 6 6 4" xfId="18626"/>
    <cellStyle name="40% - 강조색5 6 6 5" xfId="18627"/>
    <cellStyle name="40% - 강조색5 6 7" xfId="18628"/>
    <cellStyle name="40% - 강조색5 6 7 2" xfId="18629"/>
    <cellStyle name="40% - 강조색5 6 7 2 2" xfId="18630"/>
    <cellStyle name="40% - 강조색5 6 7 2 3" xfId="18631"/>
    <cellStyle name="40% - 강조색5 6 7 3" xfId="18632"/>
    <cellStyle name="40% - 강조색5 6 7 4" xfId="18633"/>
    <cellStyle name="40% - 강조색5 6 8" xfId="18634"/>
    <cellStyle name="40% - 강조색5 6 8 2" xfId="18635"/>
    <cellStyle name="40% - 강조색5 6 8 3" xfId="18636"/>
    <cellStyle name="40% - 강조색5 6 9" xfId="18637"/>
    <cellStyle name="40% - 강조색5 60" xfId="18638"/>
    <cellStyle name="40% - 강조색5 61" xfId="18639"/>
    <cellStyle name="40% - 강조색5 62" xfId="18640"/>
    <cellStyle name="40% - 강조색5 63" xfId="18641"/>
    <cellStyle name="40% - 강조색5 64" xfId="18642"/>
    <cellStyle name="40% - 강조색5 65" xfId="18643"/>
    <cellStyle name="40% - 강조색5 66" xfId="18644"/>
    <cellStyle name="40% - 강조색5 67" xfId="18645"/>
    <cellStyle name="40% - 강조색5 68" xfId="18646"/>
    <cellStyle name="40% - 강조색5 69" xfId="18647"/>
    <cellStyle name="40% - 강조색5 7" xfId="18648"/>
    <cellStyle name="40% - 강조색5 7 10" xfId="18649"/>
    <cellStyle name="40% - 강조색5 7 2" xfId="18650"/>
    <cellStyle name="40% - 강조색5 7 2 2" xfId="18651"/>
    <cellStyle name="40% - 강조색5 7 2 2 2" xfId="18652"/>
    <cellStyle name="40% - 강조색5 7 2 2 2 2" xfId="18653"/>
    <cellStyle name="40% - 강조색5 7 2 2 2 2 2" xfId="18654"/>
    <cellStyle name="40% - 강조색5 7 2 2 2 2 3" xfId="18655"/>
    <cellStyle name="40% - 강조색5 7 2 2 2 3" xfId="18656"/>
    <cellStyle name="40% - 강조색5 7 2 2 2 4" xfId="18657"/>
    <cellStyle name="40% - 강조색5 7 2 2 3" xfId="18658"/>
    <cellStyle name="40% - 강조색5 7 2 2 3 2" xfId="18659"/>
    <cellStyle name="40% - 강조색5 7 2 2 3 3" xfId="18660"/>
    <cellStyle name="40% - 강조색5 7 2 2 4" xfId="18661"/>
    <cellStyle name="40% - 강조색5 7 2 2 5" xfId="18662"/>
    <cellStyle name="40% - 강조색5 7 2 3" xfId="18663"/>
    <cellStyle name="40% - 강조색5 7 2 3 2" xfId="18664"/>
    <cellStyle name="40% - 강조색5 7 2 3 2 2" xfId="18665"/>
    <cellStyle name="40% - 강조색5 7 2 3 2 2 2" xfId="18666"/>
    <cellStyle name="40% - 강조색5 7 2 3 2 2 3" xfId="18667"/>
    <cellStyle name="40% - 강조색5 7 2 3 2 3" xfId="18668"/>
    <cellStyle name="40% - 강조색5 7 2 3 2 4" xfId="18669"/>
    <cellStyle name="40% - 강조색5 7 2 3 3" xfId="18670"/>
    <cellStyle name="40% - 강조색5 7 2 3 3 2" xfId="18671"/>
    <cellStyle name="40% - 강조색5 7 2 3 3 3" xfId="18672"/>
    <cellStyle name="40% - 강조색5 7 2 3 4" xfId="18673"/>
    <cellStyle name="40% - 강조색5 7 2 3 5" xfId="18674"/>
    <cellStyle name="40% - 강조색5 7 2 4" xfId="18675"/>
    <cellStyle name="40% - 강조색5 7 2 4 2" xfId="18676"/>
    <cellStyle name="40% - 강조색5 7 2 4 2 2" xfId="18677"/>
    <cellStyle name="40% - 강조색5 7 2 4 2 3" xfId="18678"/>
    <cellStyle name="40% - 강조색5 7 2 4 3" xfId="18679"/>
    <cellStyle name="40% - 강조색5 7 2 4 4" xfId="18680"/>
    <cellStyle name="40% - 강조색5 7 2 5" xfId="18681"/>
    <cellStyle name="40% - 강조색5 7 2 5 2" xfId="18682"/>
    <cellStyle name="40% - 강조색5 7 2 5 3" xfId="18683"/>
    <cellStyle name="40% - 강조색5 7 2 6" xfId="18684"/>
    <cellStyle name="40% - 강조색5 7 2 7" xfId="18685"/>
    <cellStyle name="40% - 강조색5 7 3" xfId="18686"/>
    <cellStyle name="40% - 강조색5 7 3 2" xfId="18687"/>
    <cellStyle name="40% - 강조색5 7 3 2 2" xfId="18688"/>
    <cellStyle name="40% - 강조색5 7 3 2 2 2" xfId="18689"/>
    <cellStyle name="40% - 강조색5 7 3 2 2 2 2" xfId="18690"/>
    <cellStyle name="40% - 강조색5 7 3 2 2 2 3" xfId="18691"/>
    <cellStyle name="40% - 강조색5 7 3 2 2 3" xfId="18692"/>
    <cellStyle name="40% - 강조색5 7 3 2 2 4" xfId="18693"/>
    <cellStyle name="40% - 강조색5 7 3 2 3" xfId="18694"/>
    <cellStyle name="40% - 강조색5 7 3 2 3 2" xfId="18695"/>
    <cellStyle name="40% - 강조색5 7 3 2 3 3" xfId="18696"/>
    <cellStyle name="40% - 강조색5 7 3 2 4" xfId="18697"/>
    <cellStyle name="40% - 강조색5 7 3 2 5" xfId="18698"/>
    <cellStyle name="40% - 강조색5 7 3 3" xfId="18699"/>
    <cellStyle name="40% - 강조색5 7 3 3 2" xfId="18700"/>
    <cellStyle name="40% - 강조색5 7 3 3 2 2" xfId="18701"/>
    <cellStyle name="40% - 강조색5 7 3 3 2 2 2" xfId="18702"/>
    <cellStyle name="40% - 강조색5 7 3 3 2 2 3" xfId="18703"/>
    <cellStyle name="40% - 강조색5 7 3 3 2 3" xfId="18704"/>
    <cellStyle name="40% - 강조색5 7 3 3 2 4" xfId="18705"/>
    <cellStyle name="40% - 강조색5 7 3 3 3" xfId="18706"/>
    <cellStyle name="40% - 강조색5 7 3 3 3 2" xfId="18707"/>
    <cellStyle name="40% - 강조색5 7 3 3 3 3" xfId="18708"/>
    <cellStyle name="40% - 강조색5 7 3 3 4" xfId="18709"/>
    <cellStyle name="40% - 강조색5 7 3 3 5" xfId="18710"/>
    <cellStyle name="40% - 강조색5 7 3 4" xfId="18711"/>
    <cellStyle name="40% - 강조색5 7 3 4 2" xfId="18712"/>
    <cellStyle name="40% - 강조색5 7 3 4 2 2" xfId="18713"/>
    <cellStyle name="40% - 강조색5 7 3 4 2 3" xfId="18714"/>
    <cellStyle name="40% - 강조색5 7 3 4 3" xfId="18715"/>
    <cellStyle name="40% - 강조색5 7 3 4 4" xfId="18716"/>
    <cellStyle name="40% - 강조색5 7 3 5" xfId="18717"/>
    <cellStyle name="40% - 강조색5 7 3 5 2" xfId="18718"/>
    <cellStyle name="40% - 강조색5 7 3 5 3" xfId="18719"/>
    <cellStyle name="40% - 강조색5 7 3 6" xfId="18720"/>
    <cellStyle name="40% - 강조색5 7 3 7" xfId="18721"/>
    <cellStyle name="40% - 강조색5 7 4" xfId="18722"/>
    <cellStyle name="40% - 강조색5 7 4 2" xfId="18723"/>
    <cellStyle name="40% - 강조색5 7 4 2 2" xfId="18724"/>
    <cellStyle name="40% - 강조색5 7 4 2 2 2" xfId="18725"/>
    <cellStyle name="40% - 강조색5 7 4 2 2 3" xfId="18726"/>
    <cellStyle name="40% - 강조색5 7 4 2 3" xfId="18727"/>
    <cellStyle name="40% - 강조색5 7 4 2 4" xfId="18728"/>
    <cellStyle name="40% - 강조색5 7 4 3" xfId="18729"/>
    <cellStyle name="40% - 강조색5 7 4 3 2" xfId="18730"/>
    <cellStyle name="40% - 강조색5 7 4 3 3" xfId="18731"/>
    <cellStyle name="40% - 강조색5 7 4 4" xfId="18732"/>
    <cellStyle name="40% - 강조색5 7 4 5" xfId="18733"/>
    <cellStyle name="40% - 강조색5 7 5" xfId="18734"/>
    <cellStyle name="40% - 강조색5 7 5 2" xfId="18735"/>
    <cellStyle name="40% - 강조색5 7 5 2 2" xfId="18736"/>
    <cellStyle name="40% - 강조색5 7 5 2 2 2" xfId="18737"/>
    <cellStyle name="40% - 강조색5 7 5 2 2 3" xfId="18738"/>
    <cellStyle name="40% - 강조색5 7 5 2 3" xfId="18739"/>
    <cellStyle name="40% - 강조색5 7 5 2 4" xfId="18740"/>
    <cellStyle name="40% - 강조색5 7 5 3" xfId="18741"/>
    <cellStyle name="40% - 강조색5 7 5 3 2" xfId="18742"/>
    <cellStyle name="40% - 강조색5 7 5 3 3" xfId="18743"/>
    <cellStyle name="40% - 강조색5 7 5 4" xfId="18744"/>
    <cellStyle name="40% - 강조색5 7 5 5" xfId="18745"/>
    <cellStyle name="40% - 강조색5 7 6" xfId="18746"/>
    <cellStyle name="40% - 강조색5 7 6 2" xfId="18747"/>
    <cellStyle name="40% - 강조색5 7 6 2 2" xfId="18748"/>
    <cellStyle name="40% - 강조색5 7 6 2 2 2" xfId="18749"/>
    <cellStyle name="40% - 강조색5 7 6 2 2 3" xfId="18750"/>
    <cellStyle name="40% - 강조색5 7 6 2 3" xfId="18751"/>
    <cellStyle name="40% - 강조색5 7 6 2 4" xfId="18752"/>
    <cellStyle name="40% - 강조색5 7 6 3" xfId="18753"/>
    <cellStyle name="40% - 강조색5 7 6 3 2" xfId="18754"/>
    <cellStyle name="40% - 강조색5 7 6 3 3" xfId="18755"/>
    <cellStyle name="40% - 강조색5 7 6 4" xfId="18756"/>
    <cellStyle name="40% - 강조색5 7 6 5" xfId="18757"/>
    <cellStyle name="40% - 강조색5 7 7" xfId="18758"/>
    <cellStyle name="40% - 강조색5 7 7 2" xfId="18759"/>
    <cellStyle name="40% - 강조색5 7 7 2 2" xfId="18760"/>
    <cellStyle name="40% - 강조색5 7 7 2 3" xfId="18761"/>
    <cellStyle name="40% - 강조색5 7 7 3" xfId="18762"/>
    <cellStyle name="40% - 강조색5 7 7 4" xfId="18763"/>
    <cellStyle name="40% - 강조색5 7 8" xfId="18764"/>
    <cellStyle name="40% - 강조색5 7 8 2" xfId="18765"/>
    <cellStyle name="40% - 강조색5 7 8 3" xfId="18766"/>
    <cellStyle name="40% - 강조색5 7 9" xfId="18767"/>
    <cellStyle name="40% - 강조색5 8" xfId="18768"/>
    <cellStyle name="40% - 강조색5 8 2" xfId="18769"/>
    <cellStyle name="40% - 강조색5 8 2 2" xfId="18770"/>
    <cellStyle name="40% - 강조색5 8 2 2 2" xfId="18771"/>
    <cellStyle name="40% - 강조색5 8 2 2 2 2" xfId="18772"/>
    <cellStyle name="40% - 강조색5 8 2 2 2 3" xfId="18773"/>
    <cellStyle name="40% - 강조색5 8 2 2 3" xfId="18774"/>
    <cellStyle name="40% - 강조색5 8 2 2 4" xfId="18775"/>
    <cellStyle name="40% - 강조색5 8 2 3" xfId="18776"/>
    <cellStyle name="40% - 강조색5 8 2 3 2" xfId="18777"/>
    <cellStyle name="40% - 강조색5 8 2 3 3" xfId="18778"/>
    <cellStyle name="40% - 강조색5 8 2 4" xfId="18779"/>
    <cellStyle name="40% - 강조색5 8 2 5" xfId="18780"/>
    <cellStyle name="40% - 강조색5 8 3" xfId="18781"/>
    <cellStyle name="40% - 강조색5 8 3 2" xfId="18782"/>
    <cellStyle name="40% - 강조색5 8 3 2 2" xfId="18783"/>
    <cellStyle name="40% - 강조색5 8 3 2 2 2" xfId="18784"/>
    <cellStyle name="40% - 강조색5 8 3 2 2 3" xfId="18785"/>
    <cellStyle name="40% - 강조색5 8 3 2 3" xfId="18786"/>
    <cellStyle name="40% - 강조색5 8 3 2 4" xfId="18787"/>
    <cellStyle name="40% - 강조색5 8 3 3" xfId="18788"/>
    <cellStyle name="40% - 강조색5 8 3 3 2" xfId="18789"/>
    <cellStyle name="40% - 강조색5 8 3 3 3" xfId="18790"/>
    <cellStyle name="40% - 강조색5 8 3 4" xfId="18791"/>
    <cellStyle name="40% - 강조색5 8 3 5" xfId="18792"/>
    <cellStyle name="40% - 강조색5 8 4" xfId="18793"/>
    <cellStyle name="40% - 강조색5 8 4 2" xfId="18794"/>
    <cellStyle name="40% - 강조색5 8 4 2 2" xfId="18795"/>
    <cellStyle name="40% - 강조색5 8 4 2 3" xfId="18796"/>
    <cellStyle name="40% - 강조색5 8 4 3" xfId="18797"/>
    <cellStyle name="40% - 강조색5 8 4 4" xfId="18798"/>
    <cellStyle name="40% - 강조색5 8 5" xfId="18799"/>
    <cellStyle name="40% - 강조색5 8 5 2" xfId="18800"/>
    <cellStyle name="40% - 강조색5 8 5 3" xfId="18801"/>
    <cellStyle name="40% - 강조색5 8 6" xfId="18802"/>
    <cellStyle name="40% - 강조색5 8 7" xfId="18803"/>
    <cellStyle name="40% - 강조색5 9" xfId="18804"/>
    <cellStyle name="40% - 강조색5 9 2" xfId="18805"/>
    <cellStyle name="40% - 강조색5 9 2 2" xfId="18806"/>
    <cellStyle name="40% - 강조색5 9 2 2 2" xfId="18807"/>
    <cellStyle name="40% - 강조색5 9 2 2 2 2" xfId="18808"/>
    <cellStyle name="40% - 강조색5 9 2 2 2 3" xfId="18809"/>
    <cellStyle name="40% - 강조색5 9 2 2 3" xfId="18810"/>
    <cellStyle name="40% - 강조색5 9 2 2 4" xfId="18811"/>
    <cellStyle name="40% - 강조색5 9 2 3" xfId="18812"/>
    <cellStyle name="40% - 강조색5 9 2 3 2" xfId="18813"/>
    <cellStyle name="40% - 강조색5 9 2 3 3" xfId="18814"/>
    <cellStyle name="40% - 강조색5 9 2 4" xfId="18815"/>
    <cellStyle name="40% - 강조색5 9 2 5" xfId="18816"/>
    <cellStyle name="40% - 강조색5 9 3" xfId="18817"/>
    <cellStyle name="40% - 강조색5 9 3 2" xfId="18818"/>
    <cellStyle name="40% - 강조색5 9 3 2 2" xfId="18819"/>
    <cellStyle name="40% - 강조색5 9 3 2 2 2" xfId="18820"/>
    <cellStyle name="40% - 강조색5 9 3 2 2 3" xfId="18821"/>
    <cellStyle name="40% - 강조색5 9 3 2 3" xfId="18822"/>
    <cellStyle name="40% - 강조색5 9 3 2 4" xfId="18823"/>
    <cellStyle name="40% - 강조색5 9 3 3" xfId="18824"/>
    <cellStyle name="40% - 강조색5 9 3 3 2" xfId="18825"/>
    <cellStyle name="40% - 강조색5 9 3 3 3" xfId="18826"/>
    <cellStyle name="40% - 강조색5 9 3 4" xfId="18827"/>
    <cellStyle name="40% - 강조색5 9 3 5" xfId="18828"/>
    <cellStyle name="40% - 강조색5 9 4" xfId="18829"/>
    <cellStyle name="40% - 강조색5 9 4 2" xfId="18830"/>
    <cellStyle name="40% - 강조색5 9 4 2 2" xfId="18831"/>
    <cellStyle name="40% - 강조색5 9 4 2 3" xfId="18832"/>
    <cellStyle name="40% - 강조색5 9 4 3" xfId="18833"/>
    <cellStyle name="40% - 강조색5 9 4 4" xfId="18834"/>
    <cellStyle name="40% - 강조색5 9 5" xfId="18835"/>
    <cellStyle name="40% - 강조색5 9 5 2" xfId="18836"/>
    <cellStyle name="40% - 강조색5 9 5 3" xfId="18837"/>
    <cellStyle name="40% - 강조색5 9 6" xfId="18838"/>
    <cellStyle name="40% - 강조색5 9 7" xfId="18839"/>
    <cellStyle name="40% - 강조색6 10" xfId="18840"/>
    <cellStyle name="40% - 강조색6 10 2" xfId="18841"/>
    <cellStyle name="40% - 강조색6 10 2 2" xfId="18842"/>
    <cellStyle name="40% - 강조색6 10 2 2 2" xfId="18843"/>
    <cellStyle name="40% - 강조색6 10 2 2 2 2" xfId="18844"/>
    <cellStyle name="40% - 강조색6 10 2 2 2 3" xfId="18845"/>
    <cellStyle name="40% - 강조색6 10 2 2 3" xfId="18846"/>
    <cellStyle name="40% - 강조색6 10 2 2 4" xfId="18847"/>
    <cellStyle name="40% - 강조색6 10 2 3" xfId="18848"/>
    <cellStyle name="40% - 강조색6 10 2 3 2" xfId="18849"/>
    <cellStyle name="40% - 강조색6 10 2 3 3" xfId="18850"/>
    <cellStyle name="40% - 강조색6 10 2 4" xfId="18851"/>
    <cellStyle name="40% - 강조색6 10 2 5" xfId="18852"/>
    <cellStyle name="40% - 강조색6 10 3" xfId="18853"/>
    <cellStyle name="40% - 강조색6 10 3 2" xfId="18854"/>
    <cellStyle name="40% - 강조색6 10 3 2 2" xfId="18855"/>
    <cellStyle name="40% - 강조색6 10 3 2 2 2" xfId="18856"/>
    <cellStyle name="40% - 강조색6 10 3 2 2 3" xfId="18857"/>
    <cellStyle name="40% - 강조색6 10 3 2 3" xfId="18858"/>
    <cellStyle name="40% - 강조색6 10 3 2 4" xfId="18859"/>
    <cellStyle name="40% - 강조색6 10 3 3" xfId="18860"/>
    <cellStyle name="40% - 강조색6 10 3 3 2" xfId="18861"/>
    <cellStyle name="40% - 강조색6 10 3 3 3" xfId="18862"/>
    <cellStyle name="40% - 강조색6 10 3 4" xfId="18863"/>
    <cellStyle name="40% - 강조색6 10 3 5" xfId="18864"/>
    <cellStyle name="40% - 강조색6 10 4" xfId="18865"/>
    <cellStyle name="40% - 강조색6 10 4 2" xfId="18866"/>
    <cellStyle name="40% - 강조색6 10 4 2 2" xfId="18867"/>
    <cellStyle name="40% - 강조색6 10 4 2 3" xfId="18868"/>
    <cellStyle name="40% - 강조색6 10 4 3" xfId="18869"/>
    <cellStyle name="40% - 강조색6 10 4 4" xfId="18870"/>
    <cellStyle name="40% - 강조색6 10 5" xfId="18871"/>
    <cellStyle name="40% - 강조색6 10 5 2" xfId="18872"/>
    <cellStyle name="40% - 강조색6 10 5 3" xfId="18873"/>
    <cellStyle name="40% - 강조색6 10 6" xfId="18874"/>
    <cellStyle name="40% - 강조색6 10 7" xfId="18875"/>
    <cellStyle name="40% - 강조색6 11" xfId="18876"/>
    <cellStyle name="40% - 강조색6 11 2" xfId="18877"/>
    <cellStyle name="40% - 강조색6 11 2 2" xfId="18878"/>
    <cellStyle name="40% - 강조색6 11 2 2 2" xfId="18879"/>
    <cellStyle name="40% - 강조색6 11 2 2 3" xfId="18880"/>
    <cellStyle name="40% - 강조색6 11 2 3" xfId="18881"/>
    <cellStyle name="40% - 강조색6 11 2 4" xfId="18882"/>
    <cellStyle name="40% - 강조색6 11 3" xfId="18883"/>
    <cellStyle name="40% - 강조색6 11 3 2" xfId="18884"/>
    <cellStyle name="40% - 강조색6 11 3 3" xfId="18885"/>
    <cellStyle name="40% - 강조색6 11 4" xfId="18886"/>
    <cellStyle name="40% - 강조색6 11 5" xfId="18887"/>
    <cellStyle name="40% - 강조색6 12" xfId="18888"/>
    <cellStyle name="40% - 강조색6 12 2" xfId="18889"/>
    <cellStyle name="40% - 강조색6 12 2 2" xfId="18890"/>
    <cellStyle name="40% - 강조색6 12 2 2 2" xfId="18891"/>
    <cellStyle name="40% - 강조색6 12 2 2 3" xfId="18892"/>
    <cellStyle name="40% - 강조색6 12 2 3" xfId="18893"/>
    <cellStyle name="40% - 강조색6 12 2 4" xfId="18894"/>
    <cellStyle name="40% - 강조색6 12 3" xfId="18895"/>
    <cellStyle name="40% - 강조색6 12 3 2" xfId="18896"/>
    <cellStyle name="40% - 강조색6 12 3 3" xfId="18897"/>
    <cellStyle name="40% - 강조색6 12 4" xfId="18898"/>
    <cellStyle name="40% - 강조색6 12 5" xfId="18899"/>
    <cellStyle name="40% - 강조색6 13" xfId="18900"/>
    <cellStyle name="40% - 강조색6 13 2" xfId="18901"/>
    <cellStyle name="40% - 강조색6 13 2 2" xfId="18902"/>
    <cellStyle name="40% - 강조색6 13 2 3" xfId="18903"/>
    <cellStyle name="40% - 강조색6 13 3" xfId="18904"/>
    <cellStyle name="40% - 강조색6 13 4" xfId="18905"/>
    <cellStyle name="40% - 강조색6 14" xfId="18906"/>
    <cellStyle name="40% - 강조색6 14 2" xfId="18907"/>
    <cellStyle name="40% - 강조색6 14 2 2" xfId="18908"/>
    <cellStyle name="40% - 강조색6 14 2 3" xfId="18909"/>
    <cellStyle name="40% - 강조색6 14 3" xfId="18910"/>
    <cellStyle name="40% - 강조색6 14 4" xfId="18911"/>
    <cellStyle name="40% - 강조색6 15" xfId="18912"/>
    <cellStyle name="40% - 강조색6 15 2" xfId="18913"/>
    <cellStyle name="40% - 강조색6 15 3" xfId="18914"/>
    <cellStyle name="40% - 강조색6 16" xfId="18915"/>
    <cellStyle name="40% - 강조색6 16 2" xfId="18916"/>
    <cellStyle name="40% - 강조색6 16 3" xfId="18917"/>
    <cellStyle name="40% - 강조색6 16 4" xfId="18918"/>
    <cellStyle name="40% - 강조색6 17" xfId="18919"/>
    <cellStyle name="40% - 강조색6 17 2" xfId="18920"/>
    <cellStyle name="40% - 강조색6 17 3" xfId="18921"/>
    <cellStyle name="40% - 강조색6 18" xfId="18922"/>
    <cellStyle name="40% - 강조색6 18 2" xfId="18923"/>
    <cellStyle name="40% - 강조색6 18 3" xfId="18924"/>
    <cellStyle name="40% - 강조색6 19" xfId="18925"/>
    <cellStyle name="40% - 강조색6 19 2" xfId="18926"/>
    <cellStyle name="40% - 강조색6 19 3" xfId="18927"/>
    <cellStyle name="40% - 강조색6 2" xfId="18928"/>
    <cellStyle name="40% - 강조색6 2 2" xfId="18929"/>
    <cellStyle name="40% - 강조색6 2 2 2" xfId="18930"/>
    <cellStyle name="40% - 강조색6 2 2 2 2" xfId="18931"/>
    <cellStyle name="40% - 강조색6 2 2 3" xfId="18932"/>
    <cellStyle name="40% - 강조색6 2 3" xfId="18933"/>
    <cellStyle name="40% - 강조색6 2 3 2" xfId="18934"/>
    <cellStyle name="40% - 강조색6 2 3 2 2" xfId="18935"/>
    <cellStyle name="40% - 강조색6 2 3 3" xfId="18936"/>
    <cellStyle name="40% - 강조색6 2 4" xfId="18937"/>
    <cellStyle name="40% - 강조색6 2 4 2" xfId="18938"/>
    <cellStyle name="40% - 강조색6 2 5" xfId="18939"/>
    <cellStyle name="40% - 강조색6 2 6" xfId="18940"/>
    <cellStyle name="40% - 강조색6 20" xfId="18941"/>
    <cellStyle name="40% - 강조색6 20 2" xfId="18942"/>
    <cellStyle name="40% - 강조색6 20 3" xfId="18943"/>
    <cellStyle name="40% - 강조색6 21" xfId="18944"/>
    <cellStyle name="40% - 강조색6 21 2" xfId="18945"/>
    <cellStyle name="40% - 강조색6 21 3" xfId="18946"/>
    <cellStyle name="40% - 강조색6 22" xfId="18947"/>
    <cellStyle name="40% - 강조색6 22 2" xfId="18948"/>
    <cellStyle name="40% - 강조색6 22 3" xfId="18949"/>
    <cellStyle name="40% - 강조색6 23" xfId="18950"/>
    <cellStyle name="40% - 강조색6 23 2" xfId="18951"/>
    <cellStyle name="40% - 강조색6 23 3" xfId="18952"/>
    <cellStyle name="40% - 강조색6 24" xfId="18953"/>
    <cellStyle name="40% - 강조색6 24 2" xfId="18954"/>
    <cellStyle name="40% - 강조색6 25" xfId="18955"/>
    <cellStyle name="40% - 강조색6 25 2" xfId="18956"/>
    <cellStyle name="40% - 강조색6 26" xfId="18957"/>
    <cellStyle name="40% - 강조색6 26 2" xfId="18958"/>
    <cellStyle name="40% - 강조색6 27" xfId="18959"/>
    <cellStyle name="40% - 강조색6 27 2" xfId="18960"/>
    <cellStyle name="40% - 강조색6 28" xfId="18961"/>
    <cellStyle name="40% - 강조색6 28 2" xfId="18962"/>
    <cellStyle name="40% - 강조색6 29" xfId="18963"/>
    <cellStyle name="40% - 강조색6 29 2" xfId="18964"/>
    <cellStyle name="40% - 강조색6 3" xfId="18965"/>
    <cellStyle name="40% - 강조색6 3 10" xfId="18966"/>
    <cellStyle name="40% - 강조색6 3 10 2" xfId="18967"/>
    <cellStyle name="40% - 강조색6 3 10 2 2" xfId="18968"/>
    <cellStyle name="40% - 강조색6 3 10 2 3" xfId="18969"/>
    <cellStyle name="40% - 강조색6 3 10 3" xfId="18970"/>
    <cellStyle name="40% - 강조색6 3 10 4" xfId="18971"/>
    <cellStyle name="40% - 강조색6 3 11" xfId="18972"/>
    <cellStyle name="40% - 강조색6 3 11 2" xfId="18973"/>
    <cellStyle name="40% - 강조색6 3 11 3" xfId="18974"/>
    <cellStyle name="40% - 강조색6 3 12" xfId="18975"/>
    <cellStyle name="40% - 강조색6 3 13" xfId="18976"/>
    <cellStyle name="40% - 강조색6 3 14" xfId="18977"/>
    <cellStyle name="40% - 강조색6 3 15" xfId="18978"/>
    <cellStyle name="40% - 강조색6 3 2" xfId="18979"/>
    <cellStyle name="40% - 강조색6 3 2 10" xfId="18980"/>
    <cellStyle name="40% - 강조색6 3 2 11" xfId="18981"/>
    <cellStyle name="40% - 강조색6 3 2 12" xfId="18982"/>
    <cellStyle name="40% - 강조색6 3 2 2" xfId="18983"/>
    <cellStyle name="40% - 강조색6 3 2 2 2" xfId="18984"/>
    <cellStyle name="40% - 강조색6 3 2 2 2 2" xfId="18985"/>
    <cellStyle name="40% - 강조색6 3 2 2 2 2 2" xfId="18986"/>
    <cellStyle name="40% - 강조색6 3 2 2 2 2 2 2" xfId="18987"/>
    <cellStyle name="40% - 강조색6 3 2 2 2 2 2 3" xfId="18988"/>
    <cellStyle name="40% - 강조색6 3 2 2 2 2 3" xfId="18989"/>
    <cellStyle name="40% - 강조색6 3 2 2 2 2 4" xfId="18990"/>
    <cellStyle name="40% - 강조색6 3 2 2 2 3" xfId="18991"/>
    <cellStyle name="40% - 강조색6 3 2 2 2 3 2" xfId="18992"/>
    <cellStyle name="40% - 강조색6 3 2 2 2 3 3" xfId="18993"/>
    <cellStyle name="40% - 강조색6 3 2 2 2 4" xfId="18994"/>
    <cellStyle name="40% - 강조색6 3 2 2 2 5" xfId="18995"/>
    <cellStyle name="40% - 강조색6 3 2 2 3" xfId="18996"/>
    <cellStyle name="40% - 강조색6 3 2 2 3 2" xfId="18997"/>
    <cellStyle name="40% - 강조색6 3 2 2 3 2 2" xfId="18998"/>
    <cellStyle name="40% - 강조색6 3 2 2 3 2 2 2" xfId="18999"/>
    <cellStyle name="40% - 강조색6 3 2 2 3 2 2 3" xfId="19000"/>
    <cellStyle name="40% - 강조색6 3 2 2 3 2 3" xfId="19001"/>
    <cellStyle name="40% - 강조색6 3 2 2 3 2 4" xfId="19002"/>
    <cellStyle name="40% - 강조색6 3 2 2 3 3" xfId="19003"/>
    <cellStyle name="40% - 강조색6 3 2 2 3 3 2" xfId="19004"/>
    <cellStyle name="40% - 강조색6 3 2 2 3 3 3" xfId="19005"/>
    <cellStyle name="40% - 강조색6 3 2 2 3 4" xfId="19006"/>
    <cellStyle name="40% - 강조색6 3 2 2 3 5" xfId="19007"/>
    <cellStyle name="40% - 강조색6 3 2 2 4" xfId="19008"/>
    <cellStyle name="40% - 강조색6 3 2 2 4 2" xfId="19009"/>
    <cellStyle name="40% - 강조색6 3 2 2 4 2 2" xfId="19010"/>
    <cellStyle name="40% - 강조색6 3 2 2 4 2 3" xfId="19011"/>
    <cellStyle name="40% - 강조색6 3 2 2 4 3" xfId="19012"/>
    <cellStyle name="40% - 강조색6 3 2 2 4 4" xfId="19013"/>
    <cellStyle name="40% - 강조색6 3 2 2 5" xfId="19014"/>
    <cellStyle name="40% - 강조색6 3 2 2 5 2" xfId="19015"/>
    <cellStyle name="40% - 강조색6 3 2 2 5 3" xfId="19016"/>
    <cellStyle name="40% - 강조색6 3 2 2 6" xfId="19017"/>
    <cellStyle name="40% - 강조색6 3 2 2 7" xfId="19018"/>
    <cellStyle name="40% - 강조색6 3 2 2 8" xfId="19019"/>
    <cellStyle name="40% - 강조색6 3 2 2 9" xfId="19020"/>
    <cellStyle name="40% - 강조색6 3 2 3" xfId="19021"/>
    <cellStyle name="40% - 강조색6 3 2 3 2" xfId="19022"/>
    <cellStyle name="40% - 강조색6 3 2 3 2 2" xfId="19023"/>
    <cellStyle name="40% - 강조색6 3 2 3 2 2 2" xfId="19024"/>
    <cellStyle name="40% - 강조색6 3 2 3 2 2 2 2" xfId="19025"/>
    <cellStyle name="40% - 강조색6 3 2 3 2 2 2 3" xfId="19026"/>
    <cellStyle name="40% - 강조색6 3 2 3 2 2 3" xfId="19027"/>
    <cellStyle name="40% - 강조색6 3 2 3 2 2 4" xfId="19028"/>
    <cellStyle name="40% - 강조색6 3 2 3 2 3" xfId="19029"/>
    <cellStyle name="40% - 강조색6 3 2 3 2 3 2" xfId="19030"/>
    <cellStyle name="40% - 강조색6 3 2 3 2 3 3" xfId="19031"/>
    <cellStyle name="40% - 강조색6 3 2 3 2 4" xfId="19032"/>
    <cellStyle name="40% - 강조색6 3 2 3 2 5" xfId="19033"/>
    <cellStyle name="40% - 강조색6 3 2 3 3" xfId="19034"/>
    <cellStyle name="40% - 강조색6 3 2 3 3 2" xfId="19035"/>
    <cellStyle name="40% - 강조색6 3 2 3 3 2 2" xfId="19036"/>
    <cellStyle name="40% - 강조색6 3 2 3 3 2 2 2" xfId="19037"/>
    <cellStyle name="40% - 강조색6 3 2 3 3 2 2 3" xfId="19038"/>
    <cellStyle name="40% - 강조색6 3 2 3 3 2 3" xfId="19039"/>
    <cellStyle name="40% - 강조색6 3 2 3 3 2 4" xfId="19040"/>
    <cellStyle name="40% - 강조색6 3 2 3 3 3" xfId="19041"/>
    <cellStyle name="40% - 강조색6 3 2 3 3 3 2" xfId="19042"/>
    <cellStyle name="40% - 강조색6 3 2 3 3 3 3" xfId="19043"/>
    <cellStyle name="40% - 강조색6 3 2 3 3 4" xfId="19044"/>
    <cellStyle name="40% - 강조색6 3 2 3 3 5" xfId="19045"/>
    <cellStyle name="40% - 강조색6 3 2 3 4" xfId="19046"/>
    <cellStyle name="40% - 강조색6 3 2 3 4 2" xfId="19047"/>
    <cellStyle name="40% - 강조색6 3 2 3 4 2 2" xfId="19048"/>
    <cellStyle name="40% - 강조색6 3 2 3 4 2 3" xfId="19049"/>
    <cellStyle name="40% - 강조색6 3 2 3 4 3" xfId="19050"/>
    <cellStyle name="40% - 강조색6 3 2 3 4 4" xfId="19051"/>
    <cellStyle name="40% - 강조색6 3 2 3 5" xfId="19052"/>
    <cellStyle name="40% - 강조색6 3 2 3 5 2" xfId="19053"/>
    <cellStyle name="40% - 강조색6 3 2 3 5 3" xfId="19054"/>
    <cellStyle name="40% - 강조색6 3 2 3 6" xfId="19055"/>
    <cellStyle name="40% - 강조색6 3 2 3 7" xfId="19056"/>
    <cellStyle name="40% - 강조색6 3 2 4" xfId="19057"/>
    <cellStyle name="40% - 강조색6 3 2 4 2" xfId="19058"/>
    <cellStyle name="40% - 강조색6 3 2 4 2 2" xfId="19059"/>
    <cellStyle name="40% - 강조색6 3 2 4 2 2 2" xfId="19060"/>
    <cellStyle name="40% - 강조색6 3 2 4 2 2 3" xfId="19061"/>
    <cellStyle name="40% - 강조색6 3 2 4 2 3" xfId="19062"/>
    <cellStyle name="40% - 강조색6 3 2 4 2 4" xfId="19063"/>
    <cellStyle name="40% - 강조색6 3 2 4 3" xfId="19064"/>
    <cellStyle name="40% - 강조색6 3 2 4 3 2" xfId="19065"/>
    <cellStyle name="40% - 강조색6 3 2 4 3 3" xfId="19066"/>
    <cellStyle name="40% - 강조색6 3 2 4 4" xfId="19067"/>
    <cellStyle name="40% - 강조색6 3 2 4 5" xfId="19068"/>
    <cellStyle name="40% - 강조색6 3 2 5" xfId="19069"/>
    <cellStyle name="40% - 강조색6 3 2 5 2" xfId="19070"/>
    <cellStyle name="40% - 강조색6 3 2 5 2 2" xfId="19071"/>
    <cellStyle name="40% - 강조색6 3 2 5 2 2 2" xfId="19072"/>
    <cellStyle name="40% - 강조색6 3 2 5 2 2 3" xfId="19073"/>
    <cellStyle name="40% - 강조색6 3 2 5 2 3" xfId="19074"/>
    <cellStyle name="40% - 강조색6 3 2 5 2 4" xfId="19075"/>
    <cellStyle name="40% - 강조색6 3 2 5 3" xfId="19076"/>
    <cellStyle name="40% - 강조색6 3 2 5 3 2" xfId="19077"/>
    <cellStyle name="40% - 강조색6 3 2 5 3 3" xfId="19078"/>
    <cellStyle name="40% - 강조색6 3 2 5 4" xfId="19079"/>
    <cellStyle name="40% - 강조색6 3 2 5 5" xfId="19080"/>
    <cellStyle name="40% - 강조색6 3 2 6" xfId="19081"/>
    <cellStyle name="40% - 강조색6 3 2 6 2" xfId="19082"/>
    <cellStyle name="40% - 강조색6 3 2 6 2 2" xfId="19083"/>
    <cellStyle name="40% - 강조색6 3 2 6 2 2 2" xfId="19084"/>
    <cellStyle name="40% - 강조색6 3 2 6 2 2 3" xfId="19085"/>
    <cellStyle name="40% - 강조색6 3 2 6 2 3" xfId="19086"/>
    <cellStyle name="40% - 강조색6 3 2 6 2 4" xfId="19087"/>
    <cellStyle name="40% - 강조색6 3 2 6 3" xfId="19088"/>
    <cellStyle name="40% - 강조색6 3 2 6 3 2" xfId="19089"/>
    <cellStyle name="40% - 강조색6 3 2 6 3 3" xfId="19090"/>
    <cellStyle name="40% - 강조색6 3 2 6 4" xfId="19091"/>
    <cellStyle name="40% - 강조색6 3 2 6 5" xfId="19092"/>
    <cellStyle name="40% - 강조색6 3 2 7" xfId="19093"/>
    <cellStyle name="40% - 강조색6 3 2 7 2" xfId="19094"/>
    <cellStyle name="40% - 강조색6 3 2 7 2 2" xfId="19095"/>
    <cellStyle name="40% - 강조색6 3 2 7 2 3" xfId="19096"/>
    <cellStyle name="40% - 강조색6 3 2 7 3" xfId="19097"/>
    <cellStyle name="40% - 강조색6 3 2 7 4" xfId="19098"/>
    <cellStyle name="40% - 강조색6 3 2 8" xfId="19099"/>
    <cellStyle name="40% - 강조색6 3 2 8 2" xfId="19100"/>
    <cellStyle name="40% - 강조색6 3 2 8 3" xfId="19101"/>
    <cellStyle name="40% - 강조색6 3 2 9" xfId="19102"/>
    <cellStyle name="40% - 강조색6 3 3" xfId="19103"/>
    <cellStyle name="40% - 강조색6 3 3 10" xfId="19104"/>
    <cellStyle name="40% - 강조색6 3 3 11" xfId="19105"/>
    <cellStyle name="40% - 강조색6 3 3 12" xfId="19106"/>
    <cellStyle name="40% - 강조색6 3 3 2" xfId="19107"/>
    <cellStyle name="40% - 강조색6 3 3 2 2" xfId="19108"/>
    <cellStyle name="40% - 강조색6 3 3 2 2 2" xfId="19109"/>
    <cellStyle name="40% - 강조색6 3 3 2 2 2 2" xfId="19110"/>
    <cellStyle name="40% - 강조색6 3 3 2 2 2 2 2" xfId="19111"/>
    <cellStyle name="40% - 강조색6 3 3 2 2 2 2 3" xfId="19112"/>
    <cellStyle name="40% - 강조색6 3 3 2 2 2 3" xfId="19113"/>
    <cellStyle name="40% - 강조색6 3 3 2 2 2 4" xfId="19114"/>
    <cellStyle name="40% - 강조색6 3 3 2 2 3" xfId="19115"/>
    <cellStyle name="40% - 강조색6 3 3 2 2 3 2" xfId="19116"/>
    <cellStyle name="40% - 강조색6 3 3 2 2 3 3" xfId="19117"/>
    <cellStyle name="40% - 강조색6 3 3 2 2 4" xfId="19118"/>
    <cellStyle name="40% - 강조색6 3 3 2 2 5" xfId="19119"/>
    <cellStyle name="40% - 강조색6 3 3 2 3" xfId="19120"/>
    <cellStyle name="40% - 강조색6 3 3 2 3 2" xfId="19121"/>
    <cellStyle name="40% - 강조색6 3 3 2 3 2 2" xfId="19122"/>
    <cellStyle name="40% - 강조색6 3 3 2 3 2 2 2" xfId="19123"/>
    <cellStyle name="40% - 강조색6 3 3 2 3 2 2 3" xfId="19124"/>
    <cellStyle name="40% - 강조색6 3 3 2 3 2 3" xfId="19125"/>
    <cellStyle name="40% - 강조색6 3 3 2 3 2 4" xfId="19126"/>
    <cellStyle name="40% - 강조색6 3 3 2 3 3" xfId="19127"/>
    <cellStyle name="40% - 강조색6 3 3 2 3 3 2" xfId="19128"/>
    <cellStyle name="40% - 강조색6 3 3 2 3 3 3" xfId="19129"/>
    <cellStyle name="40% - 강조색6 3 3 2 3 4" xfId="19130"/>
    <cellStyle name="40% - 강조색6 3 3 2 3 5" xfId="19131"/>
    <cellStyle name="40% - 강조색6 3 3 2 4" xfId="19132"/>
    <cellStyle name="40% - 강조색6 3 3 2 4 2" xfId="19133"/>
    <cellStyle name="40% - 강조색6 3 3 2 4 2 2" xfId="19134"/>
    <cellStyle name="40% - 강조색6 3 3 2 4 2 3" xfId="19135"/>
    <cellStyle name="40% - 강조색6 3 3 2 4 3" xfId="19136"/>
    <cellStyle name="40% - 강조색6 3 3 2 4 4" xfId="19137"/>
    <cellStyle name="40% - 강조색6 3 3 2 5" xfId="19138"/>
    <cellStyle name="40% - 강조색6 3 3 2 5 2" xfId="19139"/>
    <cellStyle name="40% - 강조색6 3 3 2 5 3" xfId="19140"/>
    <cellStyle name="40% - 강조색6 3 3 2 6" xfId="19141"/>
    <cellStyle name="40% - 강조색6 3 3 2 7" xfId="19142"/>
    <cellStyle name="40% - 강조색6 3 3 2 8" xfId="19143"/>
    <cellStyle name="40% - 강조색6 3 3 2 9" xfId="19144"/>
    <cellStyle name="40% - 강조색6 3 3 3" xfId="19145"/>
    <cellStyle name="40% - 강조색6 3 3 3 2" xfId="19146"/>
    <cellStyle name="40% - 강조색6 3 3 3 2 2" xfId="19147"/>
    <cellStyle name="40% - 강조색6 3 3 3 2 2 2" xfId="19148"/>
    <cellStyle name="40% - 강조색6 3 3 3 2 2 2 2" xfId="19149"/>
    <cellStyle name="40% - 강조색6 3 3 3 2 2 2 3" xfId="19150"/>
    <cellStyle name="40% - 강조색6 3 3 3 2 2 3" xfId="19151"/>
    <cellStyle name="40% - 강조색6 3 3 3 2 2 4" xfId="19152"/>
    <cellStyle name="40% - 강조색6 3 3 3 2 3" xfId="19153"/>
    <cellStyle name="40% - 강조색6 3 3 3 2 3 2" xfId="19154"/>
    <cellStyle name="40% - 강조색6 3 3 3 2 3 3" xfId="19155"/>
    <cellStyle name="40% - 강조색6 3 3 3 2 4" xfId="19156"/>
    <cellStyle name="40% - 강조색6 3 3 3 2 5" xfId="19157"/>
    <cellStyle name="40% - 강조색6 3 3 3 3" xfId="19158"/>
    <cellStyle name="40% - 강조색6 3 3 3 3 2" xfId="19159"/>
    <cellStyle name="40% - 강조색6 3 3 3 3 2 2" xfId="19160"/>
    <cellStyle name="40% - 강조색6 3 3 3 3 2 2 2" xfId="19161"/>
    <cellStyle name="40% - 강조색6 3 3 3 3 2 2 3" xfId="19162"/>
    <cellStyle name="40% - 강조색6 3 3 3 3 2 3" xfId="19163"/>
    <cellStyle name="40% - 강조색6 3 3 3 3 2 4" xfId="19164"/>
    <cellStyle name="40% - 강조색6 3 3 3 3 3" xfId="19165"/>
    <cellStyle name="40% - 강조색6 3 3 3 3 3 2" xfId="19166"/>
    <cellStyle name="40% - 강조색6 3 3 3 3 3 3" xfId="19167"/>
    <cellStyle name="40% - 강조색6 3 3 3 3 4" xfId="19168"/>
    <cellStyle name="40% - 강조색6 3 3 3 3 5" xfId="19169"/>
    <cellStyle name="40% - 강조색6 3 3 3 4" xfId="19170"/>
    <cellStyle name="40% - 강조색6 3 3 3 4 2" xfId="19171"/>
    <cellStyle name="40% - 강조색6 3 3 3 4 2 2" xfId="19172"/>
    <cellStyle name="40% - 강조색6 3 3 3 4 2 3" xfId="19173"/>
    <cellStyle name="40% - 강조색6 3 3 3 4 3" xfId="19174"/>
    <cellStyle name="40% - 강조색6 3 3 3 4 4" xfId="19175"/>
    <cellStyle name="40% - 강조색6 3 3 3 5" xfId="19176"/>
    <cellStyle name="40% - 강조색6 3 3 3 5 2" xfId="19177"/>
    <cellStyle name="40% - 강조색6 3 3 3 5 3" xfId="19178"/>
    <cellStyle name="40% - 강조색6 3 3 3 6" xfId="19179"/>
    <cellStyle name="40% - 강조색6 3 3 3 7" xfId="19180"/>
    <cellStyle name="40% - 강조색6 3 3 4" xfId="19181"/>
    <cellStyle name="40% - 강조색6 3 3 4 2" xfId="19182"/>
    <cellStyle name="40% - 강조색6 3 3 4 2 2" xfId="19183"/>
    <cellStyle name="40% - 강조색6 3 3 4 2 2 2" xfId="19184"/>
    <cellStyle name="40% - 강조색6 3 3 4 2 2 3" xfId="19185"/>
    <cellStyle name="40% - 강조색6 3 3 4 2 3" xfId="19186"/>
    <cellStyle name="40% - 강조색6 3 3 4 2 4" xfId="19187"/>
    <cellStyle name="40% - 강조색6 3 3 4 3" xfId="19188"/>
    <cellStyle name="40% - 강조색6 3 3 4 3 2" xfId="19189"/>
    <cellStyle name="40% - 강조색6 3 3 4 3 3" xfId="19190"/>
    <cellStyle name="40% - 강조색6 3 3 4 4" xfId="19191"/>
    <cellStyle name="40% - 강조색6 3 3 4 5" xfId="19192"/>
    <cellStyle name="40% - 강조색6 3 3 5" xfId="19193"/>
    <cellStyle name="40% - 강조색6 3 3 5 2" xfId="19194"/>
    <cellStyle name="40% - 강조색6 3 3 5 2 2" xfId="19195"/>
    <cellStyle name="40% - 강조색6 3 3 5 2 2 2" xfId="19196"/>
    <cellStyle name="40% - 강조색6 3 3 5 2 2 3" xfId="19197"/>
    <cellStyle name="40% - 강조색6 3 3 5 2 3" xfId="19198"/>
    <cellStyle name="40% - 강조색6 3 3 5 2 4" xfId="19199"/>
    <cellStyle name="40% - 강조색6 3 3 5 3" xfId="19200"/>
    <cellStyle name="40% - 강조색6 3 3 5 3 2" xfId="19201"/>
    <cellStyle name="40% - 강조색6 3 3 5 3 3" xfId="19202"/>
    <cellStyle name="40% - 강조색6 3 3 5 4" xfId="19203"/>
    <cellStyle name="40% - 강조색6 3 3 5 5" xfId="19204"/>
    <cellStyle name="40% - 강조색6 3 3 6" xfId="19205"/>
    <cellStyle name="40% - 강조색6 3 3 6 2" xfId="19206"/>
    <cellStyle name="40% - 강조색6 3 3 6 2 2" xfId="19207"/>
    <cellStyle name="40% - 강조색6 3 3 6 2 2 2" xfId="19208"/>
    <cellStyle name="40% - 강조색6 3 3 6 2 2 3" xfId="19209"/>
    <cellStyle name="40% - 강조색6 3 3 6 2 3" xfId="19210"/>
    <cellStyle name="40% - 강조색6 3 3 6 2 4" xfId="19211"/>
    <cellStyle name="40% - 강조색6 3 3 6 3" xfId="19212"/>
    <cellStyle name="40% - 강조색6 3 3 6 3 2" xfId="19213"/>
    <cellStyle name="40% - 강조색6 3 3 6 3 3" xfId="19214"/>
    <cellStyle name="40% - 강조색6 3 3 6 4" xfId="19215"/>
    <cellStyle name="40% - 강조색6 3 3 6 5" xfId="19216"/>
    <cellStyle name="40% - 강조색6 3 3 7" xfId="19217"/>
    <cellStyle name="40% - 강조색6 3 3 7 2" xfId="19218"/>
    <cellStyle name="40% - 강조색6 3 3 7 2 2" xfId="19219"/>
    <cellStyle name="40% - 강조색6 3 3 7 2 3" xfId="19220"/>
    <cellStyle name="40% - 강조색6 3 3 7 3" xfId="19221"/>
    <cellStyle name="40% - 강조색6 3 3 7 4" xfId="19222"/>
    <cellStyle name="40% - 강조색6 3 3 8" xfId="19223"/>
    <cellStyle name="40% - 강조색6 3 3 8 2" xfId="19224"/>
    <cellStyle name="40% - 강조색6 3 3 8 3" xfId="19225"/>
    <cellStyle name="40% - 강조색6 3 3 9" xfId="19226"/>
    <cellStyle name="40% - 강조색6 3 4" xfId="19227"/>
    <cellStyle name="40% - 강조색6 3 4 10" xfId="19228"/>
    <cellStyle name="40% - 강조색6 3 4 11" xfId="19229"/>
    <cellStyle name="40% - 강조색6 3 4 12" xfId="19230"/>
    <cellStyle name="40% - 강조색6 3 4 2" xfId="19231"/>
    <cellStyle name="40% - 강조색6 3 4 2 2" xfId="19232"/>
    <cellStyle name="40% - 강조색6 3 4 2 2 2" xfId="19233"/>
    <cellStyle name="40% - 강조색6 3 4 2 2 2 2" xfId="19234"/>
    <cellStyle name="40% - 강조색6 3 4 2 2 2 2 2" xfId="19235"/>
    <cellStyle name="40% - 강조색6 3 4 2 2 2 2 3" xfId="19236"/>
    <cellStyle name="40% - 강조색6 3 4 2 2 2 3" xfId="19237"/>
    <cellStyle name="40% - 강조색6 3 4 2 2 2 4" xfId="19238"/>
    <cellStyle name="40% - 강조색6 3 4 2 2 3" xfId="19239"/>
    <cellStyle name="40% - 강조색6 3 4 2 2 3 2" xfId="19240"/>
    <cellStyle name="40% - 강조색6 3 4 2 2 3 3" xfId="19241"/>
    <cellStyle name="40% - 강조색6 3 4 2 2 4" xfId="19242"/>
    <cellStyle name="40% - 강조색6 3 4 2 2 5" xfId="19243"/>
    <cellStyle name="40% - 강조색6 3 4 2 3" xfId="19244"/>
    <cellStyle name="40% - 강조색6 3 4 2 3 2" xfId="19245"/>
    <cellStyle name="40% - 강조색6 3 4 2 3 2 2" xfId="19246"/>
    <cellStyle name="40% - 강조색6 3 4 2 3 2 2 2" xfId="19247"/>
    <cellStyle name="40% - 강조색6 3 4 2 3 2 2 3" xfId="19248"/>
    <cellStyle name="40% - 강조색6 3 4 2 3 2 3" xfId="19249"/>
    <cellStyle name="40% - 강조색6 3 4 2 3 2 4" xfId="19250"/>
    <cellStyle name="40% - 강조색6 3 4 2 3 3" xfId="19251"/>
    <cellStyle name="40% - 강조색6 3 4 2 3 3 2" xfId="19252"/>
    <cellStyle name="40% - 강조색6 3 4 2 3 3 3" xfId="19253"/>
    <cellStyle name="40% - 강조색6 3 4 2 3 4" xfId="19254"/>
    <cellStyle name="40% - 강조색6 3 4 2 3 5" xfId="19255"/>
    <cellStyle name="40% - 강조색6 3 4 2 4" xfId="19256"/>
    <cellStyle name="40% - 강조색6 3 4 2 4 2" xfId="19257"/>
    <cellStyle name="40% - 강조색6 3 4 2 4 2 2" xfId="19258"/>
    <cellStyle name="40% - 강조색6 3 4 2 4 2 3" xfId="19259"/>
    <cellStyle name="40% - 강조색6 3 4 2 4 3" xfId="19260"/>
    <cellStyle name="40% - 강조색6 3 4 2 4 4" xfId="19261"/>
    <cellStyle name="40% - 강조색6 3 4 2 5" xfId="19262"/>
    <cellStyle name="40% - 강조색6 3 4 2 5 2" xfId="19263"/>
    <cellStyle name="40% - 강조색6 3 4 2 5 3" xfId="19264"/>
    <cellStyle name="40% - 강조색6 3 4 2 6" xfId="19265"/>
    <cellStyle name="40% - 강조색6 3 4 2 7" xfId="19266"/>
    <cellStyle name="40% - 강조색6 3 4 3" xfId="19267"/>
    <cellStyle name="40% - 강조색6 3 4 3 2" xfId="19268"/>
    <cellStyle name="40% - 강조색6 3 4 3 2 2" xfId="19269"/>
    <cellStyle name="40% - 강조색6 3 4 3 2 2 2" xfId="19270"/>
    <cellStyle name="40% - 강조색6 3 4 3 2 2 2 2" xfId="19271"/>
    <cellStyle name="40% - 강조색6 3 4 3 2 2 2 3" xfId="19272"/>
    <cellStyle name="40% - 강조색6 3 4 3 2 2 3" xfId="19273"/>
    <cellStyle name="40% - 강조색6 3 4 3 2 2 4" xfId="19274"/>
    <cellStyle name="40% - 강조색6 3 4 3 2 3" xfId="19275"/>
    <cellStyle name="40% - 강조색6 3 4 3 2 3 2" xfId="19276"/>
    <cellStyle name="40% - 강조색6 3 4 3 2 3 3" xfId="19277"/>
    <cellStyle name="40% - 강조색6 3 4 3 2 4" xfId="19278"/>
    <cellStyle name="40% - 강조색6 3 4 3 2 5" xfId="19279"/>
    <cellStyle name="40% - 강조색6 3 4 3 3" xfId="19280"/>
    <cellStyle name="40% - 강조색6 3 4 3 3 2" xfId="19281"/>
    <cellStyle name="40% - 강조색6 3 4 3 3 2 2" xfId="19282"/>
    <cellStyle name="40% - 강조색6 3 4 3 3 2 2 2" xfId="19283"/>
    <cellStyle name="40% - 강조색6 3 4 3 3 2 2 3" xfId="19284"/>
    <cellStyle name="40% - 강조색6 3 4 3 3 2 3" xfId="19285"/>
    <cellStyle name="40% - 강조색6 3 4 3 3 2 4" xfId="19286"/>
    <cellStyle name="40% - 강조색6 3 4 3 3 3" xfId="19287"/>
    <cellStyle name="40% - 강조색6 3 4 3 3 3 2" xfId="19288"/>
    <cellStyle name="40% - 강조색6 3 4 3 3 3 3" xfId="19289"/>
    <cellStyle name="40% - 강조색6 3 4 3 3 4" xfId="19290"/>
    <cellStyle name="40% - 강조색6 3 4 3 3 5" xfId="19291"/>
    <cellStyle name="40% - 강조색6 3 4 3 4" xfId="19292"/>
    <cellStyle name="40% - 강조색6 3 4 3 4 2" xfId="19293"/>
    <cellStyle name="40% - 강조색6 3 4 3 4 2 2" xfId="19294"/>
    <cellStyle name="40% - 강조색6 3 4 3 4 2 3" xfId="19295"/>
    <cellStyle name="40% - 강조색6 3 4 3 4 3" xfId="19296"/>
    <cellStyle name="40% - 강조색6 3 4 3 4 4" xfId="19297"/>
    <cellStyle name="40% - 강조색6 3 4 3 5" xfId="19298"/>
    <cellStyle name="40% - 강조색6 3 4 3 5 2" xfId="19299"/>
    <cellStyle name="40% - 강조색6 3 4 3 5 3" xfId="19300"/>
    <cellStyle name="40% - 강조색6 3 4 3 6" xfId="19301"/>
    <cellStyle name="40% - 강조색6 3 4 3 7" xfId="19302"/>
    <cellStyle name="40% - 강조색6 3 4 4" xfId="19303"/>
    <cellStyle name="40% - 강조색6 3 4 4 2" xfId="19304"/>
    <cellStyle name="40% - 강조색6 3 4 4 2 2" xfId="19305"/>
    <cellStyle name="40% - 강조색6 3 4 4 2 2 2" xfId="19306"/>
    <cellStyle name="40% - 강조색6 3 4 4 2 2 3" xfId="19307"/>
    <cellStyle name="40% - 강조색6 3 4 4 2 3" xfId="19308"/>
    <cellStyle name="40% - 강조색6 3 4 4 2 4" xfId="19309"/>
    <cellStyle name="40% - 강조색6 3 4 4 3" xfId="19310"/>
    <cellStyle name="40% - 강조색6 3 4 4 3 2" xfId="19311"/>
    <cellStyle name="40% - 강조색6 3 4 4 3 3" xfId="19312"/>
    <cellStyle name="40% - 강조색6 3 4 4 4" xfId="19313"/>
    <cellStyle name="40% - 강조색6 3 4 4 5" xfId="19314"/>
    <cellStyle name="40% - 강조색6 3 4 5" xfId="19315"/>
    <cellStyle name="40% - 강조색6 3 4 5 2" xfId="19316"/>
    <cellStyle name="40% - 강조색6 3 4 5 2 2" xfId="19317"/>
    <cellStyle name="40% - 강조색6 3 4 5 2 2 2" xfId="19318"/>
    <cellStyle name="40% - 강조색6 3 4 5 2 2 3" xfId="19319"/>
    <cellStyle name="40% - 강조색6 3 4 5 2 3" xfId="19320"/>
    <cellStyle name="40% - 강조색6 3 4 5 2 4" xfId="19321"/>
    <cellStyle name="40% - 강조색6 3 4 5 3" xfId="19322"/>
    <cellStyle name="40% - 강조색6 3 4 5 3 2" xfId="19323"/>
    <cellStyle name="40% - 강조색6 3 4 5 3 3" xfId="19324"/>
    <cellStyle name="40% - 강조색6 3 4 5 4" xfId="19325"/>
    <cellStyle name="40% - 강조색6 3 4 5 5" xfId="19326"/>
    <cellStyle name="40% - 강조색6 3 4 6" xfId="19327"/>
    <cellStyle name="40% - 강조색6 3 4 6 2" xfId="19328"/>
    <cellStyle name="40% - 강조색6 3 4 6 2 2" xfId="19329"/>
    <cellStyle name="40% - 강조색6 3 4 6 2 2 2" xfId="19330"/>
    <cellStyle name="40% - 강조색6 3 4 6 2 2 3" xfId="19331"/>
    <cellStyle name="40% - 강조색6 3 4 6 2 3" xfId="19332"/>
    <cellStyle name="40% - 강조색6 3 4 6 2 4" xfId="19333"/>
    <cellStyle name="40% - 강조색6 3 4 6 3" xfId="19334"/>
    <cellStyle name="40% - 강조색6 3 4 6 3 2" xfId="19335"/>
    <cellStyle name="40% - 강조색6 3 4 6 3 3" xfId="19336"/>
    <cellStyle name="40% - 강조색6 3 4 6 4" xfId="19337"/>
    <cellStyle name="40% - 강조색6 3 4 6 5" xfId="19338"/>
    <cellStyle name="40% - 강조색6 3 4 7" xfId="19339"/>
    <cellStyle name="40% - 강조색6 3 4 7 2" xfId="19340"/>
    <cellStyle name="40% - 강조색6 3 4 7 2 2" xfId="19341"/>
    <cellStyle name="40% - 강조색6 3 4 7 2 3" xfId="19342"/>
    <cellStyle name="40% - 강조색6 3 4 7 3" xfId="19343"/>
    <cellStyle name="40% - 강조색6 3 4 7 4" xfId="19344"/>
    <cellStyle name="40% - 강조색6 3 4 8" xfId="19345"/>
    <cellStyle name="40% - 강조색6 3 4 8 2" xfId="19346"/>
    <cellStyle name="40% - 강조색6 3 4 8 3" xfId="19347"/>
    <cellStyle name="40% - 강조색6 3 4 9" xfId="19348"/>
    <cellStyle name="40% - 강조색6 3 5" xfId="19349"/>
    <cellStyle name="40% - 강조색6 3 5 2" xfId="19350"/>
    <cellStyle name="40% - 강조색6 3 5 2 2" xfId="19351"/>
    <cellStyle name="40% - 강조색6 3 5 2 2 2" xfId="19352"/>
    <cellStyle name="40% - 강조색6 3 5 2 2 2 2" xfId="19353"/>
    <cellStyle name="40% - 강조색6 3 5 2 2 2 3" xfId="19354"/>
    <cellStyle name="40% - 강조색6 3 5 2 2 3" xfId="19355"/>
    <cellStyle name="40% - 강조색6 3 5 2 2 4" xfId="19356"/>
    <cellStyle name="40% - 강조색6 3 5 2 3" xfId="19357"/>
    <cellStyle name="40% - 강조색6 3 5 2 3 2" xfId="19358"/>
    <cellStyle name="40% - 강조색6 3 5 2 3 3" xfId="19359"/>
    <cellStyle name="40% - 강조색6 3 5 2 4" xfId="19360"/>
    <cellStyle name="40% - 강조색6 3 5 2 5" xfId="19361"/>
    <cellStyle name="40% - 강조색6 3 5 3" xfId="19362"/>
    <cellStyle name="40% - 강조색6 3 5 3 2" xfId="19363"/>
    <cellStyle name="40% - 강조색6 3 5 3 2 2" xfId="19364"/>
    <cellStyle name="40% - 강조색6 3 5 3 2 2 2" xfId="19365"/>
    <cellStyle name="40% - 강조색6 3 5 3 2 2 3" xfId="19366"/>
    <cellStyle name="40% - 강조색6 3 5 3 2 3" xfId="19367"/>
    <cellStyle name="40% - 강조색6 3 5 3 2 4" xfId="19368"/>
    <cellStyle name="40% - 강조색6 3 5 3 3" xfId="19369"/>
    <cellStyle name="40% - 강조색6 3 5 3 3 2" xfId="19370"/>
    <cellStyle name="40% - 강조색6 3 5 3 3 3" xfId="19371"/>
    <cellStyle name="40% - 강조색6 3 5 3 4" xfId="19372"/>
    <cellStyle name="40% - 강조색6 3 5 3 5" xfId="19373"/>
    <cellStyle name="40% - 강조색6 3 5 4" xfId="19374"/>
    <cellStyle name="40% - 강조색6 3 5 4 2" xfId="19375"/>
    <cellStyle name="40% - 강조색6 3 5 4 2 2" xfId="19376"/>
    <cellStyle name="40% - 강조색6 3 5 4 2 3" xfId="19377"/>
    <cellStyle name="40% - 강조색6 3 5 4 3" xfId="19378"/>
    <cellStyle name="40% - 강조색6 3 5 4 4" xfId="19379"/>
    <cellStyle name="40% - 강조색6 3 5 5" xfId="19380"/>
    <cellStyle name="40% - 강조색6 3 5 5 2" xfId="19381"/>
    <cellStyle name="40% - 강조색6 3 5 5 3" xfId="19382"/>
    <cellStyle name="40% - 강조색6 3 5 6" xfId="19383"/>
    <cellStyle name="40% - 강조색6 3 5 7" xfId="19384"/>
    <cellStyle name="40% - 강조색6 3 5 8" xfId="19385"/>
    <cellStyle name="40% - 강조색6 3 6" xfId="19386"/>
    <cellStyle name="40% - 강조색6 3 6 2" xfId="19387"/>
    <cellStyle name="40% - 강조색6 3 6 2 2" xfId="19388"/>
    <cellStyle name="40% - 강조색6 3 6 2 2 2" xfId="19389"/>
    <cellStyle name="40% - 강조색6 3 6 2 2 2 2" xfId="19390"/>
    <cellStyle name="40% - 강조색6 3 6 2 2 2 3" xfId="19391"/>
    <cellStyle name="40% - 강조색6 3 6 2 2 3" xfId="19392"/>
    <cellStyle name="40% - 강조색6 3 6 2 2 4" xfId="19393"/>
    <cellStyle name="40% - 강조색6 3 6 2 3" xfId="19394"/>
    <cellStyle name="40% - 강조색6 3 6 2 3 2" xfId="19395"/>
    <cellStyle name="40% - 강조색6 3 6 2 3 3" xfId="19396"/>
    <cellStyle name="40% - 강조색6 3 6 2 4" xfId="19397"/>
    <cellStyle name="40% - 강조색6 3 6 2 5" xfId="19398"/>
    <cellStyle name="40% - 강조색6 3 6 3" xfId="19399"/>
    <cellStyle name="40% - 강조색6 3 6 3 2" xfId="19400"/>
    <cellStyle name="40% - 강조색6 3 6 3 2 2" xfId="19401"/>
    <cellStyle name="40% - 강조색6 3 6 3 2 2 2" xfId="19402"/>
    <cellStyle name="40% - 강조색6 3 6 3 2 2 3" xfId="19403"/>
    <cellStyle name="40% - 강조색6 3 6 3 2 3" xfId="19404"/>
    <cellStyle name="40% - 강조색6 3 6 3 2 4" xfId="19405"/>
    <cellStyle name="40% - 강조색6 3 6 3 3" xfId="19406"/>
    <cellStyle name="40% - 강조색6 3 6 3 3 2" xfId="19407"/>
    <cellStyle name="40% - 강조색6 3 6 3 3 3" xfId="19408"/>
    <cellStyle name="40% - 강조색6 3 6 3 4" xfId="19409"/>
    <cellStyle name="40% - 강조색6 3 6 3 5" xfId="19410"/>
    <cellStyle name="40% - 강조색6 3 6 4" xfId="19411"/>
    <cellStyle name="40% - 강조색6 3 6 4 2" xfId="19412"/>
    <cellStyle name="40% - 강조색6 3 6 4 2 2" xfId="19413"/>
    <cellStyle name="40% - 강조색6 3 6 4 2 3" xfId="19414"/>
    <cellStyle name="40% - 강조색6 3 6 4 3" xfId="19415"/>
    <cellStyle name="40% - 강조색6 3 6 4 4" xfId="19416"/>
    <cellStyle name="40% - 강조색6 3 6 5" xfId="19417"/>
    <cellStyle name="40% - 강조색6 3 6 5 2" xfId="19418"/>
    <cellStyle name="40% - 강조색6 3 6 5 3" xfId="19419"/>
    <cellStyle name="40% - 강조색6 3 6 6" xfId="19420"/>
    <cellStyle name="40% - 강조색6 3 6 7" xfId="19421"/>
    <cellStyle name="40% - 강조색6 3 7" xfId="19422"/>
    <cellStyle name="40% - 강조색6 3 7 2" xfId="19423"/>
    <cellStyle name="40% - 강조색6 3 7 2 2" xfId="19424"/>
    <cellStyle name="40% - 강조색6 3 7 2 2 2" xfId="19425"/>
    <cellStyle name="40% - 강조색6 3 7 2 2 3" xfId="19426"/>
    <cellStyle name="40% - 강조색6 3 7 2 3" xfId="19427"/>
    <cellStyle name="40% - 강조색6 3 7 2 4" xfId="19428"/>
    <cellStyle name="40% - 강조색6 3 7 3" xfId="19429"/>
    <cellStyle name="40% - 강조색6 3 7 3 2" xfId="19430"/>
    <cellStyle name="40% - 강조색6 3 7 3 3" xfId="19431"/>
    <cellStyle name="40% - 강조색6 3 7 4" xfId="19432"/>
    <cellStyle name="40% - 강조색6 3 7 5" xfId="19433"/>
    <cellStyle name="40% - 강조색6 3 8" xfId="19434"/>
    <cellStyle name="40% - 강조색6 3 8 2" xfId="19435"/>
    <cellStyle name="40% - 강조색6 3 8 2 2" xfId="19436"/>
    <cellStyle name="40% - 강조색6 3 8 2 2 2" xfId="19437"/>
    <cellStyle name="40% - 강조색6 3 8 2 2 3" xfId="19438"/>
    <cellStyle name="40% - 강조색6 3 8 2 3" xfId="19439"/>
    <cellStyle name="40% - 강조색6 3 8 2 4" xfId="19440"/>
    <cellStyle name="40% - 강조색6 3 8 3" xfId="19441"/>
    <cellStyle name="40% - 강조색6 3 8 3 2" xfId="19442"/>
    <cellStyle name="40% - 강조색6 3 8 3 3" xfId="19443"/>
    <cellStyle name="40% - 강조색6 3 8 4" xfId="19444"/>
    <cellStyle name="40% - 강조색6 3 8 5" xfId="19445"/>
    <cellStyle name="40% - 강조색6 3 9" xfId="19446"/>
    <cellStyle name="40% - 강조색6 3 9 2" xfId="19447"/>
    <cellStyle name="40% - 강조색6 3 9 2 2" xfId="19448"/>
    <cellStyle name="40% - 강조색6 3 9 2 2 2" xfId="19449"/>
    <cellStyle name="40% - 강조색6 3 9 2 2 3" xfId="19450"/>
    <cellStyle name="40% - 강조색6 3 9 2 3" xfId="19451"/>
    <cellStyle name="40% - 강조색6 3 9 2 4" xfId="19452"/>
    <cellStyle name="40% - 강조색6 3 9 3" xfId="19453"/>
    <cellStyle name="40% - 강조색6 3 9 3 2" xfId="19454"/>
    <cellStyle name="40% - 강조색6 3 9 3 3" xfId="19455"/>
    <cellStyle name="40% - 강조색6 3 9 4" xfId="19456"/>
    <cellStyle name="40% - 강조색6 3 9 5" xfId="19457"/>
    <cellStyle name="40% - 강조색6 30" xfId="19458"/>
    <cellStyle name="40% - 강조색6 30 2" xfId="19459"/>
    <cellStyle name="40% - 강조색6 31" xfId="19460"/>
    <cellStyle name="40% - 강조색6 31 2" xfId="19461"/>
    <cellStyle name="40% - 강조색6 32" xfId="19462"/>
    <cellStyle name="40% - 강조색6 32 2" xfId="19463"/>
    <cellStyle name="40% - 강조색6 33" xfId="19464"/>
    <cellStyle name="40% - 강조색6 33 2" xfId="19465"/>
    <cellStyle name="40% - 강조색6 34" xfId="19466"/>
    <cellStyle name="40% - 강조색6 34 2" xfId="19467"/>
    <cellStyle name="40% - 강조색6 35" xfId="19468"/>
    <cellStyle name="40% - 강조색6 36" xfId="19469"/>
    <cellStyle name="40% - 강조색6 37" xfId="19470"/>
    <cellStyle name="40% - 강조색6 38" xfId="19471"/>
    <cellStyle name="40% - 강조색6 39" xfId="19472"/>
    <cellStyle name="40% - 강조색6 4" xfId="19473"/>
    <cellStyle name="40% - 강조색6 4 10" xfId="19474"/>
    <cellStyle name="40% - 강조색6 4 10 2" xfId="19475"/>
    <cellStyle name="40% - 강조색6 4 10 2 2" xfId="19476"/>
    <cellStyle name="40% - 강조색6 4 10 2 3" xfId="19477"/>
    <cellStyle name="40% - 강조색6 4 10 3" xfId="19478"/>
    <cellStyle name="40% - 강조색6 4 10 4" xfId="19479"/>
    <cellStyle name="40% - 강조색6 4 11" xfId="19480"/>
    <cellStyle name="40% - 강조색6 4 11 2" xfId="19481"/>
    <cellStyle name="40% - 강조색6 4 11 3" xfId="19482"/>
    <cellStyle name="40% - 강조색6 4 12" xfId="19483"/>
    <cellStyle name="40% - 강조색6 4 13" xfId="19484"/>
    <cellStyle name="40% - 강조색6 4 14" xfId="19485"/>
    <cellStyle name="40% - 강조색6 4 2" xfId="19486"/>
    <cellStyle name="40% - 강조색6 4 2 10" xfId="19487"/>
    <cellStyle name="40% - 강조색6 4 2 2" xfId="19488"/>
    <cellStyle name="40% - 강조색6 4 2 2 2" xfId="19489"/>
    <cellStyle name="40% - 강조색6 4 2 2 2 2" xfId="19490"/>
    <cellStyle name="40% - 강조색6 4 2 2 2 2 2" xfId="19491"/>
    <cellStyle name="40% - 강조색6 4 2 2 2 2 2 2" xfId="19492"/>
    <cellStyle name="40% - 강조색6 4 2 2 2 2 2 3" xfId="19493"/>
    <cellStyle name="40% - 강조색6 4 2 2 2 2 3" xfId="19494"/>
    <cellStyle name="40% - 강조색6 4 2 2 2 2 4" xfId="19495"/>
    <cellStyle name="40% - 강조색6 4 2 2 2 3" xfId="19496"/>
    <cellStyle name="40% - 강조색6 4 2 2 2 3 2" xfId="19497"/>
    <cellStyle name="40% - 강조색6 4 2 2 2 3 3" xfId="19498"/>
    <cellStyle name="40% - 강조색6 4 2 2 2 4" xfId="19499"/>
    <cellStyle name="40% - 강조색6 4 2 2 2 5" xfId="19500"/>
    <cellStyle name="40% - 강조색6 4 2 2 3" xfId="19501"/>
    <cellStyle name="40% - 강조색6 4 2 2 3 2" xfId="19502"/>
    <cellStyle name="40% - 강조색6 4 2 2 3 2 2" xfId="19503"/>
    <cellStyle name="40% - 강조색6 4 2 2 3 2 2 2" xfId="19504"/>
    <cellStyle name="40% - 강조색6 4 2 2 3 2 2 3" xfId="19505"/>
    <cellStyle name="40% - 강조색6 4 2 2 3 2 3" xfId="19506"/>
    <cellStyle name="40% - 강조색6 4 2 2 3 2 4" xfId="19507"/>
    <cellStyle name="40% - 강조색6 4 2 2 3 3" xfId="19508"/>
    <cellStyle name="40% - 강조색6 4 2 2 3 3 2" xfId="19509"/>
    <cellStyle name="40% - 강조색6 4 2 2 3 3 3" xfId="19510"/>
    <cellStyle name="40% - 강조색6 4 2 2 3 4" xfId="19511"/>
    <cellStyle name="40% - 강조색6 4 2 2 3 5" xfId="19512"/>
    <cellStyle name="40% - 강조색6 4 2 2 4" xfId="19513"/>
    <cellStyle name="40% - 강조색6 4 2 2 4 2" xfId="19514"/>
    <cellStyle name="40% - 강조색6 4 2 2 4 2 2" xfId="19515"/>
    <cellStyle name="40% - 강조색6 4 2 2 4 2 3" xfId="19516"/>
    <cellStyle name="40% - 강조색6 4 2 2 4 3" xfId="19517"/>
    <cellStyle name="40% - 강조색6 4 2 2 4 4" xfId="19518"/>
    <cellStyle name="40% - 강조색6 4 2 2 5" xfId="19519"/>
    <cellStyle name="40% - 강조색6 4 2 2 5 2" xfId="19520"/>
    <cellStyle name="40% - 강조색6 4 2 2 5 3" xfId="19521"/>
    <cellStyle name="40% - 강조색6 4 2 2 6" xfId="19522"/>
    <cellStyle name="40% - 강조색6 4 2 2 7" xfId="19523"/>
    <cellStyle name="40% - 강조색6 4 2 3" xfId="19524"/>
    <cellStyle name="40% - 강조색6 4 2 3 2" xfId="19525"/>
    <cellStyle name="40% - 강조색6 4 2 3 2 2" xfId="19526"/>
    <cellStyle name="40% - 강조색6 4 2 3 2 2 2" xfId="19527"/>
    <cellStyle name="40% - 강조색6 4 2 3 2 2 2 2" xfId="19528"/>
    <cellStyle name="40% - 강조색6 4 2 3 2 2 2 3" xfId="19529"/>
    <cellStyle name="40% - 강조색6 4 2 3 2 2 3" xfId="19530"/>
    <cellStyle name="40% - 강조색6 4 2 3 2 2 4" xfId="19531"/>
    <cellStyle name="40% - 강조색6 4 2 3 2 3" xfId="19532"/>
    <cellStyle name="40% - 강조색6 4 2 3 2 3 2" xfId="19533"/>
    <cellStyle name="40% - 강조색6 4 2 3 2 3 3" xfId="19534"/>
    <cellStyle name="40% - 강조색6 4 2 3 2 4" xfId="19535"/>
    <cellStyle name="40% - 강조색6 4 2 3 2 5" xfId="19536"/>
    <cellStyle name="40% - 강조색6 4 2 3 3" xfId="19537"/>
    <cellStyle name="40% - 강조색6 4 2 3 3 2" xfId="19538"/>
    <cellStyle name="40% - 강조색6 4 2 3 3 2 2" xfId="19539"/>
    <cellStyle name="40% - 강조색6 4 2 3 3 2 2 2" xfId="19540"/>
    <cellStyle name="40% - 강조색6 4 2 3 3 2 2 3" xfId="19541"/>
    <cellStyle name="40% - 강조색6 4 2 3 3 2 3" xfId="19542"/>
    <cellStyle name="40% - 강조색6 4 2 3 3 2 4" xfId="19543"/>
    <cellStyle name="40% - 강조색6 4 2 3 3 3" xfId="19544"/>
    <cellStyle name="40% - 강조색6 4 2 3 3 3 2" xfId="19545"/>
    <cellStyle name="40% - 강조색6 4 2 3 3 3 3" xfId="19546"/>
    <cellStyle name="40% - 강조색6 4 2 3 3 4" xfId="19547"/>
    <cellStyle name="40% - 강조색6 4 2 3 3 5" xfId="19548"/>
    <cellStyle name="40% - 강조색6 4 2 3 4" xfId="19549"/>
    <cellStyle name="40% - 강조색6 4 2 3 4 2" xfId="19550"/>
    <cellStyle name="40% - 강조색6 4 2 3 4 2 2" xfId="19551"/>
    <cellStyle name="40% - 강조색6 4 2 3 4 2 3" xfId="19552"/>
    <cellStyle name="40% - 강조색6 4 2 3 4 3" xfId="19553"/>
    <cellStyle name="40% - 강조색6 4 2 3 4 4" xfId="19554"/>
    <cellStyle name="40% - 강조색6 4 2 3 5" xfId="19555"/>
    <cellStyle name="40% - 강조색6 4 2 3 5 2" xfId="19556"/>
    <cellStyle name="40% - 강조색6 4 2 3 5 3" xfId="19557"/>
    <cellStyle name="40% - 강조색6 4 2 3 6" xfId="19558"/>
    <cellStyle name="40% - 강조색6 4 2 3 7" xfId="19559"/>
    <cellStyle name="40% - 강조색6 4 2 4" xfId="19560"/>
    <cellStyle name="40% - 강조색6 4 2 4 2" xfId="19561"/>
    <cellStyle name="40% - 강조색6 4 2 4 2 2" xfId="19562"/>
    <cellStyle name="40% - 강조색6 4 2 4 2 2 2" xfId="19563"/>
    <cellStyle name="40% - 강조색6 4 2 4 2 2 3" xfId="19564"/>
    <cellStyle name="40% - 강조색6 4 2 4 2 3" xfId="19565"/>
    <cellStyle name="40% - 강조색6 4 2 4 2 4" xfId="19566"/>
    <cellStyle name="40% - 강조색6 4 2 4 3" xfId="19567"/>
    <cellStyle name="40% - 강조색6 4 2 4 3 2" xfId="19568"/>
    <cellStyle name="40% - 강조색6 4 2 4 3 3" xfId="19569"/>
    <cellStyle name="40% - 강조색6 4 2 4 4" xfId="19570"/>
    <cellStyle name="40% - 강조색6 4 2 4 5" xfId="19571"/>
    <cellStyle name="40% - 강조색6 4 2 5" xfId="19572"/>
    <cellStyle name="40% - 강조색6 4 2 5 2" xfId="19573"/>
    <cellStyle name="40% - 강조색6 4 2 5 2 2" xfId="19574"/>
    <cellStyle name="40% - 강조색6 4 2 5 2 2 2" xfId="19575"/>
    <cellStyle name="40% - 강조색6 4 2 5 2 2 3" xfId="19576"/>
    <cellStyle name="40% - 강조색6 4 2 5 2 3" xfId="19577"/>
    <cellStyle name="40% - 강조색6 4 2 5 2 4" xfId="19578"/>
    <cellStyle name="40% - 강조색6 4 2 5 3" xfId="19579"/>
    <cellStyle name="40% - 강조색6 4 2 5 3 2" xfId="19580"/>
    <cellStyle name="40% - 강조색6 4 2 5 3 3" xfId="19581"/>
    <cellStyle name="40% - 강조색6 4 2 5 4" xfId="19582"/>
    <cellStyle name="40% - 강조색6 4 2 5 5" xfId="19583"/>
    <cellStyle name="40% - 강조색6 4 2 6" xfId="19584"/>
    <cellStyle name="40% - 강조색6 4 2 6 2" xfId="19585"/>
    <cellStyle name="40% - 강조색6 4 2 6 2 2" xfId="19586"/>
    <cellStyle name="40% - 강조색6 4 2 6 2 2 2" xfId="19587"/>
    <cellStyle name="40% - 강조색6 4 2 6 2 2 3" xfId="19588"/>
    <cellStyle name="40% - 강조색6 4 2 6 2 3" xfId="19589"/>
    <cellStyle name="40% - 강조색6 4 2 6 2 4" xfId="19590"/>
    <cellStyle name="40% - 강조색6 4 2 6 3" xfId="19591"/>
    <cellStyle name="40% - 강조색6 4 2 6 3 2" xfId="19592"/>
    <cellStyle name="40% - 강조색6 4 2 6 3 3" xfId="19593"/>
    <cellStyle name="40% - 강조색6 4 2 6 4" xfId="19594"/>
    <cellStyle name="40% - 강조색6 4 2 6 5" xfId="19595"/>
    <cellStyle name="40% - 강조색6 4 2 7" xfId="19596"/>
    <cellStyle name="40% - 강조색6 4 2 7 2" xfId="19597"/>
    <cellStyle name="40% - 강조색6 4 2 7 2 2" xfId="19598"/>
    <cellStyle name="40% - 강조색6 4 2 7 2 3" xfId="19599"/>
    <cellStyle name="40% - 강조색6 4 2 7 3" xfId="19600"/>
    <cellStyle name="40% - 강조색6 4 2 7 4" xfId="19601"/>
    <cellStyle name="40% - 강조색6 4 2 8" xfId="19602"/>
    <cellStyle name="40% - 강조색6 4 2 8 2" xfId="19603"/>
    <cellStyle name="40% - 강조색6 4 2 8 3" xfId="19604"/>
    <cellStyle name="40% - 강조색6 4 2 9" xfId="19605"/>
    <cellStyle name="40% - 강조색6 4 3" xfId="19606"/>
    <cellStyle name="40% - 강조색6 4 3 10" xfId="19607"/>
    <cellStyle name="40% - 강조색6 4 3 2" xfId="19608"/>
    <cellStyle name="40% - 강조색6 4 3 2 2" xfId="19609"/>
    <cellStyle name="40% - 강조색6 4 3 2 2 2" xfId="19610"/>
    <cellStyle name="40% - 강조색6 4 3 2 2 2 2" xfId="19611"/>
    <cellStyle name="40% - 강조색6 4 3 2 2 2 2 2" xfId="19612"/>
    <cellStyle name="40% - 강조색6 4 3 2 2 2 2 3" xfId="19613"/>
    <cellStyle name="40% - 강조색6 4 3 2 2 2 3" xfId="19614"/>
    <cellStyle name="40% - 강조색6 4 3 2 2 2 4" xfId="19615"/>
    <cellStyle name="40% - 강조색6 4 3 2 2 3" xfId="19616"/>
    <cellStyle name="40% - 강조색6 4 3 2 2 3 2" xfId="19617"/>
    <cellStyle name="40% - 강조색6 4 3 2 2 3 3" xfId="19618"/>
    <cellStyle name="40% - 강조색6 4 3 2 2 4" xfId="19619"/>
    <cellStyle name="40% - 강조색6 4 3 2 2 5" xfId="19620"/>
    <cellStyle name="40% - 강조색6 4 3 2 3" xfId="19621"/>
    <cellStyle name="40% - 강조색6 4 3 2 3 2" xfId="19622"/>
    <cellStyle name="40% - 강조색6 4 3 2 3 2 2" xfId="19623"/>
    <cellStyle name="40% - 강조색6 4 3 2 3 2 2 2" xfId="19624"/>
    <cellStyle name="40% - 강조색6 4 3 2 3 2 2 3" xfId="19625"/>
    <cellStyle name="40% - 강조색6 4 3 2 3 2 3" xfId="19626"/>
    <cellStyle name="40% - 강조색6 4 3 2 3 2 4" xfId="19627"/>
    <cellStyle name="40% - 강조색6 4 3 2 3 3" xfId="19628"/>
    <cellStyle name="40% - 강조색6 4 3 2 3 3 2" xfId="19629"/>
    <cellStyle name="40% - 강조색6 4 3 2 3 3 3" xfId="19630"/>
    <cellStyle name="40% - 강조색6 4 3 2 3 4" xfId="19631"/>
    <cellStyle name="40% - 강조색6 4 3 2 3 5" xfId="19632"/>
    <cellStyle name="40% - 강조색6 4 3 2 4" xfId="19633"/>
    <cellStyle name="40% - 강조색6 4 3 2 4 2" xfId="19634"/>
    <cellStyle name="40% - 강조색6 4 3 2 4 2 2" xfId="19635"/>
    <cellStyle name="40% - 강조색6 4 3 2 4 2 3" xfId="19636"/>
    <cellStyle name="40% - 강조색6 4 3 2 4 3" xfId="19637"/>
    <cellStyle name="40% - 강조색6 4 3 2 4 4" xfId="19638"/>
    <cellStyle name="40% - 강조색6 4 3 2 5" xfId="19639"/>
    <cellStyle name="40% - 강조색6 4 3 2 5 2" xfId="19640"/>
    <cellStyle name="40% - 강조색6 4 3 2 5 3" xfId="19641"/>
    <cellStyle name="40% - 강조색6 4 3 2 6" xfId="19642"/>
    <cellStyle name="40% - 강조색6 4 3 2 7" xfId="19643"/>
    <cellStyle name="40% - 강조색6 4 3 3" xfId="19644"/>
    <cellStyle name="40% - 강조색6 4 3 3 2" xfId="19645"/>
    <cellStyle name="40% - 강조색6 4 3 3 2 2" xfId="19646"/>
    <cellStyle name="40% - 강조색6 4 3 3 2 2 2" xfId="19647"/>
    <cellStyle name="40% - 강조색6 4 3 3 2 2 2 2" xfId="19648"/>
    <cellStyle name="40% - 강조색6 4 3 3 2 2 2 3" xfId="19649"/>
    <cellStyle name="40% - 강조색6 4 3 3 2 2 3" xfId="19650"/>
    <cellStyle name="40% - 강조색6 4 3 3 2 2 4" xfId="19651"/>
    <cellStyle name="40% - 강조색6 4 3 3 2 3" xfId="19652"/>
    <cellStyle name="40% - 강조색6 4 3 3 2 3 2" xfId="19653"/>
    <cellStyle name="40% - 강조색6 4 3 3 2 3 3" xfId="19654"/>
    <cellStyle name="40% - 강조색6 4 3 3 2 4" xfId="19655"/>
    <cellStyle name="40% - 강조색6 4 3 3 2 5" xfId="19656"/>
    <cellStyle name="40% - 강조색6 4 3 3 3" xfId="19657"/>
    <cellStyle name="40% - 강조색6 4 3 3 3 2" xfId="19658"/>
    <cellStyle name="40% - 강조색6 4 3 3 3 2 2" xfId="19659"/>
    <cellStyle name="40% - 강조색6 4 3 3 3 2 2 2" xfId="19660"/>
    <cellStyle name="40% - 강조색6 4 3 3 3 2 2 3" xfId="19661"/>
    <cellStyle name="40% - 강조색6 4 3 3 3 2 3" xfId="19662"/>
    <cellStyle name="40% - 강조색6 4 3 3 3 2 4" xfId="19663"/>
    <cellStyle name="40% - 강조색6 4 3 3 3 3" xfId="19664"/>
    <cellStyle name="40% - 강조색6 4 3 3 3 3 2" xfId="19665"/>
    <cellStyle name="40% - 강조색6 4 3 3 3 3 3" xfId="19666"/>
    <cellStyle name="40% - 강조색6 4 3 3 3 4" xfId="19667"/>
    <cellStyle name="40% - 강조색6 4 3 3 3 5" xfId="19668"/>
    <cellStyle name="40% - 강조색6 4 3 3 4" xfId="19669"/>
    <cellStyle name="40% - 강조색6 4 3 3 4 2" xfId="19670"/>
    <cellStyle name="40% - 강조색6 4 3 3 4 2 2" xfId="19671"/>
    <cellStyle name="40% - 강조색6 4 3 3 4 2 3" xfId="19672"/>
    <cellStyle name="40% - 강조색6 4 3 3 4 3" xfId="19673"/>
    <cellStyle name="40% - 강조색6 4 3 3 4 4" xfId="19674"/>
    <cellStyle name="40% - 강조색6 4 3 3 5" xfId="19675"/>
    <cellStyle name="40% - 강조색6 4 3 3 5 2" xfId="19676"/>
    <cellStyle name="40% - 강조색6 4 3 3 5 3" xfId="19677"/>
    <cellStyle name="40% - 강조색6 4 3 3 6" xfId="19678"/>
    <cellStyle name="40% - 강조색6 4 3 3 7" xfId="19679"/>
    <cellStyle name="40% - 강조색6 4 3 4" xfId="19680"/>
    <cellStyle name="40% - 강조색6 4 3 4 2" xfId="19681"/>
    <cellStyle name="40% - 강조색6 4 3 4 2 2" xfId="19682"/>
    <cellStyle name="40% - 강조색6 4 3 4 2 2 2" xfId="19683"/>
    <cellStyle name="40% - 강조색6 4 3 4 2 2 3" xfId="19684"/>
    <cellStyle name="40% - 강조색6 4 3 4 2 3" xfId="19685"/>
    <cellStyle name="40% - 강조색6 4 3 4 2 4" xfId="19686"/>
    <cellStyle name="40% - 강조색6 4 3 4 3" xfId="19687"/>
    <cellStyle name="40% - 강조색6 4 3 4 3 2" xfId="19688"/>
    <cellStyle name="40% - 강조색6 4 3 4 3 3" xfId="19689"/>
    <cellStyle name="40% - 강조색6 4 3 4 4" xfId="19690"/>
    <cellStyle name="40% - 강조색6 4 3 4 5" xfId="19691"/>
    <cellStyle name="40% - 강조색6 4 3 5" xfId="19692"/>
    <cellStyle name="40% - 강조색6 4 3 5 2" xfId="19693"/>
    <cellStyle name="40% - 강조색6 4 3 5 2 2" xfId="19694"/>
    <cellStyle name="40% - 강조색6 4 3 5 2 2 2" xfId="19695"/>
    <cellStyle name="40% - 강조색6 4 3 5 2 2 3" xfId="19696"/>
    <cellStyle name="40% - 강조색6 4 3 5 2 3" xfId="19697"/>
    <cellStyle name="40% - 강조색6 4 3 5 2 4" xfId="19698"/>
    <cellStyle name="40% - 강조색6 4 3 5 3" xfId="19699"/>
    <cellStyle name="40% - 강조색6 4 3 5 3 2" xfId="19700"/>
    <cellStyle name="40% - 강조색6 4 3 5 3 3" xfId="19701"/>
    <cellStyle name="40% - 강조색6 4 3 5 4" xfId="19702"/>
    <cellStyle name="40% - 강조색6 4 3 5 5" xfId="19703"/>
    <cellStyle name="40% - 강조색6 4 3 6" xfId="19704"/>
    <cellStyle name="40% - 강조색6 4 3 6 2" xfId="19705"/>
    <cellStyle name="40% - 강조색6 4 3 6 2 2" xfId="19706"/>
    <cellStyle name="40% - 강조색6 4 3 6 2 2 2" xfId="19707"/>
    <cellStyle name="40% - 강조색6 4 3 6 2 2 3" xfId="19708"/>
    <cellStyle name="40% - 강조색6 4 3 6 2 3" xfId="19709"/>
    <cellStyle name="40% - 강조색6 4 3 6 2 4" xfId="19710"/>
    <cellStyle name="40% - 강조색6 4 3 6 3" xfId="19711"/>
    <cellStyle name="40% - 강조색6 4 3 6 3 2" xfId="19712"/>
    <cellStyle name="40% - 강조색6 4 3 6 3 3" xfId="19713"/>
    <cellStyle name="40% - 강조색6 4 3 6 4" xfId="19714"/>
    <cellStyle name="40% - 강조색6 4 3 6 5" xfId="19715"/>
    <cellStyle name="40% - 강조색6 4 3 7" xfId="19716"/>
    <cellStyle name="40% - 강조색6 4 3 7 2" xfId="19717"/>
    <cellStyle name="40% - 강조색6 4 3 7 2 2" xfId="19718"/>
    <cellStyle name="40% - 강조색6 4 3 7 2 3" xfId="19719"/>
    <cellStyle name="40% - 강조색6 4 3 7 3" xfId="19720"/>
    <cellStyle name="40% - 강조색6 4 3 7 4" xfId="19721"/>
    <cellStyle name="40% - 강조색6 4 3 8" xfId="19722"/>
    <cellStyle name="40% - 강조색6 4 3 8 2" xfId="19723"/>
    <cellStyle name="40% - 강조색6 4 3 8 3" xfId="19724"/>
    <cellStyle name="40% - 강조색6 4 3 9" xfId="19725"/>
    <cellStyle name="40% - 강조색6 4 4" xfId="19726"/>
    <cellStyle name="40% - 강조색6 4 4 10" xfId="19727"/>
    <cellStyle name="40% - 강조색6 4 4 2" xfId="19728"/>
    <cellStyle name="40% - 강조색6 4 4 2 2" xfId="19729"/>
    <cellStyle name="40% - 강조색6 4 4 2 2 2" xfId="19730"/>
    <cellStyle name="40% - 강조색6 4 4 2 2 2 2" xfId="19731"/>
    <cellStyle name="40% - 강조색6 4 4 2 2 2 2 2" xfId="19732"/>
    <cellStyle name="40% - 강조색6 4 4 2 2 2 2 3" xfId="19733"/>
    <cellStyle name="40% - 강조색6 4 4 2 2 2 3" xfId="19734"/>
    <cellStyle name="40% - 강조색6 4 4 2 2 2 4" xfId="19735"/>
    <cellStyle name="40% - 강조색6 4 4 2 2 3" xfId="19736"/>
    <cellStyle name="40% - 강조색6 4 4 2 2 3 2" xfId="19737"/>
    <cellStyle name="40% - 강조색6 4 4 2 2 3 3" xfId="19738"/>
    <cellStyle name="40% - 강조색6 4 4 2 2 4" xfId="19739"/>
    <cellStyle name="40% - 강조색6 4 4 2 2 5" xfId="19740"/>
    <cellStyle name="40% - 강조색6 4 4 2 3" xfId="19741"/>
    <cellStyle name="40% - 강조색6 4 4 2 3 2" xfId="19742"/>
    <cellStyle name="40% - 강조색6 4 4 2 3 2 2" xfId="19743"/>
    <cellStyle name="40% - 강조색6 4 4 2 3 2 2 2" xfId="19744"/>
    <cellStyle name="40% - 강조색6 4 4 2 3 2 2 3" xfId="19745"/>
    <cellStyle name="40% - 강조색6 4 4 2 3 2 3" xfId="19746"/>
    <cellStyle name="40% - 강조색6 4 4 2 3 2 4" xfId="19747"/>
    <cellStyle name="40% - 강조색6 4 4 2 3 3" xfId="19748"/>
    <cellStyle name="40% - 강조색6 4 4 2 3 3 2" xfId="19749"/>
    <cellStyle name="40% - 강조색6 4 4 2 3 3 3" xfId="19750"/>
    <cellStyle name="40% - 강조색6 4 4 2 3 4" xfId="19751"/>
    <cellStyle name="40% - 강조색6 4 4 2 3 5" xfId="19752"/>
    <cellStyle name="40% - 강조색6 4 4 2 4" xfId="19753"/>
    <cellStyle name="40% - 강조색6 4 4 2 4 2" xfId="19754"/>
    <cellStyle name="40% - 강조색6 4 4 2 4 2 2" xfId="19755"/>
    <cellStyle name="40% - 강조색6 4 4 2 4 2 3" xfId="19756"/>
    <cellStyle name="40% - 강조색6 4 4 2 4 3" xfId="19757"/>
    <cellStyle name="40% - 강조색6 4 4 2 4 4" xfId="19758"/>
    <cellStyle name="40% - 강조색6 4 4 2 5" xfId="19759"/>
    <cellStyle name="40% - 강조색6 4 4 2 5 2" xfId="19760"/>
    <cellStyle name="40% - 강조색6 4 4 2 5 3" xfId="19761"/>
    <cellStyle name="40% - 강조색6 4 4 2 6" xfId="19762"/>
    <cellStyle name="40% - 강조색6 4 4 2 7" xfId="19763"/>
    <cellStyle name="40% - 강조색6 4 4 3" xfId="19764"/>
    <cellStyle name="40% - 강조색6 4 4 3 2" xfId="19765"/>
    <cellStyle name="40% - 강조색6 4 4 3 2 2" xfId="19766"/>
    <cellStyle name="40% - 강조색6 4 4 3 2 2 2" xfId="19767"/>
    <cellStyle name="40% - 강조색6 4 4 3 2 2 2 2" xfId="19768"/>
    <cellStyle name="40% - 강조색6 4 4 3 2 2 2 3" xfId="19769"/>
    <cellStyle name="40% - 강조색6 4 4 3 2 2 3" xfId="19770"/>
    <cellStyle name="40% - 강조색6 4 4 3 2 2 4" xfId="19771"/>
    <cellStyle name="40% - 강조색6 4 4 3 2 3" xfId="19772"/>
    <cellStyle name="40% - 강조색6 4 4 3 2 3 2" xfId="19773"/>
    <cellStyle name="40% - 강조색6 4 4 3 2 3 3" xfId="19774"/>
    <cellStyle name="40% - 강조색6 4 4 3 2 4" xfId="19775"/>
    <cellStyle name="40% - 강조색6 4 4 3 2 5" xfId="19776"/>
    <cellStyle name="40% - 강조색6 4 4 3 3" xfId="19777"/>
    <cellStyle name="40% - 강조색6 4 4 3 3 2" xfId="19778"/>
    <cellStyle name="40% - 강조색6 4 4 3 3 2 2" xfId="19779"/>
    <cellStyle name="40% - 강조색6 4 4 3 3 2 2 2" xfId="19780"/>
    <cellStyle name="40% - 강조색6 4 4 3 3 2 2 3" xfId="19781"/>
    <cellStyle name="40% - 강조색6 4 4 3 3 2 3" xfId="19782"/>
    <cellStyle name="40% - 강조색6 4 4 3 3 2 4" xfId="19783"/>
    <cellStyle name="40% - 강조색6 4 4 3 3 3" xfId="19784"/>
    <cellStyle name="40% - 강조색6 4 4 3 3 3 2" xfId="19785"/>
    <cellStyle name="40% - 강조색6 4 4 3 3 3 3" xfId="19786"/>
    <cellStyle name="40% - 강조색6 4 4 3 3 4" xfId="19787"/>
    <cellStyle name="40% - 강조색6 4 4 3 3 5" xfId="19788"/>
    <cellStyle name="40% - 강조색6 4 4 3 4" xfId="19789"/>
    <cellStyle name="40% - 강조색6 4 4 3 4 2" xfId="19790"/>
    <cellStyle name="40% - 강조색6 4 4 3 4 2 2" xfId="19791"/>
    <cellStyle name="40% - 강조색6 4 4 3 4 2 3" xfId="19792"/>
    <cellStyle name="40% - 강조색6 4 4 3 4 3" xfId="19793"/>
    <cellStyle name="40% - 강조색6 4 4 3 4 4" xfId="19794"/>
    <cellStyle name="40% - 강조색6 4 4 3 5" xfId="19795"/>
    <cellStyle name="40% - 강조색6 4 4 3 5 2" xfId="19796"/>
    <cellStyle name="40% - 강조색6 4 4 3 5 3" xfId="19797"/>
    <cellStyle name="40% - 강조색6 4 4 3 6" xfId="19798"/>
    <cellStyle name="40% - 강조색6 4 4 3 7" xfId="19799"/>
    <cellStyle name="40% - 강조색6 4 4 4" xfId="19800"/>
    <cellStyle name="40% - 강조색6 4 4 4 2" xfId="19801"/>
    <cellStyle name="40% - 강조색6 4 4 4 2 2" xfId="19802"/>
    <cellStyle name="40% - 강조색6 4 4 4 2 2 2" xfId="19803"/>
    <cellStyle name="40% - 강조색6 4 4 4 2 2 3" xfId="19804"/>
    <cellStyle name="40% - 강조색6 4 4 4 2 3" xfId="19805"/>
    <cellStyle name="40% - 강조색6 4 4 4 2 4" xfId="19806"/>
    <cellStyle name="40% - 강조색6 4 4 4 3" xfId="19807"/>
    <cellStyle name="40% - 강조색6 4 4 4 3 2" xfId="19808"/>
    <cellStyle name="40% - 강조색6 4 4 4 3 3" xfId="19809"/>
    <cellStyle name="40% - 강조색6 4 4 4 4" xfId="19810"/>
    <cellStyle name="40% - 강조색6 4 4 4 5" xfId="19811"/>
    <cellStyle name="40% - 강조색6 4 4 5" xfId="19812"/>
    <cellStyle name="40% - 강조색6 4 4 5 2" xfId="19813"/>
    <cellStyle name="40% - 강조색6 4 4 5 2 2" xfId="19814"/>
    <cellStyle name="40% - 강조색6 4 4 5 2 2 2" xfId="19815"/>
    <cellStyle name="40% - 강조색6 4 4 5 2 2 3" xfId="19816"/>
    <cellStyle name="40% - 강조색6 4 4 5 2 3" xfId="19817"/>
    <cellStyle name="40% - 강조색6 4 4 5 2 4" xfId="19818"/>
    <cellStyle name="40% - 강조색6 4 4 5 3" xfId="19819"/>
    <cellStyle name="40% - 강조색6 4 4 5 3 2" xfId="19820"/>
    <cellStyle name="40% - 강조색6 4 4 5 3 3" xfId="19821"/>
    <cellStyle name="40% - 강조색6 4 4 5 4" xfId="19822"/>
    <cellStyle name="40% - 강조색6 4 4 5 5" xfId="19823"/>
    <cellStyle name="40% - 강조색6 4 4 6" xfId="19824"/>
    <cellStyle name="40% - 강조색6 4 4 6 2" xfId="19825"/>
    <cellStyle name="40% - 강조색6 4 4 6 2 2" xfId="19826"/>
    <cellStyle name="40% - 강조색6 4 4 6 2 2 2" xfId="19827"/>
    <cellStyle name="40% - 강조색6 4 4 6 2 2 3" xfId="19828"/>
    <cellStyle name="40% - 강조색6 4 4 6 2 3" xfId="19829"/>
    <cellStyle name="40% - 강조색6 4 4 6 2 4" xfId="19830"/>
    <cellStyle name="40% - 강조색6 4 4 6 3" xfId="19831"/>
    <cellStyle name="40% - 강조색6 4 4 6 3 2" xfId="19832"/>
    <cellStyle name="40% - 강조색6 4 4 6 3 3" xfId="19833"/>
    <cellStyle name="40% - 강조색6 4 4 6 4" xfId="19834"/>
    <cellStyle name="40% - 강조색6 4 4 6 5" xfId="19835"/>
    <cellStyle name="40% - 강조색6 4 4 7" xfId="19836"/>
    <cellStyle name="40% - 강조색6 4 4 7 2" xfId="19837"/>
    <cellStyle name="40% - 강조색6 4 4 7 2 2" xfId="19838"/>
    <cellStyle name="40% - 강조색6 4 4 7 2 3" xfId="19839"/>
    <cellStyle name="40% - 강조색6 4 4 7 3" xfId="19840"/>
    <cellStyle name="40% - 강조색6 4 4 7 4" xfId="19841"/>
    <cellStyle name="40% - 강조색6 4 4 8" xfId="19842"/>
    <cellStyle name="40% - 강조색6 4 4 8 2" xfId="19843"/>
    <cellStyle name="40% - 강조색6 4 4 8 3" xfId="19844"/>
    <cellStyle name="40% - 강조색6 4 4 9" xfId="19845"/>
    <cellStyle name="40% - 강조색6 4 5" xfId="19846"/>
    <cellStyle name="40% - 강조색6 4 5 2" xfId="19847"/>
    <cellStyle name="40% - 강조색6 4 5 2 2" xfId="19848"/>
    <cellStyle name="40% - 강조색6 4 5 2 2 2" xfId="19849"/>
    <cellStyle name="40% - 강조색6 4 5 2 2 2 2" xfId="19850"/>
    <cellStyle name="40% - 강조색6 4 5 2 2 2 3" xfId="19851"/>
    <cellStyle name="40% - 강조색6 4 5 2 2 3" xfId="19852"/>
    <cellStyle name="40% - 강조색6 4 5 2 2 4" xfId="19853"/>
    <cellStyle name="40% - 강조색6 4 5 2 3" xfId="19854"/>
    <cellStyle name="40% - 강조색6 4 5 2 3 2" xfId="19855"/>
    <cellStyle name="40% - 강조색6 4 5 2 3 3" xfId="19856"/>
    <cellStyle name="40% - 강조색6 4 5 2 4" xfId="19857"/>
    <cellStyle name="40% - 강조색6 4 5 2 5" xfId="19858"/>
    <cellStyle name="40% - 강조색6 4 5 3" xfId="19859"/>
    <cellStyle name="40% - 강조색6 4 5 3 2" xfId="19860"/>
    <cellStyle name="40% - 강조색6 4 5 3 2 2" xfId="19861"/>
    <cellStyle name="40% - 강조색6 4 5 3 2 2 2" xfId="19862"/>
    <cellStyle name="40% - 강조색6 4 5 3 2 2 3" xfId="19863"/>
    <cellStyle name="40% - 강조색6 4 5 3 2 3" xfId="19864"/>
    <cellStyle name="40% - 강조색6 4 5 3 2 4" xfId="19865"/>
    <cellStyle name="40% - 강조색6 4 5 3 3" xfId="19866"/>
    <cellStyle name="40% - 강조색6 4 5 3 3 2" xfId="19867"/>
    <cellStyle name="40% - 강조색6 4 5 3 3 3" xfId="19868"/>
    <cellStyle name="40% - 강조색6 4 5 3 4" xfId="19869"/>
    <cellStyle name="40% - 강조색6 4 5 3 5" xfId="19870"/>
    <cellStyle name="40% - 강조색6 4 5 4" xfId="19871"/>
    <cellStyle name="40% - 강조색6 4 5 4 2" xfId="19872"/>
    <cellStyle name="40% - 강조색6 4 5 4 2 2" xfId="19873"/>
    <cellStyle name="40% - 강조색6 4 5 4 2 3" xfId="19874"/>
    <cellStyle name="40% - 강조색6 4 5 4 3" xfId="19875"/>
    <cellStyle name="40% - 강조색6 4 5 4 4" xfId="19876"/>
    <cellStyle name="40% - 강조색6 4 5 5" xfId="19877"/>
    <cellStyle name="40% - 강조색6 4 5 5 2" xfId="19878"/>
    <cellStyle name="40% - 강조색6 4 5 5 3" xfId="19879"/>
    <cellStyle name="40% - 강조색6 4 5 6" xfId="19880"/>
    <cellStyle name="40% - 강조색6 4 5 7" xfId="19881"/>
    <cellStyle name="40% - 강조색6 4 6" xfId="19882"/>
    <cellStyle name="40% - 강조색6 4 6 2" xfId="19883"/>
    <cellStyle name="40% - 강조색6 4 6 2 2" xfId="19884"/>
    <cellStyle name="40% - 강조색6 4 6 2 2 2" xfId="19885"/>
    <cellStyle name="40% - 강조색6 4 6 2 2 2 2" xfId="19886"/>
    <cellStyle name="40% - 강조색6 4 6 2 2 2 3" xfId="19887"/>
    <cellStyle name="40% - 강조색6 4 6 2 2 3" xfId="19888"/>
    <cellStyle name="40% - 강조색6 4 6 2 2 4" xfId="19889"/>
    <cellStyle name="40% - 강조색6 4 6 2 3" xfId="19890"/>
    <cellStyle name="40% - 강조색6 4 6 2 3 2" xfId="19891"/>
    <cellStyle name="40% - 강조색6 4 6 2 3 3" xfId="19892"/>
    <cellStyle name="40% - 강조색6 4 6 2 4" xfId="19893"/>
    <cellStyle name="40% - 강조색6 4 6 2 5" xfId="19894"/>
    <cellStyle name="40% - 강조색6 4 6 3" xfId="19895"/>
    <cellStyle name="40% - 강조색6 4 6 3 2" xfId="19896"/>
    <cellStyle name="40% - 강조색6 4 6 3 2 2" xfId="19897"/>
    <cellStyle name="40% - 강조색6 4 6 3 2 2 2" xfId="19898"/>
    <cellStyle name="40% - 강조색6 4 6 3 2 2 3" xfId="19899"/>
    <cellStyle name="40% - 강조색6 4 6 3 2 3" xfId="19900"/>
    <cellStyle name="40% - 강조색6 4 6 3 2 4" xfId="19901"/>
    <cellStyle name="40% - 강조색6 4 6 3 3" xfId="19902"/>
    <cellStyle name="40% - 강조색6 4 6 3 3 2" xfId="19903"/>
    <cellStyle name="40% - 강조색6 4 6 3 3 3" xfId="19904"/>
    <cellStyle name="40% - 강조색6 4 6 3 4" xfId="19905"/>
    <cellStyle name="40% - 강조색6 4 6 3 5" xfId="19906"/>
    <cellStyle name="40% - 강조색6 4 6 4" xfId="19907"/>
    <cellStyle name="40% - 강조색6 4 6 4 2" xfId="19908"/>
    <cellStyle name="40% - 강조색6 4 6 4 2 2" xfId="19909"/>
    <cellStyle name="40% - 강조색6 4 6 4 2 3" xfId="19910"/>
    <cellStyle name="40% - 강조색6 4 6 4 3" xfId="19911"/>
    <cellStyle name="40% - 강조색6 4 6 4 4" xfId="19912"/>
    <cellStyle name="40% - 강조색6 4 6 5" xfId="19913"/>
    <cellStyle name="40% - 강조색6 4 6 5 2" xfId="19914"/>
    <cellStyle name="40% - 강조색6 4 6 5 3" xfId="19915"/>
    <cellStyle name="40% - 강조색6 4 6 6" xfId="19916"/>
    <cellStyle name="40% - 강조색6 4 6 7" xfId="19917"/>
    <cellStyle name="40% - 강조색6 4 7" xfId="19918"/>
    <cellStyle name="40% - 강조색6 4 7 2" xfId="19919"/>
    <cellStyle name="40% - 강조색6 4 7 2 2" xfId="19920"/>
    <cellStyle name="40% - 강조색6 4 7 2 2 2" xfId="19921"/>
    <cellStyle name="40% - 강조색6 4 7 2 2 3" xfId="19922"/>
    <cellStyle name="40% - 강조색6 4 7 2 3" xfId="19923"/>
    <cellStyle name="40% - 강조색6 4 7 2 4" xfId="19924"/>
    <cellStyle name="40% - 강조색6 4 7 3" xfId="19925"/>
    <cellStyle name="40% - 강조색6 4 7 3 2" xfId="19926"/>
    <cellStyle name="40% - 강조색6 4 7 3 3" xfId="19927"/>
    <cellStyle name="40% - 강조색6 4 7 4" xfId="19928"/>
    <cellStyle name="40% - 강조색6 4 7 5" xfId="19929"/>
    <cellStyle name="40% - 강조색6 4 8" xfId="19930"/>
    <cellStyle name="40% - 강조색6 4 8 2" xfId="19931"/>
    <cellStyle name="40% - 강조색6 4 8 2 2" xfId="19932"/>
    <cellStyle name="40% - 강조색6 4 8 2 2 2" xfId="19933"/>
    <cellStyle name="40% - 강조색6 4 8 2 2 3" xfId="19934"/>
    <cellStyle name="40% - 강조색6 4 8 2 3" xfId="19935"/>
    <cellStyle name="40% - 강조색6 4 8 2 4" xfId="19936"/>
    <cellStyle name="40% - 강조색6 4 8 3" xfId="19937"/>
    <cellStyle name="40% - 강조색6 4 8 3 2" xfId="19938"/>
    <cellStyle name="40% - 강조색6 4 8 3 3" xfId="19939"/>
    <cellStyle name="40% - 강조색6 4 8 4" xfId="19940"/>
    <cellStyle name="40% - 강조색6 4 8 5" xfId="19941"/>
    <cellStyle name="40% - 강조색6 4 9" xfId="19942"/>
    <cellStyle name="40% - 강조색6 4 9 2" xfId="19943"/>
    <cellStyle name="40% - 강조색6 4 9 2 2" xfId="19944"/>
    <cellStyle name="40% - 강조색6 4 9 2 2 2" xfId="19945"/>
    <cellStyle name="40% - 강조색6 4 9 2 2 3" xfId="19946"/>
    <cellStyle name="40% - 강조색6 4 9 2 3" xfId="19947"/>
    <cellStyle name="40% - 강조색6 4 9 2 4" xfId="19948"/>
    <cellStyle name="40% - 강조색6 4 9 3" xfId="19949"/>
    <cellStyle name="40% - 강조색6 4 9 3 2" xfId="19950"/>
    <cellStyle name="40% - 강조색6 4 9 3 3" xfId="19951"/>
    <cellStyle name="40% - 강조색6 4 9 4" xfId="19952"/>
    <cellStyle name="40% - 강조색6 4 9 5" xfId="19953"/>
    <cellStyle name="40% - 강조색6 40" xfId="19954"/>
    <cellStyle name="40% - 강조색6 41" xfId="19955"/>
    <cellStyle name="40% - 강조색6 42" xfId="19956"/>
    <cellStyle name="40% - 강조색6 43" xfId="19957"/>
    <cellStyle name="40% - 강조색6 44" xfId="19958"/>
    <cellStyle name="40% - 강조색6 45" xfId="19959"/>
    <cellStyle name="40% - 강조색6 46" xfId="19960"/>
    <cellStyle name="40% - 강조색6 47" xfId="19961"/>
    <cellStyle name="40% - 강조색6 48" xfId="19962"/>
    <cellStyle name="40% - 강조색6 49" xfId="19963"/>
    <cellStyle name="40% - 강조색6 5" xfId="19964"/>
    <cellStyle name="40% - 강조색6 5 10" xfId="19965"/>
    <cellStyle name="40% - 강조색6 5 11" xfId="19966"/>
    <cellStyle name="40% - 강조색6 5 2" xfId="19967"/>
    <cellStyle name="40% - 강조색6 5 2 2" xfId="19968"/>
    <cellStyle name="40% - 강조색6 5 2 2 2" xfId="19969"/>
    <cellStyle name="40% - 강조색6 5 2 2 2 2" xfId="19970"/>
    <cellStyle name="40% - 강조색6 5 2 2 2 2 2" xfId="19971"/>
    <cellStyle name="40% - 강조색6 5 2 2 2 2 3" xfId="19972"/>
    <cellStyle name="40% - 강조색6 5 2 2 2 3" xfId="19973"/>
    <cellStyle name="40% - 강조색6 5 2 2 2 4" xfId="19974"/>
    <cellStyle name="40% - 강조색6 5 2 2 3" xfId="19975"/>
    <cellStyle name="40% - 강조색6 5 2 2 3 2" xfId="19976"/>
    <cellStyle name="40% - 강조색6 5 2 2 3 3" xfId="19977"/>
    <cellStyle name="40% - 강조색6 5 2 2 4" xfId="19978"/>
    <cellStyle name="40% - 강조색6 5 2 2 5" xfId="19979"/>
    <cellStyle name="40% - 강조색6 5 2 3" xfId="19980"/>
    <cellStyle name="40% - 강조색6 5 2 3 2" xfId="19981"/>
    <cellStyle name="40% - 강조색6 5 2 3 2 2" xfId="19982"/>
    <cellStyle name="40% - 강조색6 5 2 3 2 2 2" xfId="19983"/>
    <cellStyle name="40% - 강조색6 5 2 3 2 2 3" xfId="19984"/>
    <cellStyle name="40% - 강조색6 5 2 3 2 3" xfId="19985"/>
    <cellStyle name="40% - 강조색6 5 2 3 2 4" xfId="19986"/>
    <cellStyle name="40% - 강조색6 5 2 3 3" xfId="19987"/>
    <cellStyle name="40% - 강조색6 5 2 3 3 2" xfId="19988"/>
    <cellStyle name="40% - 강조색6 5 2 3 3 3" xfId="19989"/>
    <cellStyle name="40% - 강조색6 5 2 3 4" xfId="19990"/>
    <cellStyle name="40% - 강조색6 5 2 3 5" xfId="19991"/>
    <cellStyle name="40% - 강조색6 5 2 4" xfId="19992"/>
    <cellStyle name="40% - 강조색6 5 2 4 2" xfId="19993"/>
    <cellStyle name="40% - 강조색6 5 2 4 2 2" xfId="19994"/>
    <cellStyle name="40% - 강조색6 5 2 4 2 3" xfId="19995"/>
    <cellStyle name="40% - 강조색6 5 2 4 3" xfId="19996"/>
    <cellStyle name="40% - 강조색6 5 2 4 4" xfId="19997"/>
    <cellStyle name="40% - 강조색6 5 2 5" xfId="19998"/>
    <cellStyle name="40% - 강조색6 5 2 5 2" xfId="19999"/>
    <cellStyle name="40% - 강조색6 5 2 5 3" xfId="20000"/>
    <cellStyle name="40% - 강조색6 5 2 6" xfId="20001"/>
    <cellStyle name="40% - 강조색6 5 2 7" xfId="20002"/>
    <cellStyle name="40% - 강조색6 5 3" xfId="20003"/>
    <cellStyle name="40% - 강조색6 5 3 2" xfId="20004"/>
    <cellStyle name="40% - 강조색6 5 3 2 2" xfId="20005"/>
    <cellStyle name="40% - 강조색6 5 3 2 2 2" xfId="20006"/>
    <cellStyle name="40% - 강조색6 5 3 2 2 2 2" xfId="20007"/>
    <cellStyle name="40% - 강조색6 5 3 2 2 2 3" xfId="20008"/>
    <cellStyle name="40% - 강조색6 5 3 2 2 3" xfId="20009"/>
    <cellStyle name="40% - 강조색6 5 3 2 2 4" xfId="20010"/>
    <cellStyle name="40% - 강조색6 5 3 2 3" xfId="20011"/>
    <cellStyle name="40% - 강조색6 5 3 2 3 2" xfId="20012"/>
    <cellStyle name="40% - 강조색6 5 3 2 3 3" xfId="20013"/>
    <cellStyle name="40% - 강조색6 5 3 2 4" xfId="20014"/>
    <cellStyle name="40% - 강조색6 5 3 2 5" xfId="20015"/>
    <cellStyle name="40% - 강조색6 5 3 3" xfId="20016"/>
    <cellStyle name="40% - 강조색6 5 3 3 2" xfId="20017"/>
    <cellStyle name="40% - 강조색6 5 3 3 2 2" xfId="20018"/>
    <cellStyle name="40% - 강조색6 5 3 3 2 2 2" xfId="20019"/>
    <cellStyle name="40% - 강조색6 5 3 3 2 2 3" xfId="20020"/>
    <cellStyle name="40% - 강조색6 5 3 3 2 3" xfId="20021"/>
    <cellStyle name="40% - 강조색6 5 3 3 2 4" xfId="20022"/>
    <cellStyle name="40% - 강조색6 5 3 3 3" xfId="20023"/>
    <cellStyle name="40% - 강조색6 5 3 3 3 2" xfId="20024"/>
    <cellStyle name="40% - 강조색6 5 3 3 3 3" xfId="20025"/>
    <cellStyle name="40% - 강조색6 5 3 3 4" xfId="20026"/>
    <cellStyle name="40% - 강조색6 5 3 3 5" xfId="20027"/>
    <cellStyle name="40% - 강조색6 5 3 4" xfId="20028"/>
    <cellStyle name="40% - 강조색6 5 3 4 2" xfId="20029"/>
    <cellStyle name="40% - 강조색6 5 3 4 2 2" xfId="20030"/>
    <cellStyle name="40% - 강조색6 5 3 4 2 3" xfId="20031"/>
    <cellStyle name="40% - 강조색6 5 3 4 3" xfId="20032"/>
    <cellStyle name="40% - 강조색6 5 3 4 4" xfId="20033"/>
    <cellStyle name="40% - 강조색6 5 3 5" xfId="20034"/>
    <cellStyle name="40% - 강조색6 5 3 5 2" xfId="20035"/>
    <cellStyle name="40% - 강조색6 5 3 5 3" xfId="20036"/>
    <cellStyle name="40% - 강조색6 5 3 6" xfId="20037"/>
    <cellStyle name="40% - 강조색6 5 3 7" xfId="20038"/>
    <cellStyle name="40% - 강조색6 5 4" xfId="20039"/>
    <cellStyle name="40% - 강조색6 5 4 2" xfId="20040"/>
    <cellStyle name="40% - 강조색6 5 4 2 2" xfId="20041"/>
    <cellStyle name="40% - 강조색6 5 4 2 2 2" xfId="20042"/>
    <cellStyle name="40% - 강조색6 5 4 2 2 3" xfId="20043"/>
    <cellStyle name="40% - 강조색6 5 4 2 3" xfId="20044"/>
    <cellStyle name="40% - 강조색6 5 4 2 4" xfId="20045"/>
    <cellStyle name="40% - 강조색6 5 4 3" xfId="20046"/>
    <cellStyle name="40% - 강조색6 5 4 3 2" xfId="20047"/>
    <cellStyle name="40% - 강조색6 5 4 3 3" xfId="20048"/>
    <cellStyle name="40% - 강조색6 5 4 4" xfId="20049"/>
    <cellStyle name="40% - 강조색6 5 4 5" xfId="20050"/>
    <cellStyle name="40% - 강조색6 5 5" xfId="20051"/>
    <cellStyle name="40% - 강조색6 5 5 2" xfId="20052"/>
    <cellStyle name="40% - 강조색6 5 5 2 2" xfId="20053"/>
    <cellStyle name="40% - 강조색6 5 5 2 2 2" xfId="20054"/>
    <cellStyle name="40% - 강조색6 5 5 2 2 3" xfId="20055"/>
    <cellStyle name="40% - 강조색6 5 5 2 3" xfId="20056"/>
    <cellStyle name="40% - 강조색6 5 5 2 4" xfId="20057"/>
    <cellStyle name="40% - 강조색6 5 5 3" xfId="20058"/>
    <cellStyle name="40% - 강조색6 5 5 3 2" xfId="20059"/>
    <cellStyle name="40% - 강조색6 5 5 3 3" xfId="20060"/>
    <cellStyle name="40% - 강조색6 5 5 4" xfId="20061"/>
    <cellStyle name="40% - 강조색6 5 5 5" xfId="20062"/>
    <cellStyle name="40% - 강조색6 5 6" xfId="20063"/>
    <cellStyle name="40% - 강조색6 5 6 2" xfId="20064"/>
    <cellStyle name="40% - 강조색6 5 6 2 2" xfId="20065"/>
    <cellStyle name="40% - 강조색6 5 6 2 2 2" xfId="20066"/>
    <cellStyle name="40% - 강조색6 5 6 2 2 3" xfId="20067"/>
    <cellStyle name="40% - 강조색6 5 6 2 3" xfId="20068"/>
    <cellStyle name="40% - 강조색6 5 6 2 4" xfId="20069"/>
    <cellStyle name="40% - 강조색6 5 6 3" xfId="20070"/>
    <cellStyle name="40% - 강조색6 5 6 3 2" xfId="20071"/>
    <cellStyle name="40% - 강조색6 5 6 3 3" xfId="20072"/>
    <cellStyle name="40% - 강조색6 5 6 4" xfId="20073"/>
    <cellStyle name="40% - 강조색6 5 6 5" xfId="20074"/>
    <cellStyle name="40% - 강조색6 5 7" xfId="20075"/>
    <cellStyle name="40% - 강조색6 5 7 2" xfId="20076"/>
    <cellStyle name="40% - 강조색6 5 7 2 2" xfId="20077"/>
    <cellStyle name="40% - 강조색6 5 7 2 3" xfId="20078"/>
    <cellStyle name="40% - 강조색6 5 7 3" xfId="20079"/>
    <cellStyle name="40% - 강조색6 5 7 4" xfId="20080"/>
    <cellStyle name="40% - 강조색6 5 8" xfId="20081"/>
    <cellStyle name="40% - 강조색6 5 8 2" xfId="20082"/>
    <cellStyle name="40% - 강조색6 5 8 3" xfId="20083"/>
    <cellStyle name="40% - 강조색6 5 9" xfId="20084"/>
    <cellStyle name="40% - 강조색6 50" xfId="20085"/>
    <cellStyle name="40% - 강조색6 51" xfId="20086"/>
    <cellStyle name="40% - 강조색6 52" xfId="20087"/>
    <cellStyle name="40% - 강조색6 53" xfId="20088"/>
    <cellStyle name="40% - 강조색6 54" xfId="20089"/>
    <cellStyle name="40% - 강조색6 55" xfId="20090"/>
    <cellStyle name="40% - 강조색6 56" xfId="20091"/>
    <cellStyle name="40% - 강조색6 57" xfId="20092"/>
    <cellStyle name="40% - 강조색6 58" xfId="20093"/>
    <cellStyle name="40% - 강조색6 59" xfId="20094"/>
    <cellStyle name="40% - 강조색6 6" xfId="20095"/>
    <cellStyle name="40% - 강조색6 6 10" xfId="20096"/>
    <cellStyle name="40% - 강조색6 6 2" xfId="20097"/>
    <cellStyle name="40% - 강조색6 6 2 2" xfId="20098"/>
    <cellStyle name="40% - 강조색6 6 2 2 2" xfId="20099"/>
    <cellStyle name="40% - 강조색6 6 2 2 2 2" xfId="20100"/>
    <cellStyle name="40% - 강조색6 6 2 2 2 2 2" xfId="20101"/>
    <cellStyle name="40% - 강조색6 6 2 2 2 2 3" xfId="20102"/>
    <cellStyle name="40% - 강조색6 6 2 2 2 3" xfId="20103"/>
    <cellStyle name="40% - 강조색6 6 2 2 2 4" xfId="20104"/>
    <cellStyle name="40% - 강조색6 6 2 2 3" xfId="20105"/>
    <cellStyle name="40% - 강조색6 6 2 2 3 2" xfId="20106"/>
    <cellStyle name="40% - 강조색6 6 2 2 3 3" xfId="20107"/>
    <cellStyle name="40% - 강조색6 6 2 2 4" xfId="20108"/>
    <cellStyle name="40% - 강조색6 6 2 2 5" xfId="20109"/>
    <cellStyle name="40% - 강조색6 6 2 3" xfId="20110"/>
    <cellStyle name="40% - 강조색6 6 2 3 2" xfId="20111"/>
    <cellStyle name="40% - 강조색6 6 2 3 2 2" xfId="20112"/>
    <cellStyle name="40% - 강조색6 6 2 3 2 2 2" xfId="20113"/>
    <cellStyle name="40% - 강조색6 6 2 3 2 2 3" xfId="20114"/>
    <cellStyle name="40% - 강조색6 6 2 3 2 3" xfId="20115"/>
    <cellStyle name="40% - 강조색6 6 2 3 2 4" xfId="20116"/>
    <cellStyle name="40% - 강조색6 6 2 3 3" xfId="20117"/>
    <cellStyle name="40% - 강조색6 6 2 3 3 2" xfId="20118"/>
    <cellStyle name="40% - 강조색6 6 2 3 3 3" xfId="20119"/>
    <cellStyle name="40% - 강조색6 6 2 3 4" xfId="20120"/>
    <cellStyle name="40% - 강조색6 6 2 3 5" xfId="20121"/>
    <cellStyle name="40% - 강조색6 6 2 4" xfId="20122"/>
    <cellStyle name="40% - 강조색6 6 2 4 2" xfId="20123"/>
    <cellStyle name="40% - 강조색6 6 2 4 2 2" xfId="20124"/>
    <cellStyle name="40% - 강조색6 6 2 4 2 3" xfId="20125"/>
    <cellStyle name="40% - 강조색6 6 2 4 3" xfId="20126"/>
    <cellStyle name="40% - 강조색6 6 2 4 4" xfId="20127"/>
    <cellStyle name="40% - 강조색6 6 2 5" xfId="20128"/>
    <cellStyle name="40% - 강조색6 6 2 5 2" xfId="20129"/>
    <cellStyle name="40% - 강조색6 6 2 5 3" xfId="20130"/>
    <cellStyle name="40% - 강조색6 6 2 6" xfId="20131"/>
    <cellStyle name="40% - 강조색6 6 2 7" xfId="20132"/>
    <cellStyle name="40% - 강조색6 6 3" xfId="20133"/>
    <cellStyle name="40% - 강조색6 6 3 2" xfId="20134"/>
    <cellStyle name="40% - 강조색6 6 3 2 2" xfId="20135"/>
    <cellStyle name="40% - 강조색6 6 3 2 2 2" xfId="20136"/>
    <cellStyle name="40% - 강조색6 6 3 2 2 2 2" xfId="20137"/>
    <cellStyle name="40% - 강조색6 6 3 2 2 2 3" xfId="20138"/>
    <cellStyle name="40% - 강조색6 6 3 2 2 3" xfId="20139"/>
    <cellStyle name="40% - 강조색6 6 3 2 2 4" xfId="20140"/>
    <cellStyle name="40% - 강조색6 6 3 2 3" xfId="20141"/>
    <cellStyle name="40% - 강조색6 6 3 2 3 2" xfId="20142"/>
    <cellStyle name="40% - 강조색6 6 3 2 3 3" xfId="20143"/>
    <cellStyle name="40% - 강조색6 6 3 2 4" xfId="20144"/>
    <cellStyle name="40% - 강조색6 6 3 2 5" xfId="20145"/>
    <cellStyle name="40% - 강조색6 6 3 3" xfId="20146"/>
    <cellStyle name="40% - 강조색6 6 3 3 2" xfId="20147"/>
    <cellStyle name="40% - 강조색6 6 3 3 2 2" xfId="20148"/>
    <cellStyle name="40% - 강조색6 6 3 3 2 2 2" xfId="20149"/>
    <cellStyle name="40% - 강조색6 6 3 3 2 2 3" xfId="20150"/>
    <cellStyle name="40% - 강조색6 6 3 3 2 3" xfId="20151"/>
    <cellStyle name="40% - 강조색6 6 3 3 2 4" xfId="20152"/>
    <cellStyle name="40% - 강조색6 6 3 3 3" xfId="20153"/>
    <cellStyle name="40% - 강조색6 6 3 3 3 2" xfId="20154"/>
    <cellStyle name="40% - 강조색6 6 3 3 3 3" xfId="20155"/>
    <cellStyle name="40% - 강조색6 6 3 3 4" xfId="20156"/>
    <cellStyle name="40% - 강조색6 6 3 3 5" xfId="20157"/>
    <cellStyle name="40% - 강조색6 6 3 4" xfId="20158"/>
    <cellStyle name="40% - 강조색6 6 3 4 2" xfId="20159"/>
    <cellStyle name="40% - 강조색6 6 3 4 2 2" xfId="20160"/>
    <cellStyle name="40% - 강조색6 6 3 4 2 3" xfId="20161"/>
    <cellStyle name="40% - 강조색6 6 3 4 3" xfId="20162"/>
    <cellStyle name="40% - 강조색6 6 3 4 4" xfId="20163"/>
    <cellStyle name="40% - 강조색6 6 3 5" xfId="20164"/>
    <cellStyle name="40% - 강조색6 6 3 5 2" xfId="20165"/>
    <cellStyle name="40% - 강조색6 6 3 5 3" xfId="20166"/>
    <cellStyle name="40% - 강조색6 6 3 6" xfId="20167"/>
    <cellStyle name="40% - 강조색6 6 3 7" xfId="20168"/>
    <cellStyle name="40% - 강조색6 6 4" xfId="20169"/>
    <cellStyle name="40% - 강조색6 6 4 2" xfId="20170"/>
    <cellStyle name="40% - 강조색6 6 4 2 2" xfId="20171"/>
    <cellStyle name="40% - 강조색6 6 4 2 2 2" xfId="20172"/>
    <cellStyle name="40% - 강조색6 6 4 2 2 3" xfId="20173"/>
    <cellStyle name="40% - 강조색6 6 4 2 3" xfId="20174"/>
    <cellStyle name="40% - 강조색6 6 4 2 4" xfId="20175"/>
    <cellStyle name="40% - 강조색6 6 4 3" xfId="20176"/>
    <cellStyle name="40% - 강조색6 6 4 3 2" xfId="20177"/>
    <cellStyle name="40% - 강조색6 6 4 3 3" xfId="20178"/>
    <cellStyle name="40% - 강조색6 6 4 4" xfId="20179"/>
    <cellStyle name="40% - 강조색6 6 4 5" xfId="20180"/>
    <cellStyle name="40% - 강조색6 6 5" xfId="20181"/>
    <cellStyle name="40% - 강조색6 6 5 2" xfId="20182"/>
    <cellStyle name="40% - 강조색6 6 5 2 2" xfId="20183"/>
    <cellStyle name="40% - 강조색6 6 5 2 2 2" xfId="20184"/>
    <cellStyle name="40% - 강조색6 6 5 2 2 3" xfId="20185"/>
    <cellStyle name="40% - 강조색6 6 5 2 3" xfId="20186"/>
    <cellStyle name="40% - 강조색6 6 5 2 4" xfId="20187"/>
    <cellStyle name="40% - 강조색6 6 5 3" xfId="20188"/>
    <cellStyle name="40% - 강조색6 6 5 3 2" xfId="20189"/>
    <cellStyle name="40% - 강조색6 6 5 3 3" xfId="20190"/>
    <cellStyle name="40% - 강조색6 6 5 4" xfId="20191"/>
    <cellStyle name="40% - 강조색6 6 5 5" xfId="20192"/>
    <cellStyle name="40% - 강조색6 6 6" xfId="20193"/>
    <cellStyle name="40% - 강조색6 6 6 2" xfId="20194"/>
    <cellStyle name="40% - 강조색6 6 6 2 2" xfId="20195"/>
    <cellStyle name="40% - 강조색6 6 6 2 2 2" xfId="20196"/>
    <cellStyle name="40% - 강조색6 6 6 2 2 3" xfId="20197"/>
    <cellStyle name="40% - 강조색6 6 6 2 3" xfId="20198"/>
    <cellStyle name="40% - 강조색6 6 6 2 4" xfId="20199"/>
    <cellStyle name="40% - 강조색6 6 6 3" xfId="20200"/>
    <cellStyle name="40% - 강조색6 6 6 3 2" xfId="20201"/>
    <cellStyle name="40% - 강조색6 6 6 3 3" xfId="20202"/>
    <cellStyle name="40% - 강조색6 6 6 4" xfId="20203"/>
    <cellStyle name="40% - 강조색6 6 6 5" xfId="20204"/>
    <cellStyle name="40% - 강조색6 6 7" xfId="20205"/>
    <cellStyle name="40% - 강조색6 6 7 2" xfId="20206"/>
    <cellStyle name="40% - 강조색6 6 7 2 2" xfId="20207"/>
    <cellStyle name="40% - 강조색6 6 7 2 3" xfId="20208"/>
    <cellStyle name="40% - 강조색6 6 7 3" xfId="20209"/>
    <cellStyle name="40% - 강조색6 6 7 4" xfId="20210"/>
    <cellStyle name="40% - 강조색6 6 8" xfId="20211"/>
    <cellStyle name="40% - 강조색6 6 8 2" xfId="20212"/>
    <cellStyle name="40% - 강조색6 6 8 3" xfId="20213"/>
    <cellStyle name="40% - 강조색6 6 9" xfId="20214"/>
    <cellStyle name="40% - 강조색6 60" xfId="20215"/>
    <cellStyle name="40% - 강조색6 61" xfId="20216"/>
    <cellStyle name="40% - 강조색6 62" xfId="20217"/>
    <cellStyle name="40% - 강조색6 63" xfId="20218"/>
    <cellStyle name="40% - 강조색6 64" xfId="20219"/>
    <cellStyle name="40% - 강조색6 65" xfId="20220"/>
    <cellStyle name="40% - 강조색6 66" xfId="20221"/>
    <cellStyle name="40% - 강조색6 67" xfId="20222"/>
    <cellStyle name="40% - 강조색6 68" xfId="20223"/>
    <cellStyle name="40% - 강조색6 69" xfId="20224"/>
    <cellStyle name="40% - 강조색6 7" xfId="20225"/>
    <cellStyle name="40% - 강조색6 7 10" xfId="20226"/>
    <cellStyle name="40% - 강조색6 7 2" xfId="20227"/>
    <cellStyle name="40% - 강조색6 7 2 2" xfId="20228"/>
    <cellStyle name="40% - 강조색6 7 2 2 2" xfId="20229"/>
    <cellStyle name="40% - 강조색6 7 2 2 2 2" xfId="20230"/>
    <cellStyle name="40% - 강조색6 7 2 2 2 2 2" xfId="20231"/>
    <cellStyle name="40% - 강조색6 7 2 2 2 2 3" xfId="20232"/>
    <cellStyle name="40% - 강조색6 7 2 2 2 3" xfId="20233"/>
    <cellStyle name="40% - 강조색6 7 2 2 2 4" xfId="20234"/>
    <cellStyle name="40% - 강조색6 7 2 2 3" xfId="20235"/>
    <cellStyle name="40% - 강조색6 7 2 2 3 2" xfId="20236"/>
    <cellStyle name="40% - 강조색6 7 2 2 3 3" xfId="20237"/>
    <cellStyle name="40% - 강조색6 7 2 2 4" xfId="20238"/>
    <cellStyle name="40% - 강조색6 7 2 2 5" xfId="20239"/>
    <cellStyle name="40% - 강조색6 7 2 3" xfId="20240"/>
    <cellStyle name="40% - 강조색6 7 2 3 2" xfId="20241"/>
    <cellStyle name="40% - 강조색6 7 2 3 2 2" xfId="20242"/>
    <cellStyle name="40% - 강조색6 7 2 3 2 2 2" xfId="20243"/>
    <cellStyle name="40% - 강조색6 7 2 3 2 2 3" xfId="20244"/>
    <cellStyle name="40% - 강조색6 7 2 3 2 3" xfId="20245"/>
    <cellStyle name="40% - 강조색6 7 2 3 2 4" xfId="20246"/>
    <cellStyle name="40% - 강조색6 7 2 3 3" xfId="20247"/>
    <cellStyle name="40% - 강조색6 7 2 3 3 2" xfId="20248"/>
    <cellStyle name="40% - 강조색6 7 2 3 3 3" xfId="20249"/>
    <cellStyle name="40% - 강조색6 7 2 3 4" xfId="20250"/>
    <cellStyle name="40% - 강조색6 7 2 3 5" xfId="20251"/>
    <cellStyle name="40% - 강조색6 7 2 4" xfId="20252"/>
    <cellStyle name="40% - 강조색6 7 2 4 2" xfId="20253"/>
    <cellStyle name="40% - 강조색6 7 2 4 2 2" xfId="20254"/>
    <cellStyle name="40% - 강조색6 7 2 4 2 3" xfId="20255"/>
    <cellStyle name="40% - 강조색6 7 2 4 3" xfId="20256"/>
    <cellStyle name="40% - 강조색6 7 2 4 4" xfId="20257"/>
    <cellStyle name="40% - 강조색6 7 2 5" xfId="20258"/>
    <cellStyle name="40% - 강조색6 7 2 5 2" xfId="20259"/>
    <cellStyle name="40% - 강조색6 7 2 5 3" xfId="20260"/>
    <cellStyle name="40% - 강조색6 7 2 6" xfId="20261"/>
    <cellStyle name="40% - 강조색6 7 2 7" xfId="20262"/>
    <cellStyle name="40% - 강조색6 7 3" xfId="20263"/>
    <cellStyle name="40% - 강조색6 7 3 2" xfId="20264"/>
    <cellStyle name="40% - 강조색6 7 3 2 2" xfId="20265"/>
    <cellStyle name="40% - 강조색6 7 3 2 2 2" xfId="20266"/>
    <cellStyle name="40% - 강조색6 7 3 2 2 2 2" xfId="20267"/>
    <cellStyle name="40% - 강조색6 7 3 2 2 2 3" xfId="20268"/>
    <cellStyle name="40% - 강조색6 7 3 2 2 3" xfId="20269"/>
    <cellStyle name="40% - 강조색6 7 3 2 2 4" xfId="20270"/>
    <cellStyle name="40% - 강조색6 7 3 2 3" xfId="20271"/>
    <cellStyle name="40% - 강조색6 7 3 2 3 2" xfId="20272"/>
    <cellStyle name="40% - 강조색6 7 3 2 3 3" xfId="20273"/>
    <cellStyle name="40% - 강조색6 7 3 2 4" xfId="20274"/>
    <cellStyle name="40% - 강조색6 7 3 2 5" xfId="20275"/>
    <cellStyle name="40% - 강조색6 7 3 3" xfId="20276"/>
    <cellStyle name="40% - 강조색6 7 3 3 2" xfId="20277"/>
    <cellStyle name="40% - 강조색6 7 3 3 2 2" xfId="20278"/>
    <cellStyle name="40% - 강조색6 7 3 3 2 2 2" xfId="20279"/>
    <cellStyle name="40% - 강조색6 7 3 3 2 2 3" xfId="20280"/>
    <cellStyle name="40% - 강조색6 7 3 3 2 3" xfId="20281"/>
    <cellStyle name="40% - 강조색6 7 3 3 2 4" xfId="20282"/>
    <cellStyle name="40% - 강조색6 7 3 3 3" xfId="20283"/>
    <cellStyle name="40% - 강조색6 7 3 3 3 2" xfId="20284"/>
    <cellStyle name="40% - 강조색6 7 3 3 3 3" xfId="20285"/>
    <cellStyle name="40% - 강조색6 7 3 3 4" xfId="20286"/>
    <cellStyle name="40% - 강조색6 7 3 3 5" xfId="20287"/>
    <cellStyle name="40% - 강조색6 7 3 4" xfId="20288"/>
    <cellStyle name="40% - 강조색6 7 3 4 2" xfId="20289"/>
    <cellStyle name="40% - 강조색6 7 3 4 2 2" xfId="20290"/>
    <cellStyle name="40% - 강조색6 7 3 4 2 3" xfId="20291"/>
    <cellStyle name="40% - 강조색6 7 3 4 3" xfId="20292"/>
    <cellStyle name="40% - 강조색6 7 3 4 4" xfId="20293"/>
    <cellStyle name="40% - 강조색6 7 3 5" xfId="20294"/>
    <cellStyle name="40% - 강조색6 7 3 5 2" xfId="20295"/>
    <cellStyle name="40% - 강조색6 7 3 5 3" xfId="20296"/>
    <cellStyle name="40% - 강조색6 7 3 6" xfId="20297"/>
    <cellStyle name="40% - 강조색6 7 3 7" xfId="20298"/>
    <cellStyle name="40% - 강조색6 7 4" xfId="20299"/>
    <cellStyle name="40% - 강조색6 7 4 2" xfId="20300"/>
    <cellStyle name="40% - 강조색6 7 4 2 2" xfId="20301"/>
    <cellStyle name="40% - 강조색6 7 4 2 2 2" xfId="20302"/>
    <cellStyle name="40% - 강조색6 7 4 2 2 3" xfId="20303"/>
    <cellStyle name="40% - 강조색6 7 4 2 3" xfId="20304"/>
    <cellStyle name="40% - 강조색6 7 4 2 4" xfId="20305"/>
    <cellStyle name="40% - 강조색6 7 4 3" xfId="20306"/>
    <cellStyle name="40% - 강조색6 7 4 3 2" xfId="20307"/>
    <cellStyle name="40% - 강조색6 7 4 3 3" xfId="20308"/>
    <cellStyle name="40% - 강조색6 7 4 4" xfId="20309"/>
    <cellStyle name="40% - 강조색6 7 4 5" xfId="20310"/>
    <cellStyle name="40% - 강조색6 7 5" xfId="20311"/>
    <cellStyle name="40% - 강조색6 7 5 2" xfId="20312"/>
    <cellStyle name="40% - 강조색6 7 5 2 2" xfId="20313"/>
    <cellStyle name="40% - 강조색6 7 5 2 2 2" xfId="20314"/>
    <cellStyle name="40% - 강조색6 7 5 2 2 3" xfId="20315"/>
    <cellStyle name="40% - 강조색6 7 5 2 3" xfId="20316"/>
    <cellStyle name="40% - 강조색6 7 5 2 4" xfId="20317"/>
    <cellStyle name="40% - 강조색6 7 5 3" xfId="20318"/>
    <cellStyle name="40% - 강조색6 7 5 3 2" xfId="20319"/>
    <cellStyle name="40% - 강조색6 7 5 3 3" xfId="20320"/>
    <cellStyle name="40% - 강조색6 7 5 4" xfId="20321"/>
    <cellStyle name="40% - 강조색6 7 5 5" xfId="20322"/>
    <cellStyle name="40% - 강조색6 7 6" xfId="20323"/>
    <cellStyle name="40% - 강조색6 7 6 2" xfId="20324"/>
    <cellStyle name="40% - 강조색6 7 6 2 2" xfId="20325"/>
    <cellStyle name="40% - 강조색6 7 6 2 2 2" xfId="20326"/>
    <cellStyle name="40% - 강조색6 7 6 2 2 3" xfId="20327"/>
    <cellStyle name="40% - 강조색6 7 6 2 3" xfId="20328"/>
    <cellStyle name="40% - 강조색6 7 6 2 4" xfId="20329"/>
    <cellStyle name="40% - 강조색6 7 6 3" xfId="20330"/>
    <cellStyle name="40% - 강조색6 7 6 3 2" xfId="20331"/>
    <cellStyle name="40% - 강조색6 7 6 3 3" xfId="20332"/>
    <cellStyle name="40% - 강조색6 7 6 4" xfId="20333"/>
    <cellStyle name="40% - 강조색6 7 6 5" xfId="20334"/>
    <cellStyle name="40% - 강조색6 7 7" xfId="20335"/>
    <cellStyle name="40% - 강조색6 7 7 2" xfId="20336"/>
    <cellStyle name="40% - 강조색6 7 7 2 2" xfId="20337"/>
    <cellStyle name="40% - 강조색6 7 7 2 3" xfId="20338"/>
    <cellStyle name="40% - 강조색6 7 7 3" xfId="20339"/>
    <cellStyle name="40% - 강조색6 7 7 4" xfId="20340"/>
    <cellStyle name="40% - 강조색6 7 8" xfId="20341"/>
    <cellStyle name="40% - 강조색6 7 8 2" xfId="20342"/>
    <cellStyle name="40% - 강조색6 7 8 3" xfId="20343"/>
    <cellStyle name="40% - 강조색6 7 9" xfId="20344"/>
    <cellStyle name="40% - 강조색6 8" xfId="20345"/>
    <cellStyle name="40% - 강조색6 8 2" xfId="20346"/>
    <cellStyle name="40% - 강조색6 8 2 2" xfId="20347"/>
    <cellStyle name="40% - 강조색6 8 2 2 2" xfId="20348"/>
    <cellStyle name="40% - 강조색6 8 2 2 2 2" xfId="20349"/>
    <cellStyle name="40% - 강조색6 8 2 2 2 3" xfId="20350"/>
    <cellStyle name="40% - 강조색6 8 2 2 3" xfId="20351"/>
    <cellStyle name="40% - 강조색6 8 2 2 4" xfId="20352"/>
    <cellStyle name="40% - 강조색6 8 2 3" xfId="20353"/>
    <cellStyle name="40% - 강조색6 8 2 3 2" xfId="20354"/>
    <cellStyle name="40% - 강조색6 8 2 3 3" xfId="20355"/>
    <cellStyle name="40% - 강조색6 8 2 4" xfId="20356"/>
    <cellStyle name="40% - 강조색6 8 2 5" xfId="20357"/>
    <cellStyle name="40% - 강조색6 8 3" xfId="20358"/>
    <cellStyle name="40% - 강조색6 8 3 2" xfId="20359"/>
    <cellStyle name="40% - 강조색6 8 3 2 2" xfId="20360"/>
    <cellStyle name="40% - 강조색6 8 3 2 2 2" xfId="20361"/>
    <cellStyle name="40% - 강조색6 8 3 2 2 3" xfId="20362"/>
    <cellStyle name="40% - 강조색6 8 3 2 3" xfId="20363"/>
    <cellStyle name="40% - 강조색6 8 3 2 4" xfId="20364"/>
    <cellStyle name="40% - 강조색6 8 3 3" xfId="20365"/>
    <cellStyle name="40% - 강조색6 8 3 3 2" xfId="20366"/>
    <cellStyle name="40% - 강조색6 8 3 3 3" xfId="20367"/>
    <cellStyle name="40% - 강조색6 8 3 4" xfId="20368"/>
    <cellStyle name="40% - 강조색6 8 3 5" xfId="20369"/>
    <cellStyle name="40% - 강조색6 8 4" xfId="20370"/>
    <cellStyle name="40% - 강조색6 8 4 2" xfId="20371"/>
    <cellStyle name="40% - 강조색6 8 4 2 2" xfId="20372"/>
    <cellStyle name="40% - 강조색6 8 4 2 3" xfId="20373"/>
    <cellStyle name="40% - 강조색6 8 4 3" xfId="20374"/>
    <cellStyle name="40% - 강조색6 8 4 4" xfId="20375"/>
    <cellStyle name="40% - 강조색6 8 5" xfId="20376"/>
    <cellStyle name="40% - 강조색6 8 5 2" xfId="20377"/>
    <cellStyle name="40% - 강조색6 8 5 3" xfId="20378"/>
    <cellStyle name="40% - 강조색6 8 6" xfId="20379"/>
    <cellStyle name="40% - 강조색6 8 7" xfId="20380"/>
    <cellStyle name="40% - 강조색6 9" xfId="20381"/>
    <cellStyle name="40% - 강조색6 9 2" xfId="20382"/>
    <cellStyle name="40% - 강조색6 9 2 2" xfId="20383"/>
    <cellStyle name="40% - 강조색6 9 2 2 2" xfId="20384"/>
    <cellStyle name="40% - 강조색6 9 2 2 2 2" xfId="20385"/>
    <cellStyle name="40% - 강조색6 9 2 2 2 3" xfId="20386"/>
    <cellStyle name="40% - 강조색6 9 2 2 3" xfId="20387"/>
    <cellStyle name="40% - 강조색6 9 2 2 4" xfId="20388"/>
    <cellStyle name="40% - 강조색6 9 2 3" xfId="20389"/>
    <cellStyle name="40% - 강조색6 9 2 3 2" xfId="20390"/>
    <cellStyle name="40% - 강조색6 9 2 3 3" xfId="20391"/>
    <cellStyle name="40% - 강조색6 9 2 4" xfId="20392"/>
    <cellStyle name="40% - 강조색6 9 2 5" xfId="20393"/>
    <cellStyle name="40% - 강조색6 9 3" xfId="20394"/>
    <cellStyle name="40% - 강조색6 9 3 2" xfId="20395"/>
    <cellStyle name="40% - 강조색6 9 3 2 2" xfId="20396"/>
    <cellStyle name="40% - 강조색6 9 3 2 2 2" xfId="20397"/>
    <cellStyle name="40% - 강조색6 9 3 2 2 3" xfId="20398"/>
    <cellStyle name="40% - 강조색6 9 3 2 3" xfId="20399"/>
    <cellStyle name="40% - 강조색6 9 3 2 4" xfId="20400"/>
    <cellStyle name="40% - 강조색6 9 3 3" xfId="20401"/>
    <cellStyle name="40% - 강조색6 9 3 3 2" xfId="20402"/>
    <cellStyle name="40% - 강조색6 9 3 3 3" xfId="20403"/>
    <cellStyle name="40% - 강조색6 9 3 4" xfId="20404"/>
    <cellStyle name="40% - 강조색6 9 3 5" xfId="20405"/>
    <cellStyle name="40% - 강조색6 9 4" xfId="20406"/>
    <cellStyle name="40% - 강조색6 9 4 2" xfId="20407"/>
    <cellStyle name="40% - 강조색6 9 4 2 2" xfId="20408"/>
    <cellStyle name="40% - 강조색6 9 4 2 3" xfId="20409"/>
    <cellStyle name="40% - 강조색6 9 4 3" xfId="20410"/>
    <cellStyle name="40% - 강조색6 9 4 4" xfId="20411"/>
    <cellStyle name="40% - 강조색6 9 5" xfId="20412"/>
    <cellStyle name="40% - 강조색6 9 5 2" xfId="20413"/>
    <cellStyle name="40% - 강조색6 9 5 3" xfId="20414"/>
    <cellStyle name="40% - 강조색6 9 6" xfId="20415"/>
    <cellStyle name="40% - 강조색6 9 7" xfId="20416"/>
    <cellStyle name="513l1ussendz_lbsouy`6ussendz_lbsouy`6_622k" xfId="20417"/>
    <cellStyle name="60% - Accent1 2" xfId="20418"/>
    <cellStyle name="60% - Accent1 2 2" xfId="20419"/>
    <cellStyle name="60% - Accent1 3" xfId="20420"/>
    <cellStyle name="60% - Accent1 3 2" xfId="20421"/>
    <cellStyle name="60% - Accent1 3 2 2" xfId="20422"/>
    <cellStyle name="60% - Accent1 4" xfId="20423"/>
    <cellStyle name="60% - Accent2 2" xfId="20424"/>
    <cellStyle name="60% - Accent2 2 2" xfId="20425"/>
    <cellStyle name="60% - Accent2 3" xfId="20426"/>
    <cellStyle name="60% - Accent2 3 2" xfId="20427"/>
    <cellStyle name="60% - Accent2 3 2 2" xfId="20428"/>
    <cellStyle name="60% - Accent2 4" xfId="20429"/>
    <cellStyle name="60% - Accent3 2" xfId="20430"/>
    <cellStyle name="60% - Accent3 2 2" xfId="20431"/>
    <cellStyle name="60% - Accent3 3" xfId="20432"/>
    <cellStyle name="60% - Accent3 3 2" xfId="20433"/>
    <cellStyle name="60% - Accent3 3 2 2" xfId="20434"/>
    <cellStyle name="60% - Accent3 4" xfId="20435"/>
    <cellStyle name="60% - Accent4 2" xfId="20436"/>
    <cellStyle name="60% - Accent4 2 2" xfId="20437"/>
    <cellStyle name="60% - Accent4 3" xfId="20438"/>
    <cellStyle name="60% - Accent4 3 2" xfId="20439"/>
    <cellStyle name="60% - Accent4 3 2 2" xfId="20440"/>
    <cellStyle name="60% - Accent4 4" xfId="20441"/>
    <cellStyle name="60% - Accent5 2" xfId="20442"/>
    <cellStyle name="60% - Accent5 2 2" xfId="20443"/>
    <cellStyle name="60% - Accent5 3" xfId="20444"/>
    <cellStyle name="60% - Accent5 3 2" xfId="20445"/>
    <cellStyle name="60% - Accent5 3 2 2" xfId="20446"/>
    <cellStyle name="60% - Accent5 4" xfId="20447"/>
    <cellStyle name="60% - Accent6 2" xfId="20448"/>
    <cellStyle name="60% - Accent6 2 2" xfId="20449"/>
    <cellStyle name="60% - Accent6 3" xfId="20450"/>
    <cellStyle name="60% - Accent6 3 2" xfId="20451"/>
    <cellStyle name="60% - Accent6 3 2 2" xfId="20452"/>
    <cellStyle name="60% - Accent6 4" xfId="20453"/>
    <cellStyle name="60% - 강조색1 10" xfId="20454"/>
    <cellStyle name="60% - 강조색1 11" xfId="20455"/>
    <cellStyle name="60% - 강조색1 12" xfId="20456"/>
    <cellStyle name="60% - 강조색1 13" xfId="20457"/>
    <cellStyle name="60% - 강조색1 14" xfId="20458"/>
    <cellStyle name="60% - 강조색1 15" xfId="20459"/>
    <cellStyle name="60% - 강조색1 2" xfId="20460"/>
    <cellStyle name="60% - 강조색1 2 2" xfId="20461"/>
    <cellStyle name="60% - 강조색1 2 2 2" xfId="20462"/>
    <cellStyle name="60% - 강조색1 2 3" xfId="20463"/>
    <cellStyle name="60% - 강조색1 3" xfId="20464"/>
    <cellStyle name="60% - 강조색1 3 2" xfId="20465"/>
    <cellStyle name="60% - 강조색1 3 3" xfId="20466"/>
    <cellStyle name="60% - 강조색1 4" xfId="20467"/>
    <cellStyle name="60% - 강조색1 4 2" xfId="20468"/>
    <cellStyle name="60% - 강조색1 5" xfId="20469"/>
    <cellStyle name="60% - 강조색1 6" xfId="20470"/>
    <cellStyle name="60% - 강조색1 7" xfId="20471"/>
    <cellStyle name="60% - 강조색1 8" xfId="20472"/>
    <cellStyle name="60% - 강조색1 9" xfId="20473"/>
    <cellStyle name="60% - 강조색2 10" xfId="20474"/>
    <cellStyle name="60% - 강조색2 11" xfId="20475"/>
    <cellStyle name="60% - 강조색2 12" xfId="20476"/>
    <cellStyle name="60% - 강조색2 13" xfId="20477"/>
    <cellStyle name="60% - 강조색2 14" xfId="20478"/>
    <cellStyle name="60% - 강조색2 15" xfId="20479"/>
    <cellStyle name="60% - 강조색2 2" xfId="20480"/>
    <cellStyle name="60% - 강조색2 2 2" xfId="20481"/>
    <cellStyle name="60% - 강조색2 2 2 2" xfId="20482"/>
    <cellStyle name="60% - 강조색2 2 3" xfId="20483"/>
    <cellStyle name="60% - 강조색2 3" xfId="20484"/>
    <cellStyle name="60% - 강조색2 3 2" xfId="20485"/>
    <cellStyle name="60% - 강조색2 3 3" xfId="20486"/>
    <cellStyle name="60% - 강조색2 4" xfId="20487"/>
    <cellStyle name="60% - 강조색2 4 2" xfId="20488"/>
    <cellStyle name="60% - 강조색2 5" xfId="20489"/>
    <cellStyle name="60% - 강조색2 6" xfId="20490"/>
    <cellStyle name="60% - 강조색2 7" xfId="20491"/>
    <cellStyle name="60% - 강조색2 8" xfId="20492"/>
    <cellStyle name="60% - 강조색2 9" xfId="20493"/>
    <cellStyle name="60% - 강조색3 10" xfId="20494"/>
    <cellStyle name="60% - 강조색3 11" xfId="20495"/>
    <cellStyle name="60% - 강조색3 12" xfId="20496"/>
    <cellStyle name="60% - 강조색3 13" xfId="20497"/>
    <cellStyle name="60% - 강조색3 14" xfId="20498"/>
    <cellStyle name="60% - 강조색3 15" xfId="20499"/>
    <cellStyle name="60% - 강조색3 2" xfId="20500"/>
    <cellStyle name="60% - 강조색3 2 2" xfId="20501"/>
    <cellStyle name="60% - 강조색3 2 2 2" xfId="20502"/>
    <cellStyle name="60% - 강조색3 2 3" xfId="20503"/>
    <cellStyle name="60% - 강조색3 3" xfId="20504"/>
    <cellStyle name="60% - 강조색3 3 2" xfId="20505"/>
    <cellStyle name="60% - 강조색3 3 3" xfId="20506"/>
    <cellStyle name="60% - 강조색3 4" xfId="20507"/>
    <cellStyle name="60% - 강조색3 4 2" xfId="20508"/>
    <cellStyle name="60% - 강조색3 5" xfId="20509"/>
    <cellStyle name="60% - 강조색3 6" xfId="20510"/>
    <cellStyle name="60% - 강조색3 7" xfId="20511"/>
    <cellStyle name="60% - 강조색3 8" xfId="20512"/>
    <cellStyle name="60% - 강조색3 9" xfId="20513"/>
    <cellStyle name="60% - 강조색4 10" xfId="20514"/>
    <cellStyle name="60% - 강조색4 11" xfId="20515"/>
    <cellStyle name="60% - 강조색4 12" xfId="20516"/>
    <cellStyle name="60% - 강조색4 13" xfId="20517"/>
    <cellStyle name="60% - 강조색4 14" xfId="20518"/>
    <cellStyle name="60% - 강조색4 15" xfId="20519"/>
    <cellStyle name="60% - 강조색4 2" xfId="20520"/>
    <cellStyle name="60% - 강조색4 2 2" xfId="20521"/>
    <cellStyle name="60% - 강조색4 2 2 2" xfId="20522"/>
    <cellStyle name="60% - 강조색4 2 3" xfId="20523"/>
    <cellStyle name="60% - 강조색4 3" xfId="20524"/>
    <cellStyle name="60% - 강조색4 3 2" xfId="20525"/>
    <cellStyle name="60% - 강조색4 3 3" xfId="20526"/>
    <cellStyle name="60% - 강조색4 4" xfId="20527"/>
    <cellStyle name="60% - 강조색4 4 2" xfId="20528"/>
    <cellStyle name="60% - 강조색4 5" xfId="20529"/>
    <cellStyle name="60% - 강조색4 6" xfId="20530"/>
    <cellStyle name="60% - 강조색4 7" xfId="20531"/>
    <cellStyle name="60% - 강조색4 8" xfId="20532"/>
    <cellStyle name="60% - 강조색4 9" xfId="20533"/>
    <cellStyle name="60% - 강조색5 10" xfId="20534"/>
    <cellStyle name="60% - 강조색5 11" xfId="20535"/>
    <cellStyle name="60% - 강조색5 12" xfId="20536"/>
    <cellStyle name="60% - 강조색5 13" xfId="20537"/>
    <cellStyle name="60% - 강조색5 14" xfId="20538"/>
    <cellStyle name="60% - 강조색5 15" xfId="20539"/>
    <cellStyle name="60% - 강조색5 2" xfId="20540"/>
    <cellStyle name="60% - 강조색5 2 2" xfId="20541"/>
    <cellStyle name="60% - 강조색5 2 2 2" xfId="20542"/>
    <cellStyle name="60% - 강조색5 2 3" xfId="20543"/>
    <cellStyle name="60% - 강조색5 3" xfId="20544"/>
    <cellStyle name="60% - 강조색5 3 2" xfId="20545"/>
    <cellStyle name="60% - 강조색5 3 3" xfId="20546"/>
    <cellStyle name="60% - 강조색5 4" xfId="20547"/>
    <cellStyle name="60% - 강조색5 4 2" xfId="20548"/>
    <cellStyle name="60% - 강조색5 5" xfId="20549"/>
    <cellStyle name="60% - 강조색5 6" xfId="20550"/>
    <cellStyle name="60% - 강조색5 7" xfId="20551"/>
    <cellStyle name="60% - 강조색5 8" xfId="20552"/>
    <cellStyle name="60% - 강조색5 9" xfId="20553"/>
    <cellStyle name="60% - 강조색6 10" xfId="20554"/>
    <cellStyle name="60% - 강조색6 11" xfId="20555"/>
    <cellStyle name="60% - 강조색6 12" xfId="20556"/>
    <cellStyle name="60% - 강조색6 13" xfId="20557"/>
    <cellStyle name="60% - 강조색6 14" xfId="20558"/>
    <cellStyle name="60% - 강조색6 15" xfId="20559"/>
    <cellStyle name="60% - 강조색6 2" xfId="20560"/>
    <cellStyle name="60% - 강조색6 2 2" xfId="20561"/>
    <cellStyle name="60% - 강조색6 2 2 2" xfId="20562"/>
    <cellStyle name="60% - 강조색6 2 3" xfId="20563"/>
    <cellStyle name="60% - 강조색6 3" xfId="20564"/>
    <cellStyle name="60% - 강조색6 3 2" xfId="20565"/>
    <cellStyle name="60% - 강조색6 3 3" xfId="20566"/>
    <cellStyle name="60% - 강조색6 4" xfId="20567"/>
    <cellStyle name="60% - 강조색6 4 2" xfId="20568"/>
    <cellStyle name="60% - 강조색6 5" xfId="20569"/>
    <cellStyle name="60% - 강조색6 6" xfId="20570"/>
    <cellStyle name="60% - 강조색6 7" xfId="20571"/>
    <cellStyle name="60% - 강조색6 8" xfId="20572"/>
    <cellStyle name="60% - 강조색6 9" xfId="20573"/>
    <cellStyle name="A¡§¡ⓒ¡E¡þ¡EO [0]_￠R¨¡¨I￠RAi￠RicAc￠R¨¡i " xfId="20574"/>
    <cellStyle name="A¡§¡ⓒ¡E¡þ¡EO_￠R¨¡¨I￠RAi￠RicAc￠R¨¡i " xfId="20575"/>
    <cellStyle name="A¡ER￠R¡¿¡ER¡§I¡ERE¡ER¨I¡ⓒ¡EREO [0]_  A¡ER￠R¡¿u  CO  " xfId="20576"/>
    <cellStyle name="A¡ER￠R¡¿¡ER¡§I¡ERE¡ER¨I¡ⓒ¡EREO_  A¡ER￠R¡¿u  CO  " xfId="20577"/>
    <cellStyle name="A¡ER￠R¡¿¡E臘??¡ERE¡ER¨I¡ⓒ¡EREO_27E¡ERE¡ER¨I¡ⓒ￠RERiy¡ER￠R¡¿￠RERC11¡ERE?u " xfId="20578"/>
    <cellStyle name="A¨­???? [0]_AoAUAy¡ÆeC¡? " xfId="20579"/>
    <cellStyle name="A¨­????_AoAUAy¡ÆeC¡? " xfId="20580"/>
    <cellStyle name="A¨­¢¬¢Ò [0]_  RANGE " xfId="20581"/>
    <cellStyle name="A¨­￠￢￠O [0]_¡Æ￠Rⓒø¨￡￠￥U " xfId="20582"/>
    <cellStyle name="A¨­¢¬¢Ò [0]_AoAUAy¡ÆeC¡Í " xfId="20583"/>
    <cellStyle name="A¨­￠￢￠O [0]_M107CDT " xfId="20584"/>
    <cellStyle name="A¨­¢¬¢Ò [0]_M107CDT " xfId="20585"/>
    <cellStyle name="A¨­￠￢￠O [0]_M107CDT  2" xfId="20586"/>
    <cellStyle name="A¨­¢¬¢Ò [0]_M107CDT  2" xfId="20587"/>
    <cellStyle name="A¨­¢¬¢Ò_  RANGE " xfId="20588"/>
    <cellStyle name="A¨­￠￢￠O_¡Æu￠￢RC¡I " xfId="20589"/>
    <cellStyle name="A¨­¢¬¢Ò_AoAUAy¡ÆeC¡Í " xfId="20590"/>
    <cellStyle name="A¨­￠￢￠O_INQUIRY ￠?￥i¨u¡AAⓒ￢Aⓒª " xfId="20591"/>
    <cellStyle name="A¨­¢¬¢Ò_M107CDT " xfId="20592"/>
    <cellStyle name="A￠R¡×￠R¨I￠RE￠Rⓒ­￠REO [0]_¡ER¡§￠R¡§I¡ERAi¡ERicAc¡ER¡§￠Ri " xfId="20593"/>
    <cellStyle name="A￠R¡×￠R¨I￠RE￠Rⓒ­￠REO_¡ER¡§￠R¡§I¡ERAi¡ERicAc¡ER¡§￠Ri " xfId="20594"/>
    <cellStyle name="A￠RER¡ER￠R￠?￠RER￠R¡×I￠RERE￠RER¡§I￠R¨I￠REREO [0]_¡ER￠R¡¿IoY￠RERIi￠RERIiA￠RER¡ER￠R￠?u_￠RER¡ER￠R￠?uOAIAo¡ERER¡ER￠R¡¿￠RER¡ERER￠RER¡ER¡E? " xfId="20595"/>
    <cellStyle name="A￠RER¡ER￠R￠?￠RER￠R¡×I￠RERE￠RER¡§I￠R¨I￠REREO_¡ER￠R¡¿IoY￠RERIi￠RERIiA￠RER¡ER￠R￠?u_￠RER¡ER￠R￠?uOAIAo¡ERER¡ER￠R¡¿￠RER¡ERER￠RER¡ER¡E? " xfId="20596"/>
    <cellStyle name="Accent1 - 20%" xfId="20597"/>
    <cellStyle name="Accent1 - 40%" xfId="20598"/>
    <cellStyle name="Accent1 - 60%" xfId="20599"/>
    <cellStyle name="Accent1 2" xfId="20600"/>
    <cellStyle name="Accent1 2 2" xfId="20601"/>
    <cellStyle name="Accent1 3" xfId="20602"/>
    <cellStyle name="Accent1 3 2" xfId="20603"/>
    <cellStyle name="Accent1 3 2 2" xfId="20604"/>
    <cellStyle name="Accent1 4" xfId="20605"/>
    <cellStyle name="Accent1 5" xfId="20606"/>
    <cellStyle name="Accent2 - 20%" xfId="20607"/>
    <cellStyle name="Accent2 - 40%" xfId="20608"/>
    <cellStyle name="Accent2 - 60%" xfId="20609"/>
    <cellStyle name="Accent2 2" xfId="20610"/>
    <cellStyle name="Accent2 2 2" xfId="20611"/>
    <cellStyle name="Accent2 3" xfId="20612"/>
    <cellStyle name="Accent2 3 2" xfId="20613"/>
    <cellStyle name="Accent2 3 2 2" xfId="20614"/>
    <cellStyle name="Accent2 4" xfId="20615"/>
    <cellStyle name="Accent2 5" xfId="20616"/>
    <cellStyle name="Accent3 - 20%" xfId="20617"/>
    <cellStyle name="Accent3 - 40%" xfId="20618"/>
    <cellStyle name="Accent3 - 60%" xfId="20619"/>
    <cellStyle name="Accent3 2" xfId="20620"/>
    <cellStyle name="Accent3 2 2" xfId="20621"/>
    <cellStyle name="Accent3 3" xfId="20622"/>
    <cellStyle name="Accent3 3 2" xfId="20623"/>
    <cellStyle name="Accent3 3 2 2" xfId="20624"/>
    <cellStyle name="Accent3 4" xfId="20625"/>
    <cellStyle name="Accent3 5" xfId="20626"/>
    <cellStyle name="Accent4 - 20%" xfId="20627"/>
    <cellStyle name="Accent4 - 40%" xfId="20628"/>
    <cellStyle name="Accent4 - 60%" xfId="20629"/>
    <cellStyle name="Accent4 2" xfId="20630"/>
    <cellStyle name="Accent4 2 2" xfId="20631"/>
    <cellStyle name="Accent4 3" xfId="20632"/>
    <cellStyle name="Accent4 3 2" xfId="20633"/>
    <cellStyle name="Accent4 3 2 2" xfId="20634"/>
    <cellStyle name="Accent4 4" xfId="20635"/>
    <cellStyle name="Accent4 5" xfId="20636"/>
    <cellStyle name="Accent5 - 20%" xfId="20637"/>
    <cellStyle name="Accent5 - 40%" xfId="20638"/>
    <cellStyle name="Accent5 - 60%" xfId="20639"/>
    <cellStyle name="Accent5 2" xfId="20640"/>
    <cellStyle name="Accent5 2 2" xfId="20641"/>
    <cellStyle name="Accent5 3" xfId="20642"/>
    <cellStyle name="Accent5 3 2" xfId="20643"/>
    <cellStyle name="Accent5 3 2 2" xfId="20644"/>
    <cellStyle name="Accent5 4" xfId="20645"/>
    <cellStyle name="Accent5 5" xfId="20646"/>
    <cellStyle name="Accent6 - 20%" xfId="20647"/>
    <cellStyle name="Accent6 - 40%" xfId="20648"/>
    <cellStyle name="Accent6 - 60%" xfId="20649"/>
    <cellStyle name="Accent6 2" xfId="20650"/>
    <cellStyle name="Accent6 2 2" xfId="20651"/>
    <cellStyle name="Accent6 3" xfId="20652"/>
    <cellStyle name="Accent6 3 2" xfId="20653"/>
    <cellStyle name="Accent6 3 2 2" xfId="20654"/>
    <cellStyle name="Accent6 4" xfId="20655"/>
    <cellStyle name="Accent6 5" xfId="20656"/>
    <cellStyle name="ACSP1.YMMlbso_x0002_" xfId="20657"/>
    <cellStyle name="Actual Date" xfId="20658"/>
    <cellStyle name="AeE­ [0]_ PLAN97 " xfId="20659"/>
    <cellStyle name="AeE- [0]_?c?A " xfId="20660"/>
    <cellStyle name="AeE­ [0]_¡U¾EU￢ A¾COºn±³ " xfId="20661"/>
    <cellStyle name="ÅëÈ­ [0]_¡Ú¾ÈÜ¬ Á¾ÇÕºñ±³ " xfId="20662"/>
    <cellStyle name="AeE­ [0]_´eCu≫cAa" xfId="20663"/>
    <cellStyle name="ÅëÈ­ [0]_¸ÅÃâ" xfId="20664"/>
    <cellStyle name="AeE­ [0]_¸nC￥°C¼o " xfId="20665"/>
    <cellStyle name="ÅëÈ­ [0]_¿ä¾àµµ" xfId="20666"/>
    <cellStyle name="AeE­ [0]_±aA¸" xfId="20667"/>
    <cellStyle name="ÅëÈ­ [0]_±âÅ¸_¼ÕÀÍÇ¥ (³â°è 83¾ï) " xfId="20668"/>
    <cellStyle name="AeE­ [0]_°eE¹_11¿a½A " xfId="20669"/>
    <cellStyle name="ÅëÈ­ [0]_°ü¸®Ç×¸ñ_¾÷Á¾º° " xfId="20670"/>
    <cellStyle name="AeE­ [0]_°u¸RC×¸n_¾÷A¾º° " xfId="20671"/>
    <cellStyle name="ÅëÈ­ [0]_¼­½ÄÃ¼01_ÅõÀÔ°èÈ¹ " xfId="20672"/>
    <cellStyle name="AeE­ [0]_¼­½AAI¶÷_AoAO°eE¹ " xfId="20673"/>
    <cellStyle name="ÅëÈ­ [0]_¼­½ÄÀÏ¶÷_ÅõÀÔ°èÈ¹ " xfId="20674"/>
    <cellStyle name="AeE­ [0]_¼­½AAI¶÷_AoAO°eE¹  2" xfId="20675"/>
    <cellStyle name="ÅëÈ­ [0]_¼­½ÄÀÏ¶÷_ÅõÀÔ°èÈ¹  2" xfId="20676"/>
    <cellStyle name="AeE­ [0]_½C¿¹PL " xfId="20677"/>
    <cellStyle name="ÅëÈ­ [0]_½Ç¿¹PL " xfId="20678"/>
    <cellStyle name="AeE­ [0]_½C¿¹PL _1031상품손익(채)" xfId="20679"/>
    <cellStyle name="ÅëÈ­ [0]_¾÷Á¾º° " xfId="20680"/>
    <cellStyle name="AeE­ [0]_¾c½A " xfId="20681"/>
    <cellStyle name="ÅëÈ­ [0]_1.ÆÇ¸Å½ÇÀû " xfId="20682"/>
    <cellStyle name="AeE­ [0]_1.SUMMARY " xfId="20683"/>
    <cellStyle name="ÅëÈ­ [0]_1.SUMMARY " xfId="20684"/>
    <cellStyle name="AeE­ [0]_1.SUMMARY  2" xfId="20685"/>
    <cellStyle name="ÅëÈ­ [0]_1.SUMMARY  2" xfId="20686"/>
    <cellStyle name="AeE­ [0]_11¿a½A " xfId="20687"/>
    <cellStyle name="ÅëÈ­ [0]_2.CONCEPT " xfId="20688"/>
    <cellStyle name="AeE­ [0]_3.MSCHEDULE¿μ¹R " xfId="20689"/>
    <cellStyle name="ÅëÈ­ [0]_3PJTR°èÈ¹ " xfId="20690"/>
    <cellStyle name="AeE­ [0]_4 " xfId="20691"/>
    <cellStyle name="ÅëÈ­ [0]_4 " xfId="20692"/>
    <cellStyle name="AeE­ [0]_4  2" xfId="20693"/>
    <cellStyle name="ÅëÈ­ [0]_4  2" xfId="20694"/>
    <cellStyle name="AeE- [0]_4PART " xfId="20695"/>
    <cellStyle name="AeE­ [0]_6¿u2A°AO " xfId="20696"/>
    <cellStyle name="ÅëÈ­ [0]_6-3°æÀï·Â " xfId="20697"/>
    <cellStyle name="AeE- [0]_64-C STEPPER 줩!줩o?A줩줗(PHOTO) " xfId="20698"/>
    <cellStyle name="AeE­ [0]_7.MASTER SCHEDULE " xfId="20699"/>
    <cellStyle name="ÅëÈ­ [0]_7.MASTER SCHEDULE " xfId="20700"/>
    <cellStyle name="AeE­ [0]_7.MASTER SCHEDULE  2" xfId="20701"/>
    <cellStyle name="ÅëÈ­ [0]_7.MASTER SCHEDULE  2" xfId="20702"/>
    <cellStyle name="AeE­ [0]_95³aAN°y¼o·R " xfId="20703"/>
    <cellStyle name="AeE- [0]_953aAN줩y?o좵R " xfId="20704"/>
    <cellStyle name="AeE­ [0]_96¾Æ½OBD " xfId="20705"/>
    <cellStyle name="ÅëÈ­ [0]_Á¦Á¶1ºÎ1°ú ÇöÈ² " xfId="20706"/>
    <cellStyle name="AeE­ [0]_Ac°i°u¸R " xfId="20707"/>
    <cellStyle name="ÅëÈ­ [0]_ÀÎ¿ø°èÈ¹ " xfId="20708"/>
    <cellStyle name="AeE­ [0]_AN°yº¸°i-Aß°¡Ay°¨ " xfId="20709"/>
    <cellStyle name="ÅëÈ­ [0]_Áö]¿Ï¼ºÂ÷ " xfId="20710"/>
    <cellStyle name="AeE­ [0]_AoAUAy°eC￥ " xfId="20711"/>
    <cellStyle name="ÅëÈ­ [0]_ÅõÀÚÁý°èÇ¥ " xfId="20712"/>
    <cellStyle name="AeE­ [0]_AoAUAy°eC￥ _1031상품손익(채)" xfId="20713"/>
    <cellStyle name="ÅëÈ­ [0]_Ç¥Áö_ÅõÀÚÁý°èÇ¥ " xfId="20714"/>
    <cellStyle name="AeE­ [0]_C￥Ao_AoAUAy°eC￥ _경통외주가공비인상검토" xfId="20715"/>
    <cellStyle name="AeE- [0]_C줩좲no줩 " xfId="20716"/>
    <cellStyle name="ÅëÈ­ [0]_INQUIRY ¿µ¾÷ÃßÁø " xfId="20717"/>
    <cellStyle name="AeE­ [0]_INQUIRY ¿μ¾÷AßAø " xfId="20718"/>
    <cellStyle name="ÅëÈ­ [0]_lx-taxi " xfId="20719"/>
    <cellStyle name="AeE­ [0]_M105CDT " xfId="20720"/>
    <cellStyle name="ÅëÈ­ [0]_MKN-M1.1 " xfId="20721"/>
    <cellStyle name="AeE­ [0]_ºÐ·u±a01_AoAO°eE¹ " xfId="20722"/>
    <cellStyle name="ÅëÈ­ [0]_ºÐ·ù±â01_ÅõÀÔ°èÈ¹ " xfId="20723"/>
    <cellStyle name="AeE­ [0]_ºÐ·u±a01_AoAO°eE¹  2" xfId="20724"/>
    <cellStyle name="ÅëÈ­ [0]_ºÐ·ù±â01_ÅõÀÔ°èÈ¹  2" xfId="20725"/>
    <cellStyle name="AeE­ [0]_ºÐ·u±a02_AoAO°eE¹ " xfId="20726"/>
    <cellStyle name="ÅëÈ­ [0]_ºÐ·ù±â02_ÅõÀÔ°èÈ¹ " xfId="20727"/>
    <cellStyle name="AeE­ [0]_ºÐ·u±a02_AoAO°eE¹  2" xfId="20728"/>
    <cellStyle name="ÅëÈ­ [0]_ºÐ·ù±â02_ÅõÀÔ°èÈ¹  2" xfId="20729"/>
    <cellStyle name="AeE­ [0]_ºÐ·u±a03_AoAO°eE¹ " xfId="20730"/>
    <cellStyle name="ÅëÈ­ [0]_ºÐ·ù±â03_ÅõÀÔ°èÈ¹ " xfId="20731"/>
    <cellStyle name="AeE­ [0]_ºÐ·u±a03_AoAO°eE¹  2" xfId="20732"/>
    <cellStyle name="ÅëÈ­ [0]_ºÐ·ù±â03_ÅõÀÔ°èÈ¹  2" xfId="20733"/>
    <cellStyle name="AeE­ [0]_ºÐ·u±aAØ_AoAO°eE¹ " xfId="20734"/>
    <cellStyle name="ÅëÈ­ [0]_ºÐ·ù±âÁØ_ÅõÀÔ°èÈ¹ " xfId="20735"/>
    <cellStyle name="AeE­ [0]_ºÐ·u±aAØ_AoAO°eE¹  2" xfId="20736"/>
    <cellStyle name="ÅëÈ­ [0]_ºÐ·ù±âÁØ_ÅõÀÔ°èÈ¹  2" xfId="20737"/>
    <cellStyle name="AeE­ [0]_ºÐ·u±aE￡_AoAO°eE¹ " xfId="20738"/>
    <cellStyle name="ÅëÈ­ [0]_ºÐ·ù±âÈ£_ÅõÀÔ°èÈ¹ " xfId="20739"/>
    <cellStyle name="AeE­ [0]_ºÐ·u±aE￡_AoAO°eE¹  2" xfId="20740"/>
    <cellStyle name="ÅëÈ­ [0]_ºÐ·ù±âÈ£_ÅõÀÔ°èÈ¹  2" xfId="20741"/>
    <cellStyle name="AeE­ [0]_SAMPLE " xfId="20742"/>
    <cellStyle name="ÅëÈ­ [0]_SAMPLE " xfId="20743"/>
    <cellStyle name="AeE­ [0]_SAMPLE  2" xfId="20744"/>
    <cellStyle name="ÅëÈ­ [0]_SAMPLE  2" xfId="20745"/>
    <cellStyle name="AeE­ [0]_Sheet1 (2)_1.SUMMARY " xfId="20746"/>
    <cellStyle name="ÅëÈ­ [0]_Sheet1 (2)_1.SUMMARY " xfId="20747"/>
    <cellStyle name="AeE­ [0]_Sheet1 (2)_1.SUMMARY  2" xfId="20748"/>
    <cellStyle name="ÅëÈ­ [0]_Sheet1 (2)_1.SUMMARY  2" xfId="20749"/>
    <cellStyle name="AeE­ [0]_Sheet1_XD AOA¾AIA¤ " xfId="20750"/>
    <cellStyle name="ÅëÈ­ [0]_Sheet1_XD ÃÖÁ¾ÀÏÁ¤ " xfId="20751"/>
    <cellStyle name="AeE­ [0]_Sheet1_XD AOA¾AIA¤  2" xfId="20752"/>
    <cellStyle name="ÅëÈ­ [0]_Sheet1_XD ÃÖÁ¾ÀÏÁ¤  2" xfId="20753"/>
    <cellStyle name="AeE­ [0]_SMG-CKD-d1.1 " xfId="20754"/>
    <cellStyle name="ÅëÈ­ [0]_SMG-CKD-d1.1 " xfId="20755"/>
    <cellStyle name="AeE­ [0]_SMG-CKD-d1.1  2" xfId="20756"/>
    <cellStyle name="ÅëÈ­ [0]_SMG-CKD-d1.1  2" xfId="20757"/>
    <cellStyle name="AeE­ [0]_SP ¹°μ¿¹× ¿UAO " xfId="20758"/>
    <cellStyle name="AeE-_?c?A " xfId="20759"/>
    <cellStyle name="AeE­_¡U¾EU￢ A¾COºn±³ " xfId="20760"/>
    <cellStyle name="ÅëÈ­_¡Ú¾ÈÜ¬ Á¾ÇÕºñ±³ " xfId="20761"/>
    <cellStyle name="AeE­_¡U¾EU￢ A¾COºn±³  2" xfId="20762"/>
    <cellStyle name="ÅëÈ­_¡Ú¾ÈÜ¬ Á¾ÇÕºñ±³  2" xfId="20763"/>
    <cellStyle name="AeE­_´eCu≫cAa" xfId="20764"/>
    <cellStyle name="ÅëÈ­_¸ÅÃâ" xfId="20765"/>
    <cellStyle name="AeE­_¸AAa°eE¹(¿U)_¼OAIC￥ (³a°e 83¾i) " xfId="20766"/>
    <cellStyle name="ÅëÈ­_¸ñÂ÷ " xfId="20767"/>
    <cellStyle name="AeE­_¸nC￥°C¼o " xfId="20768"/>
    <cellStyle name="ÅëÈ­_¿ä¾àµµ" xfId="20769"/>
    <cellStyle name="AeE­_±aA¸" xfId="20770"/>
    <cellStyle name="ÅëÈ­_±âÅ¸_¼ÕÀÍÇ¥ (³â°è 83¾ï) " xfId="20771"/>
    <cellStyle name="AeE­_°eE¹_11¿a½A " xfId="20772"/>
    <cellStyle name="ÅëÈ­_°ü¸®Ç×¸ñ_¾÷Á¾º° " xfId="20773"/>
    <cellStyle name="AeE­_°u¸RC×¸n_¾÷A¾º° " xfId="20774"/>
    <cellStyle name="ÅëÈ­_¼­½ÄÃ¼01_ÅõÀÔ°èÈ¹ " xfId="20775"/>
    <cellStyle name="AeE­_¼­½AAI¶÷_AoAO°eE¹ " xfId="20776"/>
    <cellStyle name="ÅëÈ­_¼­½ÄÀÏ¶÷_ÅõÀÔ°èÈ¹ " xfId="20777"/>
    <cellStyle name="AeE­_¼­½AAI¶÷_AoAO°eE¹  2" xfId="20778"/>
    <cellStyle name="ÅëÈ­_¼­½ÄÀÏ¶÷_ÅõÀÔ°èÈ¹  2" xfId="20779"/>
    <cellStyle name="AeE­_½C¿¹PL " xfId="20780"/>
    <cellStyle name="ÅëÈ­_½Ç¿¹PL " xfId="20781"/>
    <cellStyle name="AeE­_½C¿¹PL _1031상품손익(채)" xfId="20782"/>
    <cellStyle name="ÅëÈ­_¾÷Á¾º° " xfId="20783"/>
    <cellStyle name="AeE­_¾c½A " xfId="20784"/>
    <cellStyle name="ÅëÈ­_1.ÆÇ¸Å½ÇÀû " xfId="20785"/>
    <cellStyle name="AeE­_1.SUMMARY " xfId="20786"/>
    <cellStyle name="ÅëÈ­_1.SUMMARY " xfId="20787"/>
    <cellStyle name="AeE­_1.SUMMARY  2" xfId="20788"/>
    <cellStyle name="ÅëÈ­_1.SUMMARY  2" xfId="20789"/>
    <cellStyle name="AeE­_11¿a½A " xfId="20790"/>
    <cellStyle name="ÅëÈ­_2.CONCEPT " xfId="20791"/>
    <cellStyle name="AeE­_3.MSCHEDULE¿μ¹R " xfId="20792"/>
    <cellStyle name="ÅëÈ­_3PJTR°èÈ¹ " xfId="20793"/>
    <cellStyle name="AeE­_4 " xfId="20794"/>
    <cellStyle name="ÅëÈ­_4 " xfId="20795"/>
    <cellStyle name="AeE­_4  2" xfId="20796"/>
    <cellStyle name="ÅëÈ­_4  2" xfId="20797"/>
    <cellStyle name="AeE-_4PART " xfId="20798"/>
    <cellStyle name="AeE­_6¿u2A°AO " xfId="20799"/>
    <cellStyle name="ÅëÈ­_6-3°æÀï·Â " xfId="20800"/>
    <cellStyle name="AeE-_64-C STEPPER 줩!줩o?A줩줗(PHOTO) " xfId="20801"/>
    <cellStyle name="AeE­_7.MASTER SCHEDULE " xfId="20802"/>
    <cellStyle name="ÅëÈ­_7.MASTER SCHEDULE " xfId="20803"/>
    <cellStyle name="AeE­_7.MASTER SCHEDULE  2" xfId="20804"/>
    <cellStyle name="ÅëÈ­_7.MASTER SCHEDULE  2" xfId="20805"/>
    <cellStyle name="AeE­_95³aAN°y¼o·R " xfId="20806"/>
    <cellStyle name="AeE-_953aAN줩y?o좵R " xfId="20807"/>
    <cellStyle name="AeE­_96¾Æ½OBD " xfId="20808"/>
    <cellStyle name="ÅëÈ­_Á¦Á¶1ºÎ1°ú ÇöÈ² " xfId="20809"/>
    <cellStyle name="AeE­_Ac°i°u¸R " xfId="20810"/>
    <cellStyle name="ÅëÈ­_ÀÎ¿ø°èÈ¹ " xfId="20811"/>
    <cellStyle name="AeE­_AN°yº¸°i-Aß°¡Ay°¨ " xfId="20812"/>
    <cellStyle name="ÅëÈ­_Áö]¿Ï¼ºÂ÷ " xfId="20813"/>
    <cellStyle name="AeE­_AoAUAy°eC￥ " xfId="20814"/>
    <cellStyle name="ÅëÈ­_ÅõÀÚÁý°èÇ¥ " xfId="20815"/>
    <cellStyle name="AeE­_AoAUAy°eC￥ _1031상품손익(채)" xfId="20816"/>
    <cellStyle name="ÅëÈ­_Ç¥Áö_ÅõÀÚÁý°èÇ¥ " xfId="20817"/>
    <cellStyle name="AeE­_C￥Ao_AoAUAy°eC￥ _경통외주가공비인상검토" xfId="20818"/>
    <cellStyle name="AeE-_C줩좲no줩 " xfId="20819"/>
    <cellStyle name="ÅëÈ­_INQUIRY ¿µ¾÷ÃßÁø " xfId="20820"/>
    <cellStyle name="AeE­_INQUIRY ¿μ¾÷AßAø " xfId="20821"/>
    <cellStyle name="ÅëÈ­_lx-taxi " xfId="20822"/>
    <cellStyle name="AeE­_M105CDT " xfId="20823"/>
    <cellStyle name="ÅëÈ­_MKN-M1.1 " xfId="20824"/>
    <cellStyle name="AeE­_ºÐ·u±a01_AoAO°eE¹ " xfId="20825"/>
    <cellStyle name="ÅëÈ­_ºÐ·ù±â01_ÅõÀÔ°èÈ¹ " xfId="20826"/>
    <cellStyle name="AeE­_ºÐ·u±a01_AoAO°eE¹  2" xfId="20827"/>
    <cellStyle name="ÅëÈ­_ºÐ·ù±â01_ÅõÀÔ°èÈ¹  2" xfId="20828"/>
    <cellStyle name="AeE­_ºÐ·u±a02_AoAO°eE¹ " xfId="20829"/>
    <cellStyle name="ÅëÈ­_ºÐ·ù±â02_ÅõÀÔ°èÈ¹ " xfId="20830"/>
    <cellStyle name="AeE­_ºÐ·u±a02_AoAO°eE¹  2" xfId="20831"/>
    <cellStyle name="ÅëÈ­_ºÐ·ù±â02_ÅõÀÔ°èÈ¹  2" xfId="20832"/>
    <cellStyle name="AeE­_ºÐ·u±a03_AoAO°eE¹ " xfId="20833"/>
    <cellStyle name="ÅëÈ­_ºÐ·ù±â03_ÅõÀÔ°èÈ¹ " xfId="20834"/>
    <cellStyle name="AeE­_ºÐ·u±a03_AoAO°eE¹  2" xfId="20835"/>
    <cellStyle name="ÅëÈ­_ºÐ·ù±â03_ÅõÀÔ°èÈ¹  2" xfId="20836"/>
    <cellStyle name="AeE­_ºÐ·u±aAØ_AoAO°eE¹ " xfId="20837"/>
    <cellStyle name="ÅëÈ­_ºÐ·ù±âÁØ_ÅõÀÔ°èÈ¹ " xfId="20838"/>
    <cellStyle name="AeE­_ºÐ·u±aAØ_AoAO°eE¹  2" xfId="20839"/>
    <cellStyle name="ÅëÈ­_ºÐ·ù±âÁØ_ÅõÀÔ°èÈ¹  2" xfId="20840"/>
    <cellStyle name="AeE­_ºÐ·u±aE￡_AoAO°eE¹ " xfId="20841"/>
    <cellStyle name="ÅëÈ­_ºÐ·ù±âÈ£_ÅõÀÔ°èÈ¹ " xfId="20842"/>
    <cellStyle name="AeE­_ºÐ·u±aE￡_AoAO°eE¹  2" xfId="20843"/>
    <cellStyle name="ÅëÈ­_ºÐ·ù±âÈ£_ÅõÀÔ°èÈ¹  2" xfId="20844"/>
    <cellStyle name="AeE­_SAMPLE " xfId="20845"/>
    <cellStyle name="ÅëÈ­_SAMPLE " xfId="20846"/>
    <cellStyle name="AeE­_SAMPLE  2" xfId="20847"/>
    <cellStyle name="ÅëÈ­_SAMPLE  2" xfId="20848"/>
    <cellStyle name="AeE­_Sheet1 (2)_1.SUMMARY " xfId="20849"/>
    <cellStyle name="ÅëÈ­_Sheet1 (2)_1.SUMMARY " xfId="20850"/>
    <cellStyle name="AeE­_Sheet1 (2)_1.SUMMARY  2" xfId="20851"/>
    <cellStyle name="ÅëÈ­_Sheet1 (2)_1.SUMMARY  2" xfId="20852"/>
    <cellStyle name="AeE­_Sheet1_XD AOA¾AIA¤ " xfId="20853"/>
    <cellStyle name="ÅëÈ­_Sheet1_XD ÃÖÁ¾ÀÏÁ¤ " xfId="20854"/>
    <cellStyle name="AeE­_Sheet1_XD AOA¾AIA¤  2" xfId="20855"/>
    <cellStyle name="ÅëÈ­_Sheet1_XD ÃÖÁ¾ÀÏÁ¤  2" xfId="20856"/>
    <cellStyle name="AeE­_SMG-CKD-d1.1 " xfId="20857"/>
    <cellStyle name="ÅëÈ­_SMG-CKD-d1.1 " xfId="20858"/>
    <cellStyle name="AeE­_SMG-CKD-d1.1  2" xfId="20859"/>
    <cellStyle name="ÅëÈ­_SMG-CKD-d1.1  2" xfId="20860"/>
    <cellStyle name="AeE­_SP ¹°μ¿¹× ¿UAO " xfId="20861"/>
    <cellStyle name="AeE¡? [0]_AoAUAy¡ÆeC¡? " xfId="20862"/>
    <cellStyle name="AeE¡?_AoAUAy¡ÆeC¡? " xfId="20863"/>
    <cellStyle name="AeE¡© [0]_  RANGE " xfId="20864"/>
    <cellStyle name="AeE¡©_  RANGE " xfId="20865"/>
    <cellStyle name="AeE¡ⓒ [0]_¡Æu￠￢RC¡I " xfId="20866"/>
    <cellStyle name="AeE¡ⓒ_¡Æu￠￢RC¡I " xfId="20867"/>
    <cellStyle name="AeE¡ER¡§I [0]_¡ER¡§￠R¡§I¡ERAi¡ERicAc¡ER¡§￠Ri " xfId="20868"/>
    <cellStyle name="AeE¡ER¡§I_¡ER¡§￠R¡§I¡ERAi¡ERicAc¡ER¡§￠Ri " xfId="20869"/>
    <cellStyle name="AeE¡ERER¡ER￠R¡¿I [0]_¡ER￠R¡¿IoY￠RERIi￠RERIiA￠RER¡ER￠R￠?u_￠RER¡ER￠R￠?uOAIAo¡ERER¡ER￠R¡¿￠RER¡ERER￠RER¡ER¡E? " xfId="20870"/>
    <cellStyle name="AeE¡ERER¡ER￠R¡¿I_¡ER￠R¡¿IoY￠RERIi￠RERIiA￠RER¡ER￠R￠?u_￠RER¡ER￠R￠?uOAIAo¡ERER¡ER￠R¡¿￠RER¡ERER￠RER¡ER¡E? " xfId="20871"/>
    <cellStyle name="AeE￠R¨I [0]_￠R¨¡¨I￠RAi￠RicAc￠R¨¡i " xfId="20872"/>
    <cellStyle name="AeE￠R¨I_￠R¨¡¨I￠RAi￠RicAc￠R¨¡i " xfId="20873"/>
    <cellStyle name="AeE￠RER￠R¡×I [0]_  A¡ER￠R¡¿u  CO  " xfId="20874"/>
    <cellStyle name="AeE￠RER￠R¡×I_  A¡ER￠R¡¿u  CO  " xfId="20875"/>
    <cellStyle name="ALIGNMENT" xfId="20876"/>
    <cellStyle name="AÞ¸¶ [0]_ PLAN97 " xfId="20877"/>
    <cellStyle name="ÄÞ¸¶ [0]_¡Ú¾ÈÜ¬ Á¾ÇÕºñ±³ " xfId="20878"/>
    <cellStyle name="AÞ¸¶ [0]_´eCu≫cAa" xfId="20879"/>
    <cellStyle name="ÄÞ¸¶ [0]_¸ÅÃâ" xfId="20880"/>
    <cellStyle name="AÞ¸¶ [0]_¸i¼¼C￥ " xfId="20881"/>
    <cellStyle name="ÄÞ¸¶ [0]_¸ñÂ÷ " xfId="20882"/>
    <cellStyle name="AÞ¸¶ [0]_±aA¸" xfId="20883"/>
    <cellStyle name="ÄÞ¸¶ [0]_°ü¸®BS('98) " xfId="20884"/>
    <cellStyle name="AÞ¸¶ [0]_°u¸RBS('98) " xfId="20885"/>
    <cellStyle name="ÄÞ¸¶ [0]_¼öÁÖ°èÈ¹(SMD) " xfId="20886"/>
    <cellStyle name="AÞ¸¶ [0]_½C¿¹PL " xfId="20887"/>
    <cellStyle name="ÄÞ¸¶ [0]_½Ç¿¹PL " xfId="20888"/>
    <cellStyle name="AÞ¸¶ [0]_¾÷A¾º° " xfId="20889"/>
    <cellStyle name="ÄÞ¸¶ [0]_1.ÆÇ¸Å½ÇÀû " xfId="20890"/>
    <cellStyle name="AÞ¸¶ [0]_1.SUMMARY " xfId="20891"/>
    <cellStyle name="ÄÞ¸¶ [0]_1.SUMMARY " xfId="20892"/>
    <cellStyle name="AÞ¸¶ [0]_1.SUMMARY  2" xfId="20893"/>
    <cellStyle name="ÄÞ¸¶ [0]_1.SUMMARY  2" xfId="20894"/>
    <cellStyle name="AÞ¸¶ [0]_11¿a½A " xfId="20895"/>
    <cellStyle name="ÄÞ¸¶ [0]_2.CONCEPT " xfId="20896"/>
    <cellStyle name="AÞ¸¶ [0]_3.MSCHEDULE¿μ¹R " xfId="20897"/>
    <cellStyle name="ÄÞ¸¶ [0]_3PJTR°èÈ¹ " xfId="20898"/>
    <cellStyle name="AÞ¸¶ [0]_4 " xfId="20899"/>
    <cellStyle name="ÄÞ¸¶ [0]_4 " xfId="20900"/>
    <cellStyle name="AÞ¸¶ [0]_4  2" xfId="20901"/>
    <cellStyle name="ÄÞ¸¶ [0]_4  2" xfId="20902"/>
    <cellStyle name="AÞ¸¶ [0]_6-3°æAi·A " xfId="20903"/>
    <cellStyle name="ÄÞ¸¶ [0]_6-3°æÀï·Â " xfId="20904"/>
    <cellStyle name="AÞ¸¶ [0]_6-3°æAi·A  2" xfId="20905"/>
    <cellStyle name="ÄÞ¸¶ [0]_6-3°æÀï·Â  2" xfId="20906"/>
    <cellStyle name="AÞ¸¶ [0]_7.MASTER SCHEDULE " xfId="20907"/>
    <cellStyle name="ÄÞ¸¶ [0]_7.MASTER SCHEDULE " xfId="20908"/>
    <cellStyle name="AÞ¸¶ [0]_7.MASTER SCHEDULE  2" xfId="20909"/>
    <cellStyle name="ÄÞ¸¶ [0]_7.MASTER SCHEDULE  2" xfId="20910"/>
    <cellStyle name="AÞ¸¶ [0]_96¾Æ½OBD " xfId="20911"/>
    <cellStyle name="ÄÞ¸¶ [0]_Á¦Á¶1ºÎ1°ú ÇöÈ² " xfId="20912"/>
    <cellStyle name="AÞ¸¶ [0]_Ac°i°u¸R " xfId="20913"/>
    <cellStyle name="ÄÞ¸¶ [0]_ÀÎ¿ø°èÈ¹ " xfId="20914"/>
    <cellStyle name="AÞ¸¶ [0]_AN°yº¸°i-Aß°¡Ay°¨ " xfId="20915"/>
    <cellStyle name="ÄÞ¸¶ [0]_ÃÖÁ¾ÀÏÁ¤ " xfId="20916"/>
    <cellStyle name="AÞ¸¶ [0]_AoAUAy°eC￥ _경통외주가공비인상검토" xfId="20917"/>
    <cellStyle name="ÄÞ¸¶ [0]_Ç¥Áö_ÅõÀÚÁý°èÇ¥ " xfId="20918"/>
    <cellStyle name="AÞ¸¶ [0]_C￥Ao_AoAUAy°eC￥ _경통외주가공비인상검토" xfId="20919"/>
    <cellStyle name="ÄÞ¸¶ [0]_lx-taxi " xfId="20920"/>
    <cellStyle name="AÞ¸¶ [0]_M105CDT " xfId="20921"/>
    <cellStyle name="ÄÞ¸¶ [0]_MKN-M1.1 " xfId="20922"/>
    <cellStyle name="AÞ¸¶ [0]_SAMPLE " xfId="20923"/>
    <cellStyle name="ÄÞ¸¶ [0]_SAMPLE " xfId="20924"/>
    <cellStyle name="AÞ¸¶ [0]_SAMPLE  2" xfId="20925"/>
    <cellStyle name="ÄÞ¸¶ [0]_SAMPLE  2" xfId="20926"/>
    <cellStyle name="AÞ¸¶ [0]_Sheet1 (2)_1.SUMMARY " xfId="20927"/>
    <cellStyle name="ÄÞ¸¶ [0]_Sheet1 (2)_1.SUMMARY " xfId="20928"/>
    <cellStyle name="AÞ¸¶ [0]_Sheet1 (2)_1.SUMMARY  2" xfId="20929"/>
    <cellStyle name="ÄÞ¸¶ [0]_Sheet1 (2)_1.SUMMARY  2" xfId="20930"/>
    <cellStyle name="AÞ¸¶ [0]_Sheet1_XD AOA¾AIA¤ " xfId="20931"/>
    <cellStyle name="ÄÞ¸¶ [0]_Sheet1_XD ÃÖÁ¾ÀÏÁ¤ " xfId="20932"/>
    <cellStyle name="AÞ¸¶ [0]_Sheet1_XD AOA¾AIA¤  2" xfId="20933"/>
    <cellStyle name="ÄÞ¸¶ [0]_Sheet1_XD ÃÖÁ¾ÀÏÁ¤  2" xfId="20934"/>
    <cellStyle name="AÞ¸¶ [0]_SMG-CKD-d1.1 " xfId="20935"/>
    <cellStyle name="ÄÞ¸¶ [0]_SMG-CKD-d1.1 " xfId="20936"/>
    <cellStyle name="AÞ¸¶ [0]_SMG-CKD-d1.1  2" xfId="20937"/>
    <cellStyle name="ÄÞ¸¶ [0]_SMG-CKD-d1.1  2" xfId="20938"/>
    <cellStyle name="AÞ¸¶ [0]_SP ¹°μ¿¹× ¿UAO " xfId="20939"/>
    <cellStyle name="AÞ¸¶_¡U¾EU￢ A¾COºn±³ " xfId="20940"/>
    <cellStyle name="ÄÞ¸¶_¡Ú¾ÈÜ¬ Á¾ÇÕºñ±³ " xfId="20941"/>
    <cellStyle name="AÞ¸¶_¡U¾EU￢ A¾COºn±³  2" xfId="20942"/>
    <cellStyle name="ÄÞ¸¶_¡Ú¾ÈÜ¬ Á¾ÇÕºñ±³  2" xfId="20943"/>
    <cellStyle name="AÞ¸¶_´eCu≫cAa" xfId="20944"/>
    <cellStyle name="ÄÞ¸¶_¸ÅÃâ" xfId="20945"/>
    <cellStyle name="AÞ¸¶_¸AAa°eE¹(¿U)_¼OAIC￥ (³a°e 83¾i) " xfId="20946"/>
    <cellStyle name="ÄÞ¸¶_¸ñÂ÷ " xfId="20947"/>
    <cellStyle name="AÞ¸¶_¸nC￥°C¼o " xfId="20948"/>
    <cellStyle name="ÄÞ¸¶_¿ä¾àµµ" xfId="20949"/>
    <cellStyle name="AÞ¸¶_±aA¸" xfId="20950"/>
    <cellStyle name="ÄÞ¸¶_±âÅ¸_¼ÕÀÍÇ¥ (³â°è 83¾ï) " xfId="20951"/>
    <cellStyle name="AÞ¸¶_°eE¹_11¿a½A " xfId="20952"/>
    <cellStyle name="ÄÞ¸¶_°ü¸®Ç×¸ñ_¾÷Á¾º° " xfId="20953"/>
    <cellStyle name="AÞ¸¶_°u¸RC×¸n_¾÷A¾º° " xfId="20954"/>
    <cellStyle name="ÄÞ¸¶_¼öÁÖ°èÈ¹(SMD) " xfId="20955"/>
    <cellStyle name="AÞ¸¶_½C¿¹PL " xfId="20956"/>
    <cellStyle name="ÄÞ¸¶_½Ç¿¹PL " xfId="20957"/>
    <cellStyle name="AÞ¸¶_½C¿¹PL _1031상품손익(채)" xfId="20958"/>
    <cellStyle name="ÄÞ¸¶_¾÷Á¾º° " xfId="20959"/>
    <cellStyle name="AÞ¸¶_¾c½A " xfId="20960"/>
    <cellStyle name="ÄÞ¸¶_1.ÆÇ¸Å½ÇÀû " xfId="20961"/>
    <cellStyle name="AÞ¸¶_1.SUMMARY " xfId="20962"/>
    <cellStyle name="ÄÞ¸¶_1.SUMMARY " xfId="20963"/>
    <cellStyle name="AÞ¸¶_1.SUMMARY  2" xfId="20964"/>
    <cellStyle name="ÄÞ¸¶_1.SUMMARY  2" xfId="20965"/>
    <cellStyle name="AÞ¸¶_11¿a½A " xfId="20966"/>
    <cellStyle name="ÄÞ¸¶_2.CONCEPT " xfId="20967"/>
    <cellStyle name="AÞ¸¶_3.MSCHEDULE¿μ¹R " xfId="20968"/>
    <cellStyle name="ÄÞ¸¶_3PJTR°èÈ¹ " xfId="20969"/>
    <cellStyle name="AÞ¸¶_4 " xfId="20970"/>
    <cellStyle name="ÄÞ¸¶_4 " xfId="20971"/>
    <cellStyle name="AÞ¸¶_4  2" xfId="20972"/>
    <cellStyle name="ÄÞ¸¶_4  2" xfId="20973"/>
    <cellStyle name="AÞ¸¶_6-3°æAi·A " xfId="20974"/>
    <cellStyle name="ÄÞ¸¶_6-3°æÀï·Â " xfId="20975"/>
    <cellStyle name="AÞ¸¶_6-3°æAi·A  2" xfId="20976"/>
    <cellStyle name="ÄÞ¸¶_6-3°æÀï·Â  2" xfId="20977"/>
    <cellStyle name="AÞ¸¶_7.MASTER SCHEDULE " xfId="20978"/>
    <cellStyle name="ÄÞ¸¶_7.MASTER SCHEDULE " xfId="20979"/>
    <cellStyle name="AÞ¸¶_7.MASTER SCHEDULE  2" xfId="20980"/>
    <cellStyle name="ÄÞ¸¶_7.MASTER SCHEDULE  2" xfId="20981"/>
    <cellStyle name="AÞ¸¶_96¾Æ½OBD " xfId="20982"/>
    <cellStyle name="ÄÞ¸¶_Á¦Á¶1ºÎ1°ú ÇöÈ² " xfId="20983"/>
    <cellStyle name="AÞ¸¶_Ac°i°u¸R " xfId="20984"/>
    <cellStyle name="ÄÞ¸¶_ÀÎ¿ø°èÈ¹ " xfId="20985"/>
    <cellStyle name="AÞ¸¶_AN°yº¸°i-Aß°¡Ay°¨ " xfId="20986"/>
    <cellStyle name="ÄÞ¸¶_Áö]¿Ï¼ºÂ÷ " xfId="20987"/>
    <cellStyle name="AÞ¸¶_AoAUAy°eC￥ " xfId="20988"/>
    <cellStyle name="ÄÞ¸¶_ÅõÀÚÁý°èÇ¥ " xfId="20989"/>
    <cellStyle name="AÞ¸¶_AoAUAy°eC￥ _1031상품손익(채)" xfId="20990"/>
    <cellStyle name="ÄÞ¸¶_Ç¥Áö_ÅõÀÚÁý°èÇ¥ " xfId="20991"/>
    <cellStyle name="AÞ¸¶_C￥Ao_AoAUAy°eC￥ _경통외주가공비인상검토" xfId="20992"/>
    <cellStyle name="ÄÞ¸¶_lx-taxi " xfId="20993"/>
    <cellStyle name="AÞ¸¶_M105CDT " xfId="20994"/>
    <cellStyle name="ÄÞ¸¶_MKN-M1.1 " xfId="20995"/>
    <cellStyle name="AÞ¸¶_SAMPLE " xfId="20996"/>
    <cellStyle name="ÄÞ¸¶_SAMPLE " xfId="20997"/>
    <cellStyle name="AÞ¸¶_SAMPLE  2" xfId="20998"/>
    <cellStyle name="ÄÞ¸¶_SAMPLE  2" xfId="20999"/>
    <cellStyle name="AÞ¸¶_Sheet1 (2)_1.SUMMARY " xfId="21000"/>
    <cellStyle name="ÄÞ¸¶_Sheet1 (2)_1.SUMMARY " xfId="21001"/>
    <cellStyle name="AÞ¸¶_Sheet1 (2)_1.SUMMARY  2" xfId="21002"/>
    <cellStyle name="ÄÞ¸¶_Sheet1 (2)_1.SUMMARY  2" xfId="21003"/>
    <cellStyle name="AÞ¸¶_Sheet1_XD AOA¾AIA¤ " xfId="21004"/>
    <cellStyle name="ÄÞ¸¶_Sheet1_XD ÃÖÁ¾ÀÏÁ¤ " xfId="21005"/>
    <cellStyle name="AÞ¸¶_Sheet1_XD AOA¾AIA¤  2" xfId="21006"/>
    <cellStyle name="ÄÞ¸¶_Sheet1_XD ÃÖÁ¾ÀÏÁ¤  2" xfId="21007"/>
    <cellStyle name="AÞ¸¶_SMG-CKD-d1.1 " xfId="21008"/>
    <cellStyle name="ÄÞ¸¶_SMG-CKD-d1.1 " xfId="21009"/>
    <cellStyle name="AÞ¸¶_SMG-CKD-d1.1  2" xfId="21010"/>
    <cellStyle name="ÄÞ¸¶_SMG-CKD-d1.1  2" xfId="21011"/>
    <cellStyle name="AÞ¸¶_SP ¹°μ¿¹× ¿UAO " xfId="21012"/>
    <cellStyle name="AT좲? [0]_?c?A " xfId="21013"/>
    <cellStyle name="AT좲?_?c?A " xfId="21014"/>
    <cellStyle name="_x0001_b" xfId="21015"/>
    <cellStyle name="_x0001_b 2" xfId="21016"/>
    <cellStyle name="Bad 2" xfId="21017"/>
    <cellStyle name="Bad 2 2" xfId="21018"/>
    <cellStyle name="Bad 3" xfId="21019"/>
    <cellStyle name="Bad 3 2" xfId="21020"/>
    <cellStyle name="Bad 3 2 2" xfId="21021"/>
    <cellStyle name="Bad 4" xfId="21022"/>
    <cellStyle name="Bad 5" xfId="21023"/>
    <cellStyle name="Body" xfId="21024"/>
    <cellStyle name="Body 2" xfId="21025"/>
    <cellStyle name="C?AØ_¿?¾÷CoE² " xfId="21026"/>
    <cellStyle name="C¡?A¨ª_?ø¡?AU¨??ø¨?n " xfId="21027"/>
    <cellStyle name="C¡ERERIA￠RER¡ER￠R￠?¡ER￠R¡¿¡ERI_¡ERER¡ER￠R¡¿￠RER¡ER￠R¡¿I¡ER￠R¡¿¡ERI¡ER￠R¡¿IoR5 " xfId="21028"/>
    <cellStyle name="C¡ERIA￠R¡×¡§¡I_¡ER¡§￠R¡§I¡ERAi¡ERicAc¡ER¡§￠Ri " xfId="21029"/>
    <cellStyle name="C¡ÍA¨ª_   " xfId="21030"/>
    <cellStyle name="C¡IA¨ª_¡¾ⓒo¨¡C_`96.9￠?u¨ªC " xfId="21031"/>
    <cellStyle name="C¡ÍA¨ª_©ø¡íAU¨ù©ø¨¬n " xfId="21032"/>
    <cellStyle name="C¡IA¨ª_M105CDT " xfId="21033"/>
    <cellStyle name="C¡ÍA¨ª_M105CDT " xfId="21034"/>
    <cellStyle name="C¡IA¨ª_M105CDT  2" xfId="21035"/>
    <cellStyle name="C¡ÍA¨ª_M105CDT  2" xfId="21036"/>
    <cellStyle name="C¡IA¨ª_M107CDT " xfId="21037"/>
    <cellStyle name="C¡ÍA¨ª_M107CDT " xfId="21038"/>
    <cellStyle name="C¡IA¨ª_M107CDT  2" xfId="21039"/>
    <cellStyle name="C¡ÍA¨ª_M107CDT  2" xfId="21040"/>
    <cellStyle name="C￠RERIA¡ER￠R¡¿￠R¡×￠RI_   " xfId="21041"/>
    <cellStyle name="C￠RIA¡§¨￡_￠R¨¡¨I￠RAi￠RicAc￠R¨¡i " xfId="21042"/>
    <cellStyle name="C￥AØ_  FAB AIA¤  " xfId="21043"/>
    <cellStyle name="Ç¥ÁØ_#5  3A2475 (v2500)" xfId="21044"/>
    <cellStyle name="C￥AØ_¸AAa.¼OAI " xfId="21045"/>
    <cellStyle name="Ç¥ÁØ_¿¬±¸°³¹ßºñ(°èÁ¤º°) " xfId="21046"/>
    <cellStyle name="C￥AØ_¿¹≫e¿aA≫ " xfId="21047"/>
    <cellStyle name="Ç¥ÁØ_¿ù»ý»ê(È®Á¤°è¾à)_1_ÁÖ°£ÀÏÁ¤ " xfId="21048"/>
    <cellStyle name="C￥AØ_¿μ¾÷CoE² " xfId="21049"/>
    <cellStyle name="Ç¥ÁØ_±¹ÆÇ_`96.9¿ùØÇ " xfId="21050"/>
    <cellStyle name="C￥AØ_≫c¾÷ºIº° AN°e " xfId="21051"/>
    <cellStyle name="Ç¥ÁØ_°¡¼Ö¸°ÀÏÁ¤_µðÁ©ÀÏÁ¤ " xfId="21052"/>
    <cellStyle name="C￥AØ_°¡¼O¸°AIA¤_μðAⓒAIA¤ " xfId="21053"/>
    <cellStyle name="Ç¥ÁØ_°³¹ßÀÏÁ¤ " xfId="21054"/>
    <cellStyle name="C￥AØ_°³¹ßAIA¤  (2)_°³¹ßAIA¤ " xfId="21055"/>
    <cellStyle name="Ç¥ÁØ_°³¹ßÀÏÁ¤  (2)_°³¹ßÀÏÁ¤ " xfId="21056"/>
    <cellStyle name="C￥AØ_°³¹ßAIA¤  (2)_°³¹ßAIA¤  2" xfId="21057"/>
    <cellStyle name="Ç¥ÁØ_°³¹ßÀÏÁ¤  (2)_°³¹ßÀÏÁ¤  2" xfId="21058"/>
    <cellStyle name="C￥AØ_°ø¹R5 " xfId="21059"/>
    <cellStyle name="Ç¥ÁØ_°ü¸®Ç¥ " xfId="21060"/>
    <cellStyle name="C￥AØ_°u¸RBS('98) " xfId="21061"/>
    <cellStyle name="Ç¥ÁØ_0N-HANDLING " xfId="21062"/>
    <cellStyle name="C￥AØ_¼±AoAc°i_1_³≫ºI°eE¹´e AßA¤A÷AI " xfId="21063"/>
    <cellStyle name="Ç¥ÁØ_¼ÕÀÍÂ÷ÀÌ ¿øÀÎ " xfId="21064"/>
    <cellStyle name="C￥AØ_½C¿¹PL " xfId="21065"/>
    <cellStyle name="Ç¥ÁØ_¾÷Á¾º° " xfId="21066"/>
    <cellStyle name="C￥AØ_1.ÆC¸A½CAu " xfId="21067"/>
    <cellStyle name="Ç¥ÁØ_1.ÆÇ¸Å½ÇÀû " xfId="21068"/>
    <cellStyle name="C￥AØ_1.SUMMARY " xfId="21069"/>
    <cellStyle name="Ç¥ÁØ_1.SUMMARY " xfId="21070"/>
    <cellStyle name="C￥AØ_1.SUMMARY  2" xfId="21071"/>
    <cellStyle name="Ç¥ÁØ_1.SUMMARY  2" xfId="21072"/>
    <cellStyle name="C￥AØ_1~7¿u ´e¸RA¡ ¸AAa ¼oAO ½CAu_1~8¿u ´e¸RA¡ ¸AAa " xfId="21073"/>
    <cellStyle name="Ç¥ÁØ_12¿ù " xfId="21074"/>
    <cellStyle name="C￥AØ_12AO " xfId="21075"/>
    <cellStyle name="Ç¥ÁØ_3PJTR°èÈ¹ " xfId="21076"/>
    <cellStyle name="C￥AØ_4 " xfId="21077"/>
    <cellStyle name="Ç¥ÁØ_4 " xfId="21078"/>
    <cellStyle name="C￥AØ_4  2" xfId="21079"/>
    <cellStyle name="Ç¥ÁØ_4  2" xfId="21080"/>
    <cellStyle name="C￥AØ_5-1±¤°i " xfId="21081"/>
    <cellStyle name="Ç¥ÁØ_5-1±¤°í " xfId="21082"/>
    <cellStyle name="C￥AØ_5-1±¤°i  2" xfId="21083"/>
    <cellStyle name="Ç¥ÁØ_5-1±¤°í  2" xfId="21084"/>
    <cellStyle name="C￥AØ_5-1±¤°i _6RCB1 " xfId="21085"/>
    <cellStyle name="Ç¥ÁØ_6-3°æÀï·Â " xfId="21086"/>
    <cellStyle name="C￥AØ_7.MASTER SCHEDULE " xfId="21087"/>
    <cellStyle name="Ç¥ÁØ_7.MASTER SCHEDULE " xfId="21088"/>
    <cellStyle name="C￥AØ_7.MASTER SCHEDULE  2" xfId="21089"/>
    <cellStyle name="Ç¥ÁØ_7.MASTER SCHEDULE  2" xfId="21090"/>
    <cellStyle name="C￥AØ_7¿u~12¿u Aa°i ¿¹≫o " xfId="21091"/>
    <cellStyle name="Ç¥ÁØ_96ÀÎ¿ø°è2 " xfId="21092"/>
    <cellStyle name="C￥AØ_96AI¿ø°O 3 " xfId="21093"/>
    <cellStyle name="Ç¥ÁØ_96ÀÎ¿ø°Ô 3 " xfId="21094"/>
    <cellStyle name="C￥AØ_96AI¿ø°O 3  2" xfId="21095"/>
    <cellStyle name="Ç¥ÁØ_96ÀÎ¿ø°Ô 3  2" xfId="21096"/>
    <cellStyle name="C￥AØ_A≪¸Þ¶o °iA¤AU≫e(°³¹ß½C) " xfId="21097"/>
    <cellStyle name="Ç¥ÁØ_Ã·ºÎ2 " xfId="21098"/>
    <cellStyle name="C￥AØ_A³ºÐ¾E " xfId="21099"/>
    <cellStyle name="Ç¥ÁØ_Àç°í°ü¸® " xfId="21100"/>
    <cellStyle name="C￥AØ_Ac°i°u¸R " xfId="21101"/>
    <cellStyle name="Ç¥ÁØ_ÀÏÁ¤°ËÅä¾È" xfId="21102"/>
    <cellStyle name="C￥AØ_ANCO°e " xfId="21103"/>
    <cellStyle name="Ç¥ÁØ_Áö]¿Ï¼ºÂ÷ " xfId="21104"/>
    <cellStyle name="C￥AØ_AoAUAy°eC￥ " xfId="21105"/>
    <cellStyle name="Ç¥ÁØ_ÅõÀÚÁý°èÇ¥ " xfId="21106"/>
    <cellStyle name="C￥AØ_AoAUºn(ºI¼­º°,°eA¤º°) " xfId="21107"/>
    <cellStyle name="Ç¥ÁØ_ÅõÀÚºñ(ºÎ¼­º°,°èÁ¤º°) " xfId="21108"/>
    <cellStyle name="C￥AØ_AoAUºn(ºI¼­º°,°eA¤º°)  2" xfId="21109"/>
    <cellStyle name="Ç¥ÁØ_ÅõÀÚºñ(ºÎ¼­º°,°èÁ¤º°)  2" xfId="21110"/>
    <cellStyle name="C￥AØ_Aß±a≫y≫e°eE¹ " xfId="21111"/>
    <cellStyle name="Ç¥ÁØ_Áý°èÇ¥(2¿ù) " xfId="21112"/>
    <cellStyle name="C￥AØ_CoAo¹yAI °A¾×¿ⓒ½A " xfId="21113"/>
    <cellStyle name="Ç¥ÁØ_ÇùÁ¶Àü_ÅõÀÔ°èÈ¹ " xfId="21114"/>
    <cellStyle name="C￥AØ_lx-taxi " xfId="21115"/>
    <cellStyle name="Ç¥ÁØ_lx-taxi " xfId="21116"/>
    <cellStyle name="C￥AØ_lx-taxi  2" xfId="21117"/>
    <cellStyle name="Ç¥ÁØ_lx-taxi  2" xfId="21118"/>
    <cellStyle name="C￥AØ_MKN-M1.1 " xfId="21119"/>
    <cellStyle name="Ç¥ÁØ_MKN-M1.1 " xfId="21120"/>
    <cellStyle name="C￥AØ_MKN-M1.1  2" xfId="21121"/>
    <cellStyle name="Ç¥ÁØ_MKN-M1.1  2" xfId="21122"/>
    <cellStyle name="C￥AØ_RDTR99ML " xfId="21123"/>
    <cellStyle name="Ç¥ÁØ_RDTR99ML " xfId="21124"/>
    <cellStyle name="C￥AØ_RDTR99ML  2" xfId="21125"/>
    <cellStyle name="Ç¥ÁØ_RDTR99ML  2" xfId="21126"/>
    <cellStyle name="C￥AØ_Sheet1_4PART " xfId="21127"/>
    <cellStyle name="Ç¥ÁØ_SMG-CKD-d1.1 " xfId="21128"/>
    <cellStyle name="C￥AØ_trr-runsheet . full . final " xfId="21129"/>
    <cellStyle name="Ç¥ÁØ_trr-runsheet . full . final " xfId="21130"/>
    <cellStyle name="C￥AØ_WIPER " xfId="21131"/>
    <cellStyle name="Ç¥ÁØ_WIPER " xfId="21132"/>
    <cellStyle name="C￥AØ_WIPER  2" xfId="21133"/>
    <cellStyle name="Ç¥ÁØ_WIPER  2" xfId="21134"/>
    <cellStyle name="C￥AØ_XD AOA¾AIA¤ " xfId="21135"/>
    <cellStyle name="Ç¥ÁØ_XD ÃÖÁ¾ÀÏÁ¤ " xfId="21136"/>
    <cellStyle name="C￥AØ_XD AOA¾AIA¤  2" xfId="21137"/>
    <cellStyle name="Ç¥ÁØ_XD ÃÖÁ¾ÀÏÁ¤  2" xfId="21138"/>
    <cellStyle name="C￥AØ_μðAⓒAIA¤ " xfId="21139"/>
    <cellStyle name="Calc Currency (0)" xfId="21140"/>
    <cellStyle name="Calc Currency (2)" xfId="21141"/>
    <cellStyle name="Calc Percent (0)" xfId="21142"/>
    <cellStyle name="Calc Percent (1)" xfId="21143"/>
    <cellStyle name="Calc Percent (2)" xfId="21144"/>
    <cellStyle name="Calc Units (0)" xfId="21145"/>
    <cellStyle name="Calc Units (1)" xfId="21146"/>
    <cellStyle name="Calc Units (2)" xfId="21147"/>
    <cellStyle name="Calculation 10" xfId="21148"/>
    <cellStyle name="Calculation 10 2" xfId="21149"/>
    <cellStyle name="Calculation 10 2 2" xfId="21150"/>
    <cellStyle name="Calculation 10 2 3" xfId="21151"/>
    <cellStyle name="Calculation 10 2 4" xfId="21152"/>
    <cellStyle name="Calculation 10 3" xfId="21153"/>
    <cellStyle name="Calculation 10 3 2" xfId="21154"/>
    <cellStyle name="Calculation 10 3 3" xfId="21155"/>
    <cellStyle name="Calculation 10 4" xfId="21156"/>
    <cellStyle name="Calculation 10 5" xfId="21157"/>
    <cellStyle name="Calculation 11" xfId="21158"/>
    <cellStyle name="Calculation 11 2" xfId="21159"/>
    <cellStyle name="Calculation 11 2 2" xfId="21160"/>
    <cellStyle name="Calculation 11 2 3" xfId="21161"/>
    <cellStyle name="Calculation 11 2 4" xfId="21162"/>
    <cellStyle name="Calculation 11 3" xfId="21163"/>
    <cellStyle name="Calculation 11 3 2" xfId="21164"/>
    <cellStyle name="Calculation 11 3 3" xfId="21165"/>
    <cellStyle name="Calculation 11 4" xfId="21166"/>
    <cellStyle name="Calculation 11 5" xfId="21167"/>
    <cellStyle name="Calculation 12" xfId="21168"/>
    <cellStyle name="Calculation 12 2" xfId="21169"/>
    <cellStyle name="Calculation 12 2 2" xfId="21170"/>
    <cellStyle name="Calculation 12 2 3" xfId="21171"/>
    <cellStyle name="Calculation 12 3" xfId="21172"/>
    <cellStyle name="Calculation 12 3 2" xfId="21173"/>
    <cellStyle name="Calculation 12 4" xfId="21174"/>
    <cellStyle name="Calculation 12 5" xfId="21175"/>
    <cellStyle name="Calculation 13" xfId="21176"/>
    <cellStyle name="Calculation 13 2" xfId="21177"/>
    <cellStyle name="Calculation 13 2 2" xfId="21178"/>
    <cellStyle name="Calculation 13 2 3" xfId="21179"/>
    <cellStyle name="Calculation 13 3" xfId="21180"/>
    <cellStyle name="Calculation 13 3 2" xfId="21181"/>
    <cellStyle name="Calculation 13 4" xfId="21182"/>
    <cellStyle name="Calculation 13 5" xfId="21183"/>
    <cellStyle name="Calculation 14" xfId="21184"/>
    <cellStyle name="Calculation 14 2" xfId="21185"/>
    <cellStyle name="Calculation 14 3" xfId="21186"/>
    <cellStyle name="Calculation 15" xfId="21187"/>
    <cellStyle name="Calculation 16" xfId="21188"/>
    <cellStyle name="Calculation 17" xfId="21189"/>
    <cellStyle name="Calculation 2" xfId="21190"/>
    <cellStyle name="Calculation 2 10" xfId="21191"/>
    <cellStyle name="Calculation 2 10 2" xfId="21192"/>
    <cellStyle name="Calculation 2 10 2 2" xfId="21193"/>
    <cellStyle name="Calculation 2 10 2 3" xfId="21194"/>
    <cellStyle name="Calculation 2 10 3" xfId="21195"/>
    <cellStyle name="Calculation 2 10 3 2" xfId="21196"/>
    <cellStyle name="Calculation 2 10 4" xfId="21197"/>
    <cellStyle name="Calculation 2 11" xfId="21198"/>
    <cellStyle name="Calculation 2 11 2" xfId="21199"/>
    <cellStyle name="Calculation 2 11 2 2" xfId="21200"/>
    <cellStyle name="Calculation 2 11 2 3" xfId="21201"/>
    <cellStyle name="Calculation 2 11 3" xfId="21202"/>
    <cellStyle name="Calculation 2 11 3 2" xfId="21203"/>
    <cellStyle name="Calculation 2 11 4" xfId="21204"/>
    <cellStyle name="Calculation 2 12" xfId="21205"/>
    <cellStyle name="Calculation 2 12 2" xfId="21206"/>
    <cellStyle name="Calculation 2 12 3" xfId="21207"/>
    <cellStyle name="Calculation 2 13" xfId="21208"/>
    <cellStyle name="Calculation 2 14" xfId="21209"/>
    <cellStyle name="Calculation 2 15" xfId="21210"/>
    <cellStyle name="Calculation 2 2" xfId="21211"/>
    <cellStyle name="Calculation 2 2 10" xfId="21212"/>
    <cellStyle name="Calculation 2 2 10 2" xfId="21213"/>
    <cellStyle name="Calculation 2 2 10 2 2" xfId="21214"/>
    <cellStyle name="Calculation 2 2 10 2 3" xfId="21215"/>
    <cellStyle name="Calculation 2 2 10 3" xfId="21216"/>
    <cellStyle name="Calculation 2 2 10 3 2" xfId="21217"/>
    <cellStyle name="Calculation 2 2 10 4" xfId="21218"/>
    <cellStyle name="Calculation 2 2 11" xfId="21219"/>
    <cellStyle name="Calculation 2 2 11 2" xfId="21220"/>
    <cellStyle name="Calculation 2 2 11 3" xfId="21221"/>
    <cellStyle name="Calculation 2 2 12" xfId="21222"/>
    <cellStyle name="Calculation 2 2 13" xfId="21223"/>
    <cellStyle name="Calculation 2 2 14" xfId="21224"/>
    <cellStyle name="Calculation 2 2 2" xfId="21225"/>
    <cellStyle name="Calculation 2 2 2 2" xfId="21226"/>
    <cellStyle name="Calculation 2 2 2 2 2" xfId="21227"/>
    <cellStyle name="Calculation 2 2 2 2 3" xfId="21228"/>
    <cellStyle name="Calculation 2 2 2 3" xfId="21229"/>
    <cellStyle name="Calculation 2 2 2 3 2" xfId="21230"/>
    <cellStyle name="Calculation 2 2 2 4" xfId="21231"/>
    <cellStyle name="Calculation 2 2 3" xfId="21232"/>
    <cellStyle name="Calculation 2 2 3 2" xfId="21233"/>
    <cellStyle name="Calculation 2 2 3 2 2" xfId="21234"/>
    <cellStyle name="Calculation 2 2 3 2 3" xfId="21235"/>
    <cellStyle name="Calculation 2 2 3 3" xfId="21236"/>
    <cellStyle name="Calculation 2 2 3 3 2" xfId="21237"/>
    <cellStyle name="Calculation 2 2 3 4" xfId="21238"/>
    <cellStyle name="Calculation 2 2 4" xfId="21239"/>
    <cellStyle name="Calculation 2 2 4 2" xfId="21240"/>
    <cellStyle name="Calculation 2 2 4 2 2" xfId="21241"/>
    <cellStyle name="Calculation 2 2 4 2 3" xfId="21242"/>
    <cellStyle name="Calculation 2 2 4 3" xfId="21243"/>
    <cellStyle name="Calculation 2 2 4 3 2" xfId="21244"/>
    <cellStyle name="Calculation 2 2 4 4" xfId="21245"/>
    <cellStyle name="Calculation 2 2 5" xfId="21246"/>
    <cellStyle name="Calculation 2 2 5 2" xfId="21247"/>
    <cellStyle name="Calculation 2 2 5 2 2" xfId="21248"/>
    <cellStyle name="Calculation 2 2 5 2 3" xfId="21249"/>
    <cellStyle name="Calculation 2 2 5 3" xfId="21250"/>
    <cellStyle name="Calculation 2 2 5 3 2" xfId="21251"/>
    <cellStyle name="Calculation 2 2 5 4" xfId="21252"/>
    <cellStyle name="Calculation 2 2 6" xfId="21253"/>
    <cellStyle name="Calculation 2 2 6 2" xfId="21254"/>
    <cellStyle name="Calculation 2 2 6 2 2" xfId="21255"/>
    <cellStyle name="Calculation 2 2 6 2 3" xfId="21256"/>
    <cellStyle name="Calculation 2 2 6 3" xfId="21257"/>
    <cellStyle name="Calculation 2 2 6 3 2" xfId="21258"/>
    <cellStyle name="Calculation 2 2 6 4" xfId="21259"/>
    <cellStyle name="Calculation 2 2 7" xfId="21260"/>
    <cellStyle name="Calculation 2 2 7 2" xfId="21261"/>
    <cellStyle name="Calculation 2 2 7 2 2" xfId="21262"/>
    <cellStyle name="Calculation 2 2 7 2 3" xfId="21263"/>
    <cellStyle name="Calculation 2 2 7 3" xfId="21264"/>
    <cellStyle name="Calculation 2 2 7 3 2" xfId="21265"/>
    <cellStyle name="Calculation 2 2 7 4" xfId="21266"/>
    <cellStyle name="Calculation 2 2 8" xfId="21267"/>
    <cellStyle name="Calculation 2 2 8 2" xfId="21268"/>
    <cellStyle name="Calculation 2 2 8 2 2" xfId="21269"/>
    <cellStyle name="Calculation 2 2 8 2 3" xfId="21270"/>
    <cellStyle name="Calculation 2 2 8 3" xfId="21271"/>
    <cellStyle name="Calculation 2 2 8 3 2" xfId="21272"/>
    <cellStyle name="Calculation 2 2 8 4" xfId="21273"/>
    <cellStyle name="Calculation 2 2 9" xfId="21274"/>
    <cellStyle name="Calculation 2 2 9 2" xfId="21275"/>
    <cellStyle name="Calculation 2 2 9 2 2" xfId="21276"/>
    <cellStyle name="Calculation 2 2 9 2 3" xfId="21277"/>
    <cellStyle name="Calculation 2 2 9 3" xfId="21278"/>
    <cellStyle name="Calculation 2 2 9 3 2" xfId="21279"/>
    <cellStyle name="Calculation 2 2 9 4" xfId="21280"/>
    <cellStyle name="Calculation 2 3" xfId="21281"/>
    <cellStyle name="Calculation 2 3 2" xfId="21282"/>
    <cellStyle name="Calculation 2 3 2 2" xfId="21283"/>
    <cellStyle name="Calculation 2 3 2 3" xfId="21284"/>
    <cellStyle name="Calculation 2 3 3" xfId="21285"/>
    <cellStyle name="Calculation 2 3 3 2" xfId="21286"/>
    <cellStyle name="Calculation 2 3 4" xfId="21287"/>
    <cellStyle name="Calculation 2 4" xfId="21288"/>
    <cellStyle name="Calculation 2 4 2" xfId="21289"/>
    <cellStyle name="Calculation 2 4 2 2" xfId="21290"/>
    <cellStyle name="Calculation 2 4 2 3" xfId="21291"/>
    <cellStyle name="Calculation 2 4 3" xfId="21292"/>
    <cellStyle name="Calculation 2 4 3 2" xfId="21293"/>
    <cellStyle name="Calculation 2 4 4" xfId="21294"/>
    <cellStyle name="Calculation 2 5" xfId="21295"/>
    <cellStyle name="Calculation 2 5 2" xfId="21296"/>
    <cellStyle name="Calculation 2 5 2 2" xfId="21297"/>
    <cellStyle name="Calculation 2 5 2 3" xfId="21298"/>
    <cellStyle name="Calculation 2 5 3" xfId="21299"/>
    <cellStyle name="Calculation 2 5 3 2" xfId="21300"/>
    <cellStyle name="Calculation 2 5 4" xfId="21301"/>
    <cellStyle name="Calculation 2 6" xfId="21302"/>
    <cellStyle name="Calculation 2 6 2" xfId="21303"/>
    <cellStyle name="Calculation 2 6 2 2" xfId="21304"/>
    <cellStyle name="Calculation 2 6 2 3" xfId="21305"/>
    <cellStyle name="Calculation 2 6 3" xfId="21306"/>
    <cellStyle name="Calculation 2 6 3 2" xfId="21307"/>
    <cellStyle name="Calculation 2 6 4" xfId="21308"/>
    <cellStyle name="Calculation 2 7" xfId="21309"/>
    <cellStyle name="Calculation 2 7 2" xfId="21310"/>
    <cellStyle name="Calculation 2 7 2 2" xfId="21311"/>
    <cellStyle name="Calculation 2 7 2 3" xfId="21312"/>
    <cellStyle name="Calculation 2 7 3" xfId="21313"/>
    <cellStyle name="Calculation 2 7 3 2" xfId="21314"/>
    <cellStyle name="Calculation 2 7 4" xfId="21315"/>
    <cellStyle name="Calculation 2 8" xfId="21316"/>
    <cellStyle name="Calculation 2 8 2" xfId="21317"/>
    <cellStyle name="Calculation 2 8 2 2" xfId="21318"/>
    <cellStyle name="Calculation 2 8 2 3" xfId="21319"/>
    <cellStyle name="Calculation 2 8 3" xfId="21320"/>
    <cellStyle name="Calculation 2 8 3 2" xfId="21321"/>
    <cellStyle name="Calculation 2 8 4" xfId="21322"/>
    <cellStyle name="Calculation 2 9" xfId="21323"/>
    <cellStyle name="Calculation 2 9 2" xfId="21324"/>
    <cellStyle name="Calculation 2 9 2 2" xfId="21325"/>
    <cellStyle name="Calculation 2 9 2 3" xfId="21326"/>
    <cellStyle name="Calculation 2 9 3" xfId="21327"/>
    <cellStyle name="Calculation 2 9 3 2" xfId="21328"/>
    <cellStyle name="Calculation 2 9 4" xfId="21329"/>
    <cellStyle name="Calculation 3" xfId="21330"/>
    <cellStyle name="Calculation 3 10" xfId="21331"/>
    <cellStyle name="Calculation 3 10 2" xfId="21332"/>
    <cellStyle name="Calculation 3 10 2 2" xfId="21333"/>
    <cellStyle name="Calculation 3 10 2 3" xfId="21334"/>
    <cellStyle name="Calculation 3 10 3" xfId="21335"/>
    <cellStyle name="Calculation 3 10 3 2" xfId="21336"/>
    <cellStyle name="Calculation 3 10 4" xfId="21337"/>
    <cellStyle name="Calculation 3 10 5" xfId="21338"/>
    <cellStyle name="Calculation 3 10 6" xfId="21339"/>
    <cellStyle name="Calculation 3 11" xfId="21340"/>
    <cellStyle name="Calculation 3 11 2" xfId="21341"/>
    <cellStyle name="Calculation 3 11 2 2" xfId="21342"/>
    <cellStyle name="Calculation 3 11 2 3" xfId="21343"/>
    <cellStyle name="Calculation 3 11 3" xfId="21344"/>
    <cellStyle name="Calculation 3 11 3 2" xfId="21345"/>
    <cellStyle name="Calculation 3 11 4" xfId="21346"/>
    <cellStyle name="Calculation 3 11 5" xfId="21347"/>
    <cellStyle name="Calculation 3 11 6" xfId="21348"/>
    <cellStyle name="Calculation 3 12" xfId="21349"/>
    <cellStyle name="Calculation 3 12 2" xfId="21350"/>
    <cellStyle name="Calculation 3 12 2 2" xfId="21351"/>
    <cellStyle name="Calculation 3 12 3" xfId="21352"/>
    <cellStyle name="Calculation 3 12 4" xfId="21353"/>
    <cellStyle name="Calculation 3 13" xfId="21354"/>
    <cellStyle name="Calculation 3 13 2" xfId="21355"/>
    <cellStyle name="Calculation 3 14" xfId="21356"/>
    <cellStyle name="Calculation 3 15" xfId="21357"/>
    <cellStyle name="Calculation 3 16" xfId="21358"/>
    <cellStyle name="Calculation 3 2" xfId="21359"/>
    <cellStyle name="Calculation 3 2 10" xfId="21360"/>
    <cellStyle name="Calculation 3 2 10 2" xfId="21361"/>
    <cellStyle name="Calculation 3 2 10 2 2" xfId="21362"/>
    <cellStyle name="Calculation 3 2 10 2 3" xfId="21363"/>
    <cellStyle name="Calculation 3 2 10 3" xfId="21364"/>
    <cellStyle name="Calculation 3 2 10 3 2" xfId="21365"/>
    <cellStyle name="Calculation 3 2 10 4" xfId="21366"/>
    <cellStyle name="Calculation 3 2 10 5" xfId="21367"/>
    <cellStyle name="Calculation 3 2 10 6" xfId="21368"/>
    <cellStyle name="Calculation 3 2 11" xfId="21369"/>
    <cellStyle name="Calculation 3 2 11 2" xfId="21370"/>
    <cellStyle name="Calculation 3 2 11 2 2" xfId="21371"/>
    <cellStyle name="Calculation 3 2 11 3" xfId="21372"/>
    <cellStyle name="Calculation 3 2 11 4" xfId="21373"/>
    <cellStyle name="Calculation 3 2 12" xfId="21374"/>
    <cellStyle name="Calculation 3 2 12 2" xfId="21375"/>
    <cellStyle name="Calculation 3 2 13" xfId="21376"/>
    <cellStyle name="Calculation 3 2 14" xfId="21377"/>
    <cellStyle name="Calculation 3 2 15" xfId="21378"/>
    <cellStyle name="Calculation 3 2 2" xfId="21379"/>
    <cellStyle name="Calculation 3 2 2 2" xfId="21380"/>
    <cellStyle name="Calculation 3 2 2 2 2" xfId="21381"/>
    <cellStyle name="Calculation 3 2 2 2 3" xfId="21382"/>
    <cellStyle name="Calculation 3 2 2 3" xfId="21383"/>
    <cellStyle name="Calculation 3 2 2 3 2" xfId="21384"/>
    <cellStyle name="Calculation 3 2 2 4" xfId="21385"/>
    <cellStyle name="Calculation 3 2 2 5" xfId="21386"/>
    <cellStyle name="Calculation 3 2 2 6" xfId="21387"/>
    <cellStyle name="Calculation 3 2 3" xfId="21388"/>
    <cellStyle name="Calculation 3 2 3 2" xfId="21389"/>
    <cellStyle name="Calculation 3 2 3 2 2" xfId="21390"/>
    <cellStyle name="Calculation 3 2 3 2 3" xfId="21391"/>
    <cellStyle name="Calculation 3 2 3 3" xfId="21392"/>
    <cellStyle name="Calculation 3 2 3 3 2" xfId="21393"/>
    <cellStyle name="Calculation 3 2 3 4" xfId="21394"/>
    <cellStyle name="Calculation 3 2 3 5" xfId="21395"/>
    <cellStyle name="Calculation 3 2 3 6" xfId="21396"/>
    <cellStyle name="Calculation 3 2 4" xfId="21397"/>
    <cellStyle name="Calculation 3 2 4 2" xfId="21398"/>
    <cellStyle name="Calculation 3 2 4 2 2" xfId="21399"/>
    <cellStyle name="Calculation 3 2 4 2 3" xfId="21400"/>
    <cellStyle name="Calculation 3 2 4 3" xfId="21401"/>
    <cellStyle name="Calculation 3 2 4 3 2" xfId="21402"/>
    <cellStyle name="Calculation 3 2 4 4" xfId="21403"/>
    <cellStyle name="Calculation 3 2 4 5" xfId="21404"/>
    <cellStyle name="Calculation 3 2 4 6" xfId="21405"/>
    <cellStyle name="Calculation 3 2 5" xfId="21406"/>
    <cellStyle name="Calculation 3 2 5 2" xfId="21407"/>
    <cellStyle name="Calculation 3 2 5 2 2" xfId="21408"/>
    <cellStyle name="Calculation 3 2 5 2 3" xfId="21409"/>
    <cellStyle name="Calculation 3 2 5 3" xfId="21410"/>
    <cellStyle name="Calculation 3 2 5 3 2" xfId="21411"/>
    <cellStyle name="Calculation 3 2 5 4" xfId="21412"/>
    <cellStyle name="Calculation 3 2 5 5" xfId="21413"/>
    <cellStyle name="Calculation 3 2 5 6" xfId="21414"/>
    <cellStyle name="Calculation 3 2 6" xfId="21415"/>
    <cellStyle name="Calculation 3 2 6 2" xfId="21416"/>
    <cellStyle name="Calculation 3 2 6 2 2" xfId="21417"/>
    <cellStyle name="Calculation 3 2 6 2 3" xfId="21418"/>
    <cellStyle name="Calculation 3 2 6 3" xfId="21419"/>
    <cellStyle name="Calculation 3 2 6 3 2" xfId="21420"/>
    <cellStyle name="Calculation 3 2 6 4" xfId="21421"/>
    <cellStyle name="Calculation 3 2 6 5" xfId="21422"/>
    <cellStyle name="Calculation 3 2 6 6" xfId="21423"/>
    <cellStyle name="Calculation 3 2 7" xfId="21424"/>
    <cellStyle name="Calculation 3 2 7 2" xfId="21425"/>
    <cellStyle name="Calculation 3 2 7 2 2" xfId="21426"/>
    <cellStyle name="Calculation 3 2 7 2 3" xfId="21427"/>
    <cellStyle name="Calculation 3 2 7 3" xfId="21428"/>
    <cellStyle name="Calculation 3 2 7 3 2" xfId="21429"/>
    <cellStyle name="Calculation 3 2 7 4" xfId="21430"/>
    <cellStyle name="Calculation 3 2 7 5" xfId="21431"/>
    <cellStyle name="Calculation 3 2 7 6" xfId="21432"/>
    <cellStyle name="Calculation 3 2 8" xfId="21433"/>
    <cellStyle name="Calculation 3 2 8 2" xfId="21434"/>
    <cellStyle name="Calculation 3 2 8 2 2" xfId="21435"/>
    <cellStyle name="Calculation 3 2 8 2 3" xfId="21436"/>
    <cellStyle name="Calculation 3 2 8 3" xfId="21437"/>
    <cellStyle name="Calculation 3 2 8 3 2" xfId="21438"/>
    <cellStyle name="Calculation 3 2 8 4" xfId="21439"/>
    <cellStyle name="Calculation 3 2 8 5" xfId="21440"/>
    <cellStyle name="Calculation 3 2 8 6" xfId="21441"/>
    <cellStyle name="Calculation 3 2 9" xfId="21442"/>
    <cellStyle name="Calculation 3 2 9 2" xfId="21443"/>
    <cellStyle name="Calculation 3 2 9 2 2" xfId="21444"/>
    <cellStyle name="Calculation 3 2 9 2 3" xfId="21445"/>
    <cellStyle name="Calculation 3 2 9 3" xfId="21446"/>
    <cellStyle name="Calculation 3 2 9 3 2" xfId="21447"/>
    <cellStyle name="Calculation 3 2 9 4" xfId="21448"/>
    <cellStyle name="Calculation 3 2 9 5" xfId="21449"/>
    <cellStyle name="Calculation 3 2 9 6" xfId="21450"/>
    <cellStyle name="Calculation 3 3" xfId="21451"/>
    <cellStyle name="Calculation 3 3 2" xfId="21452"/>
    <cellStyle name="Calculation 3 3 2 2" xfId="21453"/>
    <cellStyle name="Calculation 3 3 2 3" xfId="21454"/>
    <cellStyle name="Calculation 3 3 3" xfId="21455"/>
    <cellStyle name="Calculation 3 3 3 2" xfId="21456"/>
    <cellStyle name="Calculation 3 3 4" xfId="21457"/>
    <cellStyle name="Calculation 3 3 5" xfId="21458"/>
    <cellStyle name="Calculation 3 3 6" xfId="21459"/>
    <cellStyle name="Calculation 3 4" xfId="21460"/>
    <cellStyle name="Calculation 3 4 2" xfId="21461"/>
    <cellStyle name="Calculation 3 4 2 2" xfId="21462"/>
    <cellStyle name="Calculation 3 4 2 3" xfId="21463"/>
    <cellStyle name="Calculation 3 4 3" xfId="21464"/>
    <cellStyle name="Calculation 3 4 3 2" xfId="21465"/>
    <cellStyle name="Calculation 3 4 4" xfId="21466"/>
    <cellStyle name="Calculation 3 4 5" xfId="21467"/>
    <cellStyle name="Calculation 3 4 6" xfId="21468"/>
    <cellStyle name="Calculation 3 5" xfId="21469"/>
    <cellStyle name="Calculation 3 5 2" xfId="21470"/>
    <cellStyle name="Calculation 3 5 2 2" xfId="21471"/>
    <cellStyle name="Calculation 3 5 2 3" xfId="21472"/>
    <cellStyle name="Calculation 3 5 3" xfId="21473"/>
    <cellStyle name="Calculation 3 5 3 2" xfId="21474"/>
    <cellStyle name="Calculation 3 5 4" xfId="21475"/>
    <cellStyle name="Calculation 3 5 5" xfId="21476"/>
    <cellStyle name="Calculation 3 5 6" xfId="21477"/>
    <cellStyle name="Calculation 3 6" xfId="21478"/>
    <cellStyle name="Calculation 3 6 2" xfId="21479"/>
    <cellStyle name="Calculation 3 6 2 2" xfId="21480"/>
    <cellStyle name="Calculation 3 6 2 3" xfId="21481"/>
    <cellStyle name="Calculation 3 6 3" xfId="21482"/>
    <cellStyle name="Calculation 3 6 3 2" xfId="21483"/>
    <cellStyle name="Calculation 3 6 4" xfId="21484"/>
    <cellStyle name="Calculation 3 6 5" xfId="21485"/>
    <cellStyle name="Calculation 3 6 6" xfId="21486"/>
    <cellStyle name="Calculation 3 7" xfId="21487"/>
    <cellStyle name="Calculation 3 7 2" xfId="21488"/>
    <cellStyle name="Calculation 3 7 2 2" xfId="21489"/>
    <cellStyle name="Calculation 3 7 2 3" xfId="21490"/>
    <cellStyle name="Calculation 3 7 3" xfId="21491"/>
    <cellStyle name="Calculation 3 7 3 2" xfId="21492"/>
    <cellStyle name="Calculation 3 7 4" xfId="21493"/>
    <cellStyle name="Calculation 3 7 5" xfId="21494"/>
    <cellStyle name="Calculation 3 7 6" xfId="21495"/>
    <cellStyle name="Calculation 3 8" xfId="21496"/>
    <cellStyle name="Calculation 3 8 2" xfId="21497"/>
    <cellStyle name="Calculation 3 8 2 2" xfId="21498"/>
    <cellStyle name="Calculation 3 8 2 3" xfId="21499"/>
    <cellStyle name="Calculation 3 8 3" xfId="21500"/>
    <cellStyle name="Calculation 3 8 3 2" xfId="21501"/>
    <cellStyle name="Calculation 3 8 4" xfId="21502"/>
    <cellStyle name="Calculation 3 8 5" xfId="21503"/>
    <cellStyle name="Calculation 3 8 6" xfId="21504"/>
    <cellStyle name="Calculation 3 9" xfId="21505"/>
    <cellStyle name="Calculation 3 9 2" xfId="21506"/>
    <cellStyle name="Calculation 3 9 2 2" xfId="21507"/>
    <cellStyle name="Calculation 3 9 2 3" xfId="21508"/>
    <cellStyle name="Calculation 3 9 3" xfId="21509"/>
    <cellStyle name="Calculation 3 9 3 2" xfId="21510"/>
    <cellStyle name="Calculation 3 9 4" xfId="21511"/>
    <cellStyle name="Calculation 3 9 5" xfId="21512"/>
    <cellStyle name="Calculation 3 9 6" xfId="21513"/>
    <cellStyle name="Calculation 4" xfId="21514"/>
    <cellStyle name="Calculation 4 10" xfId="21515"/>
    <cellStyle name="Calculation 4 10 2" xfId="21516"/>
    <cellStyle name="Calculation 4 10 2 2" xfId="21517"/>
    <cellStyle name="Calculation 4 10 2 3" xfId="21518"/>
    <cellStyle name="Calculation 4 10 3" xfId="21519"/>
    <cellStyle name="Calculation 4 10 3 2" xfId="21520"/>
    <cellStyle name="Calculation 4 10 4" xfId="21521"/>
    <cellStyle name="Calculation 4 11" xfId="21522"/>
    <cellStyle name="Calculation 4 11 2" xfId="21523"/>
    <cellStyle name="Calculation 4 11 3" xfId="21524"/>
    <cellStyle name="Calculation 4 12" xfId="21525"/>
    <cellStyle name="Calculation 4 13" xfId="21526"/>
    <cellStyle name="Calculation 4 14" xfId="21527"/>
    <cellStyle name="Calculation 4 2" xfId="21528"/>
    <cellStyle name="Calculation 4 2 2" xfId="21529"/>
    <cellStyle name="Calculation 4 2 2 2" xfId="21530"/>
    <cellStyle name="Calculation 4 2 2 3" xfId="21531"/>
    <cellStyle name="Calculation 4 2 3" xfId="21532"/>
    <cellStyle name="Calculation 4 2 3 2" xfId="21533"/>
    <cellStyle name="Calculation 4 2 4" xfId="21534"/>
    <cellStyle name="Calculation 4 2 5" xfId="21535"/>
    <cellStyle name="Calculation 4 3" xfId="21536"/>
    <cellStyle name="Calculation 4 3 2" xfId="21537"/>
    <cellStyle name="Calculation 4 3 2 2" xfId="21538"/>
    <cellStyle name="Calculation 4 3 2 3" xfId="21539"/>
    <cellStyle name="Calculation 4 3 3" xfId="21540"/>
    <cellStyle name="Calculation 4 3 3 2" xfId="21541"/>
    <cellStyle name="Calculation 4 3 4" xfId="21542"/>
    <cellStyle name="Calculation 4 4" xfId="21543"/>
    <cellStyle name="Calculation 4 4 2" xfId="21544"/>
    <cellStyle name="Calculation 4 4 2 2" xfId="21545"/>
    <cellStyle name="Calculation 4 4 2 3" xfId="21546"/>
    <cellStyle name="Calculation 4 4 3" xfId="21547"/>
    <cellStyle name="Calculation 4 4 3 2" xfId="21548"/>
    <cellStyle name="Calculation 4 4 4" xfId="21549"/>
    <cellStyle name="Calculation 4 5" xfId="21550"/>
    <cellStyle name="Calculation 4 5 2" xfId="21551"/>
    <cellStyle name="Calculation 4 5 2 2" xfId="21552"/>
    <cellStyle name="Calculation 4 5 2 3" xfId="21553"/>
    <cellStyle name="Calculation 4 5 3" xfId="21554"/>
    <cellStyle name="Calculation 4 5 3 2" xfId="21555"/>
    <cellStyle name="Calculation 4 5 4" xfId="21556"/>
    <cellStyle name="Calculation 4 6" xfId="21557"/>
    <cellStyle name="Calculation 4 6 2" xfId="21558"/>
    <cellStyle name="Calculation 4 6 2 2" xfId="21559"/>
    <cellStyle name="Calculation 4 6 2 3" xfId="21560"/>
    <cellStyle name="Calculation 4 6 3" xfId="21561"/>
    <cellStyle name="Calculation 4 6 3 2" xfId="21562"/>
    <cellStyle name="Calculation 4 6 4" xfId="21563"/>
    <cellStyle name="Calculation 4 7" xfId="21564"/>
    <cellStyle name="Calculation 4 7 2" xfId="21565"/>
    <cellStyle name="Calculation 4 7 2 2" xfId="21566"/>
    <cellStyle name="Calculation 4 7 2 3" xfId="21567"/>
    <cellStyle name="Calculation 4 7 3" xfId="21568"/>
    <cellStyle name="Calculation 4 7 3 2" xfId="21569"/>
    <cellStyle name="Calculation 4 7 4" xfId="21570"/>
    <cellStyle name="Calculation 4 8" xfId="21571"/>
    <cellStyle name="Calculation 4 8 2" xfId="21572"/>
    <cellStyle name="Calculation 4 8 2 2" xfId="21573"/>
    <cellStyle name="Calculation 4 8 2 3" xfId="21574"/>
    <cellStyle name="Calculation 4 8 3" xfId="21575"/>
    <cellStyle name="Calculation 4 8 3 2" xfId="21576"/>
    <cellStyle name="Calculation 4 8 4" xfId="21577"/>
    <cellStyle name="Calculation 4 9" xfId="21578"/>
    <cellStyle name="Calculation 4 9 2" xfId="21579"/>
    <cellStyle name="Calculation 4 9 2 2" xfId="21580"/>
    <cellStyle name="Calculation 4 9 2 3" xfId="21581"/>
    <cellStyle name="Calculation 4 9 3" xfId="21582"/>
    <cellStyle name="Calculation 4 9 3 2" xfId="21583"/>
    <cellStyle name="Calculation 4 9 4" xfId="21584"/>
    <cellStyle name="Calculation 5" xfId="21585"/>
    <cellStyle name="Calculation 5 2" xfId="21586"/>
    <cellStyle name="Calculation 5 2 2" xfId="21587"/>
    <cellStyle name="Calculation 5 2 3" xfId="21588"/>
    <cellStyle name="Calculation 5 2 4" xfId="21589"/>
    <cellStyle name="Calculation 5 3" xfId="21590"/>
    <cellStyle name="Calculation 5 3 2" xfId="21591"/>
    <cellStyle name="Calculation 5 4" xfId="21592"/>
    <cellStyle name="Calculation 5 5" xfId="21593"/>
    <cellStyle name="Calculation 6" xfId="21594"/>
    <cellStyle name="Calculation 6 2" xfId="21595"/>
    <cellStyle name="Calculation 6 2 2" xfId="21596"/>
    <cellStyle name="Calculation 6 2 3" xfId="21597"/>
    <cellStyle name="Calculation 6 2 4" xfId="21598"/>
    <cellStyle name="Calculation 6 3" xfId="21599"/>
    <cellStyle name="Calculation 6 3 2" xfId="21600"/>
    <cellStyle name="Calculation 6 3 3" xfId="21601"/>
    <cellStyle name="Calculation 6 4" xfId="21602"/>
    <cellStyle name="Calculation 6 5" xfId="21603"/>
    <cellStyle name="Calculation 7" xfId="21604"/>
    <cellStyle name="Calculation 7 2" xfId="21605"/>
    <cellStyle name="Calculation 7 2 2" xfId="21606"/>
    <cellStyle name="Calculation 7 2 3" xfId="21607"/>
    <cellStyle name="Calculation 7 2 4" xfId="21608"/>
    <cellStyle name="Calculation 7 3" xfId="21609"/>
    <cellStyle name="Calculation 7 3 2" xfId="21610"/>
    <cellStyle name="Calculation 7 3 3" xfId="21611"/>
    <cellStyle name="Calculation 7 4" xfId="21612"/>
    <cellStyle name="Calculation 7 5" xfId="21613"/>
    <cellStyle name="Calculation 8" xfId="21614"/>
    <cellStyle name="Calculation 8 2" xfId="21615"/>
    <cellStyle name="Calculation 8 2 2" xfId="21616"/>
    <cellStyle name="Calculation 8 2 3" xfId="21617"/>
    <cellStyle name="Calculation 8 2 4" xfId="21618"/>
    <cellStyle name="Calculation 8 3" xfId="21619"/>
    <cellStyle name="Calculation 8 3 2" xfId="21620"/>
    <cellStyle name="Calculation 8 3 3" xfId="21621"/>
    <cellStyle name="Calculation 8 4" xfId="21622"/>
    <cellStyle name="Calculation 8 5" xfId="21623"/>
    <cellStyle name="Calculation 9" xfId="21624"/>
    <cellStyle name="Calculation 9 2" xfId="21625"/>
    <cellStyle name="Calculation 9 2 2" xfId="21626"/>
    <cellStyle name="Calculation 9 2 3" xfId="21627"/>
    <cellStyle name="Calculation 9 2 4" xfId="21628"/>
    <cellStyle name="Calculation 9 3" xfId="21629"/>
    <cellStyle name="Calculation 9 3 2" xfId="21630"/>
    <cellStyle name="Calculation 9 3 3" xfId="21631"/>
    <cellStyle name="Calculation 9 4" xfId="21632"/>
    <cellStyle name="Calculation 9 5" xfId="21633"/>
    <cellStyle name="category" xfId="21634"/>
    <cellStyle name="category 2" xfId="21635"/>
    <cellStyle name="Check Cell 2" xfId="21636"/>
    <cellStyle name="Check Cell 2 2" xfId="21637"/>
    <cellStyle name="Check Cell 2 3" xfId="21638"/>
    <cellStyle name="Check Cell 3" xfId="21639"/>
    <cellStyle name="Check Cell 3 2" xfId="21640"/>
    <cellStyle name="Check Cell 3 2 2" xfId="21641"/>
    <cellStyle name="Check Cell 4" xfId="21642"/>
    <cellStyle name="Check Cell 5" xfId="21643"/>
    <cellStyle name="CIAI¡ER￠R¡¿￠RERU¡ERE¡ER¨I¡ⓒ¡ERIiA¡ER￠R¡¿I" xfId="21644"/>
    <cellStyle name="ⓒoe¨￢¨￠Aⓒ÷_AIAIC¡ÆAuCoEⓒ÷ " xfId="21645"/>
    <cellStyle name="Comma  - Style1" xfId="21646"/>
    <cellStyle name="Comma  - Style2" xfId="21647"/>
    <cellStyle name="Comma  - Style3" xfId="21648"/>
    <cellStyle name="Comma  - Style4" xfId="21649"/>
    <cellStyle name="Comma  - Style5" xfId="21650"/>
    <cellStyle name="Comma  - Style6" xfId="21651"/>
    <cellStyle name="Comma  - Style7" xfId="21652"/>
    <cellStyle name="Comma  - Style8" xfId="21653"/>
    <cellStyle name="Comma [0] 2" xfId="21654"/>
    <cellStyle name="Comma [00]" xfId="21655"/>
    <cellStyle name="Comma 2" xfId="21656"/>
    <cellStyle name="comma zerodec" xfId="21657"/>
    <cellStyle name="Comma0" xfId="21658"/>
    <cellStyle name="Comme [0]_laroux_3_수주계획(SMD) " xfId="21659"/>
    <cellStyle name="Currency [0] 2" xfId="21660"/>
    <cellStyle name="Currency [00]" xfId="21661"/>
    <cellStyle name="Currency0" xfId="21662"/>
    <cellStyle name="Currency1" xfId="21663"/>
    <cellStyle name="Currency1 2" xfId="21664"/>
    <cellStyle name="custom" xfId="21665"/>
    <cellStyle name="C줔AO_  FAB AIA?  " xfId="21666"/>
    <cellStyle name="Date" xfId="21667"/>
    <cellStyle name="Date 2" xfId="21668"/>
    <cellStyle name="Date Short" xfId="21669"/>
    <cellStyle name="Date:dd.mm.yyyy" xfId="21670"/>
    <cellStyle name="Date_PJT원가정리 " xfId="21671"/>
    <cellStyle name="days" xfId="21672"/>
    <cellStyle name="DELTA" xfId="21673"/>
    <cellStyle name="Dollar (zero dec)" xfId="21674"/>
    <cellStyle name="dz_lbsouy`TA622KA" xfId="21675"/>
    <cellStyle name="Emphasis 1" xfId="21676"/>
    <cellStyle name="Emphasis 2" xfId="21677"/>
    <cellStyle name="Emphasis 3" xfId="21678"/>
    <cellStyle name="endz_lbsouy`6_622k" xfId="21679"/>
    <cellStyle name="Enter Currency (0)" xfId="21680"/>
    <cellStyle name="Enter Currency (2)" xfId="21681"/>
    <cellStyle name="Enter Units (0)" xfId="21682"/>
    <cellStyle name="Enter Units (1)" xfId="21683"/>
    <cellStyle name="Enter Units (2)" xfId="21684"/>
    <cellStyle name="entry" xfId="21685"/>
    <cellStyle name="Euro" xfId="21686"/>
    <cellStyle name="Excel Built-in Normal" xfId="21687"/>
    <cellStyle name="Excel Built-in Normal 1" xfId="21688"/>
    <cellStyle name="Excel Built-in Normal 1 2" xfId="21689"/>
    <cellStyle name="Excel Built-in Normal 2" xfId="21690"/>
    <cellStyle name="Excel Built-in Normal 2 2" xfId="21691"/>
    <cellStyle name="Excel Built-in Normal 3" xfId="21692"/>
    <cellStyle name="Excel Built-in Normal 3 2" xfId="21693"/>
    <cellStyle name="Excel Built-in Normal 4" xfId="21694"/>
    <cellStyle name="Explanatory Text 2" xfId="21695"/>
    <cellStyle name="Explanatory Text 2 2" xfId="21696"/>
    <cellStyle name="Explanatory Text 3" xfId="21697"/>
    <cellStyle name="Explanatory Text 3 2" xfId="21698"/>
    <cellStyle name="Explanatory Text 3 2 2" xfId="21699"/>
    <cellStyle name="Explanatory Text 4" xfId="21700"/>
    <cellStyle name="F2" xfId="21701"/>
    <cellStyle name="F3" xfId="21702"/>
    <cellStyle name="F4" xfId="21703"/>
    <cellStyle name="F5" xfId="21704"/>
    <cellStyle name="F6" xfId="21705"/>
    <cellStyle name="F7" xfId="21706"/>
    <cellStyle name="F8" xfId="21707"/>
    <cellStyle name="Fixed" xfId="21708"/>
    <cellStyle name="Fixed 2" xfId="21709"/>
    <cellStyle name="Followed Hyperlink_RESULTS" xfId="21710"/>
    <cellStyle name="G95-181" xfId="21711"/>
    <cellStyle name="Good 2" xfId="21712"/>
    <cellStyle name="Good 2 2" xfId="21713"/>
    <cellStyle name="Good 3" xfId="21714"/>
    <cellStyle name="Good 3 2" xfId="21715"/>
    <cellStyle name="Good 3 2 2" xfId="21716"/>
    <cellStyle name="Good 4" xfId="21717"/>
    <cellStyle name="Good 5" xfId="21718"/>
    <cellStyle name="Grey" xfId="21719"/>
    <cellStyle name="HEADER" xfId="21720"/>
    <cellStyle name="HEADER 2" xfId="21721"/>
    <cellStyle name="Header1" xfId="21722"/>
    <cellStyle name="Header1 2" xfId="21723"/>
    <cellStyle name="Header2" xfId="21724"/>
    <cellStyle name="Header2 2" xfId="21725"/>
    <cellStyle name="Header2 2 2" xfId="21726"/>
    <cellStyle name="Header2 2 2 2" xfId="21727"/>
    <cellStyle name="Header2 2 3" xfId="21728"/>
    <cellStyle name="Header2 2 3 2" xfId="21729"/>
    <cellStyle name="Header2 2 3 3" xfId="21730"/>
    <cellStyle name="Header2 2 4" xfId="21731"/>
    <cellStyle name="Header2 2 4 2" xfId="21732"/>
    <cellStyle name="Header2 2 4 3" xfId="21733"/>
    <cellStyle name="Header2 2 5" xfId="21734"/>
    <cellStyle name="Header2 2 5 2" xfId="21735"/>
    <cellStyle name="Header2 2 6" xfId="21736"/>
    <cellStyle name="Header2 2 6 2" xfId="21737"/>
    <cellStyle name="Header2 2 6 3" xfId="21738"/>
    <cellStyle name="Header2 2 7" xfId="21739"/>
    <cellStyle name="Header2 2 8" xfId="21740"/>
    <cellStyle name="Header2 3" xfId="21741"/>
    <cellStyle name="Header2 3 2" xfId="21742"/>
    <cellStyle name="Header2 4" xfId="21743"/>
    <cellStyle name="Header2 4 2" xfId="21744"/>
    <cellStyle name="Header2 4 3" xfId="21745"/>
    <cellStyle name="Header2 5" xfId="21746"/>
    <cellStyle name="Header2 5 2" xfId="21747"/>
    <cellStyle name="Header2 5 3" xfId="21748"/>
    <cellStyle name="Header2 6" xfId="21749"/>
    <cellStyle name="Header2 6 2" xfId="21750"/>
    <cellStyle name="Header2 7" xfId="21751"/>
    <cellStyle name="Header2 7 2" xfId="21752"/>
    <cellStyle name="Header2 7 3" xfId="21753"/>
    <cellStyle name="Header2 8" xfId="21754"/>
    <cellStyle name="Header2 9" xfId="21755"/>
    <cellStyle name="Heading 1 2" xfId="21756"/>
    <cellStyle name="Heading 1 2 2" xfId="21757"/>
    <cellStyle name="Heading 1 3" xfId="21758"/>
    <cellStyle name="Heading 1 3 2" xfId="21759"/>
    <cellStyle name="Heading 1 3 2 2" xfId="21760"/>
    <cellStyle name="Heading 1 4" xfId="21761"/>
    <cellStyle name="Heading 1 5" xfId="21762"/>
    <cellStyle name="Heading 2 2" xfId="21763"/>
    <cellStyle name="Heading 2 2 2" xfId="21764"/>
    <cellStyle name="Heading 2 3" xfId="21765"/>
    <cellStyle name="Heading 2 3 2" xfId="21766"/>
    <cellStyle name="Heading 2 3 2 2" xfId="21767"/>
    <cellStyle name="Heading 2 4" xfId="21768"/>
    <cellStyle name="Heading 2 5" xfId="21769"/>
    <cellStyle name="Heading 3 10" xfId="21770"/>
    <cellStyle name="Heading 3 2" xfId="21771"/>
    <cellStyle name="Heading 3 2 2" xfId="21772"/>
    <cellStyle name="Heading 3 2 2 2" xfId="21773"/>
    <cellStyle name="Heading 3 2 3" xfId="21774"/>
    <cellStyle name="Heading 3 3" xfId="21775"/>
    <cellStyle name="Heading 3 3 2" xfId="21776"/>
    <cellStyle name="Heading 3 3 2 2" xfId="21777"/>
    <cellStyle name="Heading 3 3 2 3" xfId="21778"/>
    <cellStyle name="Heading 3 3 3" xfId="21779"/>
    <cellStyle name="Heading 3 4" xfId="21780"/>
    <cellStyle name="Heading 3 4 2" xfId="21781"/>
    <cellStyle name="Heading 3 4 3" xfId="21782"/>
    <cellStyle name="Heading 3 5" xfId="21783"/>
    <cellStyle name="Heading 3 5 2" xfId="21784"/>
    <cellStyle name="Heading 3 6" xfId="21785"/>
    <cellStyle name="Heading 3 6 2" xfId="21786"/>
    <cellStyle name="Heading 3 7" xfId="21787"/>
    <cellStyle name="Heading 3 7 2" xfId="21788"/>
    <cellStyle name="Heading 3 8" xfId="21789"/>
    <cellStyle name="Heading 3 8 2" xfId="21790"/>
    <cellStyle name="Heading 3 9" xfId="21791"/>
    <cellStyle name="Heading 3 9 2" xfId="21792"/>
    <cellStyle name="Heading 4 2" xfId="21793"/>
    <cellStyle name="Heading 4 2 2" xfId="21794"/>
    <cellStyle name="Heading 4 3" xfId="21795"/>
    <cellStyle name="Heading 4 3 2" xfId="21796"/>
    <cellStyle name="Heading 4 3 2 2" xfId="21797"/>
    <cellStyle name="Heading 4 4" xfId="21798"/>
    <cellStyle name="Heading 4 5" xfId="21799"/>
    <cellStyle name="Heading1" xfId="21800"/>
    <cellStyle name="Heading1 2" xfId="21801"/>
    <cellStyle name="Heading2" xfId="21802"/>
    <cellStyle name="Heading2 2" xfId="21803"/>
    <cellStyle name="_x0001_H_x0001_H_x0001_H_x0001_H_x0001_" xfId="21804"/>
    <cellStyle name="_x0001_H_x0001_H_x0001_H_x0001_H_x0001_H_x0001_H_x0001_H_x0001_H_x0001_H_x0001_" xfId="21805"/>
    <cellStyle name="_x0001_H_x0001_H_x0001_H_x0001_H_x0001_H_x0001_H_x0001_H_x0001_H_x0001_H_x0001_H_x0001_H_x0001_H_x0001_H_x0001_H_x0001_" xfId="21806"/>
    <cellStyle name="_x0001_H_x0001_H_x0001_H_x0001_H_x0001_H_x0001_H_x0001_H_x0001_H_x0001_H_x0001_H_x0001_H_x0001_H_x0001_H_x0001_H_x0001_H_x0001_H_x0001_H_x0001_H_x0001_H_x0001_" xfId="21807"/>
    <cellStyle name="_x0001_H_x0001_H_x0001_H_x0001_H_x0001_H_x0001_H_x0001_H_x0001_H_x0001_H_x0001_H_x0001_H_x0001_H_x0001_H_x0001_H_x0001_H_x0001_H_x0001_H_x0001_H_x0001_H_x0001_H_x0001_H_x0001_H_x0001_H_x0001_H_x0001_H_x0001_H_x0001_" xfId="21808"/>
    <cellStyle name="_x0001_H_x0001_H_x0001_H_x0001_H_x0001_H_x0001_H_x0001_H_x0001_H_x0001_H_x0001_H_x0001_H_x0001_H_x0001_H_x0001_H_x0001_H_x0001_H_x0001_H_x0001_H_x0001_H_x0001_H_x0001_H_x0001_H_x0001_H_x0001_H_x0001_H_x0001_H_x0001_H_x0001_H_x0001_H_x0001_H_x0001_H_x0001_" xfId="21809"/>
    <cellStyle name="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_x0001_H" xfId="21810"/>
    <cellStyle name="Hide Errors" xfId="21811"/>
    <cellStyle name="HIGHLIGHT" xfId="21812"/>
    <cellStyle name="holiday" xfId="21813"/>
    <cellStyle name="Hyperlink" xfId="2" builtinId="8"/>
    <cellStyle name="I±?_TO_x000c_?" xfId="21814"/>
    <cellStyle name="iles|_x0005_h" xfId="21815"/>
    <cellStyle name="iles|_x0005_h 2" xfId="21816"/>
    <cellStyle name="Input [yellow]" xfId="21817"/>
    <cellStyle name="Input [yellow] 2" xfId="21818"/>
    <cellStyle name="Input [yellow] 2 2" xfId="21819"/>
    <cellStyle name="Input [yellow] 2 2 2" xfId="21820"/>
    <cellStyle name="Input [yellow] 2 3" xfId="21821"/>
    <cellStyle name="Input [yellow] 2 3 2" xfId="21822"/>
    <cellStyle name="Input [yellow] 2 4" xfId="21823"/>
    <cellStyle name="Input [yellow] 2 4 2" xfId="21824"/>
    <cellStyle name="Input [yellow] 2 5" xfId="21825"/>
    <cellStyle name="Input [yellow] 2 5 2" xfId="21826"/>
    <cellStyle name="Input [yellow] 2 5 3" xfId="21827"/>
    <cellStyle name="Input [yellow] 2 6" xfId="21828"/>
    <cellStyle name="Input [yellow] 2 7" xfId="21829"/>
    <cellStyle name="Input [yellow] 3" xfId="21830"/>
    <cellStyle name="Input [yellow] 3 2" xfId="21831"/>
    <cellStyle name="Input [yellow] 4" xfId="21832"/>
    <cellStyle name="Input [yellow] 4 2" xfId="21833"/>
    <cellStyle name="Input [yellow] 5" xfId="21834"/>
    <cellStyle name="Input [yellow] 5 2" xfId="21835"/>
    <cellStyle name="Input [yellow] 6" xfId="21836"/>
    <cellStyle name="Input [yellow] 6 2" xfId="21837"/>
    <cellStyle name="Input [yellow] 6 3" xfId="21838"/>
    <cellStyle name="Input [yellow] 7" xfId="21839"/>
    <cellStyle name="Input [yellow] 8" xfId="21840"/>
    <cellStyle name="Input 10" xfId="21841"/>
    <cellStyle name="Input 10 2" xfId="21842"/>
    <cellStyle name="Input 10 2 2" xfId="21843"/>
    <cellStyle name="Input 10 2 3" xfId="21844"/>
    <cellStyle name="Input 10 2 4" xfId="21845"/>
    <cellStyle name="Input 10 3" xfId="21846"/>
    <cellStyle name="Input 10 3 2" xfId="21847"/>
    <cellStyle name="Input 10 3 3" xfId="21848"/>
    <cellStyle name="Input 10 4" xfId="21849"/>
    <cellStyle name="Input 10 5" xfId="21850"/>
    <cellStyle name="Input 11" xfId="21851"/>
    <cellStyle name="Input 11 2" xfId="21852"/>
    <cellStyle name="Input 11 2 2" xfId="21853"/>
    <cellStyle name="Input 11 2 3" xfId="21854"/>
    <cellStyle name="Input 11 2 4" xfId="21855"/>
    <cellStyle name="Input 11 3" xfId="21856"/>
    <cellStyle name="Input 11 3 2" xfId="21857"/>
    <cellStyle name="Input 11 3 3" xfId="21858"/>
    <cellStyle name="Input 11 4" xfId="21859"/>
    <cellStyle name="Input 11 5" xfId="21860"/>
    <cellStyle name="Input 12" xfId="21861"/>
    <cellStyle name="Input 12 2" xfId="21862"/>
    <cellStyle name="Input 12 2 2" xfId="21863"/>
    <cellStyle name="Input 12 2 3" xfId="21864"/>
    <cellStyle name="Input 12 3" xfId="21865"/>
    <cellStyle name="Input 12 3 2" xfId="21866"/>
    <cellStyle name="Input 12 4" xfId="21867"/>
    <cellStyle name="Input 12 5" xfId="21868"/>
    <cellStyle name="Input 13" xfId="21869"/>
    <cellStyle name="Input 13 2" xfId="21870"/>
    <cellStyle name="Input 13 2 2" xfId="21871"/>
    <cellStyle name="Input 13 2 3" xfId="21872"/>
    <cellStyle name="Input 13 3" xfId="21873"/>
    <cellStyle name="Input 13 3 2" xfId="21874"/>
    <cellStyle name="Input 13 4" xfId="21875"/>
    <cellStyle name="Input 13 5" xfId="21876"/>
    <cellStyle name="Input 14" xfId="21877"/>
    <cellStyle name="Input 14 2" xfId="21878"/>
    <cellStyle name="Input 14 3" xfId="21879"/>
    <cellStyle name="Input 14 4" xfId="21880"/>
    <cellStyle name="Input 15" xfId="21881"/>
    <cellStyle name="Input 16" xfId="21882"/>
    <cellStyle name="Input 17" xfId="21883"/>
    <cellStyle name="Input 18" xfId="21884"/>
    <cellStyle name="Input 19" xfId="21885"/>
    <cellStyle name="Input 2" xfId="21886"/>
    <cellStyle name="Input 2 10" xfId="21887"/>
    <cellStyle name="Input 2 10 2" xfId="21888"/>
    <cellStyle name="Input 2 10 2 2" xfId="21889"/>
    <cellStyle name="Input 2 10 2 3" xfId="21890"/>
    <cellStyle name="Input 2 10 3" xfId="21891"/>
    <cellStyle name="Input 2 10 3 2" xfId="21892"/>
    <cellStyle name="Input 2 10 4" xfId="21893"/>
    <cellStyle name="Input 2 11" xfId="21894"/>
    <cellStyle name="Input 2 11 2" xfId="21895"/>
    <cellStyle name="Input 2 11 2 2" xfId="21896"/>
    <cellStyle name="Input 2 11 2 3" xfId="21897"/>
    <cellStyle name="Input 2 11 3" xfId="21898"/>
    <cellStyle name="Input 2 11 3 2" xfId="21899"/>
    <cellStyle name="Input 2 11 4" xfId="21900"/>
    <cellStyle name="Input 2 12" xfId="21901"/>
    <cellStyle name="Input 2 12 2" xfId="21902"/>
    <cellStyle name="Input 2 12 3" xfId="21903"/>
    <cellStyle name="Input 2 13" xfId="21904"/>
    <cellStyle name="Input 2 14" xfId="21905"/>
    <cellStyle name="Input 2 15" xfId="21906"/>
    <cellStyle name="Input 2 2" xfId="21907"/>
    <cellStyle name="Input 2 2 10" xfId="21908"/>
    <cellStyle name="Input 2 2 10 2" xfId="21909"/>
    <cellStyle name="Input 2 2 10 2 2" xfId="21910"/>
    <cellStyle name="Input 2 2 10 2 3" xfId="21911"/>
    <cellStyle name="Input 2 2 10 3" xfId="21912"/>
    <cellStyle name="Input 2 2 10 3 2" xfId="21913"/>
    <cellStyle name="Input 2 2 10 4" xfId="21914"/>
    <cellStyle name="Input 2 2 11" xfId="21915"/>
    <cellStyle name="Input 2 2 11 2" xfId="21916"/>
    <cellStyle name="Input 2 2 11 3" xfId="21917"/>
    <cellStyle name="Input 2 2 12" xfId="21918"/>
    <cellStyle name="Input 2 2 13" xfId="21919"/>
    <cellStyle name="Input 2 2 14" xfId="21920"/>
    <cellStyle name="Input 2 2 2" xfId="21921"/>
    <cellStyle name="Input 2 2 2 2" xfId="21922"/>
    <cellStyle name="Input 2 2 2 2 2" xfId="21923"/>
    <cellStyle name="Input 2 2 2 2 3" xfId="21924"/>
    <cellStyle name="Input 2 2 2 3" xfId="21925"/>
    <cellStyle name="Input 2 2 2 3 2" xfId="21926"/>
    <cellStyle name="Input 2 2 2 4" xfId="21927"/>
    <cellStyle name="Input 2 2 3" xfId="21928"/>
    <cellStyle name="Input 2 2 3 2" xfId="21929"/>
    <cellStyle name="Input 2 2 3 2 2" xfId="21930"/>
    <cellStyle name="Input 2 2 3 2 3" xfId="21931"/>
    <cellStyle name="Input 2 2 3 3" xfId="21932"/>
    <cellStyle name="Input 2 2 3 3 2" xfId="21933"/>
    <cellStyle name="Input 2 2 3 4" xfId="21934"/>
    <cellStyle name="Input 2 2 4" xfId="21935"/>
    <cellStyle name="Input 2 2 4 2" xfId="21936"/>
    <cellStyle name="Input 2 2 4 2 2" xfId="21937"/>
    <cellStyle name="Input 2 2 4 2 3" xfId="21938"/>
    <cellStyle name="Input 2 2 4 3" xfId="21939"/>
    <cellStyle name="Input 2 2 4 3 2" xfId="21940"/>
    <cellStyle name="Input 2 2 4 4" xfId="21941"/>
    <cellStyle name="Input 2 2 5" xfId="21942"/>
    <cellStyle name="Input 2 2 5 2" xfId="21943"/>
    <cellStyle name="Input 2 2 5 2 2" xfId="21944"/>
    <cellStyle name="Input 2 2 5 2 3" xfId="21945"/>
    <cellStyle name="Input 2 2 5 3" xfId="21946"/>
    <cellStyle name="Input 2 2 5 3 2" xfId="21947"/>
    <cellStyle name="Input 2 2 5 4" xfId="21948"/>
    <cellStyle name="Input 2 2 6" xfId="21949"/>
    <cellStyle name="Input 2 2 6 2" xfId="21950"/>
    <cellStyle name="Input 2 2 6 2 2" xfId="21951"/>
    <cellStyle name="Input 2 2 6 2 3" xfId="21952"/>
    <cellStyle name="Input 2 2 6 3" xfId="21953"/>
    <cellStyle name="Input 2 2 6 3 2" xfId="21954"/>
    <cellStyle name="Input 2 2 6 4" xfId="21955"/>
    <cellStyle name="Input 2 2 7" xfId="21956"/>
    <cellStyle name="Input 2 2 7 2" xfId="21957"/>
    <cellStyle name="Input 2 2 7 2 2" xfId="21958"/>
    <cellStyle name="Input 2 2 7 2 3" xfId="21959"/>
    <cellStyle name="Input 2 2 7 3" xfId="21960"/>
    <cellStyle name="Input 2 2 7 3 2" xfId="21961"/>
    <cellStyle name="Input 2 2 7 4" xfId="21962"/>
    <cellStyle name="Input 2 2 8" xfId="21963"/>
    <cellStyle name="Input 2 2 8 2" xfId="21964"/>
    <cellStyle name="Input 2 2 8 2 2" xfId="21965"/>
    <cellStyle name="Input 2 2 8 2 3" xfId="21966"/>
    <cellStyle name="Input 2 2 8 3" xfId="21967"/>
    <cellStyle name="Input 2 2 8 3 2" xfId="21968"/>
    <cellStyle name="Input 2 2 8 4" xfId="21969"/>
    <cellStyle name="Input 2 2 9" xfId="21970"/>
    <cellStyle name="Input 2 2 9 2" xfId="21971"/>
    <cellStyle name="Input 2 2 9 2 2" xfId="21972"/>
    <cellStyle name="Input 2 2 9 2 3" xfId="21973"/>
    <cellStyle name="Input 2 2 9 3" xfId="21974"/>
    <cellStyle name="Input 2 2 9 3 2" xfId="21975"/>
    <cellStyle name="Input 2 2 9 4" xfId="21976"/>
    <cellStyle name="Input 2 3" xfId="21977"/>
    <cellStyle name="Input 2 3 2" xfId="21978"/>
    <cellStyle name="Input 2 3 2 2" xfId="21979"/>
    <cellStyle name="Input 2 3 2 3" xfId="21980"/>
    <cellStyle name="Input 2 3 3" xfId="21981"/>
    <cellStyle name="Input 2 3 3 2" xfId="21982"/>
    <cellStyle name="Input 2 3 4" xfId="21983"/>
    <cellStyle name="Input 2 4" xfId="21984"/>
    <cellStyle name="Input 2 4 2" xfId="21985"/>
    <cellStyle name="Input 2 4 2 2" xfId="21986"/>
    <cellStyle name="Input 2 4 2 3" xfId="21987"/>
    <cellStyle name="Input 2 4 3" xfId="21988"/>
    <cellStyle name="Input 2 4 3 2" xfId="21989"/>
    <cellStyle name="Input 2 4 4" xfId="21990"/>
    <cellStyle name="Input 2 5" xfId="21991"/>
    <cellStyle name="Input 2 5 2" xfId="21992"/>
    <cellStyle name="Input 2 5 2 2" xfId="21993"/>
    <cellStyle name="Input 2 5 2 3" xfId="21994"/>
    <cellStyle name="Input 2 5 3" xfId="21995"/>
    <cellStyle name="Input 2 5 3 2" xfId="21996"/>
    <cellStyle name="Input 2 5 4" xfId="21997"/>
    <cellStyle name="Input 2 6" xfId="21998"/>
    <cellStyle name="Input 2 6 2" xfId="21999"/>
    <cellStyle name="Input 2 6 2 2" xfId="22000"/>
    <cellStyle name="Input 2 6 2 3" xfId="22001"/>
    <cellStyle name="Input 2 6 3" xfId="22002"/>
    <cellStyle name="Input 2 6 3 2" xfId="22003"/>
    <cellStyle name="Input 2 6 4" xfId="22004"/>
    <cellStyle name="Input 2 7" xfId="22005"/>
    <cellStyle name="Input 2 7 2" xfId="22006"/>
    <cellStyle name="Input 2 7 2 2" xfId="22007"/>
    <cellStyle name="Input 2 7 2 3" xfId="22008"/>
    <cellStyle name="Input 2 7 3" xfId="22009"/>
    <cellStyle name="Input 2 7 3 2" xfId="22010"/>
    <cellStyle name="Input 2 7 4" xfId="22011"/>
    <cellStyle name="Input 2 8" xfId="22012"/>
    <cellStyle name="Input 2 8 2" xfId="22013"/>
    <cellStyle name="Input 2 8 2 2" xfId="22014"/>
    <cellStyle name="Input 2 8 2 3" xfId="22015"/>
    <cellStyle name="Input 2 8 3" xfId="22016"/>
    <cellStyle name="Input 2 8 3 2" xfId="22017"/>
    <cellStyle name="Input 2 8 4" xfId="22018"/>
    <cellStyle name="Input 2 9" xfId="22019"/>
    <cellStyle name="Input 2 9 2" xfId="22020"/>
    <cellStyle name="Input 2 9 2 2" xfId="22021"/>
    <cellStyle name="Input 2 9 2 3" xfId="22022"/>
    <cellStyle name="Input 2 9 3" xfId="22023"/>
    <cellStyle name="Input 2 9 3 2" xfId="22024"/>
    <cellStyle name="Input 2 9 4" xfId="22025"/>
    <cellStyle name="Input 20" xfId="22026"/>
    <cellStyle name="Input 21" xfId="22027"/>
    <cellStyle name="Input 22" xfId="22028"/>
    <cellStyle name="Input 23" xfId="22029"/>
    <cellStyle name="Input 24" xfId="22030"/>
    <cellStyle name="Input 25" xfId="22031"/>
    <cellStyle name="Input 26" xfId="22032"/>
    <cellStyle name="Input 27" xfId="22033"/>
    <cellStyle name="Input 28" xfId="22034"/>
    <cellStyle name="Input 29" xfId="22035"/>
    <cellStyle name="Input 3" xfId="22036"/>
    <cellStyle name="Input 3 10" xfId="22037"/>
    <cellStyle name="Input 3 10 2" xfId="22038"/>
    <cellStyle name="Input 3 10 2 2" xfId="22039"/>
    <cellStyle name="Input 3 10 2 3" xfId="22040"/>
    <cellStyle name="Input 3 10 3" xfId="22041"/>
    <cellStyle name="Input 3 10 3 2" xfId="22042"/>
    <cellStyle name="Input 3 10 4" xfId="22043"/>
    <cellStyle name="Input 3 10 5" xfId="22044"/>
    <cellStyle name="Input 3 10 6" xfId="22045"/>
    <cellStyle name="Input 3 11" xfId="22046"/>
    <cellStyle name="Input 3 11 2" xfId="22047"/>
    <cellStyle name="Input 3 11 2 2" xfId="22048"/>
    <cellStyle name="Input 3 11 2 3" xfId="22049"/>
    <cellStyle name="Input 3 11 3" xfId="22050"/>
    <cellStyle name="Input 3 11 3 2" xfId="22051"/>
    <cellStyle name="Input 3 11 4" xfId="22052"/>
    <cellStyle name="Input 3 11 5" xfId="22053"/>
    <cellStyle name="Input 3 11 6" xfId="22054"/>
    <cellStyle name="Input 3 12" xfId="22055"/>
    <cellStyle name="Input 3 12 2" xfId="22056"/>
    <cellStyle name="Input 3 12 2 2" xfId="22057"/>
    <cellStyle name="Input 3 12 3" xfId="22058"/>
    <cellStyle name="Input 3 12 4" xfId="22059"/>
    <cellStyle name="Input 3 13" xfId="22060"/>
    <cellStyle name="Input 3 13 2" xfId="22061"/>
    <cellStyle name="Input 3 14" xfId="22062"/>
    <cellStyle name="Input 3 15" xfId="22063"/>
    <cellStyle name="Input 3 16" xfId="22064"/>
    <cellStyle name="Input 3 2" xfId="22065"/>
    <cellStyle name="Input 3 2 10" xfId="22066"/>
    <cellStyle name="Input 3 2 10 2" xfId="22067"/>
    <cellStyle name="Input 3 2 10 2 2" xfId="22068"/>
    <cellStyle name="Input 3 2 10 2 3" xfId="22069"/>
    <cellStyle name="Input 3 2 10 3" xfId="22070"/>
    <cellStyle name="Input 3 2 10 3 2" xfId="22071"/>
    <cellStyle name="Input 3 2 10 4" xfId="22072"/>
    <cellStyle name="Input 3 2 10 5" xfId="22073"/>
    <cellStyle name="Input 3 2 10 6" xfId="22074"/>
    <cellStyle name="Input 3 2 11" xfId="22075"/>
    <cellStyle name="Input 3 2 11 2" xfId="22076"/>
    <cellStyle name="Input 3 2 11 2 2" xfId="22077"/>
    <cellStyle name="Input 3 2 11 3" xfId="22078"/>
    <cellStyle name="Input 3 2 11 4" xfId="22079"/>
    <cellStyle name="Input 3 2 12" xfId="22080"/>
    <cellStyle name="Input 3 2 12 2" xfId="22081"/>
    <cellStyle name="Input 3 2 13" xfId="22082"/>
    <cellStyle name="Input 3 2 14" xfId="22083"/>
    <cellStyle name="Input 3 2 15" xfId="22084"/>
    <cellStyle name="Input 3 2 2" xfId="22085"/>
    <cellStyle name="Input 3 2 2 2" xfId="22086"/>
    <cellStyle name="Input 3 2 2 2 2" xfId="22087"/>
    <cellStyle name="Input 3 2 2 2 3" xfId="22088"/>
    <cellStyle name="Input 3 2 2 3" xfId="22089"/>
    <cellStyle name="Input 3 2 2 3 2" xfId="22090"/>
    <cellStyle name="Input 3 2 2 4" xfId="22091"/>
    <cellStyle name="Input 3 2 2 5" xfId="22092"/>
    <cellStyle name="Input 3 2 2 6" xfId="22093"/>
    <cellStyle name="Input 3 2 3" xfId="22094"/>
    <cellStyle name="Input 3 2 3 2" xfId="22095"/>
    <cellStyle name="Input 3 2 3 2 2" xfId="22096"/>
    <cellStyle name="Input 3 2 3 2 3" xfId="22097"/>
    <cellStyle name="Input 3 2 3 3" xfId="22098"/>
    <cellStyle name="Input 3 2 3 3 2" xfId="22099"/>
    <cellStyle name="Input 3 2 3 4" xfId="22100"/>
    <cellStyle name="Input 3 2 3 5" xfId="22101"/>
    <cellStyle name="Input 3 2 3 6" xfId="22102"/>
    <cellStyle name="Input 3 2 4" xfId="22103"/>
    <cellStyle name="Input 3 2 4 2" xfId="22104"/>
    <cellStyle name="Input 3 2 4 2 2" xfId="22105"/>
    <cellStyle name="Input 3 2 4 2 3" xfId="22106"/>
    <cellStyle name="Input 3 2 4 3" xfId="22107"/>
    <cellStyle name="Input 3 2 4 3 2" xfId="22108"/>
    <cellStyle name="Input 3 2 4 4" xfId="22109"/>
    <cellStyle name="Input 3 2 4 5" xfId="22110"/>
    <cellStyle name="Input 3 2 4 6" xfId="22111"/>
    <cellStyle name="Input 3 2 5" xfId="22112"/>
    <cellStyle name="Input 3 2 5 2" xfId="22113"/>
    <cellStyle name="Input 3 2 5 2 2" xfId="22114"/>
    <cellStyle name="Input 3 2 5 2 3" xfId="22115"/>
    <cellStyle name="Input 3 2 5 3" xfId="22116"/>
    <cellStyle name="Input 3 2 5 3 2" xfId="22117"/>
    <cellStyle name="Input 3 2 5 4" xfId="22118"/>
    <cellStyle name="Input 3 2 5 5" xfId="22119"/>
    <cellStyle name="Input 3 2 5 6" xfId="22120"/>
    <cellStyle name="Input 3 2 6" xfId="22121"/>
    <cellStyle name="Input 3 2 6 2" xfId="22122"/>
    <cellStyle name="Input 3 2 6 2 2" xfId="22123"/>
    <cellStyle name="Input 3 2 6 2 3" xfId="22124"/>
    <cellStyle name="Input 3 2 6 3" xfId="22125"/>
    <cellStyle name="Input 3 2 6 3 2" xfId="22126"/>
    <cellStyle name="Input 3 2 6 4" xfId="22127"/>
    <cellStyle name="Input 3 2 6 5" xfId="22128"/>
    <cellStyle name="Input 3 2 6 6" xfId="22129"/>
    <cellStyle name="Input 3 2 7" xfId="22130"/>
    <cellStyle name="Input 3 2 7 2" xfId="22131"/>
    <cellStyle name="Input 3 2 7 2 2" xfId="22132"/>
    <cellStyle name="Input 3 2 7 2 3" xfId="22133"/>
    <cellStyle name="Input 3 2 7 3" xfId="22134"/>
    <cellStyle name="Input 3 2 7 3 2" xfId="22135"/>
    <cellStyle name="Input 3 2 7 4" xfId="22136"/>
    <cellStyle name="Input 3 2 7 5" xfId="22137"/>
    <cellStyle name="Input 3 2 7 6" xfId="22138"/>
    <cellStyle name="Input 3 2 8" xfId="22139"/>
    <cellStyle name="Input 3 2 8 2" xfId="22140"/>
    <cellStyle name="Input 3 2 8 2 2" xfId="22141"/>
    <cellStyle name="Input 3 2 8 2 3" xfId="22142"/>
    <cellStyle name="Input 3 2 8 3" xfId="22143"/>
    <cellStyle name="Input 3 2 8 3 2" xfId="22144"/>
    <cellStyle name="Input 3 2 8 4" xfId="22145"/>
    <cellStyle name="Input 3 2 8 5" xfId="22146"/>
    <cellStyle name="Input 3 2 8 6" xfId="22147"/>
    <cellStyle name="Input 3 2 9" xfId="22148"/>
    <cellStyle name="Input 3 2 9 2" xfId="22149"/>
    <cellStyle name="Input 3 2 9 2 2" xfId="22150"/>
    <cellStyle name="Input 3 2 9 2 3" xfId="22151"/>
    <cellStyle name="Input 3 2 9 3" xfId="22152"/>
    <cellStyle name="Input 3 2 9 3 2" xfId="22153"/>
    <cellStyle name="Input 3 2 9 4" xfId="22154"/>
    <cellStyle name="Input 3 2 9 5" xfId="22155"/>
    <cellStyle name="Input 3 2 9 6" xfId="22156"/>
    <cellStyle name="Input 3 3" xfId="22157"/>
    <cellStyle name="Input 3 3 2" xfId="22158"/>
    <cellStyle name="Input 3 3 2 2" xfId="22159"/>
    <cellStyle name="Input 3 3 2 3" xfId="22160"/>
    <cellStyle name="Input 3 3 3" xfId="22161"/>
    <cellStyle name="Input 3 3 3 2" xfId="22162"/>
    <cellStyle name="Input 3 3 4" xfId="22163"/>
    <cellStyle name="Input 3 3 5" xfId="22164"/>
    <cellStyle name="Input 3 3 6" xfId="22165"/>
    <cellStyle name="Input 3 4" xfId="22166"/>
    <cellStyle name="Input 3 4 2" xfId="22167"/>
    <cellStyle name="Input 3 4 2 2" xfId="22168"/>
    <cellStyle name="Input 3 4 2 3" xfId="22169"/>
    <cellStyle name="Input 3 4 3" xfId="22170"/>
    <cellStyle name="Input 3 4 3 2" xfId="22171"/>
    <cellStyle name="Input 3 4 4" xfId="22172"/>
    <cellStyle name="Input 3 4 5" xfId="22173"/>
    <cellStyle name="Input 3 4 6" xfId="22174"/>
    <cellStyle name="Input 3 5" xfId="22175"/>
    <cellStyle name="Input 3 5 2" xfId="22176"/>
    <cellStyle name="Input 3 5 2 2" xfId="22177"/>
    <cellStyle name="Input 3 5 2 3" xfId="22178"/>
    <cellStyle name="Input 3 5 3" xfId="22179"/>
    <cellStyle name="Input 3 5 3 2" xfId="22180"/>
    <cellStyle name="Input 3 5 4" xfId="22181"/>
    <cellStyle name="Input 3 5 5" xfId="22182"/>
    <cellStyle name="Input 3 5 6" xfId="22183"/>
    <cellStyle name="Input 3 6" xfId="22184"/>
    <cellStyle name="Input 3 6 2" xfId="22185"/>
    <cellStyle name="Input 3 6 2 2" xfId="22186"/>
    <cellStyle name="Input 3 6 2 3" xfId="22187"/>
    <cellStyle name="Input 3 6 3" xfId="22188"/>
    <cellStyle name="Input 3 6 3 2" xfId="22189"/>
    <cellStyle name="Input 3 6 4" xfId="22190"/>
    <cellStyle name="Input 3 6 5" xfId="22191"/>
    <cellStyle name="Input 3 6 6" xfId="22192"/>
    <cellStyle name="Input 3 7" xfId="22193"/>
    <cellStyle name="Input 3 7 2" xfId="22194"/>
    <cellStyle name="Input 3 7 2 2" xfId="22195"/>
    <cellStyle name="Input 3 7 2 3" xfId="22196"/>
    <cellStyle name="Input 3 7 3" xfId="22197"/>
    <cellStyle name="Input 3 7 3 2" xfId="22198"/>
    <cellStyle name="Input 3 7 4" xfId="22199"/>
    <cellStyle name="Input 3 7 5" xfId="22200"/>
    <cellStyle name="Input 3 7 6" xfId="22201"/>
    <cellStyle name="Input 3 8" xfId="22202"/>
    <cellStyle name="Input 3 8 2" xfId="22203"/>
    <cellStyle name="Input 3 8 2 2" xfId="22204"/>
    <cellStyle name="Input 3 8 2 3" xfId="22205"/>
    <cellStyle name="Input 3 8 3" xfId="22206"/>
    <cellStyle name="Input 3 8 3 2" xfId="22207"/>
    <cellStyle name="Input 3 8 4" xfId="22208"/>
    <cellStyle name="Input 3 8 5" xfId="22209"/>
    <cellStyle name="Input 3 8 6" xfId="22210"/>
    <cellStyle name="Input 3 9" xfId="22211"/>
    <cellStyle name="Input 3 9 2" xfId="22212"/>
    <cellStyle name="Input 3 9 2 2" xfId="22213"/>
    <cellStyle name="Input 3 9 2 3" xfId="22214"/>
    <cellStyle name="Input 3 9 3" xfId="22215"/>
    <cellStyle name="Input 3 9 3 2" xfId="22216"/>
    <cellStyle name="Input 3 9 4" xfId="22217"/>
    <cellStyle name="Input 3 9 5" xfId="22218"/>
    <cellStyle name="Input 3 9 6" xfId="22219"/>
    <cellStyle name="Input 30" xfId="22220"/>
    <cellStyle name="Input 31" xfId="22221"/>
    <cellStyle name="Input 32" xfId="22222"/>
    <cellStyle name="Input 33" xfId="22223"/>
    <cellStyle name="Input 34" xfId="22224"/>
    <cellStyle name="Input 35" xfId="22225"/>
    <cellStyle name="Input 36" xfId="22226"/>
    <cellStyle name="Input 37" xfId="22227"/>
    <cellStyle name="Input 38" xfId="22228"/>
    <cellStyle name="Input 39" xfId="22229"/>
    <cellStyle name="Input 4" xfId="22230"/>
    <cellStyle name="Input 4 10" xfId="22231"/>
    <cellStyle name="Input 4 10 2" xfId="22232"/>
    <cellStyle name="Input 4 10 2 2" xfId="22233"/>
    <cellStyle name="Input 4 10 2 3" xfId="22234"/>
    <cellStyle name="Input 4 10 3" xfId="22235"/>
    <cellStyle name="Input 4 10 3 2" xfId="22236"/>
    <cellStyle name="Input 4 10 4" xfId="22237"/>
    <cellStyle name="Input 4 11" xfId="22238"/>
    <cellStyle name="Input 4 11 2" xfId="22239"/>
    <cellStyle name="Input 4 11 3" xfId="22240"/>
    <cellStyle name="Input 4 12" xfId="22241"/>
    <cellStyle name="Input 4 13" xfId="22242"/>
    <cellStyle name="Input 4 14" xfId="22243"/>
    <cellStyle name="Input 4 2" xfId="22244"/>
    <cellStyle name="Input 4 2 2" xfId="22245"/>
    <cellStyle name="Input 4 2 2 2" xfId="22246"/>
    <cellStyle name="Input 4 2 2 3" xfId="22247"/>
    <cellStyle name="Input 4 2 3" xfId="22248"/>
    <cellStyle name="Input 4 2 3 2" xfId="22249"/>
    <cellStyle name="Input 4 2 4" xfId="22250"/>
    <cellStyle name="Input 4 2 5" xfId="22251"/>
    <cellStyle name="Input 4 3" xfId="22252"/>
    <cellStyle name="Input 4 3 2" xfId="22253"/>
    <cellStyle name="Input 4 3 2 2" xfId="22254"/>
    <cellStyle name="Input 4 3 2 3" xfId="22255"/>
    <cellStyle name="Input 4 3 3" xfId="22256"/>
    <cellStyle name="Input 4 3 3 2" xfId="22257"/>
    <cellStyle name="Input 4 3 4" xfId="22258"/>
    <cellStyle name="Input 4 4" xfId="22259"/>
    <cellStyle name="Input 4 4 2" xfId="22260"/>
    <cellStyle name="Input 4 4 2 2" xfId="22261"/>
    <cellStyle name="Input 4 4 2 3" xfId="22262"/>
    <cellStyle name="Input 4 4 3" xfId="22263"/>
    <cellStyle name="Input 4 4 3 2" xfId="22264"/>
    <cellStyle name="Input 4 4 4" xfId="22265"/>
    <cellStyle name="Input 4 5" xfId="22266"/>
    <cellStyle name="Input 4 5 2" xfId="22267"/>
    <cellStyle name="Input 4 5 2 2" xfId="22268"/>
    <cellStyle name="Input 4 5 2 3" xfId="22269"/>
    <cellStyle name="Input 4 5 3" xfId="22270"/>
    <cellStyle name="Input 4 5 3 2" xfId="22271"/>
    <cellStyle name="Input 4 5 4" xfId="22272"/>
    <cellStyle name="Input 4 6" xfId="22273"/>
    <cellStyle name="Input 4 6 2" xfId="22274"/>
    <cellStyle name="Input 4 6 2 2" xfId="22275"/>
    <cellStyle name="Input 4 6 2 3" xfId="22276"/>
    <cellStyle name="Input 4 6 3" xfId="22277"/>
    <cellStyle name="Input 4 6 3 2" xfId="22278"/>
    <cellStyle name="Input 4 6 4" xfId="22279"/>
    <cellStyle name="Input 4 7" xfId="22280"/>
    <cellStyle name="Input 4 7 2" xfId="22281"/>
    <cellStyle name="Input 4 7 2 2" xfId="22282"/>
    <cellStyle name="Input 4 7 2 3" xfId="22283"/>
    <cellStyle name="Input 4 7 3" xfId="22284"/>
    <cellStyle name="Input 4 7 3 2" xfId="22285"/>
    <cellStyle name="Input 4 7 4" xfId="22286"/>
    <cellStyle name="Input 4 8" xfId="22287"/>
    <cellStyle name="Input 4 8 2" xfId="22288"/>
    <cellStyle name="Input 4 8 2 2" xfId="22289"/>
    <cellStyle name="Input 4 8 2 3" xfId="22290"/>
    <cellStyle name="Input 4 8 3" xfId="22291"/>
    <cellStyle name="Input 4 8 3 2" xfId="22292"/>
    <cellStyle name="Input 4 8 4" xfId="22293"/>
    <cellStyle name="Input 4 9" xfId="22294"/>
    <cellStyle name="Input 4 9 2" xfId="22295"/>
    <cellStyle name="Input 4 9 2 2" xfId="22296"/>
    <cellStyle name="Input 4 9 2 3" xfId="22297"/>
    <cellStyle name="Input 4 9 3" xfId="22298"/>
    <cellStyle name="Input 4 9 3 2" xfId="22299"/>
    <cellStyle name="Input 4 9 4" xfId="22300"/>
    <cellStyle name="Input 5" xfId="22301"/>
    <cellStyle name="Input 5 2" xfId="22302"/>
    <cellStyle name="Input 5 2 2" xfId="22303"/>
    <cellStyle name="Input 5 2 3" xfId="22304"/>
    <cellStyle name="Input 5 2 4" xfId="22305"/>
    <cellStyle name="Input 5 3" xfId="22306"/>
    <cellStyle name="Input 5 3 2" xfId="22307"/>
    <cellStyle name="Input 5 4" xfId="22308"/>
    <cellStyle name="Input 5 5" xfId="22309"/>
    <cellStyle name="Input 6" xfId="22310"/>
    <cellStyle name="Input 6 2" xfId="22311"/>
    <cellStyle name="Input 6 2 2" xfId="22312"/>
    <cellStyle name="Input 6 2 3" xfId="22313"/>
    <cellStyle name="Input 6 2 4" xfId="22314"/>
    <cellStyle name="Input 6 3" xfId="22315"/>
    <cellStyle name="Input 6 3 2" xfId="22316"/>
    <cellStyle name="Input 6 3 3" xfId="22317"/>
    <cellStyle name="Input 6 4" xfId="22318"/>
    <cellStyle name="Input 6 5" xfId="22319"/>
    <cellStyle name="Input 7" xfId="22320"/>
    <cellStyle name="Input 7 2" xfId="22321"/>
    <cellStyle name="Input 7 2 2" xfId="22322"/>
    <cellStyle name="Input 7 2 3" xfId="22323"/>
    <cellStyle name="Input 7 2 4" xfId="22324"/>
    <cellStyle name="Input 7 3" xfId="22325"/>
    <cellStyle name="Input 7 3 2" xfId="22326"/>
    <cellStyle name="Input 7 3 3" xfId="22327"/>
    <cellStyle name="Input 7 4" xfId="22328"/>
    <cellStyle name="Input 7 5" xfId="22329"/>
    <cellStyle name="Input 8" xfId="22330"/>
    <cellStyle name="Input 8 2" xfId="22331"/>
    <cellStyle name="Input 8 2 2" xfId="22332"/>
    <cellStyle name="Input 8 2 3" xfId="22333"/>
    <cellStyle name="Input 8 2 4" xfId="22334"/>
    <cellStyle name="Input 8 3" xfId="22335"/>
    <cellStyle name="Input 8 3 2" xfId="22336"/>
    <cellStyle name="Input 8 3 3" xfId="22337"/>
    <cellStyle name="Input 8 4" xfId="22338"/>
    <cellStyle name="Input 8 5" xfId="22339"/>
    <cellStyle name="Input 9" xfId="22340"/>
    <cellStyle name="Input 9 2" xfId="22341"/>
    <cellStyle name="Input 9 2 2" xfId="22342"/>
    <cellStyle name="Input 9 2 3" xfId="22343"/>
    <cellStyle name="Input 9 2 4" xfId="22344"/>
    <cellStyle name="Input 9 3" xfId="22345"/>
    <cellStyle name="Input 9 3 2" xfId="22346"/>
    <cellStyle name="Input 9 3 3" xfId="22347"/>
    <cellStyle name="Input 9 4" xfId="22348"/>
    <cellStyle name="Input 9 5" xfId="22349"/>
    <cellStyle name="KAGE" xfId="22350"/>
    <cellStyle name="KAGE 2" xfId="22351"/>
    <cellStyle name="Leading Zero" xfId="22352"/>
    <cellStyle name="les" xfId="22353"/>
    <cellStyle name="les 2" xfId="22354"/>
    <cellStyle name="Link Currency (0)" xfId="22355"/>
    <cellStyle name="Link Currency (2)" xfId="22356"/>
    <cellStyle name="Link Units (0)" xfId="22357"/>
    <cellStyle name="Link Units (1)" xfId="22358"/>
    <cellStyle name="Link Units (2)" xfId="22359"/>
    <cellStyle name="Linked Cell 2" xfId="22360"/>
    <cellStyle name="Linked Cell 2 2" xfId="22361"/>
    <cellStyle name="Linked Cell 3" xfId="22362"/>
    <cellStyle name="Linked Cell 3 2" xfId="22363"/>
    <cellStyle name="Linked Cell 3 2 2" xfId="22364"/>
    <cellStyle name="Linked Cell 4" xfId="22365"/>
    <cellStyle name="Linked Cell 5" xfId="22366"/>
    <cellStyle name="m9" xfId="22367"/>
    <cellStyle name="MFAAS_FOOTER" xfId="22368"/>
    <cellStyle name="Millares [0]_PERSONAL" xfId="22369"/>
    <cellStyle name="Millares_PERSONAL" xfId="22370"/>
    <cellStyle name="Milliers [0]_AR1194" xfId="22371"/>
    <cellStyle name="Milliers_CASH1194" xfId="22372"/>
    <cellStyle name="Minus (0)" xfId="22373"/>
    <cellStyle name="Minus (0.0)" xfId="22374"/>
    <cellStyle name="Minus (0.00)" xfId="22375"/>
    <cellStyle name="Model" xfId="22376"/>
    <cellStyle name="Model 10" xfId="22377"/>
    <cellStyle name="Model 2" xfId="22378"/>
    <cellStyle name="Model 2 2" xfId="22379"/>
    <cellStyle name="Model 3" xfId="22380"/>
    <cellStyle name="Model 3 2" xfId="22381"/>
    <cellStyle name="Model 4" xfId="22382"/>
    <cellStyle name="Model 4 2" xfId="22383"/>
    <cellStyle name="Model 5" xfId="22384"/>
    <cellStyle name="Model 5 2" xfId="22385"/>
    <cellStyle name="Model 6" xfId="22386"/>
    <cellStyle name="Model 6 2" xfId="22387"/>
    <cellStyle name="Model 7" xfId="22388"/>
    <cellStyle name="Model 7 2" xfId="22389"/>
    <cellStyle name="Model 8" xfId="22390"/>
    <cellStyle name="Model 8 2" xfId="22391"/>
    <cellStyle name="Model 9" xfId="22392"/>
    <cellStyle name="Model 9 2" xfId="22393"/>
    <cellStyle name="Moneda [0]_CONTENCION CONDELL 25.051" xfId="22394"/>
    <cellStyle name="Moneda_CONTENCION CONDELL 25.051" xfId="22395"/>
    <cellStyle name="Monétaire [0]_AR1194" xfId="22396"/>
    <cellStyle name="Monétaire_CASH1194" xfId="22397"/>
    <cellStyle name="month" xfId="22398"/>
    <cellStyle name="n" xfId="22399"/>
    <cellStyle name="Neutral 2" xfId="22400"/>
    <cellStyle name="Neutral 2 2" xfId="22401"/>
    <cellStyle name="Neutral 3" xfId="22402"/>
    <cellStyle name="Neutral 3 2" xfId="22403"/>
    <cellStyle name="Neutral 3 2 2" xfId="22404"/>
    <cellStyle name="Neutral 4" xfId="22405"/>
    <cellStyle name="Neutral 5" xfId="22406"/>
    <cellStyle name="no dec" xfId="22407"/>
    <cellStyle name="no dec 2" xfId="22408"/>
    <cellStyle name="Non défini" xfId="22409"/>
    <cellStyle name="Non défini 2" xfId="22410"/>
    <cellStyle name="Normal" xfId="0" builtinId="0"/>
    <cellStyle name="Normal - Style1" xfId="22411"/>
    <cellStyle name="Normal - Style1 2" xfId="22412"/>
    <cellStyle name="Normal - Style1 2 2" xfId="22413"/>
    <cellStyle name="Normal - Style1 3" xfId="22414"/>
    <cellStyle name="Normal - Style1 4" xfId="22415"/>
    <cellStyle name="Normal 2" xfId="22416"/>
    <cellStyle name="Normal 3" xfId="22417"/>
    <cellStyle name="Normal 4" xfId="51130"/>
    <cellStyle name="Normal忈OTD thru NOR " xfId="22418"/>
    <cellStyle name="Normal忈OTD thru NOR  2" xfId="22419"/>
    <cellStyle name="Note 10" xfId="22420"/>
    <cellStyle name="Note 10 2" xfId="22421"/>
    <cellStyle name="Note 10 2 2" xfId="22422"/>
    <cellStyle name="Note 10 2 3" xfId="22423"/>
    <cellStyle name="Note 10 2 4" xfId="22424"/>
    <cellStyle name="Note 10 3" xfId="22425"/>
    <cellStyle name="Note 10 3 2" xfId="22426"/>
    <cellStyle name="Note 10 3 3" xfId="22427"/>
    <cellStyle name="Note 10 4" xfId="22428"/>
    <cellStyle name="Note 10 5" xfId="22429"/>
    <cellStyle name="Note 11" xfId="22430"/>
    <cellStyle name="Note 11 2" xfId="22431"/>
    <cellStyle name="Note 11 2 2" xfId="22432"/>
    <cellStyle name="Note 11 2 3" xfId="22433"/>
    <cellStyle name="Note 11 2 4" xfId="22434"/>
    <cellStyle name="Note 11 3" xfId="22435"/>
    <cellStyle name="Note 11 3 2" xfId="22436"/>
    <cellStyle name="Note 11 3 3" xfId="22437"/>
    <cellStyle name="Note 11 4" xfId="22438"/>
    <cellStyle name="Note 11 5" xfId="22439"/>
    <cellStyle name="Note 12" xfId="22440"/>
    <cellStyle name="Note 12 2" xfId="22441"/>
    <cellStyle name="Note 12 2 2" xfId="22442"/>
    <cellStyle name="Note 12 2 3" xfId="22443"/>
    <cellStyle name="Note 12 3" xfId="22444"/>
    <cellStyle name="Note 12 3 2" xfId="22445"/>
    <cellStyle name="Note 12 4" xfId="22446"/>
    <cellStyle name="Note 12 5" xfId="22447"/>
    <cellStyle name="Note 13" xfId="22448"/>
    <cellStyle name="Note 13 2" xfId="22449"/>
    <cellStyle name="Note 13 3" xfId="22450"/>
    <cellStyle name="Note 13 4" xfId="22451"/>
    <cellStyle name="Note 14" xfId="22452"/>
    <cellStyle name="Note 15" xfId="22453"/>
    <cellStyle name="Note 16" xfId="22454"/>
    <cellStyle name="Note 2" xfId="22455"/>
    <cellStyle name="Note 2 10" xfId="22456"/>
    <cellStyle name="Note 2 10 2" xfId="22457"/>
    <cellStyle name="Note 2 10 2 2" xfId="22458"/>
    <cellStyle name="Note 2 10 2 3" xfId="22459"/>
    <cellStyle name="Note 2 10 3" xfId="22460"/>
    <cellStyle name="Note 2 10 3 2" xfId="22461"/>
    <cellStyle name="Note 2 10 4" xfId="22462"/>
    <cellStyle name="Note 2 11" xfId="22463"/>
    <cellStyle name="Note 2 11 2" xfId="22464"/>
    <cellStyle name="Note 2 11 2 2" xfId="22465"/>
    <cellStyle name="Note 2 11 2 3" xfId="22466"/>
    <cellStyle name="Note 2 11 3" xfId="22467"/>
    <cellStyle name="Note 2 11 3 2" xfId="22468"/>
    <cellStyle name="Note 2 11 4" xfId="22469"/>
    <cellStyle name="Note 2 12" xfId="22470"/>
    <cellStyle name="Note 2 12 2" xfId="22471"/>
    <cellStyle name="Note 2 12 3" xfId="22472"/>
    <cellStyle name="Note 2 13" xfId="22473"/>
    <cellStyle name="Note 2 14" xfId="22474"/>
    <cellStyle name="Note 2 15" xfId="22475"/>
    <cellStyle name="Note 2 2" xfId="22476"/>
    <cellStyle name="Note 2 2 10" xfId="22477"/>
    <cellStyle name="Note 2 2 10 2" xfId="22478"/>
    <cellStyle name="Note 2 2 10 2 2" xfId="22479"/>
    <cellStyle name="Note 2 2 10 2 3" xfId="22480"/>
    <cellStyle name="Note 2 2 10 3" xfId="22481"/>
    <cellStyle name="Note 2 2 10 3 2" xfId="22482"/>
    <cellStyle name="Note 2 2 10 4" xfId="22483"/>
    <cellStyle name="Note 2 2 11" xfId="22484"/>
    <cellStyle name="Note 2 2 11 2" xfId="22485"/>
    <cellStyle name="Note 2 2 11 3" xfId="22486"/>
    <cellStyle name="Note 2 2 12" xfId="22487"/>
    <cellStyle name="Note 2 2 13" xfId="22488"/>
    <cellStyle name="Note 2 2 14" xfId="22489"/>
    <cellStyle name="Note 2 2 2" xfId="22490"/>
    <cellStyle name="Note 2 2 2 2" xfId="22491"/>
    <cellStyle name="Note 2 2 2 2 2" xfId="22492"/>
    <cellStyle name="Note 2 2 2 2 3" xfId="22493"/>
    <cellStyle name="Note 2 2 2 3" xfId="22494"/>
    <cellStyle name="Note 2 2 2 3 2" xfId="22495"/>
    <cellStyle name="Note 2 2 2 4" xfId="22496"/>
    <cellStyle name="Note 2 2 3" xfId="22497"/>
    <cellStyle name="Note 2 2 3 2" xfId="22498"/>
    <cellStyle name="Note 2 2 3 2 2" xfId="22499"/>
    <cellStyle name="Note 2 2 3 2 3" xfId="22500"/>
    <cellStyle name="Note 2 2 3 3" xfId="22501"/>
    <cellStyle name="Note 2 2 3 3 2" xfId="22502"/>
    <cellStyle name="Note 2 2 3 4" xfId="22503"/>
    <cellStyle name="Note 2 2 4" xfId="22504"/>
    <cellStyle name="Note 2 2 4 2" xfId="22505"/>
    <cellStyle name="Note 2 2 4 2 2" xfId="22506"/>
    <cellStyle name="Note 2 2 4 2 3" xfId="22507"/>
    <cellStyle name="Note 2 2 4 3" xfId="22508"/>
    <cellStyle name="Note 2 2 4 3 2" xfId="22509"/>
    <cellStyle name="Note 2 2 4 4" xfId="22510"/>
    <cellStyle name="Note 2 2 5" xfId="22511"/>
    <cellStyle name="Note 2 2 5 2" xfId="22512"/>
    <cellStyle name="Note 2 2 5 2 2" xfId="22513"/>
    <cellStyle name="Note 2 2 5 2 3" xfId="22514"/>
    <cellStyle name="Note 2 2 5 3" xfId="22515"/>
    <cellStyle name="Note 2 2 5 3 2" xfId="22516"/>
    <cellStyle name="Note 2 2 5 4" xfId="22517"/>
    <cellStyle name="Note 2 2 6" xfId="22518"/>
    <cellStyle name="Note 2 2 6 2" xfId="22519"/>
    <cellStyle name="Note 2 2 6 2 2" xfId="22520"/>
    <cellStyle name="Note 2 2 6 2 3" xfId="22521"/>
    <cellStyle name="Note 2 2 6 3" xfId="22522"/>
    <cellStyle name="Note 2 2 6 3 2" xfId="22523"/>
    <cellStyle name="Note 2 2 6 4" xfId="22524"/>
    <cellStyle name="Note 2 2 7" xfId="22525"/>
    <cellStyle name="Note 2 2 7 2" xfId="22526"/>
    <cellStyle name="Note 2 2 7 2 2" xfId="22527"/>
    <cellStyle name="Note 2 2 7 2 3" xfId="22528"/>
    <cellStyle name="Note 2 2 7 3" xfId="22529"/>
    <cellStyle name="Note 2 2 7 3 2" xfId="22530"/>
    <cellStyle name="Note 2 2 7 4" xfId="22531"/>
    <cellStyle name="Note 2 2 8" xfId="22532"/>
    <cellStyle name="Note 2 2 8 2" xfId="22533"/>
    <cellStyle name="Note 2 2 8 2 2" xfId="22534"/>
    <cellStyle name="Note 2 2 8 2 3" xfId="22535"/>
    <cellStyle name="Note 2 2 8 3" xfId="22536"/>
    <cellStyle name="Note 2 2 8 3 2" xfId="22537"/>
    <cellStyle name="Note 2 2 8 4" xfId="22538"/>
    <cellStyle name="Note 2 2 9" xfId="22539"/>
    <cellStyle name="Note 2 2 9 2" xfId="22540"/>
    <cellStyle name="Note 2 2 9 2 2" xfId="22541"/>
    <cellStyle name="Note 2 2 9 2 3" xfId="22542"/>
    <cellStyle name="Note 2 2 9 3" xfId="22543"/>
    <cellStyle name="Note 2 2 9 3 2" xfId="22544"/>
    <cellStyle name="Note 2 2 9 4" xfId="22545"/>
    <cellStyle name="Note 2 3" xfId="22546"/>
    <cellStyle name="Note 2 3 2" xfId="22547"/>
    <cellStyle name="Note 2 3 2 2" xfId="22548"/>
    <cellStyle name="Note 2 3 2 3" xfId="22549"/>
    <cellStyle name="Note 2 3 3" xfId="22550"/>
    <cellStyle name="Note 2 3 3 2" xfId="22551"/>
    <cellStyle name="Note 2 3 4" xfId="22552"/>
    <cellStyle name="Note 2 4" xfId="22553"/>
    <cellStyle name="Note 2 4 2" xfId="22554"/>
    <cellStyle name="Note 2 4 2 2" xfId="22555"/>
    <cellStyle name="Note 2 4 2 3" xfId="22556"/>
    <cellStyle name="Note 2 4 3" xfId="22557"/>
    <cellStyle name="Note 2 4 3 2" xfId="22558"/>
    <cellStyle name="Note 2 4 4" xfId="22559"/>
    <cellStyle name="Note 2 5" xfId="22560"/>
    <cellStyle name="Note 2 5 2" xfId="22561"/>
    <cellStyle name="Note 2 5 2 2" xfId="22562"/>
    <cellStyle name="Note 2 5 2 3" xfId="22563"/>
    <cellStyle name="Note 2 5 3" xfId="22564"/>
    <cellStyle name="Note 2 5 3 2" xfId="22565"/>
    <cellStyle name="Note 2 5 4" xfId="22566"/>
    <cellStyle name="Note 2 6" xfId="22567"/>
    <cellStyle name="Note 2 6 2" xfId="22568"/>
    <cellStyle name="Note 2 6 2 2" xfId="22569"/>
    <cellStyle name="Note 2 6 2 3" xfId="22570"/>
    <cellStyle name="Note 2 6 3" xfId="22571"/>
    <cellStyle name="Note 2 6 3 2" xfId="22572"/>
    <cellStyle name="Note 2 6 4" xfId="22573"/>
    <cellStyle name="Note 2 7" xfId="22574"/>
    <cellStyle name="Note 2 7 2" xfId="22575"/>
    <cellStyle name="Note 2 7 2 2" xfId="22576"/>
    <cellStyle name="Note 2 7 2 3" xfId="22577"/>
    <cellStyle name="Note 2 7 3" xfId="22578"/>
    <cellStyle name="Note 2 7 3 2" xfId="22579"/>
    <cellStyle name="Note 2 7 4" xfId="22580"/>
    <cellStyle name="Note 2 8" xfId="22581"/>
    <cellStyle name="Note 2 8 2" xfId="22582"/>
    <cellStyle name="Note 2 8 2 2" xfId="22583"/>
    <cellStyle name="Note 2 8 2 3" xfId="22584"/>
    <cellStyle name="Note 2 8 3" xfId="22585"/>
    <cellStyle name="Note 2 8 3 2" xfId="22586"/>
    <cellStyle name="Note 2 8 4" xfId="22587"/>
    <cellStyle name="Note 2 9" xfId="22588"/>
    <cellStyle name="Note 2 9 2" xfId="22589"/>
    <cellStyle name="Note 2 9 2 2" xfId="22590"/>
    <cellStyle name="Note 2 9 2 3" xfId="22591"/>
    <cellStyle name="Note 2 9 3" xfId="22592"/>
    <cellStyle name="Note 2 9 3 2" xfId="22593"/>
    <cellStyle name="Note 2 9 4" xfId="22594"/>
    <cellStyle name="Note 3" xfId="22595"/>
    <cellStyle name="Note 3 10" xfId="22596"/>
    <cellStyle name="Note 3 10 2" xfId="22597"/>
    <cellStyle name="Note 3 10 2 2" xfId="22598"/>
    <cellStyle name="Note 3 10 2 3" xfId="22599"/>
    <cellStyle name="Note 3 10 3" xfId="22600"/>
    <cellStyle name="Note 3 10 3 2" xfId="22601"/>
    <cellStyle name="Note 3 10 4" xfId="22602"/>
    <cellStyle name="Note 3 11" xfId="22603"/>
    <cellStyle name="Note 3 11 2" xfId="22604"/>
    <cellStyle name="Note 3 11 3" xfId="22605"/>
    <cellStyle name="Note 3 12" xfId="22606"/>
    <cellStyle name="Note 3 13" xfId="22607"/>
    <cellStyle name="Note 3 14" xfId="22608"/>
    <cellStyle name="Note 3 2" xfId="22609"/>
    <cellStyle name="Note 3 2 2" xfId="22610"/>
    <cellStyle name="Note 3 2 2 2" xfId="22611"/>
    <cellStyle name="Note 3 2 2 3" xfId="22612"/>
    <cellStyle name="Note 3 2 3" xfId="22613"/>
    <cellStyle name="Note 3 2 3 2" xfId="22614"/>
    <cellStyle name="Note 3 2 4" xfId="22615"/>
    <cellStyle name="Note 3 2 5" xfId="22616"/>
    <cellStyle name="Note 3 3" xfId="22617"/>
    <cellStyle name="Note 3 3 2" xfId="22618"/>
    <cellStyle name="Note 3 3 2 2" xfId="22619"/>
    <cellStyle name="Note 3 3 2 3" xfId="22620"/>
    <cellStyle name="Note 3 3 3" xfId="22621"/>
    <cellStyle name="Note 3 3 3 2" xfId="22622"/>
    <cellStyle name="Note 3 3 4" xfId="22623"/>
    <cellStyle name="Note 3 4" xfId="22624"/>
    <cellStyle name="Note 3 4 2" xfId="22625"/>
    <cellStyle name="Note 3 4 2 2" xfId="22626"/>
    <cellStyle name="Note 3 4 2 3" xfId="22627"/>
    <cellStyle name="Note 3 4 3" xfId="22628"/>
    <cellStyle name="Note 3 4 3 2" xfId="22629"/>
    <cellStyle name="Note 3 4 4" xfId="22630"/>
    <cellStyle name="Note 3 5" xfId="22631"/>
    <cellStyle name="Note 3 5 2" xfId="22632"/>
    <cellStyle name="Note 3 5 2 2" xfId="22633"/>
    <cellStyle name="Note 3 5 2 3" xfId="22634"/>
    <cellStyle name="Note 3 5 3" xfId="22635"/>
    <cellStyle name="Note 3 5 3 2" xfId="22636"/>
    <cellStyle name="Note 3 5 4" xfId="22637"/>
    <cellStyle name="Note 3 6" xfId="22638"/>
    <cellStyle name="Note 3 6 2" xfId="22639"/>
    <cellStyle name="Note 3 6 2 2" xfId="22640"/>
    <cellStyle name="Note 3 6 2 3" xfId="22641"/>
    <cellStyle name="Note 3 6 3" xfId="22642"/>
    <cellStyle name="Note 3 6 3 2" xfId="22643"/>
    <cellStyle name="Note 3 6 4" xfId="22644"/>
    <cellStyle name="Note 3 7" xfId="22645"/>
    <cellStyle name="Note 3 7 2" xfId="22646"/>
    <cellStyle name="Note 3 7 2 2" xfId="22647"/>
    <cellStyle name="Note 3 7 2 3" xfId="22648"/>
    <cellStyle name="Note 3 7 3" xfId="22649"/>
    <cellStyle name="Note 3 7 3 2" xfId="22650"/>
    <cellStyle name="Note 3 7 4" xfId="22651"/>
    <cellStyle name="Note 3 8" xfId="22652"/>
    <cellStyle name="Note 3 8 2" xfId="22653"/>
    <cellStyle name="Note 3 8 2 2" xfId="22654"/>
    <cellStyle name="Note 3 8 2 3" xfId="22655"/>
    <cellStyle name="Note 3 8 3" xfId="22656"/>
    <cellStyle name="Note 3 8 3 2" xfId="22657"/>
    <cellStyle name="Note 3 8 4" xfId="22658"/>
    <cellStyle name="Note 3 9" xfId="22659"/>
    <cellStyle name="Note 3 9 2" xfId="22660"/>
    <cellStyle name="Note 3 9 2 2" xfId="22661"/>
    <cellStyle name="Note 3 9 2 3" xfId="22662"/>
    <cellStyle name="Note 3 9 3" xfId="22663"/>
    <cellStyle name="Note 3 9 3 2" xfId="22664"/>
    <cellStyle name="Note 3 9 4" xfId="22665"/>
    <cellStyle name="Note 4" xfId="22666"/>
    <cellStyle name="Note 4 2" xfId="22667"/>
    <cellStyle name="Note 4 2 2" xfId="22668"/>
    <cellStyle name="Note 4 2 3" xfId="22669"/>
    <cellStyle name="Note 4 2 4" xfId="22670"/>
    <cellStyle name="Note 4 3" xfId="22671"/>
    <cellStyle name="Note 4 3 2" xfId="22672"/>
    <cellStyle name="Note 4 4" xfId="22673"/>
    <cellStyle name="Note 4 5" xfId="22674"/>
    <cellStyle name="Note 5" xfId="22675"/>
    <cellStyle name="Note 5 2" xfId="22676"/>
    <cellStyle name="Note 5 2 2" xfId="22677"/>
    <cellStyle name="Note 5 2 3" xfId="22678"/>
    <cellStyle name="Note 5 2 4" xfId="22679"/>
    <cellStyle name="Note 5 3" xfId="22680"/>
    <cellStyle name="Note 5 3 2" xfId="22681"/>
    <cellStyle name="Note 5 4" xfId="22682"/>
    <cellStyle name="Note 5 5" xfId="22683"/>
    <cellStyle name="Note 6" xfId="22684"/>
    <cellStyle name="Note 6 2" xfId="22685"/>
    <cellStyle name="Note 6 2 2" xfId="22686"/>
    <cellStyle name="Note 6 2 3" xfId="22687"/>
    <cellStyle name="Note 6 2 4" xfId="22688"/>
    <cellStyle name="Note 6 3" xfId="22689"/>
    <cellStyle name="Note 6 3 2" xfId="22690"/>
    <cellStyle name="Note 6 3 3" xfId="22691"/>
    <cellStyle name="Note 6 4" xfId="22692"/>
    <cellStyle name="Note 6 5" xfId="22693"/>
    <cellStyle name="Note 7" xfId="22694"/>
    <cellStyle name="Note 7 2" xfId="22695"/>
    <cellStyle name="Note 7 2 2" xfId="22696"/>
    <cellStyle name="Note 7 2 3" xfId="22697"/>
    <cellStyle name="Note 7 2 4" xfId="22698"/>
    <cellStyle name="Note 7 3" xfId="22699"/>
    <cellStyle name="Note 7 3 2" xfId="22700"/>
    <cellStyle name="Note 7 3 3" xfId="22701"/>
    <cellStyle name="Note 7 4" xfId="22702"/>
    <cellStyle name="Note 7 5" xfId="22703"/>
    <cellStyle name="Note 8" xfId="22704"/>
    <cellStyle name="Note 8 2" xfId="22705"/>
    <cellStyle name="Note 8 2 2" xfId="22706"/>
    <cellStyle name="Note 8 2 3" xfId="22707"/>
    <cellStyle name="Note 8 2 4" xfId="22708"/>
    <cellStyle name="Note 8 3" xfId="22709"/>
    <cellStyle name="Note 8 3 2" xfId="22710"/>
    <cellStyle name="Note 8 3 3" xfId="22711"/>
    <cellStyle name="Note 8 4" xfId="22712"/>
    <cellStyle name="Note 8 5" xfId="22713"/>
    <cellStyle name="Note 9" xfId="22714"/>
    <cellStyle name="Note 9 2" xfId="22715"/>
    <cellStyle name="Note 9 2 2" xfId="22716"/>
    <cellStyle name="Note 9 2 3" xfId="22717"/>
    <cellStyle name="Note 9 2 4" xfId="22718"/>
    <cellStyle name="Note 9 3" xfId="22719"/>
    <cellStyle name="Note 9 3 2" xfId="22720"/>
    <cellStyle name="Note 9 3 3" xfId="22721"/>
    <cellStyle name="Note 9 4" xfId="22722"/>
    <cellStyle name="Note 9 5" xfId="22723"/>
    <cellStyle name="Œ…?æ맖?e [0.00]_laroux" xfId="22724"/>
    <cellStyle name="Œ…?æ맖?e_laroux" xfId="22725"/>
    <cellStyle name="Output 10" xfId="22726"/>
    <cellStyle name="Output 10 2" xfId="22727"/>
    <cellStyle name="Output 10 3" xfId="22728"/>
    <cellStyle name="Output 11" xfId="22729"/>
    <cellStyle name="Output 11 2" xfId="22730"/>
    <cellStyle name="Output 11 3" xfId="22731"/>
    <cellStyle name="Output 12" xfId="22732"/>
    <cellStyle name="Output 13" xfId="22733"/>
    <cellStyle name="Output 14" xfId="22734"/>
    <cellStyle name="Output 2" xfId="22735"/>
    <cellStyle name="Output 2 2" xfId="22736"/>
    <cellStyle name="Output 2 2 10" xfId="22737"/>
    <cellStyle name="Output 2 2 10 2" xfId="22738"/>
    <cellStyle name="Output 2 2 10 2 2" xfId="22739"/>
    <cellStyle name="Output 2 2 10 2 3" xfId="22740"/>
    <cellStyle name="Output 2 2 10 3" xfId="22741"/>
    <cellStyle name="Output 2 2 10 3 2" xfId="22742"/>
    <cellStyle name="Output 2 2 10 4" xfId="22743"/>
    <cellStyle name="Output 2 2 11" xfId="22744"/>
    <cellStyle name="Output 2 2 11 2" xfId="22745"/>
    <cellStyle name="Output 2 2 11 2 2" xfId="22746"/>
    <cellStyle name="Output 2 2 11 2 3" xfId="22747"/>
    <cellStyle name="Output 2 2 11 3" xfId="22748"/>
    <cellStyle name="Output 2 2 11 3 2" xfId="22749"/>
    <cellStyle name="Output 2 2 11 4" xfId="22750"/>
    <cellStyle name="Output 2 2 12" xfId="22751"/>
    <cellStyle name="Output 2 2 12 2" xfId="22752"/>
    <cellStyle name="Output 2 2 12 3" xfId="22753"/>
    <cellStyle name="Output 2 2 13" xfId="22754"/>
    <cellStyle name="Output 2 2 14" xfId="22755"/>
    <cellStyle name="Output 2 2 15" xfId="22756"/>
    <cellStyle name="Output 2 2 2" xfId="22757"/>
    <cellStyle name="Output 2 2 2 2" xfId="22758"/>
    <cellStyle name="Output 2 2 2 2 2" xfId="22759"/>
    <cellStyle name="Output 2 2 2 2 3" xfId="22760"/>
    <cellStyle name="Output 2 2 2 3" xfId="22761"/>
    <cellStyle name="Output 2 2 2 3 2" xfId="22762"/>
    <cellStyle name="Output 2 2 2 4" xfId="22763"/>
    <cellStyle name="Output 2 2 3" xfId="22764"/>
    <cellStyle name="Output 2 2 3 2" xfId="22765"/>
    <cellStyle name="Output 2 2 3 2 2" xfId="22766"/>
    <cellStyle name="Output 2 2 3 2 3" xfId="22767"/>
    <cellStyle name="Output 2 2 3 3" xfId="22768"/>
    <cellStyle name="Output 2 2 3 3 2" xfId="22769"/>
    <cellStyle name="Output 2 2 3 4" xfId="22770"/>
    <cellStyle name="Output 2 2 4" xfId="22771"/>
    <cellStyle name="Output 2 2 4 2" xfId="22772"/>
    <cellStyle name="Output 2 2 4 2 2" xfId="22773"/>
    <cellStyle name="Output 2 2 4 2 3" xfId="22774"/>
    <cellStyle name="Output 2 2 4 3" xfId="22775"/>
    <cellStyle name="Output 2 2 4 3 2" xfId="22776"/>
    <cellStyle name="Output 2 2 4 4" xfId="22777"/>
    <cellStyle name="Output 2 2 5" xfId="22778"/>
    <cellStyle name="Output 2 2 5 2" xfId="22779"/>
    <cellStyle name="Output 2 2 5 2 2" xfId="22780"/>
    <cellStyle name="Output 2 2 5 2 3" xfId="22781"/>
    <cellStyle name="Output 2 2 5 3" xfId="22782"/>
    <cellStyle name="Output 2 2 5 3 2" xfId="22783"/>
    <cellStyle name="Output 2 2 5 4" xfId="22784"/>
    <cellStyle name="Output 2 2 6" xfId="22785"/>
    <cellStyle name="Output 2 2 6 2" xfId="22786"/>
    <cellStyle name="Output 2 2 6 2 2" xfId="22787"/>
    <cellStyle name="Output 2 2 6 2 3" xfId="22788"/>
    <cellStyle name="Output 2 2 6 3" xfId="22789"/>
    <cellStyle name="Output 2 2 6 3 2" xfId="22790"/>
    <cellStyle name="Output 2 2 6 4" xfId="22791"/>
    <cellStyle name="Output 2 2 7" xfId="22792"/>
    <cellStyle name="Output 2 2 7 2" xfId="22793"/>
    <cellStyle name="Output 2 2 7 2 2" xfId="22794"/>
    <cellStyle name="Output 2 2 7 2 3" xfId="22795"/>
    <cellStyle name="Output 2 2 7 3" xfId="22796"/>
    <cellStyle name="Output 2 2 7 3 2" xfId="22797"/>
    <cellStyle name="Output 2 2 7 4" xfId="22798"/>
    <cellStyle name="Output 2 2 8" xfId="22799"/>
    <cellStyle name="Output 2 2 8 2" xfId="22800"/>
    <cellStyle name="Output 2 2 8 2 2" xfId="22801"/>
    <cellStyle name="Output 2 2 8 2 3" xfId="22802"/>
    <cellStyle name="Output 2 2 8 3" xfId="22803"/>
    <cellStyle name="Output 2 2 8 3 2" xfId="22804"/>
    <cellStyle name="Output 2 2 8 4" xfId="22805"/>
    <cellStyle name="Output 2 2 9" xfId="22806"/>
    <cellStyle name="Output 2 2 9 2" xfId="22807"/>
    <cellStyle name="Output 2 2 9 2 2" xfId="22808"/>
    <cellStyle name="Output 2 2 9 2 3" xfId="22809"/>
    <cellStyle name="Output 2 2 9 3" xfId="22810"/>
    <cellStyle name="Output 2 2 9 3 2" xfId="22811"/>
    <cellStyle name="Output 2 2 9 4" xfId="22812"/>
    <cellStyle name="Output 2 3" xfId="22813"/>
    <cellStyle name="Output 2 4" xfId="22814"/>
    <cellStyle name="Output 2 5" xfId="22815"/>
    <cellStyle name="Output 3" xfId="22816"/>
    <cellStyle name="Output 3 2" xfId="22817"/>
    <cellStyle name="Output 3 2 10" xfId="22818"/>
    <cellStyle name="Output 3 2 10 2" xfId="22819"/>
    <cellStyle name="Output 3 2 10 2 2" xfId="22820"/>
    <cellStyle name="Output 3 2 10 2 3" xfId="22821"/>
    <cellStyle name="Output 3 2 10 3" xfId="22822"/>
    <cellStyle name="Output 3 2 10 3 2" xfId="22823"/>
    <cellStyle name="Output 3 2 10 4" xfId="22824"/>
    <cellStyle name="Output 3 2 10 5" xfId="22825"/>
    <cellStyle name="Output 3 2 10 6" xfId="22826"/>
    <cellStyle name="Output 3 2 11" xfId="22827"/>
    <cellStyle name="Output 3 2 11 2" xfId="22828"/>
    <cellStyle name="Output 3 2 11 2 2" xfId="22829"/>
    <cellStyle name="Output 3 2 11 2 3" xfId="22830"/>
    <cellStyle name="Output 3 2 11 3" xfId="22831"/>
    <cellStyle name="Output 3 2 11 3 2" xfId="22832"/>
    <cellStyle name="Output 3 2 11 4" xfId="22833"/>
    <cellStyle name="Output 3 2 11 5" xfId="22834"/>
    <cellStyle name="Output 3 2 11 6" xfId="22835"/>
    <cellStyle name="Output 3 2 12" xfId="22836"/>
    <cellStyle name="Output 3 2 12 2" xfId="22837"/>
    <cellStyle name="Output 3 2 12 2 2" xfId="22838"/>
    <cellStyle name="Output 3 2 12 3" xfId="22839"/>
    <cellStyle name="Output 3 2 12 4" xfId="22840"/>
    <cellStyle name="Output 3 2 13" xfId="22841"/>
    <cellStyle name="Output 3 2 13 2" xfId="22842"/>
    <cellStyle name="Output 3 2 14" xfId="22843"/>
    <cellStyle name="Output 3 2 15" xfId="22844"/>
    <cellStyle name="Output 3 2 16" xfId="22845"/>
    <cellStyle name="Output 3 2 2" xfId="22846"/>
    <cellStyle name="Output 3 2 2 2" xfId="22847"/>
    <cellStyle name="Output 3 2 2 2 2" xfId="22848"/>
    <cellStyle name="Output 3 2 2 2 3" xfId="22849"/>
    <cellStyle name="Output 3 2 2 3" xfId="22850"/>
    <cellStyle name="Output 3 2 2 3 2" xfId="22851"/>
    <cellStyle name="Output 3 2 2 4" xfId="22852"/>
    <cellStyle name="Output 3 2 2 5" xfId="22853"/>
    <cellStyle name="Output 3 2 2 6" xfId="22854"/>
    <cellStyle name="Output 3 2 3" xfId="22855"/>
    <cellStyle name="Output 3 2 3 2" xfId="22856"/>
    <cellStyle name="Output 3 2 3 2 2" xfId="22857"/>
    <cellStyle name="Output 3 2 3 2 3" xfId="22858"/>
    <cellStyle name="Output 3 2 3 3" xfId="22859"/>
    <cellStyle name="Output 3 2 3 3 2" xfId="22860"/>
    <cellStyle name="Output 3 2 3 4" xfId="22861"/>
    <cellStyle name="Output 3 2 3 5" xfId="22862"/>
    <cellStyle name="Output 3 2 3 6" xfId="22863"/>
    <cellStyle name="Output 3 2 4" xfId="22864"/>
    <cellStyle name="Output 3 2 4 2" xfId="22865"/>
    <cellStyle name="Output 3 2 4 2 2" xfId="22866"/>
    <cellStyle name="Output 3 2 4 2 3" xfId="22867"/>
    <cellStyle name="Output 3 2 4 3" xfId="22868"/>
    <cellStyle name="Output 3 2 4 3 2" xfId="22869"/>
    <cellStyle name="Output 3 2 4 4" xfId="22870"/>
    <cellStyle name="Output 3 2 4 5" xfId="22871"/>
    <cellStyle name="Output 3 2 4 6" xfId="22872"/>
    <cellStyle name="Output 3 2 5" xfId="22873"/>
    <cellStyle name="Output 3 2 5 2" xfId="22874"/>
    <cellStyle name="Output 3 2 5 2 2" xfId="22875"/>
    <cellStyle name="Output 3 2 5 2 3" xfId="22876"/>
    <cellStyle name="Output 3 2 5 3" xfId="22877"/>
    <cellStyle name="Output 3 2 5 3 2" xfId="22878"/>
    <cellStyle name="Output 3 2 5 4" xfId="22879"/>
    <cellStyle name="Output 3 2 5 5" xfId="22880"/>
    <cellStyle name="Output 3 2 5 6" xfId="22881"/>
    <cellStyle name="Output 3 2 6" xfId="22882"/>
    <cellStyle name="Output 3 2 6 2" xfId="22883"/>
    <cellStyle name="Output 3 2 6 2 2" xfId="22884"/>
    <cellStyle name="Output 3 2 6 2 3" xfId="22885"/>
    <cellStyle name="Output 3 2 6 3" xfId="22886"/>
    <cellStyle name="Output 3 2 6 3 2" xfId="22887"/>
    <cellStyle name="Output 3 2 6 4" xfId="22888"/>
    <cellStyle name="Output 3 2 6 5" xfId="22889"/>
    <cellStyle name="Output 3 2 6 6" xfId="22890"/>
    <cellStyle name="Output 3 2 7" xfId="22891"/>
    <cellStyle name="Output 3 2 7 2" xfId="22892"/>
    <cellStyle name="Output 3 2 7 2 2" xfId="22893"/>
    <cellStyle name="Output 3 2 7 2 3" xfId="22894"/>
    <cellStyle name="Output 3 2 7 3" xfId="22895"/>
    <cellStyle name="Output 3 2 7 3 2" xfId="22896"/>
    <cellStyle name="Output 3 2 7 4" xfId="22897"/>
    <cellStyle name="Output 3 2 7 5" xfId="22898"/>
    <cellStyle name="Output 3 2 7 6" xfId="22899"/>
    <cellStyle name="Output 3 2 8" xfId="22900"/>
    <cellStyle name="Output 3 2 8 2" xfId="22901"/>
    <cellStyle name="Output 3 2 8 2 2" xfId="22902"/>
    <cellStyle name="Output 3 2 8 2 3" xfId="22903"/>
    <cellStyle name="Output 3 2 8 3" xfId="22904"/>
    <cellStyle name="Output 3 2 8 3 2" xfId="22905"/>
    <cellStyle name="Output 3 2 8 4" xfId="22906"/>
    <cellStyle name="Output 3 2 8 5" xfId="22907"/>
    <cellStyle name="Output 3 2 8 6" xfId="22908"/>
    <cellStyle name="Output 3 2 9" xfId="22909"/>
    <cellStyle name="Output 3 2 9 2" xfId="22910"/>
    <cellStyle name="Output 3 2 9 2 2" xfId="22911"/>
    <cellStyle name="Output 3 2 9 2 3" xfId="22912"/>
    <cellStyle name="Output 3 2 9 3" xfId="22913"/>
    <cellStyle name="Output 3 2 9 3 2" xfId="22914"/>
    <cellStyle name="Output 3 2 9 4" xfId="22915"/>
    <cellStyle name="Output 3 2 9 5" xfId="22916"/>
    <cellStyle name="Output 3 2 9 6" xfId="22917"/>
    <cellStyle name="Output 3 3" xfId="22918"/>
    <cellStyle name="Output 3 3 2" xfId="22919"/>
    <cellStyle name="Output 3 4" xfId="22920"/>
    <cellStyle name="Output 3 5" xfId="22921"/>
    <cellStyle name="Output 3 6" xfId="22922"/>
    <cellStyle name="Output 4" xfId="22923"/>
    <cellStyle name="Output 4 10" xfId="22924"/>
    <cellStyle name="Output 4 10 2" xfId="22925"/>
    <cellStyle name="Output 4 10 2 2" xfId="22926"/>
    <cellStyle name="Output 4 10 2 3" xfId="22927"/>
    <cellStyle name="Output 4 10 3" xfId="22928"/>
    <cellStyle name="Output 4 10 3 2" xfId="22929"/>
    <cellStyle name="Output 4 10 4" xfId="22930"/>
    <cellStyle name="Output 4 11" xfId="22931"/>
    <cellStyle name="Output 4 11 2" xfId="22932"/>
    <cellStyle name="Output 4 11 2 2" xfId="22933"/>
    <cellStyle name="Output 4 11 2 3" xfId="22934"/>
    <cellStyle name="Output 4 11 3" xfId="22935"/>
    <cellStyle name="Output 4 11 3 2" xfId="22936"/>
    <cellStyle name="Output 4 11 4" xfId="22937"/>
    <cellStyle name="Output 4 12" xfId="22938"/>
    <cellStyle name="Output 4 12 2" xfId="22939"/>
    <cellStyle name="Output 4 12 3" xfId="22940"/>
    <cellStyle name="Output 4 13" xfId="22941"/>
    <cellStyle name="Output 4 14" xfId="22942"/>
    <cellStyle name="Output 4 15" xfId="22943"/>
    <cellStyle name="Output 4 2" xfId="22944"/>
    <cellStyle name="Output 4 2 2" xfId="22945"/>
    <cellStyle name="Output 4 2 2 2" xfId="22946"/>
    <cellStyle name="Output 4 2 2 3" xfId="22947"/>
    <cellStyle name="Output 4 2 3" xfId="22948"/>
    <cellStyle name="Output 4 2 3 2" xfId="22949"/>
    <cellStyle name="Output 4 2 4" xfId="22950"/>
    <cellStyle name="Output 4 2 5" xfId="22951"/>
    <cellStyle name="Output 4 3" xfId="22952"/>
    <cellStyle name="Output 4 3 2" xfId="22953"/>
    <cellStyle name="Output 4 3 2 2" xfId="22954"/>
    <cellStyle name="Output 4 3 2 3" xfId="22955"/>
    <cellStyle name="Output 4 3 3" xfId="22956"/>
    <cellStyle name="Output 4 3 3 2" xfId="22957"/>
    <cellStyle name="Output 4 3 4" xfId="22958"/>
    <cellStyle name="Output 4 4" xfId="22959"/>
    <cellStyle name="Output 4 4 2" xfId="22960"/>
    <cellStyle name="Output 4 4 2 2" xfId="22961"/>
    <cellStyle name="Output 4 4 2 3" xfId="22962"/>
    <cellStyle name="Output 4 4 3" xfId="22963"/>
    <cellStyle name="Output 4 4 3 2" xfId="22964"/>
    <cellStyle name="Output 4 4 4" xfId="22965"/>
    <cellStyle name="Output 4 5" xfId="22966"/>
    <cellStyle name="Output 4 5 2" xfId="22967"/>
    <cellStyle name="Output 4 5 2 2" xfId="22968"/>
    <cellStyle name="Output 4 5 2 3" xfId="22969"/>
    <cellStyle name="Output 4 5 3" xfId="22970"/>
    <cellStyle name="Output 4 5 3 2" xfId="22971"/>
    <cellStyle name="Output 4 5 4" xfId="22972"/>
    <cellStyle name="Output 4 6" xfId="22973"/>
    <cellStyle name="Output 4 6 2" xfId="22974"/>
    <cellStyle name="Output 4 6 2 2" xfId="22975"/>
    <cellStyle name="Output 4 6 2 3" xfId="22976"/>
    <cellStyle name="Output 4 6 3" xfId="22977"/>
    <cellStyle name="Output 4 6 3 2" xfId="22978"/>
    <cellStyle name="Output 4 6 4" xfId="22979"/>
    <cellStyle name="Output 4 7" xfId="22980"/>
    <cellStyle name="Output 4 7 2" xfId="22981"/>
    <cellStyle name="Output 4 7 2 2" xfId="22982"/>
    <cellStyle name="Output 4 7 2 3" xfId="22983"/>
    <cellStyle name="Output 4 7 3" xfId="22984"/>
    <cellStyle name="Output 4 7 3 2" xfId="22985"/>
    <cellStyle name="Output 4 7 4" xfId="22986"/>
    <cellStyle name="Output 4 8" xfId="22987"/>
    <cellStyle name="Output 4 8 2" xfId="22988"/>
    <cellStyle name="Output 4 8 2 2" xfId="22989"/>
    <cellStyle name="Output 4 8 2 3" xfId="22990"/>
    <cellStyle name="Output 4 8 3" xfId="22991"/>
    <cellStyle name="Output 4 8 3 2" xfId="22992"/>
    <cellStyle name="Output 4 8 4" xfId="22993"/>
    <cellStyle name="Output 4 9" xfId="22994"/>
    <cellStyle name="Output 4 9 2" xfId="22995"/>
    <cellStyle name="Output 4 9 2 2" xfId="22996"/>
    <cellStyle name="Output 4 9 2 3" xfId="22997"/>
    <cellStyle name="Output 4 9 3" xfId="22998"/>
    <cellStyle name="Output 4 9 3 2" xfId="22999"/>
    <cellStyle name="Output 4 9 4" xfId="23000"/>
    <cellStyle name="Output 5" xfId="23001"/>
    <cellStyle name="Output 5 2" xfId="23002"/>
    <cellStyle name="Output 5 3" xfId="23003"/>
    <cellStyle name="Output 6" xfId="23004"/>
    <cellStyle name="Output 6 2" xfId="23005"/>
    <cellStyle name="Output 6 3" xfId="23006"/>
    <cellStyle name="Output 6 4" xfId="23007"/>
    <cellStyle name="Output 7" xfId="23008"/>
    <cellStyle name="Output 7 2" xfId="23009"/>
    <cellStyle name="Output 7 3" xfId="23010"/>
    <cellStyle name="Output 8" xfId="23011"/>
    <cellStyle name="Output 8 2" xfId="23012"/>
    <cellStyle name="Output 8 3" xfId="23013"/>
    <cellStyle name="Output 9" xfId="23014"/>
    <cellStyle name="Output 9 2" xfId="23015"/>
    <cellStyle name="Output 9 3" xfId="23016"/>
    <cellStyle name="Percent" xfId="1" builtinId="5"/>
    <cellStyle name="Percent [0]" xfId="23017"/>
    <cellStyle name="Percent [00]" xfId="23018"/>
    <cellStyle name="Percent [2]" xfId="23019"/>
    <cellStyle name="Percent 2" xfId="23020"/>
    <cellStyle name="Percent 3" xfId="51132"/>
    <cellStyle name="PERCENTAGE" xfId="23021"/>
    <cellStyle name="PrePop Currency (0)" xfId="23022"/>
    <cellStyle name="PrePop Currency (2)" xfId="23023"/>
    <cellStyle name="PrePop Units (0)" xfId="23024"/>
    <cellStyle name="PrePop Units (1)" xfId="23025"/>
    <cellStyle name="PrePop Units (2)" xfId="23026"/>
    <cellStyle name="r_x0010_" xfId="23027"/>
    <cellStyle name="r_x0010_ 2" xfId="23028"/>
    <cellStyle name="R?" xfId="23029"/>
    <cellStyle name="R? 2" xfId="23030"/>
    <cellStyle name="rrfocy`marpvx_622k" xfId="23031"/>
    <cellStyle name="rrfocy`MCvt/ASP" xfId="23032"/>
    <cellStyle name="SAP" xfId="23033"/>
    <cellStyle name="SAP 2" xfId="23034"/>
    <cellStyle name="SAPBEXchaText" xfId="23035"/>
    <cellStyle name="SAPBEXstdData" xfId="23036"/>
    <cellStyle name="SAPBEXstdData 2" xfId="23037"/>
    <cellStyle name="SAPBEXstdItem" xfId="23038"/>
    <cellStyle name="SAPBEXstdItem 2" xfId="23039"/>
    <cellStyle name="SAPBEXstdItemX" xfId="23040"/>
    <cellStyle name="SAPBEXstdItemX 2" xfId="23041"/>
    <cellStyle name="sche|_x0005_" xfId="23042"/>
    <cellStyle name="sche|_x0005_ 2" xfId="23043"/>
    <cellStyle name="Sheet Title" xfId="23044"/>
    <cellStyle name="ssendz_lbsouy`5ussendz_lbsouy`5_622k" xfId="23045"/>
    <cellStyle name="subhead" xfId="23046"/>
    <cellStyle name="subhead 2" xfId="23047"/>
    <cellStyle name="Text Indent A" xfId="23048"/>
    <cellStyle name="Text Indent B" xfId="23049"/>
    <cellStyle name="Text Indent C" xfId="23050"/>
    <cellStyle name="þ_x001d_ð'&amp;Oy?Hy9_x0008__x000f__x0007_æ_x0007__x0007__x0001__x0001_" xfId="23051"/>
    <cellStyle name="þ_x001d_ð'&amp;Oy?Hy9_x0008__x000f__x0007_æ_x0007__x0007__x0001__x0001_ 2" xfId="23052"/>
    <cellStyle name="Title 2" xfId="23053"/>
    <cellStyle name="Title 2 2" xfId="23054"/>
    <cellStyle name="Title 3" xfId="23055"/>
    <cellStyle name="Title 3 2" xfId="23056"/>
    <cellStyle name="Title 3 2 2" xfId="23057"/>
    <cellStyle name="Title 4" xfId="23058"/>
    <cellStyle name="Total 10" xfId="23059"/>
    <cellStyle name="Total 10 2" xfId="23060"/>
    <cellStyle name="Total 10 2 2" xfId="23061"/>
    <cellStyle name="Total 10 2 3" xfId="23062"/>
    <cellStyle name="Total 10 3" xfId="23063"/>
    <cellStyle name="Total 10 3 2" xfId="23064"/>
    <cellStyle name="Total 10 4" xfId="23065"/>
    <cellStyle name="Total 11" xfId="23066"/>
    <cellStyle name="Total 11 2" xfId="23067"/>
    <cellStyle name="Total 11 2 2" xfId="23068"/>
    <cellStyle name="Total 11 2 3" xfId="23069"/>
    <cellStyle name="Total 11 3" xfId="23070"/>
    <cellStyle name="Total 11 3 2" xfId="23071"/>
    <cellStyle name="Total 11 4" xfId="23072"/>
    <cellStyle name="Total 12" xfId="23073"/>
    <cellStyle name="Total 12 2" xfId="23074"/>
    <cellStyle name="Total 12 2 2" xfId="23075"/>
    <cellStyle name="Total 12 2 3" xfId="23076"/>
    <cellStyle name="Total 12 3" xfId="23077"/>
    <cellStyle name="Total 12 3 2" xfId="23078"/>
    <cellStyle name="Total 12 4" xfId="23079"/>
    <cellStyle name="Total 13" xfId="23080"/>
    <cellStyle name="Total 13 2" xfId="23081"/>
    <cellStyle name="Total 13 2 2" xfId="23082"/>
    <cellStyle name="Total 13 2 3" xfId="23083"/>
    <cellStyle name="Total 13 3" xfId="23084"/>
    <cellStyle name="Total 13 3 2" xfId="23085"/>
    <cellStyle name="Total 13 4" xfId="23086"/>
    <cellStyle name="Total 14" xfId="23087"/>
    <cellStyle name="Total 14 2" xfId="23088"/>
    <cellStyle name="Total 14 3" xfId="23089"/>
    <cellStyle name="Total 15" xfId="23090"/>
    <cellStyle name="Total 16" xfId="23091"/>
    <cellStyle name="Total 17" xfId="23092"/>
    <cellStyle name="Total 2" xfId="23093"/>
    <cellStyle name="Total 2 10" xfId="23094"/>
    <cellStyle name="Total 2 10 2" xfId="23095"/>
    <cellStyle name="Total 2 10 2 2" xfId="23096"/>
    <cellStyle name="Total 2 10 2 3" xfId="23097"/>
    <cellStyle name="Total 2 10 2 4" xfId="23098"/>
    <cellStyle name="Total 2 10 3" xfId="23099"/>
    <cellStyle name="Total 2 10 3 2" xfId="23100"/>
    <cellStyle name="Total 2 10 3 3" xfId="23101"/>
    <cellStyle name="Total 2 10 4" xfId="23102"/>
    <cellStyle name="Total 2 10 5" xfId="23103"/>
    <cellStyle name="Total 2 11" xfId="23104"/>
    <cellStyle name="Total 2 11 2" xfId="23105"/>
    <cellStyle name="Total 2 11 2 2" xfId="23106"/>
    <cellStyle name="Total 2 11 2 3" xfId="23107"/>
    <cellStyle name="Total 2 11 2 4" xfId="23108"/>
    <cellStyle name="Total 2 11 3" xfId="23109"/>
    <cellStyle name="Total 2 11 3 2" xfId="23110"/>
    <cellStyle name="Total 2 11 3 3" xfId="23111"/>
    <cellStyle name="Total 2 11 4" xfId="23112"/>
    <cellStyle name="Total 2 11 5" xfId="23113"/>
    <cellStyle name="Total 2 12" xfId="23114"/>
    <cellStyle name="Total 2 12 2" xfId="23115"/>
    <cellStyle name="Total 2 12 3" xfId="23116"/>
    <cellStyle name="Total 2 12 4" xfId="23117"/>
    <cellStyle name="Total 2 13" xfId="23118"/>
    <cellStyle name="Total 2 13 2" xfId="23119"/>
    <cellStyle name="Total 2 14" xfId="23120"/>
    <cellStyle name="Total 2 15" xfId="23121"/>
    <cellStyle name="Total 2 2" xfId="23122"/>
    <cellStyle name="Total 2 2 10" xfId="23123"/>
    <cellStyle name="Total 2 2 10 2" xfId="23124"/>
    <cellStyle name="Total 2 2 10 2 2" xfId="23125"/>
    <cellStyle name="Total 2 2 10 2 3" xfId="23126"/>
    <cellStyle name="Total 2 2 10 3" xfId="23127"/>
    <cellStyle name="Total 2 2 10 3 2" xfId="23128"/>
    <cellStyle name="Total 2 2 10 4" xfId="23129"/>
    <cellStyle name="Total 2 2 11" xfId="23130"/>
    <cellStyle name="Total 2 2 11 2" xfId="23131"/>
    <cellStyle name="Total 2 2 11 3" xfId="23132"/>
    <cellStyle name="Total 2 2 12" xfId="23133"/>
    <cellStyle name="Total 2 2 13" xfId="23134"/>
    <cellStyle name="Total 2 2 14" xfId="23135"/>
    <cellStyle name="Total 2 2 2" xfId="23136"/>
    <cellStyle name="Total 2 2 2 2" xfId="23137"/>
    <cellStyle name="Total 2 2 2 2 2" xfId="23138"/>
    <cellStyle name="Total 2 2 2 2 3" xfId="23139"/>
    <cellStyle name="Total 2 2 2 3" xfId="23140"/>
    <cellStyle name="Total 2 2 2 3 2" xfId="23141"/>
    <cellStyle name="Total 2 2 2 4" xfId="23142"/>
    <cellStyle name="Total 2 2 2 5" xfId="23143"/>
    <cellStyle name="Total 2 2 3" xfId="23144"/>
    <cellStyle name="Total 2 2 3 2" xfId="23145"/>
    <cellStyle name="Total 2 2 3 2 2" xfId="23146"/>
    <cellStyle name="Total 2 2 3 2 3" xfId="23147"/>
    <cellStyle name="Total 2 2 3 3" xfId="23148"/>
    <cellStyle name="Total 2 2 3 3 2" xfId="23149"/>
    <cellStyle name="Total 2 2 3 4" xfId="23150"/>
    <cellStyle name="Total 2 2 4" xfId="23151"/>
    <cellStyle name="Total 2 2 4 2" xfId="23152"/>
    <cellStyle name="Total 2 2 4 2 2" xfId="23153"/>
    <cellStyle name="Total 2 2 4 2 3" xfId="23154"/>
    <cellStyle name="Total 2 2 4 3" xfId="23155"/>
    <cellStyle name="Total 2 2 4 3 2" xfId="23156"/>
    <cellStyle name="Total 2 2 4 4" xfId="23157"/>
    <cellStyle name="Total 2 2 5" xfId="23158"/>
    <cellStyle name="Total 2 2 5 2" xfId="23159"/>
    <cellStyle name="Total 2 2 5 2 2" xfId="23160"/>
    <cellStyle name="Total 2 2 5 2 3" xfId="23161"/>
    <cellStyle name="Total 2 2 5 3" xfId="23162"/>
    <cellStyle name="Total 2 2 5 3 2" xfId="23163"/>
    <cellStyle name="Total 2 2 5 4" xfId="23164"/>
    <cellStyle name="Total 2 2 6" xfId="23165"/>
    <cellStyle name="Total 2 2 6 2" xfId="23166"/>
    <cellStyle name="Total 2 2 6 2 2" xfId="23167"/>
    <cellStyle name="Total 2 2 6 2 3" xfId="23168"/>
    <cellStyle name="Total 2 2 6 3" xfId="23169"/>
    <cellStyle name="Total 2 2 6 3 2" xfId="23170"/>
    <cellStyle name="Total 2 2 6 4" xfId="23171"/>
    <cellStyle name="Total 2 2 7" xfId="23172"/>
    <cellStyle name="Total 2 2 7 2" xfId="23173"/>
    <cellStyle name="Total 2 2 7 2 2" xfId="23174"/>
    <cellStyle name="Total 2 2 7 2 3" xfId="23175"/>
    <cellStyle name="Total 2 2 7 3" xfId="23176"/>
    <cellStyle name="Total 2 2 7 3 2" xfId="23177"/>
    <cellStyle name="Total 2 2 7 4" xfId="23178"/>
    <cellStyle name="Total 2 2 8" xfId="23179"/>
    <cellStyle name="Total 2 2 8 2" xfId="23180"/>
    <cellStyle name="Total 2 2 8 2 2" xfId="23181"/>
    <cellStyle name="Total 2 2 8 2 3" xfId="23182"/>
    <cellStyle name="Total 2 2 8 3" xfId="23183"/>
    <cellStyle name="Total 2 2 8 3 2" xfId="23184"/>
    <cellStyle name="Total 2 2 8 4" xfId="23185"/>
    <cellStyle name="Total 2 2 9" xfId="23186"/>
    <cellStyle name="Total 2 2 9 2" xfId="23187"/>
    <cellStyle name="Total 2 2 9 2 2" xfId="23188"/>
    <cellStyle name="Total 2 2 9 2 3" xfId="23189"/>
    <cellStyle name="Total 2 2 9 3" xfId="23190"/>
    <cellStyle name="Total 2 2 9 3 2" xfId="23191"/>
    <cellStyle name="Total 2 2 9 4" xfId="23192"/>
    <cellStyle name="Total 2 3" xfId="23193"/>
    <cellStyle name="Total 2 3 2" xfId="23194"/>
    <cellStyle name="Total 2 3 2 2" xfId="23195"/>
    <cellStyle name="Total 2 3 2 3" xfId="23196"/>
    <cellStyle name="Total 2 3 2 4" xfId="23197"/>
    <cellStyle name="Total 2 3 3" xfId="23198"/>
    <cellStyle name="Total 2 3 3 2" xfId="23199"/>
    <cellStyle name="Total 2 3 4" xfId="23200"/>
    <cellStyle name="Total 2 3 5" xfId="23201"/>
    <cellStyle name="Total 2 4" xfId="23202"/>
    <cellStyle name="Total 2 4 2" xfId="23203"/>
    <cellStyle name="Total 2 4 2 2" xfId="23204"/>
    <cellStyle name="Total 2 4 2 3" xfId="23205"/>
    <cellStyle name="Total 2 4 2 4" xfId="23206"/>
    <cellStyle name="Total 2 4 3" xfId="23207"/>
    <cellStyle name="Total 2 4 3 2" xfId="23208"/>
    <cellStyle name="Total 2 4 4" xfId="23209"/>
    <cellStyle name="Total 2 4 5" xfId="23210"/>
    <cellStyle name="Total 2 5" xfId="23211"/>
    <cellStyle name="Total 2 5 2" xfId="23212"/>
    <cellStyle name="Total 2 5 2 2" xfId="23213"/>
    <cellStyle name="Total 2 5 2 3" xfId="23214"/>
    <cellStyle name="Total 2 5 2 4" xfId="23215"/>
    <cellStyle name="Total 2 5 3" xfId="23216"/>
    <cellStyle name="Total 2 5 3 2" xfId="23217"/>
    <cellStyle name="Total 2 5 4" xfId="23218"/>
    <cellStyle name="Total 2 5 5" xfId="23219"/>
    <cellStyle name="Total 2 6" xfId="23220"/>
    <cellStyle name="Total 2 6 2" xfId="23221"/>
    <cellStyle name="Total 2 6 2 2" xfId="23222"/>
    <cellStyle name="Total 2 6 2 3" xfId="23223"/>
    <cellStyle name="Total 2 6 2 4" xfId="23224"/>
    <cellStyle name="Total 2 6 3" xfId="23225"/>
    <cellStyle name="Total 2 6 3 2" xfId="23226"/>
    <cellStyle name="Total 2 6 4" xfId="23227"/>
    <cellStyle name="Total 2 6 5" xfId="23228"/>
    <cellStyle name="Total 2 7" xfId="23229"/>
    <cellStyle name="Total 2 7 2" xfId="23230"/>
    <cellStyle name="Total 2 7 2 2" xfId="23231"/>
    <cellStyle name="Total 2 7 2 3" xfId="23232"/>
    <cellStyle name="Total 2 7 2 4" xfId="23233"/>
    <cellStyle name="Total 2 7 3" xfId="23234"/>
    <cellStyle name="Total 2 7 3 2" xfId="23235"/>
    <cellStyle name="Total 2 7 4" xfId="23236"/>
    <cellStyle name="Total 2 7 5" xfId="23237"/>
    <cellStyle name="Total 2 8" xfId="23238"/>
    <cellStyle name="Total 2 8 2" xfId="23239"/>
    <cellStyle name="Total 2 8 2 2" xfId="23240"/>
    <cellStyle name="Total 2 8 2 3" xfId="23241"/>
    <cellStyle name="Total 2 8 2 4" xfId="23242"/>
    <cellStyle name="Total 2 8 3" xfId="23243"/>
    <cellStyle name="Total 2 8 3 2" xfId="23244"/>
    <cellStyle name="Total 2 8 3 3" xfId="23245"/>
    <cellStyle name="Total 2 8 4" xfId="23246"/>
    <cellStyle name="Total 2 8 5" xfId="23247"/>
    <cellStyle name="Total 2 9" xfId="23248"/>
    <cellStyle name="Total 2 9 2" xfId="23249"/>
    <cellStyle name="Total 2 9 2 2" xfId="23250"/>
    <cellStyle name="Total 2 9 2 3" xfId="23251"/>
    <cellStyle name="Total 2 9 2 4" xfId="23252"/>
    <cellStyle name="Total 2 9 3" xfId="23253"/>
    <cellStyle name="Total 2 9 3 2" xfId="23254"/>
    <cellStyle name="Total 2 9 3 3" xfId="23255"/>
    <cellStyle name="Total 2 9 4" xfId="23256"/>
    <cellStyle name="Total 2 9 5" xfId="23257"/>
    <cellStyle name="Total 3" xfId="23258"/>
    <cellStyle name="Total 3 10" xfId="23259"/>
    <cellStyle name="Total 3 10 2" xfId="23260"/>
    <cellStyle name="Total 3 10 2 2" xfId="23261"/>
    <cellStyle name="Total 3 10 2 3" xfId="23262"/>
    <cellStyle name="Total 3 10 3" xfId="23263"/>
    <cellStyle name="Total 3 10 3 2" xfId="23264"/>
    <cellStyle name="Total 3 10 4" xfId="23265"/>
    <cellStyle name="Total 3 10 5" xfId="23266"/>
    <cellStyle name="Total 3 10 6" xfId="23267"/>
    <cellStyle name="Total 3 11" xfId="23268"/>
    <cellStyle name="Total 3 11 2" xfId="23269"/>
    <cellStyle name="Total 3 11 2 2" xfId="23270"/>
    <cellStyle name="Total 3 11 2 3" xfId="23271"/>
    <cellStyle name="Total 3 11 3" xfId="23272"/>
    <cellStyle name="Total 3 11 3 2" xfId="23273"/>
    <cellStyle name="Total 3 11 4" xfId="23274"/>
    <cellStyle name="Total 3 11 5" xfId="23275"/>
    <cellStyle name="Total 3 11 6" xfId="23276"/>
    <cellStyle name="Total 3 12" xfId="23277"/>
    <cellStyle name="Total 3 12 2" xfId="23278"/>
    <cellStyle name="Total 3 12 2 2" xfId="23279"/>
    <cellStyle name="Total 3 12 3" xfId="23280"/>
    <cellStyle name="Total 3 12 4" xfId="23281"/>
    <cellStyle name="Total 3 13" xfId="23282"/>
    <cellStyle name="Total 3 13 2" xfId="23283"/>
    <cellStyle name="Total 3 14" xfId="23284"/>
    <cellStyle name="Total 3 15" xfId="23285"/>
    <cellStyle name="Total 3 2" xfId="23286"/>
    <cellStyle name="Total 3 2 10" xfId="23287"/>
    <cellStyle name="Total 3 2 10 2" xfId="23288"/>
    <cellStyle name="Total 3 2 10 2 2" xfId="23289"/>
    <cellStyle name="Total 3 2 10 2 3" xfId="23290"/>
    <cellStyle name="Total 3 2 10 3" xfId="23291"/>
    <cellStyle name="Total 3 2 10 3 2" xfId="23292"/>
    <cellStyle name="Total 3 2 10 4" xfId="23293"/>
    <cellStyle name="Total 3 2 10 5" xfId="23294"/>
    <cellStyle name="Total 3 2 10 6" xfId="23295"/>
    <cellStyle name="Total 3 2 11" xfId="23296"/>
    <cellStyle name="Total 3 2 11 2" xfId="23297"/>
    <cellStyle name="Total 3 2 11 2 2" xfId="23298"/>
    <cellStyle name="Total 3 2 11 3" xfId="23299"/>
    <cellStyle name="Total 3 2 11 4" xfId="23300"/>
    <cellStyle name="Total 3 2 12" xfId="23301"/>
    <cellStyle name="Total 3 2 12 2" xfId="23302"/>
    <cellStyle name="Total 3 2 13" xfId="23303"/>
    <cellStyle name="Total 3 2 14" xfId="23304"/>
    <cellStyle name="Total 3 2 2" xfId="23305"/>
    <cellStyle name="Total 3 2 2 2" xfId="23306"/>
    <cellStyle name="Total 3 2 2 2 2" xfId="23307"/>
    <cellStyle name="Total 3 2 2 2 3" xfId="23308"/>
    <cellStyle name="Total 3 2 2 3" xfId="23309"/>
    <cellStyle name="Total 3 2 2 3 2" xfId="23310"/>
    <cellStyle name="Total 3 2 2 4" xfId="23311"/>
    <cellStyle name="Total 3 2 2 5" xfId="23312"/>
    <cellStyle name="Total 3 2 2 6" xfId="23313"/>
    <cellStyle name="Total 3 2 3" xfId="23314"/>
    <cellStyle name="Total 3 2 3 2" xfId="23315"/>
    <cellStyle name="Total 3 2 3 2 2" xfId="23316"/>
    <cellStyle name="Total 3 2 3 2 3" xfId="23317"/>
    <cellStyle name="Total 3 2 3 3" xfId="23318"/>
    <cellStyle name="Total 3 2 3 3 2" xfId="23319"/>
    <cellStyle name="Total 3 2 3 4" xfId="23320"/>
    <cellStyle name="Total 3 2 3 5" xfId="23321"/>
    <cellStyle name="Total 3 2 3 6" xfId="23322"/>
    <cellStyle name="Total 3 2 4" xfId="23323"/>
    <cellStyle name="Total 3 2 4 2" xfId="23324"/>
    <cellStyle name="Total 3 2 4 2 2" xfId="23325"/>
    <cellStyle name="Total 3 2 4 2 3" xfId="23326"/>
    <cellStyle name="Total 3 2 4 3" xfId="23327"/>
    <cellStyle name="Total 3 2 4 3 2" xfId="23328"/>
    <cellStyle name="Total 3 2 4 4" xfId="23329"/>
    <cellStyle name="Total 3 2 4 5" xfId="23330"/>
    <cellStyle name="Total 3 2 4 6" xfId="23331"/>
    <cellStyle name="Total 3 2 5" xfId="23332"/>
    <cellStyle name="Total 3 2 5 2" xfId="23333"/>
    <cellStyle name="Total 3 2 5 2 2" xfId="23334"/>
    <cellStyle name="Total 3 2 5 2 3" xfId="23335"/>
    <cellStyle name="Total 3 2 5 3" xfId="23336"/>
    <cellStyle name="Total 3 2 5 3 2" xfId="23337"/>
    <cellStyle name="Total 3 2 5 4" xfId="23338"/>
    <cellStyle name="Total 3 2 5 5" xfId="23339"/>
    <cellStyle name="Total 3 2 5 6" xfId="23340"/>
    <cellStyle name="Total 3 2 6" xfId="23341"/>
    <cellStyle name="Total 3 2 6 2" xfId="23342"/>
    <cellStyle name="Total 3 2 6 2 2" xfId="23343"/>
    <cellStyle name="Total 3 2 6 2 3" xfId="23344"/>
    <cellStyle name="Total 3 2 6 3" xfId="23345"/>
    <cellStyle name="Total 3 2 6 3 2" xfId="23346"/>
    <cellStyle name="Total 3 2 6 4" xfId="23347"/>
    <cellStyle name="Total 3 2 6 5" xfId="23348"/>
    <cellStyle name="Total 3 2 6 6" xfId="23349"/>
    <cellStyle name="Total 3 2 7" xfId="23350"/>
    <cellStyle name="Total 3 2 7 2" xfId="23351"/>
    <cellStyle name="Total 3 2 7 2 2" xfId="23352"/>
    <cellStyle name="Total 3 2 7 2 3" xfId="23353"/>
    <cellStyle name="Total 3 2 7 3" xfId="23354"/>
    <cellStyle name="Total 3 2 7 3 2" xfId="23355"/>
    <cellStyle name="Total 3 2 7 4" xfId="23356"/>
    <cellStyle name="Total 3 2 7 5" xfId="23357"/>
    <cellStyle name="Total 3 2 7 6" xfId="23358"/>
    <cellStyle name="Total 3 2 8" xfId="23359"/>
    <cellStyle name="Total 3 2 8 2" xfId="23360"/>
    <cellStyle name="Total 3 2 8 2 2" xfId="23361"/>
    <cellStyle name="Total 3 2 8 2 3" xfId="23362"/>
    <cellStyle name="Total 3 2 8 3" xfId="23363"/>
    <cellStyle name="Total 3 2 8 3 2" xfId="23364"/>
    <cellStyle name="Total 3 2 8 4" xfId="23365"/>
    <cellStyle name="Total 3 2 8 5" xfId="23366"/>
    <cellStyle name="Total 3 2 8 6" xfId="23367"/>
    <cellStyle name="Total 3 2 9" xfId="23368"/>
    <cellStyle name="Total 3 2 9 2" xfId="23369"/>
    <cellStyle name="Total 3 2 9 2 2" xfId="23370"/>
    <cellStyle name="Total 3 2 9 2 3" xfId="23371"/>
    <cellStyle name="Total 3 2 9 3" xfId="23372"/>
    <cellStyle name="Total 3 2 9 3 2" xfId="23373"/>
    <cellStyle name="Total 3 2 9 4" xfId="23374"/>
    <cellStyle name="Total 3 2 9 5" xfId="23375"/>
    <cellStyle name="Total 3 2 9 6" xfId="23376"/>
    <cellStyle name="Total 3 3" xfId="23377"/>
    <cellStyle name="Total 3 3 2" xfId="23378"/>
    <cellStyle name="Total 3 3 2 2" xfId="23379"/>
    <cellStyle name="Total 3 3 2 3" xfId="23380"/>
    <cellStyle name="Total 3 3 3" xfId="23381"/>
    <cellStyle name="Total 3 3 3 2" xfId="23382"/>
    <cellStyle name="Total 3 3 4" xfId="23383"/>
    <cellStyle name="Total 3 3 5" xfId="23384"/>
    <cellStyle name="Total 3 3 6" xfId="23385"/>
    <cellStyle name="Total 3 4" xfId="23386"/>
    <cellStyle name="Total 3 4 2" xfId="23387"/>
    <cellStyle name="Total 3 4 2 2" xfId="23388"/>
    <cellStyle name="Total 3 4 2 3" xfId="23389"/>
    <cellStyle name="Total 3 4 3" xfId="23390"/>
    <cellStyle name="Total 3 4 3 2" xfId="23391"/>
    <cellStyle name="Total 3 4 4" xfId="23392"/>
    <cellStyle name="Total 3 4 5" xfId="23393"/>
    <cellStyle name="Total 3 4 6" xfId="23394"/>
    <cellStyle name="Total 3 5" xfId="23395"/>
    <cellStyle name="Total 3 5 2" xfId="23396"/>
    <cellStyle name="Total 3 5 2 2" xfId="23397"/>
    <cellStyle name="Total 3 5 2 3" xfId="23398"/>
    <cellStyle name="Total 3 5 3" xfId="23399"/>
    <cellStyle name="Total 3 5 3 2" xfId="23400"/>
    <cellStyle name="Total 3 5 4" xfId="23401"/>
    <cellStyle name="Total 3 5 5" xfId="23402"/>
    <cellStyle name="Total 3 5 6" xfId="23403"/>
    <cellStyle name="Total 3 6" xfId="23404"/>
    <cellStyle name="Total 3 6 2" xfId="23405"/>
    <cellStyle name="Total 3 6 2 2" xfId="23406"/>
    <cellStyle name="Total 3 6 2 3" xfId="23407"/>
    <cellStyle name="Total 3 6 3" xfId="23408"/>
    <cellStyle name="Total 3 6 3 2" xfId="23409"/>
    <cellStyle name="Total 3 6 4" xfId="23410"/>
    <cellStyle name="Total 3 6 5" xfId="23411"/>
    <cellStyle name="Total 3 6 6" xfId="23412"/>
    <cellStyle name="Total 3 7" xfId="23413"/>
    <cellStyle name="Total 3 7 2" xfId="23414"/>
    <cellStyle name="Total 3 7 2 2" xfId="23415"/>
    <cellStyle name="Total 3 7 2 3" xfId="23416"/>
    <cellStyle name="Total 3 7 3" xfId="23417"/>
    <cellStyle name="Total 3 7 3 2" xfId="23418"/>
    <cellStyle name="Total 3 7 4" xfId="23419"/>
    <cellStyle name="Total 3 7 5" xfId="23420"/>
    <cellStyle name="Total 3 7 6" xfId="23421"/>
    <cellStyle name="Total 3 8" xfId="23422"/>
    <cellStyle name="Total 3 8 2" xfId="23423"/>
    <cellStyle name="Total 3 8 2 2" xfId="23424"/>
    <cellStyle name="Total 3 8 2 3" xfId="23425"/>
    <cellStyle name="Total 3 8 3" xfId="23426"/>
    <cellStyle name="Total 3 8 3 2" xfId="23427"/>
    <cellStyle name="Total 3 8 4" xfId="23428"/>
    <cellStyle name="Total 3 8 5" xfId="23429"/>
    <cellStyle name="Total 3 8 6" xfId="23430"/>
    <cellStyle name="Total 3 9" xfId="23431"/>
    <cellStyle name="Total 3 9 2" xfId="23432"/>
    <cellStyle name="Total 3 9 2 2" xfId="23433"/>
    <cellStyle name="Total 3 9 2 3" xfId="23434"/>
    <cellStyle name="Total 3 9 3" xfId="23435"/>
    <cellStyle name="Total 3 9 3 2" xfId="23436"/>
    <cellStyle name="Total 3 9 4" xfId="23437"/>
    <cellStyle name="Total 3 9 5" xfId="23438"/>
    <cellStyle name="Total 3 9 6" xfId="23439"/>
    <cellStyle name="Total 4" xfId="23440"/>
    <cellStyle name="Total 4 10" xfId="23441"/>
    <cellStyle name="Total 4 10 2" xfId="23442"/>
    <cellStyle name="Total 4 10 2 2" xfId="23443"/>
    <cellStyle name="Total 4 10 2 3" xfId="23444"/>
    <cellStyle name="Total 4 10 3" xfId="23445"/>
    <cellStyle name="Total 4 10 3 2" xfId="23446"/>
    <cellStyle name="Total 4 10 4" xfId="23447"/>
    <cellStyle name="Total 4 11" xfId="23448"/>
    <cellStyle name="Total 4 11 2" xfId="23449"/>
    <cellStyle name="Total 4 11 3" xfId="23450"/>
    <cellStyle name="Total 4 12" xfId="23451"/>
    <cellStyle name="Total 4 13" xfId="23452"/>
    <cellStyle name="Total 4 2" xfId="23453"/>
    <cellStyle name="Total 4 2 2" xfId="23454"/>
    <cellStyle name="Total 4 2 2 2" xfId="23455"/>
    <cellStyle name="Total 4 2 2 3" xfId="23456"/>
    <cellStyle name="Total 4 2 3" xfId="23457"/>
    <cellStyle name="Total 4 2 3 2" xfId="23458"/>
    <cellStyle name="Total 4 2 4" xfId="23459"/>
    <cellStyle name="Total 4 3" xfId="23460"/>
    <cellStyle name="Total 4 3 2" xfId="23461"/>
    <cellStyle name="Total 4 3 2 2" xfId="23462"/>
    <cellStyle name="Total 4 3 2 3" xfId="23463"/>
    <cellStyle name="Total 4 3 3" xfId="23464"/>
    <cellStyle name="Total 4 3 3 2" xfId="23465"/>
    <cellStyle name="Total 4 3 4" xfId="23466"/>
    <cellStyle name="Total 4 4" xfId="23467"/>
    <cellStyle name="Total 4 4 2" xfId="23468"/>
    <cellStyle name="Total 4 4 2 2" xfId="23469"/>
    <cellStyle name="Total 4 4 2 3" xfId="23470"/>
    <cellStyle name="Total 4 4 3" xfId="23471"/>
    <cellStyle name="Total 4 4 3 2" xfId="23472"/>
    <cellStyle name="Total 4 4 4" xfId="23473"/>
    <cellStyle name="Total 4 5" xfId="23474"/>
    <cellStyle name="Total 4 5 2" xfId="23475"/>
    <cellStyle name="Total 4 5 2 2" xfId="23476"/>
    <cellStyle name="Total 4 5 2 3" xfId="23477"/>
    <cellStyle name="Total 4 5 3" xfId="23478"/>
    <cellStyle name="Total 4 5 3 2" xfId="23479"/>
    <cellStyle name="Total 4 5 4" xfId="23480"/>
    <cellStyle name="Total 4 6" xfId="23481"/>
    <cellStyle name="Total 4 6 2" xfId="23482"/>
    <cellStyle name="Total 4 6 2 2" xfId="23483"/>
    <cellStyle name="Total 4 6 2 3" xfId="23484"/>
    <cellStyle name="Total 4 6 3" xfId="23485"/>
    <cellStyle name="Total 4 6 3 2" xfId="23486"/>
    <cellStyle name="Total 4 6 4" xfId="23487"/>
    <cellStyle name="Total 4 7" xfId="23488"/>
    <cellStyle name="Total 4 7 2" xfId="23489"/>
    <cellStyle name="Total 4 7 2 2" xfId="23490"/>
    <cellStyle name="Total 4 7 2 3" xfId="23491"/>
    <cellStyle name="Total 4 7 3" xfId="23492"/>
    <cellStyle name="Total 4 7 3 2" xfId="23493"/>
    <cellStyle name="Total 4 7 4" xfId="23494"/>
    <cellStyle name="Total 4 8" xfId="23495"/>
    <cellStyle name="Total 4 8 2" xfId="23496"/>
    <cellStyle name="Total 4 8 2 2" xfId="23497"/>
    <cellStyle name="Total 4 8 2 3" xfId="23498"/>
    <cellStyle name="Total 4 8 3" xfId="23499"/>
    <cellStyle name="Total 4 8 3 2" xfId="23500"/>
    <cellStyle name="Total 4 8 4" xfId="23501"/>
    <cellStyle name="Total 4 9" xfId="23502"/>
    <cellStyle name="Total 4 9 2" xfId="23503"/>
    <cellStyle name="Total 4 9 2 2" xfId="23504"/>
    <cellStyle name="Total 4 9 2 3" xfId="23505"/>
    <cellStyle name="Total 4 9 3" xfId="23506"/>
    <cellStyle name="Total 4 9 3 2" xfId="23507"/>
    <cellStyle name="Total 4 9 4" xfId="23508"/>
    <cellStyle name="Total 5" xfId="23509"/>
    <cellStyle name="Total 5 2" xfId="23510"/>
    <cellStyle name="Total 5 2 2" xfId="23511"/>
    <cellStyle name="Total 5 2 3" xfId="23512"/>
    <cellStyle name="Total 5 3" xfId="23513"/>
    <cellStyle name="Total 5 3 2" xfId="23514"/>
    <cellStyle name="Total 5 4" xfId="23515"/>
    <cellStyle name="Total 6" xfId="23516"/>
    <cellStyle name="Total 6 2" xfId="23517"/>
    <cellStyle name="Total 6 2 2" xfId="23518"/>
    <cellStyle name="Total 6 2 3" xfId="23519"/>
    <cellStyle name="Total 6 3" xfId="23520"/>
    <cellStyle name="Total 6 3 2" xfId="23521"/>
    <cellStyle name="Total 6 4" xfId="23522"/>
    <cellStyle name="Total 7" xfId="23523"/>
    <cellStyle name="Total 7 2" xfId="23524"/>
    <cellStyle name="Total 7 2 2" xfId="23525"/>
    <cellStyle name="Total 7 2 3" xfId="23526"/>
    <cellStyle name="Total 7 3" xfId="23527"/>
    <cellStyle name="Total 7 3 2" xfId="23528"/>
    <cellStyle name="Total 7 4" xfId="23529"/>
    <cellStyle name="Total 8" xfId="23530"/>
    <cellStyle name="Total 8 2" xfId="23531"/>
    <cellStyle name="Total 8 2 2" xfId="23532"/>
    <cellStyle name="Total 8 2 3" xfId="23533"/>
    <cellStyle name="Total 8 3" xfId="23534"/>
    <cellStyle name="Total 8 3 2" xfId="23535"/>
    <cellStyle name="Total 8 4" xfId="23536"/>
    <cellStyle name="Total 9" xfId="23537"/>
    <cellStyle name="Total 9 2" xfId="23538"/>
    <cellStyle name="Total 9 2 2" xfId="23539"/>
    <cellStyle name="Total 9 2 3" xfId="23540"/>
    <cellStyle name="Total 9 3" xfId="23541"/>
    <cellStyle name="Total 9 3 2" xfId="23542"/>
    <cellStyle name="Total 9 4" xfId="23543"/>
    <cellStyle name="Tusental (0)_pldt" xfId="23544"/>
    <cellStyle name="Tusental_pldt" xfId="23545"/>
    <cellStyle name="Unprot" xfId="23546"/>
    <cellStyle name="Unprot$" xfId="23547"/>
    <cellStyle name="Unprotect" xfId="23548"/>
    <cellStyle name="Valuta (0)_pldt" xfId="23549"/>
    <cellStyle name="Valuta_pldt" xfId="23550"/>
    <cellStyle name="wafer" xfId="23551"/>
    <cellStyle name="Warning Text 2" xfId="23552"/>
    <cellStyle name="Warning Text 2 2" xfId="23553"/>
    <cellStyle name="Warning Text 3" xfId="23554"/>
    <cellStyle name="Warning Text 3 2" xfId="23555"/>
    <cellStyle name="Warning Text 3 2 2" xfId="23556"/>
    <cellStyle name="Warning Text 4" xfId="23557"/>
    <cellStyle name="Warning Text 5" xfId="23558"/>
    <cellStyle name="weekdays" xfId="23559"/>
    <cellStyle name="weekend" xfId="23560"/>
    <cellStyle name="XLS'|_x0005_t" xfId="23561"/>
    <cellStyle name="XLS'|_x0005_t 2" xfId="23562"/>
    <cellStyle name="y`5_622k" xfId="23563"/>
    <cellStyle name="Α?xls 파일을 저장하시겠습니까?_TO_x000c_?" xfId="23564"/>
    <cellStyle name="ハイパーリンク_Book1 グラフ 22" xfId="23565"/>
    <cellStyle name=" [0.00]_ Att. 1- Cover" xfId="23566"/>
    <cellStyle name="_ Att. 1- Cover" xfId="23567"/>
    <cellStyle name="?_ Att. 1- Cover" xfId="23568"/>
    <cellStyle name="遽_laroux" xfId="23569"/>
    <cellStyle name="" xfId="23570"/>
    <cellStyle name=" 2" xfId="23571"/>
    <cellStyle name="" xfId="23572"/>
    <cellStyle name="강조색1 10" xfId="23573"/>
    <cellStyle name="강조색1 11" xfId="23574"/>
    <cellStyle name="강조색1 12" xfId="23575"/>
    <cellStyle name="강조색1 13" xfId="23576"/>
    <cellStyle name="강조색1 14" xfId="23577"/>
    <cellStyle name="강조색1 15" xfId="23578"/>
    <cellStyle name="강조색1 2" xfId="23579"/>
    <cellStyle name="강조색1 2 2" xfId="23580"/>
    <cellStyle name="강조색1 2 2 2" xfId="23581"/>
    <cellStyle name="강조색1 2 3" xfId="23582"/>
    <cellStyle name="강조색1 3" xfId="23583"/>
    <cellStyle name="강조색1 3 2" xfId="23584"/>
    <cellStyle name="강조색1 3 3" xfId="23585"/>
    <cellStyle name="강조색1 4" xfId="23586"/>
    <cellStyle name="강조색1 4 2" xfId="23587"/>
    <cellStyle name="강조색1 5" xfId="23588"/>
    <cellStyle name="강조색1 6" xfId="23589"/>
    <cellStyle name="강조색1 7" xfId="23590"/>
    <cellStyle name="강조색1 8" xfId="23591"/>
    <cellStyle name="강조색1 9" xfId="23592"/>
    <cellStyle name="강조색2 10" xfId="23593"/>
    <cellStyle name="강조색2 11" xfId="23594"/>
    <cellStyle name="강조색2 12" xfId="23595"/>
    <cellStyle name="강조색2 13" xfId="23596"/>
    <cellStyle name="강조색2 14" xfId="23597"/>
    <cellStyle name="강조색2 15" xfId="23598"/>
    <cellStyle name="강조색2 2" xfId="23599"/>
    <cellStyle name="강조색2 2 2" xfId="23600"/>
    <cellStyle name="강조색2 2 2 2" xfId="23601"/>
    <cellStyle name="강조색2 2 3" xfId="23602"/>
    <cellStyle name="강조색2 3" xfId="23603"/>
    <cellStyle name="강조색2 3 2" xfId="23604"/>
    <cellStyle name="강조색2 3 3" xfId="23605"/>
    <cellStyle name="강조색2 4" xfId="23606"/>
    <cellStyle name="강조색2 4 2" xfId="23607"/>
    <cellStyle name="강조색2 5" xfId="23608"/>
    <cellStyle name="강조색2 6" xfId="23609"/>
    <cellStyle name="강조색2 7" xfId="23610"/>
    <cellStyle name="강조색2 8" xfId="23611"/>
    <cellStyle name="강조색2 9" xfId="23612"/>
    <cellStyle name="강조색3 10" xfId="23613"/>
    <cellStyle name="강조색3 11" xfId="23614"/>
    <cellStyle name="강조색3 12" xfId="23615"/>
    <cellStyle name="강조색3 13" xfId="23616"/>
    <cellStyle name="강조색3 14" xfId="23617"/>
    <cellStyle name="강조색3 15" xfId="23618"/>
    <cellStyle name="강조색3 2" xfId="23619"/>
    <cellStyle name="강조색3 2 2" xfId="23620"/>
    <cellStyle name="강조색3 2 2 2" xfId="23621"/>
    <cellStyle name="강조색3 2 3" xfId="23622"/>
    <cellStyle name="강조색3 3" xfId="23623"/>
    <cellStyle name="강조색3 3 2" xfId="23624"/>
    <cellStyle name="강조색3 3 3" xfId="23625"/>
    <cellStyle name="강조색3 4" xfId="23626"/>
    <cellStyle name="강조색3 4 2" xfId="23627"/>
    <cellStyle name="강조색3 5" xfId="23628"/>
    <cellStyle name="강조색3 6" xfId="23629"/>
    <cellStyle name="강조색3 7" xfId="23630"/>
    <cellStyle name="강조색3 8" xfId="23631"/>
    <cellStyle name="강조색3 9" xfId="23632"/>
    <cellStyle name="강조색4 10" xfId="23633"/>
    <cellStyle name="강조색4 11" xfId="23634"/>
    <cellStyle name="강조색4 12" xfId="23635"/>
    <cellStyle name="강조색4 13" xfId="23636"/>
    <cellStyle name="강조색4 14" xfId="23637"/>
    <cellStyle name="강조색4 15" xfId="23638"/>
    <cellStyle name="강조색4 2" xfId="23639"/>
    <cellStyle name="강조색4 2 2" xfId="23640"/>
    <cellStyle name="강조색4 2 2 2" xfId="23641"/>
    <cellStyle name="강조색4 2 3" xfId="23642"/>
    <cellStyle name="강조색4 3" xfId="23643"/>
    <cellStyle name="강조색4 3 2" xfId="23644"/>
    <cellStyle name="강조색4 3 3" xfId="23645"/>
    <cellStyle name="강조색4 4" xfId="23646"/>
    <cellStyle name="강조색4 4 2" xfId="23647"/>
    <cellStyle name="강조색4 5" xfId="23648"/>
    <cellStyle name="강조색4 6" xfId="23649"/>
    <cellStyle name="강조색4 7" xfId="23650"/>
    <cellStyle name="강조색4 8" xfId="23651"/>
    <cellStyle name="강조색4 9" xfId="23652"/>
    <cellStyle name="강조색5 10" xfId="23653"/>
    <cellStyle name="강조색5 11" xfId="23654"/>
    <cellStyle name="강조색5 12" xfId="23655"/>
    <cellStyle name="강조색5 13" xfId="23656"/>
    <cellStyle name="강조색5 14" xfId="23657"/>
    <cellStyle name="강조색5 15" xfId="23658"/>
    <cellStyle name="강조색5 2" xfId="23659"/>
    <cellStyle name="강조색5 2 2" xfId="23660"/>
    <cellStyle name="강조색5 2 2 2" xfId="23661"/>
    <cellStyle name="강조색5 2 3" xfId="23662"/>
    <cellStyle name="강조색5 3" xfId="23663"/>
    <cellStyle name="강조색5 3 2" xfId="23664"/>
    <cellStyle name="강조색5 4" xfId="23665"/>
    <cellStyle name="강조색5 4 2" xfId="23666"/>
    <cellStyle name="강조색5 5" xfId="23667"/>
    <cellStyle name="강조색5 6" xfId="23668"/>
    <cellStyle name="강조색5 7" xfId="23669"/>
    <cellStyle name="강조색5 8" xfId="23670"/>
    <cellStyle name="강조색5 9" xfId="23671"/>
    <cellStyle name="강조색6 10" xfId="23672"/>
    <cellStyle name="강조색6 11" xfId="23673"/>
    <cellStyle name="강조색6 12" xfId="23674"/>
    <cellStyle name="강조색6 13" xfId="23675"/>
    <cellStyle name="강조색6 14" xfId="23676"/>
    <cellStyle name="강조색6 15" xfId="23677"/>
    <cellStyle name="강조색6 2" xfId="23678"/>
    <cellStyle name="강조색6 2 2" xfId="23679"/>
    <cellStyle name="강조색6 2 2 2" xfId="23680"/>
    <cellStyle name="강조색6 2 3" xfId="23681"/>
    <cellStyle name="강조색6 3" xfId="23682"/>
    <cellStyle name="강조색6 3 2" xfId="23683"/>
    <cellStyle name="강조색6 3 3" xfId="23684"/>
    <cellStyle name="강조색6 4" xfId="23685"/>
    <cellStyle name="강조색6 4 2" xfId="23686"/>
    <cellStyle name="강조색6 5" xfId="23687"/>
    <cellStyle name="강조색6 6" xfId="23688"/>
    <cellStyle name="강조색6 7" xfId="23689"/>
    <cellStyle name="강조색6 8" xfId="23690"/>
    <cellStyle name="강조색6 9" xfId="23691"/>
    <cellStyle name="경고문 10" xfId="23692"/>
    <cellStyle name="경고문 11" xfId="23693"/>
    <cellStyle name="경고문 12" xfId="23694"/>
    <cellStyle name="경고문 13" xfId="23695"/>
    <cellStyle name="경고문 14" xfId="23696"/>
    <cellStyle name="경고문 15" xfId="23697"/>
    <cellStyle name="경고문 2" xfId="23698"/>
    <cellStyle name="경고문 2 2" xfId="23699"/>
    <cellStyle name="경고문 2 2 2" xfId="23700"/>
    <cellStyle name="경고문 2 3" xfId="23701"/>
    <cellStyle name="경고문 3" xfId="23702"/>
    <cellStyle name="경고문 3 2" xfId="23703"/>
    <cellStyle name="경고문 4" xfId="23704"/>
    <cellStyle name="경고문 4 2" xfId="23705"/>
    <cellStyle name="경고문 5" xfId="23706"/>
    <cellStyle name="경고문 6" xfId="23707"/>
    <cellStyle name="경고문 7" xfId="23708"/>
    <cellStyle name="경고문 8" xfId="23709"/>
    <cellStyle name="경고문 9" xfId="23710"/>
    <cellStyle name="계산 10" xfId="23711"/>
    <cellStyle name="계산 11" xfId="23712"/>
    <cellStyle name="계산 12" xfId="23713"/>
    <cellStyle name="계산 13" xfId="23714"/>
    <cellStyle name="계산 14" xfId="23715"/>
    <cellStyle name="계산 15" xfId="23716"/>
    <cellStyle name="계산 2" xfId="23717"/>
    <cellStyle name="계산 2 2" xfId="23718"/>
    <cellStyle name="계산 2 2 10" xfId="23719"/>
    <cellStyle name="계산 2 2 10 2" xfId="23720"/>
    <cellStyle name="계산 2 2 10 3" xfId="23721"/>
    <cellStyle name="계산 2 2 11" xfId="23722"/>
    <cellStyle name="계산 2 2 11 2" xfId="23723"/>
    <cellStyle name="계산 2 2 11 3" xfId="23724"/>
    <cellStyle name="계산 2 2 12" xfId="23725"/>
    <cellStyle name="계산 2 2 13" xfId="23726"/>
    <cellStyle name="계산 2 2 14" xfId="23727"/>
    <cellStyle name="계산 2 2 2" xfId="23728"/>
    <cellStyle name="계산 2 2 2 2" xfId="23729"/>
    <cellStyle name="계산 2 2 3" xfId="23730"/>
    <cellStyle name="계산 2 2 3 2" xfId="23731"/>
    <cellStyle name="계산 2 2 4" xfId="23732"/>
    <cellStyle name="계산 2 2 4 2" xfId="23733"/>
    <cellStyle name="계산 2 2 5" xfId="23734"/>
    <cellStyle name="계산 2 2 5 2" xfId="23735"/>
    <cellStyle name="계산 2 2 6" xfId="23736"/>
    <cellStyle name="계산 2 2 6 2" xfId="23737"/>
    <cellStyle name="계산 2 2 7" xfId="23738"/>
    <cellStyle name="계산 2 2 7 2" xfId="23739"/>
    <cellStyle name="계산 2 2 8" xfId="23740"/>
    <cellStyle name="계산 2 2 8 2" xfId="23741"/>
    <cellStyle name="계산 2 2 8 3" xfId="23742"/>
    <cellStyle name="계산 2 2 9" xfId="23743"/>
    <cellStyle name="계산 2 2 9 2" xfId="23744"/>
    <cellStyle name="계산 2 2 9 3" xfId="23745"/>
    <cellStyle name="계산 2 3" xfId="23746"/>
    <cellStyle name="계산 2 4" xfId="23747"/>
    <cellStyle name="계산 3" xfId="23748"/>
    <cellStyle name="계산 3 2" xfId="23749"/>
    <cellStyle name="계산 3 2 10" xfId="23750"/>
    <cellStyle name="계산 3 2 10 2" xfId="23751"/>
    <cellStyle name="계산 3 2 10 3" xfId="23752"/>
    <cellStyle name="계산 3 2 11" xfId="23753"/>
    <cellStyle name="계산 3 2 11 2" xfId="23754"/>
    <cellStyle name="계산 3 2 11 3" xfId="23755"/>
    <cellStyle name="계산 3 2 12" xfId="23756"/>
    <cellStyle name="계산 3 2 13" xfId="23757"/>
    <cellStyle name="계산 3 2 2" xfId="23758"/>
    <cellStyle name="계산 3 2 2 2" xfId="23759"/>
    <cellStyle name="계산 3 2 3" xfId="23760"/>
    <cellStyle name="계산 3 2 3 2" xfId="23761"/>
    <cellStyle name="계산 3 2 4" xfId="23762"/>
    <cellStyle name="계산 3 2 4 2" xfId="23763"/>
    <cellStyle name="계산 3 2 5" xfId="23764"/>
    <cellStyle name="계산 3 2 5 2" xfId="23765"/>
    <cellStyle name="계산 3 2 6" xfId="23766"/>
    <cellStyle name="계산 3 2 6 2" xfId="23767"/>
    <cellStyle name="계산 3 2 7" xfId="23768"/>
    <cellStyle name="계산 3 2 7 2" xfId="23769"/>
    <cellStyle name="계산 3 2 8" xfId="23770"/>
    <cellStyle name="계산 3 2 8 2" xfId="23771"/>
    <cellStyle name="계산 3 2 8 3" xfId="23772"/>
    <cellStyle name="계산 3 2 9" xfId="23773"/>
    <cellStyle name="계산 3 2 9 2" xfId="23774"/>
    <cellStyle name="계산 3 2 9 3" xfId="23775"/>
    <cellStyle name="계산 3 3" xfId="23776"/>
    <cellStyle name="계산 4" xfId="23777"/>
    <cellStyle name="계산 4 2" xfId="23778"/>
    <cellStyle name="계산 5" xfId="23779"/>
    <cellStyle name="계산 6" xfId="23780"/>
    <cellStyle name="계산 7" xfId="23781"/>
    <cellStyle name="계산 8" xfId="23782"/>
    <cellStyle name="계산 9" xfId="23783"/>
    <cellStyle name="고딕" xfId="23784"/>
    <cellStyle name="고정소숫점" xfId="23785"/>
    <cellStyle name="고정소숫점 2" xfId="23786"/>
    <cellStyle name="고정소숫점 2 2" xfId="23787"/>
    <cellStyle name="고정소숫점 3" xfId="23788"/>
    <cellStyle name="고정출력1" xfId="23789"/>
    <cellStyle name="고정출력1 2" xfId="23790"/>
    <cellStyle name="고정출력1 2 2" xfId="23791"/>
    <cellStyle name="고정출력1 3" xfId="23792"/>
    <cellStyle name="고정출력2" xfId="23793"/>
    <cellStyle name="고정출력2 2" xfId="23794"/>
    <cellStyle name="고정출력2 2 2" xfId="23795"/>
    <cellStyle name="고정출력2 3" xfId="23796"/>
    <cellStyle name="궩" xfId="23797"/>
    <cellStyle name="껵_x0003_" xfId="23798"/>
    <cellStyle name="나쁨 10" xfId="23799"/>
    <cellStyle name="나쁨 11" xfId="23800"/>
    <cellStyle name="나쁨 12" xfId="23801"/>
    <cellStyle name="나쁨 13" xfId="23802"/>
    <cellStyle name="나쁨 14" xfId="23803"/>
    <cellStyle name="나쁨 15" xfId="23804"/>
    <cellStyle name="나쁨 2" xfId="23805"/>
    <cellStyle name="나쁨 2 2" xfId="23806"/>
    <cellStyle name="나쁨 2 2 2" xfId="23807"/>
    <cellStyle name="나쁨 2 3" xfId="23808"/>
    <cellStyle name="나쁨 3" xfId="23809"/>
    <cellStyle name="나쁨 3 2" xfId="23810"/>
    <cellStyle name="나쁨 3 3" xfId="23811"/>
    <cellStyle name="나쁨 4" xfId="23812"/>
    <cellStyle name="나쁨 4 2" xfId="23813"/>
    <cellStyle name="나쁨 5" xfId="23814"/>
    <cellStyle name="나쁨 6" xfId="23815"/>
    <cellStyle name="나쁨 7" xfId="23816"/>
    <cellStyle name="나쁨 8" xfId="23817"/>
    <cellStyle name="나쁨 9" xfId="23818"/>
    <cellStyle name="날짜" xfId="23819"/>
    <cellStyle name="날짜 2" xfId="23820"/>
    <cellStyle name="날짜 2 2" xfId="23821"/>
    <cellStyle name="날짜 3" xfId="23822"/>
    <cellStyle name="달러" xfId="23823"/>
    <cellStyle name="달러 2" xfId="23824"/>
    <cellStyle name="달러 2 2" xfId="23825"/>
    <cellStyle name="달러 3" xfId="23826"/>
    <cellStyle name="뒤에 오는 하이퍼링크" xfId="23827"/>
    <cellStyle name="뒤에 오는 하이퍼링크 2" xfId="23828"/>
    <cellStyle name="뒤에 오는 하이퍼링크 2 2" xfId="23829"/>
    <cellStyle name="뒤에 오는 하이퍼링크 3" xfId="23830"/>
    <cellStyle name="뒤에 오는 하이퍼링크 4" xfId="23831"/>
    <cellStyle name="똿떓죶Ø괻 [0.00]_PRODUCT DETAIL Q1" xfId="23832"/>
    <cellStyle name="똿떓죶Ø괻_PRODUCT DETAIL Q1" xfId="23833"/>
    <cellStyle name="똿뗦먛귟 [0.00]_NT Server " xfId="23834"/>
    <cellStyle name="똿뗦먛귟_NT Server " xfId="23835"/>
    <cellStyle name="메모 10" xfId="23836"/>
    <cellStyle name="메모 10 2" xfId="23837"/>
    <cellStyle name="메모 10 3" xfId="23838"/>
    <cellStyle name="메모 11" xfId="23839"/>
    <cellStyle name="메모 11 2" xfId="23840"/>
    <cellStyle name="메모 11 3" xfId="23841"/>
    <cellStyle name="메모 12" xfId="23842"/>
    <cellStyle name="메모 12 2" xfId="23843"/>
    <cellStyle name="메모 12 3" xfId="23844"/>
    <cellStyle name="메모 13" xfId="23845"/>
    <cellStyle name="메모 13 2" xfId="23846"/>
    <cellStyle name="메모 13 3" xfId="23847"/>
    <cellStyle name="메모 14" xfId="23848"/>
    <cellStyle name="메모 14 2" xfId="23849"/>
    <cellStyle name="메모 14 3" xfId="23850"/>
    <cellStyle name="메모 15" xfId="23851"/>
    <cellStyle name="메모 15 2" xfId="23852"/>
    <cellStyle name="메모 15 3" xfId="23853"/>
    <cellStyle name="메모 16" xfId="23854"/>
    <cellStyle name="메모 16 2" xfId="23855"/>
    <cellStyle name="메모 17" xfId="23856"/>
    <cellStyle name="메모 17 2" xfId="23857"/>
    <cellStyle name="메모 18" xfId="23858"/>
    <cellStyle name="메모 18 2" xfId="23859"/>
    <cellStyle name="메모 19" xfId="23860"/>
    <cellStyle name="메모 19 2" xfId="23861"/>
    <cellStyle name="메모 2" xfId="23862"/>
    <cellStyle name="메모 2 10" xfId="23863"/>
    <cellStyle name="메모 2 11" xfId="23864"/>
    <cellStyle name="메모 2 12" xfId="23865"/>
    <cellStyle name="메모 2 13" xfId="23866"/>
    <cellStyle name="메모 2 14" xfId="23867"/>
    <cellStyle name="메모 2 15" xfId="23868"/>
    <cellStyle name="메모 2 16" xfId="23869"/>
    <cellStyle name="메모 2 16 2" xfId="23870"/>
    <cellStyle name="메모 2 16 3" xfId="23871"/>
    <cellStyle name="메모 2 17" xfId="23872"/>
    <cellStyle name="메모 2 18" xfId="23873"/>
    <cellStyle name="메모 2 19" xfId="23874"/>
    <cellStyle name="메모 2 2" xfId="23875"/>
    <cellStyle name="메모 2 2 10" xfId="23876"/>
    <cellStyle name="메모 2 2 10 2" xfId="23877"/>
    <cellStyle name="메모 2 2 10 3" xfId="23878"/>
    <cellStyle name="메모 2 2 11" xfId="23879"/>
    <cellStyle name="메모 2 2 11 2" xfId="23880"/>
    <cellStyle name="메모 2 2 11 3" xfId="23881"/>
    <cellStyle name="메모 2 2 12" xfId="23882"/>
    <cellStyle name="메모 2 2 13" xfId="23883"/>
    <cellStyle name="메모 2 2 14" xfId="23884"/>
    <cellStyle name="메모 2 2 15" xfId="23885"/>
    <cellStyle name="메모 2 2 2" xfId="23886"/>
    <cellStyle name="메모 2 2 2 2" xfId="23887"/>
    <cellStyle name="메모 2 2 2 2 2" xfId="23888"/>
    <cellStyle name="메모 2 2 2 2 3" xfId="23889"/>
    <cellStyle name="메모 2 2 2 3" xfId="23890"/>
    <cellStyle name="메모 2 2 2 4" xfId="23891"/>
    <cellStyle name="메모 2 2 2 5" xfId="23892"/>
    <cellStyle name="메모 2 2 3" xfId="23893"/>
    <cellStyle name="메모 2 2 3 2" xfId="23894"/>
    <cellStyle name="메모 2 2 3 3" xfId="23895"/>
    <cellStyle name="메모 2 2 4" xfId="23896"/>
    <cellStyle name="메모 2 2 4 2" xfId="23897"/>
    <cellStyle name="메모 2 2 5" xfId="23898"/>
    <cellStyle name="메모 2 2 5 2" xfId="23899"/>
    <cellStyle name="메모 2 2 6" xfId="23900"/>
    <cellStyle name="메모 2 2 6 2" xfId="23901"/>
    <cellStyle name="메모 2 2 7" xfId="23902"/>
    <cellStyle name="메모 2 2 7 2" xfId="23903"/>
    <cellStyle name="메모 2 2 8" xfId="23904"/>
    <cellStyle name="메모 2 2 8 2" xfId="23905"/>
    <cellStyle name="메모 2 2 8 3" xfId="23906"/>
    <cellStyle name="메모 2 2 9" xfId="23907"/>
    <cellStyle name="메모 2 2 9 2" xfId="23908"/>
    <cellStyle name="메모 2 2 9 3" xfId="23909"/>
    <cellStyle name="메모 2 3" xfId="23910"/>
    <cellStyle name="메모 2 3 2" xfId="23911"/>
    <cellStyle name="메모 2 3 2 2" xfId="23912"/>
    <cellStyle name="메모 2 3 2 2 2" xfId="23913"/>
    <cellStyle name="메모 2 3 2 2 3" xfId="23914"/>
    <cellStyle name="메모 2 3 2 3" xfId="23915"/>
    <cellStyle name="메모 2 3 2 4" xfId="23916"/>
    <cellStyle name="메모 2 3 2 5" xfId="23917"/>
    <cellStyle name="메모 2 3 3" xfId="23918"/>
    <cellStyle name="메모 2 4" xfId="23919"/>
    <cellStyle name="메모 2 4 2" xfId="23920"/>
    <cellStyle name="메모 2 4 2 2" xfId="23921"/>
    <cellStyle name="메모 2 4 2 2 2" xfId="23922"/>
    <cellStyle name="메모 2 4 2 2 3" xfId="23923"/>
    <cellStyle name="메모 2 4 2 3" xfId="23924"/>
    <cellStyle name="메모 2 4 2 4" xfId="23925"/>
    <cellStyle name="메모 2 4 2 5" xfId="23926"/>
    <cellStyle name="메모 2 4 3" xfId="23927"/>
    <cellStyle name="메모 2 5" xfId="23928"/>
    <cellStyle name="메모 2 6" xfId="23929"/>
    <cellStyle name="메모 2 7" xfId="23930"/>
    <cellStyle name="메모 2 8" xfId="23931"/>
    <cellStyle name="메모 2 9" xfId="23932"/>
    <cellStyle name="메모 20" xfId="23933"/>
    <cellStyle name="메모 20 2" xfId="23934"/>
    <cellStyle name="메모 21" xfId="23935"/>
    <cellStyle name="메모 21 2" xfId="23936"/>
    <cellStyle name="메모 22" xfId="23937"/>
    <cellStyle name="메모 22 2" xfId="23938"/>
    <cellStyle name="메모 23" xfId="23939"/>
    <cellStyle name="메모 23 2" xfId="23940"/>
    <cellStyle name="메모 24" xfId="23941"/>
    <cellStyle name="메모 24 2" xfId="23942"/>
    <cellStyle name="메모 25" xfId="23943"/>
    <cellStyle name="메모 25 2" xfId="23944"/>
    <cellStyle name="메모 26" xfId="23945"/>
    <cellStyle name="메모 26 2" xfId="23946"/>
    <cellStyle name="메모 27" xfId="23947"/>
    <cellStyle name="메모 28" xfId="23948"/>
    <cellStyle name="메모 29" xfId="23949"/>
    <cellStyle name="메모 3" xfId="23950"/>
    <cellStyle name="메모 3 10" xfId="23951"/>
    <cellStyle name="메모 3 10 2" xfId="23952"/>
    <cellStyle name="메모 3 10 2 2" xfId="23953"/>
    <cellStyle name="메모 3 10 2 2 2" xfId="23954"/>
    <cellStyle name="메모 3 10 2 2 3" xfId="23955"/>
    <cellStyle name="메모 3 10 2 3" xfId="23956"/>
    <cellStyle name="메모 3 10 2 4" xfId="23957"/>
    <cellStyle name="메모 3 10 3" xfId="23958"/>
    <cellStyle name="메모 3 10 3 2" xfId="23959"/>
    <cellStyle name="메모 3 10 3 3" xfId="23960"/>
    <cellStyle name="메모 3 10 4" xfId="23961"/>
    <cellStyle name="메모 3 10 5" xfId="23962"/>
    <cellStyle name="메모 3 11" xfId="23963"/>
    <cellStyle name="메모 3 11 2" xfId="23964"/>
    <cellStyle name="메모 3 11 2 2" xfId="23965"/>
    <cellStyle name="메모 3 11 2 3" xfId="23966"/>
    <cellStyle name="메모 3 11 3" xfId="23967"/>
    <cellStyle name="메모 3 11 4" xfId="23968"/>
    <cellStyle name="메모 3 12" xfId="23969"/>
    <cellStyle name="메모 3 12 2" xfId="23970"/>
    <cellStyle name="메모 3 12 3" xfId="23971"/>
    <cellStyle name="메모 3 13" xfId="23972"/>
    <cellStyle name="메모 3 14" xfId="23973"/>
    <cellStyle name="메모 3 15" xfId="23974"/>
    <cellStyle name="메모 3 16" xfId="23975"/>
    <cellStyle name="메모 3 2" xfId="23976"/>
    <cellStyle name="메모 3 2 10" xfId="23977"/>
    <cellStyle name="메모 3 2 10 2" xfId="23978"/>
    <cellStyle name="메모 3 2 10 2 2" xfId="23979"/>
    <cellStyle name="메모 3 2 10 2 3" xfId="23980"/>
    <cellStyle name="메모 3 2 10 3" xfId="23981"/>
    <cellStyle name="메모 3 2 10 4" xfId="23982"/>
    <cellStyle name="메모 3 2 11" xfId="23983"/>
    <cellStyle name="메모 3 2 11 2" xfId="23984"/>
    <cellStyle name="메모 3 2 11 3" xfId="23985"/>
    <cellStyle name="메모 3 2 12" xfId="23986"/>
    <cellStyle name="메모 3 2 13" xfId="23987"/>
    <cellStyle name="메모 3 2 14" xfId="23988"/>
    <cellStyle name="메모 3 2 15" xfId="23989"/>
    <cellStyle name="메모 3 2 2" xfId="23990"/>
    <cellStyle name="메모 3 2 2 10" xfId="23991"/>
    <cellStyle name="메모 3 2 2 11" xfId="23992"/>
    <cellStyle name="메모 3 2 2 12" xfId="23993"/>
    <cellStyle name="메모 3 2 2 2" xfId="23994"/>
    <cellStyle name="메모 3 2 2 2 2" xfId="23995"/>
    <cellStyle name="메모 3 2 2 2 2 2" xfId="23996"/>
    <cellStyle name="메모 3 2 2 2 2 2 2" xfId="23997"/>
    <cellStyle name="메모 3 2 2 2 2 2 2 2" xfId="23998"/>
    <cellStyle name="메모 3 2 2 2 2 2 2 3" xfId="23999"/>
    <cellStyle name="메모 3 2 2 2 2 2 3" xfId="24000"/>
    <cellStyle name="메모 3 2 2 2 2 2 4" xfId="24001"/>
    <cellStyle name="메모 3 2 2 2 2 3" xfId="24002"/>
    <cellStyle name="메모 3 2 2 2 2 3 2" xfId="24003"/>
    <cellStyle name="메모 3 2 2 2 2 3 3" xfId="24004"/>
    <cellStyle name="메모 3 2 2 2 2 4" xfId="24005"/>
    <cellStyle name="메모 3 2 2 2 2 5" xfId="24006"/>
    <cellStyle name="메모 3 2 2 2 3" xfId="24007"/>
    <cellStyle name="메모 3 2 2 2 3 2" xfId="24008"/>
    <cellStyle name="메모 3 2 2 2 3 2 2" xfId="24009"/>
    <cellStyle name="메모 3 2 2 2 3 2 2 2" xfId="24010"/>
    <cellStyle name="메모 3 2 2 2 3 2 2 3" xfId="24011"/>
    <cellStyle name="메모 3 2 2 2 3 2 3" xfId="24012"/>
    <cellStyle name="메모 3 2 2 2 3 2 4" xfId="24013"/>
    <cellStyle name="메모 3 2 2 2 3 3" xfId="24014"/>
    <cellStyle name="메모 3 2 2 2 3 3 2" xfId="24015"/>
    <cellStyle name="메모 3 2 2 2 3 3 3" xfId="24016"/>
    <cellStyle name="메모 3 2 2 2 3 4" xfId="24017"/>
    <cellStyle name="메모 3 2 2 2 3 5" xfId="24018"/>
    <cellStyle name="메모 3 2 2 2 4" xfId="24019"/>
    <cellStyle name="메모 3 2 2 2 4 2" xfId="24020"/>
    <cellStyle name="메모 3 2 2 2 4 2 2" xfId="24021"/>
    <cellStyle name="메모 3 2 2 2 4 2 3" xfId="24022"/>
    <cellStyle name="메모 3 2 2 2 4 3" xfId="24023"/>
    <cellStyle name="메모 3 2 2 2 4 4" xfId="24024"/>
    <cellStyle name="메모 3 2 2 2 5" xfId="24025"/>
    <cellStyle name="메모 3 2 2 2 5 2" xfId="24026"/>
    <cellStyle name="메모 3 2 2 2 5 3" xfId="24027"/>
    <cellStyle name="메모 3 2 2 2 6" xfId="24028"/>
    <cellStyle name="메모 3 2 2 2 7" xfId="24029"/>
    <cellStyle name="메모 3 2 2 3" xfId="24030"/>
    <cellStyle name="메모 3 2 2 3 2" xfId="24031"/>
    <cellStyle name="메모 3 2 2 3 2 2" xfId="24032"/>
    <cellStyle name="메모 3 2 2 3 2 2 2" xfId="24033"/>
    <cellStyle name="메모 3 2 2 3 2 2 2 2" xfId="24034"/>
    <cellStyle name="메모 3 2 2 3 2 2 2 3" xfId="24035"/>
    <cellStyle name="메모 3 2 2 3 2 2 3" xfId="24036"/>
    <cellStyle name="메모 3 2 2 3 2 2 4" xfId="24037"/>
    <cellStyle name="메모 3 2 2 3 2 3" xfId="24038"/>
    <cellStyle name="메모 3 2 2 3 2 3 2" xfId="24039"/>
    <cellStyle name="메모 3 2 2 3 2 3 3" xfId="24040"/>
    <cellStyle name="메모 3 2 2 3 2 4" xfId="24041"/>
    <cellStyle name="메모 3 2 2 3 2 5" xfId="24042"/>
    <cellStyle name="메모 3 2 2 3 3" xfId="24043"/>
    <cellStyle name="메모 3 2 2 3 3 2" xfId="24044"/>
    <cellStyle name="메모 3 2 2 3 3 2 2" xfId="24045"/>
    <cellStyle name="메모 3 2 2 3 3 2 2 2" xfId="24046"/>
    <cellStyle name="메모 3 2 2 3 3 2 2 3" xfId="24047"/>
    <cellStyle name="메모 3 2 2 3 3 2 3" xfId="24048"/>
    <cellStyle name="메모 3 2 2 3 3 2 4" xfId="24049"/>
    <cellStyle name="메모 3 2 2 3 3 3" xfId="24050"/>
    <cellStyle name="메모 3 2 2 3 3 3 2" xfId="24051"/>
    <cellStyle name="메모 3 2 2 3 3 3 3" xfId="24052"/>
    <cellStyle name="메모 3 2 2 3 3 4" xfId="24053"/>
    <cellStyle name="메모 3 2 2 3 3 5" xfId="24054"/>
    <cellStyle name="메모 3 2 2 3 4" xfId="24055"/>
    <cellStyle name="메모 3 2 2 3 4 2" xfId="24056"/>
    <cellStyle name="메모 3 2 2 3 4 2 2" xfId="24057"/>
    <cellStyle name="메모 3 2 2 3 4 2 3" xfId="24058"/>
    <cellStyle name="메모 3 2 2 3 4 3" xfId="24059"/>
    <cellStyle name="메모 3 2 2 3 4 4" xfId="24060"/>
    <cellStyle name="메모 3 2 2 3 5" xfId="24061"/>
    <cellStyle name="메모 3 2 2 3 5 2" xfId="24062"/>
    <cellStyle name="메모 3 2 2 3 5 3" xfId="24063"/>
    <cellStyle name="메모 3 2 2 3 6" xfId="24064"/>
    <cellStyle name="메모 3 2 2 3 7" xfId="24065"/>
    <cellStyle name="메모 3 2 2 4" xfId="24066"/>
    <cellStyle name="메모 3 2 2 4 2" xfId="24067"/>
    <cellStyle name="메모 3 2 2 4 2 2" xfId="24068"/>
    <cellStyle name="메모 3 2 2 4 2 2 2" xfId="24069"/>
    <cellStyle name="메모 3 2 2 4 2 2 3" xfId="24070"/>
    <cellStyle name="메모 3 2 2 4 2 3" xfId="24071"/>
    <cellStyle name="메모 3 2 2 4 2 4" xfId="24072"/>
    <cellStyle name="메모 3 2 2 4 3" xfId="24073"/>
    <cellStyle name="메모 3 2 2 4 3 2" xfId="24074"/>
    <cellStyle name="메모 3 2 2 4 3 3" xfId="24075"/>
    <cellStyle name="메모 3 2 2 4 4" xfId="24076"/>
    <cellStyle name="메모 3 2 2 4 5" xfId="24077"/>
    <cellStyle name="메모 3 2 2 5" xfId="24078"/>
    <cellStyle name="메모 3 2 2 5 2" xfId="24079"/>
    <cellStyle name="메모 3 2 2 5 2 2" xfId="24080"/>
    <cellStyle name="메모 3 2 2 5 2 2 2" xfId="24081"/>
    <cellStyle name="메모 3 2 2 5 2 2 3" xfId="24082"/>
    <cellStyle name="메모 3 2 2 5 2 3" xfId="24083"/>
    <cellStyle name="메모 3 2 2 5 2 4" xfId="24084"/>
    <cellStyle name="메모 3 2 2 5 3" xfId="24085"/>
    <cellStyle name="메모 3 2 2 5 3 2" xfId="24086"/>
    <cellStyle name="메모 3 2 2 5 3 3" xfId="24087"/>
    <cellStyle name="메모 3 2 2 5 4" xfId="24088"/>
    <cellStyle name="메모 3 2 2 5 5" xfId="24089"/>
    <cellStyle name="메모 3 2 2 6" xfId="24090"/>
    <cellStyle name="메모 3 2 2 6 2" xfId="24091"/>
    <cellStyle name="메모 3 2 2 6 2 2" xfId="24092"/>
    <cellStyle name="메모 3 2 2 6 2 2 2" xfId="24093"/>
    <cellStyle name="메모 3 2 2 6 2 2 3" xfId="24094"/>
    <cellStyle name="메모 3 2 2 6 2 3" xfId="24095"/>
    <cellStyle name="메모 3 2 2 6 2 4" xfId="24096"/>
    <cellStyle name="메모 3 2 2 6 3" xfId="24097"/>
    <cellStyle name="메모 3 2 2 6 3 2" xfId="24098"/>
    <cellStyle name="메모 3 2 2 6 3 3" xfId="24099"/>
    <cellStyle name="메모 3 2 2 6 4" xfId="24100"/>
    <cellStyle name="메모 3 2 2 6 5" xfId="24101"/>
    <cellStyle name="메모 3 2 2 7" xfId="24102"/>
    <cellStyle name="메모 3 2 2 7 2" xfId="24103"/>
    <cellStyle name="메모 3 2 2 7 2 2" xfId="24104"/>
    <cellStyle name="메모 3 2 2 7 2 3" xfId="24105"/>
    <cellStyle name="메모 3 2 2 7 3" xfId="24106"/>
    <cellStyle name="메모 3 2 2 7 4" xfId="24107"/>
    <cellStyle name="메모 3 2 2 8" xfId="24108"/>
    <cellStyle name="메모 3 2 2 8 2" xfId="24109"/>
    <cellStyle name="메모 3 2 2 8 3" xfId="24110"/>
    <cellStyle name="메모 3 2 2 9" xfId="24111"/>
    <cellStyle name="메모 3 2 3" xfId="24112"/>
    <cellStyle name="메모 3 2 3 10" xfId="24113"/>
    <cellStyle name="메모 3 2 3 2" xfId="24114"/>
    <cellStyle name="메모 3 2 3 2 2" xfId="24115"/>
    <cellStyle name="메모 3 2 3 2 2 2" xfId="24116"/>
    <cellStyle name="메모 3 2 3 2 2 2 2" xfId="24117"/>
    <cellStyle name="메모 3 2 3 2 2 2 2 2" xfId="24118"/>
    <cellStyle name="메모 3 2 3 2 2 2 2 3" xfId="24119"/>
    <cellStyle name="메모 3 2 3 2 2 2 3" xfId="24120"/>
    <cellStyle name="메모 3 2 3 2 2 2 4" xfId="24121"/>
    <cellStyle name="메모 3 2 3 2 2 3" xfId="24122"/>
    <cellStyle name="메모 3 2 3 2 2 3 2" xfId="24123"/>
    <cellStyle name="메모 3 2 3 2 2 3 3" xfId="24124"/>
    <cellStyle name="메모 3 2 3 2 2 4" xfId="24125"/>
    <cellStyle name="메모 3 2 3 2 2 5" xfId="24126"/>
    <cellStyle name="메모 3 2 3 2 3" xfId="24127"/>
    <cellStyle name="메모 3 2 3 2 3 2" xfId="24128"/>
    <cellStyle name="메모 3 2 3 2 3 2 2" xfId="24129"/>
    <cellStyle name="메모 3 2 3 2 3 2 2 2" xfId="24130"/>
    <cellStyle name="메모 3 2 3 2 3 2 2 3" xfId="24131"/>
    <cellStyle name="메모 3 2 3 2 3 2 3" xfId="24132"/>
    <cellStyle name="메모 3 2 3 2 3 2 4" xfId="24133"/>
    <cellStyle name="메모 3 2 3 2 3 3" xfId="24134"/>
    <cellStyle name="메모 3 2 3 2 3 3 2" xfId="24135"/>
    <cellStyle name="메모 3 2 3 2 3 3 3" xfId="24136"/>
    <cellStyle name="메모 3 2 3 2 3 4" xfId="24137"/>
    <cellStyle name="메모 3 2 3 2 3 5" xfId="24138"/>
    <cellStyle name="메모 3 2 3 2 4" xfId="24139"/>
    <cellStyle name="메모 3 2 3 2 4 2" xfId="24140"/>
    <cellStyle name="메모 3 2 3 2 4 2 2" xfId="24141"/>
    <cellStyle name="메모 3 2 3 2 4 2 3" xfId="24142"/>
    <cellStyle name="메모 3 2 3 2 4 3" xfId="24143"/>
    <cellStyle name="메모 3 2 3 2 4 4" xfId="24144"/>
    <cellStyle name="메모 3 2 3 2 5" xfId="24145"/>
    <cellStyle name="메모 3 2 3 2 5 2" xfId="24146"/>
    <cellStyle name="메모 3 2 3 2 5 3" xfId="24147"/>
    <cellStyle name="메모 3 2 3 2 6" xfId="24148"/>
    <cellStyle name="메모 3 2 3 2 7" xfId="24149"/>
    <cellStyle name="메모 3 2 3 3" xfId="24150"/>
    <cellStyle name="메모 3 2 3 3 2" xfId="24151"/>
    <cellStyle name="메모 3 2 3 3 2 2" xfId="24152"/>
    <cellStyle name="메모 3 2 3 3 2 2 2" xfId="24153"/>
    <cellStyle name="메모 3 2 3 3 2 2 2 2" xfId="24154"/>
    <cellStyle name="메모 3 2 3 3 2 2 2 3" xfId="24155"/>
    <cellStyle name="메모 3 2 3 3 2 2 3" xfId="24156"/>
    <cellStyle name="메모 3 2 3 3 2 2 4" xfId="24157"/>
    <cellStyle name="메모 3 2 3 3 2 3" xfId="24158"/>
    <cellStyle name="메모 3 2 3 3 2 3 2" xfId="24159"/>
    <cellStyle name="메모 3 2 3 3 2 3 3" xfId="24160"/>
    <cellStyle name="메모 3 2 3 3 2 4" xfId="24161"/>
    <cellStyle name="메모 3 2 3 3 2 5" xfId="24162"/>
    <cellStyle name="메모 3 2 3 3 3" xfId="24163"/>
    <cellStyle name="메모 3 2 3 3 3 2" xfId="24164"/>
    <cellStyle name="메모 3 2 3 3 3 2 2" xfId="24165"/>
    <cellStyle name="메모 3 2 3 3 3 2 2 2" xfId="24166"/>
    <cellStyle name="메모 3 2 3 3 3 2 2 3" xfId="24167"/>
    <cellStyle name="메모 3 2 3 3 3 2 3" xfId="24168"/>
    <cellStyle name="메모 3 2 3 3 3 2 4" xfId="24169"/>
    <cellStyle name="메모 3 2 3 3 3 3" xfId="24170"/>
    <cellStyle name="메모 3 2 3 3 3 3 2" xfId="24171"/>
    <cellStyle name="메모 3 2 3 3 3 3 3" xfId="24172"/>
    <cellStyle name="메모 3 2 3 3 3 4" xfId="24173"/>
    <cellStyle name="메모 3 2 3 3 3 5" xfId="24174"/>
    <cellStyle name="메모 3 2 3 3 4" xfId="24175"/>
    <cellStyle name="메모 3 2 3 3 4 2" xfId="24176"/>
    <cellStyle name="메모 3 2 3 3 4 2 2" xfId="24177"/>
    <cellStyle name="메모 3 2 3 3 4 2 3" xfId="24178"/>
    <cellStyle name="메모 3 2 3 3 4 3" xfId="24179"/>
    <cellStyle name="메모 3 2 3 3 4 4" xfId="24180"/>
    <cellStyle name="메모 3 2 3 3 5" xfId="24181"/>
    <cellStyle name="메모 3 2 3 3 5 2" xfId="24182"/>
    <cellStyle name="메모 3 2 3 3 5 3" xfId="24183"/>
    <cellStyle name="메모 3 2 3 3 6" xfId="24184"/>
    <cellStyle name="메모 3 2 3 3 7" xfId="24185"/>
    <cellStyle name="메모 3 2 3 4" xfId="24186"/>
    <cellStyle name="메모 3 2 3 4 2" xfId="24187"/>
    <cellStyle name="메모 3 2 3 4 2 2" xfId="24188"/>
    <cellStyle name="메모 3 2 3 4 2 2 2" xfId="24189"/>
    <cellStyle name="메모 3 2 3 4 2 2 3" xfId="24190"/>
    <cellStyle name="메모 3 2 3 4 2 3" xfId="24191"/>
    <cellStyle name="메모 3 2 3 4 2 4" xfId="24192"/>
    <cellStyle name="메모 3 2 3 4 3" xfId="24193"/>
    <cellStyle name="메모 3 2 3 4 3 2" xfId="24194"/>
    <cellStyle name="메모 3 2 3 4 3 3" xfId="24195"/>
    <cellStyle name="메모 3 2 3 4 4" xfId="24196"/>
    <cellStyle name="메모 3 2 3 4 5" xfId="24197"/>
    <cellStyle name="메모 3 2 3 5" xfId="24198"/>
    <cellStyle name="메모 3 2 3 5 2" xfId="24199"/>
    <cellStyle name="메모 3 2 3 5 2 2" xfId="24200"/>
    <cellStyle name="메모 3 2 3 5 2 2 2" xfId="24201"/>
    <cellStyle name="메모 3 2 3 5 2 2 3" xfId="24202"/>
    <cellStyle name="메모 3 2 3 5 2 3" xfId="24203"/>
    <cellStyle name="메모 3 2 3 5 2 4" xfId="24204"/>
    <cellStyle name="메모 3 2 3 5 3" xfId="24205"/>
    <cellStyle name="메모 3 2 3 5 3 2" xfId="24206"/>
    <cellStyle name="메모 3 2 3 5 3 3" xfId="24207"/>
    <cellStyle name="메모 3 2 3 5 4" xfId="24208"/>
    <cellStyle name="메모 3 2 3 5 5" xfId="24209"/>
    <cellStyle name="메모 3 2 3 6" xfId="24210"/>
    <cellStyle name="메모 3 2 3 6 2" xfId="24211"/>
    <cellStyle name="메모 3 2 3 6 2 2" xfId="24212"/>
    <cellStyle name="메모 3 2 3 6 2 2 2" xfId="24213"/>
    <cellStyle name="메모 3 2 3 6 2 2 3" xfId="24214"/>
    <cellStyle name="메모 3 2 3 6 2 3" xfId="24215"/>
    <cellStyle name="메모 3 2 3 6 2 4" xfId="24216"/>
    <cellStyle name="메모 3 2 3 6 3" xfId="24217"/>
    <cellStyle name="메모 3 2 3 6 3 2" xfId="24218"/>
    <cellStyle name="메모 3 2 3 6 3 3" xfId="24219"/>
    <cellStyle name="메모 3 2 3 6 4" xfId="24220"/>
    <cellStyle name="메모 3 2 3 6 5" xfId="24221"/>
    <cellStyle name="메모 3 2 3 7" xfId="24222"/>
    <cellStyle name="메모 3 2 3 7 2" xfId="24223"/>
    <cellStyle name="메모 3 2 3 7 2 2" xfId="24224"/>
    <cellStyle name="메모 3 2 3 7 2 3" xfId="24225"/>
    <cellStyle name="메모 3 2 3 7 3" xfId="24226"/>
    <cellStyle name="메모 3 2 3 7 4" xfId="24227"/>
    <cellStyle name="메모 3 2 3 8" xfId="24228"/>
    <cellStyle name="메모 3 2 3 8 2" xfId="24229"/>
    <cellStyle name="메모 3 2 3 8 3" xfId="24230"/>
    <cellStyle name="메모 3 2 3 9" xfId="24231"/>
    <cellStyle name="메모 3 2 4" xfId="24232"/>
    <cellStyle name="메모 3 2 4 10" xfId="24233"/>
    <cellStyle name="메모 3 2 4 2" xfId="24234"/>
    <cellStyle name="메모 3 2 4 2 2" xfId="24235"/>
    <cellStyle name="메모 3 2 4 2 2 2" xfId="24236"/>
    <cellStyle name="메모 3 2 4 2 2 2 2" xfId="24237"/>
    <cellStyle name="메모 3 2 4 2 2 2 2 2" xfId="24238"/>
    <cellStyle name="메모 3 2 4 2 2 2 2 3" xfId="24239"/>
    <cellStyle name="메모 3 2 4 2 2 2 3" xfId="24240"/>
    <cellStyle name="메모 3 2 4 2 2 2 4" xfId="24241"/>
    <cellStyle name="메모 3 2 4 2 2 3" xfId="24242"/>
    <cellStyle name="메모 3 2 4 2 2 3 2" xfId="24243"/>
    <cellStyle name="메모 3 2 4 2 2 3 3" xfId="24244"/>
    <cellStyle name="메모 3 2 4 2 2 4" xfId="24245"/>
    <cellStyle name="메모 3 2 4 2 2 5" xfId="24246"/>
    <cellStyle name="메모 3 2 4 2 3" xfId="24247"/>
    <cellStyle name="메모 3 2 4 2 3 2" xfId="24248"/>
    <cellStyle name="메모 3 2 4 2 3 2 2" xfId="24249"/>
    <cellStyle name="메모 3 2 4 2 3 2 2 2" xfId="24250"/>
    <cellStyle name="메모 3 2 4 2 3 2 2 3" xfId="24251"/>
    <cellStyle name="메모 3 2 4 2 3 2 3" xfId="24252"/>
    <cellStyle name="메모 3 2 4 2 3 2 4" xfId="24253"/>
    <cellStyle name="메모 3 2 4 2 3 3" xfId="24254"/>
    <cellStyle name="메모 3 2 4 2 3 3 2" xfId="24255"/>
    <cellStyle name="메모 3 2 4 2 3 3 3" xfId="24256"/>
    <cellStyle name="메모 3 2 4 2 3 4" xfId="24257"/>
    <cellStyle name="메모 3 2 4 2 3 5" xfId="24258"/>
    <cellStyle name="메모 3 2 4 2 4" xfId="24259"/>
    <cellStyle name="메모 3 2 4 2 4 2" xfId="24260"/>
    <cellStyle name="메모 3 2 4 2 4 2 2" xfId="24261"/>
    <cellStyle name="메모 3 2 4 2 4 2 3" xfId="24262"/>
    <cellStyle name="메모 3 2 4 2 4 3" xfId="24263"/>
    <cellStyle name="메모 3 2 4 2 4 4" xfId="24264"/>
    <cellStyle name="메모 3 2 4 2 5" xfId="24265"/>
    <cellStyle name="메모 3 2 4 2 5 2" xfId="24266"/>
    <cellStyle name="메모 3 2 4 2 5 3" xfId="24267"/>
    <cellStyle name="메모 3 2 4 2 6" xfId="24268"/>
    <cellStyle name="메모 3 2 4 2 7" xfId="24269"/>
    <cellStyle name="메모 3 2 4 3" xfId="24270"/>
    <cellStyle name="메모 3 2 4 3 2" xfId="24271"/>
    <cellStyle name="메모 3 2 4 3 2 2" xfId="24272"/>
    <cellStyle name="메모 3 2 4 3 2 2 2" xfId="24273"/>
    <cellStyle name="메모 3 2 4 3 2 2 2 2" xfId="24274"/>
    <cellStyle name="메모 3 2 4 3 2 2 2 3" xfId="24275"/>
    <cellStyle name="메모 3 2 4 3 2 2 3" xfId="24276"/>
    <cellStyle name="메모 3 2 4 3 2 2 4" xfId="24277"/>
    <cellStyle name="메모 3 2 4 3 2 3" xfId="24278"/>
    <cellStyle name="메모 3 2 4 3 2 3 2" xfId="24279"/>
    <cellStyle name="메모 3 2 4 3 2 3 3" xfId="24280"/>
    <cellStyle name="메모 3 2 4 3 2 4" xfId="24281"/>
    <cellStyle name="메모 3 2 4 3 2 5" xfId="24282"/>
    <cellStyle name="메모 3 2 4 3 3" xfId="24283"/>
    <cellStyle name="메모 3 2 4 3 3 2" xfId="24284"/>
    <cellStyle name="메모 3 2 4 3 3 2 2" xfId="24285"/>
    <cellStyle name="메모 3 2 4 3 3 2 2 2" xfId="24286"/>
    <cellStyle name="메모 3 2 4 3 3 2 2 3" xfId="24287"/>
    <cellStyle name="메모 3 2 4 3 3 2 3" xfId="24288"/>
    <cellStyle name="메모 3 2 4 3 3 2 4" xfId="24289"/>
    <cellStyle name="메모 3 2 4 3 3 3" xfId="24290"/>
    <cellStyle name="메모 3 2 4 3 3 3 2" xfId="24291"/>
    <cellStyle name="메모 3 2 4 3 3 3 3" xfId="24292"/>
    <cellStyle name="메모 3 2 4 3 3 4" xfId="24293"/>
    <cellStyle name="메모 3 2 4 3 3 5" xfId="24294"/>
    <cellStyle name="메모 3 2 4 3 4" xfId="24295"/>
    <cellStyle name="메모 3 2 4 3 4 2" xfId="24296"/>
    <cellStyle name="메모 3 2 4 3 4 2 2" xfId="24297"/>
    <cellStyle name="메모 3 2 4 3 4 2 3" xfId="24298"/>
    <cellStyle name="메모 3 2 4 3 4 3" xfId="24299"/>
    <cellStyle name="메모 3 2 4 3 4 4" xfId="24300"/>
    <cellStyle name="메모 3 2 4 3 5" xfId="24301"/>
    <cellStyle name="메모 3 2 4 3 5 2" xfId="24302"/>
    <cellStyle name="메모 3 2 4 3 5 3" xfId="24303"/>
    <cellStyle name="메모 3 2 4 3 6" xfId="24304"/>
    <cellStyle name="메모 3 2 4 3 7" xfId="24305"/>
    <cellStyle name="메모 3 2 4 4" xfId="24306"/>
    <cellStyle name="메모 3 2 4 4 2" xfId="24307"/>
    <cellStyle name="메모 3 2 4 4 2 2" xfId="24308"/>
    <cellStyle name="메모 3 2 4 4 2 2 2" xfId="24309"/>
    <cellStyle name="메모 3 2 4 4 2 2 3" xfId="24310"/>
    <cellStyle name="메모 3 2 4 4 2 3" xfId="24311"/>
    <cellStyle name="메모 3 2 4 4 2 4" xfId="24312"/>
    <cellStyle name="메모 3 2 4 4 3" xfId="24313"/>
    <cellStyle name="메모 3 2 4 4 3 2" xfId="24314"/>
    <cellStyle name="메모 3 2 4 4 3 3" xfId="24315"/>
    <cellStyle name="메모 3 2 4 4 4" xfId="24316"/>
    <cellStyle name="메모 3 2 4 4 5" xfId="24317"/>
    <cellStyle name="메모 3 2 4 5" xfId="24318"/>
    <cellStyle name="메모 3 2 4 5 2" xfId="24319"/>
    <cellStyle name="메모 3 2 4 5 2 2" xfId="24320"/>
    <cellStyle name="메모 3 2 4 5 2 2 2" xfId="24321"/>
    <cellStyle name="메모 3 2 4 5 2 2 3" xfId="24322"/>
    <cellStyle name="메모 3 2 4 5 2 3" xfId="24323"/>
    <cellStyle name="메모 3 2 4 5 2 4" xfId="24324"/>
    <cellStyle name="메모 3 2 4 5 3" xfId="24325"/>
    <cellStyle name="메모 3 2 4 5 3 2" xfId="24326"/>
    <cellStyle name="메모 3 2 4 5 3 3" xfId="24327"/>
    <cellStyle name="메모 3 2 4 5 4" xfId="24328"/>
    <cellStyle name="메모 3 2 4 5 5" xfId="24329"/>
    <cellStyle name="메모 3 2 4 6" xfId="24330"/>
    <cellStyle name="메모 3 2 4 6 2" xfId="24331"/>
    <cellStyle name="메모 3 2 4 6 2 2" xfId="24332"/>
    <cellStyle name="메모 3 2 4 6 2 2 2" xfId="24333"/>
    <cellStyle name="메모 3 2 4 6 2 2 3" xfId="24334"/>
    <cellStyle name="메모 3 2 4 6 2 3" xfId="24335"/>
    <cellStyle name="메모 3 2 4 6 2 4" xfId="24336"/>
    <cellStyle name="메모 3 2 4 6 3" xfId="24337"/>
    <cellStyle name="메모 3 2 4 6 3 2" xfId="24338"/>
    <cellStyle name="메모 3 2 4 6 3 3" xfId="24339"/>
    <cellStyle name="메모 3 2 4 6 4" xfId="24340"/>
    <cellStyle name="메모 3 2 4 6 5" xfId="24341"/>
    <cellStyle name="메모 3 2 4 7" xfId="24342"/>
    <cellStyle name="메모 3 2 4 7 2" xfId="24343"/>
    <cellStyle name="메모 3 2 4 7 2 2" xfId="24344"/>
    <cellStyle name="메모 3 2 4 7 2 3" xfId="24345"/>
    <cellStyle name="메모 3 2 4 7 3" xfId="24346"/>
    <cellStyle name="메모 3 2 4 7 4" xfId="24347"/>
    <cellStyle name="메모 3 2 4 8" xfId="24348"/>
    <cellStyle name="메모 3 2 4 8 2" xfId="24349"/>
    <cellStyle name="메모 3 2 4 8 3" xfId="24350"/>
    <cellStyle name="메모 3 2 4 9" xfId="24351"/>
    <cellStyle name="메모 3 2 5" xfId="24352"/>
    <cellStyle name="메모 3 2 5 2" xfId="24353"/>
    <cellStyle name="메모 3 2 5 2 2" xfId="24354"/>
    <cellStyle name="메모 3 2 5 2 2 2" xfId="24355"/>
    <cellStyle name="메모 3 2 5 2 2 2 2" xfId="24356"/>
    <cellStyle name="메모 3 2 5 2 2 2 3" xfId="24357"/>
    <cellStyle name="메모 3 2 5 2 2 3" xfId="24358"/>
    <cellStyle name="메모 3 2 5 2 2 4" xfId="24359"/>
    <cellStyle name="메모 3 2 5 2 3" xfId="24360"/>
    <cellStyle name="메모 3 2 5 2 3 2" xfId="24361"/>
    <cellStyle name="메모 3 2 5 2 3 3" xfId="24362"/>
    <cellStyle name="메모 3 2 5 2 4" xfId="24363"/>
    <cellStyle name="메모 3 2 5 2 5" xfId="24364"/>
    <cellStyle name="메모 3 2 5 3" xfId="24365"/>
    <cellStyle name="메모 3 2 5 3 2" xfId="24366"/>
    <cellStyle name="메모 3 2 5 3 2 2" xfId="24367"/>
    <cellStyle name="메모 3 2 5 3 2 2 2" xfId="24368"/>
    <cellStyle name="메모 3 2 5 3 2 2 3" xfId="24369"/>
    <cellStyle name="메모 3 2 5 3 2 3" xfId="24370"/>
    <cellStyle name="메모 3 2 5 3 2 4" xfId="24371"/>
    <cellStyle name="메모 3 2 5 3 3" xfId="24372"/>
    <cellStyle name="메모 3 2 5 3 3 2" xfId="24373"/>
    <cellStyle name="메모 3 2 5 3 3 3" xfId="24374"/>
    <cellStyle name="메모 3 2 5 3 4" xfId="24375"/>
    <cellStyle name="메모 3 2 5 3 5" xfId="24376"/>
    <cellStyle name="메모 3 2 5 4" xfId="24377"/>
    <cellStyle name="메모 3 2 5 4 2" xfId="24378"/>
    <cellStyle name="메모 3 2 5 4 2 2" xfId="24379"/>
    <cellStyle name="메모 3 2 5 4 2 3" xfId="24380"/>
    <cellStyle name="메모 3 2 5 4 3" xfId="24381"/>
    <cellStyle name="메모 3 2 5 4 4" xfId="24382"/>
    <cellStyle name="메모 3 2 5 5" xfId="24383"/>
    <cellStyle name="메모 3 2 5 5 2" xfId="24384"/>
    <cellStyle name="메모 3 2 5 5 3" xfId="24385"/>
    <cellStyle name="메모 3 2 5 6" xfId="24386"/>
    <cellStyle name="메모 3 2 5 7" xfId="24387"/>
    <cellStyle name="메모 3 2 6" xfId="24388"/>
    <cellStyle name="메모 3 2 6 2" xfId="24389"/>
    <cellStyle name="메모 3 2 6 2 2" xfId="24390"/>
    <cellStyle name="메모 3 2 6 2 2 2" xfId="24391"/>
    <cellStyle name="메모 3 2 6 2 2 2 2" xfId="24392"/>
    <cellStyle name="메모 3 2 6 2 2 2 3" xfId="24393"/>
    <cellStyle name="메모 3 2 6 2 2 3" xfId="24394"/>
    <cellStyle name="메모 3 2 6 2 2 4" xfId="24395"/>
    <cellStyle name="메모 3 2 6 2 3" xfId="24396"/>
    <cellStyle name="메모 3 2 6 2 3 2" xfId="24397"/>
    <cellStyle name="메모 3 2 6 2 3 3" xfId="24398"/>
    <cellStyle name="메모 3 2 6 2 4" xfId="24399"/>
    <cellStyle name="메모 3 2 6 2 5" xfId="24400"/>
    <cellStyle name="메모 3 2 6 3" xfId="24401"/>
    <cellStyle name="메모 3 2 6 3 2" xfId="24402"/>
    <cellStyle name="메모 3 2 6 3 2 2" xfId="24403"/>
    <cellStyle name="메모 3 2 6 3 2 2 2" xfId="24404"/>
    <cellStyle name="메모 3 2 6 3 2 2 3" xfId="24405"/>
    <cellStyle name="메모 3 2 6 3 2 3" xfId="24406"/>
    <cellStyle name="메모 3 2 6 3 2 4" xfId="24407"/>
    <cellStyle name="메모 3 2 6 3 3" xfId="24408"/>
    <cellStyle name="메모 3 2 6 3 3 2" xfId="24409"/>
    <cellStyle name="메모 3 2 6 3 3 3" xfId="24410"/>
    <cellStyle name="메모 3 2 6 3 4" xfId="24411"/>
    <cellStyle name="메모 3 2 6 3 5" xfId="24412"/>
    <cellStyle name="메모 3 2 6 4" xfId="24413"/>
    <cellStyle name="메모 3 2 6 4 2" xfId="24414"/>
    <cellStyle name="메모 3 2 6 4 2 2" xfId="24415"/>
    <cellStyle name="메모 3 2 6 4 2 3" xfId="24416"/>
    <cellStyle name="메모 3 2 6 4 3" xfId="24417"/>
    <cellStyle name="메모 3 2 6 4 4" xfId="24418"/>
    <cellStyle name="메모 3 2 6 5" xfId="24419"/>
    <cellStyle name="메모 3 2 6 5 2" xfId="24420"/>
    <cellStyle name="메모 3 2 6 5 3" xfId="24421"/>
    <cellStyle name="메모 3 2 6 6" xfId="24422"/>
    <cellStyle name="메모 3 2 6 7" xfId="24423"/>
    <cellStyle name="메모 3 2 7" xfId="24424"/>
    <cellStyle name="메모 3 2 7 2" xfId="24425"/>
    <cellStyle name="메모 3 2 7 2 2" xfId="24426"/>
    <cellStyle name="메모 3 2 7 2 2 2" xfId="24427"/>
    <cellStyle name="메모 3 2 7 2 2 3" xfId="24428"/>
    <cellStyle name="메모 3 2 7 2 3" xfId="24429"/>
    <cellStyle name="메모 3 2 7 2 4" xfId="24430"/>
    <cellStyle name="메모 3 2 7 3" xfId="24431"/>
    <cellStyle name="메모 3 2 7 3 2" xfId="24432"/>
    <cellStyle name="메모 3 2 7 3 3" xfId="24433"/>
    <cellStyle name="메모 3 2 7 4" xfId="24434"/>
    <cellStyle name="메모 3 2 7 5" xfId="24435"/>
    <cellStyle name="메모 3 2 8" xfId="24436"/>
    <cellStyle name="메모 3 2 8 2" xfId="24437"/>
    <cellStyle name="메모 3 2 8 2 2" xfId="24438"/>
    <cellStyle name="메모 3 2 8 2 2 2" xfId="24439"/>
    <cellStyle name="메모 3 2 8 2 2 3" xfId="24440"/>
    <cellStyle name="메모 3 2 8 2 3" xfId="24441"/>
    <cellStyle name="메모 3 2 8 2 4" xfId="24442"/>
    <cellStyle name="메모 3 2 8 3" xfId="24443"/>
    <cellStyle name="메모 3 2 8 3 2" xfId="24444"/>
    <cellStyle name="메모 3 2 8 3 3" xfId="24445"/>
    <cellStyle name="메모 3 2 8 4" xfId="24446"/>
    <cellStyle name="메모 3 2 8 5" xfId="24447"/>
    <cellStyle name="메모 3 2 9" xfId="24448"/>
    <cellStyle name="메모 3 2 9 2" xfId="24449"/>
    <cellStyle name="메모 3 2 9 2 2" xfId="24450"/>
    <cellStyle name="메모 3 2 9 2 2 2" xfId="24451"/>
    <cellStyle name="메모 3 2 9 2 2 3" xfId="24452"/>
    <cellStyle name="메모 3 2 9 2 3" xfId="24453"/>
    <cellStyle name="메모 3 2 9 2 4" xfId="24454"/>
    <cellStyle name="메모 3 2 9 3" xfId="24455"/>
    <cellStyle name="메모 3 2 9 3 2" xfId="24456"/>
    <cellStyle name="메모 3 2 9 3 3" xfId="24457"/>
    <cellStyle name="메모 3 2 9 4" xfId="24458"/>
    <cellStyle name="메모 3 2 9 5" xfId="24459"/>
    <cellStyle name="메모 3 3" xfId="24460"/>
    <cellStyle name="메모 3 3 10" xfId="24461"/>
    <cellStyle name="메모 3 3 11" xfId="24462"/>
    <cellStyle name="메모 3 3 12" xfId="24463"/>
    <cellStyle name="메모 3 3 2" xfId="24464"/>
    <cellStyle name="메모 3 3 2 2" xfId="24465"/>
    <cellStyle name="메모 3 3 2 2 2" xfId="24466"/>
    <cellStyle name="메모 3 3 2 2 2 2" xfId="24467"/>
    <cellStyle name="메모 3 3 2 2 2 2 2" xfId="24468"/>
    <cellStyle name="메모 3 3 2 2 2 2 3" xfId="24469"/>
    <cellStyle name="메모 3 3 2 2 2 3" xfId="24470"/>
    <cellStyle name="메모 3 3 2 2 2 4" xfId="24471"/>
    <cellStyle name="메모 3 3 2 2 3" xfId="24472"/>
    <cellStyle name="메모 3 3 2 2 3 2" xfId="24473"/>
    <cellStyle name="메모 3 3 2 2 3 3" xfId="24474"/>
    <cellStyle name="메모 3 3 2 2 4" xfId="24475"/>
    <cellStyle name="메모 3 3 2 2 5" xfId="24476"/>
    <cellStyle name="메모 3 3 2 3" xfId="24477"/>
    <cellStyle name="메모 3 3 2 3 2" xfId="24478"/>
    <cellStyle name="메모 3 3 2 3 2 2" xfId="24479"/>
    <cellStyle name="메모 3 3 2 3 2 2 2" xfId="24480"/>
    <cellStyle name="메모 3 3 2 3 2 2 3" xfId="24481"/>
    <cellStyle name="메모 3 3 2 3 2 3" xfId="24482"/>
    <cellStyle name="메모 3 3 2 3 2 4" xfId="24483"/>
    <cellStyle name="메모 3 3 2 3 3" xfId="24484"/>
    <cellStyle name="메모 3 3 2 3 3 2" xfId="24485"/>
    <cellStyle name="메모 3 3 2 3 3 3" xfId="24486"/>
    <cellStyle name="메모 3 3 2 3 4" xfId="24487"/>
    <cellStyle name="메모 3 3 2 3 5" xfId="24488"/>
    <cellStyle name="메모 3 3 2 4" xfId="24489"/>
    <cellStyle name="메모 3 3 2 4 2" xfId="24490"/>
    <cellStyle name="메모 3 3 2 4 2 2" xfId="24491"/>
    <cellStyle name="메모 3 3 2 4 2 3" xfId="24492"/>
    <cellStyle name="메모 3 3 2 4 3" xfId="24493"/>
    <cellStyle name="메모 3 3 2 4 4" xfId="24494"/>
    <cellStyle name="메모 3 3 2 5" xfId="24495"/>
    <cellStyle name="메모 3 3 2 5 2" xfId="24496"/>
    <cellStyle name="메모 3 3 2 5 3" xfId="24497"/>
    <cellStyle name="메모 3 3 2 6" xfId="24498"/>
    <cellStyle name="메모 3 3 2 7" xfId="24499"/>
    <cellStyle name="메모 3 3 2 8" xfId="24500"/>
    <cellStyle name="메모 3 3 2 9" xfId="24501"/>
    <cellStyle name="메모 3 3 3" xfId="24502"/>
    <cellStyle name="메모 3 3 3 2" xfId="24503"/>
    <cellStyle name="메모 3 3 3 2 2" xfId="24504"/>
    <cellStyle name="메모 3 3 3 2 2 2" xfId="24505"/>
    <cellStyle name="메모 3 3 3 2 2 2 2" xfId="24506"/>
    <cellStyle name="메모 3 3 3 2 2 2 3" xfId="24507"/>
    <cellStyle name="메모 3 3 3 2 2 3" xfId="24508"/>
    <cellStyle name="메모 3 3 3 2 2 4" xfId="24509"/>
    <cellStyle name="메모 3 3 3 2 3" xfId="24510"/>
    <cellStyle name="메모 3 3 3 2 3 2" xfId="24511"/>
    <cellStyle name="메모 3 3 3 2 3 3" xfId="24512"/>
    <cellStyle name="메모 3 3 3 2 4" xfId="24513"/>
    <cellStyle name="메모 3 3 3 2 5" xfId="24514"/>
    <cellStyle name="메모 3 3 3 3" xfId="24515"/>
    <cellStyle name="메모 3 3 3 3 2" xfId="24516"/>
    <cellStyle name="메모 3 3 3 3 2 2" xfId="24517"/>
    <cellStyle name="메모 3 3 3 3 2 2 2" xfId="24518"/>
    <cellStyle name="메모 3 3 3 3 2 2 3" xfId="24519"/>
    <cellStyle name="메모 3 3 3 3 2 3" xfId="24520"/>
    <cellStyle name="메모 3 3 3 3 2 4" xfId="24521"/>
    <cellStyle name="메모 3 3 3 3 3" xfId="24522"/>
    <cellStyle name="메모 3 3 3 3 3 2" xfId="24523"/>
    <cellStyle name="메모 3 3 3 3 3 3" xfId="24524"/>
    <cellStyle name="메모 3 3 3 3 4" xfId="24525"/>
    <cellStyle name="메모 3 3 3 3 5" xfId="24526"/>
    <cellStyle name="메모 3 3 3 4" xfId="24527"/>
    <cellStyle name="메모 3 3 3 4 2" xfId="24528"/>
    <cellStyle name="메모 3 3 3 4 2 2" xfId="24529"/>
    <cellStyle name="메모 3 3 3 4 2 3" xfId="24530"/>
    <cellStyle name="메모 3 3 3 4 3" xfId="24531"/>
    <cellStyle name="메모 3 3 3 4 4" xfId="24532"/>
    <cellStyle name="메모 3 3 3 5" xfId="24533"/>
    <cellStyle name="메모 3 3 3 5 2" xfId="24534"/>
    <cellStyle name="메모 3 3 3 5 3" xfId="24535"/>
    <cellStyle name="메모 3 3 3 6" xfId="24536"/>
    <cellStyle name="메모 3 3 3 7" xfId="24537"/>
    <cellStyle name="메모 3 3 4" xfId="24538"/>
    <cellStyle name="메모 3 3 4 2" xfId="24539"/>
    <cellStyle name="메모 3 3 4 2 2" xfId="24540"/>
    <cellStyle name="메모 3 3 4 2 2 2" xfId="24541"/>
    <cellStyle name="메모 3 3 4 2 2 3" xfId="24542"/>
    <cellStyle name="메모 3 3 4 2 3" xfId="24543"/>
    <cellStyle name="메모 3 3 4 2 4" xfId="24544"/>
    <cellStyle name="메모 3 3 4 3" xfId="24545"/>
    <cellStyle name="메모 3 3 4 3 2" xfId="24546"/>
    <cellStyle name="메모 3 3 4 3 3" xfId="24547"/>
    <cellStyle name="메모 3 3 4 4" xfId="24548"/>
    <cellStyle name="메모 3 3 4 5" xfId="24549"/>
    <cellStyle name="메모 3 3 5" xfId="24550"/>
    <cellStyle name="메모 3 3 5 2" xfId="24551"/>
    <cellStyle name="메모 3 3 5 2 2" xfId="24552"/>
    <cellStyle name="메모 3 3 5 2 2 2" xfId="24553"/>
    <cellStyle name="메모 3 3 5 2 2 3" xfId="24554"/>
    <cellStyle name="메모 3 3 5 2 3" xfId="24555"/>
    <cellStyle name="메모 3 3 5 2 4" xfId="24556"/>
    <cellStyle name="메모 3 3 5 3" xfId="24557"/>
    <cellStyle name="메모 3 3 5 3 2" xfId="24558"/>
    <cellStyle name="메모 3 3 5 3 3" xfId="24559"/>
    <cellStyle name="메모 3 3 5 4" xfId="24560"/>
    <cellStyle name="메모 3 3 5 5" xfId="24561"/>
    <cellStyle name="메모 3 3 6" xfId="24562"/>
    <cellStyle name="메모 3 3 6 2" xfId="24563"/>
    <cellStyle name="메모 3 3 6 2 2" xfId="24564"/>
    <cellStyle name="메모 3 3 6 2 2 2" xfId="24565"/>
    <cellStyle name="메모 3 3 6 2 2 3" xfId="24566"/>
    <cellStyle name="메모 3 3 6 2 3" xfId="24567"/>
    <cellStyle name="메모 3 3 6 2 4" xfId="24568"/>
    <cellStyle name="메모 3 3 6 3" xfId="24569"/>
    <cellStyle name="메모 3 3 6 3 2" xfId="24570"/>
    <cellStyle name="메모 3 3 6 3 3" xfId="24571"/>
    <cellStyle name="메모 3 3 6 4" xfId="24572"/>
    <cellStyle name="메모 3 3 6 5" xfId="24573"/>
    <cellStyle name="메모 3 3 7" xfId="24574"/>
    <cellStyle name="메모 3 3 7 2" xfId="24575"/>
    <cellStyle name="메모 3 3 7 2 2" xfId="24576"/>
    <cellStyle name="메모 3 3 7 2 3" xfId="24577"/>
    <cellStyle name="메모 3 3 7 3" xfId="24578"/>
    <cellStyle name="메모 3 3 7 4" xfId="24579"/>
    <cellStyle name="메모 3 3 8" xfId="24580"/>
    <cellStyle name="메모 3 3 8 2" xfId="24581"/>
    <cellStyle name="메모 3 3 8 3" xfId="24582"/>
    <cellStyle name="메모 3 3 9" xfId="24583"/>
    <cellStyle name="메모 3 4" xfId="24584"/>
    <cellStyle name="메모 3 4 10" xfId="24585"/>
    <cellStyle name="메모 3 4 11" xfId="24586"/>
    <cellStyle name="메모 3 4 12" xfId="24587"/>
    <cellStyle name="메모 3 4 2" xfId="24588"/>
    <cellStyle name="메모 3 4 2 2" xfId="24589"/>
    <cellStyle name="메모 3 4 2 2 2" xfId="24590"/>
    <cellStyle name="메모 3 4 2 2 2 2" xfId="24591"/>
    <cellStyle name="메모 3 4 2 2 2 2 2" xfId="24592"/>
    <cellStyle name="메모 3 4 2 2 2 2 3" xfId="24593"/>
    <cellStyle name="메모 3 4 2 2 2 3" xfId="24594"/>
    <cellStyle name="메모 3 4 2 2 2 4" xfId="24595"/>
    <cellStyle name="메모 3 4 2 2 3" xfId="24596"/>
    <cellStyle name="메모 3 4 2 2 3 2" xfId="24597"/>
    <cellStyle name="메모 3 4 2 2 3 3" xfId="24598"/>
    <cellStyle name="메모 3 4 2 2 4" xfId="24599"/>
    <cellStyle name="메모 3 4 2 2 5" xfId="24600"/>
    <cellStyle name="메모 3 4 2 3" xfId="24601"/>
    <cellStyle name="메모 3 4 2 3 2" xfId="24602"/>
    <cellStyle name="메모 3 4 2 3 2 2" xfId="24603"/>
    <cellStyle name="메모 3 4 2 3 2 2 2" xfId="24604"/>
    <cellStyle name="메모 3 4 2 3 2 2 3" xfId="24605"/>
    <cellStyle name="메모 3 4 2 3 2 3" xfId="24606"/>
    <cellStyle name="메모 3 4 2 3 2 4" xfId="24607"/>
    <cellStyle name="메모 3 4 2 3 3" xfId="24608"/>
    <cellStyle name="메모 3 4 2 3 3 2" xfId="24609"/>
    <cellStyle name="메모 3 4 2 3 3 3" xfId="24610"/>
    <cellStyle name="메모 3 4 2 3 4" xfId="24611"/>
    <cellStyle name="메모 3 4 2 3 5" xfId="24612"/>
    <cellStyle name="메모 3 4 2 4" xfId="24613"/>
    <cellStyle name="메모 3 4 2 4 2" xfId="24614"/>
    <cellStyle name="메모 3 4 2 4 2 2" xfId="24615"/>
    <cellStyle name="메모 3 4 2 4 2 3" xfId="24616"/>
    <cellStyle name="메모 3 4 2 4 3" xfId="24617"/>
    <cellStyle name="메모 3 4 2 4 4" xfId="24618"/>
    <cellStyle name="메모 3 4 2 5" xfId="24619"/>
    <cellStyle name="메모 3 4 2 5 2" xfId="24620"/>
    <cellStyle name="메모 3 4 2 5 3" xfId="24621"/>
    <cellStyle name="메모 3 4 2 6" xfId="24622"/>
    <cellStyle name="메모 3 4 2 7" xfId="24623"/>
    <cellStyle name="메모 3 4 3" xfId="24624"/>
    <cellStyle name="메모 3 4 3 2" xfId="24625"/>
    <cellStyle name="메모 3 4 3 2 2" xfId="24626"/>
    <cellStyle name="메모 3 4 3 2 2 2" xfId="24627"/>
    <cellStyle name="메모 3 4 3 2 2 2 2" xfId="24628"/>
    <cellStyle name="메모 3 4 3 2 2 2 3" xfId="24629"/>
    <cellStyle name="메모 3 4 3 2 2 3" xfId="24630"/>
    <cellStyle name="메모 3 4 3 2 2 4" xfId="24631"/>
    <cellStyle name="메모 3 4 3 2 3" xfId="24632"/>
    <cellStyle name="메모 3 4 3 2 3 2" xfId="24633"/>
    <cellStyle name="메모 3 4 3 2 3 3" xfId="24634"/>
    <cellStyle name="메모 3 4 3 2 4" xfId="24635"/>
    <cellStyle name="메모 3 4 3 2 5" xfId="24636"/>
    <cellStyle name="메모 3 4 3 3" xfId="24637"/>
    <cellStyle name="메모 3 4 3 3 2" xfId="24638"/>
    <cellStyle name="메모 3 4 3 3 2 2" xfId="24639"/>
    <cellStyle name="메모 3 4 3 3 2 2 2" xfId="24640"/>
    <cellStyle name="메모 3 4 3 3 2 2 3" xfId="24641"/>
    <cellStyle name="메모 3 4 3 3 2 3" xfId="24642"/>
    <cellStyle name="메모 3 4 3 3 2 4" xfId="24643"/>
    <cellStyle name="메모 3 4 3 3 3" xfId="24644"/>
    <cellStyle name="메모 3 4 3 3 3 2" xfId="24645"/>
    <cellStyle name="메모 3 4 3 3 3 3" xfId="24646"/>
    <cellStyle name="메모 3 4 3 3 4" xfId="24647"/>
    <cellStyle name="메모 3 4 3 3 5" xfId="24648"/>
    <cellStyle name="메모 3 4 3 4" xfId="24649"/>
    <cellStyle name="메모 3 4 3 4 2" xfId="24650"/>
    <cellStyle name="메모 3 4 3 4 2 2" xfId="24651"/>
    <cellStyle name="메모 3 4 3 4 2 3" xfId="24652"/>
    <cellStyle name="메모 3 4 3 4 3" xfId="24653"/>
    <cellStyle name="메모 3 4 3 4 4" xfId="24654"/>
    <cellStyle name="메모 3 4 3 5" xfId="24655"/>
    <cellStyle name="메모 3 4 3 5 2" xfId="24656"/>
    <cellStyle name="메모 3 4 3 5 3" xfId="24657"/>
    <cellStyle name="메모 3 4 3 6" xfId="24658"/>
    <cellStyle name="메모 3 4 3 7" xfId="24659"/>
    <cellStyle name="메모 3 4 4" xfId="24660"/>
    <cellStyle name="메모 3 4 4 2" xfId="24661"/>
    <cellStyle name="메모 3 4 4 2 2" xfId="24662"/>
    <cellStyle name="메모 3 4 4 2 2 2" xfId="24663"/>
    <cellStyle name="메모 3 4 4 2 2 3" xfId="24664"/>
    <cellStyle name="메모 3 4 4 2 3" xfId="24665"/>
    <cellStyle name="메모 3 4 4 2 4" xfId="24666"/>
    <cellStyle name="메모 3 4 4 3" xfId="24667"/>
    <cellStyle name="메모 3 4 4 3 2" xfId="24668"/>
    <cellStyle name="메모 3 4 4 3 3" xfId="24669"/>
    <cellStyle name="메모 3 4 4 4" xfId="24670"/>
    <cellStyle name="메모 3 4 4 5" xfId="24671"/>
    <cellStyle name="메모 3 4 5" xfId="24672"/>
    <cellStyle name="메모 3 4 5 2" xfId="24673"/>
    <cellStyle name="메모 3 4 5 2 2" xfId="24674"/>
    <cellStyle name="메모 3 4 5 2 2 2" xfId="24675"/>
    <cellStyle name="메모 3 4 5 2 2 3" xfId="24676"/>
    <cellStyle name="메모 3 4 5 2 3" xfId="24677"/>
    <cellStyle name="메모 3 4 5 2 4" xfId="24678"/>
    <cellStyle name="메모 3 4 5 3" xfId="24679"/>
    <cellStyle name="메모 3 4 5 3 2" xfId="24680"/>
    <cellStyle name="메모 3 4 5 3 3" xfId="24681"/>
    <cellStyle name="메모 3 4 5 4" xfId="24682"/>
    <cellStyle name="메모 3 4 5 5" xfId="24683"/>
    <cellStyle name="메모 3 4 6" xfId="24684"/>
    <cellStyle name="메모 3 4 6 2" xfId="24685"/>
    <cellStyle name="메모 3 4 6 2 2" xfId="24686"/>
    <cellStyle name="메모 3 4 6 2 2 2" xfId="24687"/>
    <cellStyle name="메모 3 4 6 2 2 3" xfId="24688"/>
    <cellStyle name="메모 3 4 6 2 3" xfId="24689"/>
    <cellStyle name="메모 3 4 6 2 4" xfId="24690"/>
    <cellStyle name="메모 3 4 6 3" xfId="24691"/>
    <cellStyle name="메모 3 4 6 3 2" xfId="24692"/>
    <cellStyle name="메모 3 4 6 3 3" xfId="24693"/>
    <cellStyle name="메모 3 4 6 4" xfId="24694"/>
    <cellStyle name="메모 3 4 6 5" xfId="24695"/>
    <cellStyle name="메모 3 4 7" xfId="24696"/>
    <cellStyle name="메모 3 4 7 2" xfId="24697"/>
    <cellStyle name="메모 3 4 7 2 2" xfId="24698"/>
    <cellStyle name="메모 3 4 7 2 3" xfId="24699"/>
    <cellStyle name="메모 3 4 7 3" xfId="24700"/>
    <cellStyle name="메모 3 4 7 4" xfId="24701"/>
    <cellStyle name="메모 3 4 8" xfId="24702"/>
    <cellStyle name="메모 3 4 8 2" xfId="24703"/>
    <cellStyle name="메모 3 4 8 3" xfId="24704"/>
    <cellStyle name="메모 3 4 9" xfId="24705"/>
    <cellStyle name="메모 3 5" xfId="24706"/>
    <cellStyle name="메모 3 5 10" xfId="24707"/>
    <cellStyle name="메모 3 5 10 2" xfId="24708"/>
    <cellStyle name="메모 3 5 10 3" xfId="24709"/>
    <cellStyle name="메모 3 5 10 4" xfId="24710"/>
    <cellStyle name="메모 3 5 11" xfId="24711"/>
    <cellStyle name="메모 3 5 11 2" xfId="24712"/>
    <cellStyle name="메모 3 5 11 3" xfId="24713"/>
    <cellStyle name="메모 3 5 12" xfId="24714"/>
    <cellStyle name="메모 3 5 13" xfId="24715"/>
    <cellStyle name="메모 3 5 14" xfId="24716"/>
    <cellStyle name="메모 3 5 2" xfId="24717"/>
    <cellStyle name="메모 3 5 2 2" xfId="24718"/>
    <cellStyle name="메모 3 5 2 2 2" xfId="24719"/>
    <cellStyle name="메모 3 5 2 2 2 2" xfId="24720"/>
    <cellStyle name="메모 3 5 2 2 2 2 2" xfId="24721"/>
    <cellStyle name="메모 3 5 2 2 2 2 3" xfId="24722"/>
    <cellStyle name="메모 3 5 2 2 2 3" xfId="24723"/>
    <cellStyle name="메모 3 5 2 2 2 4" xfId="24724"/>
    <cellStyle name="메모 3 5 2 2 3" xfId="24725"/>
    <cellStyle name="메모 3 5 2 2 3 2" xfId="24726"/>
    <cellStyle name="메모 3 5 2 2 3 3" xfId="24727"/>
    <cellStyle name="메모 3 5 2 2 4" xfId="24728"/>
    <cellStyle name="메모 3 5 2 2 5" xfId="24729"/>
    <cellStyle name="메모 3 5 2 2 6" xfId="24730"/>
    <cellStyle name="메모 3 5 2 3" xfId="24731"/>
    <cellStyle name="메모 3 5 2 3 2" xfId="24732"/>
    <cellStyle name="메모 3 5 2 3 2 2" xfId="24733"/>
    <cellStyle name="메모 3 5 2 3 2 2 2" xfId="24734"/>
    <cellStyle name="메모 3 5 2 3 2 2 3" xfId="24735"/>
    <cellStyle name="메모 3 5 2 3 2 3" xfId="24736"/>
    <cellStyle name="메모 3 5 2 3 2 4" xfId="24737"/>
    <cellStyle name="메모 3 5 2 3 3" xfId="24738"/>
    <cellStyle name="메모 3 5 2 3 3 2" xfId="24739"/>
    <cellStyle name="메모 3 5 2 3 3 3" xfId="24740"/>
    <cellStyle name="메모 3 5 2 3 4" xfId="24741"/>
    <cellStyle name="메모 3 5 2 3 5" xfId="24742"/>
    <cellStyle name="메모 3 5 2 4" xfId="24743"/>
    <cellStyle name="메모 3 5 2 4 2" xfId="24744"/>
    <cellStyle name="메모 3 5 2 4 2 2" xfId="24745"/>
    <cellStyle name="메모 3 5 2 4 2 3" xfId="24746"/>
    <cellStyle name="메모 3 5 2 4 3" xfId="24747"/>
    <cellStyle name="메모 3 5 2 4 4" xfId="24748"/>
    <cellStyle name="메모 3 5 2 5" xfId="24749"/>
    <cellStyle name="메모 3 5 2 5 2" xfId="24750"/>
    <cellStyle name="메모 3 5 2 5 3" xfId="24751"/>
    <cellStyle name="메모 3 5 2 6" xfId="24752"/>
    <cellStyle name="메모 3 5 2 7" xfId="24753"/>
    <cellStyle name="메모 3 5 2 8" xfId="24754"/>
    <cellStyle name="메모 3 5 3" xfId="24755"/>
    <cellStyle name="메모 3 5 3 2" xfId="24756"/>
    <cellStyle name="메모 3 5 3 2 2" xfId="24757"/>
    <cellStyle name="메모 3 5 3 2 2 2" xfId="24758"/>
    <cellStyle name="메모 3 5 3 2 2 2 2" xfId="24759"/>
    <cellStyle name="메모 3 5 3 2 2 2 3" xfId="24760"/>
    <cellStyle name="메모 3 5 3 2 2 3" xfId="24761"/>
    <cellStyle name="메모 3 5 3 2 2 4" xfId="24762"/>
    <cellStyle name="메모 3 5 3 2 3" xfId="24763"/>
    <cellStyle name="메모 3 5 3 2 3 2" xfId="24764"/>
    <cellStyle name="메모 3 5 3 2 3 3" xfId="24765"/>
    <cellStyle name="메모 3 5 3 2 4" xfId="24766"/>
    <cellStyle name="메모 3 5 3 2 5" xfId="24767"/>
    <cellStyle name="메모 3 5 3 2 6" xfId="24768"/>
    <cellStyle name="메모 3 5 3 3" xfId="24769"/>
    <cellStyle name="메모 3 5 3 3 2" xfId="24770"/>
    <cellStyle name="메모 3 5 3 3 2 2" xfId="24771"/>
    <cellStyle name="메모 3 5 3 3 2 2 2" xfId="24772"/>
    <cellStyle name="메모 3 5 3 3 2 2 3" xfId="24773"/>
    <cellStyle name="메모 3 5 3 3 2 3" xfId="24774"/>
    <cellStyle name="메모 3 5 3 3 2 4" xfId="24775"/>
    <cellStyle name="메모 3 5 3 3 3" xfId="24776"/>
    <cellStyle name="메모 3 5 3 3 3 2" xfId="24777"/>
    <cellStyle name="메모 3 5 3 3 3 3" xfId="24778"/>
    <cellStyle name="메모 3 5 3 3 4" xfId="24779"/>
    <cellStyle name="메모 3 5 3 3 5" xfId="24780"/>
    <cellStyle name="메모 3 5 3 4" xfId="24781"/>
    <cellStyle name="메모 3 5 3 4 2" xfId="24782"/>
    <cellStyle name="메모 3 5 3 4 2 2" xfId="24783"/>
    <cellStyle name="메모 3 5 3 4 2 3" xfId="24784"/>
    <cellStyle name="메모 3 5 3 4 3" xfId="24785"/>
    <cellStyle name="메모 3 5 3 4 4" xfId="24786"/>
    <cellStyle name="메모 3 5 3 5" xfId="24787"/>
    <cellStyle name="메모 3 5 3 5 2" xfId="24788"/>
    <cellStyle name="메모 3 5 3 5 3" xfId="24789"/>
    <cellStyle name="메모 3 5 3 6" xfId="24790"/>
    <cellStyle name="메모 3 5 3 7" xfId="24791"/>
    <cellStyle name="메모 3 5 3 8" xfId="24792"/>
    <cellStyle name="메모 3 5 4" xfId="24793"/>
    <cellStyle name="메모 3 5 4 2" xfId="24794"/>
    <cellStyle name="메모 3 5 4 2 2" xfId="24795"/>
    <cellStyle name="메모 3 5 4 2 2 2" xfId="24796"/>
    <cellStyle name="메모 3 5 4 2 2 3" xfId="24797"/>
    <cellStyle name="메모 3 5 4 2 3" xfId="24798"/>
    <cellStyle name="메모 3 5 4 2 4" xfId="24799"/>
    <cellStyle name="메모 3 5 4 2 5" xfId="24800"/>
    <cellStyle name="메모 3 5 4 3" xfId="24801"/>
    <cellStyle name="메모 3 5 4 3 2" xfId="24802"/>
    <cellStyle name="메모 3 5 4 3 3" xfId="24803"/>
    <cellStyle name="메모 3 5 4 4" xfId="24804"/>
    <cellStyle name="메모 3 5 4 5" xfId="24805"/>
    <cellStyle name="메모 3 5 4 6" xfId="24806"/>
    <cellStyle name="메모 3 5 5" xfId="24807"/>
    <cellStyle name="메모 3 5 5 2" xfId="24808"/>
    <cellStyle name="메모 3 5 5 2 2" xfId="24809"/>
    <cellStyle name="메모 3 5 5 2 2 2" xfId="24810"/>
    <cellStyle name="메모 3 5 5 2 2 3" xfId="24811"/>
    <cellStyle name="메모 3 5 5 2 3" xfId="24812"/>
    <cellStyle name="메모 3 5 5 2 4" xfId="24813"/>
    <cellStyle name="메모 3 5 5 2 5" xfId="24814"/>
    <cellStyle name="메모 3 5 5 3" xfId="24815"/>
    <cellStyle name="메모 3 5 5 3 2" xfId="24816"/>
    <cellStyle name="메모 3 5 5 3 3" xfId="24817"/>
    <cellStyle name="메모 3 5 5 4" xfId="24818"/>
    <cellStyle name="메모 3 5 5 5" xfId="24819"/>
    <cellStyle name="메모 3 5 5 6" xfId="24820"/>
    <cellStyle name="메모 3 5 6" xfId="24821"/>
    <cellStyle name="메모 3 5 6 2" xfId="24822"/>
    <cellStyle name="메모 3 5 6 2 2" xfId="24823"/>
    <cellStyle name="메모 3 5 6 2 2 2" xfId="24824"/>
    <cellStyle name="메모 3 5 6 2 2 3" xfId="24825"/>
    <cellStyle name="메모 3 5 6 2 3" xfId="24826"/>
    <cellStyle name="메모 3 5 6 2 4" xfId="24827"/>
    <cellStyle name="메모 3 5 6 2 5" xfId="24828"/>
    <cellStyle name="메모 3 5 6 3" xfId="24829"/>
    <cellStyle name="메모 3 5 6 3 2" xfId="24830"/>
    <cellStyle name="메모 3 5 6 3 3" xfId="24831"/>
    <cellStyle name="메모 3 5 6 4" xfId="24832"/>
    <cellStyle name="메모 3 5 6 5" xfId="24833"/>
    <cellStyle name="메모 3 5 6 6" xfId="24834"/>
    <cellStyle name="메모 3 5 7" xfId="24835"/>
    <cellStyle name="메모 3 5 7 2" xfId="24836"/>
    <cellStyle name="메모 3 5 7 2 2" xfId="24837"/>
    <cellStyle name="메모 3 5 7 2 3" xfId="24838"/>
    <cellStyle name="메모 3 5 7 2 4" xfId="24839"/>
    <cellStyle name="메모 3 5 7 3" xfId="24840"/>
    <cellStyle name="메모 3 5 7 4" xfId="24841"/>
    <cellStyle name="메모 3 5 7 5" xfId="24842"/>
    <cellStyle name="메모 3 5 8" xfId="24843"/>
    <cellStyle name="메모 3 5 8 2" xfId="24844"/>
    <cellStyle name="메모 3 5 8 2 2" xfId="24845"/>
    <cellStyle name="메모 3 5 8 3" xfId="24846"/>
    <cellStyle name="메모 3 5 8 3 2" xfId="24847"/>
    <cellStyle name="메모 3 5 8 4" xfId="24848"/>
    <cellStyle name="메모 3 5 9" xfId="24849"/>
    <cellStyle name="메모 3 5 9 2" xfId="24850"/>
    <cellStyle name="메모 3 5 9 3" xfId="24851"/>
    <cellStyle name="메모 3 5 9 4" xfId="24852"/>
    <cellStyle name="메모 3 6" xfId="24853"/>
    <cellStyle name="메모 3 6 2" xfId="24854"/>
    <cellStyle name="메모 3 6 2 2" xfId="24855"/>
    <cellStyle name="메모 3 6 2 2 2" xfId="24856"/>
    <cellStyle name="메모 3 6 2 2 2 2" xfId="24857"/>
    <cellStyle name="메모 3 6 2 2 2 3" xfId="24858"/>
    <cellStyle name="메모 3 6 2 2 3" xfId="24859"/>
    <cellStyle name="메모 3 6 2 2 4" xfId="24860"/>
    <cellStyle name="메모 3 6 2 3" xfId="24861"/>
    <cellStyle name="메모 3 6 2 3 2" xfId="24862"/>
    <cellStyle name="메모 3 6 2 3 3" xfId="24863"/>
    <cellStyle name="메모 3 6 2 4" xfId="24864"/>
    <cellStyle name="메모 3 6 2 5" xfId="24865"/>
    <cellStyle name="메모 3 6 3" xfId="24866"/>
    <cellStyle name="메모 3 6 3 2" xfId="24867"/>
    <cellStyle name="메모 3 6 3 2 2" xfId="24868"/>
    <cellStyle name="메모 3 6 3 2 2 2" xfId="24869"/>
    <cellStyle name="메모 3 6 3 2 2 3" xfId="24870"/>
    <cellStyle name="메모 3 6 3 2 3" xfId="24871"/>
    <cellStyle name="메모 3 6 3 2 4" xfId="24872"/>
    <cellStyle name="메모 3 6 3 3" xfId="24873"/>
    <cellStyle name="메모 3 6 3 3 2" xfId="24874"/>
    <cellStyle name="메모 3 6 3 3 3" xfId="24875"/>
    <cellStyle name="메모 3 6 3 4" xfId="24876"/>
    <cellStyle name="메모 3 6 3 5" xfId="24877"/>
    <cellStyle name="메모 3 6 4" xfId="24878"/>
    <cellStyle name="메모 3 6 4 2" xfId="24879"/>
    <cellStyle name="메모 3 6 4 2 2" xfId="24880"/>
    <cellStyle name="메모 3 6 4 2 3" xfId="24881"/>
    <cellStyle name="메모 3 6 4 3" xfId="24882"/>
    <cellStyle name="메모 3 6 4 4" xfId="24883"/>
    <cellStyle name="메모 3 6 5" xfId="24884"/>
    <cellStyle name="메모 3 6 5 2" xfId="24885"/>
    <cellStyle name="메모 3 6 5 3" xfId="24886"/>
    <cellStyle name="메모 3 6 6" xfId="24887"/>
    <cellStyle name="메모 3 6 7" xfId="24888"/>
    <cellStyle name="메모 3 7" xfId="24889"/>
    <cellStyle name="메모 3 7 2" xfId="24890"/>
    <cellStyle name="메모 3 7 2 2" xfId="24891"/>
    <cellStyle name="메모 3 7 2 2 2" xfId="24892"/>
    <cellStyle name="메모 3 7 2 2 2 2" xfId="24893"/>
    <cellStyle name="메모 3 7 2 2 2 3" xfId="24894"/>
    <cellStyle name="메모 3 7 2 2 3" xfId="24895"/>
    <cellStyle name="메모 3 7 2 2 4" xfId="24896"/>
    <cellStyle name="메모 3 7 2 3" xfId="24897"/>
    <cellStyle name="메모 3 7 2 3 2" xfId="24898"/>
    <cellStyle name="메모 3 7 2 3 3" xfId="24899"/>
    <cellStyle name="메모 3 7 2 4" xfId="24900"/>
    <cellStyle name="메모 3 7 2 5" xfId="24901"/>
    <cellStyle name="메모 3 7 3" xfId="24902"/>
    <cellStyle name="메모 3 7 3 2" xfId="24903"/>
    <cellStyle name="메모 3 7 3 2 2" xfId="24904"/>
    <cellStyle name="메모 3 7 3 2 2 2" xfId="24905"/>
    <cellStyle name="메모 3 7 3 2 2 3" xfId="24906"/>
    <cellStyle name="메모 3 7 3 2 3" xfId="24907"/>
    <cellStyle name="메모 3 7 3 2 4" xfId="24908"/>
    <cellStyle name="메모 3 7 3 3" xfId="24909"/>
    <cellStyle name="메모 3 7 3 3 2" xfId="24910"/>
    <cellStyle name="메모 3 7 3 3 3" xfId="24911"/>
    <cellStyle name="메모 3 7 3 4" xfId="24912"/>
    <cellStyle name="메모 3 7 3 5" xfId="24913"/>
    <cellStyle name="메모 3 7 4" xfId="24914"/>
    <cellStyle name="메모 3 7 4 2" xfId="24915"/>
    <cellStyle name="메모 3 7 4 2 2" xfId="24916"/>
    <cellStyle name="메모 3 7 4 2 3" xfId="24917"/>
    <cellStyle name="메모 3 7 4 3" xfId="24918"/>
    <cellStyle name="메모 3 7 4 4" xfId="24919"/>
    <cellStyle name="메모 3 7 5" xfId="24920"/>
    <cellStyle name="메모 3 7 5 2" xfId="24921"/>
    <cellStyle name="메모 3 7 5 3" xfId="24922"/>
    <cellStyle name="메모 3 7 6" xfId="24923"/>
    <cellStyle name="메모 3 7 7" xfId="24924"/>
    <cellStyle name="메모 3 8" xfId="24925"/>
    <cellStyle name="메모 3 8 2" xfId="24926"/>
    <cellStyle name="메모 3 8 2 2" xfId="24927"/>
    <cellStyle name="메모 3 8 2 2 2" xfId="24928"/>
    <cellStyle name="메모 3 8 2 2 3" xfId="24929"/>
    <cellStyle name="메모 3 8 2 3" xfId="24930"/>
    <cellStyle name="메모 3 8 2 4" xfId="24931"/>
    <cellStyle name="메모 3 8 3" xfId="24932"/>
    <cellStyle name="메모 3 8 3 2" xfId="24933"/>
    <cellStyle name="메모 3 8 3 3" xfId="24934"/>
    <cellStyle name="메모 3 8 4" xfId="24935"/>
    <cellStyle name="메모 3 8 5" xfId="24936"/>
    <cellStyle name="메모 3 9" xfId="24937"/>
    <cellStyle name="메모 3 9 2" xfId="24938"/>
    <cellStyle name="메모 3 9 2 2" xfId="24939"/>
    <cellStyle name="메모 3 9 2 2 2" xfId="24940"/>
    <cellStyle name="메모 3 9 2 2 3" xfId="24941"/>
    <cellStyle name="메모 3 9 2 3" xfId="24942"/>
    <cellStyle name="메모 3 9 2 4" xfId="24943"/>
    <cellStyle name="메모 3 9 3" xfId="24944"/>
    <cellStyle name="메모 3 9 3 2" xfId="24945"/>
    <cellStyle name="메모 3 9 3 3" xfId="24946"/>
    <cellStyle name="메모 3 9 4" xfId="24947"/>
    <cellStyle name="메모 3 9 5" xfId="24948"/>
    <cellStyle name="메모 30" xfId="24949"/>
    <cellStyle name="메모 31" xfId="24950"/>
    <cellStyle name="메모 32" xfId="24951"/>
    <cellStyle name="메모 33" xfId="24952"/>
    <cellStyle name="메모 34" xfId="24953"/>
    <cellStyle name="메모 35" xfId="24954"/>
    <cellStyle name="메모 36" xfId="24955"/>
    <cellStyle name="메모 37" xfId="24956"/>
    <cellStyle name="메모 38" xfId="24957"/>
    <cellStyle name="메모 39" xfId="24958"/>
    <cellStyle name="메모 4" xfId="24959"/>
    <cellStyle name="메모 4 10" xfId="24960"/>
    <cellStyle name="메모 4 10 2" xfId="24961"/>
    <cellStyle name="메모 4 10 2 2" xfId="24962"/>
    <cellStyle name="메모 4 10 2 3" xfId="24963"/>
    <cellStyle name="메모 4 10 3" xfId="24964"/>
    <cellStyle name="메모 4 10 4" xfId="24965"/>
    <cellStyle name="메모 4 11" xfId="24966"/>
    <cellStyle name="메모 4 11 2" xfId="24967"/>
    <cellStyle name="메모 4 11 3" xfId="24968"/>
    <cellStyle name="메모 4 12" xfId="24969"/>
    <cellStyle name="메모 4 13" xfId="24970"/>
    <cellStyle name="메모 4 14" xfId="24971"/>
    <cellStyle name="메모 4 15" xfId="24972"/>
    <cellStyle name="메모 4 2" xfId="24973"/>
    <cellStyle name="메모 4 2 10" xfId="24974"/>
    <cellStyle name="메모 4 2 11" xfId="24975"/>
    <cellStyle name="메모 4 2 12" xfId="24976"/>
    <cellStyle name="메모 4 2 2" xfId="24977"/>
    <cellStyle name="메모 4 2 2 2" xfId="24978"/>
    <cellStyle name="메모 4 2 2 2 2" xfId="24979"/>
    <cellStyle name="메모 4 2 2 2 2 2" xfId="24980"/>
    <cellStyle name="메모 4 2 2 2 2 2 2" xfId="24981"/>
    <cellStyle name="메모 4 2 2 2 2 2 3" xfId="24982"/>
    <cellStyle name="메모 4 2 2 2 2 3" xfId="24983"/>
    <cellStyle name="메모 4 2 2 2 2 4" xfId="24984"/>
    <cellStyle name="메모 4 2 2 2 3" xfId="24985"/>
    <cellStyle name="메모 4 2 2 2 3 2" xfId="24986"/>
    <cellStyle name="메모 4 2 2 2 3 3" xfId="24987"/>
    <cellStyle name="메모 4 2 2 2 4" xfId="24988"/>
    <cellStyle name="메모 4 2 2 2 5" xfId="24989"/>
    <cellStyle name="메모 4 2 2 3" xfId="24990"/>
    <cellStyle name="메모 4 2 2 3 2" xfId="24991"/>
    <cellStyle name="메모 4 2 2 3 2 2" xfId="24992"/>
    <cellStyle name="메모 4 2 2 3 2 2 2" xfId="24993"/>
    <cellStyle name="메모 4 2 2 3 2 2 3" xfId="24994"/>
    <cellStyle name="메모 4 2 2 3 2 3" xfId="24995"/>
    <cellStyle name="메모 4 2 2 3 2 4" xfId="24996"/>
    <cellStyle name="메모 4 2 2 3 3" xfId="24997"/>
    <cellStyle name="메모 4 2 2 3 3 2" xfId="24998"/>
    <cellStyle name="메모 4 2 2 3 3 3" xfId="24999"/>
    <cellStyle name="메모 4 2 2 3 4" xfId="25000"/>
    <cellStyle name="메모 4 2 2 3 5" xfId="25001"/>
    <cellStyle name="메모 4 2 2 4" xfId="25002"/>
    <cellStyle name="메모 4 2 2 4 2" xfId="25003"/>
    <cellStyle name="메모 4 2 2 4 2 2" xfId="25004"/>
    <cellStyle name="메모 4 2 2 4 2 3" xfId="25005"/>
    <cellStyle name="메모 4 2 2 4 3" xfId="25006"/>
    <cellStyle name="메모 4 2 2 4 4" xfId="25007"/>
    <cellStyle name="메모 4 2 2 5" xfId="25008"/>
    <cellStyle name="메모 4 2 2 5 2" xfId="25009"/>
    <cellStyle name="메모 4 2 2 5 3" xfId="25010"/>
    <cellStyle name="메모 4 2 2 6" xfId="25011"/>
    <cellStyle name="메모 4 2 2 7" xfId="25012"/>
    <cellStyle name="메모 4 2 2 8" xfId="25013"/>
    <cellStyle name="메모 4 2 2 9" xfId="25014"/>
    <cellStyle name="메모 4 2 3" xfId="25015"/>
    <cellStyle name="메모 4 2 3 2" xfId="25016"/>
    <cellStyle name="메모 4 2 3 2 2" xfId="25017"/>
    <cellStyle name="메모 4 2 3 2 2 2" xfId="25018"/>
    <cellStyle name="메모 4 2 3 2 2 2 2" xfId="25019"/>
    <cellStyle name="메모 4 2 3 2 2 2 3" xfId="25020"/>
    <cellStyle name="메모 4 2 3 2 2 3" xfId="25021"/>
    <cellStyle name="메모 4 2 3 2 2 4" xfId="25022"/>
    <cellStyle name="메모 4 2 3 2 3" xfId="25023"/>
    <cellStyle name="메모 4 2 3 2 3 2" xfId="25024"/>
    <cellStyle name="메모 4 2 3 2 3 3" xfId="25025"/>
    <cellStyle name="메모 4 2 3 2 4" xfId="25026"/>
    <cellStyle name="메모 4 2 3 2 5" xfId="25027"/>
    <cellStyle name="메모 4 2 3 3" xfId="25028"/>
    <cellStyle name="메모 4 2 3 3 2" xfId="25029"/>
    <cellStyle name="메모 4 2 3 3 2 2" xfId="25030"/>
    <cellStyle name="메모 4 2 3 3 2 2 2" xfId="25031"/>
    <cellStyle name="메모 4 2 3 3 2 2 3" xfId="25032"/>
    <cellStyle name="메모 4 2 3 3 2 3" xfId="25033"/>
    <cellStyle name="메모 4 2 3 3 2 4" xfId="25034"/>
    <cellStyle name="메모 4 2 3 3 3" xfId="25035"/>
    <cellStyle name="메모 4 2 3 3 3 2" xfId="25036"/>
    <cellStyle name="메모 4 2 3 3 3 3" xfId="25037"/>
    <cellStyle name="메모 4 2 3 3 4" xfId="25038"/>
    <cellStyle name="메모 4 2 3 3 5" xfId="25039"/>
    <cellStyle name="메모 4 2 3 4" xfId="25040"/>
    <cellStyle name="메모 4 2 3 4 2" xfId="25041"/>
    <cellStyle name="메모 4 2 3 4 2 2" xfId="25042"/>
    <cellStyle name="메모 4 2 3 4 2 3" xfId="25043"/>
    <cellStyle name="메모 4 2 3 4 3" xfId="25044"/>
    <cellStyle name="메모 4 2 3 4 4" xfId="25045"/>
    <cellStyle name="메모 4 2 3 5" xfId="25046"/>
    <cellStyle name="메모 4 2 3 5 2" xfId="25047"/>
    <cellStyle name="메모 4 2 3 5 3" xfId="25048"/>
    <cellStyle name="메모 4 2 3 6" xfId="25049"/>
    <cellStyle name="메모 4 2 3 7" xfId="25050"/>
    <cellStyle name="메모 4 2 4" xfId="25051"/>
    <cellStyle name="메모 4 2 4 2" xfId="25052"/>
    <cellStyle name="메모 4 2 4 2 2" xfId="25053"/>
    <cellStyle name="메모 4 2 4 2 2 2" xfId="25054"/>
    <cellStyle name="메모 4 2 4 2 2 3" xfId="25055"/>
    <cellStyle name="메모 4 2 4 2 3" xfId="25056"/>
    <cellStyle name="메모 4 2 4 2 4" xfId="25057"/>
    <cellStyle name="메모 4 2 4 3" xfId="25058"/>
    <cellStyle name="메모 4 2 4 3 2" xfId="25059"/>
    <cellStyle name="메모 4 2 4 3 3" xfId="25060"/>
    <cellStyle name="메모 4 2 4 4" xfId="25061"/>
    <cellStyle name="메모 4 2 4 5" xfId="25062"/>
    <cellStyle name="메모 4 2 5" xfId="25063"/>
    <cellStyle name="메모 4 2 5 2" xfId="25064"/>
    <cellStyle name="메모 4 2 5 2 2" xfId="25065"/>
    <cellStyle name="메모 4 2 5 2 2 2" xfId="25066"/>
    <cellStyle name="메모 4 2 5 2 2 3" xfId="25067"/>
    <cellStyle name="메모 4 2 5 2 3" xfId="25068"/>
    <cellStyle name="메모 4 2 5 2 4" xfId="25069"/>
    <cellStyle name="메모 4 2 5 3" xfId="25070"/>
    <cellStyle name="메모 4 2 5 3 2" xfId="25071"/>
    <cellStyle name="메모 4 2 5 3 3" xfId="25072"/>
    <cellStyle name="메모 4 2 5 4" xfId="25073"/>
    <cellStyle name="메모 4 2 5 5" xfId="25074"/>
    <cellStyle name="메모 4 2 6" xfId="25075"/>
    <cellStyle name="메모 4 2 6 2" xfId="25076"/>
    <cellStyle name="메모 4 2 6 2 2" xfId="25077"/>
    <cellStyle name="메모 4 2 6 2 2 2" xfId="25078"/>
    <cellStyle name="메모 4 2 6 2 2 3" xfId="25079"/>
    <cellStyle name="메모 4 2 6 2 3" xfId="25080"/>
    <cellStyle name="메모 4 2 6 2 4" xfId="25081"/>
    <cellStyle name="메모 4 2 6 3" xfId="25082"/>
    <cellStyle name="메모 4 2 6 3 2" xfId="25083"/>
    <cellStyle name="메모 4 2 6 3 3" xfId="25084"/>
    <cellStyle name="메모 4 2 6 4" xfId="25085"/>
    <cellStyle name="메모 4 2 6 5" xfId="25086"/>
    <cellStyle name="메모 4 2 7" xfId="25087"/>
    <cellStyle name="메모 4 2 7 2" xfId="25088"/>
    <cellStyle name="메모 4 2 7 2 2" xfId="25089"/>
    <cellStyle name="메모 4 2 7 2 3" xfId="25090"/>
    <cellStyle name="메모 4 2 7 3" xfId="25091"/>
    <cellStyle name="메모 4 2 7 4" xfId="25092"/>
    <cellStyle name="메모 4 2 8" xfId="25093"/>
    <cellStyle name="메모 4 2 8 2" xfId="25094"/>
    <cellStyle name="메모 4 2 8 3" xfId="25095"/>
    <cellStyle name="메모 4 2 9" xfId="25096"/>
    <cellStyle name="메모 4 3" xfId="25097"/>
    <cellStyle name="메모 4 3 10" xfId="25098"/>
    <cellStyle name="메모 4 3 11" xfId="25099"/>
    <cellStyle name="메모 4 3 12" xfId="25100"/>
    <cellStyle name="메모 4 3 2" xfId="25101"/>
    <cellStyle name="메모 4 3 2 2" xfId="25102"/>
    <cellStyle name="메모 4 3 2 2 2" xfId="25103"/>
    <cellStyle name="메모 4 3 2 2 2 2" xfId="25104"/>
    <cellStyle name="메모 4 3 2 2 2 2 2" xfId="25105"/>
    <cellStyle name="메모 4 3 2 2 2 2 3" xfId="25106"/>
    <cellStyle name="메모 4 3 2 2 2 3" xfId="25107"/>
    <cellStyle name="메모 4 3 2 2 2 4" xfId="25108"/>
    <cellStyle name="메모 4 3 2 2 3" xfId="25109"/>
    <cellStyle name="메모 4 3 2 2 3 2" xfId="25110"/>
    <cellStyle name="메모 4 3 2 2 3 3" xfId="25111"/>
    <cellStyle name="메모 4 3 2 2 4" xfId="25112"/>
    <cellStyle name="메모 4 3 2 2 5" xfId="25113"/>
    <cellStyle name="메모 4 3 2 3" xfId="25114"/>
    <cellStyle name="메모 4 3 2 3 2" xfId="25115"/>
    <cellStyle name="메모 4 3 2 3 2 2" xfId="25116"/>
    <cellStyle name="메모 4 3 2 3 2 2 2" xfId="25117"/>
    <cellStyle name="메모 4 3 2 3 2 2 3" xfId="25118"/>
    <cellStyle name="메모 4 3 2 3 2 3" xfId="25119"/>
    <cellStyle name="메모 4 3 2 3 2 4" xfId="25120"/>
    <cellStyle name="메모 4 3 2 3 3" xfId="25121"/>
    <cellStyle name="메모 4 3 2 3 3 2" xfId="25122"/>
    <cellStyle name="메모 4 3 2 3 3 3" xfId="25123"/>
    <cellStyle name="메모 4 3 2 3 4" xfId="25124"/>
    <cellStyle name="메모 4 3 2 3 5" xfId="25125"/>
    <cellStyle name="메모 4 3 2 4" xfId="25126"/>
    <cellStyle name="메모 4 3 2 4 2" xfId="25127"/>
    <cellStyle name="메모 4 3 2 4 2 2" xfId="25128"/>
    <cellStyle name="메모 4 3 2 4 2 3" xfId="25129"/>
    <cellStyle name="메모 4 3 2 4 3" xfId="25130"/>
    <cellStyle name="메모 4 3 2 4 4" xfId="25131"/>
    <cellStyle name="메모 4 3 2 5" xfId="25132"/>
    <cellStyle name="메모 4 3 2 5 2" xfId="25133"/>
    <cellStyle name="메모 4 3 2 5 3" xfId="25134"/>
    <cellStyle name="메모 4 3 2 6" xfId="25135"/>
    <cellStyle name="메모 4 3 2 7" xfId="25136"/>
    <cellStyle name="메모 4 3 2 8" xfId="25137"/>
    <cellStyle name="메모 4 3 2 9" xfId="25138"/>
    <cellStyle name="메모 4 3 3" xfId="25139"/>
    <cellStyle name="메모 4 3 3 2" xfId="25140"/>
    <cellStyle name="메모 4 3 3 2 2" xfId="25141"/>
    <cellStyle name="메모 4 3 3 2 2 2" xfId="25142"/>
    <cellStyle name="메모 4 3 3 2 2 2 2" xfId="25143"/>
    <cellStyle name="메모 4 3 3 2 2 2 3" xfId="25144"/>
    <cellStyle name="메모 4 3 3 2 2 3" xfId="25145"/>
    <cellStyle name="메모 4 3 3 2 2 4" xfId="25146"/>
    <cellStyle name="메모 4 3 3 2 3" xfId="25147"/>
    <cellStyle name="메모 4 3 3 2 3 2" xfId="25148"/>
    <cellStyle name="메모 4 3 3 2 3 3" xfId="25149"/>
    <cellStyle name="메모 4 3 3 2 4" xfId="25150"/>
    <cellStyle name="메모 4 3 3 2 5" xfId="25151"/>
    <cellStyle name="메모 4 3 3 3" xfId="25152"/>
    <cellStyle name="메모 4 3 3 3 2" xfId="25153"/>
    <cellStyle name="메모 4 3 3 3 2 2" xfId="25154"/>
    <cellStyle name="메모 4 3 3 3 2 2 2" xfId="25155"/>
    <cellStyle name="메모 4 3 3 3 2 2 3" xfId="25156"/>
    <cellStyle name="메모 4 3 3 3 2 3" xfId="25157"/>
    <cellStyle name="메모 4 3 3 3 2 4" xfId="25158"/>
    <cellStyle name="메모 4 3 3 3 3" xfId="25159"/>
    <cellStyle name="메모 4 3 3 3 3 2" xfId="25160"/>
    <cellStyle name="메모 4 3 3 3 3 3" xfId="25161"/>
    <cellStyle name="메모 4 3 3 3 4" xfId="25162"/>
    <cellStyle name="메모 4 3 3 3 5" xfId="25163"/>
    <cellStyle name="메모 4 3 3 4" xfId="25164"/>
    <cellStyle name="메모 4 3 3 4 2" xfId="25165"/>
    <cellStyle name="메모 4 3 3 4 2 2" xfId="25166"/>
    <cellStyle name="메모 4 3 3 4 2 3" xfId="25167"/>
    <cellStyle name="메모 4 3 3 4 3" xfId="25168"/>
    <cellStyle name="메모 4 3 3 4 4" xfId="25169"/>
    <cellStyle name="메모 4 3 3 5" xfId="25170"/>
    <cellStyle name="메모 4 3 3 5 2" xfId="25171"/>
    <cellStyle name="메모 4 3 3 5 3" xfId="25172"/>
    <cellStyle name="메모 4 3 3 6" xfId="25173"/>
    <cellStyle name="메모 4 3 3 7" xfId="25174"/>
    <cellStyle name="메모 4 3 4" xfId="25175"/>
    <cellStyle name="메모 4 3 4 2" xfId="25176"/>
    <cellStyle name="메모 4 3 4 2 2" xfId="25177"/>
    <cellStyle name="메모 4 3 4 2 2 2" xfId="25178"/>
    <cellStyle name="메모 4 3 4 2 2 3" xfId="25179"/>
    <cellStyle name="메모 4 3 4 2 3" xfId="25180"/>
    <cellStyle name="메모 4 3 4 2 4" xfId="25181"/>
    <cellStyle name="메모 4 3 4 3" xfId="25182"/>
    <cellStyle name="메모 4 3 4 3 2" xfId="25183"/>
    <cellStyle name="메모 4 3 4 3 3" xfId="25184"/>
    <cellStyle name="메모 4 3 4 4" xfId="25185"/>
    <cellStyle name="메모 4 3 4 5" xfId="25186"/>
    <cellStyle name="메모 4 3 5" xfId="25187"/>
    <cellStyle name="메모 4 3 5 2" xfId="25188"/>
    <cellStyle name="메모 4 3 5 2 2" xfId="25189"/>
    <cellStyle name="메모 4 3 5 2 2 2" xfId="25190"/>
    <cellStyle name="메모 4 3 5 2 2 3" xfId="25191"/>
    <cellStyle name="메모 4 3 5 2 3" xfId="25192"/>
    <cellStyle name="메모 4 3 5 2 4" xfId="25193"/>
    <cellStyle name="메모 4 3 5 3" xfId="25194"/>
    <cellStyle name="메모 4 3 5 3 2" xfId="25195"/>
    <cellStyle name="메모 4 3 5 3 3" xfId="25196"/>
    <cellStyle name="메모 4 3 5 4" xfId="25197"/>
    <cellStyle name="메모 4 3 5 5" xfId="25198"/>
    <cellStyle name="메모 4 3 6" xfId="25199"/>
    <cellStyle name="메모 4 3 6 2" xfId="25200"/>
    <cellStyle name="메모 4 3 6 2 2" xfId="25201"/>
    <cellStyle name="메모 4 3 6 2 2 2" xfId="25202"/>
    <cellStyle name="메모 4 3 6 2 2 3" xfId="25203"/>
    <cellStyle name="메모 4 3 6 2 3" xfId="25204"/>
    <cellStyle name="메모 4 3 6 2 4" xfId="25205"/>
    <cellStyle name="메모 4 3 6 3" xfId="25206"/>
    <cellStyle name="메모 4 3 6 3 2" xfId="25207"/>
    <cellStyle name="메모 4 3 6 3 3" xfId="25208"/>
    <cellStyle name="메모 4 3 6 4" xfId="25209"/>
    <cellStyle name="메모 4 3 6 5" xfId="25210"/>
    <cellStyle name="메모 4 3 7" xfId="25211"/>
    <cellStyle name="메모 4 3 7 2" xfId="25212"/>
    <cellStyle name="메모 4 3 7 2 2" xfId="25213"/>
    <cellStyle name="메모 4 3 7 2 3" xfId="25214"/>
    <cellStyle name="메모 4 3 7 3" xfId="25215"/>
    <cellStyle name="메모 4 3 7 4" xfId="25216"/>
    <cellStyle name="메모 4 3 8" xfId="25217"/>
    <cellStyle name="메모 4 3 8 2" xfId="25218"/>
    <cellStyle name="메모 4 3 8 3" xfId="25219"/>
    <cellStyle name="메모 4 3 9" xfId="25220"/>
    <cellStyle name="메모 4 4" xfId="25221"/>
    <cellStyle name="메모 4 4 10" xfId="25222"/>
    <cellStyle name="메모 4 4 11" xfId="25223"/>
    <cellStyle name="메모 4 4 12" xfId="25224"/>
    <cellStyle name="메모 4 4 2" xfId="25225"/>
    <cellStyle name="메모 4 4 2 2" xfId="25226"/>
    <cellStyle name="메모 4 4 2 2 2" xfId="25227"/>
    <cellStyle name="메모 4 4 2 2 2 2" xfId="25228"/>
    <cellStyle name="메모 4 4 2 2 2 2 2" xfId="25229"/>
    <cellStyle name="메모 4 4 2 2 2 2 3" xfId="25230"/>
    <cellStyle name="메모 4 4 2 2 2 3" xfId="25231"/>
    <cellStyle name="메모 4 4 2 2 2 4" xfId="25232"/>
    <cellStyle name="메모 4 4 2 2 3" xfId="25233"/>
    <cellStyle name="메모 4 4 2 2 3 2" xfId="25234"/>
    <cellStyle name="메모 4 4 2 2 3 3" xfId="25235"/>
    <cellStyle name="메모 4 4 2 2 4" xfId="25236"/>
    <cellStyle name="메모 4 4 2 2 5" xfId="25237"/>
    <cellStyle name="메모 4 4 2 3" xfId="25238"/>
    <cellStyle name="메모 4 4 2 3 2" xfId="25239"/>
    <cellStyle name="메모 4 4 2 3 2 2" xfId="25240"/>
    <cellStyle name="메모 4 4 2 3 2 2 2" xfId="25241"/>
    <cellStyle name="메모 4 4 2 3 2 2 3" xfId="25242"/>
    <cellStyle name="메모 4 4 2 3 2 3" xfId="25243"/>
    <cellStyle name="메모 4 4 2 3 2 4" xfId="25244"/>
    <cellStyle name="메모 4 4 2 3 3" xfId="25245"/>
    <cellStyle name="메모 4 4 2 3 3 2" xfId="25246"/>
    <cellStyle name="메모 4 4 2 3 3 3" xfId="25247"/>
    <cellStyle name="메모 4 4 2 3 4" xfId="25248"/>
    <cellStyle name="메모 4 4 2 3 5" xfId="25249"/>
    <cellStyle name="메모 4 4 2 4" xfId="25250"/>
    <cellStyle name="메모 4 4 2 4 2" xfId="25251"/>
    <cellStyle name="메모 4 4 2 4 2 2" xfId="25252"/>
    <cellStyle name="메모 4 4 2 4 2 3" xfId="25253"/>
    <cellStyle name="메모 4 4 2 4 3" xfId="25254"/>
    <cellStyle name="메모 4 4 2 4 4" xfId="25255"/>
    <cellStyle name="메모 4 4 2 5" xfId="25256"/>
    <cellStyle name="메모 4 4 2 5 2" xfId="25257"/>
    <cellStyle name="메모 4 4 2 5 3" xfId="25258"/>
    <cellStyle name="메모 4 4 2 6" xfId="25259"/>
    <cellStyle name="메모 4 4 2 7" xfId="25260"/>
    <cellStyle name="메모 4 4 3" xfId="25261"/>
    <cellStyle name="메모 4 4 3 2" xfId="25262"/>
    <cellStyle name="메모 4 4 3 2 2" xfId="25263"/>
    <cellStyle name="메모 4 4 3 2 2 2" xfId="25264"/>
    <cellStyle name="메모 4 4 3 2 2 2 2" xfId="25265"/>
    <cellStyle name="메모 4 4 3 2 2 2 3" xfId="25266"/>
    <cellStyle name="메모 4 4 3 2 2 3" xfId="25267"/>
    <cellStyle name="메모 4 4 3 2 2 4" xfId="25268"/>
    <cellStyle name="메모 4 4 3 2 3" xfId="25269"/>
    <cellStyle name="메모 4 4 3 2 3 2" xfId="25270"/>
    <cellStyle name="메모 4 4 3 2 3 3" xfId="25271"/>
    <cellStyle name="메모 4 4 3 2 4" xfId="25272"/>
    <cellStyle name="메모 4 4 3 2 5" xfId="25273"/>
    <cellStyle name="메모 4 4 3 3" xfId="25274"/>
    <cellStyle name="메모 4 4 3 3 2" xfId="25275"/>
    <cellStyle name="메모 4 4 3 3 2 2" xfId="25276"/>
    <cellStyle name="메모 4 4 3 3 2 2 2" xfId="25277"/>
    <cellStyle name="메모 4 4 3 3 2 2 3" xfId="25278"/>
    <cellStyle name="메모 4 4 3 3 2 3" xfId="25279"/>
    <cellStyle name="메모 4 4 3 3 2 4" xfId="25280"/>
    <cellStyle name="메모 4 4 3 3 3" xfId="25281"/>
    <cellStyle name="메모 4 4 3 3 3 2" xfId="25282"/>
    <cellStyle name="메모 4 4 3 3 3 3" xfId="25283"/>
    <cellStyle name="메모 4 4 3 3 4" xfId="25284"/>
    <cellStyle name="메모 4 4 3 3 5" xfId="25285"/>
    <cellStyle name="메모 4 4 3 4" xfId="25286"/>
    <cellStyle name="메모 4 4 3 4 2" xfId="25287"/>
    <cellStyle name="메모 4 4 3 4 2 2" xfId="25288"/>
    <cellStyle name="메모 4 4 3 4 2 3" xfId="25289"/>
    <cellStyle name="메모 4 4 3 4 3" xfId="25290"/>
    <cellStyle name="메모 4 4 3 4 4" xfId="25291"/>
    <cellStyle name="메모 4 4 3 5" xfId="25292"/>
    <cellStyle name="메모 4 4 3 5 2" xfId="25293"/>
    <cellStyle name="메모 4 4 3 5 3" xfId="25294"/>
    <cellStyle name="메모 4 4 3 6" xfId="25295"/>
    <cellStyle name="메모 4 4 3 7" xfId="25296"/>
    <cellStyle name="메모 4 4 4" xfId="25297"/>
    <cellStyle name="메모 4 4 4 2" xfId="25298"/>
    <cellStyle name="메모 4 4 4 2 2" xfId="25299"/>
    <cellStyle name="메모 4 4 4 2 2 2" xfId="25300"/>
    <cellStyle name="메모 4 4 4 2 2 3" xfId="25301"/>
    <cellStyle name="메모 4 4 4 2 3" xfId="25302"/>
    <cellStyle name="메모 4 4 4 2 4" xfId="25303"/>
    <cellStyle name="메모 4 4 4 3" xfId="25304"/>
    <cellStyle name="메모 4 4 4 3 2" xfId="25305"/>
    <cellStyle name="메모 4 4 4 3 3" xfId="25306"/>
    <cellStyle name="메모 4 4 4 4" xfId="25307"/>
    <cellStyle name="메모 4 4 4 5" xfId="25308"/>
    <cellStyle name="메모 4 4 5" xfId="25309"/>
    <cellStyle name="메모 4 4 5 2" xfId="25310"/>
    <cellStyle name="메모 4 4 5 2 2" xfId="25311"/>
    <cellStyle name="메모 4 4 5 2 2 2" xfId="25312"/>
    <cellStyle name="메모 4 4 5 2 2 3" xfId="25313"/>
    <cellStyle name="메모 4 4 5 2 3" xfId="25314"/>
    <cellStyle name="메모 4 4 5 2 4" xfId="25315"/>
    <cellStyle name="메모 4 4 5 3" xfId="25316"/>
    <cellStyle name="메모 4 4 5 3 2" xfId="25317"/>
    <cellStyle name="메모 4 4 5 3 3" xfId="25318"/>
    <cellStyle name="메모 4 4 5 4" xfId="25319"/>
    <cellStyle name="메모 4 4 5 5" xfId="25320"/>
    <cellStyle name="메모 4 4 6" xfId="25321"/>
    <cellStyle name="메모 4 4 6 2" xfId="25322"/>
    <cellStyle name="메모 4 4 6 2 2" xfId="25323"/>
    <cellStyle name="메모 4 4 6 2 2 2" xfId="25324"/>
    <cellStyle name="메모 4 4 6 2 2 3" xfId="25325"/>
    <cellStyle name="메모 4 4 6 2 3" xfId="25326"/>
    <cellStyle name="메모 4 4 6 2 4" xfId="25327"/>
    <cellStyle name="메모 4 4 6 3" xfId="25328"/>
    <cellStyle name="메모 4 4 6 3 2" xfId="25329"/>
    <cellStyle name="메모 4 4 6 3 3" xfId="25330"/>
    <cellStyle name="메모 4 4 6 4" xfId="25331"/>
    <cellStyle name="메모 4 4 6 5" xfId="25332"/>
    <cellStyle name="메모 4 4 7" xfId="25333"/>
    <cellStyle name="메모 4 4 7 2" xfId="25334"/>
    <cellStyle name="메모 4 4 7 2 2" xfId="25335"/>
    <cellStyle name="메모 4 4 7 2 3" xfId="25336"/>
    <cellStyle name="메모 4 4 7 3" xfId="25337"/>
    <cellStyle name="메모 4 4 7 4" xfId="25338"/>
    <cellStyle name="메모 4 4 8" xfId="25339"/>
    <cellStyle name="메모 4 4 8 2" xfId="25340"/>
    <cellStyle name="메모 4 4 8 3" xfId="25341"/>
    <cellStyle name="메모 4 4 9" xfId="25342"/>
    <cellStyle name="메모 4 5" xfId="25343"/>
    <cellStyle name="메모 4 5 2" xfId="25344"/>
    <cellStyle name="메모 4 5 2 2" xfId="25345"/>
    <cellStyle name="메모 4 5 2 2 2" xfId="25346"/>
    <cellStyle name="메모 4 5 2 2 2 2" xfId="25347"/>
    <cellStyle name="메모 4 5 2 2 2 3" xfId="25348"/>
    <cellStyle name="메모 4 5 2 2 3" xfId="25349"/>
    <cellStyle name="메모 4 5 2 2 4" xfId="25350"/>
    <cellStyle name="메모 4 5 2 3" xfId="25351"/>
    <cellStyle name="메모 4 5 2 3 2" xfId="25352"/>
    <cellStyle name="메모 4 5 2 3 3" xfId="25353"/>
    <cellStyle name="메모 4 5 2 4" xfId="25354"/>
    <cellStyle name="메모 4 5 2 5" xfId="25355"/>
    <cellStyle name="메모 4 5 3" xfId="25356"/>
    <cellStyle name="메모 4 5 3 2" xfId="25357"/>
    <cellStyle name="메모 4 5 3 2 2" xfId="25358"/>
    <cellStyle name="메모 4 5 3 2 2 2" xfId="25359"/>
    <cellStyle name="메모 4 5 3 2 2 3" xfId="25360"/>
    <cellStyle name="메모 4 5 3 2 3" xfId="25361"/>
    <cellStyle name="메모 4 5 3 2 4" xfId="25362"/>
    <cellStyle name="메모 4 5 3 3" xfId="25363"/>
    <cellStyle name="메모 4 5 3 3 2" xfId="25364"/>
    <cellStyle name="메모 4 5 3 3 3" xfId="25365"/>
    <cellStyle name="메모 4 5 3 4" xfId="25366"/>
    <cellStyle name="메모 4 5 3 5" xfId="25367"/>
    <cellStyle name="메모 4 5 4" xfId="25368"/>
    <cellStyle name="메모 4 5 4 2" xfId="25369"/>
    <cellStyle name="메모 4 5 4 2 2" xfId="25370"/>
    <cellStyle name="메모 4 5 4 2 3" xfId="25371"/>
    <cellStyle name="메모 4 5 4 3" xfId="25372"/>
    <cellStyle name="메모 4 5 4 4" xfId="25373"/>
    <cellStyle name="메모 4 5 5" xfId="25374"/>
    <cellStyle name="메모 4 5 5 2" xfId="25375"/>
    <cellStyle name="메모 4 5 5 3" xfId="25376"/>
    <cellStyle name="메모 4 5 6" xfId="25377"/>
    <cellStyle name="메모 4 5 7" xfId="25378"/>
    <cellStyle name="메모 4 6" xfId="25379"/>
    <cellStyle name="메모 4 6 2" xfId="25380"/>
    <cellStyle name="메모 4 6 2 2" xfId="25381"/>
    <cellStyle name="메모 4 6 2 2 2" xfId="25382"/>
    <cellStyle name="메모 4 6 2 2 2 2" xfId="25383"/>
    <cellStyle name="메모 4 6 2 2 2 3" xfId="25384"/>
    <cellStyle name="메모 4 6 2 2 3" xfId="25385"/>
    <cellStyle name="메모 4 6 2 2 4" xfId="25386"/>
    <cellStyle name="메모 4 6 2 3" xfId="25387"/>
    <cellStyle name="메모 4 6 2 3 2" xfId="25388"/>
    <cellStyle name="메모 4 6 2 3 3" xfId="25389"/>
    <cellStyle name="메모 4 6 2 4" xfId="25390"/>
    <cellStyle name="메모 4 6 2 5" xfId="25391"/>
    <cellStyle name="메모 4 6 3" xfId="25392"/>
    <cellStyle name="메모 4 6 3 2" xfId="25393"/>
    <cellStyle name="메모 4 6 3 2 2" xfId="25394"/>
    <cellStyle name="메모 4 6 3 2 2 2" xfId="25395"/>
    <cellStyle name="메모 4 6 3 2 2 3" xfId="25396"/>
    <cellStyle name="메모 4 6 3 2 3" xfId="25397"/>
    <cellStyle name="메모 4 6 3 2 4" xfId="25398"/>
    <cellStyle name="메모 4 6 3 3" xfId="25399"/>
    <cellStyle name="메모 4 6 3 3 2" xfId="25400"/>
    <cellStyle name="메모 4 6 3 3 3" xfId="25401"/>
    <cellStyle name="메모 4 6 3 4" xfId="25402"/>
    <cellStyle name="메모 4 6 3 5" xfId="25403"/>
    <cellStyle name="메모 4 6 4" xfId="25404"/>
    <cellStyle name="메모 4 6 4 2" xfId="25405"/>
    <cellStyle name="메모 4 6 4 2 2" xfId="25406"/>
    <cellStyle name="메모 4 6 4 2 3" xfId="25407"/>
    <cellStyle name="메모 4 6 4 3" xfId="25408"/>
    <cellStyle name="메모 4 6 4 4" xfId="25409"/>
    <cellStyle name="메모 4 6 5" xfId="25410"/>
    <cellStyle name="메모 4 6 5 2" xfId="25411"/>
    <cellStyle name="메모 4 6 5 3" xfId="25412"/>
    <cellStyle name="메모 4 6 6" xfId="25413"/>
    <cellStyle name="메모 4 6 7" xfId="25414"/>
    <cellStyle name="메모 4 7" xfId="25415"/>
    <cellStyle name="메모 4 7 2" xfId="25416"/>
    <cellStyle name="메모 4 7 2 2" xfId="25417"/>
    <cellStyle name="메모 4 7 2 2 2" xfId="25418"/>
    <cellStyle name="메모 4 7 2 2 3" xfId="25419"/>
    <cellStyle name="메모 4 7 2 3" xfId="25420"/>
    <cellStyle name="메모 4 7 2 4" xfId="25421"/>
    <cellStyle name="메모 4 7 3" xfId="25422"/>
    <cellStyle name="메모 4 7 3 2" xfId="25423"/>
    <cellStyle name="메모 4 7 3 3" xfId="25424"/>
    <cellStyle name="메모 4 7 4" xfId="25425"/>
    <cellStyle name="메모 4 7 5" xfId="25426"/>
    <cellStyle name="메모 4 8" xfId="25427"/>
    <cellStyle name="메모 4 8 2" xfId="25428"/>
    <cellStyle name="메모 4 8 2 2" xfId="25429"/>
    <cellStyle name="메모 4 8 2 2 2" xfId="25430"/>
    <cellStyle name="메모 4 8 2 2 3" xfId="25431"/>
    <cellStyle name="메모 4 8 2 3" xfId="25432"/>
    <cellStyle name="메모 4 8 2 4" xfId="25433"/>
    <cellStyle name="메모 4 8 3" xfId="25434"/>
    <cellStyle name="메모 4 8 3 2" xfId="25435"/>
    <cellStyle name="메모 4 8 3 3" xfId="25436"/>
    <cellStyle name="메모 4 8 4" xfId="25437"/>
    <cellStyle name="메모 4 8 5" xfId="25438"/>
    <cellStyle name="메모 4 9" xfId="25439"/>
    <cellStyle name="메모 4 9 2" xfId="25440"/>
    <cellStyle name="메모 4 9 2 2" xfId="25441"/>
    <cellStyle name="메모 4 9 2 2 2" xfId="25442"/>
    <cellStyle name="메모 4 9 2 2 3" xfId="25443"/>
    <cellStyle name="메모 4 9 2 3" xfId="25444"/>
    <cellStyle name="메모 4 9 2 4" xfId="25445"/>
    <cellStyle name="메모 4 9 3" xfId="25446"/>
    <cellStyle name="메모 4 9 3 2" xfId="25447"/>
    <cellStyle name="메모 4 9 3 3" xfId="25448"/>
    <cellStyle name="메모 4 9 4" xfId="25449"/>
    <cellStyle name="메모 4 9 5" xfId="25450"/>
    <cellStyle name="메모 40" xfId="25451"/>
    <cellStyle name="메모 41" xfId="25452"/>
    <cellStyle name="메모 42" xfId="25453"/>
    <cellStyle name="메모 43" xfId="25454"/>
    <cellStyle name="메모 44" xfId="25455"/>
    <cellStyle name="메모 45" xfId="25456"/>
    <cellStyle name="메모 46" xfId="25457"/>
    <cellStyle name="메모 47" xfId="25458"/>
    <cellStyle name="메모 48" xfId="25459"/>
    <cellStyle name="메모 49" xfId="25460"/>
    <cellStyle name="메모 5" xfId="25461"/>
    <cellStyle name="메모 5 2" xfId="25462"/>
    <cellStyle name="메모 5 2 2" xfId="25463"/>
    <cellStyle name="메모 5 2 2 2" xfId="25464"/>
    <cellStyle name="메모 5 2 2 2 2" xfId="25465"/>
    <cellStyle name="메모 5 2 2 2 3" xfId="25466"/>
    <cellStyle name="메모 5 2 2 3" xfId="25467"/>
    <cellStyle name="메모 5 2 2 4" xfId="25468"/>
    <cellStyle name="메모 5 2 3" xfId="25469"/>
    <cellStyle name="메모 5 2 3 2" xfId="25470"/>
    <cellStyle name="메모 5 2 3 3" xfId="25471"/>
    <cellStyle name="메모 5 2 4" xfId="25472"/>
    <cellStyle name="메모 5 2 5" xfId="25473"/>
    <cellStyle name="메모 5 3" xfId="25474"/>
    <cellStyle name="메모 5 3 2" xfId="25475"/>
    <cellStyle name="메모 5 3 2 2" xfId="25476"/>
    <cellStyle name="메모 5 3 2 2 2" xfId="25477"/>
    <cellStyle name="메모 5 3 2 2 3" xfId="25478"/>
    <cellStyle name="메모 5 3 2 3" xfId="25479"/>
    <cellStyle name="메모 5 3 2 4" xfId="25480"/>
    <cellStyle name="메모 5 3 3" xfId="25481"/>
    <cellStyle name="메모 5 3 3 2" xfId="25482"/>
    <cellStyle name="메모 5 3 3 3" xfId="25483"/>
    <cellStyle name="메모 5 3 4" xfId="25484"/>
    <cellStyle name="메모 5 3 5" xfId="25485"/>
    <cellStyle name="메모 5 4" xfId="25486"/>
    <cellStyle name="메모 5 4 2" xfId="25487"/>
    <cellStyle name="메모 5 4 2 2" xfId="25488"/>
    <cellStyle name="메모 5 4 2 3" xfId="25489"/>
    <cellStyle name="메모 5 4 3" xfId="25490"/>
    <cellStyle name="메모 5 4 4" xfId="25491"/>
    <cellStyle name="메모 5 5" xfId="25492"/>
    <cellStyle name="메모 5 5 2" xfId="25493"/>
    <cellStyle name="메모 5 5 3" xfId="25494"/>
    <cellStyle name="메모 5 6" xfId="25495"/>
    <cellStyle name="메모 5 7" xfId="25496"/>
    <cellStyle name="메모 5 8" xfId="25497"/>
    <cellStyle name="메모 50" xfId="25498"/>
    <cellStyle name="메모 51" xfId="25499"/>
    <cellStyle name="메모 52" xfId="25500"/>
    <cellStyle name="메모 53" xfId="25501"/>
    <cellStyle name="메모 54" xfId="25502"/>
    <cellStyle name="메모 55" xfId="25503"/>
    <cellStyle name="메모 56" xfId="25504"/>
    <cellStyle name="메모 57" xfId="25505"/>
    <cellStyle name="메모 58" xfId="25506"/>
    <cellStyle name="메모 59" xfId="25507"/>
    <cellStyle name="메모 6" xfId="25508"/>
    <cellStyle name="메모 6 2" xfId="25509"/>
    <cellStyle name="메모 6 2 2" xfId="25510"/>
    <cellStyle name="메모 6 2 3" xfId="25511"/>
    <cellStyle name="메모 6 3" xfId="25512"/>
    <cellStyle name="메모 6 4" xfId="25513"/>
    <cellStyle name="메모 7" xfId="25514"/>
    <cellStyle name="메모 7 2" xfId="25515"/>
    <cellStyle name="메모 7 3" xfId="25516"/>
    <cellStyle name="메모 8" xfId="25517"/>
    <cellStyle name="메모 8 2" xfId="25518"/>
    <cellStyle name="메모 8 3" xfId="25519"/>
    <cellStyle name="메모 9" xfId="25520"/>
    <cellStyle name="메모 9 2" xfId="25521"/>
    <cellStyle name="메모 9 3" xfId="25522"/>
    <cellStyle name="묮뎋 [0.00]_PRODUCT DETAIL Q1" xfId="25523"/>
    <cellStyle name="묮뎋_PRODUCT DETAIL Q1" xfId="25524"/>
    <cellStyle name="믅됞 [0.00]_NT Server " xfId="25525"/>
    <cellStyle name="믅됞_NT Server " xfId="25526"/>
    <cellStyle name="백" xfId="25527"/>
    <cellStyle name="백_ROTATION 유동" xfId="25528"/>
    <cellStyle name="백_ROTATION 유동_도금 열처리 주단조 평가품의(040329)" xfId="25529"/>
    <cellStyle name="백_ROTATION 유동_도금 열처리 주단조 평가품의(040329)_도금 열처리 주단조 평가품의(040329)" xfId="25530"/>
    <cellStyle name="백_ROTATION 유동_도금 열처리 주단조 평가품의(040329)업체" xfId="25531"/>
    <cellStyle name="백_ROTATION 유동_열처리결과품의(031017)개발" xfId="25532"/>
    <cellStyle name="백_ROTATION 유동_열처리결과품의(031017)개발_도금 열처리 주단조 평가품의(040329)" xfId="25533"/>
    <cellStyle name="백_ROTATION 유동_용접업종 평가결과품의(040510)" xfId="25534"/>
    <cellStyle name="백_ROTATION 유동_용접업종 평가결과품의(040510)_용접업종 평가결과품의(040510)" xfId="25535"/>
    <cellStyle name="백_ROTATION 유동_용접업종 평가결과품의(040510)_용접업종 평가결과품의(040510)(1)" xfId="25536"/>
    <cellStyle name="백_ROTATION 유동_용접업종 평가결과품의(040510)_주단조용접업종 평가결과품의(040510)(1)" xfId="25537"/>
    <cellStyle name="백_ROTATION 유동_주단조 업종 평가결과품의(040407)" xfId="25538"/>
    <cellStyle name="백_ROTATION 유동_주단조 업종 평가결과품의(040407)_용접업종 평가결과품의(040510)" xfId="25539"/>
    <cellStyle name="백_ROTATION 유동_주단조 업종 평가결과품의(040407)_용접업종 평가결과품의(040510)(1)" xfId="25540"/>
    <cellStyle name="백_ROTATION 유동_주단조 업종 평가결과품의(040407)_주단조용접업종 평가결과품의(040510)(1)" xfId="25541"/>
    <cellStyle name="백_ROTATION 유동_주단조 업종 평가결과품의(040416)(1)" xfId="25542"/>
    <cellStyle name="백_ROTATION 유동_주단조 업종 평가결과품의(040416)(1)_용접업종 평가결과품의(040510)" xfId="25543"/>
    <cellStyle name="백_ROTATION 유동_주단조 업종 평가결과품의(040416)(1)_용접업종 평가결과품의(040510)(1)" xfId="25544"/>
    <cellStyle name="백_ROTATION 유동_주단조 업종 평가결과품의(040416)(1)_주단조용접업종 평가결과품의(040510)(1)" xfId="25545"/>
    <cellStyle name="백_ROTATION 유동_최신-SQ인증업체현황1343사(03년평가완료031229수정)" xfId="25546"/>
    <cellStyle name="백_ROTATION 유동_최신-SQ인증업체현황1343사(03년평가완료031229수정)_용접업종 평가결과품의(040510)" xfId="25547"/>
    <cellStyle name="백_ROTATION 유동_최신-SQ인증업체현황1343사(03년평가완료031229수정)_용접업종 평가결과품의(040510)(1)" xfId="25548"/>
    <cellStyle name="백_ROTATION 유동_최신-SQ인증업체현황1343사(03년평가완료031229수정)_주단조용접업종 평가결과품의(040510)(1)" xfId="25549"/>
    <cellStyle name="백_SLIDE 폭" xfId="25550"/>
    <cellStyle name="백_SLIDE 폭_도금 열처리 주단조 평가품의(040329)" xfId="25551"/>
    <cellStyle name="백_SLIDE 폭_도금 열처리 주단조 평가품의(040329)_도금 열처리 주단조 평가품의(040329)" xfId="25552"/>
    <cellStyle name="백_SLIDE 폭_도금 열처리 주단조 평가품의(040329)업체" xfId="25553"/>
    <cellStyle name="백_SLIDE 폭_열처리결과품의(031017)개발" xfId="25554"/>
    <cellStyle name="백_SLIDE 폭_열처리결과품의(031017)개발_도금 열처리 주단조 평가품의(040329)" xfId="25555"/>
    <cellStyle name="백_SLIDE 폭_용접업종 평가결과품의(040510)" xfId="25556"/>
    <cellStyle name="백_SLIDE 폭_용접업종 평가결과품의(040510)_용접업종 평가결과품의(040510)" xfId="25557"/>
    <cellStyle name="백_SLIDE 폭_용접업종 평가결과품의(040510)_용접업종 평가결과품의(040510)(1)" xfId="25558"/>
    <cellStyle name="백_SLIDE 폭_용접업종 평가결과품의(040510)_주단조용접업종 평가결과품의(040510)(1)" xfId="25559"/>
    <cellStyle name="백_SLIDE 폭_주단조 업종 평가결과품의(040407)" xfId="25560"/>
    <cellStyle name="백_SLIDE 폭_주단조 업종 평가결과품의(040407)_용접업종 평가결과품의(040510)" xfId="25561"/>
    <cellStyle name="백_SLIDE 폭_주단조 업종 평가결과품의(040407)_용접업종 평가결과품의(040510)(1)" xfId="25562"/>
    <cellStyle name="백_SLIDE 폭_주단조 업종 평가결과품의(040407)_주단조용접업종 평가결과품의(040510)(1)" xfId="25563"/>
    <cellStyle name="백_SLIDE 폭_주단조 업종 평가결과품의(040416)(1)" xfId="25564"/>
    <cellStyle name="백_SLIDE 폭_주단조 업종 평가결과품의(040416)(1)_용접업종 평가결과품의(040510)" xfId="25565"/>
    <cellStyle name="백_SLIDE 폭_주단조 업종 평가결과품의(040416)(1)_용접업종 평가결과품의(040510)(1)" xfId="25566"/>
    <cellStyle name="백_SLIDE 폭_주단조 업종 평가결과품의(040416)(1)_주단조용접업종 평가결과품의(040510)(1)" xfId="25567"/>
    <cellStyle name="백_SLIDE 폭_최신-SQ인증업체현황1343사(03년평가완료031229수정)" xfId="25568"/>
    <cellStyle name="백_SLIDE 폭_최신-SQ인증업체현황1343사(03년평가완료031229수정)_용접업종 평가결과품의(040510)" xfId="25569"/>
    <cellStyle name="백_SLIDE 폭_최신-SQ인증업체현황1343사(03년평가완료031229수정)_용접업종 평가결과품의(040510)(1)" xfId="25570"/>
    <cellStyle name="백_SLIDE 폭_최신-SQ인증업체현황1343사(03년평가완료031229수정)_주단조용접업종 평가결과품의(040510)(1)" xfId="25571"/>
    <cellStyle name="백_도금 열처리 주단조 평가품의(040329)" xfId="25572"/>
    <cellStyle name="백_도금 열처리 주단조 평가품의(040329)_도금 열처리 주단조 평가품의(040329)" xfId="25573"/>
    <cellStyle name="백_도금 열처리 주단조 평가품의(040329)업체" xfId="25574"/>
    <cellStyle name="백_사전회의(1208)" xfId="25575"/>
    <cellStyle name="백_사전회의(1208)_ROTATION 유동" xfId="25576"/>
    <cellStyle name="백_사전회의(1208)_ROTATION 유동_도금 열처리 주단조 평가품의(040329)" xfId="25577"/>
    <cellStyle name="백_사전회의(1208)_ROTATION 유동_도금 열처리 주단조 평가품의(040329)_도금 열처리 주단조 평가품의(040329)" xfId="25578"/>
    <cellStyle name="백_사전회의(1208)_ROTATION 유동_도금 열처리 주단조 평가품의(040329)업체" xfId="25579"/>
    <cellStyle name="백_사전회의(1208)_ROTATION 유동_열처리결과품의(031017)개발" xfId="25580"/>
    <cellStyle name="백_사전회의(1208)_ROTATION 유동_열처리결과품의(031017)개발_도금 열처리 주단조 평가품의(040329)" xfId="25581"/>
    <cellStyle name="백_사전회의(1208)_ROTATION 유동_용접업종 평가결과품의(040510)" xfId="25582"/>
    <cellStyle name="백_사전회의(1208)_ROTATION 유동_용접업종 평가결과품의(040510)_용접업종 평가결과품의(040510)" xfId="25583"/>
    <cellStyle name="백_사전회의(1208)_ROTATION 유동_용접업종 평가결과품의(040510)_용접업종 평가결과품의(040510)(1)" xfId="25584"/>
    <cellStyle name="백_사전회의(1208)_ROTATION 유동_용접업종 평가결과품의(040510)_주단조용접업종 평가결과품의(040510)(1)" xfId="25585"/>
    <cellStyle name="백_사전회의(1208)_ROTATION 유동_주단조 업종 평가결과품의(040407)" xfId="25586"/>
    <cellStyle name="백_사전회의(1208)_ROTATION 유동_주단조 업종 평가결과품의(040407)_용접업종 평가결과품의(040510)" xfId="25587"/>
    <cellStyle name="백_사전회의(1208)_ROTATION 유동_주단조 업종 평가결과품의(040407)_용접업종 평가결과품의(040510)(1)" xfId="25588"/>
    <cellStyle name="백_사전회의(1208)_ROTATION 유동_주단조 업종 평가결과품의(040407)_주단조용접업종 평가결과품의(040510)(1)" xfId="25589"/>
    <cellStyle name="백_사전회의(1208)_ROTATION 유동_주단조 업종 평가결과품의(040416)(1)" xfId="25590"/>
    <cellStyle name="백_사전회의(1208)_ROTATION 유동_주단조 업종 평가결과품의(040416)(1)_용접업종 평가결과품의(040510)" xfId="25591"/>
    <cellStyle name="백_사전회의(1208)_ROTATION 유동_주단조 업종 평가결과품의(040416)(1)_용접업종 평가결과품의(040510)(1)" xfId="25592"/>
    <cellStyle name="백_사전회의(1208)_ROTATION 유동_주단조 업종 평가결과품의(040416)(1)_주단조용접업종 평가결과품의(040510)(1)" xfId="25593"/>
    <cellStyle name="백_사전회의(1208)_ROTATION 유동_최신-SQ인증업체현황1343사(03년평가완료031229수정)" xfId="25594"/>
    <cellStyle name="백_사전회의(1208)_ROTATION 유동_최신-SQ인증업체현황1343사(03년평가완료031229수정)_용접업종 평가결과품의(040510)" xfId="25595"/>
    <cellStyle name="백_사전회의(1208)_ROTATION 유동_최신-SQ인증업체현황1343사(03년평가완료031229수정)_용접업종 평가결과품의(040510)(1)" xfId="25596"/>
    <cellStyle name="백_사전회의(1208)_ROTATION 유동_최신-SQ인증업체현황1343사(03년평가완료031229수정)_주단조용접업종 평가결과품의(040510)(1)" xfId="25597"/>
    <cellStyle name="백_사전회의(1208)_SLIDE 폭" xfId="25598"/>
    <cellStyle name="백_사전회의(1208)_SLIDE 폭_도금 열처리 주단조 평가품의(040329)" xfId="25599"/>
    <cellStyle name="백_사전회의(1208)_SLIDE 폭_도금 열처리 주단조 평가품의(040329)_도금 열처리 주단조 평가품의(040329)" xfId="25600"/>
    <cellStyle name="백_사전회의(1208)_SLIDE 폭_도금 열처리 주단조 평가품의(040329)업체" xfId="25601"/>
    <cellStyle name="백_사전회의(1208)_SLIDE 폭_열처리결과품의(031017)개발" xfId="25602"/>
    <cellStyle name="백_사전회의(1208)_SLIDE 폭_열처리결과품의(031017)개발_도금 열처리 주단조 평가품의(040329)" xfId="25603"/>
    <cellStyle name="백_사전회의(1208)_SLIDE 폭_용접업종 평가결과품의(040510)" xfId="25604"/>
    <cellStyle name="백_사전회의(1208)_SLIDE 폭_용접업종 평가결과품의(040510)_용접업종 평가결과품의(040510)" xfId="25605"/>
    <cellStyle name="백_사전회의(1208)_SLIDE 폭_용접업종 평가결과품의(040510)_용접업종 평가결과품의(040510)(1)" xfId="25606"/>
    <cellStyle name="백_사전회의(1208)_SLIDE 폭_용접업종 평가결과품의(040510)_주단조용접업종 평가결과품의(040510)(1)" xfId="25607"/>
    <cellStyle name="백_사전회의(1208)_SLIDE 폭_주단조 업종 평가결과품의(040407)" xfId="25608"/>
    <cellStyle name="백_사전회의(1208)_SLIDE 폭_주단조 업종 평가결과품의(040407)_용접업종 평가결과품의(040510)" xfId="25609"/>
    <cellStyle name="백_사전회의(1208)_SLIDE 폭_주단조 업종 평가결과품의(040407)_용접업종 평가결과품의(040510)(1)" xfId="25610"/>
    <cellStyle name="백_사전회의(1208)_SLIDE 폭_주단조 업종 평가결과품의(040407)_주단조용접업종 평가결과품의(040510)(1)" xfId="25611"/>
    <cellStyle name="백_사전회의(1208)_SLIDE 폭_주단조 업종 평가결과품의(040416)(1)" xfId="25612"/>
    <cellStyle name="백_사전회의(1208)_SLIDE 폭_주단조 업종 평가결과품의(040416)(1)_용접업종 평가결과품의(040510)" xfId="25613"/>
    <cellStyle name="백_사전회의(1208)_SLIDE 폭_주단조 업종 평가결과품의(040416)(1)_용접업종 평가결과품의(040510)(1)" xfId="25614"/>
    <cellStyle name="백_사전회의(1208)_SLIDE 폭_주단조 업종 평가결과품의(040416)(1)_주단조용접업종 평가결과품의(040510)(1)" xfId="25615"/>
    <cellStyle name="백_사전회의(1208)_SLIDE 폭_최신-SQ인증업체현황1343사(03년평가완료031229수정)" xfId="25616"/>
    <cellStyle name="백_사전회의(1208)_SLIDE 폭_최신-SQ인증업체현황1343사(03년평가완료031229수정)_용접업종 평가결과품의(040510)" xfId="25617"/>
    <cellStyle name="백_사전회의(1208)_SLIDE 폭_최신-SQ인증업체현황1343사(03년평가완료031229수정)_용접업종 평가결과품의(040510)(1)" xfId="25618"/>
    <cellStyle name="백_사전회의(1208)_SLIDE 폭_최신-SQ인증업체현황1343사(03년평가완료031229수정)_주단조용접업종 평가결과품의(040510)(1)" xfId="25619"/>
    <cellStyle name="백_사전회의(1208)_도금 열처리 주단조 평가품의(040329)" xfId="25620"/>
    <cellStyle name="백_사전회의(1208)_도금 열처리 주단조 평가품의(040329)_도금 열처리 주단조 평가품의(040329)" xfId="25621"/>
    <cellStyle name="백_사전회의(1208)_도금 열처리 주단조 평가품의(040329)업체" xfId="25622"/>
    <cellStyle name="백_사전회의(1208)_새벽시장1" xfId="25623"/>
    <cellStyle name="백_사전회의(1208)_새벽시장1_도금 열처리 주단조 평가품의(040329)" xfId="25624"/>
    <cellStyle name="백_사전회의(1208)_새벽시장1_도금 열처리 주단조 평가품의(040329)_도금 열처리 주단조 평가품의(040329)" xfId="25625"/>
    <cellStyle name="백_사전회의(1208)_새벽시장1_도금 열처리 주단조 평가품의(040329)업체" xfId="25626"/>
    <cellStyle name="백_사전회의(1208)_새벽시장1_열처리결과품의(031017)개발" xfId="25627"/>
    <cellStyle name="백_사전회의(1208)_새벽시장1_열처리결과품의(031017)개발_도금 열처리 주단조 평가품의(040329)" xfId="25628"/>
    <cellStyle name="백_사전회의(1208)_새벽시장1_용접업종 평가결과품의(040510)" xfId="25629"/>
    <cellStyle name="백_사전회의(1208)_새벽시장1_용접업종 평가결과품의(040510)_용접업종 평가결과품의(040510)" xfId="25630"/>
    <cellStyle name="백_사전회의(1208)_새벽시장1_용접업종 평가결과품의(040510)_용접업종 평가결과품의(040510)(1)" xfId="25631"/>
    <cellStyle name="백_사전회의(1208)_새벽시장1_용접업종 평가결과품의(040510)_주단조용접업종 평가결과품의(040510)(1)" xfId="25632"/>
    <cellStyle name="백_사전회의(1208)_새벽시장1_주단조 업종 평가결과품의(040407)" xfId="25633"/>
    <cellStyle name="백_사전회의(1208)_새벽시장1_주단조 업종 평가결과품의(040407)_용접업종 평가결과품의(040510)" xfId="25634"/>
    <cellStyle name="백_사전회의(1208)_새벽시장1_주단조 업종 평가결과품의(040407)_용접업종 평가결과품의(040510)(1)" xfId="25635"/>
    <cellStyle name="백_사전회의(1208)_새벽시장1_주단조 업종 평가결과품의(040407)_주단조용접업종 평가결과품의(040510)(1)" xfId="25636"/>
    <cellStyle name="백_사전회의(1208)_새벽시장1_주단조 업종 평가결과품의(040416)(1)" xfId="25637"/>
    <cellStyle name="백_사전회의(1208)_새벽시장1_주단조 업종 평가결과품의(040416)(1)_용접업종 평가결과품의(040510)" xfId="25638"/>
    <cellStyle name="백_사전회의(1208)_새벽시장1_주단조 업종 평가결과품의(040416)(1)_용접업종 평가결과품의(040510)(1)" xfId="25639"/>
    <cellStyle name="백_사전회의(1208)_새벽시장1_주단조 업종 평가결과품의(040416)(1)_주단조용접업종 평가결과품의(040510)(1)" xfId="25640"/>
    <cellStyle name="백_사전회의(1208)_새벽시장1_최신-SQ인증업체현황1343사(03년평가완료031229수정)" xfId="25641"/>
    <cellStyle name="백_사전회의(1208)_새벽시장1_최신-SQ인증업체현황1343사(03년평가완료031229수정)_용접업종 평가결과품의(040510)" xfId="25642"/>
    <cellStyle name="백_사전회의(1208)_새벽시장1_최신-SQ인증업체현황1343사(03년평가완료031229수정)_용접업종 평가결과품의(040510)(1)" xfId="25643"/>
    <cellStyle name="백_사전회의(1208)_새벽시장1_최신-SQ인증업체현황1343사(03년평가완료031229수정)_주단조용접업종 평가결과품의(040510)(1)" xfId="25644"/>
    <cellStyle name="백_사전회의(1208)_새벽시장3" xfId="25645"/>
    <cellStyle name="백_사전회의(1208)_새벽시장3_도금 열처리 주단조 평가품의(040329)" xfId="25646"/>
    <cellStyle name="백_사전회의(1208)_새벽시장3_도금 열처리 주단조 평가품의(040329)_도금 열처리 주단조 평가품의(040329)" xfId="25647"/>
    <cellStyle name="백_사전회의(1208)_새벽시장3_도금 열처리 주단조 평가품의(040329)업체" xfId="25648"/>
    <cellStyle name="백_사전회의(1208)_새벽시장3_열처리결과품의(031017)개발" xfId="25649"/>
    <cellStyle name="백_사전회의(1208)_새벽시장3_열처리결과품의(031017)개발_도금 열처리 주단조 평가품의(040329)" xfId="25650"/>
    <cellStyle name="백_사전회의(1208)_새벽시장3_용접업종 평가결과품의(040510)" xfId="25651"/>
    <cellStyle name="백_사전회의(1208)_새벽시장3_용접업종 평가결과품의(040510)_용접업종 평가결과품의(040510)" xfId="25652"/>
    <cellStyle name="백_사전회의(1208)_새벽시장3_용접업종 평가결과품의(040510)_용접업종 평가결과품의(040510)(1)" xfId="25653"/>
    <cellStyle name="백_사전회의(1208)_새벽시장3_용접업종 평가결과품의(040510)_주단조용접업종 평가결과품의(040510)(1)" xfId="25654"/>
    <cellStyle name="백_사전회의(1208)_새벽시장3_주단조 업종 평가결과품의(040407)" xfId="25655"/>
    <cellStyle name="백_사전회의(1208)_새벽시장3_주단조 업종 평가결과품의(040407)_용접업종 평가결과품의(040510)" xfId="25656"/>
    <cellStyle name="백_사전회의(1208)_새벽시장3_주단조 업종 평가결과품의(040407)_용접업종 평가결과품의(040510)(1)" xfId="25657"/>
    <cellStyle name="백_사전회의(1208)_새벽시장3_주단조 업종 평가결과품의(040407)_주단조용접업종 평가결과품의(040510)(1)" xfId="25658"/>
    <cellStyle name="백_사전회의(1208)_새벽시장3_주단조 업종 평가결과품의(040416)(1)" xfId="25659"/>
    <cellStyle name="백_사전회의(1208)_새벽시장3_주단조 업종 평가결과품의(040416)(1)_용접업종 평가결과품의(040510)" xfId="25660"/>
    <cellStyle name="백_사전회의(1208)_새벽시장3_주단조 업종 평가결과품의(040416)(1)_용접업종 평가결과품의(040510)(1)" xfId="25661"/>
    <cellStyle name="백_사전회의(1208)_새벽시장3_주단조 업종 평가결과품의(040416)(1)_주단조용접업종 평가결과품의(040510)(1)" xfId="25662"/>
    <cellStyle name="백_사전회의(1208)_새벽시장3_최신-SQ인증업체현황1343사(03년평가완료031229수정)" xfId="25663"/>
    <cellStyle name="백_사전회의(1208)_새벽시장3_최신-SQ인증업체현황1343사(03년평가완료031229수정)_용접업종 평가결과품의(040510)" xfId="25664"/>
    <cellStyle name="백_사전회의(1208)_새벽시장3_최신-SQ인증업체현황1343사(03년평가완료031229수정)_용접업종 평가결과품의(040510)(1)" xfId="25665"/>
    <cellStyle name="백_사전회의(1208)_새벽시장3_최신-SQ인증업체현황1343사(03년평가완료031229수정)_주단조용접업종 평가결과품의(040510)(1)" xfId="25666"/>
    <cellStyle name="백_사전회의(1208)_새벽시장5" xfId="25667"/>
    <cellStyle name="백_사전회의(1208)_새벽시장5_도금 열처리 주단조 평가품의(040329)" xfId="25668"/>
    <cellStyle name="백_사전회의(1208)_새벽시장5_도금 열처리 주단조 평가품의(040329)_도금 열처리 주단조 평가품의(040329)" xfId="25669"/>
    <cellStyle name="백_사전회의(1208)_새벽시장5_도금 열처리 주단조 평가품의(040329)업체" xfId="25670"/>
    <cellStyle name="백_사전회의(1208)_새벽시장5_열처리결과품의(031017)개발" xfId="25671"/>
    <cellStyle name="백_사전회의(1208)_새벽시장5_열처리결과품의(031017)개발_도금 열처리 주단조 평가품의(040329)" xfId="25672"/>
    <cellStyle name="백_사전회의(1208)_새벽시장5_용접업종 평가결과품의(040510)" xfId="25673"/>
    <cellStyle name="백_사전회의(1208)_새벽시장5_용접업종 평가결과품의(040510)_용접업종 평가결과품의(040510)" xfId="25674"/>
    <cellStyle name="백_사전회의(1208)_새벽시장5_용접업종 평가결과품의(040510)_용접업종 평가결과품의(040510)(1)" xfId="25675"/>
    <cellStyle name="백_사전회의(1208)_새벽시장5_용접업종 평가결과품의(040510)_주단조용접업종 평가결과품의(040510)(1)" xfId="25676"/>
    <cellStyle name="백_사전회의(1208)_새벽시장5_주단조 업종 평가결과품의(040407)" xfId="25677"/>
    <cellStyle name="백_사전회의(1208)_새벽시장5_주단조 업종 평가결과품의(040407)_용접업종 평가결과품의(040510)" xfId="25678"/>
    <cellStyle name="백_사전회의(1208)_새벽시장5_주단조 업종 평가결과품의(040407)_용접업종 평가결과품의(040510)(1)" xfId="25679"/>
    <cellStyle name="백_사전회의(1208)_새벽시장5_주단조 업종 평가결과품의(040407)_주단조용접업종 평가결과품의(040510)(1)" xfId="25680"/>
    <cellStyle name="백_사전회의(1208)_새벽시장5_주단조 업종 평가결과품의(040416)(1)" xfId="25681"/>
    <cellStyle name="백_사전회의(1208)_새벽시장5_주단조 업종 평가결과품의(040416)(1)_용접업종 평가결과품의(040510)" xfId="25682"/>
    <cellStyle name="백_사전회의(1208)_새벽시장5_주단조 업종 평가결과품의(040416)(1)_용접업종 평가결과품의(040510)(1)" xfId="25683"/>
    <cellStyle name="백_사전회의(1208)_새벽시장5_주단조 업종 평가결과품의(040416)(1)_주단조용접업종 평가결과품의(040510)(1)" xfId="25684"/>
    <cellStyle name="백_사전회의(1208)_새벽시장5_최신-SQ인증업체현황1343사(03년평가완료031229수정)" xfId="25685"/>
    <cellStyle name="백_사전회의(1208)_새벽시장5_최신-SQ인증업체현황1343사(03년평가완료031229수정)_용접업종 평가결과품의(040510)" xfId="25686"/>
    <cellStyle name="백_사전회의(1208)_새벽시장5_최신-SQ인증업체현황1343사(03년평가완료031229수정)_용접업종 평가결과품의(040510)(1)" xfId="25687"/>
    <cellStyle name="백_사전회의(1208)_새벽시장5_최신-SQ인증업체현황1343사(03년평가완료031229수정)_주단조용접업종 평가결과품의(040510)(1)" xfId="25688"/>
    <cellStyle name="백_사전회의(1208)_새벽시장7" xfId="25689"/>
    <cellStyle name="백_사전회의(1208)_새벽시장7_도금 열처리 주단조 평가품의(040329)" xfId="25690"/>
    <cellStyle name="백_사전회의(1208)_새벽시장7_도금 열처리 주단조 평가품의(040329)_도금 열처리 주단조 평가품의(040329)" xfId="25691"/>
    <cellStyle name="백_사전회의(1208)_새벽시장7_도금 열처리 주단조 평가품의(040329)업체" xfId="25692"/>
    <cellStyle name="백_사전회의(1208)_새벽시장7_열처리결과품의(031017)개발" xfId="25693"/>
    <cellStyle name="백_사전회의(1208)_새벽시장7_열처리결과품의(031017)개발_도금 열처리 주단조 평가품의(040329)" xfId="25694"/>
    <cellStyle name="백_사전회의(1208)_새벽시장7_용접업종 평가결과품의(040510)" xfId="25695"/>
    <cellStyle name="백_사전회의(1208)_새벽시장7_용접업종 평가결과품의(040510)_용접업종 평가결과품의(040510)" xfId="25696"/>
    <cellStyle name="백_사전회의(1208)_새벽시장7_용접업종 평가결과품의(040510)_용접업종 평가결과품의(040510)(1)" xfId="25697"/>
    <cellStyle name="백_사전회의(1208)_새벽시장7_용접업종 평가결과품의(040510)_주단조용접업종 평가결과품의(040510)(1)" xfId="25698"/>
    <cellStyle name="백_사전회의(1208)_새벽시장7_주단조 업종 평가결과품의(040407)" xfId="25699"/>
    <cellStyle name="백_사전회의(1208)_새벽시장7_주단조 업종 평가결과품의(040407)_용접업종 평가결과품의(040510)" xfId="25700"/>
    <cellStyle name="백_사전회의(1208)_새벽시장7_주단조 업종 평가결과품의(040407)_용접업종 평가결과품의(040510)(1)" xfId="25701"/>
    <cellStyle name="백_사전회의(1208)_새벽시장7_주단조 업종 평가결과품의(040407)_주단조용접업종 평가결과품의(040510)(1)" xfId="25702"/>
    <cellStyle name="백_사전회의(1208)_새벽시장7_주단조 업종 평가결과품의(040416)(1)" xfId="25703"/>
    <cellStyle name="백_사전회의(1208)_새벽시장7_주단조 업종 평가결과품의(040416)(1)_용접업종 평가결과품의(040510)" xfId="25704"/>
    <cellStyle name="백_사전회의(1208)_새벽시장7_주단조 업종 평가결과품의(040416)(1)_용접업종 평가결과품의(040510)(1)" xfId="25705"/>
    <cellStyle name="백_사전회의(1208)_새벽시장7_주단조 업종 평가결과품의(040416)(1)_주단조용접업종 평가결과품의(040510)(1)" xfId="25706"/>
    <cellStyle name="백_사전회의(1208)_새벽시장7_최신-SQ인증업체현황1343사(03년평가완료031229수정)" xfId="25707"/>
    <cellStyle name="백_사전회의(1208)_새벽시장7_최신-SQ인증업체현황1343사(03년평가완료031229수정)_용접업종 평가결과품의(040510)" xfId="25708"/>
    <cellStyle name="백_사전회의(1208)_새벽시장7_최신-SQ인증업체현황1343사(03년평가완료031229수정)_용접업종 평가결과품의(040510)(1)" xfId="25709"/>
    <cellStyle name="백_사전회의(1208)_새벽시장7_최신-SQ인증업체현황1343사(03년평가완료031229수정)_주단조용접업종 평가결과품의(040510)(1)" xfId="25710"/>
    <cellStyle name="백_사전회의(1208)_새벽시장8.10xls" xfId="25711"/>
    <cellStyle name="백_사전회의(1208)_새벽시장8.10xls_도금 열처리 주단조 평가품의(040329)" xfId="25712"/>
    <cellStyle name="백_사전회의(1208)_새벽시장8.10xls_도금 열처리 주단조 평가품의(040329)_도금 열처리 주단조 평가품의(040329)" xfId="25713"/>
    <cellStyle name="백_사전회의(1208)_새벽시장8.10xls_도금 열처리 주단조 평가품의(040329)업체" xfId="25714"/>
    <cellStyle name="백_사전회의(1208)_새벽시장8.10xls_열처리결과품의(031017)개발" xfId="25715"/>
    <cellStyle name="백_사전회의(1208)_새벽시장8.10xls_열처리결과품의(031017)개발_도금 열처리 주단조 평가품의(040329)" xfId="25716"/>
    <cellStyle name="백_사전회의(1208)_새벽시장8.10xls_용접업종 평가결과품의(040510)" xfId="25717"/>
    <cellStyle name="백_사전회의(1208)_새벽시장8.10xls_용접업종 평가결과품의(040510)_용접업종 평가결과품의(040510)" xfId="25718"/>
    <cellStyle name="백_사전회의(1208)_새벽시장8.10xls_용접업종 평가결과품의(040510)_용접업종 평가결과품의(040510)(1)" xfId="25719"/>
    <cellStyle name="백_사전회의(1208)_새벽시장8.10xls_용접업종 평가결과품의(040510)_주단조용접업종 평가결과품의(040510)(1)" xfId="25720"/>
    <cellStyle name="백_사전회의(1208)_새벽시장8.10xls_주단조 업종 평가결과품의(040407)" xfId="25721"/>
    <cellStyle name="백_사전회의(1208)_새벽시장8.10xls_주단조 업종 평가결과품의(040407)_용접업종 평가결과품의(040510)" xfId="25722"/>
    <cellStyle name="백_사전회의(1208)_새벽시장8.10xls_주단조 업종 평가결과품의(040407)_용접업종 평가결과품의(040510)(1)" xfId="25723"/>
    <cellStyle name="백_사전회의(1208)_새벽시장8.10xls_주단조 업종 평가결과품의(040407)_주단조용접업종 평가결과품의(040510)(1)" xfId="25724"/>
    <cellStyle name="백_사전회의(1208)_새벽시장8.10xls_주단조 업종 평가결과품의(040416)(1)" xfId="25725"/>
    <cellStyle name="백_사전회의(1208)_새벽시장8.10xls_주단조 업종 평가결과품의(040416)(1)_용접업종 평가결과품의(040510)" xfId="25726"/>
    <cellStyle name="백_사전회의(1208)_새벽시장8.10xls_주단조 업종 평가결과품의(040416)(1)_용접업종 평가결과품의(040510)(1)" xfId="25727"/>
    <cellStyle name="백_사전회의(1208)_새벽시장8.10xls_주단조 업종 평가결과품의(040416)(1)_주단조용접업종 평가결과품의(040510)(1)" xfId="25728"/>
    <cellStyle name="백_사전회의(1208)_새벽시장8.10xls_최신-SQ인증업체현황1343사(03년평가완료031229수정)" xfId="25729"/>
    <cellStyle name="백_사전회의(1208)_새벽시장8.10xls_최신-SQ인증업체현황1343사(03년평가완료031229수정)_용접업종 평가결과품의(040510)" xfId="25730"/>
    <cellStyle name="백_사전회의(1208)_새벽시장8.10xls_최신-SQ인증업체현황1343사(03년평가완료031229수정)_용접업종 평가결과품의(040510)(1)" xfId="25731"/>
    <cellStyle name="백_사전회의(1208)_새벽시장8.10xls_최신-SQ인증업체현황1343사(03년평가완료031229수정)_주단조용접업종 평가결과품의(040510)(1)" xfId="25732"/>
    <cellStyle name="백_사전회의(1208)_새벽시장8.26xls" xfId="25733"/>
    <cellStyle name="백_사전회의(1208)_새벽시장8.26xls_도금 열처리 주단조 평가품의(040329)" xfId="25734"/>
    <cellStyle name="백_사전회의(1208)_새벽시장8.26xls_도금 열처리 주단조 평가품의(040329)_도금 열처리 주단조 평가품의(040329)" xfId="25735"/>
    <cellStyle name="백_사전회의(1208)_새벽시장8.26xls_도금 열처리 주단조 평가품의(040329)업체" xfId="25736"/>
    <cellStyle name="백_사전회의(1208)_새벽시장8.26xls_열처리결과품의(031017)개발" xfId="25737"/>
    <cellStyle name="백_사전회의(1208)_새벽시장8.26xls_열처리결과품의(031017)개발_도금 열처리 주단조 평가품의(040329)" xfId="25738"/>
    <cellStyle name="백_사전회의(1208)_새벽시장8.26xls_용접업종 평가결과품의(040510)" xfId="25739"/>
    <cellStyle name="백_사전회의(1208)_새벽시장8.26xls_용접업종 평가결과품의(040510)_용접업종 평가결과품의(040510)" xfId="25740"/>
    <cellStyle name="백_사전회의(1208)_새벽시장8.26xls_용접업종 평가결과품의(040510)_용접업종 평가결과품의(040510)(1)" xfId="25741"/>
    <cellStyle name="백_사전회의(1208)_새벽시장8.26xls_용접업종 평가결과품의(040510)_주단조용접업종 평가결과품의(040510)(1)" xfId="25742"/>
    <cellStyle name="백_사전회의(1208)_새벽시장8.26xls_주단조 업종 평가결과품의(040407)" xfId="25743"/>
    <cellStyle name="백_사전회의(1208)_새벽시장8.26xls_주단조 업종 평가결과품의(040407)_용접업종 평가결과품의(040510)" xfId="25744"/>
    <cellStyle name="백_사전회의(1208)_새벽시장8.26xls_주단조 업종 평가결과품의(040407)_용접업종 평가결과품의(040510)(1)" xfId="25745"/>
    <cellStyle name="백_사전회의(1208)_새벽시장8.26xls_주단조 업종 평가결과품의(040407)_주단조용접업종 평가결과품의(040510)(1)" xfId="25746"/>
    <cellStyle name="백_사전회의(1208)_새벽시장8.26xls_주단조 업종 평가결과품의(040416)(1)" xfId="25747"/>
    <cellStyle name="백_사전회의(1208)_새벽시장8.26xls_주단조 업종 평가결과품의(040416)(1)_용접업종 평가결과품의(040510)" xfId="25748"/>
    <cellStyle name="백_사전회의(1208)_새벽시장8.26xls_주단조 업종 평가결과품의(040416)(1)_용접업종 평가결과품의(040510)(1)" xfId="25749"/>
    <cellStyle name="백_사전회의(1208)_새벽시장8.26xls_주단조 업종 평가결과품의(040416)(1)_주단조용접업종 평가결과품의(040510)(1)" xfId="25750"/>
    <cellStyle name="백_사전회의(1208)_새벽시장8.26xls_최신-SQ인증업체현황1343사(03년평가완료031229수정)" xfId="25751"/>
    <cellStyle name="백_사전회의(1208)_새벽시장8.26xls_최신-SQ인증업체현황1343사(03년평가완료031229수정)_용접업종 평가결과품의(040510)" xfId="25752"/>
    <cellStyle name="백_사전회의(1208)_새벽시장8.26xls_최신-SQ인증업체현황1343사(03년평가완료031229수정)_용접업종 평가결과품의(040510)(1)" xfId="25753"/>
    <cellStyle name="백_사전회의(1208)_새벽시장8.26xls_최신-SQ인증업체현황1343사(03년평가완료031229수정)_주단조용접업종 평가결과품의(040510)(1)" xfId="25754"/>
    <cellStyle name="백_사전회의(1208)_새벽시장9.16" xfId="25755"/>
    <cellStyle name="백_사전회의(1208)_새벽시장9.16_도금 열처리 주단조 평가품의(040329)" xfId="25756"/>
    <cellStyle name="백_사전회의(1208)_새벽시장9.16_도금 열처리 주단조 평가품의(040329)_도금 열처리 주단조 평가품의(040329)" xfId="25757"/>
    <cellStyle name="백_사전회의(1208)_새벽시장9.16_도금 열처리 주단조 평가품의(040329)업체" xfId="25758"/>
    <cellStyle name="백_사전회의(1208)_새벽시장9.16_열처리결과품의(031017)개발" xfId="25759"/>
    <cellStyle name="백_사전회의(1208)_새벽시장9.16_열처리결과품의(031017)개발_도금 열처리 주단조 평가품의(040329)" xfId="25760"/>
    <cellStyle name="백_사전회의(1208)_새벽시장9.16_용접업종 평가결과품의(040510)" xfId="25761"/>
    <cellStyle name="백_사전회의(1208)_새벽시장9.16_용접업종 평가결과품의(040510)_용접업종 평가결과품의(040510)" xfId="25762"/>
    <cellStyle name="백_사전회의(1208)_새벽시장9.16_용접업종 평가결과품의(040510)_용접업종 평가결과품의(040510)(1)" xfId="25763"/>
    <cellStyle name="백_사전회의(1208)_새벽시장9.16_용접업종 평가결과품의(040510)_주단조용접업종 평가결과품의(040510)(1)" xfId="25764"/>
    <cellStyle name="백_사전회의(1208)_새벽시장9.16_주단조 업종 평가결과품의(040407)" xfId="25765"/>
    <cellStyle name="백_사전회의(1208)_새벽시장9.16_주단조 업종 평가결과품의(040407)_용접업종 평가결과품의(040510)" xfId="25766"/>
    <cellStyle name="백_사전회의(1208)_새벽시장9.16_주단조 업종 평가결과품의(040407)_용접업종 평가결과품의(040510)(1)" xfId="25767"/>
    <cellStyle name="백_사전회의(1208)_새벽시장9.16_주단조 업종 평가결과품의(040407)_주단조용접업종 평가결과품의(040510)(1)" xfId="25768"/>
    <cellStyle name="백_사전회의(1208)_새벽시장9.16_주단조 업종 평가결과품의(040416)(1)" xfId="25769"/>
    <cellStyle name="백_사전회의(1208)_새벽시장9.16_주단조 업종 평가결과품의(040416)(1)_용접업종 평가결과품의(040510)" xfId="25770"/>
    <cellStyle name="백_사전회의(1208)_새벽시장9.16_주단조 업종 평가결과품의(040416)(1)_용접업종 평가결과품의(040510)(1)" xfId="25771"/>
    <cellStyle name="백_사전회의(1208)_새벽시장9.16_주단조 업종 평가결과품의(040416)(1)_주단조용접업종 평가결과품의(040510)(1)" xfId="25772"/>
    <cellStyle name="백_사전회의(1208)_새벽시장9.16_최신-SQ인증업체현황1343사(03년평가완료031229수정)" xfId="25773"/>
    <cellStyle name="백_사전회의(1208)_새벽시장9.16_최신-SQ인증업체현황1343사(03년평가완료031229수정)_용접업종 평가결과품의(040510)" xfId="25774"/>
    <cellStyle name="백_사전회의(1208)_새벽시장9.16_최신-SQ인증업체현황1343사(03년평가완료031229수정)_용접업종 평가결과품의(040510)(1)" xfId="25775"/>
    <cellStyle name="백_사전회의(1208)_새벽시장9.16_최신-SQ인증업체현황1343사(03년평가완료031229수정)_주단조용접업종 평가결과품의(040510)(1)" xfId="25776"/>
    <cellStyle name="백_사전회의(1208)_열처리결과품의(031017)개발" xfId="25777"/>
    <cellStyle name="백_사전회의(1208)_열처리결과품의(031017)개발_도금 열처리 주단조 평가품의(040329)" xfId="25778"/>
    <cellStyle name="백_사전회의(1208)_용접업종 평가결과품의(040510)" xfId="25779"/>
    <cellStyle name="백_사전회의(1208)_용접업종 평가결과품의(040510)_용접업종 평가결과품의(040510)" xfId="25780"/>
    <cellStyle name="백_사전회의(1208)_용접업종 평가결과품의(040510)_용접업종 평가결과품의(040510)(1)" xfId="25781"/>
    <cellStyle name="백_사전회의(1208)_용접업종 평가결과품의(040510)_주단조용접업종 평가결과품의(040510)(1)" xfId="25782"/>
    <cellStyle name="백_사전회의(1208)_주단조 업종 평가결과품의(040407)" xfId="25783"/>
    <cellStyle name="백_사전회의(1208)_주단조 업종 평가결과품의(040407)_용접업종 평가결과품의(040510)" xfId="25784"/>
    <cellStyle name="백_사전회의(1208)_주단조 업종 평가결과품의(040407)_용접업종 평가결과품의(040510)(1)" xfId="25785"/>
    <cellStyle name="백_사전회의(1208)_주단조 업종 평가결과품의(040407)_주단조용접업종 평가결과품의(040510)(1)" xfId="25786"/>
    <cellStyle name="백_사전회의(1208)_주단조 업종 평가결과품의(040416)(1)" xfId="25787"/>
    <cellStyle name="백_사전회의(1208)_주단조 업종 평가결과품의(040416)(1)_용접업종 평가결과품의(040510)" xfId="25788"/>
    <cellStyle name="백_사전회의(1208)_주단조 업종 평가결과품의(040416)(1)_용접업종 평가결과품의(040510)(1)" xfId="25789"/>
    <cellStyle name="백_사전회의(1208)_주단조 업종 평가결과품의(040416)(1)_주단조용접업종 평가결과품의(040510)(1)" xfId="25790"/>
    <cellStyle name="백_사전회의(1208)_최신-SQ인증업체현황1343사(03년평가완료031229수정)" xfId="25791"/>
    <cellStyle name="백_사전회의(1208)_최신-SQ인증업체현황1343사(03년평가완료031229수정)_용접업종 평가결과품의(040510)" xfId="25792"/>
    <cellStyle name="백_사전회의(1208)_최신-SQ인증업체현황1343사(03년평가완료031229수정)_용접업종 평가결과품의(040510)(1)" xfId="25793"/>
    <cellStyle name="백_사전회의(1208)_최신-SQ인증업체현황1343사(03년평가완료031229수정)_주단조용접업종 평가결과품의(040510)(1)" xfId="25794"/>
    <cellStyle name="백_새벽시장1" xfId="25795"/>
    <cellStyle name="백_새벽시장1_도금 열처리 주단조 평가품의(040329)" xfId="25796"/>
    <cellStyle name="백_새벽시장1_도금 열처리 주단조 평가품의(040329)_도금 열처리 주단조 평가품의(040329)" xfId="25797"/>
    <cellStyle name="백_새벽시장1_도금 열처리 주단조 평가품의(040329)업체" xfId="25798"/>
    <cellStyle name="백_새벽시장1_열처리결과품의(031017)개발" xfId="25799"/>
    <cellStyle name="백_새벽시장1_열처리결과품의(031017)개발_도금 열처리 주단조 평가품의(040329)" xfId="25800"/>
    <cellStyle name="백_새벽시장1_용접업종 평가결과품의(040510)" xfId="25801"/>
    <cellStyle name="백_새벽시장1_용접업종 평가결과품의(040510)_용접업종 평가결과품의(040510)" xfId="25802"/>
    <cellStyle name="백_새벽시장1_용접업종 평가결과품의(040510)_용접업종 평가결과품의(040510)(1)" xfId="25803"/>
    <cellStyle name="백_새벽시장1_용접업종 평가결과품의(040510)_주단조용접업종 평가결과품의(040510)(1)" xfId="25804"/>
    <cellStyle name="백_새벽시장1_주단조 업종 평가결과품의(040407)" xfId="25805"/>
    <cellStyle name="백_새벽시장1_주단조 업종 평가결과품의(040407)_용접업종 평가결과품의(040510)" xfId="25806"/>
    <cellStyle name="백_새벽시장1_주단조 업종 평가결과품의(040407)_용접업종 평가결과품의(040510)(1)" xfId="25807"/>
    <cellStyle name="백_새벽시장1_주단조 업종 평가결과품의(040407)_주단조용접업종 평가결과품의(040510)(1)" xfId="25808"/>
    <cellStyle name="백_새벽시장1_주단조 업종 평가결과품의(040416)(1)" xfId="25809"/>
    <cellStyle name="백_새벽시장1_주단조 업종 평가결과품의(040416)(1)_용접업종 평가결과품의(040510)" xfId="25810"/>
    <cellStyle name="백_새벽시장1_주단조 업종 평가결과품의(040416)(1)_용접업종 평가결과품의(040510)(1)" xfId="25811"/>
    <cellStyle name="백_새벽시장1_주단조 업종 평가결과품의(040416)(1)_주단조용접업종 평가결과품의(040510)(1)" xfId="25812"/>
    <cellStyle name="백_새벽시장1_최신-SQ인증업체현황1343사(03년평가완료031229수정)" xfId="25813"/>
    <cellStyle name="백_새벽시장1_최신-SQ인증업체현황1343사(03년평가완료031229수정)_용접업종 평가결과품의(040510)" xfId="25814"/>
    <cellStyle name="백_새벽시장1_최신-SQ인증업체현황1343사(03년평가완료031229수정)_용접업종 평가결과품의(040510)(1)" xfId="25815"/>
    <cellStyle name="백_새벽시장1_최신-SQ인증업체현황1343사(03년평가완료031229수정)_주단조용접업종 평가결과품의(040510)(1)" xfId="25816"/>
    <cellStyle name="백_새벽시장3" xfId="25817"/>
    <cellStyle name="백_새벽시장3_도금 열처리 주단조 평가품의(040329)" xfId="25818"/>
    <cellStyle name="백_새벽시장3_도금 열처리 주단조 평가품의(040329)_도금 열처리 주단조 평가품의(040329)" xfId="25819"/>
    <cellStyle name="백_새벽시장3_도금 열처리 주단조 평가품의(040329)업체" xfId="25820"/>
    <cellStyle name="백_새벽시장3_열처리결과품의(031017)개발" xfId="25821"/>
    <cellStyle name="백_새벽시장3_열처리결과품의(031017)개발_도금 열처리 주단조 평가품의(040329)" xfId="25822"/>
    <cellStyle name="백_새벽시장3_용접업종 평가결과품의(040510)" xfId="25823"/>
    <cellStyle name="백_새벽시장3_용접업종 평가결과품의(040510)_용접업종 평가결과품의(040510)" xfId="25824"/>
    <cellStyle name="백_새벽시장3_용접업종 평가결과품의(040510)_용접업종 평가결과품의(040510)(1)" xfId="25825"/>
    <cellStyle name="백_새벽시장3_용접업종 평가결과품의(040510)_주단조용접업종 평가결과품의(040510)(1)" xfId="25826"/>
    <cellStyle name="백_새벽시장3_주단조 업종 평가결과품의(040407)" xfId="25827"/>
    <cellStyle name="백_새벽시장3_주단조 업종 평가결과품의(040407)_용접업종 평가결과품의(040510)" xfId="25828"/>
    <cellStyle name="백_새벽시장3_주단조 업종 평가결과품의(040407)_용접업종 평가결과품의(040510)(1)" xfId="25829"/>
    <cellStyle name="백_새벽시장3_주단조 업종 평가결과품의(040407)_주단조용접업종 평가결과품의(040510)(1)" xfId="25830"/>
    <cellStyle name="백_새벽시장3_주단조 업종 평가결과품의(040416)(1)" xfId="25831"/>
    <cellStyle name="백_새벽시장3_주단조 업종 평가결과품의(040416)(1)_용접업종 평가결과품의(040510)" xfId="25832"/>
    <cellStyle name="백_새벽시장3_주단조 업종 평가결과품의(040416)(1)_용접업종 평가결과품의(040510)(1)" xfId="25833"/>
    <cellStyle name="백_새벽시장3_주단조 업종 평가결과품의(040416)(1)_주단조용접업종 평가결과품의(040510)(1)" xfId="25834"/>
    <cellStyle name="백_새벽시장3_최신-SQ인증업체현황1343사(03년평가완료031229수정)" xfId="25835"/>
    <cellStyle name="백_새벽시장3_최신-SQ인증업체현황1343사(03년평가완료031229수정)_용접업종 평가결과품의(040510)" xfId="25836"/>
    <cellStyle name="백_새벽시장3_최신-SQ인증업체현황1343사(03년평가완료031229수정)_용접업종 평가결과품의(040510)(1)" xfId="25837"/>
    <cellStyle name="백_새벽시장3_최신-SQ인증업체현황1343사(03년평가완료031229수정)_주단조용접업종 평가결과품의(040510)(1)" xfId="25838"/>
    <cellStyle name="백_새벽시장5" xfId="25839"/>
    <cellStyle name="백_새벽시장5_도금 열처리 주단조 평가품의(040329)" xfId="25840"/>
    <cellStyle name="백_새벽시장5_도금 열처리 주단조 평가품의(040329)_도금 열처리 주단조 평가품의(040329)" xfId="25841"/>
    <cellStyle name="백_새벽시장5_도금 열처리 주단조 평가품의(040329)업체" xfId="25842"/>
    <cellStyle name="백_새벽시장5_열처리결과품의(031017)개발" xfId="25843"/>
    <cellStyle name="백_새벽시장5_열처리결과품의(031017)개발_도금 열처리 주단조 평가품의(040329)" xfId="25844"/>
    <cellStyle name="백_새벽시장5_용접업종 평가결과품의(040510)" xfId="25845"/>
    <cellStyle name="백_새벽시장5_용접업종 평가결과품의(040510)_용접업종 평가결과품의(040510)" xfId="25846"/>
    <cellStyle name="백_새벽시장5_용접업종 평가결과품의(040510)_용접업종 평가결과품의(040510)(1)" xfId="25847"/>
    <cellStyle name="백_새벽시장5_용접업종 평가결과품의(040510)_주단조용접업종 평가결과품의(040510)(1)" xfId="25848"/>
    <cellStyle name="백_새벽시장5_주단조 업종 평가결과품의(040407)" xfId="25849"/>
    <cellStyle name="백_새벽시장5_주단조 업종 평가결과품의(040407)_용접업종 평가결과품의(040510)" xfId="25850"/>
    <cellStyle name="백_새벽시장5_주단조 업종 평가결과품의(040407)_용접업종 평가결과품의(040510)(1)" xfId="25851"/>
    <cellStyle name="백_새벽시장5_주단조 업종 평가결과품의(040407)_주단조용접업종 평가결과품의(040510)(1)" xfId="25852"/>
    <cellStyle name="백_새벽시장5_주단조 업종 평가결과품의(040416)(1)" xfId="25853"/>
    <cellStyle name="백_새벽시장5_주단조 업종 평가결과품의(040416)(1)_용접업종 평가결과품의(040510)" xfId="25854"/>
    <cellStyle name="백_새벽시장5_주단조 업종 평가결과품의(040416)(1)_용접업종 평가결과품의(040510)(1)" xfId="25855"/>
    <cellStyle name="백_새벽시장5_주단조 업종 평가결과품의(040416)(1)_주단조용접업종 평가결과품의(040510)(1)" xfId="25856"/>
    <cellStyle name="백_새벽시장5_최신-SQ인증업체현황1343사(03년평가완료031229수정)" xfId="25857"/>
    <cellStyle name="백_새벽시장5_최신-SQ인증업체현황1343사(03년평가완료031229수정)_용접업종 평가결과품의(040510)" xfId="25858"/>
    <cellStyle name="백_새벽시장5_최신-SQ인증업체현황1343사(03년평가완료031229수정)_용접업종 평가결과품의(040510)(1)" xfId="25859"/>
    <cellStyle name="백_새벽시장5_최신-SQ인증업체현황1343사(03년평가완료031229수정)_주단조용접업종 평가결과품의(040510)(1)" xfId="25860"/>
    <cellStyle name="백_새벽시장7" xfId="25861"/>
    <cellStyle name="백_새벽시장7_도금 열처리 주단조 평가품의(040329)" xfId="25862"/>
    <cellStyle name="백_새벽시장7_도금 열처리 주단조 평가품의(040329)_도금 열처리 주단조 평가품의(040329)" xfId="25863"/>
    <cellStyle name="백_새벽시장7_도금 열처리 주단조 평가품의(040329)업체" xfId="25864"/>
    <cellStyle name="백_새벽시장7_열처리결과품의(031017)개발" xfId="25865"/>
    <cellStyle name="백_새벽시장7_열처리결과품의(031017)개발_도금 열처리 주단조 평가품의(040329)" xfId="25866"/>
    <cellStyle name="백_새벽시장7_용접업종 평가결과품의(040510)" xfId="25867"/>
    <cellStyle name="백_새벽시장7_용접업종 평가결과품의(040510)_용접업종 평가결과품의(040510)" xfId="25868"/>
    <cellStyle name="백_새벽시장7_용접업종 평가결과품의(040510)_용접업종 평가결과품의(040510)(1)" xfId="25869"/>
    <cellStyle name="백_새벽시장7_용접업종 평가결과품의(040510)_주단조용접업종 평가결과품의(040510)(1)" xfId="25870"/>
    <cellStyle name="백_새벽시장7_주단조 업종 평가결과품의(040407)" xfId="25871"/>
    <cellStyle name="백_새벽시장7_주단조 업종 평가결과품의(040407)_용접업종 평가결과품의(040510)" xfId="25872"/>
    <cellStyle name="백_새벽시장7_주단조 업종 평가결과품의(040407)_용접업종 평가결과품의(040510)(1)" xfId="25873"/>
    <cellStyle name="백_새벽시장7_주단조 업종 평가결과품의(040407)_주단조용접업종 평가결과품의(040510)(1)" xfId="25874"/>
    <cellStyle name="백_새벽시장7_주단조 업종 평가결과품의(040416)(1)" xfId="25875"/>
    <cellStyle name="백_새벽시장7_주단조 업종 평가결과품의(040416)(1)_용접업종 평가결과품의(040510)" xfId="25876"/>
    <cellStyle name="백_새벽시장7_주단조 업종 평가결과품의(040416)(1)_용접업종 평가결과품의(040510)(1)" xfId="25877"/>
    <cellStyle name="백_새벽시장7_주단조 업종 평가결과품의(040416)(1)_주단조용접업종 평가결과품의(040510)(1)" xfId="25878"/>
    <cellStyle name="백_새벽시장7_최신-SQ인증업체현황1343사(03년평가완료031229수정)" xfId="25879"/>
    <cellStyle name="백_새벽시장7_최신-SQ인증업체현황1343사(03년평가완료031229수정)_용접업종 평가결과품의(040510)" xfId="25880"/>
    <cellStyle name="백_새벽시장7_최신-SQ인증업체현황1343사(03년평가완료031229수정)_용접업종 평가결과품의(040510)(1)" xfId="25881"/>
    <cellStyle name="백_새벽시장7_최신-SQ인증업체현황1343사(03년평가완료031229수정)_주단조용접업종 평가결과품의(040510)(1)" xfId="25882"/>
    <cellStyle name="백_새벽시장8.10xls" xfId="25883"/>
    <cellStyle name="백_새벽시장8.10xls_도금 열처리 주단조 평가품의(040329)" xfId="25884"/>
    <cellStyle name="백_새벽시장8.10xls_도금 열처리 주단조 평가품의(040329)_도금 열처리 주단조 평가품의(040329)" xfId="25885"/>
    <cellStyle name="백_새벽시장8.10xls_도금 열처리 주단조 평가품의(040329)업체" xfId="25886"/>
    <cellStyle name="백_새벽시장8.10xls_열처리결과품의(031017)개발" xfId="25887"/>
    <cellStyle name="백_새벽시장8.10xls_열처리결과품의(031017)개발_도금 열처리 주단조 평가품의(040329)" xfId="25888"/>
    <cellStyle name="백_새벽시장8.10xls_용접업종 평가결과품의(040510)" xfId="25889"/>
    <cellStyle name="백_새벽시장8.10xls_용접업종 평가결과품의(040510)_용접업종 평가결과품의(040510)" xfId="25890"/>
    <cellStyle name="백_새벽시장8.10xls_용접업종 평가결과품의(040510)_용접업종 평가결과품의(040510)(1)" xfId="25891"/>
    <cellStyle name="백_새벽시장8.10xls_용접업종 평가결과품의(040510)_주단조용접업종 평가결과품의(040510)(1)" xfId="25892"/>
    <cellStyle name="백_새벽시장8.10xls_주단조 업종 평가결과품의(040407)" xfId="25893"/>
    <cellStyle name="백_새벽시장8.10xls_주단조 업종 평가결과품의(040407)_용접업종 평가결과품의(040510)" xfId="25894"/>
    <cellStyle name="백_새벽시장8.10xls_주단조 업종 평가결과품의(040407)_용접업종 평가결과품의(040510)(1)" xfId="25895"/>
    <cellStyle name="백_새벽시장8.10xls_주단조 업종 평가결과품의(040407)_주단조용접업종 평가결과품의(040510)(1)" xfId="25896"/>
    <cellStyle name="백_새벽시장8.10xls_주단조 업종 평가결과품의(040416)(1)" xfId="25897"/>
    <cellStyle name="백_새벽시장8.10xls_주단조 업종 평가결과품의(040416)(1)_용접업종 평가결과품의(040510)" xfId="25898"/>
    <cellStyle name="백_새벽시장8.10xls_주단조 업종 평가결과품의(040416)(1)_용접업종 평가결과품의(040510)(1)" xfId="25899"/>
    <cellStyle name="백_새벽시장8.10xls_주단조 업종 평가결과품의(040416)(1)_주단조용접업종 평가결과품의(040510)(1)" xfId="25900"/>
    <cellStyle name="백_새벽시장8.10xls_최신-SQ인증업체현황1343사(03년평가완료031229수정)" xfId="25901"/>
    <cellStyle name="백_새벽시장8.10xls_최신-SQ인증업체현황1343사(03년평가완료031229수정)_용접업종 평가결과품의(040510)" xfId="25902"/>
    <cellStyle name="백_새벽시장8.10xls_최신-SQ인증업체현황1343사(03년평가완료031229수정)_용접업종 평가결과품의(040510)(1)" xfId="25903"/>
    <cellStyle name="백_새벽시장8.10xls_최신-SQ인증업체현황1343사(03년평가완료031229수정)_주단조용접업종 평가결과품의(040510)(1)" xfId="25904"/>
    <cellStyle name="백_새벽시장8.26xls" xfId="25905"/>
    <cellStyle name="백_새벽시장8.26xls_도금 열처리 주단조 평가품의(040329)" xfId="25906"/>
    <cellStyle name="백_새벽시장8.26xls_도금 열처리 주단조 평가품의(040329)_도금 열처리 주단조 평가품의(040329)" xfId="25907"/>
    <cellStyle name="백_새벽시장8.26xls_도금 열처리 주단조 평가품의(040329)업체" xfId="25908"/>
    <cellStyle name="백_새벽시장8.26xls_열처리결과품의(031017)개발" xfId="25909"/>
    <cellStyle name="백_새벽시장8.26xls_열처리결과품의(031017)개발_도금 열처리 주단조 평가품의(040329)" xfId="25910"/>
    <cellStyle name="백_새벽시장8.26xls_용접업종 평가결과품의(040510)" xfId="25911"/>
    <cellStyle name="백_새벽시장8.26xls_용접업종 평가결과품의(040510)_용접업종 평가결과품의(040510)" xfId="25912"/>
    <cellStyle name="백_새벽시장8.26xls_용접업종 평가결과품의(040510)_용접업종 평가결과품의(040510)(1)" xfId="25913"/>
    <cellStyle name="백_새벽시장8.26xls_용접업종 평가결과품의(040510)_주단조용접업종 평가결과품의(040510)(1)" xfId="25914"/>
    <cellStyle name="백_새벽시장8.26xls_주단조 업종 평가결과품의(040407)" xfId="25915"/>
    <cellStyle name="백_새벽시장8.26xls_주단조 업종 평가결과품의(040407)_용접업종 평가결과품의(040510)" xfId="25916"/>
    <cellStyle name="백_새벽시장8.26xls_주단조 업종 평가결과품의(040407)_용접업종 평가결과품의(040510)(1)" xfId="25917"/>
    <cellStyle name="백_새벽시장8.26xls_주단조 업종 평가결과품의(040407)_주단조용접업종 평가결과품의(040510)(1)" xfId="25918"/>
    <cellStyle name="백_새벽시장8.26xls_주단조 업종 평가결과품의(040416)(1)" xfId="25919"/>
    <cellStyle name="백_새벽시장8.26xls_주단조 업종 평가결과품의(040416)(1)_용접업종 평가결과품의(040510)" xfId="25920"/>
    <cellStyle name="백_새벽시장8.26xls_주단조 업종 평가결과품의(040416)(1)_용접업종 평가결과품의(040510)(1)" xfId="25921"/>
    <cellStyle name="백_새벽시장8.26xls_주단조 업종 평가결과품의(040416)(1)_주단조용접업종 평가결과품의(040510)(1)" xfId="25922"/>
    <cellStyle name="백_새벽시장8.26xls_최신-SQ인증업체현황1343사(03년평가완료031229수정)" xfId="25923"/>
    <cellStyle name="백_새벽시장8.26xls_최신-SQ인증업체현황1343사(03년평가완료031229수정)_용접업종 평가결과품의(040510)" xfId="25924"/>
    <cellStyle name="백_새벽시장8.26xls_최신-SQ인증업체현황1343사(03년평가완료031229수정)_용접업종 평가결과품의(040510)(1)" xfId="25925"/>
    <cellStyle name="백_새벽시장8.26xls_최신-SQ인증업체현황1343사(03년평가완료031229수정)_주단조용접업종 평가결과품의(040510)(1)" xfId="25926"/>
    <cellStyle name="백_새벽시장9.16" xfId="25927"/>
    <cellStyle name="백_새벽시장9.16_도금 열처리 주단조 평가품의(040329)" xfId="25928"/>
    <cellStyle name="백_새벽시장9.16_도금 열처리 주단조 평가품의(040329)_도금 열처리 주단조 평가품의(040329)" xfId="25929"/>
    <cellStyle name="백_새벽시장9.16_도금 열처리 주단조 평가품의(040329)업체" xfId="25930"/>
    <cellStyle name="백_새벽시장9.16_열처리결과품의(031017)개발" xfId="25931"/>
    <cellStyle name="백_새벽시장9.16_열처리결과품의(031017)개발_도금 열처리 주단조 평가품의(040329)" xfId="25932"/>
    <cellStyle name="백_새벽시장9.16_용접업종 평가결과품의(040510)" xfId="25933"/>
    <cellStyle name="백_새벽시장9.16_용접업종 평가결과품의(040510)_용접업종 평가결과품의(040510)" xfId="25934"/>
    <cellStyle name="백_새벽시장9.16_용접업종 평가결과품의(040510)_용접업종 평가결과품의(040510)(1)" xfId="25935"/>
    <cellStyle name="백_새벽시장9.16_용접업종 평가결과품의(040510)_주단조용접업종 평가결과품의(040510)(1)" xfId="25936"/>
    <cellStyle name="백_새벽시장9.16_주단조 업종 평가결과품의(040407)" xfId="25937"/>
    <cellStyle name="백_새벽시장9.16_주단조 업종 평가결과품의(040407)_용접업종 평가결과품의(040510)" xfId="25938"/>
    <cellStyle name="백_새벽시장9.16_주단조 업종 평가결과품의(040407)_용접업종 평가결과품의(040510)(1)" xfId="25939"/>
    <cellStyle name="백_새벽시장9.16_주단조 업종 평가결과품의(040407)_주단조용접업종 평가결과품의(040510)(1)" xfId="25940"/>
    <cellStyle name="백_새벽시장9.16_주단조 업종 평가결과품의(040416)(1)" xfId="25941"/>
    <cellStyle name="백_새벽시장9.16_주단조 업종 평가결과품의(040416)(1)_용접업종 평가결과품의(040510)" xfId="25942"/>
    <cellStyle name="백_새벽시장9.16_주단조 업종 평가결과품의(040416)(1)_용접업종 평가결과품의(040510)(1)" xfId="25943"/>
    <cellStyle name="백_새벽시장9.16_주단조 업종 평가결과품의(040416)(1)_주단조용접업종 평가결과품의(040510)(1)" xfId="25944"/>
    <cellStyle name="백_새벽시장9.16_최신-SQ인증업체현황1343사(03년평가완료031229수정)" xfId="25945"/>
    <cellStyle name="백_새벽시장9.16_최신-SQ인증업체현황1343사(03년평가완료031229수정)_용접업종 평가결과품의(040510)" xfId="25946"/>
    <cellStyle name="백_새벽시장9.16_최신-SQ인증업체현황1343사(03년평가완료031229수정)_용접업종 평가결과품의(040510)(1)" xfId="25947"/>
    <cellStyle name="백_새벽시장9.16_최신-SQ인증업체현황1343사(03년평가완료031229수정)_주단조용접업종 평가결과품의(040510)(1)" xfId="25948"/>
    <cellStyle name="백_열처리결과품의(031017)개발" xfId="25949"/>
    <cellStyle name="백_열처리결과품의(031017)개발_도금 열처리 주단조 평가품의(040329)" xfId="25950"/>
    <cellStyle name="백_용접업종 평가결과품의(040510)" xfId="25951"/>
    <cellStyle name="백_용접업종 평가결과품의(040510)_용접업종 평가결과품의(040510)" xfId="25952"/>
    <cellStyle name="백_용접업종 평가결과품의(040510)_용접업종 평가결과품의(040510)(1)" xfId="25953"/>
    <cellStyle name="백_용접업종 평가결과품의(040510)_주단조용접업종 평가결과품의(040510)(1)" xfId="25954"/>
    <cellStyle name="백_주단조 업종 평가결과품의(040407)" xfId="25955"/>
    <cellStyle name="백_주단조 업종 평가결과품의(040407)_용접업종 평가결과품의(040510)" xfId="25956"/>
    <cellStyle name="백_주단조 업종 평가결과품의(040407)_용접업종 평가결과품의(040510)(1)" xfId="25957"/>
    <cellStyle name="백_주단조 업종 평가결과품의(040407)_주단조용접업종 평가결과품의(040510)(1)" xfId="25958"/>
    <cellStyle name="백_주단조 업종 평가결과품의(040416)(1)" xfId="25959"/>
    <cellStyle name="백_주단조 업종 평가결과품의(040416)(1)_용접업종 평가결과품의(040510)" xfId="25960"/>
    <cellStyle name="백_주단조 업종 평가결과품의(040416)(1)_용접업종 평가결과품의(040510)(1)" xfId="25961"/>
    <cellStyle name="백_주단조 업종 평가결과품의(040416)(1)_주단조용접업종 평가결과품의(040510)(1)" xfId="25962"/>
    <cellStyle name="백_최신-SQ인증업체현황1343사(03년평가완료031229수정)" xfId="25963"/>
    <cellStyle name="백_최신-SQ인증업체현황1343사(03년평가완료031229수정)_용접업종 평가결과품의(040510)" xfId="25964"/>
    <cellStyle name="백_최신-SQ인증업체현황1343사(03년평가완료031229수정)_용접업종 평가결과품의(040510)(1)" xfId="25965"/>
    <cellStyle name="백_최신-SQ인증업체현황1343사(03년평가완료031229수정)_주단조용접업종 평가결과품의(040510)(1)" xfId="25966"/>
    <cellStyle name="백_출장계획서" xfId="25967"/>
    <cellStyle name="백_출장계획서_ROTATION 유동" xfId="25968"/>
    <cellStyle name="백_출장계획서_ROTATION 유동_도금 열처리 주단조 평가품의(040329)" xfId="25969"/>
    <cellStyle name="백_출장계획서_ROTATION 유동_도금 열처리 주단조 평가품의(040329)_도금 열처리 주단조 평가품의(040329)" xfId="25970"/>
    <cellStyle name="백_출장계획서_ROTATION 유동_도금 열처리 주단조 평가품의(040329)업체" xfId="25971"/>
    <cellStyle name="백_출장계획서_ROTATION 유동_열처리결과품의(031017)개발" xfId="25972"/>
    <cellStyle name="백_출장계획서_ROTATION 유동_열처리결과품의(031017)개발_도금 열처리 주단조 평가품의(040329)" xfId="25973"/>
    <cellStyle name="백_출장계획서_ROTATION 유동_용접업종 평가결과품의(040510)" xfId="25974"/>
    <cellStyle name="백_출장계획서_ROTATION 유동_용접업종 평가결과품의(040510)_용접업종 평가결과품의(040510)" xfId="25975"/>
    <cellStyle name="백_출장계획서_ROTATION 유동_용접업종 평가결과품의(040510)_용접업종 평가결과품의(040510)(1)" xfId="25976"/>
    <cellStyle name="백_출장계획서_ROTATION 유동_용접업종 평가결과품의(040510)_주단조용접업종 평가결과품의(040510)(1)" xfId="25977"/>
    <cellStyle name="백_출장계획서_ROTATION 유동_주단조 업종 평가결과품의(040407)" xfId="25978"/>
    <cellStyle name="백_출장계획서_ROTATION 유동_주단조 업종 평가결과품의(040407)_용접업종 평가결과품의(040510)" xfId="25979"/>
    <cellStyle name="백_출장계획서_ROTATION 유동_주단조 업종 평가결과품의(040407)_용접업종 평가결과품의(040510)(1)" xfId="25980"/>
    <cellStyle name="백_출장계획서_ROTATION 유동_주단조 업종 평가결과품의(040407)_주단조용접업종 평가결과품의(040510)(1)" xfId="25981"/>
    <cellStyle name="백_출장계획서_ROTATION 유동_주단조 업종 평가결과품의(040416)(1)" xfId="25982"/>
    <cellStyle name="백_출장계획서_ROTATION 유동_주단조 업종 평가결과품의(040416)(1)_용접업종 평가결과품의(040510)" xfId="25983"/>
    <cellStyle name="백_출장계획서_ROTATION 유동_주단조 업종 평가결과품의(040416)(1)_용접업종 평가결과품의(040510)(1)" xfId="25984"/>
    <cellStyle name="백_출장계획서_ROTATION 유동_주단조 업종 평가결과품의(040416)(1)_주단조용접업종 평가결과품의(040510)(1)" xfId="25985"/>
    <cellStyle name="백_출장계획서_ROTATION 유동_최신-SQ인증업체현황1343사(03년평가완료031229수정)" xfId="25986"/>
    <cellStyle name="백_출장계획서_ROTATION 유동_최신-SQ인증업체현황1343사(03년평가완료031229수정)_용접업종 평가결과품의(040510)" xfId="25987"/>
    <cellStyle name="백_출장계획서_ROTATION 유동_최신-SQ인증업체현황1343사(03년평가완료031229수정)_용접업종 평가결과품의(040510)(1)" xfId="25988"/>
    <cellStyle name="백_출장계획서_ROTATION 유동_최신-SQ인증업체현황1343사(03년평가완료031229수정)_주단조용접업종 평가결과품의(040510)(1)" xfId="25989"/>
    <cellStyle name="백_출장계획서_SLIDE 폭" xfId="25990"/>
    <cellStyle name="백_출장계획서_SLIDE 폭_도금 열처리 주단조 평가품의(040329)" xfId="25991"/>
    <cellStyle name="백_출장계획서_SLIDE 폭_도금 열처리 주단조 평가품의(040329)_도금 열처리 주단조 평가품의(040329)" xfId="25992"/>
    <cellStyle name="백_출장계획서_SLIDE 폭_도금 열처리 주단조 평가품의(040329)업체" xfId="25993"/>
    <cellStyle name="백_출장계획서_SLIDE 폭_열처리결과품의(031017)개발" xfId="25994"/>
    <cellStyle name="백_출장계획서_SLIDE 폭_열처리결과품의(031017)개발_도금 열처리 주단조 평가품의(040329)" xfId="25995"/>
    <cellStyle name="백_출장계획서_SLIDE 폭_용접업종 평가결과품의(040510)" xfId="25996"/>
    <cellStyle name="백_출장계획서_SLIDE 폭_용접업종 평가결과품의(040510)_용접업종 평가결과품의(040510)" xfId="25997"/>
    <cellStyle name="백_출장계획서_SLIDE 폭_용접업종 평가결과품의(040510)_용접업종 평가결과품의(040510)(1)" xfId="25998"/>
    <cellStyle name="백_출장계획서_SLIDE 폭_용접업종 평가결과품의(040510)_주단조용접업종 평가결과품의(040510)(1)" xfId="25999"/>
    <cellStyle name="백_출장계획서_SLIDE 폭_주단조 업종 평가결과품의(040407)" xfId="26000"/>
    <cellStyle name="백_출장계획서_SLIDE 폭_주단조 업종 평가결과품의(040407)_용접업종 평가결과품의(040510)" xfId="26001"/>
    <cellStyle name="백_출장계획서_SLIDE 폭_주단조 업종 평가결과품의(040407)_용접업종 평가결과품의(040510)(1)" xfId="26002"/>
    <cellStyle name="백_출장계획서_SLIDE 폭_주단조 업종 평가결과품의(040407)_주단조용접업종 평가결과품의(040510)(1)" xfId="26003"/>
    <cellStyle name="백_출장계획서_SLIDE 폭_주단조 업종 평가결과품의(040416)(1)" xfId="26004"/>
    <cellStyle name="백_출장계획서_SLIDE 폭_주단조 업종 평가결과품의(040416)(1)_용접업종 평가결과품의(040510)" xfId="26005"/>
    <cellStyle name="백_출장계획서_SLIDE 폭_주단조 업종 평가결과품의(040416)(1)_용접업종 평가결과품의(040510)(1)" xfId="26006"/>
    <cellStyle name="백_출장계획서_SLIDE 폭_주단조 업종 평가결과품의(040416)(1)_주단조용접업종 평가결과품의(040510)(1)" xfId="26007"/>
    <cellStyle name="백_출장계획서_SLIDE 폭_최신-SQ인증업체현황1343사(03년평가완료031229수정)" xfId="26008"/>
    <cellStyle name="백_출장계획서_SLIDE 폭_최신-SQ인증업체현황1343사(03년평가완료031229수정)_용접업종 평가결과품의(040510)" xfId="26009"/>
    <cellStyle name="백_출장계획서_SLIDE 폭_최신-SQ인증업체현황1343사(03년평가완료031229수정)_용접업종 평가결과품의(040510)(1)" xfId="26010"/>
    <cellStyle name="백_출장계획서_SLIDE 폭_최신-SQ인증업체현황1343사(03년평가완료031229수정)_주단조용접업종 평가결과품의(040510)(1)" xfId="26011"/>
    <cellStyle name="백_출장계획서_도금 열처리 주단조 평가품의(040329)" xfId="26012"/>
    <cellStyle name="백_출장계획서_도금 열처리 주단조 평가품의(040329)_도금 열처리 주단조 평가품의(040329)" xfId="26013"/>
    <cellStyle name="백_출장계획서_도금 열처리 주단조 평가품의(040329)업체" xfId="26014"/>
    <cellStyle name="백_출장계획서_새벽시장1" xfId="26015"/>
    <cellStyle name="백_출장계획서_새벽시장1_도금 열처리 주단조 평가품의(040329)" xfId="26016"/>
    <cellStyle name="백_출장계획서_새벽시장1_도금 열처리 주단조 평가품의(040329)_도금 열처리 주단조 평가품의(040329)" xfId="26017"/>
    <cellStyle name="백_출장계획서_새벽시장1_도금 열처리 주단조 평가품의(040329)업체" xfId="26018"/>
    <cellStyle name="백_출장계획서_새벽시장1_열처리결과품의(031017)개발" xfId="26019"/>
    <cellStyle name="백_출장계획서_새벽시장1_열처리결과품의(031017)개발_도금 열처리 주단조 평가품의(040329)" xfId="26020"/>
    <cellStyle name="백_출장계획서_새벽시장1_용접업종 평가결과품의(040510)" xfId="26021"/>
    <cellStyle name="백_출장계획서_새벽시장1_용접업종 평가결과품의(040510)_용접업종 평가결과품의(040510)" xfId="26022"/>
    <cellStyle name="백_출장계획서_새벽시장1_용접업종 평가결과품의(040510)_용접업종 평가결과품의(040510)(1)" xfId="26023"/>
    <cellStyle name="백_출장계획서_새벽시장1_용접업종 평가결과품의(040510)_주단조용접업종 평가결과품의(040510)(1)" xfId="26024"/>
    <cellStyle name="백_출장계획서_새벽시장1_주단조 업종 평가결과품의(040407)" xfId="26025"/>
    <cellStyle name="백_출장계획서_새벽시장1_주단조 업종 평가결과품의(040407)_용접업종 평가결과품의(040510)" xfId="26026"/>
    <cellStyle name="백_출장계획서_새벽시장1_주단조 업종 평가결과품의(040407)_용접업종 평가결과품의(040510)(1)" xfId="26027"/>
    <cellStyle name="백_출장계획서_새벽시장1_주단조 업종 평가결과품의(040407)_주단조용접업종 평가결과품의(040510)(1)" xfId="26028"/>
    <cellStyle name="백_출장계획서_새벽시장1_주단조 업종 평가결과품의(040416)(1)" xfId="26029"/>
    <cellStyle name="백_출장계획서_새벽시장1_주단조 업종 평가결과품의(040416)(1)_용접업종 평가결과품의(040510)" xfId="26030"/>
    <cellStyle name="백_출장계획서_새벽시장1_주단조 업종 평가결과품의(040416)(1)_용접업종 평가결과품의(040510)(1)" xfId="26031"/>
    <cellStyle name="백_출장계획서_새벽시장1_주단조 업종 평가결과품의(040416)(1)_주단조용접업종 평가결과품의(040510)(1)" xfId="26032"/>
    <cellStyle name="백_출장계획서_새벽시장1_최신-SQ인증업체현황1343사(03년평가완료031229수정)" xfId="26033"/>
    <cellStyle name="백_출장계획서_새벽시장1_최신-SQ인증업체현황1343사(03년평가완료031229수정)_용접업종 평가결과품의(040510)" xfId="26034"/>
    <cellStyle name="백_출장계획서_새벽시장1_최신-SQ인증업체현황1343사(03년평가완료031229수정)_용접업종 평가결과품의(040510)(1)" xfId="26035"/>
    <cellStyle name="백_출장계획서_새벽시장1_최신-SQ인증업체현황1343사(03년평가완료031229수정)_주단조용접업종 평가결과품의(040510)(1)" xfId="26036"/>
    <cellStyle name="백_출장계획서_새벽시장3" xfId="26037"/>
    <cellStyle name="백_출장계획서_새벽시장3_도금 열처리 주단조 평가품의(040329)" xfId="26038"/>
    <cellStyle name="백_출장계획서_새벽시장3_도금 열처리 주단조 평가품의(040329)_도금 열처리 주단조 평가품의(040329)" xfId="26039"/>
    <cellStyle name="백_출장계획서_새벽시장3_도금 열처리 주단조 평가품의(040329)업체" xfId="26040"/>
    <cellStyle name="백_출장계획서_새벽시장3_열처리결과품의(031017)개발" xfId="26041"/>
    <cellStyle name="백_출장계획서_새벽시장3_열처리결과품의(031017)개발_도금 열처리 주단조 평가품의(040329)" xfId="26042"/>
    <cellStyle name="백_출장계획서_새벽시장3_용접업종 평가결과품의(040510)" xfId="26043"/>
    <cellStyle name="백_출장계획서_새벽시장3_용접업종 평가결과품의(040510)_용접업종 평가결과품의(040510)" xfId="26044"/>
    <cellStyle name="백_출장계획서_새벽시장3_용접업종 평가결과품의(040510)_용접업종 평가결과품의(040510)(1)" xfId="26045"/>
    <cellStyle name="백_출장계획서_새벽시장3_용접업종 평가결과품의(040510)_주단조용접업종 평가결과품의(040510)(1)" xfId="26046"/>
    <cellStyle name="백_출장계획서_새벽시장3_주단조 업종 평가결과품의(040407)" xfId="26047"/>
    <cellStyle name="백_출장계획서_새벽시장3_주단조 업종 평가결과품의(040407)_용접업종 평가결과품의(040510)" xfId="26048"/>
    <cellStyle name="백_출장계획서_새벽시장3_주단조 업종 평가결과품의(040407)_용접업종 평가결과품의(040510)(1)" xfId="26049"/>
    <cellStyle name="백_출장계획서_새벽시장3_주단조 업종 평가결과품의(040407)_주단조용접업종 평가결과품의(040510)(1)" xfId="26050"/>
    <cellStyle name="백_출장계획서_새벽시장3_주단조 업종 평가결과품의(040416)(1)" xfId="26051"/>
    <cellStyle name="백_출장계획서_새벽시장3_주단조 업종 평가결과품의(040416)(1)_용접업종 평가결과품의(040510)" xfId="26052"/>
    <cellStyle name="백_출장계획서_새벽시장3_주단조 업종 평가결과품의(040416)(1)_용접업종 평가결과품의(040510)(1)" xfId="26053"/>
    <cellStyle name="백_출장계획서_새벽시장3_주단조 업종 평가결과품의(040416)(1)_주단조용접업종 평가결과품의(040510)(1)" xfId="26054"/>
    <cellStyle name="백_출장계획서_새벽시장3_최신-SQ인증업체현황1343사(03년평가완료031229수정)" xfId="26055"/>
    <cellStyle name="백_출장계획서_새벽시장3_최신-SQ인증업체현황1343사(03년평가완료031229수정)_용접업종 평가결과품의(040510)" xfId="26056"/>
    <cellStyle name="백_출장계획서_새벽시장3_최신-SQ인증업체현황1343사(03년평가완료031229수정)_용접업종 평가결과품의(040510)(1)" xfId="26057"/>
    <cellStyle name="백_출장계획서_새벽시장3_최신-SQ인증업체현황1343사(03년평가완료031229수정)_주단조용접업종 평가결과품의(040510)(1)" xfId="26058"/>
    <cellStyle name="백_출장계획서_새벽시장5" xfId="26059"/>
    <cellStyle name="백_출장계획서_새벽시장5_도금 열처리 주단조 평가품의(040329)" xfId="26060"/>
    <cellStyle name="백_출장계획서_새벽시장5_도금 열처리 주단조 평가품의(040329)_도금 열처리 주단조 평가품의(040329)" xfId="26061"/>
    <cellStyle name="백_출장계획서_새벽시장5_도금 열처리 주단조 평가품의(040329)업체" xfId="26062"/>
    <cellStyle name="백_출장계획서_새벽시장5_열처리결과품의(031017)개발" xfId="26063"/>
    <cellStyle name="백_출장계획서_새벽시장5_열처리결과품의(031017)개발_도금 열처리 주단조 평가품의(040329)" xfId="26064"/>
    <cellStyle name="백_출장계획서_새벽시장5_용접업종 평가결과품의(040510)" xfId="26065"/>
    <cellStyle name="백_출장계획서_새벽시장5_용접업종 평가결과품의(040510)_용접업종 평가결과품의(040510)" xfId="26066"/>
    <cellStyle name="백_출장계획서_새벽시장5_용접업종 평가결과품의(040510)_용접업종 평가결과품의(040510)(1)" xfId="26067"/>
    <cellStyle name="백_출장계획서_새벽시장5_용접업종 평가결과품의(040510)_주단조용접업종 평가결과품의(040510)(1)" xfId="26068"/>
    <cellStyle name="백_출장계획서_새벽시장5_주단조 업종 평가결과품의(040407)" xfId="26069"/>
    <cellStyle name="백_출장계획서_새벽시장5_주단조 업종 평가결과품의(040407)_용접업종 평가결과품의(040510)" xfId="26070"/>
    <cellStyle name="백_출장계획서_새벽시장5_주단조 업종 평가결과품의(040407)_용접업종 평가결과품의(040510)(1)" xfId="26071"/>
    <cellStyle name="백_출장계획서_새벽시장5_주단조 업종 평가결과품의(040407)_주단조용접업종 평가결과품의(040510)(1)" xfId="26072"/>
    <cellStyle name="백_출장계획서_새벽시장5_주단조 업종 평가결과품의(040416)(1)" xfId="26073"/>
    <cellStyle name="백_출장계획서_새벽시장5_주단조 업종 평가결과품의(040416)(1)_용접업종 평가결과품의(040510)" xfId="26074"/>
    <cellStyle name="백_출장계획서_새벽시장5_주단조 업종 평가결과품의(040416)(1)_용접업종 평가결과품의(040510)(1)" xfId="26075"/>
    <cellStyle name="백_출장계획서_새벽시장5_주단조 업종 평가결과품의(040416)(1)_주단조용접업종 평가결과품의(040510)(1)" xfId="26076"/>
    <cellStyle name="백_출장계획서_새벽시장5_최신-SQ인증업체현황1343사(03년평가완료031229수정)" xfId="26077"/>
    <cellStyle name="백_출장계획서_새벽시장5_최신-SQ인증업체현황1343사(03년평가완료031229수정)_용접업종 평가결과품의(040510)" xfId="26078"/>
    <cellStyle name="백_출장계획서_새벽시장5_최신-SQ인증업체현황1343사(03년평가완료031229수정)_용접업종 평가결과품의(040510)(1)" xfId="26079"/>
    <cellStyle name="백_출장계획서_새벽시장5_최신-SQ인증업체현황1343사(03년평가완료031229수정)_주단조용접업종 평가결과품의(040510)(1)" xfId="26080"/>
    <cellStyle name="백_출장계획서_새벽시장7" xfId="26081"/>
    <cellStyle name="백_출장계획서_새벽시장7_도금 열처리 주단조 평가품의(040329)" xfId="26082"/>
    <cellStyle name="백_출장계획서_새벽시장7_도금 열처리 주단조 평가품의(040329)_도금 열처리 주단조 평가품의(040329)" xfId="26083"/>
    <cellStyle name="백_출장계획서_새벽시장7_도금 열처리 주단조 평가품의(040329)업체" xfId="26084"/>
    <cellStyle name="백_출장계획서_새벽시장7_열처리결과품의(031017)개발" xfId="26085"/>
    <cellStyle name="백_출장계획서_새벽시장7_열처리결과품의(031017)개발_도금 열처리 주단조 평가품의(040329)" xfId="26086"/>
    <cellStyle name="백_출장계획서_새벽시장7_용접업종 평가결과품의(040510)" xfId="26087"/>
    <cellStyle name="백_출장계획서_새벽시장7_용접업종 평가결과품의(040510)_용접업종 평가결과품의(040510)" xfId="26088"/>
    <cellStyle name="백_출장계획서_새벽시장7_용접업종 평가결과품의(040510)_용접업종 평가결과품의(040510)(1)" xfId="26089"/>
    <cellStyle name="백_출장계획서_새벽시장7_용접업종 평가결과품의(040510)_주단조용접업종 평가결과품의(040510)(1)" xfId="26090"/>
    <cellStyle name="백_출장계획서_새벽시장7_주단조 업종 평가결과품의(040407)" xfId="26091"/>
    <cellStyle name="백_출장계획서_새벽시장7_주단조 업종 평가결과품의(040407)_용접업종 평가결과품의(040510)" xfId="26092"/>
    <cellStyle name="백_출장계획서_새벽시장7_주단조 업종 평가결과품의(040407)_용접업종 평가결과품의(040510)(1)" xfId="26093"/>
    <cellStyle name="백_출장계획서_새벽시장7_주단조 업종 평가결과품의(040407)_주단조용접업종 평가결과품의(040510)(1)" xfId="26094"/>
    <cellStyle name="백_출장계획서_새벽시장7_주단조 업종 평가결과품의(040416)(1)" xfId="26095"/>
    <cellStyle name="백_출장계획서_새벽시장7_주단조 업종 평가결과품의(040416)(1)_용접업종 평가결과품의(040510)" xfId="26096"/>
    <cellStyle name="백_출장계획서_새벽시장7_주단조 업종 평가결과품의(040416)(1)_용접업종 평가결과품의(040510)(1)" xfId="26097"/>
    <cellStyle name="백_출장계획서_새벽시장7_주단조 업종 평가결과품의(040416)(1)_주단조용접업종 평가결과품의(040510)(1)" xfId="26098"/>
    <cellStyle name="백_출장계획서_새벽시장7_최신-SQ인증업체현황1343사(03년평가완료031229수정)" xfId="26099"/>
    <cellStyle name="백_출장계획서_새벽시장7_최신-SQ인증업체현황1343사(03년평가완료031229수정)_용접업종 평가결과품의(040510)" xfId="26100"/>
    <cellStyle name="백_출장계획서_새벽시장7_최신-SQ인증업체현황1343사(03년평가완료031229수정)_용접업종 평가결과품의(040510)(1)" xfId="26101"/>
    <cellStyle name="백_출장계획서_새벽시장7_최신-SQ인증업체현황1343사(03년평가완료031229수정)_주단조용접업종 평가결과품의(040510)(1)" xfId="26102"/>
    <cellStyle name="백_출장계획서_새벽시장8.10xls" xfId="26103"/>
    <cellStyle name="백_출장계획서_새벽시장8.10xls_도금 열처리 주단조 평가품의(040329)" xfId="26104"/>
    <cellStyle name="백_출장계획서_새벽시장8.10xls_도금 열처리 주단조 평가품의(040329)_도금 열처리 주단조 평가품의(040329)" xfId="26105"/>
    <cellStyle name="백_출장계획서_새벽시장8.10xls_도금 열처리 주단조 평가품의(040329)업체" xfId="26106"/>
    <cellStyle name="백_출장계획서_새벽시장8.10xls_열처리결과품의(031017)개발" xfId="26107"/>
    <cellStyle name="백_출장계획서_새벽시장8.10xls_열처리결과품의(031017)개발_도금 열처리 주단조 평가품의(040329)" xfId="26108"/>
    <cellStyle name="백_출장계획서_새벽시장8.10xls_용접업종 평가결과품의(040510)" xfId="26109"/>
    <cellStyle name="백_출장계획서_새벽시장8.10xls_용접업종 평가결과품의(040510)_용접업종 평가결과품의(040510)" xfId="26110"/>
    <cellStyle name="백_출장계획서_새벽시장8.10xls_용접업종 평가결과품의(040510)_용접업종 평가결과품의(040510)(1)" xfId="26111"/>
    <cellStyle name="백_출장계획서_새벽시장8.10xls_용접업종 평가결과품의(040510)_주단조용접업종 평가결과품의(040510)(1)" xfId="26112"/>
    <cellStyle name="백_출장계획서_새벽시장8.10xls_주단조 업종 평가결과품의(040407)" xfId="26113"/>
    <cellStyle name="백_출장계획서_새벽시장8.10xls_주단조 업종 평가결과품의(040407)_용접업종 평가결과품의(040510)" xfId="26114"/>
    <cellStyle name="백_출장계획서_새벽시장8.10xls_주단조 업종 평가결과품의(040407)_용접업종 평가결과품의(040510)(1)" xfId="26115"/>
    <cellStyle name="백_출장계획서_새벽시장8.10xls_주단조 업종 평가결과품의(040407)_주단조용접업종 평가결과품의(040510)(1)" xfId="26116"/>
    <cellStyle name="백_출장계획서_새벽시장8.10xls_주단조 업종 평가결과품의(040416)(1)" xfId="26117"/>
    <cellStyle name="백_출장계획서_새벽시장8.10xls_주단조 업종 평가결과품의(040416)(1)_용접업종 평가결과품의(040510)" xfId="26118"/>
    <cellStyle name="백_출장계획서_새벽시장8.10xls_주단조 업종 평가결과품의(040416)(1)_용접업종 평가결과품의(040510)(1)" xfId="26119"/>
    <cellStyle name="백_출장계획서_새벽시장8.10xls_주단조 업종 평가결과품의(040416)(1)_주단조용접업종 평가결과품의(040510)(1)" xfId="26120"/>
    <cellStyle name="백_출장계획서_새벽시장8.10xls_최신-SQ인증업체현황1343사(03년평가완료031229수정)" xfId="26121"/>
    <cellStyle name="백_출장계획서_새벽시장8.10xls_최신-SQ인증업체현황1343사(03년평가완료031229수정)_용접업종 평가결과품의(040510)" xfId="26122"/>
    <cellStyle name="백_출장계획서_새벽시장8.10xls_최신-SQ인증업체현황1343사(03년평가완료031229수정)_용접업종 평가결과품의(040510)(1)" xfId="26123"/>
    <cellStyle name="백_출장계획서_새벽시장8.10xls_최신-SQ인증업체현황1343사(03년평가완료031229수정)_주단조용접업종 평가결과품의(040510)(1)" xfId="26124"/>
    <cellStyle name="백_출장계획서_새벽시장8.26xls" xfId="26125"/>
    <cellStyle name="백_출장계획서_새벽시장8.26xls_도금 열처리 주단조 평가품의(040329)" xfId="26126"/>
    <cellStyle name="백_출장계획서_새벽시장8.26xls_도금 열처리 주단조 평가품의(040329)_도금 열처리 주단조 평가품의(040329)" xfId="26127"/>
    <cellStyle name="백_출장계획서_새벽시장8.26xls_도금 열처리 주단조 평가품의(040329)업체" xfId="26128"/>
    <cellStyle name="백_출장계획서_새벽시장8.26xls_열처리결과품의(031017)개발" xfId="26129"/>
    <cellStyle name="백_출장계획서_새벽시장8.26xls_열처리결과품의(031017)개발_도금 열처리 주단조 평가품의(040329)" xfId="26130"/>
    <cellStyle name="백_출장계획서_새벽시장8.26xls_용접업종 평가결과품의(040510)" xfId="26131"/>
    <cellStyle name="백_출장계획서_새벽시장8.26xls_용접업종 평가결과품의(040510)_용접업종 평가결과품의(040510)" xfId="26132"/>
    <cellStyle name="백_출장계획서_새벽시장8.26xls_용접업종 평가결과품의(040510)_용접업종 평가결과품의(040510)(1)" xfId="26133"/>
    <cellStyle name="백_출장계획서_새벽시장8.26xls_용접업종 평가결과품의(040510)_주단조용접업종 평가결과품의(040510)(1)" xfId="26134"/>
    <cellStyle name="백_출장계획서_새벽시장8.26xls_주단조 업종 평가결과품의(040407)" xfId="26135"/>
    <cellStyle name="백_출장계획서_새벽시장8.26xls_주단조 업종 평가결과품의(040407)_용접업종 평가결과품의(040510)" xfId="26136"/>
    <cellStyle name="백_출장계획서_새벽시장8.26xls_주단조 업종 평가결과품의(040407)_용접업종 평가결과품의(040510)(1)" xfId="26137"/>
    <cellStyle name="백_출장계획서_새벽시장8.26xls_주단조 업종 평가결과품의(040407)_주단조용접업종 평가결과품의(040510)(1)" xfId="26138"/>
    <cellStyle name="백_출장계획서_새벽시장8.26xls_주단조 업종 평가결과품의(040416)(1)" xfId="26139"/>
    <cellStyle name="백_출장계획서_새벽시장8.26xls_주단조 업종 평가결과품의(040416)(1)_용접업종 평가결과품의(040510)" xfId="26140"/>
    <cellStyle name="백_출장계획서_새벽시장8.26xls_주단조 업종 평가결과품의(040416)(1)_용접업종 평가결과품의(040510)(1)" xfId="26141"/>
    <cellStyle name="백_출장계획서_새벽시장8.26xls_주단조 업종 평가결과품의(040416)(1)_주단조용접업종 평가결과품의(040510)(1)" xfId="26142"/>
    <cellStyle name="백_출장계획서_새벽시장8.26xls_최신-SQ인증업체현황1343사(03년평가완료031229수정)" xfId="26143"/>
    <cellStyle name="백_출장계획서_새벽시장8.26xls_최신-SQ인증업체현황1343사(03년평가완료031229수정)_용접업종 평가결과품의(040510)" xfId="26144"/>
    <cellStyle name="백_출장계획서_새벽시장8.26xls_최신-SQ인증업체현황1343사(03년평가완료031229수정)_용접업종 평가결과품의(040510)(1)" xfId="26145"/>
    <cellStyle name="백_출장계획서_새벽시장8.26xls_최신-SQ인증업체현황1343사(03년평가완료031229수정)_주단조용접업종 평가결과품의(040510)(1)" xfId="26146"/>
    <cellStyle name="백_출장계획서_새벽시장9.16" xfId="26147"/>
    <cellStyle name="백_출장계획서_새벽시장9.16_도금 열처리 주단조 평가품의(040329)" xfId="26148"/>
    <cellStyle name="백_출장계획서_새벽시장9.16_도금 열처리 주단조 평가품의(040329)_도금 열처리 주단조 평가품의(040329)" xfId="26149"/>
    <cellStyle name="백_출장계획서_새벽시장9.16_도금 열처리 주단조 평가품의(040329)업체" xfId="26150"/>
    <cellStyle name="백_출장계획서_새벽시장9.16_열처리결과품의(031017)개발" xfId="26151"/>
    <cellStyle name="백_출장계획서_새벽시장9.16_열처리결과품의(031017)개발_도금 열처리 주단조 평가품의(040329)" xfId="26152"/>
    <cellStyle name="백_출장계획서_새벽시장9.16_용접업종 평가결과품의(040510)" xfId="26153"/>
    <cellStyle name="백_출장계획서_새벽시장9.16_용접업종 평가결과품의(040510)_용접업종 평가결과품의(040510)" xfId="26154"/>
    <cellStyle name="백_출장계획서_새벽시장9.16_용접업종 평가결과품의(040510)_용접업종 평가결과품의(040510)(1)" xfId="26155"/>
    <cellStyle name="백_출장계획서_새벽시장9.16_용접업종 평가결과품의(040510)_주단조용접업종 평가결과품의(040510)(1)" xfId="26156"/>
    <cellStyle name="백_출장계획서_새벽시장9.16_주단조 업종 평가결과품의(040407)" xfId="26157"/>
    <cellStyle name="백_출장계획서_새벽시장9.16_주단조 업종 평가결과품의(040407)_용접업종 평가결과품의(040510)" xfId="26158"/>
    <cellStyle name="백_출장계획서_새벽시장9.16_주단조 업종 평가결과품의(040407)_용접업종 평가결과품의(040510)(1)" xfId="26159"/>
    <cellStyle name="백_출장계획서_새벽시장9.16_주단조 업종 평가결과품의(040407)_주단조용접업종 평가결과품의(040510)(1)" xfId="26160"/>
    <cellStyle name="백_출장계획서_새벽시장9.16_주단조 업종 평가결과품의(040416)(1)" xfId="26161"/>
    <cellStyle name="백_출장계획서_새벽시장9.16_주단조 업종 평가결과품의(040416)(1)_용접업종 평가결과품의(040510)" xfId="26162"/>
    <cellStyle name="백_출장계획서_새벽시장9.16_주단조 업종 평가결과품의(040416)(1)_용접업종 평가결과품의(040510)(1)" xfId="26163"/>
    <cellStyle name="백_출장계획서_새벽시장9.16_주단조 업종 평가결과품의(040416)(1)_주단조용접업종 평가결과품의(040510)(1)" xfId="26164"/>
    <cellStyle name="백_출장계획서_새벽시장9.16_최신-SQ인증업체현황1343사(03년평가완료031229수정)" xfId="26165"/>
    <cellStyle name="백_출장계획서_새벽시장9.16_최신-SQ인증업체현황1343사(03년평가완료031229수정)_용접업종 평가결과품의(040510)" xfId="26166"/>
    <cellStyle name="백_출장계획서_새벽시장9.16_최신-SQ인증업체현황1343사(03년평가완료031229수정)_용접업종 평가결과품의(040510)(1)" xfId="26167"/>
    <cellStyle name="백_출장계획서_새벽시장9.16_최신-SQ인증업체현황1343사(03년평가완료031229수정)_주단조용접업종 평가결과품의(040510)(1)" xfId="26168"/>
    <cellStyle name="백_출장계획서_열처리결과품의(031017)개발" xfId="26169"/>
    <cellStyle name="백_출장계획서_열처리결과품의(031017)개발_도금 열처리 주단조 평가품의(040329)" xfId="26170"/>
    <cellStyle name="백_출장계획서_용접업종 평가결과품의(040510)" xfId="26171"/>
    <cellStyle name="백_출장계획서_용접업종 평가결과품의(040510)_용접업종 평가결과품의(040510)" xfId="26172"/>
    <cellStyle name="백_출장계획서_용접업종 평가결과품의(040510)_용접업종 평가결과품의(040510)(1)" xfId="26173"/>
    <cellStyle name="백_출장계획서_용접업종 평가결과품의(040510)_주단조용접업종 평가결과품의(040510)(1)" xfId="26174"/>
    <cellStyle name="백_출장계획서_주단조 업종 평가결과품의(040407)" xfId="26175"/>
    <cellStyle name="백_출장계획서_주단조 업종 평가결과품의(040407)_용접업종 평가결과품의(040510)" xfId="26176"/>
    <cellStyle name="백_출장계획서_주단조 업종 평가결과품의(040407)_용접업종 평가결과품의(040510)(1)" xfId="26177"/>
    <cellStyle name="백_출장계획서_주단조 업종 평가결과품의(040407)_주단조용접업종 평가결과품의(040510)(1)" xfId="26178"/>
    <cellStyle name="백_출장계획서_주단조 업종 평가결과품의(040416)(1)" xfId="26179"/>
    <cellStyle name="백_출장계획서_주단조 업종 평가결과품의(040416)(1)_용접업종 평가결과품의(040510)" xfId="26180"/>
    <cellStyle name="백_출장계획서_주단조 업종 평가결과품의(040416)(1)_용접업종 평가결과품의(040510)(1)" xfId="26181"/>
    <cellStyle name="백_출장계획서_주단조 업종 평가결과품의(040416)(1)_주단조용접업종 평가결과품의(040510)(1)" xfId="26182"/>
    <cellStyle name="백_출장계획서_최신-SQ인증업체현황1343사(03년평가완료031229수정)" xfId="26183"/>
    <cellStyle name="백_출장계획서_최신-SQ인증업체현황1343사(03년평가완료031229수정)_용접업종 평가결과품의(040510)" xfId="26184"/>
    <cellStyle name="백_출장계획서_최신-SQ인증업체현황1343사(03년평가완료031229수정)_용접업종 평가결과품의(040510)(1)" xfId="26185"/>
    <cellStyle name="백_출장계획서_최신-SQ인증업체현황1343사(03년평가완료031229수정)_주단조용접업종 평가결과품의(040510)(1)" xfId="26186"/>
    <cellStyle name="백분율 2" xfId="26187"/>
    <cellStyle name="백분율 2 2" xfId="26188"/>
    <cellStyle name="백분율 2 2 2" xfId="26189"/>
    <cellStyle name="백분율 2 2 2 2" xfId="26190"/>
    <cellStyle name="백분율 2 2 2 3" xfId="26191"/>
    <cellStyle name="백분율 2 2 3" xfId="26192"/>
    <cellStyle name="백분율 2 3" xfId="26193"/>
    <cellStyle name="백분율 2 3 2" xfId="26194"/>
    <cellStyle name="백분율 2 3 3" xfId="26195"/>
    <cellStyle name="백분율 2 4" xfId="26196"/>
    <cellStyle name="백분율 2 4 2" xfId="26197"/>
    <cellStyle name="백분율 2 5" xfId="26198"/>
    <cellStyle name="백분율 3" xfId="26199"/>
    <cellStyle name="백분율 3 2" xfId="26200"/>
    <cellStyle name="백분율 4" xfId="26201"/>
    <cellStyle name="백분율 4 2" xfId="26202"/>
    <cellStyle name="백분율 5" xfId="26203"/>
    <cellStyle name="백분율 5 2" xfId="26204"/>
    <cellStyle name="백분율 6" xfId="26205"/>
    <cellStyle name="백분율 6 10" xfId="26206"/>
    <cellStyle name="백분율 6 10 2" xfId="26207"/>
    <cellStyle name="백분율 6 10 2 2" xfId="26208"/>
    <cellStyle name="백분율 6 10 2 2 2" xfId="26209"/>
    <cellStyle name="백분율 6 10 2 2 2 2" xfId="26210"/>
    <cellStyle name="백분율 6 10 2 2 2 3" xfId="26211"/>
    <cellStyle name="백분율 6 10 2 2 3" xfId="26212"/>
    <cellStyle name="백분율 6 10 2 2 4" xfId="26213"/>
    <cellStyle name="백분율 6 10 2 3" xfId="26214"/>
    <cellStyle name="백분율 6 10 2 3 2" xfId="26215"/>
    <cellStyle name="백분율 6 10 2 3 3" xfId="26216"/>
    <cellStyle name="백분율 6 10 2 4" xfId="26217"/>
    <cellStyle name="백분율 6 10 2 5" xfId="26218"/>
    <cellStyle name="백분율 6 10 3" xfId="26219"/>
    <cellStyle name="백분율 6 10 3 2" xfId="26220"/>
    <cellStyle name="백분율 6 10 3 2 2" xfId="26221"/>
    <cellStyle name="백분율 6 10 3 2 2 2" xfId="26222"/>
    <cellStyle name="백분율 6 10 3 2 2 3" xfId="26223"/>
    <cellStyle name="백분율 6 10 3 2 3" xfId="26224"/>
    <cellStyle name="백분율 6 10 3 2 4" xfId="26225"/>
    <cellStyle name="백분율 6 10 3 3" xfId="26226"/>
    <cellStyle name="백분율 6 10 3 3 2" xfId="26227"/>
    <cellStyle name="백분율 6 10 3 3 3" xfId="26228"/>
    <cellStyle name="백분율 6 10 3 4" xfId="26229"/>
    <cellStyle name="백분율 6 10 3 5" xfId="26230"/>
    <cellStyle name="백분율 6 10 4" xfId="26231"/>
    <cellStyle name="백분율 6 10 4 2" xfId="26232"/>
    <cellStyle name="백분율 6 10 4 2 2" xfId="26233"/>
    <cellStyle name="백분율 6 10 4 2 3" xfId="26234"/>
    <cellStyle name="백분율 6 10 4 3" xfId="26235"/>
    <cellStyle name="백분율 6 10 4 4" xfId="26236"/>
    <cellStyle name="백분율 6 10 5" xfId="26237"/>
    <cellStyle name="백분율 6 10 5 2" xfId="26238"/>
    <cellStyle name="백분율 6 10 5 3" xfId="26239"/>
    <cellStyle name="백분율 6 10 6" xfId="26240"/>
    <cellStyle name="백분율 6 10 7" xfId="26241"/>
    <cellStyle name="백분율 6 11" xfId="26242"/>
    <cellStyle name="백분율 6 11 2" xfId="26243"/>
    <cellStyle name="백분율 6 11 2 2" xfId="26244"/>
    <cellStyle name="백분율 6 11 2 2 2" xfId="26245"/>
    <cellStyle name="백분율 6 11 2 2 3" xfId="26246"/>
    <cellStyle name="백분율 6 11 2 3" xfId="26247"/>
    <cellStyle name="백분율 6 11 2 4" xfId="26248"/>
    <cellStyle name="백분율 6 11 3" xfId="26249"/>
    <cellStyle name="백분율 6 11 3 2" xfId="26250"/>
    <cellStyle name="백분율 6 11 3 3" xfId="26251"/>
    <cellStyle name="백분율 6 11 4" xfId="26252"/>
    <cellStyle name="백분율 6 11 5" xfId="26253"/>
    <cellStyle name="백분율 6 12" xfId="26254"/>
    <cellStyle name="백분율 6 12 2" xfId="26255"/>
    <cellStyle name="백분율 6 12 2 2" xfId="26256"/>
    <cellStyle name="백분율 6 12 2 2 2" xfId="26257"/>
    <cellStyle name="백분율 6 12 2 2 3" xfId="26258"/>
    <cellStyle name="백분율 6 12 2 3" xfId="26259"/>
    <cellStyle name="백분율 6 12 2 4" xfId="26260"/>
    <cellStyle name="백분율 6 12 3" xfId="26261"/>
    <cellStyle name="백분율 6 12 3 2" xfId="26262"/>
    <cellStyle name="백분율 6 12 3 3" xfId="26263"/>
    <cellStyle name="백분율 6 12 4" xfId="26264"/>
    <cellStyle name="백분율 6 12 5" xfId="26265"/>
    <cellStyle name="백분율 6 13" xfId="26266"/>
    <cellStyle name="백분율 6 13 2" xfId="26267"/>
    <cellStyle name="백분율 6 13 2 2" xfId="26268"/>
    <cellStyle name="백분율 6 13 2 2 2" xfId="26269"/>
    <cellStyle name="백분율 6 13 2 2 3" xfId="26270"/>
    <cellStyle name="백분율 6 13 2 3" xfId="26271"/>
    <cellStyle name="백분율 6 13 2 4" xfId="26272"/>
    <cellStyle name="백분율 6 13 3" xfId="26273"/>
    <cellStyle name="백분율 6 13 3 2" xfId="26274"/>
    <cellStyle name="백분율 6 13 3 3" xfId="26275"/>
    <cellStyle name="백분율 6 13 4" xfId="26276"/>
    <cellStyle name="백분율 6 13 5" xfId="26277"/>
    <cellStyle name="백분율 6 14" xfId="26278"/>
    <cellStyle name="백분율 6 14 2" xfId="26279"/>
    <cellStyle name="백분율 6 14 2 2" xfId="26280"/>
    <cellStyle name="백분율 6 14 2 3" xfId="26281"/>
    <cellStyle name="백분율 6 14 3" xfId="26282"/>
    <cellStyle name="백분율 6 14 4" xfId="26283"/>
    <cellStyle name="백분율 6 15" xfId="26284"/>
    <cellStyle name="백분율 6 15 2" xfId="26285"/>
    <cellStyle name="백분율 6 15 3" xfId="26286"/>
    <cellStyle name="백분율 6 16" xfId="26287"/>
    <cellStyle name="백분율 6 17" xfId="26288"/>
    <cellStyle name="백분율 6 18" xfId="26289"/>
    <cellStyle name="백분율 6 18 2" xfId="26290"/>
    <cellStyle name="백분율 6 2" xfId="26291"/>
    <cellStyle name="백분율 6 2 10" xfId="26292"/>
    <cellStyle name="백분율 6 2 10 2" xfId="26293"/>
    <cellStyle name="백분율 6 2 10 2 2" xfId="26294"/>
    <cellStyle name="백분율 6 2 10 2 2 2" xfId="26295"/>
    <cellStyle name="백분율 6 2 10 2 2 3" xfId="26296"/>
    <cellStyle name="백분율 6 2 10 2 3" xfId="26297"/>
    <cellStyle name="백분율 6 2 10 2 4" xfId="26298"/>
    <cellStyle name="백분율 6 2 10 3" xfId="26299"/>
    <cellStyle name="백분율 6 2 10 3 2" xfId="26300"/>
    <cellStyle name="백분율 6 2 10 3 3" xfId="26301"/>
    <cellStyle name="백분율 6 2 10 4" xfId="26302"/>
    <cellStyle name="백분율 6 2 10 5" xfId="26303"/>
    <cellStyle name="백분율 6 2 11" xfId="26304"/>
    <cellStyle name="백분율 6 2 11 2" xfId="26305"/>
    <cellStyle name="백분율 6 2 11 2 2" xfId="26306"/>
    <cellStyle name="백분율 6 2 11 2 3" xfId="26307"/>
    <cellStyle name="백분율 6 2 11 3" xfId="26308"/>
    <cellStyle name="백분율 6 2 11 4" xfId="26309"/>
    <cellStyle name="백분율 6 2 12" xfId="26310"/>
    <cellStyle name="백분율 6 2 12 2" xfId="26311"/>
    <cellStyle name="백분율 6 2 12 3" xfId="26312"/>
    <cellStyle name="백분율 6 2 13" xfId="26313"/>
    <cellStyle name="백분율 6 2 14" xfId="26314"/>
    <cellStyle name="백분율 6 2 2" xfId="26315"/>
    <cellStyle name="백분율 6 2 2 10" xfId="26316"/>
    <cellStyle name="백분율 6 2 2 10 2" xfId="26317"/>
    <cellStyle name="백분율 6 2 2 10 2 2" xfId="26318"/>
    <cellStyle name="백분율 6 2 2 10 2 3" xfId="26319"/>
    <cellStyle name="백분율 6 2 2 10 3" xfId="26320"/>
    <cellStyle name="백분율 6 2 2 10 4" xfId="26321"/>
    <cellStyle name="백분율 6 2 2 11" xfId="26322"/>
    <cellStyle name="백분율 6 2 2 11 2" xfId="26323"/>
    <cellStyle name="백분율 6 2 2 11 3" xfId="26324"/>
    <cellStyle name="백분율 6 2 2 12" xfId="26325"/>
    <cellStyle name="백분율 6 2 2 13" xfId="26326"/>
    <cellStyle name="백분율 6 2 2 2" xfId="26327"/>
    <cellStyle name="백분율 6 2 2 2 10" xfId="26328"/>
    <cellStyle name="백분율 6 2 2 2 2" xfId="26329"/>
    <cellStyle name="백분율 6 2 2 2 2 2" xfId="26330"/>
    <cellStyle name="백분율 6 2 2 2 2 2 2" xfId="26331"/>
    <cellStyle name="백분율 6 2 2 2 2 2 2 2" xfId="26332"/>
    <cellStyle name="백분율 6 2 2 2 2 2 2 2 2" xfId="26333"/>
    <cellStyle name="백분율 6 2 2 2 2 2 2 2 3" xfId="26334"/>
    <cellStyle name="백분율 6 2 2 2 2 2 2 3" xfId="26335"/>
    <cellStyle name="백분율 6 2 2 2 2 2 2 4" xfId="26336"/>
    <cellStyle name="백분율 6 2 2 2 2 2 3" xfId="26337"/>
    <cellStyle name="백분율 6 2 2 2 2 2 3 2" xfId="26338"/>
    <cellStyle name="백분율 6 2 2 2 2 2 3 3" xfId="26339"/>
    <cellStyle name="백분율 6 2 2 2 2 2 4" xfId="26340"/>
    <cellStyle name="백분율 6 2 2 2 2 2 5" xfId="26341"/>
    <cellStyle name="백분율 6 2 2 2 2 3" xfId="26342"/>
    <cellStyle name="백분율 6 2 2 2 2 3 2" xfId="26343"/>
    <cellStyle name="백분율 6 2 2 2 2 3 2 2" xfId="26344"/>
    <cellStyle name="백분율 6 2 2 2 2 3 2 2 2" xfId="26345"/>
    <cellStyle name="백분율 6 2 2 2 2 3 2 2 3" xfId="26346"/>
    <cellStyle name="백분율 6 2 2 2 2 3 2 3" xfId="26347"/>
    <cellStyle name="백분율 6 2 2 2 2 3 2 4" xfId="26348"/>
    <cellStyle name="백분율 6 2 2 2 2 3 3" xfId="26349"/>
    <cellStyle name="백분율 6 2 2 2 2 3 3 2" xfId="26350"/>
    <cellStyle name="백분율 6 2 2 2 2 3 3 3" xfId="26351"/>
    <cellStyle name="백분율 6 2 2 2 2 3 4" xfId="26352"/>
    <cellStyle name="백분율 6 2 2 2 2 3 5" xfId="26353"/>
    <cellStyle name="백분율 6 2 2 2 2 4" xfId="26354"/>
    <cellStyle name="백분율 6 2 2 2 2 4 2" xfId="26355"/>
    <cellStyle name="백분율 6 2 2 2 2 4 2 2" xfId="26356"/>
    <cellStyle name="백분율 6 2 2 2 2 4 2 3" xfId="26357"/>
    <cellStyle name="백분율 6 2 2 2 2 4 3" xfId="26358"/>
    <cellStyle name="백분율 6 2 2 2 2 4 4" xfId="26359"/>
    <cellStyle name="백분율 6 2 2 2 2 5" xfId="26360"/>
    <cellStyle name="백분율 6 2 2 2 2 5 2" xfId="26361"/>
    <cellStyle name="백분율 6 2 2 2 2 5 3" xfId="26362"/>
    <cellStyle name="백분율 6 2 2 2 2 6" xfId="26363"/>
    <cellStyle name="백분율 6 2 2 2 2 7" xfId="26364"/>
    <cellStyle name="백분율 6 2 2 2 3" xfId="26365"/>
    <cellStyle name="백분율 6 2 2 2 3 2" xfId="26366"/>
    <cellStyle name="백분율 6 2 2 2 3 2 2" xfId="26367"/>
    <cellStyle name="백분율 6 2 2 2 3 2 2 2" xfId="26368"/>
    <cellStyle name="백분율 6 2 2 2 3 2 2 2 2" xfId="26369"/>
    <cellStyle name="백분율 6 2 2 2 3 2 2 2 3" xfId="26370"/>
    <cellStyle name="백분율 6 2 2 2 3 2 2 3" xfId="26371"/>
    <cellStyle name="백분율 6 2 2 2 3 2 2 4" xfId="26372"/>
    <cellStyle name="백분율 6 2 2 2 3 2 3" xfId="26373"/>
    <cellStyle name="백분율 6 2 2 2 3 2 3 2" xfId="26374"/>
    <cellStyle name="백분율 6 2 2 2 3 2 3 3" xfId="26375"/>
    <cellStyle name="백분율 6 2 2 2 3 2 4" xfId="26376"/>
    <cellStyle name="백분율 6 2 2 2 3 2 5" xfId="26377"/>
    <cellStyle name="백분율 6 2 2 2 3 3" xfId="26378"/>
    <cellStyle name="백분율 6 2 2 2 3 3 2" xfId="26379"/>
    <cellStyle name="백분율 6 2 2 2 3 3 2 2" xfId="26380"/>
    <cellStyle name="백분율 6 2 2 2 3 3 2 2 2" xfId="26381"/>
    <cellStyle name="백분율 6 2 2 2 3 3 2 2 3" xfId="26382"/>
    <cellStyle name="백분율 6 2 2 2 3 3 2 3" xfId="26383"/>
    <cellStyle name="백분율 6 2 2 2 3 3 2 4" xfId="26384"/>
    <cellStyle name="백분율 6 2 2 2 3 3 3" xfId="26385"/>
    <cellStyle name="백분율 6 2 2 2 3 3 3 2" xfId="26386"/>
    <cellStyle name="백분율 6 2 2 2 3 3 3 3" xfId="26387"/>
    <cellStyle name="백분율 6 2 2 2 3 3 4" xfId="26388"/>
    <cellStyle name="백분율 6 2 2 2 3 3 5" xfId="26389"/>
    <cellStyle name="백분율 6 2 2 2 3 4" xfId="26390"/>
    <cellStyle name="백분율 6 2 2 2 3 4 2" xfId="26391"/>
    <cellStyle name="백분율 6 2 2 2 3 4 2 2" xfId="26392"/>
    <cellStyle name="백분율 6 2 2 2 3 4 2 3" xfId="26393"/>
    <cellStyle name="백분율 6 2 2 2 3 4 3" xfId="26394"/>
    <cellStyle name="백분율 6 2 2 2 3 4 4" xfId="26395"/>
    <cellStyle name="백분율 6 2 2 2 3 5" xfId="26396"/>
    <cellStyle name="백분율 6 2 2 2 3 5 2" xfId="26397"/>
    <cellStyle name="백분율 6 2 2 2 3 5 3" xfId="26398"/>
    <cellStyle name="백분율 6 2 2 2 3 6" xfId="26399"/>
    <cellStyle name="백분율 6 2 2 2 3 7" xfId="26400"/>
    <cellStyle name="백분율 6 2 2 2 4" xfId="26401"/>
    <cellStyle name="백분율 6 2 2 2 4 2" xfId="26402"/>
    <cellStyle name="백분율 6 2 2 2 4 2 2" xfId="26403"/>
    <cellStyle name="백분율 6 2 2 2 4 2 2 2" xfId="26404"/>
    <cellStyle name="백분율 6 2 2 2 4 2 2 3" xfId="26405"/>
    <cellStyle name="백분율 6 2 2 2 4 2 3" xfId="26406"/>
    <cellStyle name="백분율 6 2 2 2 4 2 4" xfId="26407"/>
    <cellStyle name="백분율 6 2 2 2 4 3" xfId="26408"/>
    <cellStyle name="백분율 6 2 2 2 4 3 2" xfId="26409"/>
    <cellStyle name="백분율 6 2 2 2 4 3 3" xfId="26410"/>
    <cellStyle name="백분율 6 2 2 2 4 4" xfId="26411"/>
    <cellStyle name="백분율 6 2 2 2 4 5" xfId="26412"/>
    <cellStyle name="백분율 6 2 2 2 5" xfId="26413"/>
    <cellStyle name="백분율 6 2 2 2 5 2" xfId="26414"/>
    <cellStyle name="백분율 6 2 2 2 5 2 2" xfId="26415"/>
    <cellStyle name="백분율 6 2 2 2 5 2 2 2" xfId="26416"/>
    <cellStyle name="백분율 6 2 2 2 5 2 2 3" xfId="26417"/>
    <cellStyle name="백분율 6 2 2 2 5 2 3" xfId="26418"/>
    <cellStyle name="백분율 6 2 2 2 5 2 4" xfId="26419"/>
    <cellStyle name="백분율 6 2 2 2 5 3" xfId="26420"/>
    <cellStyle name="백분율 6 2 2 2 5 3 2" xfId="26421"/>
    <cellStyle name="백분율 6 2 2 2 5 3 3" xfId="26422"/>
    <cellStyle name="백분율 6 2 2 2 5 4" xfId="26423"/>
    <cellStyle name="백분율 6 2 2 2 5 5" xfId="26424"/>
    <cellStyle name="백분율 6 2 2 2 6" xfId="26425"/>
    <cellStyle name="백분율 6 2 2 2 6 2" xfId="26426"/>
    <cellStyle name="백분율 6 2 2 2 6 2 2" xfId="26427"/>
    <cellStyle name="백분율 6 2 2 2 6 2 2 2" xfId="26428"/>
    <cellStyle name="백분율 6 2 2 2 6 2 2 3" xfId="26429"/>
    <cellStyle name="백분율 6 2 2 2 6 2 3" xfId="26430"/>
    <cellStyle name="백분율 6 2 2 2 6 2 4" xfId="26431"/>
    <cellStyle name="백분율 6 2 2 2 6 3" xfId="26432"/>
    <cellStyle name="백분율 6 2 2 2 6 3 2" xfId="26433"/>
    <cellStyle name="백분율 6 2 2 2 6 3 3" xfId="26434"/>
    <cellStyle name="백분율 6 2 2 2 6 4" xfId="26435"/>
    <cellStyle name="백분율 6 2 2 2 6 5" xfId="26436"/>
    <cellStyle name="백분율 6 2 2 2 7" xfId="26437"/>
    <cellStyle name="백분율 6 2 2 2 7 2" xfId="26438"/>
    <cellStyle name="백분율 6 2 2 2 7 2 2" xfId="26439"/>
    <cellStyle name="백분율 6 2 2 2 7 2 3" xfId="26440"/>
    <cellStyle name="백분율 6 2 2 2 7 3" xfId="26441"/>
    <cellStyle name="백분율 6 2 2 2 7 4" xfId="26442"/>
    <cellStyle name="백분율 6 2 2 2 8" xfId="26443"/>
    <cellStyle name="백분율 6 2 2 2 8 2" xfId="26444"/>
    <cellStyle name="백분율 6 2 2 2 8 3" xfId="26445"/>
    <cellStyle name="백분율 6 2 2 2 9" xfId="26446"/>
    <cellStyle name="백분율 6 2 2 3" xfId="26447"/>
    <cellStyle name="백분율 6 2 2 3 10" xfId="26448"/>
    <cellStyle name="백분율 6 2 2 3 2" xfId="26449"/>
    <cellStyle name="백분율 6 2 2 3 2 2" xfId="26450"/>
    <cellStyle name="백분율 6 2 2 3 2 2 2" xfId="26451"/>
    <cellStyle name="백분율 6 2 2 3 2 2 2 2" xfId="26452"/>
    <cellStyle name="백분율 6 2 2 3 2 2 2 2 2" xfId="26453"/>
    <cellStyle name="백분율 6 2 2 3 2 2 2 2 3" xfId="26454"/>
    <cellStyle name="백분율 6 2 2 3 2 2 2 3" xfId="26455"/>
    <cellStyle name="백분율 6 2 2 3 2 2 2 4" xfId="26456"/>
    <cellStyle name="백분율 6 2 2 3 2 2 3" xfId="26457"/>
    <cellStyle name="백분율 6 2 2 3 2 2 3 2" xfId="26458"/>
    <cellStyle name="백분율 6 2 2 3 2 2 3 3" xfId="26459"/>
    <cellStyle name="백분율 6 2 2 3 2 2 4" xfId="26460"/>
    <cellStyle name="백분율 6 2 2 3 2 2 5" xfId="26461"/>
    <cellStyle name="백분율 6 2 2 3 2 3" xfId="26462"/>
    <cellStyle name="백분율 6 2 2 3 2 3 2" xfId="26463"/>
    <cellStyle name="백분율 6 2 2 3 2 3 2 2" xfId="26464"/>
    <cellStyle name="백분율 6 2 2 3 2 3 2 2 2" xfId="26465"/>
    <cellStyle name="백분율 6 2 2 3 2 3 2 2 3" xfId="26466"/>
    <cellStyle name="백분율 6 2 2 3 2 3 2 3" xfId="26467"/>
    <cellStyle name="백분율 6 2 2 3 2 3 2 4" xfId="26468"/>
    <cellStyle name="백분율 6 2 2 3 2 3 3" xfId="26469"/>
    <cellStyle name="백분율 6 2 2 3 2 3 3 2" xfId="26470"/>
    <cellStyle name="백분율 6 2 2 3 2 3 3 3" xfId="26471"/>
    <cellStyle name="백분율 6 2 2 3 2 3 4" xfId="26472"/>
    <cellStyle name="백분율 6 2 2 3 2 3 5" xfId="26473"/>
    <cellStyle name="백분율 6 2 2 3 2 4" xfId="26474"/>
    <cellStyle name="백분율 6 2 2 3 2 4 2" xfId="26475"/>
    <cellStyle name="백분율 6 2 2 3 2 4 2 2" xfId="26476"/>
    <cellStyle name="백분율 6 2 2 3 2 4 2 3" xfId="26477"/>
    <cellStyle name="백분율 6 2 2 3 2 4 3" xfId="26478"/>
    <cellStyle name="백분율 6 2 2 3 2 4 4" xfId="26479"/>
    <cellStyle name="백분율 6 2 2 3 2 5" xfId="26480"/>
    <cellStyle name="백분율 6 2 2 3 2 5 2" xfId="26481"/>
    <cellStyle name="백분율 6 2 2 3 2 5 3" xfId="26482"/>
    <cellStyle name="백분율 6 2 2 3 2 6" xfId="26483"/>
    <cellStyle name="백분율 6 2 2 3 2 7" xfId="26484"/>
    <cellStyle name="백분율 6 2 2 3 3" xfId="26485"/>
    <cellStyle name="백분율 6 2 2 3 3 2" xfId="26486"/>
    <cellStyle name="백분율 6 2 2 3 3 2 2" xfId="26487"/>
    <cellStyle name="백분율 6 2 2 3 3 2 2 2" xfId="26488"/>
    <cellStyle name="백분율 6 2 2 3 3 2 2 2 2" xfId="26489"/>
    <cellStyle name="백분율 6 2 2 3 3 2 2 2 3" xfId="26490"/>
    <cellStyle name="백분율 6 2 2 3 3 2 2 3" xfId="26491"/>
    <cellStyle name="백분율 6 2 2 3 3 2 2 4" xfId="26492"/>
    <cellStyle name="백분율 6 2 2 3 3 2 3" xfId="26493"/>
    <cellStyle name="백분율 6 2 2 3 3 2 3 2" xfId="26494"/>
    <cellStyle name="백분율 6 2 2 3 3 2 3 3" xfId="26495"/>
    <cellStyle name="백분율 6 2 2 3 3 2 4" xfId="26496"/>
    <cellStyle name="백분율 6 2 2 3 3 2 5" xfId="26497"/>
    <cellStyle name="백분율 6 2 2 3 3 3" xfId="26498"/>
    <cellStyle name="백분율 6 2 2 3 3 3 2" xfId="26499"/>
    <cellStyle name="백분율 6 2 2 3 3 3 2 2" xfId="26500"/>
    <cellStyle name="백분율 6 2 2 3 3 3 2 2 2" xfId="26501"/>
    <cellStyle name="백분율 6 2 2 3 3 3 2 2 3" xfId="26502"/>
    <cellStyle name="백분율 6 2 2 3 3 3 2 3" xfId="26503"/>
    <cellStyle name="백분율 6 2 2 3 3 3 2 4" xfId="26504"/>
    <cellStyle name="백분율 6 2 2 3 3 3 3" xfId="26505"/>
    <cellStyle name="백분율 6 2 2 3 3 3 3 2" xfId="26506"/>
    <cellStyle name="백분율 6 2 2 3 3 3 3 3" xfId="26507"/>
    <cellStyle name="백분율 6 2 2 3 3 3 4" xfId="26508"/>
    <cellStyle name="백분율 6 2 2 3 3 3 5" xfId="26509"/>
    <cellStyle name="백분율 6 2 2 3 3 4" xfId="26510"/>
    <cellStyle name="백분율 6 2 2 3 3 4 2" xfId="26511"/>
    <cellStyle name="백분율 6 2 2 3 3 4 2 2" xfId="26512"/>
    <cellStyle name="백분율 6 2 2 3 3 4 2 3" xfId="26513"/>
    <cellStyle name="백분율 6 2 2 3 3 4 3" xfId="26514"/>
    <cellStyle name="백분율 6 2 2 3 3 4 4" xfId="26515"/>
    <cellStyle name="백분율 6 2 2 3 3 5" xfId="26516"/>
    <cellStyle name="백분율 6 2 2 3 3 5 2" xfId="26517"/>
    <cellStyle name="백분율 6 2 2 3 3 5 3" xfId="26518"/>
    <cellStyle name="백분율 6 2 2 3 3 6" xfId="26519"/>
    <cellStyle name="백분율 6 2 2 3 3 7" xfId="26520"/>
    <cellStyle name="백분율 6 2 2 3 4" xfId="26521"/>
    <cellStyle name="백분율 6 2 2 3 4 2" xfId="26522"/>
    <cellStyle name="백분율 6 2 2 3 4 2 2" xfId="26523"/>
    <cellStyle name="백분율 6 2 2 3 4 2 2 2" xfId="26524"/>
    <cellStyle name="백분율 6 2 2 3 4 2 2 3" xfId="26525"/>
    <cellStyle name="백분율 6 2 2 3 4 2 3" xfId="26526"/>
    <cellStyle name="백분율 6 2 2 3 4 2 4" xfId="26527"/>
    <cellStyle name="백분율 6 2 2 3 4 3" xfId="26528"/>
    <cellStyle name="백분율 6 2 2 3 4 3 2" xfId="26529"/>
    <cellStyle name="백분율 6 2 2 3 4 3 3" xfId="26530"/>
    <cellStyle name="백분율 6 2 2 3 4 4" xfId="26531"/>
    <cellStyle name="백분율 6 2 2 3 4 5" xfId="26532"/>
    <cellStyle name="백분율 6 2 2 3 5" xfId="26533"/>
    <cellStyle name="백분율 6 2 2 3 5 2" xfId="26534"/>
    <cellStyle name="백분율 6 2 2 3 5 2 2" xfId="26535"/>
    <cellStyle name="백분율 6 2 2 3 5 2 2 2" xfId="26536"/>
    <cellStyle name="백분율 6 2 2 3 5 2 2 3" xfId="26537"/>
    <cellStyle name="백분율 6 2 2 3 5 2 3" xfId="26538"/>
    <cellStyle name="백분율 6 2 2 3 5 2 4" xfId="26539"/>
    <cellStyle name="백분율 6 2 2 3 5 3" xfId="26540"/>
    <cellStyle name="백분율 6 2 2 3 5 3 2" xfId="26541"/>
    <cellStyle name="백분율 6 2 2 3 5 3 3" xfId="26542"/>
    <cellStyle name="백분율 6 2 2 3 5 4" xfId="26543"/>
    <cellStyle name="백분율 6 2 2 3 5 5" xfId="26544"/>
    <cellStyle name="백분율 6 2 2 3 6" xfId="26545"/>
    <cellStyle name="백분율 6 2 2 3 6 2" xfId="26546"/>
    <cellStyle name="백분율 6 2 2 3 6 2 2" xfId="26547"/>
    <cellStyle name="백분율 6 2 2 3 6 2 2 2" xfId="26548"/>
    <cellStyle name="백분율 6 2 2 3 6 2 2 3" xfId="26549"/>
    <cellStyle name="백분율 6 2 2 3 6 2 3" xfId="26550"/>
    <cellStyle name="백분율 6 2 2 3 6 2 4" xfId="26551"/>
    <cellStyle name="백분율 6 2 2 3 6 3" xfId="26552"/>
    <cellStyle name="백분율 6 2 2 3 6 3 2" xfId="26553"/>
    <cellStyle name="백분율 6 2 2 3 6 3 3" xfId="26554"/>
    <cellStyle name="백분율 6 2 2 3 6 4" xfId="26555"/>
    <cellStyle name="백분율 6 2 2 3 6 5" xfId="26556"/>
    <cellStyle name="백분율 6 2 2 3 7" xfId="26557"/>
    <cellStyle name="백분율 6 2 2 3 7 2" xfId="26558"/>
    <cellStyle name="백분율 6 2 2 3 7 2 2" xfId="26559"/>
    <cellStyle name="백분율 6 2 2 3 7 2 3" xfId="26560"/>
    <cellStyle name="백분율 6 2 2 3 7 3" xfId="26561"/>
    <cellStyle name="백분율 6 2 2 3 7 4" xfId="26562"/>
    <cellStyle name="백분율 6 2 2 3 8" xfId="26563"/>
    <cellStyle name="백분율 6 2 2 3 8 2" xfId="26564"/>
    <cellStyle name="백분율 6 2 2 3 8 3" xfId="26565"/>
    <cellStyle name="백분율 6 2 2 3 9" xfId="26566"/>
    <cellStyle name="백분율 6 2 2 4" xfId="26567"/>
    <cellStyle name="백분율 6 2 2 4 10" xfId="26568"/>
    <cellStyle name="백분율 6 2 2 4 2" xfId="26569"/>
    <cellStyle name="백분율 6 2 2 4 2 2" xfId="26570"/>
    <cellStyle name="백분율 6 2 2 4 2 2 2" xfId="26571"/>
    <cellStyle name="백분율 6 2 2 4 2 2 2 2" xfId="26572"/>
    <cellStyle name="백분율 6 2 2 4 2 2 2 2 2" xfId="26573"/>
    <cellStyle name="백분율 6 2 2 4 2 2 2 2 3" xfId="26574"/>
    <cellStyle name="백분율 6 2 2 4 2 2 2 3" xfId="26575"/>
    <cellStyle name="백분율 6 2 2 4 2 2 2 4" xfId="26576"/>
    <cellStyle name="백분율 6 2 2 4 2 2 3" xfId="26577"/>
    <cellStyle name="백분율 6 2 2 4 2 2 3 2" xfId="26578"/>
    <cellStyle name="백분율 6 2 2 4 2 2 3 3" xfId="26579"/>
    <cellStyle name="백분율 6 2 2 4 2 2 4" xfId="26580"/>
    <cellStyle name="백분율 6 2 2 4 2 2 5" xfId="26581"/>
    <cellStyle name="백분율 6 2 2 4 2 3" xfId="26582"/>
    <cellStyle name="백분율 6 2 2 4 2 3 2" xfId="26583"/>
    <cellStyle name="백분율 6 2 2 4 2 3 2 2" xfId="26584"/>
    <cellStyle name="백분율 6 2 2 4 2 3 2 2 2" xfId="26585"/>
    <cellStyle name="백분율 6 2 2 4 2 3 2 2 3" xfId="26586"/>
    <cellStyle name="백분율 6 2 2 4 2 3 2 3" xfId="26587"/>
    <cellStyle name="백분율 6 2 2 4 2 3 2 4" xfId="26588"/>
    <cellStyle name="백분율 6 2 2 4 2 3 3" xfId="26589"/>
    <cellStyle name="백분율 6 2 2 4 2 3 3 2" xfId="26590"/>
    <cellStyle name="백분율 6 2 2 4 2 3 3 3" xfId="26591"/>
    <cellStyle name="백분율 6 2 2 4 2 3 4" xfId="26592"/>
    <cellStyle name="백분율 6 2 2 4 2 3 5" xfId="26593"/>
    <cellStyle name="백분율 6 2 2 4 2 4" xfId="26594"/>
    <cellStyle name="백분율 6 2 2 4 2 4 2" xfId="26595"/>
    <cellStyle name="백분율 6 2 2 4 2 4 2 2" xfId="26596"/>
    <cellStyle name="백분율 6 2 2 4 2 4 2 3" xfId="26597"/>
    <cellStyle name="백분율 6 2 2 4 2 4 3" xfId="26598"/>
    <cellStyle name="백분율 6 2 2 4 2 4 4" xfId="26599"/>
    <cellStyle name="백분율 6 2 2 4 2 5" xfId="26600"/>
    <cellStyle name="백분율 6 2 2 4 2 5 2" xfId="26601"/>
    <cellStyle name="백분율 6 2 2 4 2 5 3" xfId="26602"/>
    <cellStyle name="백분율 6 2 2 4 2 6" xfId="26603"/>
    <cellStyle name="백분율 6 2 2 4 2 7" xfId="26604"/>
    <cellStyle name="백분율 6 2 2 4 3" xfId="26605"/>
    <cellStyle name="백분율 6 2 2 4 3 2" xfId="26606"/>
    <cellStyle name="백분율 6 2 2 4 3 2 2" xfId="26607"/>
    <cellStyle name="백분율 6 2 2 4 3 2 2 2" xfId="26608"/>
    <cellStyle name="백분율 6 2 2 4 3 2 2 2 2" xfId="26609"/>
    <cellStyle name="백분율 6 2 2 4 3 2 2 2 3" xfId="26610"/>
    <cellStyle name="백분율 6 2 2 4 3 2 2 3" xfId="26611"/>
    <cellStyle name="백분율 6 2 2 4 3 2 2 4" xfId="26612"/>
    <cellStyle name="백분율 6 2 2 4 3 2 3" xfId="26613"/>
    <cellStyle name="백분율 6 2 2 4 3 2 3 2" xfId="26614"/>
    <cellStyle name="백분율 6 2 2 4 3 2 3 3" xfId="26615"/>
    <cellStyle name="백분율 6 2 2 4 3 2 4" xfId="26616"/>
    <cellStyle name="백분율 6 2 2 4 3 2 5" xfId="26617"/>
    <cellStyle name="백분율 6 2 2 4 3 3" xfId="26618"/>
    <cellStyle name="백분율 6 2 2 4 3 3 2" xfId="26619"/>
    <cellStyle name="백분율 6 2 2 4 3 3 2 2" xfId="26620"/>
    <cellStyle name="백분율 6 2 2 4 3 3 2 2 2" xfId="26621"/>
    <cellStyle name="백분율 6 2 2 4 3 3 2 2 3" xfId="26622"/>
    <cellStyle name="백분율 6 2 2 4 3 3 2 3" xfId="26623"/>
    <cellStyle name="백분율 6 2 2 4 3 3 2 4" xfId="26624"/>
    <cellStyle name="백분율 6 2 2 4 3 3 3" xfId="26625"/>
    <cellStyle name="백분율 6 2 2 4 3 3 3 2" xfId="26626"/>
    <cellStyle name="백분율 6 2 2 4 3 3 3 3" xfId="26627"/>
    <cellStyle name="백분율 6 2 2 4 3 3 4" xfId="26628"/>
    <cellStyle name="백분율 6 2 2 4 3 3 5" xfId="26629"/>
    <cellStyle name="백분율 6 2 2 4 3 4" xfId="26630"/>
    <cellStyle name="백분율 6 2 2 4 3 4 2" xfId="26631"/>
    <cellStyle name="백분율 6 2 2 4 3 4 2 2" xfId="26632"/>
    <cellStyle name="백분율 6 2 2 4 3 4 2 3" xfId="26633"/>
    <cellStyle name="백분율 6 2 2 4 3 4 3" xfId="26634"/>
    <cellStyle name="백분율 6 2 2 4 3 4 4" xfId="26635"/>
    <cellStyle name="백분율 6 2 2 4 3 5" xfId="26636"/>
    <cellStyle name="백분율 6 2 2 4 3 5 2" xfId="26637"/>
    <cellStyle name="백분율 6 2 2 4 3 5 3" xfId="26638"/>
    <cellStyle name="백분율 6 2 2 4 3 6" xfId="26639"/>
    <cellStyle name="백분율 6 2 2 4 3 7" xfId="26640"/>
    <cellStyle name="백분율 6 2 2 4 4" xfId="26641"/>
    <cellStyle name="백분율 6 2 2 4 4 2" xfId="26642"/>
    <cellStyle name="백분율 6 2 2 4 4 2 2" xfId="26643"/>
    <cellStyle name="백분율 6 2 2 4 4 2 2 2" xfId="26644"/>
    <cellStyle name="백분율 6 2 2 4 4 2 2 3" xfId="26645"/>
    <cellStyle name="백분율 6 2 2 4 4 2 3" xfId="26646"/>
    <cellStyle name="백분율 6 2 2 4 4 2 4" xfId="26647"/>
    <cellStyle name="백분율 6 2 2 4 4 3" xfId="26648"/>
    <cellStyle name="백분율 6 2 2 4 4 3 2" xfId="26649"/>
    <cellStyle name="백분율 6 2 2 4 4 3 3" xfId="26650"/>
    <cellStyle name="백분율 6 2 2 4 4 4" xfId="26651"/>
    <cellStyle name="백분율 6 2 2 4 4 5" xfId="26652"/>
    <cellStyle name="백분율 6 2 2 4 5" xfId="26653"/>
    <cellStyle name="백분율 6 2 2 4 5 2" xfId="26654"/>
    <cellStyle name="백분율 6 2 2 4 5 2 2" xfId="26655"/>
    <cellStyle name="백분율 6 2 2 4 5 2 2 2" xfId="26656"/>
    <cellStyle name="백분율 6 2 2 4 5 2 2 3" xfId="26657"/>
    <cellStyle name="백분율 6 2 2 4 5 2 3" xfId="26658"/>
    <cellStyle name="백분율 6 2 2 4 5 2 4" xfId="26659"/>
    <cellStyle name="백분율 6 2 2 4 5 3" xfId="26660"/>
    <cellStyle name="백분율 6 2 2 4 5 3 2" xfId="26661"/>
    <cellStyle name="백분율 6 2 2 4 5 3 3" xfId="26662"/>
    <cellStyle name="백분율 6 2 2 4 5 4" xfId="26663"/>
    <cellStyle name="백분율 6 2 2 4 5 5" xfId="26664"/>
    <cellStyle name="백분율 6 2 2 4 6" xfId="26665"/>
    <cellStyle name="백분율 6 2 2 4 6 2" xfId="26666"/>
    <cellStyle name="백분율 6 2 2 4 6 2 2" xfId="26667"/>
    <cellStyle name="백분율 6 2 2 4 6 2 2 2" xfId="26668"/>
    <cellStyle name="백분율 6 2 2 4 6 2 2 3" xfId="26669"/>
    <cellStyle name="백분율 6 2 2 4 6 2 3" xfId="26670"/>
    <cellStyle name="백분율 6 2 2 4 6 2 4" xfId="26671"/>
    <cellStyle name="백분율 6 2 2 4 6 3" xfId="26672"/>
    <cellStyle name="백분율 6 2 2 4 6 3 2" xfId="26673"/>
    <cellStyle name="백분율 6 2 2 4 6 3 3" xfId="26674"/>
    <cellStyle name="백분율 6 2 2 4 6 4" xfId="26675"/>
    <cellStyle name="백분율 6 2 2 4 6 5" xfId="26676"/>
    <cellStyle name="백분율 6 2 2 4 7" xfId="26677"/>
    <cellStyle name="백분율 6 2 2 4 7 2" xfId="26678"/>
    <cellStyle name="백분율 6 2 2 4 7 2 2" xfId="26679"/>
    <cellStyle name="백분율 6 2 2 4 7 2 3" xfId="26680"/>
    <cellStyle name="백분율 6 2 2 4 7 3" xfId="26681"/>
    <cellStyle name="백분율 6 2 2 4 7 4" xfId="26682"/>
    <cellStyle name="백분율 6 2 2 4 8" xfId="26683"/>
    <cellStyle name="백분율 6 2 2 4 8 2" xfId="26684"/>
    <cellStyle name="백분율 6 2 2 4 8 3" xfId="26685"/>
    <cellStyle name="백분율 6 2 2 4 9" xfId="26686"/>
    <cellStyle name="백분율 6 2 2 5" xfId="26687"/>
    <cellStyle name="백분율 6 2 2 5 2" xfId="26688"/>
    <cellStyle name="백분율 6 2 2 5 2 2" xfId="26689"/>
    <cellStyle name="백분율 6 2 2 5 2 2 2" xfId="26690"/>
    <cellStyle name="백분율 6 2 2 5 2 2 2 2" xfId="26691"/>
    <cellStyle name="백분율 6 2 2 5 2 2 2 3" xfId="26692"/>
    <cellStyle name="백분율 6 2 2 5 2 2 3" xfId="26693"/>
    <cellStyle name="백분율 6 2 2 5 2 2 4" xfId="26694"/>
    <cellStyle name="백분율 6 2 2 5 2 3" xfId="26695"/>
    <cellStyle name="백분율 6 2 2 5 2 3 2" xfId="26696"/>
    <cellStyle name="백분율 6 2 2 5 2 3 3" xfId="26697"/>
    <cellStyle name="백분율 6 2 2 5 2 4" xfId="26698"/>
    <cellStyle name="백분율 6 2 2 5 2 5" xfId="26699"/>
    <cellStyle name="백분율 6 2 2 5 3" xfId="26700"/>
    <cellStyle name="백분율 6 2 2 5 3 2" xfId="26701"/>
    <cellStyle name="백분율 6 2 2 5 3 2 2" xfId="26702"/>
    <cellStyle name="백분율 6 2 2 5 3 2 2 2" xfId="26703"/>
    <cellStyle name="백분율 6 2 2 5 3 2 2 3" xfId="26704"/>
    <cellStyle name="백분율 6 2 2 5 3 2 3" xfId="26705"/>
    <cellStyle name="백분율 6 2 2 5 3 2 4" xfId="26706"/>
    <cellStyle name="백분율 6 2 2 5 3 3" xfId="26707"/>
    <cellStyle name="백분율 6 2 2 5 3 3 2" xfId="26708"/>
    <cellStyle name="백분율 6 2 2 5 3 3 3" xfId="26709"/>
    <cellStyle name="백분율 6 2 2 5 3 4" xfId="26710"/>
    <cellStyle name="백분율 6 2 2 5 3 5" xfId="26711"/>
    <cellStyle name="백분율 6 2 2 5 4" xfId="26712"/>
    <cellStyle name="백분율 6 2 2 5 4 2" xfId="26713"/>
    <cellStyle name="백분율 6 2 2 5 4 2 2" xfId="26714"/>
    <cellStyle name="백분율 6 2 2 5 4 2 3" xfId="26715"/>
    <cellStyle name="백분율 6 2 2 5 4 3" xfId="26716"/>
    <cellStyle name="백분율 6 2 2 5 4 4" xfId="26717"/>
    <cellStyle name="백분율 6 2 2 5 5" xfId="26718"/>
    <cellStyle name="백분율 6 2 2 5 5 2" xfId="26719"/>
    <cellStyle name="백분율 6 2 2 5 5 3" xfId="26720"/>
    <cellStyle name="백분율 6 2 2 5 6" xfId="26721"/>
    <cellStyle name="백분율 6 2 2 5 7" xfId="26722"/>
    <cellStyle name="백분율 6 2 2 6" xfId="26723"/>
    <cellStyle name="백분율 6 2 2 6 2" xfId="26724"/>
    <cellStyle name="백분율 6 2 2 6 2 2" xfId="26725"/>
    <cellStyle name="백분율 6 2 2 6 2 2 2" xfId="26726"/>
    <cellStyle name="백분율 6 2 2 6 2 2 2 2" xfId="26727"/>
    <cellStyle name="백분율 6 2 2 6 2 2 2 3" xfId="26728"/>
    <cellStyle name="백분율 6 2 2 6 2 2 3" xfId="26729"/>
    <cellStyle name="백분율 6 2 2 6 2 2 4" xfId="26730"/>
    <cellStyle name="백분율 6 2 2 6 2 3" xfId="26731"/>
    <cellStyle name="백분율 6 2 2 6 2 3 2" xfId="26732"/>
    <cellStyle name="백분율 6 2 2 6 2 3 3" xfId="26733"/>
    <cellStyle name="백분율 6 2 2 6 2 4" xfId="26734"/>
    <cellStyle name="백분율 6 2 2 6 2 5" xfId="26735"/>
    <cellStyle name="백분율 6 2 2 6 3" xfId="26736"/>
    <cellStyle name="백분율 6 2 2 6 3 2" xfId="26737"/>
    <cellStyle name="백분율 6 2 2 6 3 2 2" xfId="26738"/>
    <cellStyle name="백분율 6 2 2 6 3 2 2 2" xfId="26739"/>
    <cellStyle name="백분율 6 2 2 6 3 2 2 3" xfId="26740"/>
    <cellStyle name="백분율 6 2 2 6 3 2 3" xfId="26741"/>
    <cellStyle name="백분율 6 2 2 6 3 2 4" xfId="26742"/>
    <cellStyle name="백분율 6 2 2 6 3 3" xfId="26743"/>
    <cellStyle name="백분율 6 2 2 6 3 3 2" xfId="26744"/>
    <cellStyle name="백분율 6 2 2 6 3 3 3" xfId="26745"/>
    <cellStyle name="백분율 6 2 2 6 3 4" xfId="26746"/>
    <cellStyle name="백분율 6 2 2 6 3 5" xfId="26747"/>
    <cellStyle name="백분율 6 2 2 6 4" xfId="26748"/>
    <cellStyle name="백분율 6 2 2 6 4 2" xfId="26749"/>
    <cellStyle name="백분율 6 2 2 6 4 2 2" xfId="26750"/>
    <cellStyle name="백분율 6 2 2 6 4 2 3" xfId="26751"/>
    <cellStyle name="백분율 6 2 2 6 4 3" xfId="26752"/>
    <cellStyle name="백분율 6 2 2 6 4 4" xfId="26753"/>
    <cellStyle name="백분율 6 2 2 6 5" xfId="26754"/>
    <cellStyle name="백분율 6 2 2 6 5 2" xfId="26755"/>
    <cellStyle name="백분율 6 2 2 6 5 3" xfId="26756"/>
    <cellStyle name="백분율 6 2 2 6 6" xfId="26757"/>
    <cellStyle name="백분율 6 2 2 6 7" xfId="26758"/>
    <cellStyle name="백분율 6 2 2 7" xfId="26759"/>
    <cellStyle name="백분율 6 2 2 7 2" xfId="26760"/>
    <cellStyle name="백분율 6 2 2 7 2 2" xfId="26761"/>
    <cellStyle name="백분율 6 2 2 7 2 2 2" xfId="26762"/>
    <cellStyle name="백분율 6 2 2 7 2 2 3" xfId="26763"/>
    <cellStyle name="백분율 6 2 2 7 2 3" xfId="26764"/>
    <cellStyle name="백분율 6 2 2 7 2 4" xfId="26765"/>
    <cellStyle name="백분율 6 2 2 7 3" xfId="26766"/>
    <cellStyle name="백분율 6 2 2 7 3 2" xfId="26767"/>
    <cellStyle name="백분율 6 2 2 7 3 3" xfId="26768"/>
    <cellStyle name="백분율 6 2 2 7 4" xfId="26769"/>
    <cellStyle name="백분율 6 2 2 7 5" xfId="26770"/>
    <cellStyle name="백분율 6 2 2 8" xfId="26771"/>
    <cellStyle name="백분율 6 2 2 8 2" xfId="26772"/>
    <cellStyle name="백분율 6 2 2 8 2 2" xfId="26773"/>
    <cellStyle name="백분율 6 2 2 8 2 2 2" xfId="26774"/>
    <cellStyle name="백분율 6 2 2 8 2 2 3" xfId="26775"/>
    <cellStyle name="백분율 6 2 2 8 2 3" xfId="26776"/>
    <cellStyle name="백분율 6 2 2 8 2 4" xfId="26777"/>
    <cellStyle name="백분율 6 2 2 8 3" xfId="26778"/>
    <cellStyle name="백분율 6 2 2 8 3 2" xfId="26779"/>
    <cellStyle name="백분율 6 2 2 8 3 3" xfId="26780"/>
    <cellStyle name="백분율 6 2 2 8 4" xfId="26781"/>
    <cellStyle name="백분율 6 2 2 8 5" xfId="26782"/>
    <cellStyle name="백분율 6 2 2 9" xfId="26783"/>
    <cellStyle name="백분율 6 2 2 9 2" xfId="26784"/>
    <cellStyle name="백분율 6 2 2 9 2 2" xfId="26785"/>
    <cellStyle name="백분율 6 2 2 9 2 2 2" xfId="26786"/>
    <cellStyle name="백분율 6 2 2 9 2 2 3" xfId="26787"/>
    <cellStyle name="백분율 6 2 2 9 2 3" xfId="26788"/>
    <cellStyle name="백분율 6 2 2 9 2 4" xfId="26789"/>
    <cellStyle name="백분율 6 2 2 9 3" xfId="26790"/>
    <cellStyle name="백분율 6 2 2 9 3 2" xfId="26791"/>
    <cellStyle name="백분율 6 2 2 9 3 3" xfId="26792"/>
    <cellStyle name="백분율 6 2 2 9 4" xfId="26793"/>
    <cellStyle name="백분율 6 2 2 9 5" xfId="26794"/>
    <cellStyle name="백분율 6 2 3" xfId="26795"/>
    <cellStyle name="백분율 6 2 3 10" xfId="26796"/>
    <cellStyle name="백분율 6 2 3 2" xfId="26797"/>
    <cellStyle name="백분율 6 2 3 2 2" xfId="26798"/>
    <cellStyle name="백분율 6 2 3 2 2 2" xfId="26799"/>
    <cellStyle name="백분율 6 2 3 2 2 2 2" xfId="26800"/>
    <cellStyle name="백분율 6 2 3 2 2 2 2 2" xfId="26801"/>
    <cellStyle name="백분율 6 2 3 2 2 2 2 3" xfId="26802"/>
    <cellStyle name="백분율 6 2 3 2 2 2 3" xfId="26803"/>
    <cellStyle name="백분율 6 2 3 2 2 2 4" xfId="26804"/>
    <cellStyle name="백분율 6 2 3 2 2 3" xfId="26805"/>
    <cellStyle name="백분율 6 2 3 2 2 3 2" xfId="26806"/>
    <cellStyle name="백분율 6 2 3 2 2 3 3" xfId="26807"/>
    <cellStyle name="백분율 6 2 3 2 2 4" xfId="26808"/>
    <cellStyle name="백분율 6 2 3 2 2 5" xfId="26809"/>
    <cellStyle name="백분율 6 2 3 2 3" xfId="26810"/>
    <cellStyle name="백분율 6 2 3 2 3 2" xfId="26811"/>
    <cellStyle name="백분율 6 2 3 2 3 2 2" xfId="26812"/>
    <cellStyle name="백분율 6 2 3 2 3 2 2 2" xfId="26813"/>
    <cellStyle name="백분율 6 2 3 2 3 2 2 3" xfId="26814"/>
    <cellStyle name="백분율 6 2 3 2 3 2 3" xfId="26815"/>
    <cellStyle name="백분율 6 2 3 2 3 2 4" xfId="26816"/>
    <cellStyle name="백분율 6 2 3 2 3 3" xfId="26817"/>
    <cellStyle name="백분율 6 2 3 2 3 3 2" xfId="26818"/>
    <cellStyle name="백분율 6 2 3 2 3 3 3" xfId="26819"/>
    <cellStyle name="백분율 6 2 3 2 3 4" xfId="26820"/>
    <cellStyle name="백분율 6 2 3 2 3 5" xfId="26821"/>
    <cellStyle name="백분율 6 2 3 2 4" xfId="26822"/>
    <cellStyle name="백분율 6 2 3 2 4 2" xfId="26823"/>
    <cellStyle name="백분율 6 2 3 2 4 2 2" xfId="26824"/>
    <cellStyle name="백분율 6 2 3 2 4 2 3" xfId="26825"/>
    <cellStyle name="백분율 6 2 3 2 4 3" xfId="26826"/>
    <cellStyle name="백분율 6 2 3 2 4 4" xfId="26827"/>
    <cellStyle name="백분율 6 2 3 2 5" xfId="26828"/>
    <cellStyle name="백분율 6 2 3 2 5 2" xfId="26829"/>
    <cellStyle name="백분율 6 2 3 2 5 3" xfId="26830"/>
    <cellStyle name="백분율 6 2 3 2 6" xfId="26831"/>
    <cellStyle name="백분율 6 2 3 2 7" xfId="26832"/>
    <cellStyle name="백분율 6 2 3 3" xfId="26833"/>
    <cellStyle name="백분율 6 2 3 3 2" xfId="26834"/>
    <cellStyle name="백분율 6 2 3 3 2 2" xfId="26835"/>
    <cellStyle name="백분율 6 2 3 3 2 2 2" xfId="26836"/>
    <cellStyle name="백분율 6 2 3 3 2 2 2 2" xfId="26837"/>
    <cellStyle name="백분율 6 2 3 3 2 2 2 3" xfId="26838"/>
    <cellStyle name="백분율 6 2 3 3 2 2 3" xfId="26839"/>
    <cellStyle name="백분율 6 2 3 3 2 2 4" xfId="26840"/>
    <cellStyle name="백분율 6 2 3 3 2 3" xfId="26841"/>
    <cellStyle name="백분율 6 2 3 3 2 3 2" xfId="26842"/>
    <cellStyle name="백분율 6 2 3 3 2 3 3" xfId="26843"/>
    <cellStyle name="백분율 6 2 3 3 2 4" xfId="26844"/>
    <cellStyle name="백분율 6 2 3 3 2 5" xfId="26845"/>
    <cellStyle name="백분율 6 2 3 3 3" xfId="26846"/>
    <cellStyle name="백분율 6 2 3 3 3 2" xfId="26847"/>
    <cellStyle name="백분율 6 2 3 3 3 2 2" xfId="26848"/>
    <cellStyle name="백분율 6 2 3 3 3 2 2 2" xfId="26849"/>
    <cellStyle name="백분율 6 2 3 3 3 2 2 3" xfId="26850"/>
    <cellStyle name="백분율 6 2 3 3 3 2 3" xfId="26851"/>
    <cellStyle name="백분율 6 2 3 3 3 2 4" xfId="26852"/>
    <cellStyle name="백분율 6 2 3 3 3 3" xfId="26853"/>
    <cellStyle name="백분율 6 2 3 3 3 3 2" xfId="26854"/>
    <cellStyle name="백분율 6 2 3 3 3 3 3" xfId="26855"/>
    <cellStyle name="백분율 6 2 3 3 3 4" xfId="26856"/>
    <cellStyle name="백분율 6 2 3 3 3 5" xfId="26857"/>
    <cellStyle name="백분율 6 2 3 3 4" xfId="26858"/>
    <cellStyle name="백분율 6 2 3 3 4 2" xfId="26859"/>
    <cellStyle name="백분율 6 2 3 3 4 2 2" xfId="26860"/>
    <cellStyle name="백분율 6 2 3 3 4 2 3" xfId="26861"/>
    <cellStyle name="백분율 6 2 3 3 4 3" xfId="26862"/>
    <cellStyle name="백분율 6 2 3 3 4 4" xfId="26863"/>
    <cellStyle name="백분율 6 2 3 3 5" xfId="26864"/>
    <cellStyle name="백분율 6 2 3 3 5 2" xfId="26865"/>
    <cellStyle name="백분율 6 2 3 3 5 3" xfId="26866"/>
    <cellStyle name="백분율 6 2 3 3 6" xfId="26867"/>
    <cellStyle name="백분율 6 2 3 3 7" xfId="26868"/>
    <cellStyle name="백분율 6 2 3 4" xfId="26869"/>
    <cellStyle name="백분율 6 2 3 4 2" xfId="26870"/>
    <cellStyle name="백분율 6 2 3 4 2 2" xfId="26871"/>
    <cellStyle name="백분율 6 2 3 4 2 2 2" xfId="26872"/>
    <cellStyle name="백분율 6 2 3 4 2 2 3" xfId="26873"/>
    <cellStyle name="백분율 6 2 3 4 2 3" xfId="26874"/>
    <cellStyle name="백분율 6 2 3 4 2 4" xfId="26875"/>
    <cellStyle name="백분율 6 2 3 4 3" xfId="26876"/>
    <cellStyle name="백분율 6 2 3 4 3 2" xfId="26877"/>
    <cellStyle name="백분율 6 2 3 4 3 3" xfId="26878"/>
    <cellStyle name="백분율 6 2 3 4 4" xfId="26879"/>
    <cellStyle name="백분율 6 2 3 4 5" xfId="26880"/>
    <cellStyle name="백분율 6 2 3 5" xfId="26881"/>
    <cellStyle name="백분율 6 2 3 5 2" xfId="26882"/>
    <cellStyle name="백분율 6 2 3 5 2 2" xfId="26883"/>
    <cellStyle name="백분율 6 2 3 5 2 2 2" xfId="26884"/>
    <cellStyle name="백분율 6 2 3 5 2 2 3" xfId="26885"/>
    <cellStyle name="백분율 6 2 3 5 2 3" xfId="26886"/>
    <cellStyle name="백분율 6 2 3 5 2 4" xfId="26887"/>
    <cellStyle name="백분율 6 2 3 5 3" xfId="26888"/>
    <cellStyle name="백분율 6 2 3 5 3 2" xfId="26889"/>
    <cellStyle name="백분율 6 2 3 5 3 3" xfId="26890"/>
    <cellStyle name="백분율 6 2 3 5 4" xfId="26891"/>
    <cellStyle name="백분율 6 2 3 5 5" xfId="26892"/>
    <cellStyle name="백분율 6 2 3 6" xfId="26893"/>
    <cellStyle name="백분율 6 2 3 6 2" xfId="26894"/>
    <cellStyle name="백분율 6 2 3 6 2 2" xfId="26895"/>
    <cellStyle name="백분율 6 2 3 6 2 2 2" xfId="26896"/>
    <cellStyle name="백분율 6 2 3 6 2 2 3" xfId="26897"/>
    <cellStyle name="백분율 6 2 3 6 2 3" xfId="26898"/>
    <cellStyle name="백분율 6 2 3 6 2 4" xfId="26899"/>
    <cellStyle name="백분율 6 2 3 6 3" xfId="26900"/>
    <cellStyle name="백분율 6 2 3 6 3 2" xfId="26901"/>
    <cellStyle name="백분율 6 2 3 6 3 3" xfId="26902"/>
    <cellStyle name="백분율 6 2 3 6 4" xfId="26903"/>
    <cellStyle name="백분율 6 2 3 6 5" xfId="26904"/>
    <cellStyle name="백분율 6 2 3 7" xfId="26905"/>
    <cellStyle name="백분율 6 2 3 7 2" xfId="26906"/>
    <cellStyle name="백분율 6 2 3 7 2 2" xfId="26907"/>
    <cellStyle name="백분율 6 2 3 7 2 3" xfId="26908"/>
    <cellStyle name="백분율 6 2 3 7 3" xfId="26909"/>
    <cellStyle name="백분율 6 2 3 7 4" xfId="26910"/>
    <cellStyle name="백분율 6 2 3 8" xfId="26911"/>
    <cellStyle name="백분율 6 2 3 8 2" xfId="26912"/>
    <cellStyle name="백분율 6 2 3 8 3" xfId="26913"/>
    <cellStyle name="백분율 6 2 3 9" xfId="26914"/>
    <cellStyle name="백분율 6 2 4" xfId="26915"/>
    <cellStyle name="백분율 6 2 4 10" xfId="26916"/>
    <cellStyle name="백분율 6 2 4 2" xfId="26917"/>
    <cellStyle name="백분율 6 2 4 2 2" xfId="26918"/>
    <cellStyle name="백분율 6 2 4 2 2 2" xfId="26919"/>
    <cellStyle name="백분율 6 2 4 2 2 2 2" xfId="26920"/>
    <cellStyle name="백분율 6 2 4 2 2 2 2 2" xfId="26921"/>
    <cellStyle name="백분율 6 2 4 2 2 2 2 3" xfId="26922"/>
    <cellStyle name="백분율 6 2 4 2 2 2 3" xfId="26923"/>
    <cellStyle name="백분율 6 2 4 2 2 2 4" xfId="26924"/>
    <cellStyle name="백분율 6 2 4 2 2 3" xfId="26925"/>
    <cellStyle name="백분율 6 2 4 2 2 3 2" xfId="26926"/>
    <cellStyle name="백분율 6 2 4 2 2 3 3" xfId="26927"/>
    <cellStyle name="백분율 6 2 4 2 2 4" xfId="26928"/>
    <cellStyle name="백분율 6 2 4 2 2 5" xfId="26929"/>
    <cellStyle name="백분율 6 2 4 2 3" xfId="26930"/>
    <cellStyle name="백분율 6 2 4 2 3 2" xfId="26931"/>
    <cellStyle name="백분율 6 2 4 2 3 2 2" xfId="26932"/>
    <cellStyle name="백분율 6 2 4 2 3 2 2 2" xfId="26933"/>
    <cellStyle name="백분율 6 2 4 2 3 2 2 3" xfId="26934"/>
    <cellStyle name="백분율 6 2 4 2 3 2 3" xfId="26935"/>
    <cellStyle name="백분율 6 2 4 2 3 2 4" xfId="26936"/>
    <cellStyle name="백분율 6 2 4 2 3 3" xfId="26937"/>
    <cellStyle name="백분율 6 2 4 2 3 3 2" xfId="26938"/>
    <cellStyle name="백분율 6 2 4 2 3 3 3" xfId="26939"/>
    <cellStyle name="백분율 6 2 4 2 3 4" xfId="26940"/>
    <cellStyle name="백분율 6 2 4 2 3 5" xfId="26941"/>
    <cellStyle name="백분율 6 2 4 2 4" xfId="26942"/>
    <cellStyle name="백분율 6 2 4 2 4 2" xfId="26943"/>
    <cellStyle name="백분율 6 2 4 2 4 2 2" xfId="26944"/>
    <cellStyle name="백분율 6 2 4 2 4 2 3" xfId="26945"/>
    <cellStyle name="백분율 6 2 4 2 4 3" xfId="26946"/>
    <cellStyle name="백분율 6 2 4 2 4 4" xfId="26947"/>
    <cellStyle name="백분율 6 2 4 2 5" xfId="26948"/>
    <cellStyle name="백분율 6 2 4 2 5 2" xfId="26949"/>
    <cellStyle name="백분율 6 2 4 2 5 3" xfId="26950"/>
    <cellStyle name="백분율 6 2 4 2 6" xfId="26951"/>
    <cellStyle name="백분율 6 2 4 2 7" xfId="26952"/>
    <cellStyle name="백분율 6 2 4 3" xfId="26953"/>
    <cellStyle name="백분율 6 2 4 3 2" xfId="26954"/>
    <cellStyle name="백분율 6 2 4 3 2 2" xfId="26955"/>
    <cellStyle name="백분율 6 2 4 3 2 2 2" xfId="26956"/>
    <cellStyle name="백분율 6 2 4 3 2 2 2 2" xfId="26957"/>
    <cellStyle name="백분율 6 2 4 3 2 2 2 3" xfId="26958"/>
    <cellStyle name="백분율 6 2 4 3 2 2 3" xfId="26959"/>
    <cellStyle name="백분율 6 2 4 3 2 2 4" xfId="26960"/>
    <cellStyle name="백분율 6 2 4 3 2 3" xfId="26961"/>
    <cellStyle name="백분율 6 2 4 3 2 3 2" xfId="26962"/>
    <cellStyle name="백분율 6 2 4 3 2 3 3" xfId="26963"/>
    <cellStyle name="백분율 6 2 4 3 2 4" xfId="26964"/>
    <cellStyle name="백분율 6 2 4 3 2 5" xfId="26965"/>
    <cellStyle name="백분율 6 2 4 3 3" xfId="26966"/>
    <cellStyle name="백분율 6 2 4 3 3 2" xfId="26967"/>
    <cellStyle name="백분율 6 2 4 3 3 2 2" xfId="26968"/>
    <cellStyle name="백분율 6 2 4 3 3 2 2 2" xfId="26969"/>
    <cellStyle name="백분율 6 2 4 3 3 2 2 3" xfId="26970"/>
    <cellStyle name="백분율 6 2 4 3 3 2 3" xfId="26971"/>
    <cellStyle name="백분율 6 2 4 3 3 2 4" xfId="26972"/>
    <cellStyle name="백분율 6 2 4 3 3 3" xfId="26973"/>
    <cellStyle name="백분율 6 2 4 3 3 3 2" xfId="26974"/>
    <cellStyle name="백분율 6 2 4 3 3 3 3" xfId="26975"/>
    <cellStyle name="백분율 6 2 4 3 3 4" xfId="26976"/>
    <cellStyle name="백분율 6 2 4 3 3 5" xfId="26977"/>
    <cellStyle name="백분율 6 2 4 3 4" xfId="26978"/>
    <cellStyle name="백분율 6 2 4 3 4 2" xfId="26979"/>
    <cellStyle name="백분율 6 2 4 3 4 2 2" xfId="26980"/>
    <cellStyle name="백분율 6 2 4 3 4 2 3" xfId="26981"/>
    <cellStyle name="백분율 6 2 4 3 4 3" xfId="26982"/>
    <cellStyle name="백분율 6 2 4 3 4 4" xfId="26983"/>
    <cellStyle name="백분율 6 2 4 3 5" xfId="26984"/>
    <cellStyle name="백분율 6 2 4 3 5 2" xfId="26985"/>
    <cellStyle name="백분율 6 2 4 3 5 3" xfId="26986"/>
    <cellStyle name="백분율 6 2 4 3 6" xfId="26987"/>
    <cellStyle name="백분율 6 2 4 3 7" xfId="26988"/>
    <cellStyle name="백분율 6 2 4 4" xfId="26989"/>
    <cellStyle name="백분율 6 2 4 4 2" xfId="26990"/>
    <cellStyle name="백분율 6 2 4 4 2 2" xfId="26991"/>
    <cellStyle name="백분율 6 2 4 4 2 2 2" xfId="26992"/>
    <cellStyle name="백분율 6 2 4 4 2 2 3" xfId="26993"/>
    <cellStyle name="백분율 6 2 4 4 2 3" xfId="26994"/>
    <cellStyle name="백분율 6 2 4 4 2 4" xfId="26995"/>
    <cellStyle name="백분율 6 2 4 4 3" xfId="26996"/>
    <cellStyle name="백분율 6 2 4 4 3 2" xfId="26997"/>
    <cellStyle name="백분율 6 2 4 4 3 3" xfId="26998"/>
    <cellStyle name="백분율 6 2 4 4 4" xfId="26999"/>
    <cellStyle name="백분율 6 2 4 4 5" xfId="27000"/>
    <cellStyle name="백분율 6 2 4 5" xfId="27001"/>
    <cellStyle name="백분율 6 2 4 5 2" xfId="27002"/>
    <cellStyle name="백분율 6 2 4 5 2 2" xfId="27003"/>
    <cellStyle name="백분율 6 2 4 5 2 2 2" xfId="27004"/>
    <cellStyle name="백분율 6 2 4 5 2 2 3" xfId="27005"/>
    <cellStyle name="백분율 6 2 4 5 2 3" xfId="27006"/>
    <cellStyle name="백분율 6 2 4 5 2 4" xfId="27007"/>
    <cellStyle name="백분율 6 2 4 5 3" xfId="27008"/>
    <cellStyle name="백분율 6 2 4 5 3 2" xfId="27009"/>
    <cellStyle name="백분율 6 2 4 5 3 3" xfId="27010"/>
    <cellStyle name="백분율 6 2 4 5 4" xfId="27011"/>
    <cellStyle name="백분율 6 2 4 5 5" xfId="27012"/>
    <cellStyle name="백분율 6 2 4 6" xfId="27013"/>
    <cellStyle name="백분율 6 2 4 6 2" xfId="27014"/>
    <cellStyle name="백분율 6 2 4 6 2 2" xfId="27015"/>
    <cellStyle name="백분율 6 2 4 6 2 2 2" xfId="27016"/>
    <cellStyle name="백분율 6 2 4 6 2 2 3" xfId="27017"/>
    <cellStyle name="백분율 6 2 4 6 2 3" xfId="27018"/>
    <cellStyle name="백분율 6 2 4 6 2 4" xfId="27019"/>
    <cellStyle name="백분율 6 2 4 6 3" xfId="27020"/>
    <cellStyle name="백분율 6 2 4 6 3 2" xfId="27021"/>
    <cellStyle name="백분율 6 2 4 6 3 3" xfId="27022"/>
    <cellStyle name="백분율 6 2 4 6 4" xfId="27023"/>
    <cellStyle name="백분율 6 2 4 6 5" xfId="27024"/>
    <cellStyle name="백분율 6 2 4 7" xfId="27025"/>
    <cellStyle name="백분율 6 2 4 7 2" xfId="27026"/>
    <cellStyle name="백분율 6 2 4 7 2 2" xfId="27027"/>
    <cellStyle name="백분율 6 2 4 7 2 3" xfId="27028"/>
    <cellStyle name="백분율 6 2 4 7 3" xfId="27029"/>
    <cellStyle name="백분율 6 2 4 7 4" xfId="27030"/>
    <cellStyle name="백분율 6 2 4 8" xfId="27031"/>
    <cellStyle name="백분율 6 2 4 8 2" xfId="27032"/>
    <cellStyle name="백분율 6 2 4 8 3" xfId="27033"/>
    <cellStyle name="백분율 6 2 4 9" xfId="27034"/>
    <cellStyle name="백분율 6 2 5" xfId="27035"/>
    <cellStyle name="백분율 6 2 5 10" xfId="27036"/>
    <cellStyle name="백분율 6 2 5 2" xfId="27037"/>
    <cellStyle name="백분율 6 2 5 2 2" xfId="27038"/>
    <cellStyle name="백분율 6 2 5 2 2 2" xfId="27039"/>
    <cellStyle name="백분율 6 2 5 2 2 2 2" xfId="27040"/>
    <cellStyle name="백분율 6 2 5 2 2 2 2 2" xfId="27041"/>
    <cellStyle name="백분율 6 2 5 2 2 2 2 3" xfId="27042"/>
    <cellStyle name="백분율 6 2 5 2 2 2 3" xfId="27043"/>
    <cellStyle name="백분율 6 2 5 2 2 2 4" xfId="27044"/>
    <cellStyle name="백분율 6 2 5 2 2 3" xfId="27045"/>
    <cellStyle name="백분율 6 2 5 2 2 3 2" xfId="27046"/>
    <cellStyle name="백분율 6 2 5 2 2 3 3" xfId="27047"/>
    <cellStyle name="백분율 6 2 5 2 2 4" xfId="27048"/>
    <cellStyle name="백분율 6 2 5 2 2 5" xfId="27049"/>
    <cellStyle name="백분율 6 2 5 2 3" xfId="27050"/>
    <cellStyle name="백분율 6 2 5 2 3 2" xfId="27051"/>
    <cellStyle name="백분율 6 2 5 2 3 2 2" xfId="27052"/>
    <cellStyle name="백분율 6 2 5 2 3 2 2 2" xfId="27053"/>
    <cellStyle name="백분율 6 2 5 2 3 2 2 3" xfId="27054"/>
    <cellStyle name="백분율 6 2 5 2 3 2 3" xfId="27055"/>
    <cellStyle name="백분율 6 2 5 2 3 2 4" xfId="27056"/>
    <cellStyle name="백분율 6 2 5 2 3 3" xfId="27057"/>
    <cellStyle name="백분율 6 2 5 2 3 3 2" xfId="27058"/>
    <cellStyle name="백분율 6 2 5 2 3 3 3" xfId="27059"/>
    <cellStyle name="백분율 6 2 5 2 3 4" xfId="27060"/>
    <cellStyle name="백분율 6 2 5 2 3 5" xfId="27061"/>
    <cellStyle name="백분율 6 2 5 2 4" xfId="27062"/>
    <cellStyle name="백분율 6 2 5 2 4 2" xfId="27063"/>
    <cellStyle name="백분율 6 2 5 2 4 2 2" xfId="27064"/>
    <cellStyle name="백분율 6 2 5 2 4 2 3" xfId="27065"/>
    <cellStyle name="백분율 6 2 5 2 4 3" xfId="27066"/>
    <cellStyle name="백분율 6 2 5 2 4 4" xfId="27067"/>
    <cellStyle name="백분율 6 2 5 2 5" xfId="27068"/>
    <cellStyle name="백분율 6 2 5 2 5 2" xfId="27069"/>
    <cellStyle name="백분율 6 2 5 2 5 3" xfId="27070"/>
    <cellStyle name="백분율 6 2 5 2 6" xfId="27071"/>
    <cellStyle name="백분율 6 2 5 2 7" xfId="27072"/>
    <cellStyle name="백분율 6 2 5 3" xfId="27073"/>
    <cellStyle name="백분율 6 2 5 3 2" xfId="27074"/>
    <cellStyle name="백분율 6 2 5 3 2 2" xfId="27075"/>
    <cellStyle name="백분율 6 2 5 3 2 2 2" xfId="27076"/>
    <cellStyle name="백분율 6 2 5 3 2 2 2 2" xfId="27077"/>
    <cellStyle name="백분율 6 2 5 3 2 2 2 3" xfId="27078"/>
    <cellStyle name="백분율 6 2 5 3 2 2 3" xfId="27079"/>
    <cellStyle name="백분율 6 2 5 3 2 2 4" xfId="27080"/>
    <cellStyle name="백분율 6 2 5 3 2 3" xfId="27081"/>
    <cellStyle name="백분율 6 2 5 3 2 3 2" xfId="27082"/>
    <cellStyle name="백분율 6 2 5 3 2 3 3" xfId="27083"/>
    <cellStyle name="백분율 6 2 5 3 2 4" xfId="27084"/>
    <cellStyle name="백분율 6 2 5 3 2 5" xfId="27085"/>
    <cellStyle name="백분율 6 2 5 3 3" xfId="27086"/>
    <cellStyle name="백분율 6 2 5 3 3 2" xfId="27087"/>
    <cellStyle name="백분율 6 2 5 3 3 2 2" xfId="27088"/>
    <cellStyle name="백분율 6 2 5 3 3 2 2 2" xfId="27089"/>
    <cellStyle name="백분율 6 2 5 3 3 2 2 3" xfId="27090"/>
    <cellStyle name="백분율 6 2 5 3 3 2 3" xfId="27091"/>
    <cellStyle name="백분율 6 2 5 3 3 2 4" xfId="27092"/>
    <cellStyle name="백분율 6 2 5 3 3 3" xfId="27093"/>
    <cellStyle name="백분율 6 2 5 3 3 3 2" xfId="27094"/>
    <cellStyle name="백분율 6 2 5 3 3 3 3" xfId="27095"/>
    <cellStyle name="백분율 6 2 5 3 3 4" xfId="27096"/>
    <cellStyle name="백분율 6 2 5 3 3 5" xfId="27097"/>
    <cellStyle name="백분율 6 2 5 3 4" xfId="27098"/>
    <cellStyle name="백분율 6 2 5 3 4 2" xfId="27099"/>
    <cellStyle name="백분율 6 2 5 3 4 2 2" xfId="27100"/>
    <cellStyle name="백분율 6 2 5 3 4 2 3" xfId="27101"/>
    <cellStyle name="백분율 6 2 5 3 4 3" xfId="27102"/>
    <cellStyle name="백분율 6 2 5 3 4 4" xfId="27103"/>
    <cellStyle name="백분율 6 2 5 3 5" xfId="27104"/>
    <cellStyle name="백분율 6 2 5 3 5 2" xfId="27105"/>
    <cellStyle name="백분율 6 2 5 3 5 3" xfId="27106"/>
    <cellStyle name="백분율 6 2 5 3 6" xfId="27107"/>
    <cellStyle name="백분율 6 2 5 3 7" xfId="27108"/>
    <cellStyle name="백분율 6 2 5 4" xfId="27109"/>
    <cellStyle name="백분율 6 2 5 4 2" xfId="27110"/>
    <cellStyle name="백분율 6 2 5 4 2 2" xfId="27111"/>
    <cellStyle name="백분율 6 2 5 4 2 2 2" xfId="27112"/>
    <cellStyle name="백분율 6 2 5 4 2 2 3" xfId="27113"/>
    <cellStyle name="백분율 6 2 5 4 2 3" xfId="27114"/>
    <cellStyle name="백분율 6 2 5 4 2 4" xfId="27115"/>
    <cellStyle name="백분율 6 2 5 4 3" xfId="27116"/>
    <cellStyle name="백분율 6 2 5 4 3 2" xfId="27117"/>
    <cellStyle name="백분율 6 2 5 4 3 3" xfId="27118"/>
    <cellStyle name="백분율 6 2 5 4 4" xfId="27119"/>
    <cellStyle name="백분율 6 2 5 4 5" xfId="27120"/>
    <cellStyle name="백분율 6 2 5 5" xfId="27121"/>
    <cellStyle name="백분율 6 2 5 5 2" xfId="27122"/>
    <cellStyle name="백분율 6 2 5 5 2 2" xfId="27123"/>
    <cellStyle name="백분율 6 2 5 5 2 2 2" xfId="27124"/>
    <cellStyle name="백분율 6 2 5 5 2 2 3" xfId="27125"/>
    <cellStyle name="백분율 6 2 5 5 2 3" xfId="27126"/>
    <cellStyle name="백분율 6 2 5 5 2 4" xfId="27127"/>
    <cellStyle name="백분율 6 2 5 5 3" xfId="27128"/>
    <cellStyle name="백분율 6 2 5 5 3 2" xfId="27129"/>
    <cellStyle name="백분율 6 2 5 5 3 3" xfId="27130"/>
    <cellStyle name="백분율 6 2 5 5 4" xfId="27131"/>
    <cellStyle name="백분율 6 2 5 5 5" xfId="27132"/>
    <cellStyle name="백분율 6 2 5 6" xfId="27133"/>
    <cellStyle name="백분율 6 2 5 6 2" xfId="27134"/>
    <cellStyle name="백분율 6 2 5 6 2 2" xfId="27135"/>
    <cellStyle name="백분율 6 2 5 6 2 2 2" xfId="27136"/>
    <cellStyle name="백분율 6 2 5 6 2 2 3" xfId="27137"/>
    <cellStyle name="백분율 6 2 5 6 2 3" xfId="27138"/>
    <cellStyle name="백분율 6 2 5 6 2 4" xfId="27139"/>
    <cellStyle name="백분율 6 2 5 6 3" xfId="27140"/>
    <cellStyle name="백분율 6 2 5 6 3 2" xfId="27141"/>
    <cellStyle name="백분율 6 2 5 6 3 3" xfId="27142"/>
    <cellStyle name="백분율 6 2 5 6 4" xfId="27143"/>
    <cellStyle name="백분율 6 2 5 6 5" xfId="27144"/>
    <cellStyle name="백분율 6 2 5 7" xfId="27145"/>
    <cellStyle name="백분율 6 2 5 7 2" xfId="27146"/>
    <cellStyle name="백분율 6 2 5 7 2 2" xfId="27147"/>
    <cellStyle name="백분율 6 2 5 7 2 3" xfId="27148"/>
    <cellStyle name="백분율 6 2 5 7 3" xfId="27149"/>
    <cellStyle name="백분율 6 2 5 7 4" xfId="27150"/>
    <cellStyle name="백분율 6 2 5 8" xfId="27151"/>
    <cellStyle name="백분율 6 2 5 8 2" xfId="27152"/>
    <cellStyle name="백분율 6 2 5 8 3" xfId="27153"/>
    <cellStyle name="백분율 6 2 5 9" xfId="27154"/>
    <cellStyle name="백분율 6 2 6" xfId="27155"/>
    <cellStyle name="백분율 6 2 6 2" xfId="27156"/>
    <cellStyle name="백분율 6 2 6 2 2" xfId="27157"/>
    <cellStyle name="백분율 6 2 6 2 2 2" xfId="27158"/>
    <cellStyle name="백분율 6 2 6 2 2 2 2" xfId="27159"/>
    <cellStyle name="백분율 6 2 6 2 2 2 3" xfId="27160"/>
    <cellStyle name="백분율 6 2 6 2 2 3" xfId="27161"/>
    <cellStyle name="백분율 6 2 6 2 2 4" xfId="27162"/>
    <cellStyle name="백분율 6 2 6 2 3" xfId="27163"/>
    <cellStyle name="백분율 6 2 6 2 3 2" xfId="27164"/>
    <cellStyle name="백분율 6 2 6 2 3 3" xfId="27165"/>
    <cellStyle name="백분율 6 2 6 2 4" xfId="27166"/>
    <cellStyle name="백분율 6 2 6 2 5" xfId="27167"/>
    <cellStyle name="백분율 6 2 6 3" xfId="27168"/>
    <cellStyle name="백분율 6 2 6 3 2" xfId="27169"/>
    <cellStyle name="백분율 6 2 6 3 2 2" xfId="27170"/>
    <cellStyle name="백분율 6 2 6 3 2 2 2" xfId="27171"/>
    <cellStyle name="백분율 6 2 6 3 2 2 3" xfId="27172"/>
    <cellStyle name="백분율 6 2 6 3 2 3" xfId="27173"/>
    <cellStyle name="백분율 6 2 6 3 2 4" xfId="27174"/>
    <cellStyle name="백분율 6 2 6 3 3" xfId="27175"/>
    <cellStyle name="백분율 6 2 6 3 3 2" xfId="27176"/>
    <cellStyle name="백분율 6 2 6 3 3 3" xfId="27177"/>
    <cellStyle name="백분율 6 2 6 3 4" xfId="27178"/>
    <cellStyle name="백분율 6 2 6 3 5" xfId="27179"/>
    <cellStyle name="백분율 6 2 6 4" xfId="27180"/>
    <cellStyle name="백분율 6 2 6 4 2" xfId="27181"/>
    <cellStyle name="백분율 6 2 6 4 2 2" xfId="27182"/>
    <cellStyle name="백분율 6 2 6 4 2 3" xfId="27183"/>
    <cellStyle name="백분율 6 2 6 4 3" xfId="27184"/>
    <cellStyle name="백분율 6 2 6 4 4" xfId="27185"/>
    <cellStyle name="백분율 6 2 6 5" xfId="27186"/>
    <cellStyle name="백분율 6 2 6 5 2" xfId="27187"/>
    <cellStyle name="백분율 6 2 6 5 3" xfId="27188"/>
    <cellStyle name="백분율 6 2 6 6" xfId="27189"/>
    <cellStyle name="백분율 6 2 6 7" xfId="27190"/>
    <cellStyle name="백분율 6 2 7" xfId="27191"/>
    <cellStyle name="백분율 6 2 7 2" xfId="27192"/>
    <cellStyle name="백분율 6 2 7 2 2" xfId="27193"/>
    <cellStyle name="백분율 6 2 7 2 2 2" xfId="27194"/>
    <cellStyle name="백분율 6 2 7 2 2 2 2" xfId="27195"/>
    <cellStyle name="백분율 6 2 7 2 2 2 3" xfId="27196"/>
    <cellStyle name="백분율 6 2 7 2 2 3" xfId="27197"/>
    <cellStyle name="백분율 6 2 7 2 2 4" xfId="27198"/>
    <cellStyle name="백분율 6 2 7 2 3" xfId="27199"/>
    <cellStyle name="백분율 6 2 7 2 3 2" xfId="27200"/>
    <cellStyle name="백분율 6 2 7 2 3 3" xfId="27201"/>
    <cellStyle name="백분율 6 2 7 2 4" xfId="27202"/>
    <cellStyle name="백분율 6 2 7 2 5" xfId="27203"/>
    <cellStyle name="백분율 6 2 7 3" xfId="27204"/>
    <cellStyle name="백분율 6 2 7 3 2" xfId="27205"/>
    <cellStyle name="백분율 6 2 7 3 2 2" xfId="27206"/>
    <cellStyle name="백분율 6 2 7 3 2 2 2" xfId="27207"/>
    <cellStyle name="백분율 6 2 7 3 2 2 3" xfId="27208"/>
    <cellStyle name="백분율 6 2 7 3 2 3" xfId="27209"/>
    <cellStyle name="백분율 6 2 7 3 2 4" xfId="27210"/>
    <cellStyle name="백분율 6 2 7 3 3" xfId="27211"/>
    <cellStyle name="백분율 6 2 7 3 3 2" xfId="27212"/>
    <cellStyle name="백분율 6 2 7 3 3 3" xfId="27213"/>
    <cellStyle name="백분율 6 2 7 3 4" xfId="27214"/>
    <cellStyle name="백분율 6 2 7 3 5" xfId="27215"/>
    <cellStyle name="백분율 6 2 7 4" xfId="27216"/>
    <cellStyle name="백분율 6 2 7 4 2" xfId="27217"/>
    <cellStyle name="백분율 6 2 7 4 2 2" xfId="27218"/>
    <cellStyle name="백분율 6 2 7 4 2 3" xfId="27219"/>
    <cellStyle name="백분율 6 2 7 4 3" xfId="27220"/>
    <cellStyle name="백분율 6 2 7 4 4" xfId="27221"/>
    <cellStyle name="백분율 6 2 7 5" xfId="27222"/>
    <cellStyle name="백분율 6 2 7 5 2" xfId="27223"/>
    <cellStyle name="백분율 6 2 7 5 3" xfId="27224"/>
    <cellStyle name="백분율 6 2 7 6" xfId="27225"/>
    <cellStyle name="백분율 6 2 7 7" xfId="27226"/>
    <cellStyle name="백분율 6 2 8" xfId="27227"/>
    <cellStyle name="백분율 6 2 8 2" xfId="27228"/>
    <cellStyle name="백분율 6 2 8 2 2" xfId="27229"/>
    <cellStyle name="백분율 6 2 8 2 2 2" xfId="27230"/>
    <cellStyle name="백분율 6 2 8 2 2 3" xfId="27231"/>
    <cellStyle name="백분율 6 2 8 2 3" xfId="27232"/>
    <cellStyle name="백분율 6 2 8 2 4" xfId="27233"/>
    <cellStyle name="백분율 6 2 8 3" xfId="27234"/>
    <cellStyle name="백분율 6 2 8 3 2" xfId="27235"/>
    <cellStyle name="백분율 6 2 8 3 3" xfId="27236"/>
    <cellStyle name="백분율 6 2 8 4" xfId="27237"/>
    <cellStyle name="백분율 6 2 8 5" xfId="27238"/>
    <cellStyle name="백분율 6 2 9" xfId="27239"/>
    <cellStyle name="백분율 6 2 9 2" xfId="27240"/>
    <cellStyle name="백분율 6 2 9 2 2" xfId="27241"/>
    <cellStyle name="백분율 6 2 9 2 2 2" xfId="27242"/>
    <cellStyle name="백분율 6 2 9 2 2 3" xfId="27243"/>
    <cellStyle name="백분율 6 2 9 2 3" xfId="27244"/>
    <cellStyle name="백분율 6 2 9 2 4" xfId="27245"/>
    <cellStyle name="백분율 6 2 9 3" xfId="27246"/>
    <cellStyle name="백분율 6 2 9 3 2" xfId="27247"/>
    <cellStyle name="백분율 6 2 9 3 3" xfId="27248"/>
    <cellStyle name="백분율 6 2 9 4" xfId="27249"/>
    <cellStyle name="백분율 6 2 9 5" xfId="27250"/>
    <cellStyle name="백분율 6 3" xfId="27251"/>
    <cellStyle name="백분율 6 3 10" xfId="27252"/>
    <cellStyle name="백분율 6 3 10 2" xfId="27253"/>
    <cellStyle name="백분율 6 3 10 2 2" xfId="27254"/>
    <cellStyle name="백분율 6 3 10 2 2 2" xfId="27255"/>
    <cellStyle name="백분율 6 3 10 2 2 3" xfId="27256"/>
    <cellStyle name="백분율 6 3 10 2 3" xfId="27257"/>
    <cellStyle name="백분율 6 3 10 2 4" xfId="27258"/>
    <cellStyle name="백분율 6 3 10 3" xfId="27259"/>
    <cellStyle name="백분율 6 3 10 3 2" xfId="27260"/>
    <cellStyle name="백분율 6 3 10 3 3" xfId="27261"/>
    <cellStyle name="백분율 6 3 10 4" xfId="27262"/>
    <cellStyle name="백분율 6 3 10 5" xfId="27263"/>
    <cellStyle name="백분율 6 3 11" xfId="27264"/>
    <cellStyle name="백분율 6 3 11 2" xfId="27265"/>
    <cellStyle name="백분율 6 3 11 2 2" xfId="27266"/>
    <cellStyle name="백분율 6 3 11 2 3" xfId="27267"/>
    <cellStyle name="백분율 6 3 11 3" xfId="27268"/>
    <cellStyle name="백분율 6 3 11 4" xfId="27269"/>
    <cellStyle name="백분율 6 3 12" xfId="27270"/>
    <cellStyle name="백분율 6 3 12 2" xfId="27271"/>
    <cellStyle name="백분율 6 3 12 3" xfId="27272"/>
    <cellStyle name="백분율 6 3 13" xfId="27273"/>
    <cellStyle name="백분율 6 3 14" xfId="27274"/>
    <cellStyle name="백분율 6 3 2" xfId="27275"/>
    <cellStyle name="백분율 6 3 2 10" xfId="27276"/>
    <cellStyle name="백분율 6 3 2 10 2" xfId="27277"/>
    <cellStyle name="백분율 6 3 2 10 2 2" xfId="27278"/>
    <cellStyle name="백분율 6 3 2 10 2 3" xfId="27279"/>
    <cellStyle name="백분율 6 3 2 10 3" xfId="27280"/>
    <cellStyle name="백분율 6 3 2 10 4" xfId="27281"/>
    <cellStyle name="백분율 6 3 2 11" xfId="27282"/>
    <cellStyle name="백분율 6 3 2 11 2" xfId="27283"/>
    <cellStyle name="백분율 6 3 2 11 3" xfId="27284"/>
    <cellStyle name="백분율 6 3 2 12" xfId="27285"/>
    <cellStyle name="백분율 6 3 2 13" xfId="27286"/>
    <cellStyle name="백분율 6 3 2 2" xfId="27287"/>
    <cellStyle name="백분율 6 3 2 2 10" xfId="27288"/>
    <cellStyle name="백분율 6 3 2 2 2" xfId="27289"/>
    <cellStyle name="백분율 6 3 2 2 2 2" xfId="27290"/>
    <cellStyle name="백분율 6 3 2 2 2 2 2" xfId="27291"/>
    <cellStyle name="백분율 6 3 2 2 2 2 2 2" xfId="27292"/>
    <cellStyle name="백분율 6 3 2 2 2 2 2 2 2" xfId="27293"/>
    <cellStyle name="백분율 6 3 2 2 2 2 2 2 3" xfId="27294"/>
    <cellStyle name="백분율 6 3 2 2 2 2 2 3" xfId="27295"/>
    <cellStyle name="백분율 6 3 2 2 2 2 2 4" xfId="27296"/>
    <cellStyle name="백분율 6 3 2 2 2 2 3" xfId="27297"/>
    <cellStyle name="백분율 6 3 2 2 2 2 3 2" xfId="27298"/>
    <cellStyle name="백분율 6 3 2 2 2 2 3 3" xfId="27299"/>
    <cellStyle name="백분율 6 3 2 2 2 2 4" xfId="27300"/>
    <cellStyle name="백분율 6 3 2 2 2 2 5" xfId="27301"/>
    <cellStyle name="백분율 6 3 2 2 2 3" xfId="27302"/>
    <cellStyle name="백분율 6 3 2 2 2 3 2" xfId="27303"/>
    <cellStyle name="백분율 6 3 2 2 2 3 2 2" xfId="27304"/>
    <cellStyle name="백분율 6 3 2 2 2 3 2 2 2" xfId="27305"/>
    <cellStyle name="백분율 6 3 2 2 2 3 2 2 3" xfId="27306"/>
    <cellStyle name="백분율 6 3 2 2 2 3 2 3" xfId="27307"/>
    <cellStyle name="백분율 6 3 2 2 2 3 2 4" xfId="27308"/>
    <cellStyle name="백분율 6 3 2 2 2 3 3" xfId="27309"/>
    <cellStyle name="백분율 6 3 2 2 2 3 3 2" xfId="27310"/>
    <cellStyle name="백분율 6 3 2 2 2 3 3 3" xfId="27311"/>
    <cellStyle name="백분율 6 3 2 2 2 3 4" xfId="27312"/>
    <cellStyle name="백분율 6 3 2 2 2 3 5" xfId="27313"/>
    <cellStyle name="백분율 6 3 2 2 2 4" xfId="27314"/>
    <cellStyle name="백분율 6 3 2 2 2 4 2" xfId="27315"/>
    <cellStyle name="백분율 6 3 2 2 2 4 2 2" xfId="27316"/>
    <cellStyle name="백분율 6 3 2 2 2 4 2 3" xfId="27317"/>
    <cellStyle name="백분율 6 3 2 2 2 4 3" xfId="27318"/>
    <cellStyle name="백분율 6 3 2 2 2 4 4" xfId="27319"/>
    <cellStyle name="백분율 6 3 2 2 2 5" xfId="27320"/>
    <cellStyle name="백분율 6 3 2 2 2 5 2" xfId="27321"/>
    <cellStyle name="백분율 6 3 2 2 2 5 3" xfId="27322"/>
    <cellStyle name="백분율 6 3 2 2 2 6" xfId="27323"/>
    <cellStyle name="백분율 6 3 2 2 2 7" xfId="27324"/>
    <cellStyle name="백분율 6 3 2 2 3" xfId="27325"/>
    <cellStyle name="백분율 6 3 2 2 3 2" xfId="27326"/>
    <cellStyle name="백분율 6 3 2 2 3 2 2" xfId="27327"/>
    <cellStyle name="백분율 6 3 2 2 3 2 2 2" xfId="27328"/>
    <cellStyle name="백분율 6 3 2 2 3 2 2 2 2" xfId="27329"/>
    <cellStyle name="백분율 6 3 2 2 3 2 2 2 3" xfId="27330"/>
    <cellStyle name="백분율 6 3 2 2 3 2 2 3" xfId="27331"/>
    <cellStyle name="백분율 6 3 2 2 3 2 2 4" xfId="27332"/>
    <cellStyle name="백분율 6 3 2 2 3 2 3" xfId="27333"/>
    <cellStyle name="백분율 6 3 2 2 3 2 3 2" xfId="27334"/>
    <cellStyle name="백분율 6 3 2 2 3 2 3 3" xfId="27335"/>
    <cellStyle name="백분율 6 3 2 2 3 2 4" xfId="27336"/>
    <cellStyle name="백분율 6 3 2 2 3 2 5" xfId="27337"/>
    <cellStyle name="백분율 6 3 2 2 3 3" xfId="27338"/>
    <cellStyle name="백분율 6 3 2 2 3 3 2" xfId="27339"/>
    <cellStyle name="백분율 6 3 2 2 3 3 2 2" xfId="27340"/>
    <cellStyle name="백분율 6 3 2 2 3 3 2 2 2" xfId="27341"/>
    <cellStyle name="백분율 6 3 2 2 3 3 2 2 3" xfId="27342"/>
    <cellStyle name="백분율 6 3 2 2 3 3 2 3" xfId="27343"/>
    <cellStyle name="백분율 6 3 2 2 3 3 2 4" xfId="27344"/>
    <cellStyle name="백분율 6 3 2 2 3 3 3" xfId="27345"/>
    <cellStyle name="백분율 6 3 2 2 3 3 3 2" xfId="27346"/>
    <cellStyle name="백분율 6 3 2 2 3 3 3 3" xfId="27347"/>
    <cellStyle name="백분율 6 3 2 2 3 3 4" xfId="27348"/>
    <cellStyle name="백분율 6 3 2 2 3 3 5" xfId="27349"/>
    <cellStyle name="백분율 6 3 2 2 3 4" xfId="27350"/>
    <cellStyle name="백분율 6 3 2 2 3 4 2" xfId="27351"/>
    <cellStyle name="백분율 6 3 2 2 3 4 2 2" xfId="27352"/>
    <cellStyle name="백분율 6 3 2 2 3 4 2 3" xfId="27353"/>
    <cellStyle name="백분율 6 3 2 2 3 4 3" xfId="27354"/>
    <cellStyle name="백분율 6 3 2 2 3 4 4" xfId="27355"/>
    <cellStyle name="백분율 6 3 2 2 3 5" xfId="27356"/>
    <cellStyle name="백분율 6 3 2 2 3 5 2" xfId="27357"/>
    <cellStyle name="백분율 6 3 2 2 3 5 3" xfId="27358"/>
    <cellStyle name="백분율 6 3 2 2 3 6" xfId="27359"/>
    <cellStyle name="백분율 6 3 2 2 3 7" xfId="27360"/>
    <cellStyle name="백분율 6 3 2 2 4" xfId="27361"/>
    <cellStyle name="백분율 6 3 2 2 4 2" xfId="27362"/>
    <cellStyle name="백분율 6 3 2 2 4 2 2" xfId="27363"/>
    <cellStyle name="백분율 6 3 2 2 4 2 2 2" xfId="27364"/>
    <cellStyle name="백분율 6 3 2 2 4 2 2 3" xfId="27365"/>
    <cellStyle name="백분율 6 3 2 2 4 2 3" xfId="27366"/>
    <cellStyle name="백분율 6 3 2 2 4 2 4" xfId="27367"/>
    <cellStyle name="백분율 6 3 2 2 4 3" xfId="27368"/>
    <cellStyle name="백분율 6 3 2 2 4 3 2" xfId="27369"/>
    <cellStyle name="백분율 6 3 2 2 4 3 3" xfId="27370"/>
    <cellStyle name="백분율 6 3 2 2 4 4" xfId="27371"/>
    <cellStyle name="백분율 6 3 2 2 4 5" xfId="27372"/>
    <cellStyle name="백분율 6 3 2 2 5" xfId="27373"/>
    <cellStyle name="백분율 6 3 2 2 5 2" xfId="27374"/>
    <cellStyle name="백분율 6 3 2 2 5 2 2" xfId="27375"/>
    <cellStyle name="백분율 6 3 2 2 5 2 2 2" xfId="27376"/>
    <cellStyle name="백분율 6 3 2 2 5 2 2 3" xfId="27377"/>
    <cellStyle name="백분율 6 3 2 2 5 2 3" xfId="27378"/>
    <cellStyle name="백분율 6 3 2 2 5 2 4" xfId="27379"/>
    <cellStyle name="백분율 6 3 2 2 5 3" xfId="27380"/>
    <cellStyle name="백분율 6 3 2 2 5 3 2" xfId="27381"/>
    <cellStyle name="백분율 6 3 2 2 5 3 3" xfId="27382"/>
    <cellStyle name="백분율 6 3 2 2 5 4" xfId="27383"/>
    <cellStyle name="백분율 6 3 2 2 5 5" xfId="27384"/>
    <cellStyle name="백분율 6 3 2 2 6" xfId="27385"/>
    <cellStyle name="백분율 6 3 2 2 6 2" xfId="27386"/>
    <cellStyle name="백분율 6 3 2 2 6 2 2" xfId="27387"/>
    <cellStyle name="백분율 6 3 2 2 6 2 2 2" xfId="27388"/>
    <cellStyle name="백분율 6 3 2 2 6 2 2 3" xfId="27389"/>
    <cellStyle name="백분율 6 3 2 2 6 2 3" xfId="27390"/>
    <cellStyle name="백분율 6 3 2 2 6 2 4" xfId="27391"/>
    <cellStyle name="백분율 6 3 2 2 6 3" xfId="27392"/>
    <cellStyle name="백분율 6 3 2 2 6 3 2" xfId="27393"/>
    <cellStyle name="백분율 6 3 2 2 6 3 3" xfId="27394"/>
    <cellStyle name="백분율 6 3 2 2 6 4" xfId="27395"/>
    <cellStyle name="백분율 6 3 2 2 6 5" xfId="27396"/>
    <cellStyle name="백분율 6 3 2 2 7" xfId="27397"/>
    <cellStyle name="백분율 6 3 2 2 7 2" xfId="27398"/>
    <cellStyle name="백분율 6 3 2 2 7 2 2" xfId="27399"/>
    <cellStyle name="백분율 6 3 2 2 7 2 3" xfId="27400"/>
    <cellStyle name="백분율 6 3 2 2 7 3" xfId="27401"/>
    <cellStyle name="백분율 6 3 2 2 7 4" xfId="27402"/>
    <cellStyle name="백분율 6 3 2 2 8" xfId="27403"/>
    <cellStyle name="백분율 6 3 2 2 8 2" xfId="27404"/>
    <cellStyle name="백분율 6 3 2 2 8 3" xfId="27405"/>
    <cellStyle name="백분율 6 3 2 2 9" xfId="27406"/>
    <cellStyle name="백분율 6 3 2 3" xfId="27407"/>
    <cellStyle name="백분율 6 3 2 3 10" xfId="27408"/>
    <cellStyle name="백분율 6 3 2 3 2" xfId="27409"/>
    <cellStyle name="백분율 6 3 2 3 2 2" xfId="27410"/>
    <cellStyle name="백분율 6 3 2 3 2 2 2" xfId="27411"/>
    <cellStyle name="백분율 6 3 2 3 2 2 2 2" xfId="27412"/>
    <cellStyle name="백분율 6 3 2 3 2 2 2 2 2" xfId="27413"/>
    <cellStyle name="백분율 6 3 2 3 2 2 2 2 3" xfId="27414"/>
    <cellStyle name="백분율 6 3 2 3 2 2 2 3" xfId="27415"/>
    <cellStyle name="백분율 6 3 2 3 2 2 2 4" xfId="27416"/>
    <cellStyle name="백분율 6 3 2 3 2 2 3" xfId="27417"/>
    <cellStyle name="백분율 6 3 2 3 2 2 3 2" xfId="27418"/>
    <cellStyle name="백분율 6 3 2 3 2 2 3 3" xfId="27419"/>
    <cellStyle name="백분율 6 3 2 3 2 2 4" xfId="27420"/>
    <cellStyle name="백분율 6 3 2 3 2 2 5" xfId="27421"/>
    <cellStyle name="백분율 6 3 2 3 2 3" xfId="27422"/>
    <cellStyle name="백분율 6 3 2 3 2 3 2" xfId="27423"/>
    <cellStyle name="백분율 6 3 2 3 2 3 2 2" xfId="27424"/>
    <cellStyle name="백분율 6 3 2 3 2 3 2 2 2" xfId="27425"/>
    <cellStyle name="백분율 6 3 2 3 2 3 2 2 3" xfId="27426"/>
    <cellStyle name="백분율 6 3 2 3 2 3 2 3" xfId="27427"/>
    <cellStyle name="백분율 6 3 2 3 2 3 2 4" xfId="27428"/>
    <cellStyle name="백분율 6 3 2 3 2 3 3" xfId="27429"/>
    <cellStyle name="백분율 6 3 2 3 2 3 3 2" xfId="27430"/>
    <cellStyle name="백분율 6 3 2 3 2 3 3 3" xfId="27431"/>
    <cellStyle name="백분율 6 3 2 3 2 3 4" xfId="27432"/>
    <cellStyle name="백분율 6 3 2 3 2 3 5" xfId="27433"/>
    <cellStyle name="백분율 6 3 2 3 2 4" xfId="27434"/>
    <cellStyle name="백분율 6 3 2 3 2 4 2" xfId="27435"/>
    <cellStyle name="백분율 6 3 2 3 2 4 2 2" xfId="27436"/>
    <cellStyle name="백분율 6 3 2 3 2 4 2 3" xfId="27437"/>
    <cellStyle name="백분율 6 3 2 3 2 4 3" xfId="27438"/>
    <cellStyle name="백분율 6 3 2 3 2 4 4" xfId="27439"/>
    <cellStyle name="백분율 6 3 2 3 2 5" xfId="27440"/>
    <cellStyle name="백분율 6 3 2 3 2 5 2" xfId="27441"/>
    <cellStyle name="백분율 6 3 2 3 2 5 3" xfId="27442"/>
    <cellStyle name="백분율 6 3 2 3 2 6" xfId="27443"/>
    <cellStyle name="백분율 6 3 2 3 2 7" xfId="27444"/>
    <cellStyle name="백분율 6 3 2 3 3" xfId="27445"/>
    <cellStyle name="백분율 6 3 2 3 3 2" xfId="27446"/>
    <cellStyle name="백분율 6 3 2 3 3 2 2" xfId="27447"/>
    <cellStyle name="백분율 6 3 2 3 3 2 2 2" xfId="27448"/>
    <cellStyle name="백분율 6 3 2 3 3 2 2 2 2" xfId="27449"/>
    <cellStyle name="백분율 6 3 2 3 3 2 2 2 3" xfId="27450"/>
    <cellStyle name="백분율 6 3 2 3 3 2 2 3" xfId="27451"/>
    <cellStyle name="백분율 6 3 2 3 3 2 2 4" xfId="27452"/>
    <cellStyle name="백분율 6 3 2 3 3 2 3" xfId="27453"/>
    <cellStyle name="백분율 6 3 2 3 3 2 3 2" xfId="27454"/>
    <cellStyle name="백분율 6 3 2 3 3 2 3 3" xfId="27455"/>
    <cellStyle name="백분율 6 3 2 3 3 2 4" xfId="27456"/>
    <cellStyle name="백분율 6 3 2 3 3 2 5" xfId="27457"/>
    <cellStyle name="백분율 6 3 2 3 3 3" xfId="27458"/>
    <cellStyle name="백분율 6 3 2 3 3 3 2" xfId="27459"/>
    <cellStyle name="백분율 6 3 2 3 3 3 2 2" xfId="27460"/>
    <cellStyle name="백분율 6 3 2 3 3 3 2 2 2" xfId="27461"/>
    <cellStyle name="백분율 6 3 2 3 3 3 2 2 3" xfId="27462"/>
    <cellStyle name="백분율 6 3 2 3 3 3 2 3" xfId="27463"/>
    <cellStyle name="백분율 6 3 2 3 3 3 2 4" xfId="27464"/>
    <cellStyle name="백분율 6 3 2 3 3 3 3" xfId="27465"/>
    <cellStyle name="백분율 6 3 2 3 3 3 3 2" xfId="27466"/>
    <cellStyle name="백분율 6 3 2 3 3 3 3 3" xfId="27467"/>
    <cellStyle name="백분율 6 3 2 3 3 3 4" xfId="27468"/>
    <cellStyle name="백분율 6 3 2 3 3 3 5" xfId="27469"/>
    <cellStyle name="백분율 6 3 2 3 3 4" xfId="27470"/>
    <cellStyle name="백분율 6 3 2 3 3 4 2" xfId="27471"/>
    <cellStyle name="백분율 6 3 2 3 3 4 2 2" xfId="27472"/>
    <cellStyle name="백분율 6 3 2 3 3 4 2 3" xfId="27473"/>
    <cellStyle name="백분율 6 3 2 3 3 4 3" xfId="27474"/>
    <cellStyle name="백분율 6 3 2 3 3 4 4" xfId="27475"/>
    <cellStyle name="백분율 6 3 2 3 3 5" xfId="27476"/>
    <cellStyle name="백분율 6 3 2 3 3 5 2" xfId="27477"/>
    <cellStyle name="백분율 6 3 2 3 3 5 3" xfId="27478"/>
    <cellStyle name="백분율 6 3 2 3 3 6" xfId="27479"/>
    <cellStyle name="백분율 6 3 2 3 3 7" xfId="27480"/>
    <cellStyle name="백분율 6 3 2 3 4" xfId="27481"/>
    <cellStyle name="백분율 6 3 2 3 4 2" xfId="27482"/>
    <cellStyle name="백분율 6 3 2 3 4 2 2" xfId="27483"/>
    <cellStyle name="백분율 6 3 2 3 4 2 2 2" xfId="27484"/>
    <cellStyle name="백분율 6 3 2 3 4 2 2 3" xfId="27485"/>
    <cellStyle name="백분율 6 3 2 3 4 2 3" xfId="27486"/>
    <cellStyle name="백분율 6 3 2 3 4 2 4" xfId="27487"/>
    <cellStyle name="백분율 6 3 2 3 4 3" xfId="27488"/>
    <cellStyle name="백분율 6 3 2 3 4 3 2" xfId="27489"/>
    <cellStyle name="백분율 6 3 2 3 4 3 3" xfId="27490"/>
    <cellStyle name="백분율 6 3 2 3 4 4" xfId="27491"/>
    <cellStyle name="백분율 6 3 2 3 4 5" xfId="27492"/>
    <cellStyle name="백분율 6 3 2 3 5" xfId="27493"/>
    <cellStyle name="백분율 6 3 2 3 5 2" xfId="27494"/>
    <cellStyle name="백분율 6 3 2 3 5 2 2" xfId="27495"/>
    <cellStyle name="백분율 6 3 2 3 5 2 2 2" xfId="27496"/>
    <cellStyle name="백분율 6 3 2 3 5 2 2 3" xfId="27497"/>
    <cellStyle name="백분율 6 3 2 3 5 2 3" xfId="27498"/>
    <cellStyle name="백분율 6 3 2 3 5 2 4" xfId="27499"/>
    <cellStyle name="백분율 6 3 2 3 5 3" xfId="27500"/>
    <cellStyle name="백분율 6 3 2 3 5 3 2" xfId="27501"/>
    <cellStyle name="백분율 6 3 2 3 5 3 3" xfId="27502"/>
    <cellStyle name="백분율 6 3 2 3 5 4" xfId="27503"/>
    <cellStyle name="백분율 6 3 2 3 5 5" xfId="27504"/>
    <cellStyle name="백분율 6 3 2 3 6" xfId="27505"/>
    <cellStyle name="백분율 6 3 2 3 6 2" xfId="27506"/>
    <cellStyle name="백분율 6 3 2 3 6 2 2" xfId="27507"/>
    <cellStyle name="백분율 6 3 2 3 6 2 2 2" xfId="27508"/>
    <cellStyle name="백분율 6 3 2 3 6 2 2 3" xfId="27509"/>
    <cellStyle name="백분율 6 3 2 3 6 2 3" xfId="27510"/>
    <cellStyle name="백분율 6 3 2 3 6 2 4" xfId="27511"/>
    <cellStyle name="백분율 6 3 2 3 6 3" xfId="27512"/>
    <cellStyle name="백분율 6 3 2 3 6 3 2" xfId="27513"/>
    <cellStyle name="백분율 6 3 2 3 6 3 3" xfId="27514"/>
    <cellStyle name="백분율 6 3 2 3 6 4" xfId="27515"/>
    <cellStyle name="백분율 6 3 2 3 6 5" xfId="27516"/>
    <cellStyle name="백분율 6 3 2 3 7" xfId="27517"/>
    <cellStyle name="백분율 6 3 2 3 7 2" xfId="27518"/>
    <cellStyle name="백분율 6 3 2 3 7 2 2" xfId="27519"/>
    <cellStyle name="백분율 6 3 2 3 7 2 3" xfId="27520"/>
    <cellStyle name="백분율 6 3 2 3 7 3" xfId="27521"/>
    <cellStyle name="백분율 6 3 2 3 7 4" xfId="27522"/>
    <cellStyle name="백분율 6 3 2 3 8" xfId="27523"/>
    <cellStyle name="백분율 6 3 2 3 8 2" xfId="27524"/>
    <cellStyle name="백분율 6 3 2 3 8 3" xfId="27525"/>
    <cellStyle name="백분율 6 3 2 3 9" xfId="27526"/>
    <cellStyle name="백분율 6 3 2 4" xfId="27527"/>
    <cellStyle name="백분율 6 3 2 4 10" xfId="27528"/>
    <cellStyle name="백분율 6 3 2 4 2" xfId="27529"/>
    <cellStyle name="백분율 6 3 2 4 2 2" xfId="27530"/>
    <cellStyle name="백분율 6 3 2 4 2 2 2" xfId="27531"/>
    <cellStyle name="백분율 6 3 2 4 2 2 2 2" xfId="27532"/>
    <cellStyle name="백분율 6 3 2 4 2 2 2 2 2" xfId="27533"/>
    <cellStyle name="백분율 6 3 2 4 2 2 2 2 3" xfId="27534"/>
    <cellStyle name="백분율 6 3 2 4 2 2 2 3" xfId="27535"/>
    <cellStyle name="백분율 6 3 2 4 2 2 2 4" xfId="27536"/>
    <cellStyle name="백분율 6 3 2 4 2 2 3" xfId="27537"/>
    <cellStyle name="백분율 6 3 2 4 2 2 3 2" xfId="27538"/>
    <cellStyle name="백분율 6 3 2 4 2 2 3 3" xfId="27539"/>
    <cellStyle name="백분율 6 3 2 4 2 2 4" xfId="27540"/>
    <cellStyle name="백분율 6 3 2 4 2 2 5" xfId="27541"/>
    <cellStyle name="백분율 6 3 2 4 2 3" xfId="27542"/>
    <cellStyle name="백분율 6 3 2 4 2 3 2" xfId="27543"/>
    <cellStyle name="백분율 6 3 2 4 2 3 2 2" xfId="27544"/>
    <cellStyle name="백분율 6 3 2 4 2 3 2 2 2" xfId="27545"/>
    <cellStyle name="백분율 6 3 2 4 2 3 2 2 3" xfId="27546"/>
    <cellStyle name="백분율 6 3 2 4 2 3 2 3" xfId="27547"/>
    <cellStyle name="백분율 6 3 2 4 2 3 2 4" xfId="27548"/>
    <cellStyle name="백분율 6 3 2 4 2 3 3" xfId="27549"/>
    <cellStyle name="백분율 6 3 2 4 2 3 3 2" xfId="27550"/>
    <cellStyle name="백분율 6 3 2 4 2 3 3 3" xfId="27551"/>
    <cellStyle name="백분율 6 3 2 4 2 3 4" xfId="27552"/>
    <cellStyle name="백분율 6 3 2 4 2 3 5" xfId="27553"/>
    <cellStyle name="백분율 6 3 2 4 2 4" xfId="27554"/>
    <cellStyle name="백분율 6 3 2 4 2 4 2" xfId="27555"/>
    <cellStyle name="백분율 6 3 2 4 2 4 2 2" xfId="27556"/>
    <cellStyle name="백분율 6 3 2 4 2 4 2 3" xfId="27557"/>
    <cellStyle name="백분율 6 3 2 4 2 4 3" xfId="27558"/>
    <cellStyle name="백분율 6 3 2 4 2 4 4" xfId="27559"/>
    <cellStyle name="백분율 6 3 2 4 2 5" xfId="27560"/>
    <cellStyle name="백분율 6 3 2 4 2 5 2" xfId="27561"/>
    <cellStyle name="백분율 6 3 2 4 2 5 3" xfId="27562"/>
    <cellStyle name="백분율 6 3 2 4 2 6" xfId="27563"/>
    <cellStyle name="백분율 6 3 2 4 2 7" xfId="27564"/>
    <cellStyle name="백분율 6 3 2 4 3" xfId="27565"/>
    <cellStyle name="백분율 6 3 2 4 3 2" xfId="27566"/>
    <cellStyle name="백분율 6 3 2 4 3 2 2" xfId="27567"/>
    <cellStyle name="백분율 6 3 2 4 3 2 2 2" xfId="27568"/>
    <cellStyle name="백분율 6 3 2 4 3 2 2 2 2" xfId="27569"/>
    <cellStyle name="백분율 6 3 2 4 3 2 2 2 3" xfId="27570"/>
    <cellStyle name="백분율 6 3 2 4 3 2 2 3" xfId="27571"/>
    <cellStyle name="백분율 6 3 2 4 3 2 2 4" xfId="27572"/>
    <cellStyle name="백분율 6 3 2 4 3 2 3" xfId="27573"/>
    <cellStyle name="백분율 6 3 2 4 3 2 3 2" xfId="27574"/>
    <cellStyle name="백분율 6 3 2 4 3 2 3 3" xfId="27575"/>
    <cellStyle name="백분율 6 3 2 4 3 2 4" xfId="27576"/>
    <cellStyle name="백분율 6 3 2 4 3 2 5" xfId="27577"/>
    <cellStyle name="백분율 6 3 2 4 3 3" xfId="27578"/>
    <cellStyle name="백분율 6 3 2 4 3 3 2" xfId="27579"/>
    <cellStyle name="백분율 6 3 2 4 3 3 2 2" xfId="27580"/>
    <cellStyle name="백분율 6 3 2 4 3 3 2 2 2" xfId="27581"/>
    <cellStyle name="백분율 6 3 2 4 3 3 2 2 3" xfId="27582"/>
    <cellStyle name="백분율 6 3 2 4 3 3 2 3" xfId="27583"/>
    <cellStyle name="백분율 6 3 2 4 3 3 2 4" xfId="27584"/>
    <cellStyle name="백분율 6 3 2 4 3 3 3" xfId="27585"/>
    <cellStyle name="백분율 6 3 2 4 3 3 3 2" xfId="27586"/>
    <cellStyle name="백분율 6 3 2 4 3 3 3 3" xfId="27587"/>
    <cellStyle name="백분율 6 3 2 4 3 3 4" xfId="27588"/>
    <cellStyle name="백분율 6 3 2 4 3 3 5" xfId="27589"/>
    <cellStyle name="백분율 6 3 2 4 3 4" xfId="27590"/>
    <cellStyle name="백분율 6 3 2 4 3 4 2" xfId="27591"/>
    <cellStyle name="백분율 6 3 2 4 3 4 2 2" xfId="27592"/>
    <cellStyle name="백분율 6 3 2 4 3 4 2 3" xfId="27593"/>
    <cellStyle name="백분율 6 3 2 4 3 4 3" xfId="27594"/>
    <cellStyle name="백분율 6 3 2 4 3 4 4" xfId="27595"/>
    <cellStyle name="백분율 6 3 2 4 3 5" xfId="27596"/>
    <cellStyle name="백분율 6 3 2 4 3 5 2" xfId="27597"/>
    <cellStyle name="백분율 6 3 2 4 3 5 3" xfId="27598"/>
    <cellStyle name="백분율 6 3 2 4 3 6" xfId="27599"/>
    <cellStyle name="백분율 6 3 2 4 3 7" xfId="27600"/>
    <cellStyle name="백분율 6 3 2 4 4" xfId="27601"/>
    <cellStyle name="백분율 6 3 2 4 4 2" xfId="27602"/>
    <cellStyle name="백분율 6 3 2 4 4 2 2" xfId="27603"/>
    <cellStyle name="백분율 6 3 2 4 4 2 2 2" xfId="27604"/>
    <cellStyle name="백분율 6 3 2 4 4 2 2 3" xfId="27605"/>
    <cellStyle name="백분율 6 3 2 4 4 2 3" xfId="27606"/>
    <cellStyle name="백분율 6 3 2 4 4 2 4" xfId="27607"/>
    <cellStyle name="백분율 6 3 2 4 4 3" xfId="27608"/>
    <cellStyle name="백분율 6 3 2 4 4 3 2" xfId="27609"/>
    <cellStyle name="백분율 6 3 2 4 4 3 3" xfId="27610"/>
    <cellStyle name="백분율 6 3 2 4 4 4" xfId="27611"/>
    <cellStyle name="백분율 6 3 2 4 4 5" xfId="27612"/>
    <cellStyle name="백분율 6 3 2 4 5" xfId="27613"/>
    <cellStyle name="백분율 6 3 2 4 5 2" xfId="27614"/>
    <cellStyle name="백분율 6 3 2 4 5 2 2" xfId="27615"/>
    <cellStyle name="백분율 6 3 2 4 5 2 2 2" xfId="27616"/>
    <cellStyle name="백분율 6 3 2 4 5 2 2 3" xfId="27617"/>
    <cellStyle name="백분율 6 3 2 4 5 2 3" xfId="27618"/>
    <cellStyle name="백분율 6 3 2 4 5 2 4" xfId="27619"/>
    <cellStyle name="백분율 6 3 2 4 5 3" xfId="27620"/>
    <cellStyle name="백분율 6 3 2 4 5 3 2" xfId="27621"/>
    <cellStyle name="백분율 6 3 2 4 5 3 3" xfId="27622"/>
    <cellStyle name="백분율 6 3 2 4 5 4" xfId="27623"/>
    <cellStyle name="백분율 6 3 2 4 5 5" xfId="27624"/>
    <cellStyle name="백분율 6 3 2 4 6" xfId="27625"/>
    <cellStyle name="백분율 6 3 2 4 6 2" xfId="27626"/>
    <cellStyle name="백분율 6 3 2 4 6 2 2" xfId="27627"/>
    <cellStyle name="백분율 6 3 2 4 6 2 2 2" xfId="27628"/>
    <cellStyle name="백분율 6 3 2 4 6 2 2 3" xfId="27629"/>
    <cellStyle name="백분율 6 3 2 4 6 2 3" xfId="27630"/>
    <cellStyle name="백분율 6 3 2 4 6 2 4" xfId="27631"/>
    <cellStyle name="백분율 6 3 2 4 6 3" xfId="27632"/>
    <cellStyle name="백분율 6 3 2 4 6 3 2" xfId="27633"/>
    <cellStyle name="백분율 6 3 2 4 6 3 3" xfId="27634"/>
    <cellStyle name="백분율 6 3 2 4 6 4" xfId="27635"/>
    <cellStyle name="백분율 6 3 2 4 6 5" xfId="27636"/>
    <cellStyle name="백분율 6 3 2 4 7" xfId="27637"/>
    <cellStyle name="백분율 6 3 2 4 7 2" xfId="27638"/>
    <cellStyle name="백분율 6 3 2 4 7 2 2" xfId="27639"/>
    <cellStyle name="백분율 6 3 2 4 7 2 3" xfId="27640"/>
    <cellStyle name="백분율 6 3 2 4 7 3" xfId="27641"/>
    <cellStyle name="백분율 6 3 2 4 7 4" xfId="27642"/>
    <cellStyle name="백분율 6 3 2 4 8" xfId="27643"/>
    <cellStyle name="백분율 6 3 2 4 8 2" xfId="27644"/>
    <cellStyle name="백분율 6 3 2 4 8 3" xfId="27645"/>
    <cellStyle name="백분율 6 3 2 4 9" xfId="27646"/>
    <cellStyle name="백분율 6 3 2 5" xfId="27647"/>
    <cellStyle name="백분율 6 3 2 5 2" xfId="27648"/>
    <cellStyle name="백분율 6 3 2 5 2 2" xfId="27649"/>
    <cellStyle name="백분율 6 3 2 5 2 2 2" xfId="27650"/>
    <cellStyle name="백분율 6 3 2 5 2 2 2 2" xfId="27651"/>
    <cellStyle name="백분율 6 3 2 5 2 2 2 3" xfId="27652"/>
    <cellStyle name="백분율 6 3 2 5 2 2 3" xfId="27653"/>
    <cellStyle name="백분율 6 3 2 5 2 2 4" xfId="27654"/>
    <cellStyle name="백분율 6 3 2 5 2 3" xfId="27655"/>
    <cellStyle name="백분율 6 3 2 5 2 3 2" xfId="27656"/>
    <cellStyle name="백분율 6 3 2 5 2 3 3" xfId="27657"/>
    <cellStyle name="백분율 6 3 2 5 2 4" xfId="27658"/>
    <cellStyle name="백분율 6 3 2 5 2 5" xfId="27659"/>
    <cellStyle name="백분율 6 3 2 5 3" xfId="27660"/>
    <cellStyle name="백분율 6 3 2 5 3 2" xfId="27661"/>
    <cellStyle name="백분율 6 3 2 5 3 2 2" xfId="27662"/>
    <cellStyle name="백분율 6 3 2 5 3 2 2 2" xfId="27663"/>
    <cellStyle name="백분율 6 3 2 5 3 2 2 3" xfId="27664"/>
    <cellStyle name="백분율 6 3 2 5 3 2 3" xfId="27665"/>
    <cellStyle name="백분율 6 3 2 5 3 2 4" xfId="27666"/>
    <cellStyle name="백분율 6 3 2 5 3 3" xfId="27667"/>
    <cellStyle name="백분율 6 3 2 5 3 3 2" xfId="27668"/>
    <cellStyle name="백분율 6 3 2 5 3 3 3" xfId="27669"/>
    <cellStyle name="백분율 6 3 2 5 3 4" xfId="27670"/>
    <cellStyle name="백분율 6 3 2 5 3 5" xfId="27671"/>
    <cellStyle name="백분율 6 3 2 5 4" xfId="27672"/>
    <cellStyle name="백분율 6 3 2 5 4 2" xfId="27673"/>
    <cellStyle name="백분율 6 3 2 5 4 2 2" xfId="27674"/>
    <cellStyle name="백분율 6 3 2 5 4 2 3" xfId="27675"/>
    <cellStyle name="백분율 6 3 2 5 4 3" xfId="27676"/>
    <cellStyle name="백분율 6 3 2 5 4 4" xfId="27677"/>
    <cellStyle name="백분율 6 3 2 5 5" xfId="27678"/>
    <cellStyle name="백분율 6 3 2 5 5 2" xfId="27679"/>
    <cellStyle name="백분율 6 3 2 5 5 3" xfId="27680"/>
    <cellStyle name="백분율 6 3 2 5 6" xfId="27681"/>
    <cellStyle name="백분율 6 3 2 5 7" xfId="27682"/>
    <cellStyle name="백분율 6 3 2 6" xfId="27683"/>
    <cellStyle name="백분율 6 3 2 6 2" xfId="27684"/>
    <cellStyle name="백분율 6 3 2 6 2 2" xfId="27685"/>
    <cellStyle name="백분율 6 3 2 6 2 2 2" xfId="27686"/>
    <cellStyle name="백분율 6 3 2 6 2 2 2 2" xfId="27687"/>
    <cellStyle name="백분율 6 3 2 6 2 2 2 3" xfId="27688"/>
    <cellStyle name="백분율 6 3 2 6 2 2 3" xfId="27689"/>
    <cellStyle name="백분율 6 3 2 6 2 2 4" xfId="27690"/>
    <cellStyle name="백분율 6 3 2 6 2 3" xfId="27691"/>
    <cellStyle name="백분율 6 3 2 6 2 3 2" xfId="27692"/>
    <cellStyle name="백분율 6 3 2 6 2 3 3" xfId="27693"/>
    <cellStyle name="백분율 6 3 2 6 2 4" xfId="27694"/>
    <cellStyle name="백분율 6 3 2 6 2 5" xfId="27695"/>
    <cellStyle name="백분율 6 3 2 6 3" xfId="27696"/>
    <cellStyle name="백분율 6 3 2 6 3 2" xfId="27697"/>
    <cellStyle name="백분율 6 3 2 6 3 2 2" xfId="27698"/>
    <cellStyle name="백분율 6 3 2 6 3 2 2 2" xfId="27699"/>
    <cellStyle name="백분율 6 3 2 6 3 2 2 3" xfId="27700"/>
    <cellStyle name="백분율 6 3 2 6 3 2 3" xfId="27701"/>
    <cellStyle name="백분율 6 3 2 6 3 2 4" xfId="27702"/>
    <cellStyle name="백분율 6 3 2 6 3 3" xfId="27703"/>
    <cellStyle name="백분율 6 3 2 6 3 3 2" xfId="27704"/>
    <cellStyle name="백분율 6 3 2 6 3 3 3" xfId="27705"/>
    <cellStyle name="백분율 6 3 2 6 3 4" xfId="27706"/>
    <cellStyle name="백분율 6 3 2 6 3 5" xfId="27707"/>
    <cellStyle name="백분율 6 3 2 6 4" xfId="27708"/>
    <cellStyle name="백분율 6 3 2 6 4 2" xfId="27709"/>
    <cellStyle name="백분율 6 3 2 6 4 2 2" xfId="27710"/>
    <cellStyle name="백분율 6 3 2 6 4 2 3" xfId="27711"/>
    <cellStyle name="백분율 6 3 2 6 4 3" xfId="27712"/>
    <cellStyle name="백분율 6 3 2 6 4 4" xfId="27713"/>
    <cellStyle name="백분율 6 3 2 6 5" xfId="27714"/>
    <cellStyle name="백분율 6 3 2 6 5 2" xfId="27715"/>
    <cellStyle name="백분율 6 3 2 6 5 3" xfId="27716"/>
    <cellStyle name="백분율 6 3 2 6 6" xfId="27717"/>
    <cellStyle name="백분율 6 3 2 6 7" xfId="27718"/>
    <cellStyle name="백분율 6 3 2 7" xfId="27719"/>
    <cellStyle name="백분율 6 3 2 7 2" xfId="27720"/>
    <cellStyle name="백분율 6 3 2 7 2 2" xfId="27721"/>
    <cellStyle name="백분율 6 3 2 7 2 2 2" xfId="27722"/>
    <cellStyle name="백분율 6 3 2 7 2 2 3" xfId="27723"/>
    <cellStyle name="백분율 6 3 2 7 2 3" xfId="27724"/>
    <cellStyle name="백분율 6 3 2 7 2 4" xfId="27725"/>
    <cellStyle name="백분율 6 3 2 7 3" xfId="27726"/>
    <cellStyle name="백분율 6 3 2 7 3 2" xfId="27727"/>
    <cellStyle name="백분율 6 3 2 7 3 3" xfId="27728"/>
    <cellStyle name="백분율 6 3 2 7 4" xfId="27729"/>
    <cellStyle name="백분율 6 3 2 7 5" xfId="27730"/>
    <cellStyle name="백분율 6 3 2 8" xfId="27731"/>
    <cellStyle name="백분율 6 3 2 8 2" xfId="27732"/>
    <cellStyle name="백분율 6 3 2 8 2 2" xfId="27733"/>
    <cellStyle name="백분율 6 3 2 8 2 2 2" xfId="27734"/>
    <cellStyle name="백분율 6 3 2 8 2 2 3" xfId="27735"/>
    <cellStyle name="백분율 6 3 2 8 2 3" xfId="27736"/>
    <cellStyle name="백분율 6 3 2 8 2 4" xfId="27737"/>
    <cellStyle name="백분율 6 3 2 8 3" xfId="27738"/>
    <cellStyle name="백분율 6 3 2 8 3 2" xfId="27739"/>
    <cellStyle name="백분율 6 3 2 8 3 3" xfId="27740"/>
    <cellStyle name="백분율 6 3 2 8 4" xfId="27741"/>
    <cellStyle name="백분율 6 3 2 8 5" xfId="27742"/>
    <cellStyle name="백분율 6 3 2 9" xfId="27743"/>
    <cellStyle name="백분율 6 3 2 9 2" xfId="27744"/>
    <cellStyle name="백분율 6 3 2 9 2 2" xfId="27745"/>
    <cellStyle name="백분율 6 3 2 9 2 2 2" xfId="27746"/>
    <cellStyle name="백분율 6 3 2 9 2 2 3" xfId="27747"/>
    <cellStyle name="백분율 6 3 2 9 2 3" xfId="27748"/>
    <cellStyle name="백분율 6 3 2 9 2 4" xfId="27749"/>
    <cellStyle name="백분율 6 3 2 9 3" xfId="27750"/>
    <cellStyle name="백분율 6 3 2 9 3 2" xfId="27751"/>
    <cellStyle name="백분율 6 3 2 9 3 3" xfId="27752"/>
    <cellStyle name="백분율 6 3 2 9 4" xfId="27753"/>
    <cellStyle name="백분율 6 3 2 9 5" xfId="27754"/>
    <cellStyle name="백분율 6 3 3" xfId="27755"/>
    <cellStyle name="백분율 6 3 3 10" xfId="27756"/>
    <cellStyle name="백분율 6 3 3 2" xfId="27757"/>
    <cellStyle name="백분율 6 3 3 2 2" xfId="27758"/>
    <cellStyle name="백분율 6 3 3 2 2 2" xfId="27759"/>
    <cellStyle name="백분율 6 3 3 2 2 2 2" xfId="27760"/>
    <cellStyle name="백분율 6 3 3 2 2 2 2 2" xfId="27761"/>
    <cellStyle name="백분율 6 3 3 2 2 2 2 3" xfId="27762"/>
    <cellStyle name="백분율 6 3 3 2 2 2 3" xfId="27763"/>
    <cellStyle name="백분율 6 3 3 2 2 2 4" xfId="27764"/>
    <cellStyle name="백분율 6 3 3 2 2 3" xfId="27765"/>
    <cellStyle name="백분율 6 3 3 2 2 3 2" xfId="27766"/>
    <cellStyle name="백분율 6 3 3 2 2 3 3" xfId="27767"/>
    <cellStyle name="백분율 6 3 3 2 2 4" xfId="27768"/>
    <cellStyle name="백분율 6 3 3 2 2 5" xfId="27769"/>
    <cellStyle name="백분율 6 3 3 2 3" xfId="27770"/>
    <cellStyle name="백분율 6 3 3 2 3 2" xfId="27771"/>
    <cellStyle name="백분율 6 3 3 2 3 2 2" xfId="27772"/>
    <cellStyle name="백분율 6 3 3 2 3 2 2 2" xfId="27773"/>
    <cellStyle name="백분율 6 3 3 2 3 2 2 3" xfId="27774"/>
    <cellStyle name="백분율 6 3 3 2 3 2 3" xfId="27775"/>
    <cellStyle name="백분율 6 3 3 2 3 2 4" xfId="27776"/>
    <cellStyle name="백분율 6 3 3 2 3 3" xfId="27777"/>
    <cellStyle name="백분율 6 3 3 2 3 3 2" xfId="27778"/>
    <cellStyle name="백분율 6 3 3 2 3 3 3" xfId="27779"/>
    <cellStyle name="백분율 6 3 3 2 3 4" xfId="27780"/>
    <cellStyle name="백분율 6 3 3 2 3 5" xfId="27781"/>
    <cellStyle name="백분율 6 3 3 2 4" xfId="27782"/>
    <cellStyle name="백분율 6 3 3 2 4 2" xfId="27783"/>
    <cellStyle name="백분율 6 3 3 2 4 2 2" xfId="27784"/>
    <cellStyle name="백분율 6 3 3 2 4 2 3" xfId="27785"/>
    <cellStyle name="백분율 6 3 3 2 4 3" xfId="27786"/>
    <cellStyle name="백분율 6 3 3 2 4 4" xfId="27787"/>
    <cellStyle name="백분율 6 3 3 2 5" xfId="27788"/>
    <cellStyle name="백분율 6 3 3 2 5 2" xfId="27789"/>
    <cellStyle name="백분율 6 3 3 2 5 3" xfId="27790"/>
    <cellStyle name="백분율 6 3 3 2 6" xfId="27791"/>
    <cellStyle name="백분율 6 3 3 2 7" xfId="27792"/>
    <cellStyle name="백분율 6 3 3 3" xfId="27793"/>
    <cellStyle name="백분율 6 3 3 3 2" xfId="27794"/>
    <cellStyle name="백분율 6 3 3 3 2 2" xfId="27795"/>
    <cellStyle name="백분율 6 3 3 3 2 2 2" xfId="27796"/>
    <cellStyle name="백분율 6 3 3 3 2 2 2 2" xfId="27797"/>
    <cellStyle name="백분율 6 3 3 3 2 2 2 3" xfId="27798"/>
    <cellStyle name="백분율 6 3 3 3 2 2 3" xfId="27799"/>
    <cellStyle name="백분율 6 3 3 3 2 2 4" xfId="27800"/>
    <cellStyle name="백분율 6 3 3 3 2 3" xfId="27801"/>
    <cellStyle name="백분율 6 3 3 3 2 3 2" xfId="27802"/>
    <cellStyle name="백분율 6 3 3 3 2 3 3" xfId="27803"/>
    <cellStyle name="백분율 6 3 3 3 2 4" xfId="27804"/>
    <cellStyle name="백분율 6 3 3 3 2 5" xfId="27805"/>
    <cellStyle name="백분율 6 3 3 3 3" xfId="27806"/>
    <cellStyle name="백분율 6 3 3 3 3 2" xfId="27807"/>
    <cellStyle name="백분율 6 3 3 3 3 2 2" xfId="27808"/>
    <cellStyle name="백분율 6 3 3 3 3 2 2 2" xfId="27809"/>
    <cellStyle name="백분율 6 3 3 3 3 2 2 3" xfId="27810"/>
    <cellStyle name="백분율 6 3 3 3 3 2 3" xfId="27811"/>
    <cellStyle name="백분율 6 3 3 3 3 2 4" xfId="27812"/>
    <cellStyle name="백분율 6 3 3 3 3 3" xfId="27813"/>
    <cellStyle name="백분율 6 3 3 3 3 3 2" xfId="27814"/>
    <cellStyle name="백분율 6 3 3 3 3 3 3" xfId="27815"/>
    <cellStyle name="백분율 6 3 3 3 3 4" xfId="27816"/>
    <cellStyle name="백분율 6 3 3 3 3 5" xfId="27817"/>
    <cellStyle name="백분율 6 3 3 3 4" xfId="27818"/>
    <cellStyle name="백분율 6 3 3 3 4 2" xfId="27819"/>
    <cellStyle name="백분율 6 3 3 3 4 2 2" xfId="27820"/>
    <cellStyle name="백분율 6 3 3 3 4 2 3" xfId="27821"/>
    <cellStyle name="백분율 6 3 3 3 4 3" xfId="27822"/>
    <cellStyle name="백분율 6 3 3 3 4 4" xfId="27823"/>
    <cellStyle name="백분율 6 3 3 3 5" xfId="27824"/>
    <cellStyle name="백분율 6 3 3 3 5 2" xfId="27825"/>
    <cellStyle name="백분율 6 3 3 3 5 3" xfId="27826"/>
    <cellStyle name="백분율 6 3 3 3 6" xfId="27827"/>
    <cellStyle name="백분율 6 3 3 3 7" xfId="27828"/>
    <cellStyle name="백분율 6 3 3 4" xfId="27829"/>
    <cellStyle name="백분율 6 3 3 4 2" xfId="27830"/>
    <cellStyle name="백분율 6 3 3 4 2 2" xfId="27831"/>
    <cellStyle name="백분율 6 3 3 4 2 2 2" xfId="27832"/>
    <cellStyle name="백분율 6 3 3 4 2 2 3" xfId="27833"/>
    <cellStyle name="백분율 6 3 3 4 2 3" xfId="27834"/>
    <cellStyle name="백분율 6 3 3 4 2 4" xfId="27835"/>
    <cellStyle name="백분율 6 3 3 4 3" xfId="27836"/>
    <cellStyle name="백분율 6 3 3 4 3 2" xfId="27837"/>
    <cellStyle name="백분율 6 3 3 4 3 3" xfId="27838"/>
    <cellStyle name="백분율 6 3 3 4 4" xfId="27839"/>
    <cellStyle name="백분율 6 3 3 4 5" xfId="27840"/>
    <cellStyle name="백분율 6 3 3 5" xfId="27841"/>
    <cellStyle name="백분율 6 3 3 5 2" xfId="27842"/>
    <cellStyle name="백분율 6 3 3 5 2 2" xfId="27843"/>
    <cellStyle name="백분율 6 3 3 5 2 2 2" xfId="27844"/>
    <cellStyle name="백분율 6 3 3 5 2 2 3" xfId="27845"/>
    <cellStyle name="백분율 6 3 3 5 2 3" xfId="27846"/>
    <cellStyle name="백분율 6 3 3 5 2 4" xfId="27847"/>
    <cellStyle name="백분율 6 3 3 5 3" xfId="27848"/>
    <cellStyle name="백분율 6 3 3 5 3 2" xfId="27849"/>
    <cellStyle name="백분율 6 3 3 5 3 3" xfId="27850"/>
    <cellStyle name="백분율 6 3 3 5 4" xfId="27851"/>
    <cellStyle name="백분율 6 3 3 5 5" xfId="27852"/>
    <cellStyle name="백분율 6 3 3 6" xfId="27853"/>
    <cellStyle name="백분율 6 3 3 6 2" xfId="27854"/>
    <cellStyle name="백분율 6 3 3 6 2 2" xfId="27855"/>
    <cellStyle name="백분율 6 3 3 6 2 2 2" xfId="27856"/>
    <cellStyle name="백분율 6 3 3 6 2 2 3" xfId="27857"/>
    <cellStyle name="백분율 6 3 3 6 2 3" xfId="27858"/>
    <cellStyle name="백분율 6 3 3 6 2 4" xfId="27859"/>
    <cellStyle name="백분율 6 3 3 6 3" xfId="27860"/>
    <cellStyle name="백분율 6 3 3 6 3 2" xfId="27861"/>
    <cellStyle name="백분율 6 3 3 6 3 3" xfId="27862"/>
    <cellStyle name="백분율 6 3 3 6 4" xfId="27863"/>
    <cellStyle name="백분율 6 3 3 6 5" xfId="27864"/>
    <cellStyle name="백분율 6 3 3 7" xfId="27865"/>
    <cellStyle name="백분율 6 3 3 7 2" xfId="27866"/>
    <cellStyle name="백분율 6 3 3 7 2 2" xfId="27867"/>
    <cellStyle name="백분율 6 3 3 7 2 3" xfId="27868"/>
    <cellStyle name="백분율 6 3 3 7 3" xfId="27869"/>
    <cellStyle name="백분율 6 3 3 7 4" xfId="27870"/>
    <cellStyle name="백분율 6 3 3 8" xfId="27871"/>
    <cellStyle name="백분율 6 3 3 8 2" xfId="27872"/>
    <cellStyle name="백분율 6 3 3 8 3" xfId="27873"/>
    <cellStyle name="백분율 6 3 3 9" xfId="27874"/>
    <cellStyle name="백분율 6 3 4" xfId="27875"/>
    <cellStyle name="백분율 6 3 4 10" xfId="27876"/>
    <cellStyle name="백분율 6 3 4 2" xfId="27877"/>
    <cellStyle name="백분율 6 3 4 2 2" xfId="27878"/>
    <cellStyle name="백분율 6 3 4 2 2 2" xfId="27879"/>
    <cellStyle name="백분율 6 3 4 2 2 2 2" xfId="27880"/>
    <cellStyle name="백분율 6 3 4 2 2 2 2 2" xfId="27881"/>
    <cellStyle name="백분율 6 3 4 2 2 2 2 3" xfId="27882"/>
    <cellStyle name="백분율 6 3 4 2 2 2 3" xfId="27883"/>
    <cellStyle name="백분율 6 3 4 2 2 2 4" xfId="27884"/>
    <cellStyle name="백분율 6 3 4 2 2 3" xfId="27885"/>
    <cellStyle name="백분율 6 3 4 2 2 3 2" xfId="27886"/>
    <cellStyle name="백분율 6 3 4 2 2 3 3" xfId="27887"/>
    <cellStyle name="백분율 6 3 4 2 2 4" xfId="27888"/>
    <cellStyle name="백분율 6 3 4 2 2 5" xfId="27889"/>
    <cellStyle name="백분율 6 3 4 2 3" xfId="27890"/>
    <cellStyle name="백분율 6 3 4 2 3 2" xfId="27891"/>
    <cellStyle name="백분율 6 3 4 2 3 2 2" xfId="27892"/>
    <cellStyle name="백분율 6 3 4 2 3 2 2 2" xfId="27893"/>
    <cellStyle name="백분율 6 3 4 2 3 2 2 3" xfId="27894"/>
    <cellStyle name="백분율 6 3 4 2 3 2 3" xfId="27895"/>
    <cellStyle name="백분율 6 3 4 2 3 2 4" xfId="27896"/>
    <cellStyle name="백분율 6 3 4 2 3 3" xfId="27897"/>
    <cellStyle name="백분율 6 3 4 2 3 3 2" xfId="27898"/>
    <cellStyle name="백분율 6 3 4 2 3 3 3" xfId="27899"/>
    <cellStyle name="백분율 6 3 4 2 3 4" xfId="27900"/>
    <cellStyle name="백분율 6 3 4 2 3 5" xfId="27901"/>
    <cellStyle name="백분율 6 3 4 2 4" xfId="27902"/>
    <cellStyle name="백분율 6 3 4 2 4 2" xfId="27903"/>
    <cellStyle name="백분율 6 3 4 2 4 2 2" xfId="27904"/>
    <cellStyle name="백분율 6 3 4 2 4 2 3" xfId="27905"/>
    <cellStyle name="백분율 6 3 4 2 4 3" xfId="27906"/>
    <cellStyle name="백분율 6 3 4 2 4 4" xfId="27907"/>
    <cellStyle name="백분율 6 3 4 2 5" xfId="27908"/>
    <cellStyle name="백분율 6 3 4 2 5 2" xfId="27909"/>
    <cellStyle name="백분율 6 3 4 2 5 3" xfId="27910"/>
    <cellStyle name="백분율 6 3 4 2 6" xfId="27911"/>
    <cellStyle name="백분율 6 3 4 2 7" xfId="27912"/>
    <cellStyle name="백분율 6 3 4 3" xfId="27913"/>
    <cellStyle name="백분율 6 3 4 3 2" xfId="27914"/>
    <cellStyle name="백분율 6 3 4 3 2 2" xfId="27915"/>
    <cellStyle name="백분율 6 3 4 3 2 2 2" xfId="27916"/>
    <cellStyle name="백분율 6 3 4 3 2 2 2 2" xfId="27917"/>
    <cellStyle name="백분율 6 3 4 3 2 2 2 3" xfId="27918"/>
    <cellStyle name="백분율 6 3 4 3 2 2 3" xfId="27919"/>
    <cellStyle name="백분율 6 3 4 3 2 2 4" xfId="27920"/>
    <cellStyle name="백분율 6 3 4 3 2 3" xfId="27921"/>
    <cellStyle name="백분율 6 3 4 3 2 3 2" xfId="27922"/>
    <cellStyle name="백분율 6 3 4 3 2 3 3" xfId="27923"/>
    <cellStyle name="백분율 6 3 4 3 2 4" xfId="27924"/>
    <cellStyle name="백분율 6 3 4 3 2 5" xfId="27925"/>
    <cellStyle name="백분율 6 3 4 3 3" xfId="27926"/>
    <cellStyle name="백분율 6 3 4 3 3 2" xfId="27927"/>
    <cellStyle name="백분율 6 3 4 3 3 2 2" xfId="27928"/>
    <cellStyle name="백분율 6 3 4 3 3 2 2 2" xfId="27929"/>
    <cellStyle name="백분율 6 3 4 3 3 2 2 3" xfId="27930"/>
    <cellStyle name="백분율 6 3 4 3 3 2 3" xfId="27931"/>
    <cellStyle name="백분율 6 3 4 3 3 2 4" xfId="27932"/>
    <cellStyle name="백분율 6 3 4 3 3 3" xfId="27933"/>
    <cellStyle name="백분율 6 3 4 3 3 3 2" xfId="27934"/>
    <cellStyle name="백분율 6 3 4 3 3 3 3" xfId="27935"/>
    <cellStyle name="백분율 6 3 4 3 3 4" xfId="27936"/>
    <cellStyle name="백분율 6 3 4 3 3 5" xfId="27937"/>
    <cellStyle name="백분율 6 3 4 3 4" xfId="27938"/>
    <cellStyle name="백분율 6 3 4 3 4 2" xfId="27939"/>
    <cellStyle name="백분율 6 3 4 3 4 2 2" xfId="27940"/>
    <cellStyle name="백분율 6 3 4 3 4 2 3" xfId="27941"/>
    <cellStyle name="백분율 6 3 4 3 4 3" xfId="27942"/>
    <cellStyle name="백분율 6 3 4 3 4 4" xfId="27943"/>
    <cellStyle name="백분율 6 3 4 3 5" xfId="27944"/>
    <cellStyle name="백분율 6 3 4 3 5 2" xfId="27945"/>
    <cellStyle name="백분율 6 3 4 3 5 3" xfId="27946"/>
    <cellStyle name="백분율 6 3 4 3 6" xfId="27947"/>
    <cellStyle name="백분율 6 3 4 3 7" xfId="27948"/>
    <cellStyle name="백분율 6 3 4 4" xfId="27949"/>
    <cellStyle name="백분율 6 3 4 4 2" xfId="27950"/>
    <cellStyle name="백분율 6 3 4 4 2 2" xfId="27951"/>
    <cellStyle name="백분율 6 3 4 4 2 2 2" xfId="27952"/>
    <cellStyle name="백분율 6 3 4 4 2 2 3" xfId="27953"/>
    <cellStyle name="백분율 6 3 4 4 2 3" xfId="27954"/>
    <cellStyle name="백분율 6 3 4 4 2 4" xfId="27955"/>
    <cellStyle name="백분율 6 3 4 4 3" xfId="27956"/>
    <cellStyle name="백분율 6 3 4 4 3 2" xfId="27957"/>
    <cellStyle name="백분율 6 3 4 4 3 3" xfId="27958"/>
    <cellStyle name="백분율 6 3 4 4 4" xfId="27959"/>
    <cellStyle name="백분율 6 3 4 4 5" xfId="27960"/>
    <cellStyle name="백분율 6 3 4 5" xfId="27961"/>
    <cellStyle name="백분율 6 3 4 5 2" xfId="27962"/>
    <cellStyle name="백분율 6 3 4 5 2 2" xfId="27963"/>
    <cellStyle name="백분율 6 3 4 5 2 2 2" xfId="27964"/>
    <cellStyle name="백분율 6 3 4 5 2 2 3" xfId="27965"/>
    <cellStyle name="백분율 6 3 4 5 2 3" xfId="27966"/>
    <cellStyle name="백분율 6 3 4 5 2 4" xfId="27967"/>
    <cellStyle name="백분율 6 3 4 5 3" xfId="27968"/>
    <cellStyle name="백분율 6 3 4 5 3 2" xfId="27969"/>
    <cellStyle name="백분율 6 3 4 5 3 3" xfId="27970"/>
    <cellStyle name="백분율 6 3 4 5 4" xfId="27971"/>
    <cellStyle name="백분율 6 3 4 5 5" xfId="27972"/>
    <cellStyle name="백분율 6 3 4 6" xfId="27973"/>
    <cellStyle name="백분율 6 3 4 6 2" xfId="27974"/>
    <cellStyle name="백분율 6 3 4 6 2 2" xfId="27975"/>
    <cellStyle name="백분율 6 3 4 6 2 2 2" xfId="27976"/>
    <cellStyle name="백분율 6 3 4 6 2 2 3" xfId="27977"/>
    <cellStyle name="백분율 6 3 4 6 2 3" xfId="27978"/>
    <cellStyle name="백분율 6 3 4 6 2 4" xfId="27979"/>
    <cellStyle name="백분율 6 3 4 6 3" xfId="27980"/>
    <cellStyle name="백분율 6 3 4 6 3 2" xfId="27981"/>
    <cellStyle name="백분율 6 3 4 6 3 3" xfId="27982"/>
    <cellStyle name="백분율 6 3 4 6 4" xfId="27983"/>
    <cellStyle name="백분율 6 3 4 6 5" xfId="27984"/>
    <cellStyle name="백분율 6 3 4 7" xfId="27985"/>
    <cellStyle name="백분율 6 3 4 7 2" xfId="27986"/>
    <cellStyle name="백분율 6 3 4 7 2 2" xfId="27987"/>
    <cellStyle name="백분율 6 3 4 7 2 3" xfId="27988"/>
    <cellStyle name="백분율 6 3 4 7 3" xfId="27989"/>
    <cellStyle name="백분율 6 3 4 7 4" xfId="27990"/>
    <cellStyle name="백분율 6 3 4 8" xfId="27991"/>
    <cellStyle name="백분율 6 3 4 8 2" xfId="27992"/>
    <cellStyle name="백분율 6 3 4 8 3" xfId="27993"/>
    <cellStyle name="백분율 6 3 4 9" xfId="27994"/>
    <cellStyle name="백분율 6 3 5" xfId="27995"/>
    <cellStyle name="백분율 6 3 5 10" xfId="27996"/>
    <cellStyle name="백분율 6 3 5 2" xfId="27997"/>
    <cellStyle name="백분율 6 3 5 2 2" xfId="27998"/>
    <cellStyle name="백분율 6 3 5 2 2 2" xfId="27999"/>
    <cellStyle name="백분율 6 3 5 2 2 2 2" xfId="28000"/>
    <cellStyle name="백분율 6 3 5 2 2 2 2 2" xfId="28001"/>
    <cellStyle name="백분율 6 3 5 2 2 2 2 3" xfId="28002"/>
    <cellStyle name="백분율 6 3 5 2 2 2 3" xfId="28003"/>
    <cellStyle name="백분율 6 3 5 2 2 2 4" xfId="28004"/>
    <cellStyle name="백분율 6 3 5 2 2 3" xfId="28005"/>
    <cellStyle name="백분율 6 3 5 2 2 3 2" xfId="28006"/>
    <cellStyle name="백분율 6 3 5 2 2 3 3" xfId="28007"/>
    <cellStyle name="백분율 6 3 5 2 2 4" xfId="28008"/>
    <cellStyle name="백분율 6 3 5 2 2 5" xfId="28009"/>
    <cellStyle name="백분율 6 3 5 2 3" xfId="28010"/>
    <cellStyle name="백분율 6 3 5 2 3 2" xfId="28011"/>
    <cellStyle name="백분율 6 3 5 2 3 2 2" xfId="28012"/>
    <cellStyle name="백분율 6 3 5 2 3 2 2 2" xfId="28013"/>
    <cellStyle name="백분율 6 3 5 2 3 2 2 3" xfId="28014"/>
    <cellStyle name="백분율 6 3 5 2 3 2 3" xfId="28015"/>
    <cellStyle name="백분율 6 3 5 2 3 2 4" xfId="28016"/>
    <cellStyle name="백분율 6 3 5 2 3 3" xfId="28017"/>
    <cellStyle name="백분율 6 3 5 2 3 3 2" xfId="28018"/>
    <cellStyle name="백분율 6 3 5 2 3 3 3" xfId="28019"/>
    <cellStyle name="백분율 6 3 5 2 3 4" xfId="28020"/>
    <cellStyle name="백분율 6 3 5 2 3 5" xfId="28021"/>
    <cellStyle name="백분율 6 3 5 2 4" xfId="28022"/>
    <cellStyle name="백분율 6 3 5 2 4 2" xfId="28023"/>
    <cellStyle name="백분율 6 3 5 2 4 2 2" xfId="28024"/>
    <cellStyle name="백분율 6 3 5 2 4 2 3" xfId="28025"/>
    <cellStyle name="백분율 6 3 5 2 4 3" xfId="28026"/>
    <cellStyle name="백분율 6 3 5 2 4 4" xfId="28027"/>
    <cellStyle name="백분율 6 3 5 2 5" xfId="28028"/>
    <cellStyle name="백분율 6 3 5 2 5 2" xfId="28029"/>
    <cellStyle name="백분율 6 3 5 2 5 3" xfId="28030"/>
    <cellStyle name="백분율 6 3 5 2 6" xfId="28031"/>
    <cellStyle name="백분율 6 3 5 2 7" xfId="28032"/>
    <cellStyle name="백분율 6 3 5 3" xfId="28033"/>
    <cellStyle name="백분율 6 3 5 3 2" xfId="28034"/>
    <cellStyle name="백분율 6 3 5 3 2 2" xfId="28035"/>
    <cellStyle name="백분율 6 3 5 3 2 2 2" xfId="28036"/>
    <cellStyle name="백분율 6 3 5 3 2 2 2 2" xfId="28037"/>
    <cellStyle name="백분율 6 3 5 3 2 2 2 3" xfId="28038"/>
    <cellStyle name="백분율 6 3 5 3 2 2 3" xfId="28039"/>
    <cellStyle name="백분율 6 3 5 3 2 2 4" xfId="28040"/>
    <cellStyle name="백분율 6 3 5 3 2 3" xfId="28041"/>
    <cellStyle name="백분율 6 3 5 3 2 3 2" xfId="28042"/>
    <cellStyle name="백분율 6 3 5 3 2 3 3" xfId="28043"/>
    <cellStyle name="백분율 6 3 5 3 2 4" xfId="28044"/>
    <cellStyle name="백분율 6 3 5 3 2 5" xfId="28045"/>
    <cellStyle name="백분율 6 3 5 3 3" xfId="28046"/>
    <cellStyle name="백분율 6 3 5 3 3 2" xfId="28047"/>
    <cellStyle name="백분율 6 3 5 3 3 2 2" xfId="28048"/>
    <cellStyle name="백분율 6 3 5 3 3 2 2 2" xfId="28049"/>
    <cellStyle name="백분율 6 3 5 3 3 2 2 3" xfId="28050"/>
    <cellStyle name="백분율 6 3 5 3 3 2 3" xfId="28051"/>
    <cellStyle name="백분율 6 3 5 3 3 2 4" xfId="28052"/>
    <cellStyle name="백분율 6 3 5 3 3 3" xfId="28053"/>
    <cellStyle name="백분율 6 3 5 3 3 3 2" xfId="28054"/>
    <cellStyle name="백분율 6 3 5 3 3 3 3" xfId="28055"/>
    <cellStyle name="백분율 6 3 5 3 3 4" xfId="28056"/>
    <cellStyle name="백분율 6 3 5 3 3 5" xfId="28057"/>
    <cellStyle name="백분율 6 3 5 3 4" xfId="28058"/>
    <cellStyle name="백분율 6 3 5 3 4 2" xfId="28059"/>
    <cellStyle name="백분율 6 3 5 3 4 2 2" xfId="28060"/>
    <cellStyle name="백분율 6 3 5 3 4 2 3" xfId="28061"/>
    <cellStyle name="백분율 6 3 5 3 4 3" xfId="28062"/>
    <cellStyle name="백분율 6 3 5 3 4 4" xfId="28063"/>
    <cellStyle name="백분율 6 3 5 3 5" xfId="28064"/>
    <cellStyle name="백분율 6 3 5 3 5 2" xfId="28065"/>
    <cellStyle name="백분율 6 3 5 3 5 3" xfId="28066"/>
    <cellStyle name="백분율 6 3 5 3 6" xfId="28067"/>
    <cellStyle name="백분율 6 3 5 3 7" xfId="28068"/>
    <cellStyle name="백분율 6 3 5 4" xfId="28069"/>
    <cellStyle name="백분율 6 3 5 4 2" xfId="28070"/>
    <cellStyle name="백분율 6 3 5 4 2 2" xfId="28071"/>
    <cellStyle name="백분율 6 3 5 4 2 2 2" xfId="28072"/>
    <cellStyle name="백분율 6 3 5 4 2 2 3" xfId="28073"/>
    <cellStyle name="백분율 6 3 5 4 2 3" xfId="28074"/>
    <cellStyle name="백분율 6 3 5 4 2 4" xfId="28075"/>
    <cellStyle name="백분율 6 3 5 4 3" xfId="28076"/>
    <cellStyle name="백분율 6 3 5 4 3 2" xfId="28077"/>
    <cellStyle name="백분율 6 3 5 4 3 3" xfId="28078"/>
    <cellStyle name="백분율 6 3 5 4 4" xfId="28079"/>
    <cellStyle name="백분율 6 3 5 4 5" xfId="28080"/>
    <cellStyle name="백분율 6 3 5 5" xfId="28081"/>
    <cellStyle name="백분율 6 3 5 5 2" xfId="28082"/>
    <cellStyle name="백분율 6 3 5 5 2 2" xfId="28083"/>
    <cellStyle name="백분율 6 3 5 5 2 2 2" xfId="28084"/>
    <cellStyle name="백분율 6 3 5 5 2 2 3" xfId="28085"/>
    <cellStyle name="백분율 6 3 5 5 2 3" xfId="28086"/>
    <cellStyle name="백분율 6 3 5 5 2 4" xfId="28087"/>
    <cellStyle name="백분율 6 3 5 5 3" xfId="28088"/>
    <cellStyle name="백분율 6 3 5 5 3 2" xfId="28089"/>
    <cellStyle name="백분율 6 3 5 5 3 3" xfId="28090"/>
    <cellStyle name="백분율 6 3 5 5 4" xfId="28091"/>
    <cellStyle name="백분율 6 3 5 5 5" xfId="28092"/>
    <cellStyle name="백분율 6 3 5 6" xfId="28093"/>
    <cellStyle name="백분율 6 3 5 6 2" xfId="28094"/>
    <cellStyle name="백분율 6 3 5 6 2 2" xfId="28095"/>
    <cellStyle name="백분율 6 3 5 6 2 2 2" xfId="28096"/>
    <cellStyle name="백분율 6 3 5 6 2 2 3" xfId="28097"/>
    <cellStyle name="백분율 6 3 5 6 2 3" xfId="28098"/>
    <cellStyle name="백분율 6 3 5 6 2 4" xfId="28099"/>
    <cellStyle name="백분율 6 3 5 6 3" xfId="28100"/>
    <cellStyle name="백분율 6 3 5 6 3 2" xfId="28101"/>
    <cellStyle name="백분율 6 3 5 6 3 3" xfId="28102"/>
    <cellStyle name="백분율 6 3 5 6 4" xfId="28103"/>
    <cellStyle name="백분율 6 3 5 6 5" xfId="28104"/>
    <cellStyle name="백분율 6 3 5 7" xfId="28105"/>
    <cellStyle name="백분율 6 3 5 7 2" xfId="28106"/>
    <cellStyle name="백분율 6 3 5 7 2 2" xfId="28107"/>
    <cellStyle name="백분율 6 3 5 7 2 3" xfId="28108"/>
    <cellStyle name="백분율 6 3 5 7 3" xfId="28109"/>
    <cellStyle name="백분율 6 3 5 7 4" xfId="28110"/>
    <cellStyle name="백분율 6 3 5 8" xfId="28111"/>
    <cellStyle name="백분율 6 3 5 8 2" xfId="28112"/>
    <cellStyle name="백분율 6 3 5 8 3" xfId="28113"/>
    <cellStyle name="백분율 6 3 5 9" xfId="28114"/>
    <cellStyle name="백분율 6 3 6" xfId="28115"/>
    <cellStyle name="백분율 6 3 6 2" xfId="28116"/>
    <cellStyle name="백분율 6 3 6 2 2" xfId="28117"/>
    <cellStyle name="백분율 6 3 6 2 2 2" xfId="28118"/>
    <cellStyle name="백분율 6 3 6 2 2 2 2" xfId="28119"/>
    <cellStyle name="백분율 6 3 6 2 2 2 3" xfId="28120"/>
    <cellStyle name="백분율 6 3 6 2 2 3" xfId="28121"/>
    <cellStyle name="백분율 6 3 6 2 2 4" xfId="28122"/>
    <cellStyle name="백분율 6 3 6 2 3" xfId="28123"/>
    <cellStyle name="백분율 6 3 6 2 3 2" xfId="28124"/>
    <cellStyle name="백분율 6 3 6 2 3 3" xfId="28125"/>
    <cellStyle name="백분율 6 3 6 2 4" xfId="28126"/>
    <cellStyle name="백분율 6 3 6 2 5" xfId="28127"/>
    <cellStyle name="백분율 6 3 6 3" xfId="28128"/>
    <cellStyle name="백분율 6 3 6 3 2" xfId="28129"/>
    <cellStyle name="백분율 6 3 6 3 2 2" xfId="28130"/>
    <cellStyle name="백분율 6 3 6 3 2 2 2" xfId="28131"/>
    <cellStyle name="백분율 6 3 6 3 2 2 3" xfId="28132"/>
    <cellStyle name="백분율 6 3 6 3 2 3" xfId="28133"/>
    <cellStyle name="백분율 6 3 6 3 2 4" xfId="28134"/>
    <cellStyle name="백분율 6 3 6 3 3" xfId="28135"/>
    <cellStyle name="백분율 6 3 6 3 3 2" xfId="28136"/>
    <cellStyle name="백분율 6 3 6 3 3 3" xfId="28137"/>
    <cellStyle name="백분율 6 3 6 3 4" xfId="28138"/>
    <cellStyle name="백분율 6 3 6 3 5" xfId="28139"/>
    <cellStyle name="백분율 6 3 6 4" xfId="28140"/>
    <cellStyle name="백분율 6 3 6 4 2" xfId="28141"/>
    <cellStyle name="백분율 6 3 6 4 2 2" xfId="28142"/>
    <cellStyle name="백분율 6 3 6 4 2 3" xfId="28143"/>
    <cellStyle name="백분율 6 3 6 4 3" xfId="28144"/>
    <cellStyle name="백분율 6 3 6 4 4" xfId="28145"/>
    <cellStyle name="백분율 6 3 6 5" xfId="28146"/>
    <cellStyle name="백분율 6 3 6 5 2" xfId="28147"/>
    <cellStyle name="백분율 6 3 6 5 3" xfId="28148"/>
    <cellStyle name="백분율 6 3 6 6" xfId="28149"/>
    <cellStyle name="백분율 6 3 6 7" xfId="28150"/>
    <cellStyle name="백분율 6 3 7" xfId="28151"/>
    <cellStyle name="백분율 6 3 7 2" xfId="28152"/>
    <cellStyle name="백분율 6 3 7 2 2" xfId="28153"/>
    <cellStyle name="백분율 6 3 7 2 2 2" xfId="28154"/>
    <cellStyle name="백분율 6 3 7 2 2 2 2" xfId="28155"/>
    <cellStyle name="백분율 6 3 7 2 2 2 3" xfId="28156"/>
    <cellStyle name="백분율 6 3 7 2 2 3" xfId="28157"/>
    <cellStyle name="백분율 6 3 7 2 2 4" xfId="28158"/>
    <cellStyle name="백분율 6 3 7 2 3" xfId="28159"/>
    <cellStyle name="백분율 6 3 7 2 3 2" xfId="28160"/>
    <cellStyle name="백분율 6 3 7 2 3 3" xfId="28161"/>
    <cellStyle name="백분율 6 3 7 2 4" xfId="28162"/>
    <cellStyle name="백분율 6 3 7 2 5" xfId="28163"/>
    <cellStyle name="백분율 6 3 7 3" xfId="28164"/>
    <cellStyle name="백분율 6 3 7 3 2" xfId="28165"/>
    <cellStyle name="백분율 6 3 7 3 2 2" xfId="28166"/>
    <cellStyle name="백분율 6 3 7 3 2 2 2" xfId="28167"/>
    <cellStyle name="백분율 6 3 7 3 2 2 3" xfId="28168"/>
    <cellStyle name="백분율 6 3 7 3 2 3" xfId="28169"/>
    <cellStyle name="백분율 6 3 7 3 2 4" xfId="28170"/>
    <cellStyle name="백분율 6 3 7 3 3" xfId="28171"/>
    <cellStyle name="백분율 6 3 7 3 3 2" xfId="28172"/>
    <cellStyle name="백분율 6 3 7 3 3 3" xfId="28173"/>
    <cellStyle name="백분율 6 3 7 3 4" xfId="28174"/>
    <cellStyle name="백분율 6 3 7 3 5" xfId="28175"/>
    <cellStyle name="백분율 6 3 7 4" xfId="28176"/>
    <cellStyle name="백분율 6 3 7 4 2" xfId="28177"/>
    <cellStyle name="백분율 6 3 7 4 2 2" xfId="28178"/>
    <cellStyle name="백분율 6 3 7 4 2 3" xfId="28179"/>
    <cellStyle name="백분율 6 3 7 4 3" xfId="28180"/>
    <cellStyle name="백분율 6 3 7 4 4" xfId="28181"/>
    <cellStyle name="백분율 6 3 7 5" xfId="28182"/>
    <cellStyle name="백분율 6 3 7 5 2" xfId="28183"/>
    <cellStyle name="백분율 6 3 7 5 3" xfId="28184"/>
    <cellStyle name="백분율 6 3 7 6" xfId="28185"/>
    <cellStyle name="백분율 6 3 7 7" xfId="28186"/>
    <cellStyle name="백분율 6 3 8" xfId="28187"/>
    <cellStyle name="백분율 6 3 8 2" xfId="28188"/>
    <cellStyle name="백분율 6 3 8 2 2" xfId="28189"/>
    <cellStyle name="백분율 6 3 8 2 2 2" xfId="28190"/>
    <cellStyle name="백분율 6 3 8 2 2 3" xfId="28191"/>
    <cellStyle name="백분율 6 3 8 2 3" xfId="28192"/>
    <cellStyle name="백분율 6 3 8 2 4" xfId="28193"/>
    <cellStyle name="백분율 6 3 8 3" xfId="28194"/>
    <cellStyle name="백분율 6 3 8 3 2" xfId="28195"/>
    <cellStyle name="백분율 6 3 8 3 3" xfId="28196"/>
    <cellStyle name="백분율 6 3 8 4" xfId="28197"/>
    <cellStyle name="백분율 6 3 8 5" xfId="28198"/>
    <cellStyle name="백분율 6 3 9" xfId="28199"/>
    <cellStyle name="백분율 6 3 9 2" xfId="28200"/>
    <cellStyle name="백분율 6 3 9 2 2" xfId="28201"/>
    <cellStyle name="백분율 6 3 9 2 2 2" xfId="28202"/>
    <cellStyle name="백분율 6 3 9 2 2 3" xfId="28203"/>
    <cellStyle name="백분율 6 3 9 2 3" xfId="28204"/>
    <cellStyle name="백분율 6 3 9 2 4" xfId="28205"/>
    <cellStyle name="백분율 6 3 9 3" xfId="28206"/>
    <cellStyle name="백분율 6 3 9 3 2" xfId="28207"/>
    <cellStyle name="백분율 6 3 9 3 3" xfId="28208"/>
    <cellStyle name="백분율 6 3 9 4" xfId="28209"/>
    <cellStyle name="백분율 6 3 9 5" xfId="28210"/>
    <cellStyle name="백분율 6 4" xfId="28211"/>
    <cellStyle name="백분율 6 4 10" xfId="28212"/>
    <cellStyle name="백분율 6 4 10 2" xfId="28213"/>
    <cellStyle name="백분율 6 4 10 2 2" xfId="28214"/>
    <cellStyle name="백분율 6 4 10 2 2 2" xfId="28215"/>
    <cellStyle name="백분율 6 4 10 2 2 3" xfId="28216"/>
    <cellStyle name="백분율 6 4 10 2 3" xfId="28217"/>
    <cellStyle name="백분율 6 4 10 2 4" xfId="28218"/>
    <cellStyle name="백분율 6 4 10 3" xfId="28219"/>
    <cellStyle name="백분율 6 4 10 3 2" xfId="28220"/>
    <cellStyle name="백분율 6 4 10 3 3" xfId="28221"/>
    <cellStyle name="백분율 6 4 10 4" xfId="28222"/>
    <cellStyle name="백분율 6 4 10 5" xfId="28223"/>
    <cellStyle name="백분율 6 4 11" xfId="28224"/>
    <cellStyle name="백분율 6 4 11 2" xfId="28225"/>
    <cellStyle name="백분율 6 4 11 2 2" xfId="28226"/>
    <cellStyle name="백분율 6 4 11 2 3" xfId="28227"/>
    <cellStyle name="백분율 6 4 11 3" xfId="28228"/>
    <cellStyle name="백분율 6 4 11 4" xfId="28229"/>
    <cellStyle name="백분율 6 4 12" xfId="28230"/>
    <cellStyle name="백분율 6 4 12 2" xfId="28231"/>
    <cellStyle name="백분율 6 4 12 3" xfId="28232"/>
    <cellStyle name="백분율 6 4 13" xfId="28233"/>
    <cellStyle name="백분율 6 4 14" xfId="28234"/>
    <cellStyle name="백분율 6 4 2" xfId="28235"/>
    <cellStyle name="백분율 6 4 2 10" xfId="28236"/>
    <cellStyle name="백분율 6 4 2 10 2" xfId="28237"/>
    <cellStyle name="백분율 6 4 2 10 2 2" xfId="28238"/>
    <cellStyle name="백분율 6 4 2 10 2 3" xfId="28239"/>
    <cellStyle name="백분율 6 4 2 10 3" xfId="28240"/>
    <cellStyle name="백분율 6 4 2 10 4" xfId="28241"/>
    <cellStyle name="백분율 6 4 2 11" xfId="28242"/>
    <cellStyle name="백분율 6 4 2 11 2" xfId="28243"/>
    <cellStyle name="백분율 6 4 2 11 3" xfId="28244"/>
    <cellStyle name="백분율 6 4 2 12" xfId="28245"/>
    <cellStyle name="백분율 6 4 2 13" xfId="28246"/>
    <cellStyle name="백분율 6 4 2 2" xfId="28247"/>
    <cellStyle name="백분율 6 4 2 2 10" xfId="28248"/>
    <cellStyle name="백분율 6 4 2 2 2" xfId="28249"/>
    <cellStyle name="백분율 6 4 2 2 2 2" xfId="28250"/>
    <cellStyle name="백분율 6 4 2 2 2 2 2" xfId="28251"/>
    <cellStyle name="백분율 6 4 2 2 2 2 2 2" xfId="28252"/>
    <cellStyle name="백분율 6 4 2 2 2 2 2 2 2" xfId="28253"/>
    <cellStyle name="백분율 6 4 2 2 2 2 2 2 3" xfId="28254"/>
    <cellStyle name="백분율 6 4 2 2 2 2 2 3" xfId="28255"/>
    <cellStyle name="백분율 6 4 2 2 2 2 2 4" xfId="28256"/>
    <cellStyle name="백분율 6 4 2 2 2 2 3" xfId="28257"/>
    <cellStyle name="백분율 6 4 2 2 2 2 3 2" xfId="28258"/>
    <cellStyle name="백분율 6 4 2 2 2 2 3 3" xfId="28259"/>
    <cellStyle name="백분율 6 4 2 2 2 2 4" xfId="28260"/>
    <cellStyle name="백분율 6 4 2 2 2 2 5" xfId="28261"/>
    <cellStyle name="백분율 6 4 2 2 2 3" xfId="28262"/>
    <cellStyle name="백분율 6 4 2 2 2 3 2" xfId="28263"/>
    <cellStyle name="백분율 6 4 2 2 2 3 2 2" xfId="28264"/>
    <cellStyle name="백분율 6 4 2 2 2 3 2 2 2" xfId="28265"/>
    <cellStyle name="백분율 6 4 2 2 2 3 2 2 3" xfId="28266"/>
    <cellStyle name="백분율 6 4 2 2 2 3 2 3" xfId="28267"/>
    <cellStyle name="백분율 6 4 2 2 2 3 2 4" xfId="28268"/>
    <cellStyle name="백분율 6 4 2 2 2 3 3" xfId="28269"/>
    <cellStyle name="백분율 6 4 2 2 2 3 3 2" xfId="28270"/>
    <cellStyle name="백분율 6 4 2 2 2 3 3 3" xfId="28271"/>
    <cellStyle name="백분율 6 4 2 2 2 3 4" xfId="28272"/>
    <cellStyle name="백분율 6 4 2 2 2 3 5" xfId="28273"/>
    <cellStyle name="백분율 6 4 2 2 2 4" xfId="28274"/>
    <cellStyle name="백분율 6 4 2 2 2 4 2" xfId="28275"/>
    <cellStyle name="백분율 6 4 2 2 2 4 2 2" xfId="28276"/>
    <cellStyle name="백분율 6 4 2 2 2 4 2 3" xfId="28277"/>
    <cellStyle name="백분율 6 4 2 2 2 4 3" xfId="28278"/>
    <cellStyle name="백분율 6 4 2 2 2 4 4" xfId="28279"/>
    <cellStyle name="백분율 6 4 2 2 2 5" xfId="28280"/>
    <cellStyle name="백분율 6 4 2 2 2 5 2" xfId="28281"/>
    <cellStyle name="백분율 6 4 2 2 2 5 3" xfId="28282"/>
    <cellStyle name="백분율 6 4 2 2 2 6" xfId="28283"/>
    <cellStyle name="백분율 6 4 2 2 2 7" xfId="28284"/>
    <cellStyle name="백분율 6 4 2 2 3" xfId="28285"/>
    <cellStyle name="백분율 6 4 2 2 3 2" xfId="28286"/>
    <cellStyle name="백분율 6 4 2 2 3 2 2" xfId="28287"/>
    <cellStyle name="백분율 6 4 2 2 3 2 2 2" xfId="28288"/>
    <cellStyle name="백분율 6 4 2 2 3 2 2 2 2" xfId="28289"/>
    <cellStyle name="백분율 6 4 2 2 3 2 2 2 3" xfId="28290"/>
    <cellStyle name="백분율 6 4 2 2 3 2 2 3" xfId="28291"/>
    <cellStyle name="백분율 6 4 2 2 3 2 2 4" xfId="28292"/>
    <cellStyle name="백분율 6 4 2 2 3 2 3" xfId="28293"/>
    <cellStyle name="백분율 6 4 2 2 3 2 3 2" xfId="28294"/>
    <cellStyle name="백분율 6 4 2 2 3 2 3 3" xfId="28295"/>
    <cellStyle name="백분율 6 4 2 2 3 2 4" xfId="28296"/>
    <cellStyle name="백분율 6 4 2 2 3 2 5" xfId="28297"/>
    <cellStyle name="백분율 6 4 2 2 3 3" xfId="28298"/>
    <cellStyle name="백분율 6 4 2 2 3 3 2" xfId="28299"/>
    <cellStyle name="백분율 6 4 2 2 3 3 2 2" xfId="28300"/>
    <cellStyle name="백분율 6 4 2 2 3 3 2 2 2" xfId="28301"/>
    <cellStyle name="백분율 6 4 2 2 3 3 2 2 3" xfId="28302"/>
    <cellStyle name="백분율 6 4 2 2 3 3 2 3" xfId="28303"/>
    <cellStyle name="백분율 6 4 2 2 3 3 2 4" xfId="28304"/>
    <cellStyle name="백분율 6 4 2 2 3 3 3" xfId="28305"/>
    <cellStyle name="백분율 6 4 2 2 3 3 3 2" xfId="28306"/>
    <cellStyle name="백분율 6 4 2 2 3 3 3 3" xfId="28307"/>
    <cellStyle name="백분율 6 4 2 2 3 3 4" xfId="28308"/>
    <cellStyle name="백분율 6 4 2 2 3 3 5" xfId="28309"/>
    <cellStyle name="백분율 6 4 2 2 3 4" xfId="28310"/>
    <cellStyle name="백분율 6 4 2 2 3 4 2" xfId="28311"/>
    <cellStyle name="백분율 6 4 2 2 3 4 2 2" xfId="28312"/>
    <cellStyle name="백분율 6 4 2 2 3 4 2 3" xfId="28313"/>
    <cellStyle name="백분율 6 4 2 2 3 4 3" xfId="28314"/>
    <cellStyle name="백분율 6 4 2 2 3 4 4" xfId="28315"/>
    <cellStyle name="백분율 6 4 2 2 3 5" xfId="28316"/>
    <cellStyle name="백분율 6 4 2 2 3 5 2" xfId="28317"/>
    <cellStyle name="백분율 6 4 2 2 3 5 3" xfId="28318"/>
    <cellStyle name="백분율 6 4 2 2 3 6" xfId="28319"/>
    <cellStyle name="백분율 6 4 2 2 3 7" xfId="28320"/>
    <cellStyle name="백분율 6 4 2 2 4" xfId="28321"/>
    <cellStyle name="백분율 6 4 2 2 4 2" xfId="28322"/>
    <cellStyle name="백분율 6 4 2 2 4 2 2" xfId="28323"/>
    <cellStyle name="백분율 6 4 2 2 4 2 2 2" xfId="28324"/>
    <cellStyle name="백분율 6 4 2 2 4 2 2 3" xfId="28325"/>
    <cellStyle name="백분율 6 4 2 2 4 2 3" xfId="28326"/>
    <cellStyle name="백분율 6 4 2 2 4 2 4" xfId="28327"/>
    <cellStyle name="백분율 6 4 2 2 4 3" xfId="28328"/>
    <cellStyle name="백분율 6 4 2 2 4 3 2" xfId="28329"/>
    <cellStyle name="백분율 6 4 2 2 4 3 3" xfId="28330"/>
    <cellStyle name="백분율 6 4 2 2 4 4" xfId="28331"/>
    <cellStyle name="백분율 6 4 2 2 4 5" xfId="28332"/>
    <cellStyle name="백분율 6 4 2 2 5" xfId="28333"/>
    <cellStyle name="백분율 6 4 2 2 5 2" xfId="28334"/>
    <cellStyle name="백분율 6 4 2 2 5 2 2" xfId="28335"/>
    <cellStyle name="백분율 6 4 2 2 5 2 2 2" xfId="28336"/>
    <cellStyle name="백분율 6 4 2 2 5 2 2 3" xfId="28337"/>
    <cellStyle name="백분율 6 4 2 2 5 2 3" xfId="28338"/>
    <cellStyle name="백분율 6 4 2 2 5 2 4" xfId="28339"/>
    <cellStyle name="백분율 6 4 2 2 5 3" xfId="28340"/>
    <cellStyle name="백분율 6 4 2 2 5 3 2" xfId="28341"/>
    <cellStyle name="백분율 6 4 2 2 5 3 3" xfId="28342"/>
    <cellStyle name="백분율 6 4 2 2 5 4" xfId="28343"/>
    <cellStyle name="백분율 6 4 2 2 5 5" xfId="28344"/>
    <cellStyle name="백분율 6 4 2 2 6" xfId="28345"/>
    <cellStyle name="백분율 6 4 2 2 6 2" xfId="28346"/>
    <cellStyle name="백분율 6 4 2 2 6 2 2" xfId="28347"/>
    <cellStyle name="백분율 6 4 2 2 6 2 2 2" xfId="28348"/>
    <cellStyle name="백분율 6 4 2 2 6 2 2 3" xfId="28349"/>
    <cellStyle name="백분율 6 4 2 2 6 2 3" xfId="28350"/>
    <cellStyle name="백분율 6 4 2 2 6 2 4" xfId="28351"/>
    <cellStyle name="백분율 6 4 2 2 6 3" xfId="28352"/>
    <cellStyle name="백분율 6 4 2 2 6 3 2" xfId="28353"/>
    <cellStyle name="백분율 6 4 2 2 6 3 3" xfId="28354"/>
    <cellStyle name="백분율 6 4 2 2 6 4" xfId="28355"/>
    <cellStyle name="백분율 6 4 2 2 6 5" xfId="28356"/>
    <cellStyle name="백분율 6 4 2 2 7" xfId="28357"/>
    <cellStyle name="백분율 6 4 2 2 7 2" xfId="28358"/>
    <cellStyle name="백분율 6 4 2 2 7 2 2" xfId="28359"/>
    <cellStyle name="백분율 6 4 2 2 7 2 3" xfId="28360"/>
    <cellStyle name="백분율 6 4 2 2 7 3" xfId="28361"/>
    <cellStyle name="백분율 6 4 2 2 7 4" xfId="28362"/>
    <cellStyle name="백분율 6 4 2 2 8" xfId="28363"/>
    <cellStyle name="백분율 6 4 2 2 8 2" xfId="28364"/>
    <cellStyle name="백분율 6 4 2 2 8 3" xfId="28365"/>
    <cellStyle name="백분율 6 4 2 2 9" xfId="28366"/>
    <cellStyle name="백분율 6 4 2 3" xfId="28367"/>
    <cellStyle name="백분율 6 4 2 3 10" xfId="28368"/>
    <cellStyle name="백분율 6 4 2 3 2" xfId="28369"/>
    <cellStyle name="백분율 6 4 2 3 2 2" xfId="28370"/>
    <cellStyle name="백분율 6 4 2 3 2 2 2" xfId="28371"/>
    <cellStyle name="백분율 6 4 2 3 2 2 2 2" xfId="28372"/>
    <cellStyle name="백분율 6 4 2 3 2 2 2 2 2" xfId="28373"/>
    <cellStyle name="백분율 6 4 2 3 2 2 2 2 3" xfId="28374"/>
    <cellStyle name="백분율 6 4 2 3 2 2 2 3" xfId="28375"/>
    <cellStyle name="백분율 6 4 2 3 2 2 2 4" xfId="28376"/>
    <cellStyle name="백분율 6 4 2 3 2 2 3" xfId="28377"/>
    <cellStyle name="백분율 6 4 2 3 2 2 3 2" xfId="28378"/>
    <cellStyle name="백분율 6 4 2 3 2 2 3 3" xfId="28379"/>
    <cellStyle name="백분율 6 4 2 3 2 2 4" xfId="28380"/>
    <cellStyle name="백분율 6 4 2 3 2 2 5" xfId="28381"/>
    <cellStyle name="백분율 6 4 2 3 2 3" xfId="28382"/>
    <cellStyle name="백분율 6 4 2 3 2 3 2" xfId="28383"/>
    <cellStyle name="백분율 6 4 2 3 2 3 2 2" xfId="28384"/>
    <cellStyle name="백분율 6 4 2 3 2 3 2 2 2" xfId="28385"/>
    <cellStyle name="백분율 6 4 2 3 2 3 2 2 3" xfId="28386"/>
    <cellStyle name="백분율 6 4 2 3 2 3 2 3" xfId="28387"/>
    <cellStyle name="백분율 6 4 2 3 2 3 2 4" xfId="28388"/>
    <cellStyle name="백분율 6 4 2 3 2 3 3" xfId="28389"/>
    <cellStyle name="백분율 6 4 2 3 2 3 3 2" xfId="28390"/>
    <cellStyle name="백분율 6 4 2 3 2 3 3 3" xfId="28391"/>
    <cellStyle name="백분율 6 4 2 3 2 3 4" xfId="28392"/>
    <cellStyle name="백분율 6 4 2 3 2 3 5" xfId="28393"/>
    <cellStyle name="백분율 6 4 2 3 2 4" xfId="28394"/>
    <cellStyle name="백분율 6 4 2 3 2 4 2" xfId="28395"/>
    <cellStyle name="백분율 6 4 2 3 2 4 2 2" xfId="28396"/>
    <cellStyle name="백분율 6 4 2 3 2 4 2 3" xfId="28397"/>
    <cellStyle name="백분율 6 4 2 3 2 4 3" xfId="28398"/>
    <cellStyle name="백분율 6 4 2 3 2 4 4" xfId="28399"/>
    <cellStyle name="백분율 6 4 2 3 2 5" xfId="28400"/>
    <cellStyle name="백분율 6 4 2 3 2 5 2" xfId="28401"/>
    <cellStyle name="백분율 6 4 2 3 2 5 3" xfId="28402"/>
    <cellStyle name="백분율 6 4 2 3 2 6" xfId="28403"/>
    <cellStyle name="백분율 6 4 2 3 2 7" xfId="28404"/>
    <cellStyle name="백분율 6 4 2 3 3" xfId="28405"/>
    <cellStyle name="백분율 6 4 2 3 3 2" xfId="28406"/>
    <cellStyle name="백분율 6 4 2 3 3 2 2" xfId="28407"/>
    <cellStyle name="백분율 6 4 2 3 3 2 2 2" xfId="28408"/>
    <cellStyle name="백분율 6 4 2 3 3 2 2 2 2" xfId="28409"/>
    <cellStyle name="백분율 6 4 2 3 3 2 2 2 3" xfId="28410"/>
    <cellStyle name="백분율 6 4 2 3 3 2 2 3" xfId="28411"/>
    <cellStyle name="백분율 6 4 2 3 3 2 2 4" xfId="28412"/>
    <cellStyle name="백분율 6 4 2 3 3 2 3" xfId="28413"/>
    <cellStyle name="백분율 6 4 2 3 3 2 3 2" xfId="28414"/>
    <cellStyle name="백분율 6 4 2 3 3 2 3 3" xfId="28415"/>
    <cellStyle name="백분율 6 4 2 3 3 2 4" xfId="28416"/>
    <cellStyle name="백분율 6 4 2 3 3 2 5" xfId="28417"/>
    <cellStyle name="백분율 6 4 2 3 3 3" xfId="28418"/>
    <cellStyle name="백분율 6 4 2 3 3 3 2" xfId="28419"/>
    <cellStyle name="백분율 6 4 2 3 3 3 2 2" xfId="28420"/>
    <cellStyle name="백분율 6 4 2 3 3 3 2 2 2" xfId="28421"/>
    <cellStyle name="백분율 6 4 2 3 3 3 2 2 3" xfId="28422"/>
    <cellStyle name="백분율 6 4 2 3 3 3 2 3" xfId="28423"/>
    <cellStyle name="백분율 6 4 2 3 3 3 2 4" xfId="28424"/>
    <cellStyle name="백분율 6 4 2 3 3 3 3" xfId="28425"/>
    <cellStyle name="백분율 6 4 2 3 3 3 3 2" xfId="28426"/>
    <cellStyle name="백분율 6 4 2 3 3 3 3 3" xfId="28427"/>
    <cellStyle name="백분율 6 4 2 3 3 3 4" xfId="28428"/>
    <cellStyle name="백분율 6 4 2 3 3 3 5" xfId="28429"/>
    <cellStyle name="백분율 6 4 2 3 3 4" xfId="28430"/>
    <cellStyle name="백분율 6 4 2 3 3 4 2" xfId="28431"/>
    <cellStyle name="백분율 6 4 2 3 3 4 2 2" xfId="28432"/>
    <cellStyle name="백분율 6 4 2 3 3 4 2 3" xfId="28433"/>
    <cellStyle name="백분율 6 4 2 3 3 4 3" xfId="28434"/>
    <cellStyle name="백분율 6 4 2 3 3 4 4" xfId="28435"/>
    <cellStyle name="백분율 6 4 2 3 3 5" xfId="28436"/>
    <cellStyle name="백분율 6 4 2 3 3 5 2" xfId="28437"/>
    <cellStyle name="백분율 6 4 2 3 3 5 3" xfId="28438"/>
    <cellStyle name="백분율 6 4 2 3 3 6" xfId="28439"/>
    <cellStyle name="백분율 6 4 2 3 3 7" xfId="28440"/>
    <cellStyle name="백분율 6 4 2 3 4" xfId="28441"/>
    <cellStyle name="백분율 6 4 2 3 4 2" xfId="28442"/>
    <cellStyle name="백분율 6 4 2 3 4 2 2" xfId="28443"/>
    <cellStyle name="백분율 6 4 2 3 4 2 2 2" xfId="28444"/>
    <cellStyle name="백분율 6 4 2 3 4 2 2 3" xfId="28445"/>
    <cellStyle name="백분율 6 4 2 3 4 2 3" xfId="28446"/>
    <cellStyle name="백분율 6 4 2 3 4 2 4" xfId="28447"/>
    <cellStyle name="백분율 6 4 2 3 4 3" xfId="28448"/>
    <cellStyle name="백분율 6 4 2 3 4 3 2" xfId="28449"/>
    <cellStyle name="백분율 6 4 2 3 4 3 3" xfId="28450"/>
    <cellStyle name="백분율 6 4 2 3 4 4" xfId="28451"/>
    <cellStyle name="백분율 6 4 2 3 4 5" xfId="28452"/>
    <cellStyle name="백분율 6 4 2 3 5" xfId="28453"/>
    <cellStyle name="백분율 6 4 2 3 5 2" xfId="28454"/>
    <cellStyle name="백분율 6 4 2 3 5 2 2" xfId="28455"/>
    <cellStyle name="백분율 6 4 2 3 5 2 2 2" xfId="28456"/>
    <cellStyle name="백분율 6 4 2 3 5 2 2 3" xfId="28457"/>
    <cellStyle name="백분율 6 4 2 3 5 2 3" xfId="28458"/>
    <cellStyle name="백분율 6 4 2 3 5 2 4" xfId="28459"/>
    <cellStyle name="백분율 6 4 2 3 5 3" xfId="28460"/>
    <cellStyle name="백분율 6 4 2 3 5 3 2" xfId="28461"/>
    <cellStyle name="백분율 6 4 2 3 5 3 3" xfId="28462"/>
    <cellStyle name="백분율 6 4 2 3 5 4" xfId="28463"/>
    <cellStyle name="백분율 6 4 2 3 5 5" xfId="28464"/>
    <cellStyle name="백분율 6 4 2 3 6" xfId="28465"/>
    <cellStyle name="백분율 6 4 2 3 6 2" xfId="28466"/>
    <cellStyle name="백분율 6 4 2 3 6 2 2" xfId="28467"/>
    <cellStyle name="백분율 6 4 2 3 6 2 2 2" xfId="28468"/>
    <cellStyle name="백분율 6 4 2 3 6 2 2 3" xfId="28469"/>
    <cellStyle name="백분율 6 4 2 3 6 2 3" xfId="28470"/>
    <cellStyle name="백분율 6 4 2 3 6 2 4" xfId="28471"/>
    <cellStyle name="백분율 6 4 2 3 6 3" xfId="28472"/>
    <cellStyle name="백분율 6 4 2 3 6 3 2" xfId="28473"/>
    <cellStyle name="백분율 6 4 2 3 6 3 3" xfId="28474"/>
    <cellStyle name="백분율 6 4 2 3 6 4" xfId="28475"/>
    <cellStyle name="백분율 6 4 2 3 6 5" xfId="28476"/>
    <cellStyle name="백분율 6 4 2 3 7" xfId="28477"/>
    <cellStyle name="백분율 6 4 2 3 7 2" xfId="28478"/>
    <cellStyle name="백분율 6 4 2 3 7 2 2" xfId="28479"/>
    <cellStyle name="백분율 6 4 2 3 7 2 3" xfId="28480"/>
    <cellStyle name="백분율 6 4 2 3 7 3" xfId="28481"/>
    <cellStyle name="백분율 6 4 2 3 7 4" xfId="28482"/>
    <cellStyle name="백분율 6 4 2 3 8" xfId="28483"/>
    <cellStyle name="백분율 6 4 2 3 8 2" xfId="28484"/>
    <cellStyle name="백분율 6 4 2 3 8 3" xfId="28485"/>
    <cellStyle name="백분율 6 4 2 3 9" xfId="28486"/>
    <cellStyle name="백분율 6 4 2 4" xfId="28487"/>
    <cellStyle name="백분율 6 4 2 4 10" xfId="28488"/>
    <cellStyle name="백분율 6 4 2 4 2" xfId="28489"/>
    <cellStyle name="백분율 6 4 2 4 2 2" xfId="28490"/>
    <cellStyle name="백분율 6 4 2 4 2 2 2" xfId="28491"/>
    <cellStyle name="백분율 6 4 2 4 2 2 2 2" xfId="28492"/>
    <cellStyle name="백분율 6 4 2 4 2 2 2 2 2" xfId="28493"/>
    <cellStyle name="백분율 6 4 2 4 2 2 2 2 3" xfId="28494"/>
    <cellStyle name="백분율 6 4 2 4 2 2 2 3" xfId="28495"/>
    <cellStyle name="백분율 6 4 2 4 2 2 2 4" xfId="28496"/>
    <cellStyle name="백분율 6 4 2 4 2 2 3" xfId="28497"/>
    <cellStyle name="백분율 6 4 2 4 2 2 3 2" xfId="28498"/>
    <cellStyle name="백분율 6 4 2 4 2 2 3 3" xfId="28499"/>
    <cellStyle name="백분율 6 4 2 4 2 2 4" xfId="28500"/>
    <cellStyle name="백분율 6 4 2 4 2 2 5" xfId="28501"/>
    <cellStyle name="백분율 6 4 2 4 2 3" xfId="28502"/>
    <cellStyle name="백분율 6 4 2 4 2 3 2" xfId="28503"/>
    <cellStyle name="백분율 6 4 2 4 2 3 2 2" xfId="28504"/>
    <cellStyle name="백분율 6 4 2 4 2 3 2 2 2" xfId="28505"/>
    <cellStyle name="백분율 6 4 2 4 2 3 2 2 3" xfId="28506"/>
    <cellStyle name="백분율 6 4 2 4 2 3 2 3" xfId="28507"/>
    <cellStyle name="백분율 6 4 2 4 2 3 2 4" xfId="28508"/>
    <cellStyle name="백분율 6 4 2 4 2 3 3" xfId="28509"/>
    <cellStyle name="백분율 6 4 2 4 2 3 3 2" xfId="28510"/>
    <cellStyle name="백분율 6 4 2 4 2 3 3 3" xfId="28511"/>
    <cellStyle name="백분율 6 4 2 4 2 3 4" xfId="28512"/>
    <cellStyle name="백분율 6 4 2 4 2 3 5" xfId="28513"/>
    <cellStyle name="백분율 6 4 2 4 2 4" xfId="28514"/>
    <cellStyle name="백분율 6 4 2 4 2 4 2" xfId="28515"/>
    <cellStyle name="백분율 6 4 2 4 2 4 2 2" xfId="28516"/>
    <cellStyle name="백분율 6 4 2 4 2 4 2 3" xfId="28517"/>
    <cellStyle name="백분율 6 4 2 4 2 4 3" xfId="28518"/>
    <cellStyle name="백분율 6 4 2 4 2 4 4" xfId="28519"/>
    <cellStyle name="백분율 6 4 2 4 2 5" xfId="28520"/>
    <cellStyle name="백분율 6 4 2 4 2 5 2" xfId="28521"/>
    <cellStyle name="백분율 6 4 2 4 2 5 3" xfId="28522"/>
    <cellStyle name="백분율 6 4 2 4 2 6" xfId="28523"/>
    <cellStyle name="백분율 6 4 2 4 2 7" xfId="28524"/>
    <cellStyle name="백분율 6 4 2 4 3" xfId="28525"/>
    <cellStyle name="백분율 6 4 2 4 3 2" xfId="28526"/>
    <cellStyle name="백분율 6 4 2 4 3 2 2" xfId="28527"/>
    <cellStyle name="백분율 6 4 2 4 3 2 2 2" xfId="28528"/>
    <cellStyle name="백분율 6 4 2 4 3 2 2 2 2" xfId="28529"/>
    <cellStyle name="백분율 6 4 2 4 3 2 2 2 3" xfId="28530"/>
    <cellStyle name="백분율 6 4 2 4 3 2 2 3" xfId="28531"/>
    <cellStyle name="백분율 6 4 2 4 3 2 2 4" xfId="28532"/>
    <cellStyle name="백분율 6 4 2 4 3 2 3" xfId="28533"/>
    <cellStyle name="백분율 6 4 2 4 3 2 3 2" xfId="28534"/>
    <cellStyle name="백분율 6 4 2 4 3 2 3 3" xfId="28535"/>
    <cellStyle name="백분율 6 4 2 4 3 2 4" xfId="28536"/>
    <cellStyle name="백분율 6 4 2 4 3 2 5" xfId="28537"/>
    <cellStyle name="백분율 6 4 2 4 3 3" xfId="28538"/>
    <cellStyle name="백분율 6 4 2 4 3 3 2" xfId="28539"/>
    <cellStyle name="백분율 6 4 2 4 3 3 2 2" xfId="28540"/>
    <cellStyle name="백분율 6 4 2 4 3 3 2 2 2" xfId="28541"/>
    <cellStyle name="백분율 6 4 2 4 3 3 2 2 3" xfId="28542"/>
    <cellStyle name="백분율 6 4 2 4 3 3 2 3" xfId="28543"/>
    <cellStyle name="백분율 6 4 2 4 3 3 2 4" xfId="28544"/>
    <cellStyle name="백분율 6 4 2 4 3 3 3" xfId="28545"/>
    <cellStyle name="백분율 6 4 2 4 3 3 3 2" xfId="28546"/>
    <cellStyle name="백분율 6 4 2 4 3 3 3 3" xfId="28547"/>
    <cellStyle name="백분율 6 4 2 4 3 3 4" xfId="28548"/>
    <cellStyle name="백분율 6 4 2 4 3 3 5" xfId="28549"/>
    <cellStyle name="백분율 6 4 2 4 3 4" xfId="28550"/>
    <cellStyle name="백분율 6 4 2 4 3 4 2" xfId="28551"/>
    <cellStyle name="백분율 6 4 2 4 3 4 2 2" xfId="28552"/>
    <cellStyle name="백분율 6 4 2 4 3 4 2 3" xfId="28553"/>
    <cellStyle name="백분율 6 4 2 4 3 4 3" xfId="28554"/>
    <cellStyle name="백분율 6 4 2 4 3 4 4" xfId="28555"/>
    <cellStyle name="백분율 6 4 2 4 3 5" xfId="28556"/>
    <cellStyle name="백분율 6 4 2 4 3 5 2" xfId="28557"/>
    <cellStyle name="백분율 6 4 2 4 3 5 3" xfId="28558"/>
    <cellStyle name="백분율 6 4 2 4 3 6" xfId="28559"/>
    <cellStyle name="백분율 6 4 2 4 3 7" xfId="28560"/>
    <cellStyle name="백분율 6 4 2 4 4" xfId="28561"/>
    <cellStyle name="백분율 6 4 2 4 4 2" xfId="28562"/>
    <cellStyle name="백분율 6 4 2 4 4 2 2" xfId="28563"/>
    <cellStyle name="백분율 6 4 2 4 4 2 2 2" xfId="28564"/>
    <cellStyle name="백분율 6 4 2 4 4 2 2 3" xfId="28565"/>
    <cellStyle name="백분율 6 4 2 4 4 2 3" xfId="28566"/>
    <cellStyle name="백분율 6 4 2 4 4 2 4" xfId="28567"/>
    <cellStyle name="백분율 6 4 2 4 4 3" xfId="28568"/>
    <cellStyle name="백분율 6 4 2 4 4 3 2" xfId="28569"/>
    <cellStyle name="백분율 6 4 2 4 4 3 3" xfId="28570"/>
    <cellStyle name="백분율 6 4 2 4 4 4" xfId="28571"/>
    <cellStyle name="백분율 6 4 2 4 4 5" xfId="28572"/>
    <cellStyle name="백분율 6 4 2 4 5" xfId="28573"/>
    <cellStyle name="백분율 6 4 2 4 5 2" xfId="28574"/>
    <cellStyle name="백분율 6 4 2 4 5 2 2" xfId="28575"/>
    <cellStyle name="백분율 6 4 2 4 5 2 2 2" xfId="28576"/>
    <cellStyle name="백분율 6 4 2 4 5 2 2 3" xfId="28577"/>
    <cellStyle name="백분율 6 4 2 4 5 2 3" xfId="28578"/>
    <cellStyle name="백분율 6 4 2 4 5 2 4" xfId="28579"/>
    <cellStyle name="백분율 6 4 2 4 5 3" xfId="28580"/>
    <cellStyle name="백분율 6 4 2 4 5 3 2" xfId="28581"/>
    <cellStyle name="백분율 6 4 2 4 5 3 3" xfId="28582"/>
    <cellStyle name="백분율 6 4 2 4 5 4" xfId="28583"/>
    <cellStyle name="백분율 6 4 2 4 5 5" xfId="28584"/>
    <cellStyle name="백분율 6 4 2 4 6" xfId="28585"/>
    <cellStyle name="백분율 6 4 2 4 6 2" xfId="28586"/>
    <cellStyle name="백분율 6 4 2 4 6 2 2" xfId="28587"/>
    <cellStyle name="백분율 6 4 2 4 6 2 2 2" xfId="28588"/>
    <cellStyle name="백분율 6 4 2 4 6 2 2 3" xfId="28589"/>
    <cellStyle name="백분율 6 4 2 4 6 2 3" xfId="28590"/>
    <cellStyle name="백분율 6 4 2 4 6 2 4" xfId="28591"/>
    <cellStyle name="백분율 6 4 2 4 6 3" xfId="28592"/>
    <cellStyle name="백분율 6 4 2 4 6 3 2" xfId="28593"/>
    <cellStyle name="백분율 6 4 2 4 6 3 3" xfId="28594"/>
    <cellStyle name="백분율 6 4 2 4 6 4" xfId="28595"/>
    <cellStyle name="백분율 6 4 2 4 6 5" xfId="28596"/>
    <cellStyle name="백분율 6 4 2 4 7" xfId="28597"/>
    <cellStyle name="백분율 6 4 2 4 7 2" xfId="28598"/>
    <cellStyle name="백분율 6 4 2 4 7 2 2" xfId="28599"/>
    <cellStyle name="백분율 6 4 2 4 7 2 3" xfId="28600"/>
    <cellStyle name="백분율 6 4 2 4 7 3" xfId="28601"/>
    <cellStyle name="백분율 6 4 2 4 7 4" xfId="28602"/>
    <cellStyle name="백분율 6 4 2 4 8" xfId="28603"/>
    <cellStyle name="백분율 6 4 2 4 8 2" xfId="28604"/>
    <cellStyle name="백분율 6 4 2 4 8 3" xfId="28605"/>
    <cellStyle name="백분율 6 4 2 4 9" xfId="28606"/>
    <cellStyle name="백분율 6 4 2 5" xfId="28607"/>
    <cellStyle name="백분율 6 4 2 5 2" xfId="28608"/>
    <cellStyle name="백분율 6 4 2 5 2 2" xfId="28609"/>
    <cellStyle name="백분율 6 4 2 5 2 2 2" xfId="28610"/>
    <cellStyle name="백분율 6 4 2 5 2 2 2 2" xfId="28611"/>
    <cellStyle name="백분율 6 4 2 5 2 2 2 3" xfId="28612"/>
    <cellStyle name="백분율 6 4 2 5 2 2 3" xfId="28613"/>
    <cellStyle name="백분율 6 4 2 5 2 2 4" xfId="28614"/>
    <cellStyle name="백분율 6 4 2 5 2 3" xfId="28615"/>
    <cellStyle name="백분율 6 4 2 5 2 3 2" xfId="28616"/>
    <cellStyle name="백분율 6 4 2 5 2 3 3" xfId="28617"/>
    <cellStyle name="백분율 6 4 2 5 2 4" xfId="28618"/>
    <cellStyle name="백분율 6 4 2 5 2 5" xfId="28619"/>
    <cellStyle name="백분율 6 4 2 5 3" xfId="28620"/>
    <cellStyle name="백분율 6 4 2 5 3 2" xfId="28621"/>
    <cellStyle name="백분율 6 4 2 5 3 2 2" xfId="28622"/>
    <cellStyle name="백분율 6 4 2 5 3 2 2 2" xfId="28623"/>
    <cellStyle name="백분율 6 4 2 5 3 2 2 3" xfId="28624"/>
    <cellStyle name="백분율 6 4 2 5 3 2 3" xfId="28625"/>
    <cellStyle name="백분율 6 4 2 5 3 2 4" xfId="28626"/>
    <cellStyle name="백분율 6 4 2 5 3 3" xfId="28627"/>
    <cellStyle name="백분율 6 4 2 5 3 3 2" xfId="28628"/>
    <cellStyle name="백분율 6 4 2 5 3 3 3" xfId="28629"/>
    <cellStyle name="백분율 6 4 2 5 3 4" xfId="28630"/>
    <cellStyle name="백분율 6 4 2 5 3 5" xfId="28631"/>
    <cellStyle name="백분율 6 4 2 5 4" xfId="28632"/>
    <cellStyle name="백분율 6 4 2 5 4 2" xfId="28633"/>
    <cellStyle name="백분율 6 4 2 5 4 2 2" xfId="28634"/>
    <cellStyle name="백분율 6 4 2 5 4 2 3" xfId="28635"/>
    <cellStyle name="백분율 6 4 2 5 4 3" xfId="28636"/>
    <cellStyle name="백분율 6 4 2 5 4 4" xfId="28637"/>
    <cellStyle name="백분율 6 4 2 5 5" xfId="28638"/>
    <cellStyle name="백분율 6 4 2 5 5 2" xfId="28639"/>
    <cellStyle name="백분율 6 4 2 5 5 3" xfId="28640"/>
    <cellStyle name="백분율 6 4 2 5 6" xfId="28641"/>
    <cellStyle name="백분율 6 4 2 5 7" xfId="28642"/>
    <cellStyle name="백분율 6 4 2 6" xfId="28643"/>
    <cellStyle name="백분율 6 4 2 6 2" xfId="28644"/>
    <cellStyle name="백분율 6 4 2 6 2 2" xfId="28645"/>
    <cellStyle name="백분율 6 4 2 6 2 2 2" xfId="28646"/>
    <cellStyle name="백분율 6 4 2 6 2 2 2 2" xfId="28647"/>
    <cellStyle name="백분율 6 4 2 6 2 2 2 3" xfId="28648"/>
    <cellStyle name="백분율 6 4 2 6 2 2 3" xfId="28649"/>
    <cellStyle name="백분율 6 4 2 6 2 2 4" xfId="28650"/>
    <cellStyle name="백분율 6 4 2 6 2 3" xfId="28651"/>
    <cellStyle name="백분율 6 4 2 6 2 3 2" xfId="28652"/>
    <cellStyle name="백분율 6 4 2 6 2 3 3" xfId="28653"/>
    <cellStyle name="백분율 6 4 2 6 2 4" xfId="28654"/>
    <cellStyle name="백분율 6 4 2 6 2 5" xfId="28655"/>
    <cellStyle name="백분율 6 4 2 6 3" xfId="28656"/>
    <cellStyle name="백분율 6 4 2 6 3 2" xfId="28657"/>
    <cellStyle name="백분율 6 4 2 6 3 2 2" xfId="28658"/>
    <cellStyle name="백분율 6 4 2 6 3 2 2 2" xfId="28659"/>
    <cellStyle name="백분율 6 4 2 6 3 2 2 3" xfId="28660"/>
    <cellStyle name="백분율 6 4 2 6 3 2 3" xfId="28661"/>
    <cellStyle name="백분율 6 4 2 6 3 2 4" xfId="28662"/>
    <cellStyle name="백분율 6 4 2 6 3 3" xfId="28663"/>
    <cellStyle name="백분율 6 4 2 6 3 3 2" xfId="28664"/>
    <cellStyle name="백분율 6 4 2 6 3 3 3" xfId="28665"/>
    <cellStyle name="백분율 6 4 2 6 3 4" xfId="28666"/>
    <cellStyle name="백분율 6 4 2 6 3 5" xfId="28667"/>
    <cellStyle name="백분율 6 4 2 6 4" xfId="28668"/>
    <cellStyle name="백분율 6 4 2 6 4 2" xfId="28669"/>
    <cellStyle name="백분율 6 4 2 6 4 2 2" xfId="28670"/>
    <cellStyle name="백분율 6 4 2 6 4 2 3" xfId="28671"/>
    <cellStyle name="백분율 6 4 2 6 4 3" xfId="28672"/>
    <cellStyle name="백분율 6 4 2 6 4 4" xfId="28673"/>
    <cellStyle name="백분율 6 4 2 6 5" xfId="28674"/>
    <cellStyle name="백분율 6 4 2 6 5 2" xfId="28675"/>
    <cellStyle name="백분율 6 4 2 6 5 3" xfId="28676"/>
    <cellStyle name="백분율 6 4 2 6 6" xfId="28677"/>
    <cellStyle name="백분율 6 4 2 6 7" xfId="28678"/>
    <cellStyle name="백분율 6 4 2 7" xfId="28679"/>
    <cellStyle name="백분율 6 4 2 7 2" xfId="28680"/>
    <cellStyle name="백분율 6 4 2 7 2 2" xfId="28681"/>
    <cellStyle name="백분율 6 4 2 7 2 2 2" xfId="28682"/>
    <cellStyle name="백분율 6 4 2 7 2 2 3" xfId="28683"/>
    <cellStyle name="백분율 6 4 2 7 2 3" xfId="28684"/>
    <cellStyle name="백분율 6 4 2 7 2 4" xfId="28685"/>
    <cellStyle name="백분율 6 4 2 7 3" xfId="28686"/>
    <cellStyle name="백분율 6 4 2 7 3 2" xfId="28687"/>
    <cellStyle name="백분율 6 4 2 7 3 3" xfId="28688"/>
    <cellStyle name="백분율 6 4 2 7 4" xfId="28689"/>
    <cellStyle name="백분율 6 4 2 7 5" xfId="28690"/>
    <cellStyle name="백분율 6 4 2 8" xfId="28691"/>
    <cellStyle name="백분율 6 4 2 8 2" xfId="28692"/>
    <cellStyle name="백분율 6 4 2 8 2 2" xfId="28693"/>
    <cellStyle name="백분율 6 4 2 8 2 2 2" xfId="28694"/>
    <cellStyle name="백분율 6 4 2 8 2 2 3" xfId="28695"/>
    <cellStyle name="백분율 6 4 2 8 2 3" xfId="28696"/>
    <cellStyle name="백분율 6 4 2 8 2 4" xfId="28697"/>
    <cellStyle name="백분율 6 4 2 8 3" xfId="28698"/>
    <cellStyle name="백분율 6 4 2 8 3 2" xfId="28699"/>
    <cellStyle name="백분율 6 4 2 8 3 3" xfId="28700"/>
    <cellStyle name="백분율 6 4 2 8 4" xfId="28701"/>
    <cellStyle name="백분율 6 4 2 8 5" xfId="28702"/>
    <cellStyle name="백분율 6 4 2 9" xfId="28703"/>
    <cellStyle name="백분율 6 4 2 9 2" xfId="28704"/>
    <cellStyle name="백분율 6 4 2 9 2 2" xfId="28705"/>
    <cellStyle name="백분율 6 4 2 9 2 2 2" xfId="28706"/>
    <cellStyle name="백분율 6 4 2 9 2 2 3" xfId="28707"/>
    <cellStyle name="백분율 6 4 2 9 2 3" xfId="28708"/>
    <cellStyle name="백분율 6 4 2 9 2 4" xfId="28709"/>
    <cellStyle name="백분율 6 4 2 9 3" xfId="28710"/>
    <cellStyle name="백분율 6 4 2 9 3 2" xfId="28711"/>
    <cellStyle name="백분율 6 4 2 9 3 3" xfId="28712"/>
    <cellStyle name="백분율 6 4 2 9 4" xfId="28713"/>
    <cellStyle name="백분율 6 4 2 9 5" xfId="28714"/>
    <cellStyle name="백분율 6 4 3" xfId="28715"/>
    <cellStyle name="백분율 6 4 3 10" xfId="28716"/>
    <cellStyle name="백분율 6 4 3 2" xfId="28717"/>
    <cellStyle name="백분율 6 4 3 2 2" xfId="28718"/>
    <cellStyle name="백분율 6 4 3 2 2 2" xfId="28719"/>
    <cellStyle name="백분율 6 4 3 2 2 2 2" xfId="28720"/>
    <cellStyle name="백분율 6 4 3 2 2 2 2 2" xfId="28721"/>
    <cellStyle name="백분율 6 4 3 2 2 2 2 3" xfId="28722"/>
    <cellStyle name="백분율 6 4 3 2 2 2 3" xfId="28723"/>
    <cellStyle name="백분율 6 4 3 2 2 2 4" xfId="28724"/>
    <cellStyle name="백분율 6 4 3 2 2 3" xfId="28725"/>
    <cellStyle name="백분율 6 4 3 2 2 3 2" xfId="28726"/>
    <cellStyle name="백분율 6 4 3 2 2 3 3" xfId="28727"/>
    <cellStyle name="백분율 6 4 3 2 2 4" xfId="28728"/>
    <cellStyle name="백분율 6 4 3 2 2 5" xfId="28729"/>
    <cellStyle name="백분율 6 4 3 2 3" xfId="28730"/>
    <cellStyle name="백분율 6 4 3 2 3 2" xfId="28731"/>
    <cellStyle name="백분율 6 4 3 2 3 2 2" xfId="28732"/>
    <cellStyle name="백분율 6 4 3 2 3 2 2 2" xfId="28733"/>
    <cellStyle name="백분율 6 4 3 2 3 2 2 3" xfId="28734"/>
    <cellStyle name="백분율 6 4 3 2 3 2 3" xfId="28735"/>
    <cellStyle name="백분율 6 4 3 2 3 2 4" xfId="28736"/>
    <cellStyle name="백분율 6 4 3 2 3 3" xfId="28737"/>
    <cellStyle name="백분율 6 4 3 2 3 3 2" xfId="28738"/>
    <cellStyle name="백분율 6 4 3 2 3 3 3" xfId="28739"/>
    <cellStyle name="백분율 6 4 3 2 3 4" xfId="28740"/>
    <cellStyle name="백분율 6 4 3 2 3 5" xfId="28741"/>
    <cellStyle name="백분율 6 4 3 2 4" xfId="28742"/>
    <cellStyle name="백분율 6 4 3 2 4 2" xfId="28743"/>
    <cellStyle name="백분율 6 4 3 2 4 2 2" xfId="28744"/>
    <cellStyle name="백분율 6 4 3 2 4 2 3" xfId="28745"/>
    <cellStyle name="백분율 6 4 3 2 4 3" xfId="28746"/>
    <cellStyle name="백분율 6 4 3 2 4 4" xfId="28747"/>
    <cellStyle name="백분율 6 4 3 2 5" xfId="28748"/>
    <cellStyle name="백분율 6 4 3 2 5 2" xfId="28749"/>
    <cellStyle name="백분율 6 4 3 2 5 3" xfId="28750"/>
    <cellStyle name="백분율 6 4 3 2 6" xfId="28751"/>
    <cellStyle name="백분율 6 4 3 2 7" xfId="28752"/>
    <cellStyle name="백분율 6 4 3 3" xfId="28753"/>
    <cellStyle name="백분율 6 4 3 3 2" xfId="28754"/>
    <cellStyle name="백분율 6 4 3 3 2 2" xfId="28755"/>
    <cellStyle name="백분율 6 4 3 3 2 2 2" xfId="28756"/>
    <cellStyle name="백분율 6 4 3 3 2 2 2 2" xfId="28757"/>
    <cellStyle name="백분율 6 4 3 3 2 2 2 3" xfId="28758"/>
    <cellStyle name="백분율 6 4 3 3 2 2 3" xfId="28759"/>
    <cellStyle name="백분율 6 4 3 3 2 2 4" xfId="28760"/>
    <cellStyle name="백분율 6 4 3 3 2 3" xfId="28761"/>
    <cellStyle name="백분율 6 4 3 3 2 3 2" xfId="28762"/>
    <cellStyle name="백분율 6 4 3 3 2 3 3" xfId="28763"/>
    <cellStyle name="백분율 6 4 3 3 2 4" xfId="28764"/>
    <cellStyle name="백분율 6 4 3 3 2 5" xfId="28765"/>
    <cellStyle name="백분율 6 4 3 3 3" xfId="28766"/>
    <cellStyle name="백분율 6 4 3 3 3 2" xfId="28767"/>
    <cellStyle name="백분율 6 4 3 3 3 2 2" xfId="28768"/>
    <cellStyle name="백분율 6 4 3 3 3 2 2 2" xfId="28769"/>
    <cellStyle name="백분율 6 4 3 3 3 2 2 3" xfId="28770"/>
    <cellStyle name="백분율 6 4 3 3 3 2 3" xfId="28771"/>
    <cellStyle name="백분율 6 4 3 3 3 2 4" xfId="28772"/>
    <cellStyle name="백분율 6 4 3 3 3 3" xfId="28773"/>
    <cellStyle name="백분율 6 4 3 3 3 3 2" xfId="28774"/>
    <cellStyle name="백분율 6 4 3 3 3 3 3" xfId="28775"/>
    <cellStyle name="백분율 6 4 3 3 3 4" xfId="28776"/>
    <cellStyle name="백분율 6 4 3 3 3 5" xfId="28777"/>
    <cellStyle name="백분율 6 4 3 3 4" xfId="28778"/>
    <cellStyle name="백분율 6 4 3 3 4 2" xfId="28779"/>
    <cellStyle name="백분율 6 4 3 3 4 2 2" xfId="28780"/>
    <cellStyle name="백분율 6 4 3 3 4 2 3" xfId="28781"/>
    <cellStyle name="백분율 6 4 3 3 4 3" xfId="28782"/>
    <cellStyle name="백분율 6 4 3 3 4 4" xfId="28783"/>
    <cellStyle name="백분율 6 4 3 3 5" xfId="28784"/>
    <cellStyle name="백분율 6 4 3 3 5 2" xfId="28785"/>
    <cellStyle name="백분율 6 4 3 3 5 3" xfId="28786"/>
    <cellStyle name="백분율 6 4 3 3 6" xfId="28787"/>
    <cellStyle name="백분율 6 4 3 3 7" xfId="28788"/>
    <cellStyle name="백분율 6 4 3 4" xfId="28789"/>
    <cellStyle name="백분율 6 4 3 4 2" xfId="28790"/>
    <cellStyle name="백분율 6 4 3 4 2 2" xfId="28791"/>
    <cellStyle name="백분율 6 4 3 4 2 2 2" xfId="28792"/>
    <cellStyle name="백분율 6 4 3 4 2 2 3" xfId="28793"/>
    <cellStyle name="백분율 6 4 3 4 2 3" xfId="28794"/>
    <cellStyle name="백분율 6 4 3 4 2 4" xfId="28795"/>
    <cellStyle name="백분율 6 4 3 4 3" xfId="28796"/>
    <cellStyle name="백분율 6 4 3 4 3 2" xfId="28797"/>
    <cellStyle name="백분율 6 4 3 4 3 3" xfId="28798"/>
    <cellStyle name="백분율 6 4 3 4 4" xfId="28799"/>
    <cellStyle name="백분율 6 4 3 4 5" xfId="28800"/>
    <cellStyle name="백분율 6 4 3 5" xfId="28801"/>
    <cellStyle name="백분율 6 4 3 5 2" xfId="28802"/>
    <cellStyle name="백분율 6 4 3 5 2 2" xfId="28803"/>
    <cellStyle name="백분율 6 4 3 5 2 2 2" xfId="28804"/>
    <cellStyle name="백분율 6 4 3 5 2 2 3" xfId="28805"/>
    <cellStyle name="백분율 6 4 3 5 2 3" xfId="28806"/>
    <cellStyle name="백분율 6 4 3 5 2 4" xfId="28807"/>
    <cellStyle name="백분율 6 4 3 5 3" xfId="28808"/>
    <cellStyle name="백분율 6 4 3 5 3 2" xfId="28809"/>
    <cellStyle name="백분율 6 4 3 5 3 3" xfId="28810"/>
    <cellStyle name="백분율 6 4 3 5 4" xfId="28811"/>
    <cellStyle name="백분율 6 4 3 5 5" xfId="28812"/>
    <cellStyle name="백분율 6 4 3 6" xfId="28813"/>
    <cellStyle name="백분율 6 4 3 6 2" xfId="28814"/>
    <cellStyle name="백분율 6 4 3 6 2 2" xfId="28815"/>
    <cellStyle name="백분율 6 4 3 6 2 2 2" xfId="28816"/>
    <cellStyle name="백분율 6 4 3 6 2 2 3" xfId="28817"/>
    <cellStyle name="백분율 6 4 3 6 2 3" xfId="28818"/>
    <cellStyle name="백분율 6 4 3 6 2 4" xfId="28819"/>
    <cellStyle name="백분율 6 4 3 6 3" xfId="28820"/>
    <cellStyle name="백분율 6 4 3 6 3 2" xfId="28821"/>
    <cellStyle name="백분율 6 4 3 6 3 3" xfId="28822"/>
    <cellStyle name="백분율 6 4 3 6 4" xfId="28823"/>
    <cellStyle name="백분율 6 4 3 6 5" xfId="28824"/>
    <cellStyle name="백분율 6 4 3 7" xfId="28825"/>
    <cellStyle name="백분율 6 4 3 7 2" xfId="28826"/>
    <cellStyle name="백분율 6 4 3 7 2 2" xfId="28827"/>
    <cellStyle name="백분율 6 4 3 7 2 3" xfId="28828"/>
    <cellStyle name="백분율 6 4 3 7 3" xfId="28829"/>
    <cellStyle name="백분율 6 4 3 7 4" xfId="28830"/>
    <cellStyle name="백분율 6 4 3 8" xfId="28831"/>
    <cellStyle name="백분율 6 4 3 8 2" xfId="28832"/>
    <cellStyle name="백분율 6 4 3 8 3" xfId="28833"/>
    <cellStyle name="백분율 6 4 3 9" xfId="28834"/>
    <cellStyle name="백분율 6 4 4" xfId="28835"/>
    <cellStyle name="백분율 6 4 4 10" xfId="28836"/>
    <cellStyle name="백분율 6 4 4 2" xfId="28837"/>
    <cellStyle name="백분율 6 4 4 2 2" xfId="28838"/>
    <cellStyle name="백분율 6 4 4 2 2 2" xfId="28839"/>
    <cellStyle name="백분율 6 4 4 2 2 2 2" xfId="28840"/>
    <cellStyle name="백분율 6 4 4 2 2 2 2 2" xfId="28841"/>
    <cellStyle name="백분율 6 4 4 2 2 2 2 3" xfId="28842"/>
    <cellStyle name="백분율 6 4 4 2 2 2 3" xfId="28843"/>
    <cellStyle name="백분율 6 4 4 2 2 2 4" xfId="28844"/>
    <cellStyle name="백분율 6 4 4 2 2 3" xfId="28845"/>
    <cellStyle name="백분율 6 4 4 2 2 3 2" xfId="28846"/>
    <cellStyle name="백분율 6 4 4 2 2 3 3" xfId="28847"/>
    <cellStyle name="백분율 6 4 4 2 2 4" xfId="28848"/>
    <cellStyle name="백분율 6 4 4 2 2 5" xfId="28849"/>
    <cellStyle name="백분율 6 4 4 2 3" xfId="28850"/>
    <cellStyle name="백분율 6 4 4 2 3 2" xfId="28851"/>
    <cellStyle name="백분율 6 4 4 2 3 2 2" xfId="28852"/>
    <cellStyle name="백분율 6 4 4 2 3 2 2 2" xfId="28853"/>
    <cellStyle name="백분율 6 4 4 2 3 2 2 3" xfId="28854"/>
    <cellStyle name="백분율 6 4 4 2 3 2 3" xfId="28855"/>
    <cellStyle name="백분율 6 4 4 2 3 2 4" xfId="28856"/>
    <cellStyle name="백분율 6 4 4 2 3 3" xfId="28857"/>
    <cellStyle name="백분율 6 4 4 2 3 3 2" xfId="28858"/>
    <cellStyle name="백분율 6 4 4 2 3 3 3" xfId="28859"/>
    <cellStyle name="백분율 6 4 4 2 3 4" xfId="28860"/>
    <cellStyle name="백분율 6 4 4 2 3 5" xfId="28861"/>
    <cellStyle name="백분율 6 4 4 2 4" xfId="28862"/>
    <cellStyle name="백분율 6 4 4 2 4 2" xfId="28863"/>
    <cellStyle name="백분율 6 4 4 2 4 2 2" xfId="28864"/>
    <cellStyle name="백분율 6 4 4 2 4 2 3" xfId="28865"/>
    <cellStyle name="백분율 6 4 4 2 4 3" xfId="28866"/>
    <cellStyle name="백분율 6 4 4 2 4 4" xfId="28867"/>
    <cellStyle name="백분율 6 4 4 2 5" xfId="28868"/>
    <cellStyle name="백분율 6 4 4 2 5 2" xfId="28869"/>
    <cellStyle name="백분율 6 4 4 2 5 3" xfId="28870"/>
    <cellStyle name="백분율 6 4 4 2 6" xfId="28871"/>
    <cellStyle name="백분율 6 4 4 2 7" xfId="28872"/>
    <cellStyle name="백분율 6 4 4 3" xfId="28873"/>
    <cellStyle name="백분율 6 4 4 3 2" xfId="28874"/>
    <cellStyle name="백분율 6 4 4 3 2 2" xfId="28875"/>
    <cellStyle name="백분율 6 4 4 3 2 2 2" xfId="28876"/>
    <cellStyle name="백분율 6 4 4 3 2 2 2 2" xfId="28877"/>
    <cellStyle name="백분율 6 4 4 3 2 2 2 3" xfId="28878"/>
    <cellStyle name="백분율 6 4 4 3 2 2 3" xfId="28879"/>
    <cellStyle name="백분율 6 4 4 3 2 2 4" xfId="28880"/>
    <cellStyle name="백분율 6 4 4 3 2 3" xfId="28881"/>
    <cellStyle name="백분율 6 4 4 3 2 3 2" xfId="28882"/>
    <cellStyle name="백분율 6 4 4 3 2 3 3" xfId="28883"/>
    <cellStyle name="백분율 6 4 4 3 2 4" xfId="28884"/>
    <cellStyle name="백분율 6 4 4 3 2 5" xfId="28885"/>
    <cellStyle name="백분율 6 4 4 3 3" xfId="28886"/>
    <cellStyle name="백분율 6 4 4 3 3 2" xfId="28887"/>
    <cellStyle name="백분율 6 4 4 3 3 2 2" xfId="28888"/>
    <cellStyle name="백분율 6 4 4 3 3 2 2 2" xfId="28889"/>
    <cellStyle name="백분율 6 4 4 3 3 2 2 3" xfId="28890"/>
    <cellStyle name="백분율 6 4 4 3 3 2 3" xfId="28891"/>
    <cellStyle name="백분율 6 4 4 3 3 2 4" xfId="28892"/>
    <cellStyle name="백분율 6 4 4 3 3 3" xfId="28893"/>
    <cellStyle name="백분율 6 4 4 3 3 3 2" xfId="28894"/>
    <cellStyle name="백분율 6 4 4 3 3 3 3" xfId="28895"/>
    <cellStyle name="백분율 6 4 4 3 3 4" xfId="28896"/>
    <cellStyle name="백분율 6 4 4 3 3 5" xfId="28897"/>
    <cellStyle name="백분율 6 4 4 3 4" xfId="28898"/>
    <cellStyle name="백분율 6 4 4 3 4 2" xfId="28899"/>
    <cellStyle name="백분율 6 4 4 3 4 2 2" xfId="28900"/>
    <cellStyle name="백분율 6 4 4 3 4 2 3" xfId="28901"/>
    <cellStyle name="백분율 6 4 4 3 4 3" xfId="28902"/>
    <cellStyle name="백분율 6 4 4 3 4 4" xfId="28903"/>
    <cellStyle name="백분율 6 4 4 3 5" xfId="28904"/>
    <cellStyle name="백분율 6 4 4 3 5 2" xfId="28905"/>
    <cellStyle name="백분율 6 4 4 3 5 3" xfId="28906"/>
    <cellStyle name="백분율 6 4 4 3 6" xfId="28907"/>
    <cellStyle name="백분율 6 4 4 3 7" xfId="28908"/>
    <cellStyle name="백분율 6 4 4 4" xfId="28909"/>
    <cellStyle name="백분율 6 4 4 4 2" xfId="28910"/>
    <cellStyle name="백분율 6 4 4 4 2 2" xfId="28911"/>
    <cellStyle name="백분율 6 4 4 4 2 2 2" xfId="28912"/>
    <cellStyle name="백분율 6 4 4 4 2 2 3" xfId="28913"/>
    <cellStyle name="백분율 6 4 4 4 2 3" xfId="28914"/>
    <cellStyle name="백분율 6 4 4 4 2 4" xfId="28915"/>
    <cellStyle name="백분율 6 4 4 4 3" xfId="28916"/>
    <cellStyle name="백분율 6 4 4 4 3 2" xfId="28917"/>
    <cellStyle name="백분율 6 4 4 4 3 3" xfId="28918"/>
    <cellStyle name="백분율 6 4 4 4 4" xfId="28919"/>
    <cellStyle name="백분율 6 4 4 4 5" xfId="28920"/>
    <cellStyle name="백분율 6 4 4 5" xfId="28921"/>
    <cellStyle name="백분율 6 4 4 5 2" xfId="28922"/>
    <cellStyle name="백분율 6 4 4 5 2 2" xfId="28923"/>
    <cellStyle name="백분율 6 4 4 5 2 2 2" xfId="28924"/>
    <cellStyle name="백분율 6 4 4 5 2 2 3" xfId="28925"/>
    <cellStyle name="백분율 6 4 4 5 2 3" xfId="28926"/>
    <cellStyle name="백분율 6 4 4 5 2 4" xfId="28927"/>
    <cellStyle name="백분율 6 4 4 5 3" xfId="28928"/>
    <cellStyle name="백분율 6 4 4 5 3 2" xfId="28929"/>
    <cellStyle name="백분율 6 4 4 5 3 3" xfId="28930"/>
    <cellStyle name="백분율 6 4 4 5 4" xfId="28931"/>
    <cellStyle name="백분율 6 4 4 5 5" xfId="28932"/>
    <cellStyle name="백분율 6 4 4 6" xfId="28933"/>
    <cellStyle name="백분율 6 4 4 6 2" xfId="28934"/>
    <cellStyle name="백분율 6 4 4 6 2 2" xfId="28935"/>
    <cellStyle name="백분율 6 4 4 6 2 2 2" xfId="28936"/>
    <cellStyle name="백분율 6 4 4 6 2 2 3" xfId="28937"/>
    <cellStyle name="백분율 6 4 4 6 2 3" xfId="28938"/>
    <cellStyle name="백분율 6 4 4 6 2 4" xfId="28939"/>
    <cellStyle name="백분율 6 4 4 6 3" xfId="28940"/>
    <cellStyle name="백분율 6 4 4 6 3 2" xfId="28941"/>
    <cellStyle name="백분율 6 4 4 6 3 3" xfId="28942"/>
    <cellStyle name="백분율 6 4 4 6 4" xfId="28943"/>
    <cellStyle name="백분율 6 4 4 6 5" xfId="28944"/>
    <cellStyle name="백분율 6 4 4 7" xfId="28945"/>
    <cellStyle name="백분율 6 4 4 7 2" xfId="28946"/>
    <cellStyle name="백분율 6 4 4 7 2 2" xfId="28947"/>
    <cellStyle name="백분율 6 4 4 7 2 3" xfId="28948"/>
    <cellStyle name="백분율 6 4 4 7 3" xfId="28949"/>
    <cellStyle name="백분율 6 4 4 7 4" xfId="28950"/>
    <cellStyle name="백분율 6 4 4 8" xfId="28951"/>
    <cellStyle name="백분율 6 4 4 8 2" xfId="28952"/>
    <cellStyle name="백분율 6 4 4 8 3" xfId="28953"/>
    <cellStyle name="백분율 6 4 4 9" xfId="28954"/>
    <cellStyle name="백분율 6 4 5" xfId="28955"/>
    <cellStyle name="백분율 6 4 5 10" xfId="28956"/>
    <cellStyle name="백분율 6 4 5 2" xfId="28957"/>
    <cellStyle name="백분율 6 4 5 2 2" xfId="28958"/>
    <cellStyle name="백분율 6 4 5 2 2 2" xfId="28959"/>
    <cellStyle name="백분율 6 4 5 2 2 2 2" xfId="28960"/>
    <cellStyle name="백분율 6 4 5 2 2 2 2 2" xfId="28961"/>
    <cellStyle name="백분율 6 4 5 2 2 2 2 3" xfId="28962"/>
    <cellStyle name="백분율 6 4 5 2 2 2 3" xfId="28963"/>
    <cellStyle name="백분율 6 4 5 2 2 2 4" xfId="28964"/>
    <cellStyle name="백분율 6 4 5 2 2 3" xfId="28965"/>
    <cellStyle name="백분율 6 4 5 2 2 3 2" xfId="28966"/>
    <cellStyle name="백분율 6 4 5 2 2 3 3" xfId="28967"/>
    <cellStyle name="백분율 6 4 5 2 2 4" xfId="28968"/>
    <cellStyle name="백분율 6 4 5 2 2 5" xfId="28969"/>
    <cellStyle name="백분율 6 4 5 2 3" xfId="28970"/>
    <cellStyle name="백분율 6 4 5 2 3 2" xfId="28971"/>
    <cellStyle name="백분율 6 4 5 2 3 2 2" xfId="28972"/>
    <cellStyle name="백분율 6 4 5 2 3 2 2 2" xfId="28973"/>
    <cellStyle name="백분율 6 4 5 2 3 2 2 3" xfId="28974"/>
    <cellStyle name="백분율 6 4 5 2 3 2 3" xfId="28975"/>
    <cellStyle name="백분율 6 4 5 2 3 2 4" xfId="28976"/>
    <cellStyle name="백분율 6 4 5 2 3 3" xfId="28977"/>
    <cellStyle name="백분율 6 4 5 2 3 3 2" xfId="28978"/>
    <cellStyle name="백분율 6 4 5 2 3 3 3" xfId="28979"/>
    <cellStyle name="백분율 6 4 5 2 3 4" xfId="28980"/>
    <cellStyle name="백분율 6 4 5 2 3 5" xfId="28981"/>
    <cellStyle name="백분율 6 4 5 2 4" xfId="28982"/>
    <cellStyle name="백분율 6 4 5 2 4 2" xfId="28983"/>
    <cellStyle name="백분율 6 4 5 2 4 2 2" xfId="28984"/>
    <cellStyle name="백분율 6 4 5 2 4 2 3" xfId="28985"/>
    <cellStyle name="백분율 6 4 5 2 4 3" xfId="28986"/>
    <cellStyle name="백분율 6 4 5 2 4 4" xfId="28987"/>
    <cellStyle name="백분율 6 4 5 2 5" xfId="28988"/>
    <cellStyle name="백분율 6 4 5 2 5 2" xfId="28989"/>
    <cellStyle name="백분율 6 4 5 2 5 3" xfId="28990"/>
    <cellStyle name="백분율 6 4 5 2 6" xfId="28991"/>
    <cellStyle name="백분율 6 4 5 2 7" xfId="28992"/>
    <cellStyle name="백분율 6 4 5 3" xfId="28993"/>
    <cellStyle name="백분율 6 4 5 3 2" xfId="28994"/>
    <cellStyle name="백분율 6 4 5 3 2 2" xfId="28995"/>
    <cellStyle name="백분율 6 4 5 3 2 2 2" xfId="28996"/>
    <cellStyle name="백분율 6 4 5 3 2 2 2 2" xfId="28997"/>
    <cellStyle name="백분율 6 4 5 3 2 2 2 3" xfId="28998"/>
    <cellStyle name="백분율 6 4 5 3 2 2 3" xfId="28999"/>
    <cellStyle name="백분율 6 4 5 3 2 2 4" xfId="29000"/>
    <cellStyle name="백분율 6 4 5 3 2 3" xfId="29001"/>
    <cellStyle name="백분율 6 4 5 3 2 3 2" xfId="29002"/>
    <cellStyle name="백분율 6 4 5 3 2 3 3" xfId="29003"/>
    <cellStyle name="백분율 6 4 5 3 2 4" xfId="29004"/>
    <cellStyle name="백분율 6 4 5 3 2 5" xfId="29005"/>
    <cellStyle name="백분율 6 4 5 3 3" xfId="29006"/>
    <cellStyle name="백분율 6 4 5 3 3 2" xfId="29007"/>
    <cellStyle name="백분율 6 4 5 3 3 2 2" xfId="29008"/>
    <cellStyle name="백분율 6 4 5 3 3 2 2 2" xfId="29009"/>
    <cellStyle name="백분율 6 4 5 3 3 2 2 3" xfId="29010"/>
    <cellStyle name="백분율 6 4 5 3 3 2 3" xfId="29011"/>
    <cellStyle name="백분율 6 4 5 3 3 2 4" xfId="29012"/>
    <cellStyle name="백분율 6 4 5 3 3 3" xfId="29013"/>
    <cellStyle name="백분율 6 4 5 3 3 3 2" xfId="29014"/>
    <cellStyle name="백분율 6 4 5 3 3 3 3" xfId="29015"/>
    <cellStyle name="백분율 6 4 5 3 3 4" xfId="29016"/>
    <cellStyle name="백분율 6 4 5 3 3 5" xfId="29017"/>
    <cellStyle name="백분율 6 4 5 3 4" xfId="29018"/>
    <cellStyle name="백분율 6 4 5 3 4 2" xfId="29019"/>
    <cellStyle name="백분율 6 4 5 3 4 2 2" xfId="29020"/>
    <cellStyle name="백분율 6 4 5 3 4 2 3" xfId="29021"/>
    <cellStyle name="백분율 6 4 5 3 4 3" xfId="29022"/>
    <cellStyle name="백분율 6 4 5 3 4 4" xfId="29023"/>
    <cellStyle name="백분율 6 4 5 3 5" xfId="29024"/>
    <cellStyle name="백분율 6 4 5 3 5 2" xfId="29025"/>
    <cellStyle name="백분율 6 4 5 3 5 3" xfId="29026"/>
    <cellStyle name="백분율 6 4 5 3 6" xfId="29027"/>
    <cellStyle name="백분율 6 4 5 3 7" xfId="29028"/>
    <cellStyle name="백분율 6 4 5 4" xfId="29029"/>
    <cellStyle name="백분율 6 4 5 4 2" xfId="29030"/>
    <cellStyle name="백분율 6 4 5 4 2 2" xfId="29031"/>
    <cellStyle name="백분율 6 4 5 4 2 2 2" xfId="29032"/>
    <cellStyle name="백분율 6 4 5 4 2 2 3" xfId="29033"/>
    <cellStyle name="백분율 6 4 5 4 2 3" xfId="29034"/>
    <cellStyle name="백분율 6 4 5 4 2 4" xfId="29035"/>
    <cellStyle name="백분율 6 4 5 4 3" xfId="29036"/>
    <cellStyle name="백분율 6 4 5 4 3 2" xfId="29037"/>
    <cellStyle name="백분율 6 4 5 4 3 3" xfId="29038"/>
    <cellStyle name="백분율 6 4 5 4 4" xfId="29039"/>
    <cellStyle name="백분율 6 4 5 4 5" xfId="29040"/>
    <cellStyle name="백분율 6 4 5 5" xfId="29041"/>
    <cellStyle name="백분율 6 4 5 5 2" xfId="29042"/>
    <cellStyle name="백분율 6 4 5 5 2 2" xfId="29043"/>
    <cellStyle name="백분율 6 4 5 5 2 2 2" xfId="29044"/>
    <cellStyle name="백분율 6 4 5 5 2 2 3" xfId="29045"/>
    <cellStyle name="백분율 6 4 5 5 2 3" xfId="29046"/>
    <cellStyle name="백분율 6 4 5 5 2 4" xfId="29047"/>
    <cellStyle name="백분율 6 4 5 5 3" xfId="29048"/>
    <cellStyle name="백분율 6 4 5 5 3 2" xfId="29049"/>
    <cellStyle name="백분율 6 4 5 5 3 3" xfId="29050"/>
    <cellStyle name="백분율 6 4 5 5 4" xfId="29051"/>
    <cellStyle name="백분율 6 4 5 5 5" xfId="29052"/>
    <cellStyle name="백분율 6 4 5 6" xfId="29053"/>
    <cellStyle name="백분율 6 4 5 6 2" xfId="29054"/>
    <cellStyle name="백분율 6 4 5 6 2 2" xfId="29055"/>
    <cellStyle name="백분율 6 4 5 6 2 2 2" xfId="29056"/>
    <cellStyle name="백분율 6 4 5 6 2 2 3" xfId="29057"/>
    <cellStyle name="백분율 6 4 5 6 2 3" xfId="29058"/>
    <cellStyle name="백분율 6 4 5 6 2 4" xfId="29059"/>
    <cellStyle name="백분율 6 4 5 6 3" xfId="29060"/>
    <cellStyle name="백분율 6 4 5 6 3 2" xfId="29061"/>
    <cellStyle name="백분율 6 4 5 6 3 3" xfId="29062"/>
    <cellStyle name="백분율 6 4 5 6 4" xfId="29063"/>
    <cellStyle name="백분율 6 4 5 6 5" xfId="29064"/>
    <cellStyle name="백분율 6 4 5 7" xfId="29065"/>
    <cellStyle name="백분율 6 4 5 7 2" xfId="29066"/>
    <cellStyle name="백분율 6 4 5 7 2 2" xfId="29067"/>
    <cellStyle name="백분율 6 4 5 7 2 3" xfId="29068"/>
    <cellStyle name="백분율 6 4 5 7 3" xfId="29069"/>
    <cellStyle name="백분율 6 4 5 7 4" xfId="29070"/>
    <cellStyle name="백분율 6 4 5 8" xfId="29071"/>
    <cellStyle name="백분율 6 4 5 8 2" xfId="29072"/>
    <cellStyle name="백분율 6 4 5 8 3" xfId="29073"/>
    <cellStyle name="백분율 6 4 5 9" xfId="29074"/>
    <cellStyle name="백분율 6 4 6" xfId="29075"/>
    <cellStyle name="백분율 6 4 6 2" xfId="29076"/>
    <cellStyle name="백분율 6 4 6 2 2" xfId="29077"/>
    <cellStyle name="백분율 6 4 6 2 2 2" xfId="29078"/>
    <cellStyle name="백분율 6 4 6 2 2 2 2" xfId="29079"/>
    <cellStyle name="백분율 6 4 6 2 2 2 3" xfId="29080"/>
    <cellStyle name="백분율 6 4 6 2 2 3" xfId="29081"/>
    <cellStyle name="백분율 6 4 6 2 2 4" xfId="29082"/>
    <cellStyle name="백분율 6 4 6 2 3" xfId="29083"/>
    <cellStyle name="백분율 6 4 6 2 3 2" xfId="29084"/>
    <cellStyle name="백분율 6 4 6 2 3 3" xfId="29085"/>
    <cellStyle name="백분율 6 4 6 2 4" xfId="29086"/>
    <cellStyle name="백분율 6 4 6 2 5" xfId="29087"/>
    <cellStyle name="백분율 6 4 6 3" xfId="29088"/>
    <cellStyle name="백분율 6 4 6 3 2" xfId="29089"/>
    <cellStyle name="백분율 6 4 6 3 2 2" xfId="29090"/>
    <cellStyle name="백분율 6 4 6 3 2 2 2" xfId="29091"/>
    <cellStyle name="백분율 6 4 6 3 2 2 3" xfId="29092"/>
    <cellStyle name="백분율 6 4 6 3 2 3" xfId="29093"/>
    <cellStyle name="백분율 6 4 6 3 2 4" xfId="29094"/>
    <cellStyle name="백분율 6 4 6 3 3" xfId="29095"/>
    <cellStyle name="백분율 6 4 6 3 3 2" xfId="29096"/>
    <cellStyle name="백분율 6 4 6 3 3 3" xfId="29097"/>
    <cellStyle name="백분율 6 4 6 3 4" xfId="29098"/>
    <cellStyle name="백분율 6 4 6 3 5" xfId="29099"/>
    <cellStyle name="백분율 6 4 6 4" xfId="29100"/>
    <cellStyle name="백분율 6 4 6 4 2" xfId="29101"/>
    <cellStyle name="백분율 6 4 6 4 2 2" xfId="29102"/>
    <cellStyle name="백분율 6 4 6 4 2 3" xfId="29103"/>
    <cellStyle name="백분율 6 4 6 4 3" xfId="29104"/>
    <cellStyle name="백분율 6 4 6 4 4" xfId="29105"/>
    <cellStyle name="백분율 6 4 6 5" xfId="29106"/>
    <cellStyle name="백분율 6 4 6 5 2" xfId="29107"/>
    <cellStyle name="백분율 6 4 6 5 3" xfId="29108"/>
    <cellStyle name="백분율 6 4 6 6" xfId="29109"/>
    <cellStyle name="백분율 6 4 6 7" xfId="29110"/>
    <cellStyle name="백분율 6 4 7" xfId="29111"/>
    <cellStyle name="백분율 6 4 7 2" xfId="29112"/>
    <cellStyle name="백분율 6 4 7 2 2" xfId="29113"/>
    <cellStyle name="백분율 6 4 7 2 2 2" xfId="29114"/>
    <cellStyle name="백분율 6 4 7 2 2 2 2" xfId="29115"/>
    <cellStyle name="백분율 6 4 7 2 2 2 3" xfId="29116"/>
    <cellStyle name="백분율 6 4 7 2 2 3" xfId="29117"/>
    <cellStyle name="백분율 6 4 7 2 2 4" xfId="29118"/>
    <cellStyle name="백분율 6 4 7 2 3" xfId="29119"/>
    <cellStyle name="백분율 6 4 7 2 3 2" xfId="29120"/>
    <cellStyle name="백분율 6 4 7 2 3 3" xfId="29121"/>
    <cellStyle name="백분율 6 4 7 2 4" xfId="29122"/>
    <cellStyle name="백분율 6 4 7 2 5" xfId="29123"/>
    <cellStyle name="백분율 6 4 7 3" xfId="29124"/>
    <cellStyle name="백분율 6 4 7 3 2" xfId="29125"/>
    <cellStyle name="백분율 6 4 7 3 2 2" xfId="29126"/>
    <cellStyle name="백분율 6 4 7 3 2 2 2" xfId="29127"/>
    <cellStyle name="백분율 6 4 7 3 2 2 3" xfId="29128"/>
    <cellStyle name="백분율 6 4 7 3 2 3" xfId="29129"/>
    <cellStyle name="백분율 6 4 7 3 2 4" xfId="29130"/>
    <cellStyle name="백분율 6 4 7 3 3" xfId="29131"/>
    <cellStyle name="백분율 6 4 7 3 3 2" xfId="29132"/>
    <cellStyle name="백분율 6 4 7 3 3 3" xfId="29133"/>
    <cellStyle name="백분율 6 4 7 3 4" xfId="29134"/>
    <cellStyle name="백분율 6 4 7 3 5" xfId="29135"/>
    <cellStyle name="백분율 6 4 7 4" xfId="29136"/>
    <cellStyle name="백분율 6 4 7 4 2" xfId="29137"/>
    <cellStyle name="백분율 6 4 7 4 2 2" xfId="29138"/>
    <cellStyle name="백분율 6 4 7 4 2 3" xfId="29139"/>
    <cellStyle name="백분율 6 4 7 4 3" xfId="29140"/>
    <cellStyle name="백분율 6 4 7 4 4" xfId="29141"/>
    <cellStyle name="백분율 6 4 7 5" xfId="29142"/>
    <cellStyle name="백분율 6 4 7 5 2" xfId="29143"/>
    <cellStyle name="백분율 6 4 7 5 3" xfId="29144"/>
    <cellStyle name="백분율 6 4 7 6" xfId="29145"/>
    <cellStyle name="백분율 6 4 7 7" xfId="29146"/>
    <cellStyle name="백분율 6 4 8" xfId="29147"/>
    <cellStyle name="백분율 6 4 8 2" xfId="29148"/>
    <cellStyle name="백분율 6 4 8 2 2" xfId="29149"/>
    <cellStyle name="백분율 6 4 8 2 2 2" xfId="29150"/>
    <cellStyle name="백분율 6 4 8 2 2 3" xfId="29151"/>
    <cellStyle name="백분율 6 4 8 2 3" xfId="29152"/>
    <cellStyle name="백분율 6 4 8 2 4" xfId="29153"/>
    <cellStyle name="백분율 6 4 8 3" xfId="29154"/>
    <cellStyle name="백분율 6 4 8 3 2" xfId="29155"/>
    <cellStyle name="백분율 6 4 8 3 3" xfId="29156"/>
    <cellStyle name="백분율 6 4 8 4" xfId="29157"/>
    <cellStyle name="백분율 6 4 8 5" xfId="29158"/>
    <cellStyle name="백분율 6 4 9" xfId="29159"/>
    <cellStyle name="백분율 6 4 9 2" xfId="29160"/>
    <cellStyle name="백분율 6 4 9 2 2" xfId="29161"/>
    <cellStyle name="백분율 6 4 9 2 2 2" xfId="29162"/>
    <cellStyle name="백분율 6 4 9 2 2 3" xfId="29163"/>
    <cellStyle name="백분율 6 4 9 2 3" xfId="29164"/>
    <cellStyle name="백분율 6 4 9 2 4" xfId="29165"/>
    <cellStyle name="백분율 6 4 9 3" xfId="29166"/>
    <cellStyle name="백분율 6 4 9 3 2" xfId="29167"/>
    <cellStyle name="백분율 6 4 9 3 3" xfId="29168"/>
    <cellStyle name="백분율 6 4 9 4" xfId="29169"/>
    <cellStyle name="백분율 6 4 9 5" xfId="29170"/>
    <cellStyle name="백분율 6 5" xfId="29171"/>
    <cellStyle name="백분율 6 5 10" xfId="29172"/>
    <cellStyle name="백분율 6 5 10 2" xfId="29173"/>
    <cellStyle name="백분율 6 5 10 2 2" xfId="29174"/>
    <cellStyle name="백분율 6 5 10 2 3" xfId="29175"/>
    <cellStyle name="백분율 6 5 10 3" xfId="29176"/>
    <cellStyle name="백분율 6 5 10 4" xfId="29177"/>
    <cellStyle name="백분율 6 5 11" xfId="29178"/>
    <cellStyle name="백분율 6 5 11 2" xfId="29179"/>
    <cellStyle name="백분율 6 5 11 3" xfId="29180"/>
    <cellStyle name="백분율 6 5 12" xfId="29181"/>
    <cellStyle name="백분율 6 5 13" xfId="29182"/>
    <cellStyle name="백분율 6 5 2" xfId="29183"/>
    <cellStyle name="백분율 6 5 2 10" xfId="29184"/>
    <cellStyle name="백분율 6 5 2 2" xfId="29185"/>
    <cellStyle name="백분율 6 5 2 2 2" xfId="29186"/>
    <cellStyle name="백분율 6 5 2 2 2 2" xfId="29187"/>
    <cellStyle name="백분율 6 5 2 2 2 2 2" xfId="29188"/>
    <cellStyle name="백분율 6 5 2 2 2 2 2 2" xfId="29189"/>
    <cellStyle name="백분율 6 5 2 2 2 2 2 3" xfId="29190"/>
    <cellStyle name="백분율 6 5 2 2 2 2 3" xfId="29191"/>
    <cellStyle name="백분율 6 5 2 2 2 2 4" xfId="29192"/>
    <cellStyle name="백분율 6 5 2 2 2 3" xfId="29193"/>
    <cellStyle name="백분율 6 5 2 2 2 3 2" xfId="29194"/>
    <cellStyle name="백분율 6 5 2 2 2 3 3" xfId="29195"/>
    <cellStyle name="백분율 6 5 2 2 2 4" xfId="29196"/>
    <cellStyle name="백분율 6 5 2 2 2 5" xfId="29197"/>
    <cellStyle name="백분율 6 5 2 2 3" xfId="29198"/>
    <cellStyle name="백분율 6 5 2 2 3 2" xfId="29199"/>
    <cellStyle name="백분율 6 5 2 2 3 2 2" xfId="29200"/>
    <cellStyle name="백분율 6 5 2 2 3 2 2 2" xfId="29201"/>
    <cellStyle name="백분율 6 5 2 2 3 2 2 3" xfId="29202"/>
    <cellStyle name="백분율 6 5 2 2 3 2 3" xfId="29203"/>
    <cellStyle name="백분율 6 5 2 2 3 2 4" xfId="29204"/>
    <cellStyle name="백분율 6 5 2 2 3 3" xfId="29205"/>
    <cellStyle name="백분율 6 5 2 2 3 3 2" xfId="29206"/>
    <cellStyle name="백분율 6 5 2 2 3 3 3" xfId="29207"/>
    <cellStyle name="백분율 6 5 2 2 3 4" xfId="29208"/>
    <cellStyle name="백분율 6 5 2 2 3 5" xfId="29209"/>
    <cellStyle name="백분율 6 5 2 2 4" xfId="29210"/>
    <cellStyle name="백분율 6 5 2 2 4 2" xfId="29211"/>
    <cellStyle name="백분율 6 5 2 2 4 2 2" xfId="29212"/>
    <cellStyle name="백분율 6 5 2 2 4 2 3" xfId="29213"/>
    <cellStyle name="백분율 6 5 2 2 4 3" xfId="29214"/>
    <cellStyle name="백분율 6 5 2 2 4 4" xfId="29215"/>
    <cellStyle name="백분율 6 5 2 2 5" xfId="29216"/>
    <cellStyle name="백분율 6 5 2 2 5 2" xfId="29217"/>
    <cellStyle name="백분율 6 5 2 2 5 3" xfId="29218"/>
    <cellStyle name="백분율 6 5 2 2 6" xfId="29219"/>
    <cellStyle name="백분율 6 5 2 2 7" xfId="29220"/>
    <cellStyle name="백분율 6 5 2 3" xfId="29221"/>
    <cellStyle name="백분율 6 5 2 3 2" xfId="29222"/>
    <cellStyle name="백분율 6 5 2 3 2 2" xfId="29223"/>
    <cellStyle name="백분율 6 5 2 3 2 2 2" xfId="29224"/>
    <cellStyle name="백분율 6 5 2 3 2 2 2 2" xfId="29225"/>
    <cellStyle name="백분율 6 5 2 3 2 2 2 3" xfId="29226"/>
    <cellStyle name="백분율 6 5 2 3 2 2 3" xfId="29227"/>
    <cellStyle name="백분율 6 5 2 3 2 2 4" xfId="29228"/>
    <cellStyle name="백분율 6 5 2 3 2 3" xfId="29229"/>
    <cellStyle name="백분율 6 5 2 3 2 3 2" xfId="29230"/>
    <cellStyle name="백분율 6 5 2 3 2 3 3" xfId="29231"/>
    <cellStyle name="백분율 6 5 2 3 2 4" xfId="29232"/>
    <cellStyle name="백분율 6 5 2 3 2 5" xfId="29233"/>
    <cellStyle name="백분율 6 5 2 3 3" xfId="29234"/>
    <cellStyle name="백분율 6 5 2 3 3 2" xfId="29235"/>
    <cellStyle name="백분율 6 5 2 3 3 2 2" xfId="29236"/>
    <cellStyle name="백분율 6 5 2 3 3 2 2 2" xfId="29237"/>
    <cellStyle name="백분율 6 5 2 3 3 2 2 3" xfId="29238"/>
    <cellStyle name="백분율 6 5 2 3 3 2 3" xfId="29239"/>
    <cellStyle name="백분율 6 5 2 3 3 2 4" xfId="29240"/>
    <cellStyle name="백분율 6 5 2 3 3 3" xfId="29241"/>
    <cellStyle name="백분율 6 5 2 3 3 3 2" xfId="29242"/>
    <cellStyle name="백분율 6 5 2 3 3 3 3" xfId="29243"/>
    <cellStyle name="백분율 6 5 2 3 3 4" xfId="29244"/>
    <cellStyle name="백분율 6 5 2 3 3 5" xfId="29245"/>
    <cellStyle name="백분율 6 5 2 3 4" xfId="29246"/>
    <cellStyle name="백분율 6 5 2 3 4 2" xfId="29247"/>
    <cellStyle name="백분율 6 5 2 3 4 2 2" xfId="29248"/>
    <cellStyle name="백분율 6 5 2 3 4 2 3" xfId="29249"/>
    <cellStyle name="백분율 6 5 2 3 4 3" xfId="29250"/>
    <cellStyle name="백분율 6 5 2 3 4 4" xfId="29251"/>
    <cellStyle name="백분율 6 5 2 3 5" xfId="29252"/>
    <cellStyle name="백분율 6 5 2 3 5 2" xfId="29253"/>
    <cellStyle name="백분율 6 5 2 3 5 3" xfId="29254"/>
    <cellStyle name="백분율 6 5 2 3 6" xfId="29255"/>
    <cellStyle name="백분율 6 5 2 3 7" xfId="29256"/>
    <cellStyle name="백분율 6 5 2 4" xfId="29257"/>
    <cellStyle name="백분율 6 5 2 4 2" xfId="29258"/>
    <cellStyle name="백분율 6 5 2 4 2 2" xfId="29259"/>
    <cellStyle name="백분율 6 5 2 4 2 2 2" xfId="29260"/>
    <cellStyle name="백분율 6 5 2 4 2 2 3" xfId="29261"/>
    <cellStyle name="백분율 6 5 2 4 2 3" xfId="29262"/>
    <cellStyle name="백분율 6 5 2 4 2 4" xfId="29263"/>
    <cellStyle name="백분율 6 5 2 4 3" xfId="29264"/>
    <cellStyle name="백분율 6 5 2 4 3 2" xfId="29265"/>
    <cellStyle name="백분율 6 5 2 4 3 3" xfId="29266"/>
    <cellStyle name="백분율 6 5 2 4 4" xfId="29267"/>
    <cellStyle name="백분율 6 5 2 4 5" xfId="29268"/>
    <cellStyle name="백분율 6 5 2 5" xfId="29269"/>
    <cellStyle name="백분율 6 5 2 5 2" xfId="29270"/>
    <cellStyle name="백분율 6 5 2 5 2 2" xfId="29271"/>
    <cellStyle name="백분율 6 5 2 5 2 2 2" xfId="29272"/>
    <cellStyle name="백분율 6 5 2 5 2 2 3" xfId="29273"/>
    <cellStyle name="백분율 6 5 2 5 2 3" xfId="29274"/>
    <cellStyle name="백분율 6 5 2 5 2 4" xfId="29275"/>
    <cellStyle name="백분율 6 5 2 5 3" xfId="29276"/>
    <cellStyle name="백분율 6 5 2 5 3 2" xfId="29277"/>
    <cellStyle name="백분율 6 5 2 5 3 3" xfId="29278"/>
    <cellStyle name="백분율 6 5 2 5 4" xfId="29279"/>
    <cellStyle name="백분율 6 5 2 5 5" xfId="29280"/>
    <cellStyle name="백분율 6 5 2 6" xfId="29281"/>
    <cellStyle name="백분율 6 5 2 6 2" xfId="29282"/>
    <cellStyle name="백분율 6 5 2 6 2 2" xfId="29283"/>
    <cellStyle name="백분율 6 5 2 6 2 2 2" xfId="29284"/>
    <cellStyle name="백분율 6 5 2 6 2 2 3" xfId="29285"/>
    <cellStyle name="백분율 6 5 2 6 2 3" xfId="29286"/>
    <cellStyle name="백분율 6 5 2 6 2 4" xfId="29287"/>
    <cellStyle name="백분율 6 5 2 6 3" xfId="29288"/>
    <cellStyle name="백분율 6 5 2 6 3 2" xfId="29289"/>
    <cellStyle name="백분율 6 5 2 6 3 3" xfId="29290"/>
    <cellStyle name="백분율 6 5 2 6 4" xfId="29291"/>
    <cellStyle name="백분율 6 5 2 6 5" xfId="29292"/>
    <cellStyle name="백분율 6 5 2 7" xfId="29293"/>
    <cellStyle name="백분율 6 5 2 7 2" xfId="29294"/>
    <cellStyle name="백분율 6 5 2 7 2 2" xfId="29295"/>
    <cellStyle name="백분율 6 5 2 7 2 3" xfId="29296"/>
    <cellStyle name="백분율 6 5 2 7 3" xfId="29297"/>
    <cellStyle name="백분율 6 5 2 7 4" xfId="29298"/>
    <cellStyle name="백분율 6 5 2 8" xfId="29299"/>
    <cellStyle name="백분율 6 5 2 8 2" xfId="29300"/>
    <cellStyle name="백분율 6 5 2 8 3" xfId="29301"/>
    <cellStyle name="백분율 6 5 2 9" xfId="29302"/>
    <cellStyle name="백분율 6 5 3" xfId="29303"/>
    <cellStyle name="백분율 6 5 3 10" xfId="29304"/>
    <cellStyle name="백분율 6 5 3 2" xfId="29305"/>
    <cellStyle name="백분율 6 5 3 2 2" xfId="29306"/>
    <cellStyle name="백분율 6 5 3 2 2 2" xfId="29307"/>
    <cellStyle name="백분율 6 5 3 2 2 2 2" xfId="29308"/>
    <cellStyle name="백분율 6 5 3 2 2 2 2 2" xfId="29309"/>
    <cellStyle name="백분율 6 5 3 2 2 2 2 3" xfId="29310"/>
    <cellStyle name="백분율 6 5 3 2 2 2 3" xfId="29311"/>
    <cellStyle name="백분율 6 5 3 2 2 2 4" xfId="29312"/>
    <cellStyle name="백분율 6 5 3 2 2 3" xfId="29313"/>
    <cellStyle name="백분율 6 5 3 2 2 3 2" xfId="29314"/>
    <cellStyle name="백분율 6 5 3 2 2 3 3" xfId="29315"/>
    <cellStyle name="백분율 6 5 3 2 2 4" xfId="29316"/>
    <cellStyle name="백분율 6 5 3 2 2 5" xfId="29317"/>
    <cellStyle name="백분율 6 5 3 2 3" xfId="29318"/>
    <cellStyle name="백분율 6 5 3 2 3 2" xfId="29319"/>
    <cellStyle name="백분율 6 5 3 2 3 2 2" xfId="29320"/>
    <cellStyle name="백분율 6 5 3 2 3 2 2 2" xfId="29321"/>
    <cellStyle name="백분율 6 5 3 2 3 2 2 3" xfId="29322"/>
    <cellStyle name="백분율 6 5 3 2 3 2 3" xfId="29323"/>
    <cellStyle name="백분율 6 5 3 2 3 2 4" xfId="29324"/>
    <cellStyle name="백분율 6 5 3 2 3 3" xfId="29325"/>
    <cellStyle name="백분율 6 5 3 2 3 3 2" xfId="29326"/>
    <cellStyle name="백분율 6 5 3 2 3 3 3" xfId="29327"/>
    <cellStyle name="백분율 6 5 3 2 3 4" xfId="29328"/>
    <cellStyle name="백분율 6 5 3 2 3 5" xfId="29329"/>
    <cellStyle name="백분율 6 5 3 2 4" xfId="29330"/>
    <cellStyle name="백분율 6 5 3 2 4 2" xfId="29331"/>
    <cellStyle name="백분율 6 5 3 2 4 2 2" xfId="29332"/>
    <cellStyle name="백분율 6 5 3 2 4 2 3" xfId="29333"/>
    <cellStyle name="백분율 6 5 3 2 4 3" xfId="29334"/>
    <cellStyle name="백분율 6 5 3 2 4 4" xfId="29335"/>
    <cellStyle name="백분율 6 5 3 2 5" xfId="29336"/>
    <cellStyle name="백분율 6 5 3 2 5 2" xfId="29337"/>
    <cellStyle name="백분율 6 5 3 2 5 3" xfId="29338"/>
    <cellStyle name="백분율 6 5 3 2 6" xfId="29339"/>
    <cellStyle name="백분율 6 5 3 2 7" xfId="29340"/>
    <cellStyle name="백분율 6 5 3 3" xfId="29341"/>
    <cellStyle name="백분율 6 5 3 3 2" xfId="29342"/>
    <cellStyle name="백분율 6 5 3 3 2 2" xfId="29343"/>
    <cellStyle name="백분율 6 5 3 3 2 2 2" xfId="29344"/>
    <cellStyle name="백분율 6 5 3 3 2 2 2 2" xfId="29345"/>
    <cellStyle name="백분율 6 5 3 3 2 2 2 3" xfId="29346"/>
    <cellStyle name="백분율 6 5 3 3 2 2 3" xfId="29347"/>
    <cellStyle name="백분율 6 5 3 3 2 2 4" xfId="29348"/>
    <cellStyle name="백분율 6 5 3 3 2 3" xfId="29349"/>
    <cellStyle name="백분율 6 5 3 3 2 3 2" xfId="29350"/>
    <cellStyle name="백분율 6 5 3 3 2 3 3" xfId="29351"/>
    <cellStyle name="백분율 6 5 3 3 2 4" xfId="29352"/>
    <cellStyle name="백분율 6 5 3 3 2 5" xfId="29353"/>
    <cellStyle name="백분율 6 5 3 3 3" xfId="29354"/>
    <cellStyle name="백분율 6 5 3 3 3 2" xfId="29355"/>
    <cellStyle name="백분율 6 5 3 3 3 2 2" xfId="29356"/>
    <cellStyle name="백분율 6 5 3 3 3 2 2 2" xfId="29357"/>
    <cellStyle name="백분율 6 5 3 3 3 2 2 3" xfId="29358"/>
    <cellStyle name="백분율 6 5 3 3 3 2 3" xfId="29359"/>
    <cellStyle name="백분율 6 5 3 3 3 2 4" xfId="29360"/>
    <cellStyle name="백분율 6 5 3 3 3 3" xfId="29361"/>
    <cellStyle name="백분율 6 5 3 3 3 3 2" xfId="29362"/>
    <cellStyle name="백분율 6 5 3 3 3 3 3" xfId="29363"/>
    <cellStyle name="백분율 6 5 3 3 3 4" xfId="29364"/>
    <cellStyle name="백분율 6 5 3 3 3 5" xfId="29365"/>
    <cellStyle name="백분율 6 5 3 3 4" xfId="29366"/>
    <cellStyle name="백분율 6 5 3 3 4 2" xfId="29367"/>
    <cellStyle name="백분율 6 5 3 3 4 2 2" xfId="29368"/>
    <cellStyle name="백분율 6 5 3 3 4 2 3" xfId="29369"/>
    <cellStyle name="백분율 6 5 3 3 4 3" xfId="29370"/>
    <cellStyle name="백분율 6 5 3 3 4 4" xfId="29371"/>
    <cellStyle name="백분율 6 5 3 3 5" xfId="29372"/>
    <cellStyle name="백분율 6 5 3 3 5 2" xfId="29373"/>
    <cellStyle name="백분율 6 5 3 3 5 3" xfId="29374"/>
    <cellStyle name="백분율 6 5 3 3 6" xfId="29375"/>
    <cellStyle name="백분율 6 5 3 3 7" xfId="29376"/>
    <cellStyle name="백분율 6 5 3 4" xfId="29377"/>
    <cellStyle name="백분율 6 5 3 4 2" xfId="29378"/>
    <cellStyle name="백분율 6 5 3 4 2 2" xfId="29379"/>
    <cellStyle name="백분율 6 5 3 4 2 2 2" xfId="29380"/>
    <cellStyle name="백분율 6 5 3 4 2 2 3" xfId="29381"/>
    <cellStyle name="백분율 6 5 3 4 2 3" xfId="29382"/>
    <cellStyle name="백분율 6 5 3 4 2 4" xfId="29383"/>
    <cellStyle name="백분율 6 5 3 4 3" xfId="29384"/>
    <cellStyle name="백분율 6 5 3 4 3 2" xfId="29385"/>
    <cellStyle name="백분율 6 5 3 4 3 3" xfId="29386"/>
    <cellStyle name="백분율 6 5 3 4 4" xfId="29387"/>
    <cellStyle name="백분율 6 5 3 4 5" xfId="29388"/>
    <cellStyle name="백분율 6 5 3 5" xfId="29389"/>
    <cellStyle name="백분율 6 5 3 5 2" xfId="29390"/>
    <cellStyle name="백분율 6 5 3 5 2 2" xfId="29391"/>
    <cellStyle name="백분율 6 5 3 5 2 2 2" xfId="29392"/>
    <cellStyle name="백분율 6 5 3 5 2 2 3" xfId="29393"/>
    <cellStyle name="백분율 6 5 3 5 2 3" xfId="29394"/>
    <cellStyle name="백분율 6 5 3 5 2 4" xfId="29395"/>
    <cellStyle name="백분율 6 5 3 5 3" xfId="29396"/>
    <cellStyle name="백분율 6 5 3 5 3 2" xfId="29397"/>
    <cellStyle name="백분율 6 5 3 5 3 3" xfId="29398"/>
    <cellStyle name="백분율 6 5 3 5 4" xfId="29399"/>
    <cellStyle name="백분율 6 5 3 5 5" xfId="29400"/>
    <cellStyle name="백분율 6 5 3 6" xfId="29401"/>
    <cellStyle name="백분율 6 5 3 6 2" xfId="29402"/>
    <cellStyle name="백분율 6 5 3 6 2 2" xfId="29403"/>
    <cellStyle name="백분율 6 5 3 6 2 2 2" xfId="29404"/>
    <cellStyle name="백분율 6 5 3 6 2 2 3" xfId="29405"/>
    <cellStyle name="백분율 6 5 3 6 2 3" xfId="29406"/>
    <cellStyle name="백분율 6 5 3 6 2 4" xfId="29407"/>
    <cellStyle name="백분율 6 5 3 6 3" xfId="29408"/>
    <cellStyle name="백분율 6 5 3 6 3 2" xfId="29409"/>
    <cellStyle name="백분율 6 5 3 6 3 3" xfId="29410"/>
    <cellStyle name="백분율 6 5 3 6 4" xfId="29411"/>
    <cellStyle name="백분율 6 5 3 6 5" xfId="29412"/>
    <cellStyle name="백분율 6 5 3 7" xfId="29413"/>
    <cellStyle name="백분율 6 5 3 7 2" xfId="29414"/>
    <cellStyle name="백분율 6 5 3 7 2 2" xfId="29415"/>
    <cellStyle name="백분율 6 5 3 7 2 3" xfId="29416"/>
    <cellStyle name="백분율 6 5 3 7 3" xfId="29417"/>
    <cellStyle name="백분율 6 5 3 7 4" xfId="29418"/>
    <cellStyle name="백분율 6 5 3 8" xfId="29419"/>
    <cellStyle name="백분율 6 5 3 8 2" xfId="29420"/>
    <cellStyle name="백분율 6 5 3 8 3" xfId="29421"/>
    <cellStyle name="백분율 6 5 3 9" xfId="29422"/>
    <cellStyle name="백분율 6 5 4" xfId="29423"/>
    <cellStyle name="백분율 6 5 4 10" xfId="29424"/>
    <cellStyle name="백분율 6 5 4 2" xfId="29425"/>
    <cellStyle name="백분율 6 5 4 2 2" xfId="29426"/>
    <cellStyle name="백분율 6 5 4 2 2 2" xfId="29427"/>
    <cellStyle name="백분율 6 5 4 2 2 2 2" xfId="29428"/>
    <cellStyle name="백분율 6 5 4 2 2 2 2 2" xfId="29429"/>
    <cellStyle name="백분율 6 5 4 2 2 2 2 3" xfId="29430"/>
    <cellStyle name="백분율 6 5 4 2 2 2 3" xfId="29431"/>
    <cellStyle name="백분율 6 5 4 2 2 2 4" xfId="29432"/>
    <cellStyle name="백분율 6 5 4 2 2 3" xfId="29433"/>
    <cellStyle name="백분율 6 5 4 2 2 3 2" xfId="29434"/>
    <cellStyle name="백분율 6 5 4 2 2 3 3" xfId="29435"/>
    <cellStyle name="백분율 6 5 4 2 2 4" xfId="29436"/>
    <cellStyle name="백분율 6 5 4 2 2 5" xfId="29437"/>
    <cellStyle name="백분율 6 5 4 2 3" xfId="29438"/>
    <cellStyle name="백분율 6 5 4 2 3 2" xfId="29439"/>
    <cellStyle name="백분율 6 5 4 2 3 2 2" xfId="29440"/>
    <cellStyle name="백분율 6 5 4 2 3 2 2 2" xfId="29441"/>
    <cellStyle name="백분율 6 5 4 2 3 2 2 3" xfId="29442"/>
    <cellStyle name="백분율 6 5 4 2 3 2 3" xfId="29443"/>
    <cellStyle name="백분율 6 5 4 2 3 2 4" xfId="29444"/>
    <cellStyle name="백분율 6 5 4 2 3 3" xfId="29445"/>
    <cellStyle name="백분율 6 5 4 2 3 3 2" xfId="29446"/>
    <cellStyle name="백분율 6 5 4 2 3 3 3" xfId="29447"/>
    <cellStyle name="백분율 6 5 4 2 3 4" xfId="29448"/>
    <cellStyle name="백분율 6 5 4 2 3 5" xfId="29449"/>
    <cellStyle name="백분율 6 5 4 2 4" xfId="29450"/>
    <cellStyle name="백분율 6 5 4 2 4 2" xfId="29451"/>
    <cellStyle name="백분율 6 5 4 2 4 2 2" xfId="29452"/>
    <cellStyle name="백분율 6 5 4 2 4 2 3" xfId="29453"/>
    <cellStyle name="백분율 6 5 4 2 4 3" xfId="29454"/>
    <cellStyle name="백분율 6 5 4 2 4 4" xfId="29455"/>
    <cellStyle name="백분율 6 5 4 2 5" xfId="29456"/>
    <cellStyle name="백분율 6 5 4 2 5 2" xfId="29457"/>
    <cellStyle name="백분율 6 5 4 2 5 3" xfId="29458"/>
    <cellStyle name="백분율 6 5 4 2 6" xfId="29459"/>
    <cellStyle name="백분율 6 5 4 2 7" xfId="29460"/>
    <cellStyle name="백분율 6 5 4 3" xfId="29461"/>
    <cellStyle name="백분율 6 5 4 3 2" xfId="29462"/>
    <cellStyle name="백분율 6 5 4 3 2 2" xfId="29463"/>
    <cellStyle name="백분율 6 5 4 3 2 2 2" xfId="29464"/>
    <cellStyle name="백분율 6 5 4 3 2 2 2 2" xfId="29465"/>
    <cellStyle name="백분율 6 5 4 3 2 2 2 3" xfId="29466"/>
    <cellStyle name="백분율 6 5 4 3 2 2 3" xfId="29467"/>
    <cellStyle name="백분율 6 5 4 3 2 2 4" xfId="29468"/>
    <cellStyle name="백분율 6 5 4 3 2 3" xfId="29469"/>
    <cellStyle name="백분율 6 5 4 3 2 3 2" xfId="29470"/>
    <cellStyle name="백분율 6 5 4 3 2 3 3" xfId="29471"/>
    <cellStyle name="백분율 6 5 4 3 2 4" xfId="29472"/>
    <cellStyle name="백분율 6 5 4 3 2 5" xfId="29473"/>
    <cellStyle name="백분율 6 5 4 3 3" xfId="29474"/>
    <cellStyle name="백분율 6 5 4 3 3 2" xfId="29475"/>
    <cellStyle name="백분율 6 5 4 3 3 2 2" xfId="29476"/>
    <cellStyle name="백분율 6 5 4 3 3 2 2 2" xfId="29477"/>
    <cellStyle name="백분율 6 5 4 3 3 2 2 3" xfId="29478"/>
    <cellStyle name="백분율 6 5 4 3 3 2 3" xfId="29479"/>
    <cellStyle name="백분율 6 5 4 3 3 2 4" xfId="29480"/>
    <cellStyle name="백분율 6 5 4 3 3 3" xfId="29481"/>
    <cellStyle name="백분율 6 5 4 3 3 3 2" xfId="29482"/>
    <cellStyle name="백분율 6 5 4 3 3 3 3" xfId="29483"/>
    <cellStyle name="백분율 6 5 4 3 3 4" xfId="29484"/>
    <cellStyle name="백분율 6 5 4 3 3 5" xfId="29485"/>
    <cellStyle name="백분율 6 5 4 3 4" xfId="29486"/>
    <cellStyle name="백분율 6 5 4 3 4 2" xfId="29487"/>
    <cellStyle name="백분율 6 5 4 3 4 2 2" xfId="29488"/>
    <cellStyle name="백분율 6 5 4 3 4 2 3" xfId="29489"/>
    <cellStyle name="백분율 6 5 4 3 4 3" xfId="29490"/>
    <cellStyle name="백분율 6 5 4 3 4 4" xfId="29491"/>
    <cellStyle name="백분율 6 5 4 3 5" xfId="29492"/>
    <cellStyle name="백분율 6 5 4 3 5 2" xfId="29493"/>
    <cellStyle name="백분율 6 5 4 3 5 3" xfId="29494"/>
    <cellStyle name="백분율 6 5 4 3 6" xfId="29495"/>
    <cellStyle name="백분율 6 5 4 3 7" xfId="29496"/>
    <cellStyle name="백분율 6 5 4 4" xfId="29497"/>
    <cellStyle name="백분율 6 5 4 4 2" xfId="29498"/>
    <cellStyle name="백분율 6 5 4 4 2 2" xfId="29499"/>
    <cellStyle name="백분율 6 5 4 4 2 2 2" xfId="29500"/>
    <cellStyle name="백분율 6 5 4 4 2 2 3" xfId="29501"/>
    <cellStyle name="백분율 6 5 4 4 2 3" xfId="29502"/>
    <cellStyle name="백분율 6 5 4 4 2 4" xfId="29503"/>
    <cellStyle name="백분율 6 5 4 4 3" xfId="29504"/>
    <cellStyle name="백분율 6 5 4 4 3 2" xfId="29505"/>
    <cellStyle name="백분율 6 5 4 4 3 3" xfId="29506"/>
    <cellStyle name="백분율 6 5 4 4 4" xfId="29507"/>
    <cellStyle name="백분율 6 5 4 4 5" xfId="29508"/>
    <cellStyle name="백분율 6 5 4 5" xfId="29509"/>
    <cellStyle name="백분율 6 5 4 5 2" xfId="29510"/>
    <cellStyle name="백분율 6 5 4 5 2 2" xfId="29511"/>
    <cellStyle name="백분율 6 5 4 5 2 2 2" xfId="29512"/>
    <cellStyle name="백분율 6 5 4 5 2 2 3" xfId="29513"/>
    <cellStyle name="백분율 6 5 4 5 2 3" xfId="29514"/>
    <cellStyle name="백분율 6 5 4 5 2 4" xfId="29515"/>
    <cellStyle name="백분율 6 5 4 5 3" xfId="29516"/>
    <cellStyle name="백분율 6 5 4 5 3 2" xfId="29517"/>
    <cellStyle name="백분율 6 5 4 5 3 3" xfId="29518"/>
    <cellStyle name="백분율 6 5 4 5 4" xfId="29519"/>
    <cellStyle name="백분율 6 5 4 5 5" xfId="29520"/>
    <cellStyle name="백분율 6 5 4 6" xfId="29521"/>
    <cellStyle name="백분율 6 5 4 6 2" xfId="29522"/>
    <cellStyle name="백분율 6 5 4 6 2 2" xfId="29523"/>
    <cellStyle name="백분율 6 5 4 6 2 2 2" xfId="29524"/>
    <cellStyle name="백분율 6 5 4 6 2 2 3" xfId="29525"/>
    <cellStyle name="백분율 6 5 4 6 2 3" xfId="29526"/>
    <cellStyle name="백분율 6 5 4 6 2 4" xfId="29527"/>
    <cellStyle name="백분율 6 5 4 6 3" xfId="29528"/>
    <cellStyle name="백분율 6 5 4 6 3 2" xfId="29529"/>
    <cellStyle name="백분율 6 5 4 6 3 3" xfId="29530"/>
    <cellStyle name="백분율 6 5 4 6 4" xfId="29531"/>
    <cellStyle name="백분율 6 5 4 6 5" xfId="29532"/>
    <cellStyle name="백분율 6 5 4 7" xfId="29533"/>
    <cellStyle name="백분율 6 5 4 7 2" xfId="29534"/>
    <cellStyle name="백분율 6 5 4 7 2 2" xfId="29535"/>
    <cellStyle name="백분율 6 5 4 7 2 3" xfId="29536"/>
    <cellStyle name="백분율 6 5 4 7 3" xfId="29537"/>
    <cellStyle name="백분율 6 5 4 7 4" xfId="29538"/>
    <cellStyle name="백분율 6 5 4 8" xfId="29539"/>
    <cellStyle name="백분율 6 5 4 8 2" xfId="29540"/>
    <cellStyle name="백분율 6 5 4 8 3" xfId="29541"/>
    <cellStyle name="백분율 6 5 4 9" xfId="29542"/>
    <cellStyle name="백분율 6 5 5" xfId="29543"/>
    <cellStyle name="백분율 6 5 5 2" xfId="29544"/>
    <cellStyle name="백분율 6 5 5 2 2" xfId="29545"/>
    <cellStyle name="백분율 6 5 5 2 2 2" xfId="29546"/>
    <cellStyle name="백분율 6 5 5 2 2 2 2" xfId="29547"/>
    <cellStyle name="백분율 6 5 5 2 2 2 3" xfId="29548"/>
    <cellStyle name="백분율 6 5 5 2 2 3" xfId="29549"/>
    <cellStyle name="백분율 6 5 5 2 2 4" xfId="29550"/>
    <cellStyle name="백분율 6 5 5 2 3" xfId="29551"/>
    <cellStyle name="백분율 6 5 5 2 3 2" xfId="29552"/>
    <cellStyle name="백분율 6 5 5 2 3 3" xfId="29553"/>
    <cellStyle name="백분율 6 5 5 2 4" xfId="29554"/>
    <cellStyle name="백분율 6 5 5 2 5" xfId="29555"/>
    <cellStyle name="백분율 6 5 5 3" xfId="29556"/>
    <cellStyle name="백분율 6 5 5 3 2" xfId="29557"/>
    <cellStyle name="백분율 6 5 5 3 2 2" xfId="29558"/>
    <cellStyle name="백분율 6 5 5 3 2 2 2" xfId="29559"/>
    <cellStyle name="백분율 6 5 5 3 2 2 3" xfId="29560"/>
    <cellStyle name="백분율 6 5 5 3 2 3" xfId="29561"/>
    <cellStyle name="백분율 6 5 5 3 2 4" xfId="29562"/>
    <cellStyle name="백분율 6 5 5 3 3" xfId="29563"/>
    <cellStyle name="백분율 6 5 5 3 3 2" xfId="29564"/>
    <cellStyle name="백분율 6 5 5 3 3 3" xfId="29565"/>
    <cellStyle name="백분율 6 5 5 3 4" xfId="29566"/>
    <cellStyle name="백분율 6 5 5 3 5" xfId="29567"/>
    <cellStyle name="백분율 6 5 5 4" xfId="29568"/>
    <cellStyle name="백분율 6 5 5 4 2" xfId="29569"/>
    <cellStyle name="백분율 6 5 5 4 2 2" xfId="29570"/>
    <cellStyle name="백분율 6 5 5 4 2 3" xfId="29571"/>
    <cellStyle name="백분율 6 5 5 4 3" xfId="29572"/>
    <cellStyle name="백분율 6 5 5 4 4" xfId="29573"/>
    <cellStyle name="백분율 6 5 5 5" xfId="29574"/>
    <cellStyle name="백분율 6 5 5 5 2" xfId="29575"/>
    <cellStyle name="백분율 6 5 5 5 3" xfId="29576"/>
    <cellStyle name="백분율 6 5 5 6" xfId="29577"/>
    <cellStyle name="백분율 6 5 5 7" xfId="29578"/>
    <cellStyle name="백분율 6 5 6" xfId="29579"/>
    <cellStyle name="백분율 6 5 6 2" xfId="29580"/>
    <cellStyle name="백분율 6 5 6 2 2" xfId="29581"/>
    <cellStyle name="백분율 6 5 6 2 2 2" xfId="29582"/>
    <cellStyle name="백분율 6 5 6 2 2 2 2" xfId="29583"/>
    <cellStyle name="백분율 6 5 6 2 2 2 3" xfId="29584"/>
    <cellStyle name="백분율 6 5 6 2 2 3" xfId="29585"/>
    <cellStyle name="백분율 6 5 6 2 2 4" xfId="29586"/>
    <cellStyle name="백분율 6 5 6 2 3" xfId="29587"/>
    <cellStyle name="백분율 6 5 6 2 3 2" xfId="29588"/>
    <cellStyle name="백분율 6 5 6 2 3 3" xfId="29589"/>
    <cellStyle name="백분율 6 5 6 2 4" xfId="29590"/>
    <cellStyle name="백분율 6 5 6 2 5" xfId="29591"/>
    <cellStyle name="백분율 6 5 6 3" xfId="29592"/>
    <cellStyle name="백분율 6 5 6 3 2" xfId="29593"/>
    <cellStyle name="백분율 6 5 6 3 2 2" xfId="29594"/>
    <cellStyle name="백분율 6 5 6 3 2 2 2" xfId="29595"/>
    <cellStyle name="백분율 6 5 6 3 2 2 3" xfId="29596"/>
    <cellStyle name="백분율 6 5 6 3 2 3" xfId="29597"/>
    <cellStyle name="백분율 6 5 6 3 2 4" xfId="29598"/>
    <cellStyle name="백분율 6 5 6 3 3" xfId="29599"/>
    <cellStyle name="백분율 6 5 6 3 3 2" xfId="29600"/>
    <cellStyle name="백분율 6 5 6 3 3 3" xfId="29601"/>
    <cellStyle name="백분율 6 5 6 3 4" xfId="29602"/>
    <cellStyle name="백분율 6 5 6 3 5" xfId="29603"/>
    <cellStyle name="백분율 6 5 6 4" xfId="29604"/>
    <cellStyle name="백분율 6 5 6 4 2" xfId="29605"/>
    <cellStyle name="백분율 6 5 6 4 2 2" xfId="29606"/>
    <cellStyle name="백분율 6 5 6 4 2 3" xfId="29607"/>
    <cellStyle name="백분율 6 5 6 4 3" xfId="29608"/>
    <cellStyle name="백분율 6 5 6 4 4" xfId="29609"/>
    <cellStyle name="백분율 6 5 6 5" xfId="29610"/>
    <cellStyle name="백분율 6 5 6 5 2" xfId="29611"/>
    <cellStyle name="백분율 6 5 6 5 3" xfId="29612"/>
    <cellStyle name="백분율 6 5 6 6" xfId="29613"/>
    <cellStyle name="백분율 6 5 6 7" xfId="29614"/>
    <cellStyle name="백분율 6 5 7" xfId="29615"/>
    <cellStyle name="백분율 6 5 7 2" xfId="29616"/>
    <cellStyle name="백분율 6 5 7 2 2" xfId="29617"/>
    <cellStyle name="백분율 6 5 7 2 2 2" xfId="29618"/>
    <cellStyle name="백분율 6 5 7 2 2 3" xfId="29619"/>
    <cellStyle name="백분율 6 5 7 2 3" xfId="29620"/>
    <cellStyle name="백분율 6 5 7 2 4" xfId="29621"/>
    <cellStyle name="백분율 6 5 7 3" xfId="29622"/>
    <cellStyle name="백분율 6 5 7 3 2" xfId="29623"/>
    <cellStyle name="백분율 6 5 7 3 3" xfId="29624"/>
    <cellStyle name="백분율 6 5 7 4" xfId="29625"/>
    <cellStyle name="백분율 6 5 7 5" xfId="29626"/>
    <cellStyle name="백분율 6 5 8" xfId="29627"/>
    <cellStyle name="백분율 6 5 8 2" xfId="29628"/>
    <cellStyle name="백분율 6 5 8 2 2" xfId="29629"/>
    <cellStyle name="백분율 6 5 8 2 2 2" xfId="29630"/>
    <cellStyle name="백분율 6 5 8 2 2 3" xfId="29631"/>
    <cellStyle name="백분율 6 5 8 2 3" xfId="29632"/>
    <cellStyle name="백분율 6 5 8 2 4" xfId="29633"/>
    <cellStyle name="백분율 6 5 8 3" xfId="29634"/>
    <cellStyle name="백분율 6 5 8 3 2" xfId="29635"/>
    <cellStyle name="백분율 6 5 8 3 3" xfId="29636"/>
    <cellStyle name="백분율 6 5 8 4" xfId="29637"/>
    <cellStyle name="백분율 6 5 8 5" xfId="29638"/>
    <cellStyle name="백분율 6 5 9" xfId="29639"/>
    <cellStyle name="백분율 6 5 9 2" xfId="29640"/>
    <cellStyle name="백분율 6 5 9 2 2" xfId="29641"/>
    <cellStyle name="백분율 6 5 9 2 2 2" xfId="29642"/>
    <cellStyle name="백분율 6 5 9 2 2 3" xfId="29643"/>
    <cellStyle name="백분율 6 5 9 2 3" xfId="29644"/>
    <cellStyle name="백분율 6 5 9 2 4" xfId="29645"/>
    <cellStyle name="백분율 6 5 9 3" xfId="29646"/>
    <cellStyle name="백분율 6 5 9 3 2" xfId="29647"/>
    <cellStyle name="백분율 6 5 9 3 3" xfId="29648"/>
    <cellStyle name="백분율 6 5 9 4" xfId="29649"/>
    <cellStyle name="백분율 6 5 9 5" xfId="29650"/>
    <cellStyle name="백분율 6 6" xfId="29651"/>
    <cellStyle name="백분율 6 6 10" xfId="29652"/>
    <cellStyle name="백분율 6 6 2" xfId="29653"/>
    <cellStyle name="백분율 6 6 2 2" xfId="29654"/>
    <cellStyle name="백분율 6 6 2 2 2" xfId="29655"/>
    <cellStyle name="백분율 6 6 2 2 2 2" xfId="29656"/>
    <cellStyle name="백분율 6 6 2 2 2 2 2" xfId="29657"/>
    <cellStyle name="백분율 6 6 2 2 2 2 3" xfId="29658"/>
    <cellStyle name="백분율 6 6 2 2 2 3" xfId="29659"/>
    <cellStyle name="백분율 6 6 2 2 2 4" xfId="29660"/>
    <cellStyle name="백분율 6 6 2 2 3" xfId="29661"/>
    <cellStyle name="백분율 6 6 2 2 3 2" xfId="29662"/>
    <cellStyle name="백분율 6 6 2 2 3 3" xfId="29663"/>
    <cellStyle name="백분율 6 6 2 2 4" xfId="29664"/>
    <cellStyle name="백분율 6 6 2 2 5" xfId="29665"/>
    <cellStyle name="백분율 6 6 2 3" xfId="29666"/>
    <cellStyle name="백분율 6 6 2 3 2" xfId="29667"/>
    <cellStyle name="백분율 6 6 2 3 2 2" xfId="29668"/>
    <cellStyle name="백분율 6 6 2 3 2 2 2" xfId="29669"/>
    <cellStyle name="백분율 6 6 2 3 2 2 3" xfId="29670"/>
    <cellStyle name="백분율 6 6 2 3 2 3" xfId="29671"/>
    <cellStyle name="백분율 6 6 2 3 2 4" xfId="29672"/>
    <cellStyle name="백분율 6 6 2 3 3" xfId="29673"/>
    <cellStyle name="백분율 6 6 2 3 3 2" xfId="29674"/>
    <cellStyle name="백분율 6 6 2 3 3 3" xfId="29675"/>
    <cellStyle name="백분율 6 6 2 3 4" xfId="29676"/>
    <cellStyle name="백분율 6 6 2 3 5" xfId="29677"/>
    <cellStyle name="백분율 6 6 2 4" xfId="29678"/>
    <cellStyle name="백분율 6 6 2 4 2" xfId="29679"/>
    <cellStyle name="백분율 6 6 2 4 2 2" xfId="29680"/>
    <cellStyle name="백분율 6 6 2 4 2 3" xfId="29681"/>
    <cellStyle name="백분율 6 6 2 4 3" xfId="29682"/>
    <cellStyle name="백분율 6 6 2 4 4" xfId="29683"/>
    <cellStyle name="백분율 6 6 2 5" xfId="29684"/>
    <cellStyle name="백분율 6 6 2 5 2" xfId="29685"/>
    <cellStyle name="백분율 6 6 2 5 3" xfId="29686"/>
    <cellStyle name="백분율 6 6 2 6" xfId="29687"/>
    <cellStyle name="백분율 6 6 2 7" xfId="29688"/>
    <cellStyle name="백분율 6 6 3" xfId="29689"/>
    <cellStyle name="백분율 6 6 3 2" xfId="29690"/>
    <cellStyle name="백분율 6 6 3 2 2" xfId="29691"/>
    <cellStyle name="백분율 6 6 3 2 2 2" xfId="29692"/>
    <cellStyle name="백분율 6 6 3 2 2 2 2" xfId="29693"/>
    <cellStyle name="백분율 6 6 3 2 2 2 3" xfId="29694"/>
    <cellStyle name="백분율 6 6 3 2 2 3" xfId="29695"/>
    <cellStyle name="백분율 6 6 3 2 2 4" xfId="29696"/>
    <cellStyle name="백분율 6 6 3 2 3" xfId="29697"/>
    <cellStyle name="백분율 6 6 3 2 3 2" xfId="29698"/>
    <cellStyle name="백분율 6 6 3 2 3 3" xfId="29699"/>
    <cellStyle name="백분율 6 6 3 2 4" xfId="29700"/>
    <cellStyle name="백분율 6 6 3 2 5" xfId="29701"/>
    <cellStyle name="백분율 6 6 3 3" xfId="29702"/>
    <cellStyle name="백분율 6 6 3 3 2" xfId="29703"/>
    <cellStyle name="백분율 6 6 3 3 2 2" xfId="29704"/>
    <cellStyle name="백분율 6 6 3 3 2 2 2" xfId="29705"/>
    <cellStyle name="백분율 6 6 3 3 2 2 3" xfId="29706"/>
    <cellStyle name="백분율 6 6 3 3 2 3" xfId="29707"/>
    <cellStyle name="백분율 6 6 3 3 2 4" xfId="29708"/>
    <cellStyle name="백분율 6 6 3 3 3" xfId="29709"/>
    <cellStyle name="백분율 6 6 3 3 3 2" xfId="29710"/>
    <cellStyle name="백분율 6 6 3 3 3 3" xfId="29711"/>
    <cellStyle name="백분율 6 6 3 3 4" xfId="29712"/>
    <cellStyle name="백분율 6 6 3 3 5" xfId="29713"/>
    <cellStyle name="백분율 6 6 3 4" xfId="29714"/>
    <cellStyle name="백분율 6 6 3 4 2" xfId="29715"/>
    <cellStyle name="백분율 6 6 3 4 2 2" xfId="29716"/>
    <cellStyle name="백분율 6 6 3 4 2 3" xfId="29717"/>
    <cellStyle name="백분율 6 6 3 4 3" xfId="29718"/>
    <cellStyle name="백분율 6 6 3 4 4" xfId="29719"/>
    <cellStyle name="백분율 6 6 3 5" xfId="29720"/>
    <cellStyle name="백분율 6 6 3 5 2" xfId="29721"/>
    <cellStyle name="백분율 6 6 3 5 3" xfId="29722"/>
    <cellStyle name="백분율 6 6 3 6" xfId="29723"/>
    <cellStyle name="백분율 6 6 3 7" xfId="29724"/>
    <cellStyle name="백분율 6 6 4" xfId="29725"/>
    <cellStyle name="백분율 6 6 4 2" xfId="29726"/>
    <cellStyle name="백분율 6 6 4 2 2" xfId="29727"/>
    <cellStyle name="백분율 6 6 4 2 2 2" xfId="29728"/>
    <cellStyle name="백분율 6 6 4 2 2 3" xfId="29729"/>
    <cellStyle name="백분율 6 6 4 2 3" xfId="29730"/>
    <cellStyle name="백분율 6 6 4 2 4" xfId="29731"/>
    <cellStyle name="백분율 6 6 4 3" xfId="29732"/>
    <cellStyle name="백분율 6 6 4 3 2" xfId="29733"/>
    <cellStyle name="백분율 6 6 4 3 3" xfId="29734"/>
    <cellStyle name="백분율 6 6 4 4" xfId="29735"/>
    <cellStyle name="백분율 6 6 4 5" xfId="29736"/>
    <cellStyle name="백분율 6 6 5" xfId="29737"/>
    <cellStyle name="백분율 6 6 5 2" xfId="29738"/>
    <cellStyle name="백분율 6 6 5 2 2" xfId="29739"/>
    <cellStyle name="백분율 6 6 5 2 2 2" xfId="29740"/>
    <cellStyle name="백분율 6 6 5 2 2 3" xfId="29741"/>
    <cellStyle name="백분율 6 6 5 2 3" xfId="29742"/>
    <cellStyle name="백분율 6 6 5 2 4" xfId="29743"/>
    <cellStyle name="백분율 6 6 5 3" xfId="29744"/>
    <cellStyle name="백분율 6 6 5 3 2" xfId="29745"/>
    <cellStyle name="백분율 6 6 5 3 3" xfId="29746"/>
    <cellStyle name="백분율 6 6 5 4" xfId="29747"/>
    <cellStyle name="백분율 6 6 5 5" xfId="29748"/>
    <cellStyle name="백분율 6 6 6" xfId="29749"/>
    <cellStyle name="백분율 6 6 6 2" xfId="29750"/>
    <cellStyle name="백분율 6 6 6 2 2" xfId="29751"/>
    <cellStyle name="백분율 6 6 6 2 2 2" xfId="29752"/>
    <cellStyle name="백분율 6 6 6 2 2 3" xfId="29753"/>
    <cellStyle name="백분율 6 6 6 2 3" xfId="29754"/>
    <cellStyle name="백분율 6 6 6 2 4" xfId="29755"/>
    <cellStyle name="백분율 6 6 6 3" xfId="29756"/>
    <cellStyle name="백분율 6 6 6 3 2" xfId="29757"/>
    <cellStyle name="백분율 6 6 6 3 3" xfId="29758"/>
    <cellStyle name="백분율 6 6 6 4" xfId="29759"/>
    <cellStyle name="백분율 6 6 6 5" xfId="29760"/>
    <cellStyle name="백분율 6 6 7" xfId="29761"/>
    <cellStyle name="백분율 6 6 7 2" xfId="29762"/>
    <cellStyle name="백분율 6 6 7 2 2" xfId="29763"/>
    <cellStyle name="백분율 6 6 7 2 3" xfId="29764"/>
    <cellStyle name="백분율 6 6 7 3" xfId="29765"/>
    <cellStyle name="백분율 6 6 7 4" xfId="29766"/>
    <cellStyle name="백분율 6 6 8" xfId="29767"/>
    <cellStyle name="백분율 6 6 8 2" xfId="29768"/>
    <cellStyle name="백분율 6 6 8 3" xfId="29769"/>
    <cellStyle name="백분율 6 6 9" xfId="29770"/>
    <cellStyle name="백분율 6 7" xfId="29771"/>
    <cellStyle name="백분율 6 7 10" xfId="29772"/>
    <cellStyle name="백분율 6 7 2" xfId="29773"/>
    <cellStyle name="백분율 6 7 2 2" xfId="29774"/>
    <cellStyle name="백분율 6 7 2 2 2" xfId="29775"/>
    <cellStyle name="백분율 6 7 2 2 2 2" xfId="29776"/>
    <cellStyle name="백분율 6 7 2 2 2 2 2" xfId="29777"/>
    <cellStyle name="백분율 6 7 2 2 2 2 3" xfId="29778"/>
    <cellStyle name="백분율 6 7 2 2 2 3" xfId="29779"/>
    <cellStyle name="백분율 6 7 2 2 2 4" xfId="29780"/>
    <cellStyle name="백분율 6 7 2 2 3" xfId="29781"/>
    <cellStyle name="백분율 6 7 2 2 3 2" xfId="29782"/>
    <cellStyle name="백분율 6 7 2 2 3 3" xfId="29783"/>
    <cellStyle name="백분율 6 7 2 2 4" xfId="29784"/>
    <cellStyle name="백분율 6 7 2 2 5" xfId="29785"/>
    <cellStyle name="백분율 6 7 2 3" xfId="29786"/>
    <cellStyle name="백분율 6 7 2 3 2" xfId="29787"/>
    <cellStyle name="백분율 6 7 2 3 2 2" xfId="29788"/>
    <cellStyle name="백분율 6 7 2 3 2 2 2" xfId="29789"/>
    <cellStyle name="백분율 6 7 2 3 2 2 3" xfId="29790"/>
    <cellStyle name="백분율 6 7 2 3 2 3" xfId="29791"/>
    <cellStyle name="백분율 6 7 2 3 2 4" xfId="29792"/>
    <cellStyle name="백분율 6 7 2 3 3" xfId="29793"/>
    <cellStyle name="백분율 6 7 2 3 3 2" xfId="29794"/>
    <cellStyle name="백분율 6 7 2 3 3 3" xfId="29795"/>
    <cellStyle name="백분율 6 7 2 3 4" xfId="29796"/>
    <cellStyle name="백분율 6 7 2 3 5" xfId="29797"/>
    <cellStyle name="백분율 6 7 2 4" xfId="29798"/>
    <cellStyle name="백분율 6 7 2 4 2" xfId="29799"/>
    <cellStyle name="백분율 6 7 2 4 2 2" xfId="29800"/>
    <cellStyle name="백분율 6 7 2 4 2 3" xfId="29801"/>
    <cellStyle name="백분율 6 7 2 4 3" xfId="29802"/>
    <cellStyle name="백분율 6 7 2 4 4" xfId="29803"/>
    <cellStyle name="백분율 6 7 2 5" xfId="29804"/>
    <cellStyle name="백분율 6 7 2 5 2" xfId="29805"/>
    <cellStyle name="백분율 6 7 2 5 3" xfId="29806"/>
    <cellStyle name="백분율 6 7 2 6" xfId="29807"/>
    <cellStyle name="백분율 6 7 2 7" xfId="29808"/>
    <cellStyle name="백분율 6 7 3" xfId="29809"/>
    <cellStyle name="백분율 6 7 3 2" xfId="29810"/>
    <cellStyle name="백분율 6 7 3 2 2" xfId="29811"/>
    <cellStyle name="백분율 6 7 3 2 2 2" xfId="29812"/>
    <cellStyle name="백분율 6 7 3 2 2 2 2" xfId="29813"/>
    <cellStyle name="백분율 6 7 3 2 2 2 3" xfId="29814"/>
    <cellStyle name="백분율 6 7 3 2 2 3" xfId="29815"/>
    <cellStyle name="백분율 6 7 3 2 2 4" xfId="29816"/>
    <cellStyle name="백분율 6 7 3 2 3" xfId="29817"/>
    <cellStyle name="백분율 6 7 3 2 3 2" xfId="29818"/>
    <cellStyle name="백분율 6 7 3 2 3 3" xfId="29819"/>
    <cellStyle name="백분율 6 7 3 2 4" xfId="29820"/>
    <cellStyle name="백분율 6 7 3 2 5" xfId="29821"/>
    <cellStyle name="백분율 6 7 3 3" xfId="29822"/>
    <cellStyle name="백분율 6 7 3 3 2" xfId="29823"/>
    <cellStyle name="백분율 6 7 3 3 2 2" xfId="29824"/>
    <cellStyle name="백분율 6 7 3 3 2 2 2" xfId="29825"/>
    <cellStyle name="백분율 6 7 3 3 2 2 3" xfId="29826"/>
    <cellStyle name="백분율 6 7 3 3 2 3" xfId="29827"/>
    <cellStyle name="백분율 6 7 3 3 2 4" xfId="29828"/>
    <cellStyle name="백분율 6 7 3 3 3" xfId="29829"/>
    <cellStyle name="백분율 6 7 3 3 3 2" xfId="29830"/>
    <cellStyle name="백분율 6 7 3 3 3 3" xfId="29831"/>
    <cellStyle name="백분율 6 7 3 3 4" xfId="29832"/>
    <cellStyle name="백분율 6 7 3 3 5" xfId="29833"/>
    <cellStyle name="백분율 6 7 3 4" xfId="29834"/>
    <cellStyle name="백분율 6 7 3 4 2" xfId="29835"/>
    <cellStyle name="백분율 6 7 3 4 2 2" xfId="29836"/>
    <cellStyle name="백분율 6 7 3 4 2 3" xfId="29837"/>
    <cellStyle name="백분율 6 7 3 4 3" xfId="29838"/>
    <cellStyle name="백분율 6 7 3 4 4" xfId="29839"/>
    <cellStyle name="백분율 6 7 3 5" xfId="29840"/>
    <cellStyle name="백분율 6 7 3 5 2" xfId="29841"/>
    <cellStyle name="백분율 6 7 3 5 3" xfId="29842"/>
    <cellStyle name="백분율 6 7 3 6" xfId="29843"/>
    <cellStyle name="백분율 6 7 3 7" xfId="29844"/>
    <cellStyle name="백분율 6 7 4" xfId="29845"/>
    <cellStyle name="백분율 6 7 4 2" xfId="29846"/>
    <cellStyle name="백분율 6 7 4 2 2" xfId="29847"/>
    <cellStyle name="백분율 6 7 4 2 2 2" xfId="29848"/>
    <cellStyle name="백분율 6 7 4 2 2 3" xfId="29849"/>
    <cellStyle name="백분율 6 7 4 2 3" xfId="29850"/>
    <cellStyle name="백분율 6 7 4 2 4" xfId="29851"/>
    <cellStyle name="백분율 6 7 4 3" xfId="29852"/>
    <cellStyle name="백분율 6 7 4 3 2" xfId="29853"/>
    <cellStyle name="백분율 6 7 4 3 3" xfId="29854"/>
    <cellStyle name="백분율 6 7 4 4" xfId="29855"/>
    <cellStyle name="백분율 6 7 4 5" xfId="29856"/>
    <cellStyle name="백분율 6 7 5" xfId="29857"/>
    <cellStyle name="백분율 6 7 5 2" xfId="29858"/>
    <cellStyle name="백분율 6 7 5 2 2" xfId="29859"/>
    <cellStyle name="백분율 6 7 5 2 2 2" xfId="29860"/>
    <cellStyle name="백분율 6 7 5 2 2 3" xfId="29861"/>
    <cellStyle name="백분율 6 7 5 2 3" xfId="29862"/>
    <cellStyle name="백분율 6 7 5 2 4" xfId="29863"/>
    <cellStyle name="백분율 6 7 5 3" xfId="29864"/>
    <cellStyle name="백분율 6 7 5 3 2" xfId="29865"/>
    <cellStyle name="백분율 6 7 5 3 3" xfId="29866"/>
    <cellStyle name="백분율 6 7 5 4" xfId="29867"/>
    <cellStyle name="백분율 6 7 5 5" xfId="29868"/>
    <cellStyle name="백분율 6 7 6" xfId="29869"/>
    <cellStyle name="백분율 6 7 6 2" xfId="29870"/>
    <cellStyle name="백분율 6 7 6 2 2" xfId="29871"/>
    <cellStyle name="백분율 6 7 6 2 2 2" xfId="29872"/>
    <cellStyle name="백분율 6 7 6 2 2 3" xfId="29873"/>
    <cellStyle name="백분율 6 7 6 2 3" xfId="29874"/>
    <cellStyle name="백분율 6 7 6 2 4" xfId="29875"/>
    <cellStyle name="백분율 6 7 6 3" xfId="29876"/>
    <cellStyle name="백분율 6 7 6 3 2" xfId="29877"/>
    <cellStyle name="백분율 6 7 6 3 3" xfId="29878"/>
    <cellStyle name="백분율 6 7 6 4" xfId="29879"/>
    <cellStyle name="백분율 6 7 6 5" xfId="29880"/>
    <cellStyle name="백분율 6 7 7" xfId="29881"/>
    <cellStyle name="백분율 6 7 7 2" xfId="29882"/>
    <cellStyle name="백분율 6 7 7 2 2" xfId="29883"/>
    <cellStyle name="백분율 6 7 7 2 3" xfId="29884"/>
    <cellStyle name="백분율 6 7 7 3" xfId="29885"/>
    <cellStyle name="백분율 6 7 7 4" xfId="29886"/>
    <cellStyle name="백분율 6 7 8" xfId="29887"/>
    <cellStyle name="백분율 6 7 8 2" xfId="29888"/>
    <cellStyle name="백분율 6 7 8 3" xfId="29889"/>
    <cellStyle name="백분율 6 7 9" xfId="29890"/>
    <cellStyle name="백분율 6 8" xfId="29891"/>
    <cellStyle name="백분율 6 8 10" xfId="29892"/>
    <cellStyle name="백분율 6 8 2" xfId="29893"/>
    <cellStyle name="백분율 6 8 2 2" xfId="29894"/>
    <cellStyle name="백분율 6 8 2 2 2" xfId="29895"/>
    <cellStyle name="백분율 6 8 2 2 2 2" xfId="29896"/>
    <cellStyle name="백분율 6 8 2 2 2 2 2" xfId="29897"/>
    <cellStyle name="백분율 6 8 2 2 2 2 3" xfId="29898"/>
    <cellStyle name="백분율 6 8 2 2 2 3" xfId="29899"/>
    <cellStyle name="백분율 6 8 2 2 2 4" xfId="29900"/>
    <cellStyle name="백분율 6 8 2 2 3" xfId="29901"/>
    <cellStyle name="백분율 6 8 2 2 3 2" xfId="29902"/>
    <cellStyle name="백분율 6 8 2 2 3 3" xfId="29903"/>
    <cellStyle name="백분율 6 8 2 2 4" xfId="29904"/>
    <cellStyle name="백분율 6 8 2 2 5" xfId="29905"/>
    <cellStyle name="백분율 6 8 2 3" xfId="29906"/>
    <cellStyle name="백분율 6 8 2 3 2" xfId="29907"/>
    <cellStyle name="백분율 6 8 2 3 2 2" xfId="29908"/>
    <cellStyle name="백분율 6 8 2 3 2 2 2" xfId="29909"/>
    <cellStyle name="백분율 6 8 2 3 2 2 3" xfId="29910"/>
    <cellStyle name="백분율 6 8 2 3 2 3" xfId="29911"/>
    <cellStyle name="백분율 6 8 2 3 2 4" xfId="29912"/>
    <cellStyle name="백분율 6 8 2 3 3" xfId="29913"/>
    <cellStyle name="백분율 6 8 2 3 3 2" xfId="29914"/>
    <cellStyle name="백분율 6 8 2 3 3 3" xfId="29915"/>
    <cellStyle name="백분율 6 8 2 3 4" xfId="29916"/>
    <cellStyle name="백분율 6 8 2 3 5" xfId="29917"/>
    <cellStyle name="백분율 6 8 2 4" xfId="29918"/>
    <cellStyle name="백분율 6 8 2 4 2" xfId="29919"/>
    <cellStyle name="백분율 6 8 2 4 2 2" xfId="29920"/>
    <cellStyle name="백분율 6 8 2 4 2 3" xfId="29921"/>
    <cellStyle name="백분율 6 8 2 4 3" xfId="29922"/>
    <cellStyle name="백분율 6 8 2 4 4" xfId="29923"/>
    <cellStyle name="백분율 6 8 2 5" xfId="29924"/>
    <cellStyle name="백분율 6 8 2 5 2" xfId="29925"/>
    <cellStyle name="백분율 6 8 2 5 3" xfId="29926"/>
    <cellStyle name="백분율 6 8 2 6" xfId="29927"/>
    <cellStyle name="백분율 6 8 2 7" xfId="29928"/>
    <cellStyle name="백분율 6 8 3" xfId="29929"/>
    <cellStyle name="백분율 6 8 3 2" xfId="29930"/>
    <cellStyle name="백분율 6 8 3 2 2" xfId="29931"/>
    <cellStyle name="백분율 6 8 3 2 2 2" xfId="29932"/>
    <cellStyle name="백분율 6 8 3 2 2 2 2" xfId="29933"/>
    <cellStyle name="백분율 6 8 3 2 2 2 3" xfId="29934"/>
    <cellStyle name="백분율 6 8 3 2 2 3" xfId="29935"/>
    <cellStyle name="백분율 6 8 3 2 2 4" xfId="29936"/>
    <cellStyle name="백분율 6 8 3 2 3" xfId="29937"/>
    <cellStyle name="백분율 6 8 3 2 3 2" xfId="29938"/>
    <cellStyle name="백분율 6 8 3 2 3 3" xfId="29939"/>
    <cellStyle name="백분율 6 8 3 2 4" xfId="29940"/>
    <cellStyle name="백분율 6 8 3 2 5" xfId="29941"/>
    <cellStyle name="백분율 6 8 3 3" xfId="29942"/>
    <cellStyle name="백분율 6 8 3 3 2" xfId="29943"/>
    <cellStyle name="백분율 6 8 3 3 2 2" xfId="29944"/>
    <cellStyle name="백분율 6 8 3 3 2 2 2" xfId="29945"/>
    <cellStyle name="백분율 6 8 3 3 2 2 3" xfId="29946"/>
    <cellStyle name="백분율 6 8 3 3 2 3" xfId="29947"/>
    <cellStyle name="백분율 6 8 3 3 2 4" xfId="29948"/>
    <cellStyle name="백분율 6 8 3 3 3" xfId="29949"/>
    <cellStyle name="백분율 6 8 3 3 3 2" xfId="29950"/>
    <cellStyle name="백분율 6 8 3 3 3 3" xfId="29951"/>
    <cellStyle name="백분율 6 8 3 3 4" xfId="29952"/>
    <cellStyle name="백분율 6 8 3 3 5" xfId="29953"/>
    <cellStyle name="백분율 6 8 3 4" xfId="29954"/>
    <cellStyle name="백분율 6 8 3 4 2" xfId="29955"/>
    <cellStyle name="백분율 6 8 3 4 2 2" xfId="29956"/>
    <cellStyle name="백분율 6 8 3 4 2 3" xfId="29957"/>
    <cellStyle name="백분율 6 8 3 4 3" xfId="29958"/>
    <cellStyle name="백분율 6 8 3 4 4" xfId="29959"/>
    <cellStyle name="백분율 6 8 3 5" xfId="29960"/>
    <cellStyle name="백분율 6 8 3 5 2" xfId="29961"/>
    <cellStyle name="백분율 6 8 3 5 3" xfId="29962"/>
    <cellStyle name="백분율 6 8 3 6" xfId="29963"/>
    <cellStyle name="백분율 6 8 3 7" xfId="29964"/>
    <cellStyle name="백분율 6 8 4" xfId="29965"/>
    <cellStyle name="백분율 6 8 4 2" xfId="29966"/>
    <cellStyle name="백분율 6 8 4 2 2" xfId="29967"/>
    <cellStyle name="백분율 6 8 4 2 2 2" xfId="29968"/>
    <cellStyle name="백분율 6 8 4 2 2 3" xfId="29969"/>
    <cellStyle name="백분율 6 8 4 2 3" xfId="29970"/>
    <cellStyle name="백분율 6 8 4 2 4" xfId="29971"/>
    <cellStyle name="백분율 6 8 4 3" xfId="29972"/>
    <cellStyle name="백분율 6 8 4 3 2" xfId="29973"/>
    <cellStyle name="백분율 6 8 4 3 3" xfId="29974"/>
    <cellStyle name="백분율 6 8 4 4" xfId="29975"/>
    <cellStyle name="백분율 6 8 4 5" xfId="29976"/>
    <cellStyle name="백분율 6 8 5" xfId="29977"/>
    <cellStyle name="백분율 6 8 5 2" xfId="29978"/>
    <cellStyle name="백분율 6 8 5 2 2" xfId="29979"/>
    <cellStyle name="백분율 6 8 5 2 2 2" xfId="29980"/>
    <cellStyle name="백분율 6 8 5 2 2 3" xfId="29981"/>
    <cellStyle name="백분율 6 8 5 2 3" xfId="29982"/>
    <cellStyle name="백분율 6 8 5 2 4" xfId="29983"/>
    <cellStyle name="백분율 6 8 5 3" xfId="29984"/>
    <cellStyle name="백분율 6 8 5 3 2" xfId="29985"/>
    <cellStyle name="백분율 6 8 5 3 3" xfId="29986"/>
    <cellStyle name="백분율 6 8 5 4" xfId="29987"/>
    <cellStyle name="백분율 6 8 5 5" xfId="29988"/>
    <cellStyle name="백분율 6 8 6" xfId="29989"/>
    <cellStyle name="백분율 6 8 6 2" xfId="29990"/>
    <cellStyle name="백분율 6 8 6 2 2" xfId="29991"/>
    <cellStyle name="백분율 6 8 6 2 2 2" xfId="29992"/>
    <cellStyle name="백분율 6 8 6 2 2 3" xfId="29993"/>
    <cellStyle name="백분율 6 8 6 2 3" xfId="29994"/>
    <cellStyle name="백분율 6 8 6 2 4" xfId="29995"/>
    <cellStyle name="백분율 6 8 6 3" xfId="29996"/>
    <cellStyle name="백분율 6 8 6 3 2" xfId="29997"/>
    <cellStyle name="백분율 6 8 6 3 3" xfId="29998"/>
    <cellStyle name="백분율 6 8 6 4" xfId="29999"/>
    <cellStyle name="백분율 6 8 6 5" xfId="30000"/>
    <cellStyle name="백분율 6 8 7" xfId="30001"/>
    <cellStyle name="백분율 6 8 7 2" xfId="30002"/>
    <cellStyle name="백분율 6 8 7 2 2" xfId="30003"/>
    <cellStyle name="백분율 6 8 7 2 3" xfId="30004"/>
    <cellStyle name="백분율 6 8 7 3" xfId="30005"/>
    <cellStyle name="백분율 6 8 7 4" xfId="30006"/>
    <cellStyle name="백분율 6 8 8" xfId="30007"/>
    <cellStyle name="백분율 6 8 8 2" xfId="30008"/>
    <cellStyle name="백분율 6 8 8 3" xfId="30009"/>
    <cellStyle name="백분율 6 8 9" xfId="30010"/>
    <cellStyle name="백분율 6 9" xfId="30011"/>
    <cellStyle name="백분율 6 9 2" xfId="30012"/>
    <cellStyle name="백분율 6 9 2 2" xfId="30013"/>
    <cellStyle name="백분율 6 9 2 2 2" xfId="30014"/>
    <cellStyle name="백분율 6 9 2 2 2 2" xfId="30015"/>
    <cellStyle name="백분율 6 9 2 2 2 3" xfId="30016"/>
    <cellStyle name="백분율 6 9 2 2 3" xfId="30017"/>
    <cellStyle name="백분율 6 9 2 2 4" xfId="30018"/>
    <cellStyle name="백분율 6 9 2 3" xfId="30019"/>
    <cellStyle name="백분율 6 9 2 3 2" xfId="30020"/>
    <cellStyle name="백분율 6 9 2 3 3" xfId="30021"/>
    <cellStyle name="백분율 6 9 2 4" xfId="30022"/>
    <cellStyle name="백분율 6 9 2 5" xfId="30023"/>
    <cellStyle name="백분율 6 9 3" xfId="30024"/>
    <cellStyle name="백분율 6 9 3 2" xfId="30025"/>
    <cellStyle name="백분율 6 9 3 2 2" xfId="30026"/>
    <cellStyle name="백분율 6 9 3 2 2 2" xfId="30027"/>
    <cellStyle name="백분율 6 9 3 2 2 3" xfId="30028"/>
    <cellStyle name="백분율 6 9 3 2 3" xfId="30029"/>
    <cellStyle name="백분율 6 9 3 2 4" xfId="30030"/>
    <cellStyle name="백분율 6 9 3 3" xfId="30031"/>
    <cellStyle name="백분율 6 9 3 3 2" xfId="30032"/>
    <cellStyle name="백분율 6 9 3 3 3" xfId="30033"/>
    <cellStyle name="백분율 6 9 3 4" xfId="30034"/>
    <cellStyle name="백분율 6 9 3 5" xfId="30035"/>
    <cellStyle name="백분율 6 9 4" xfId="30036"/>
    <cellStyle name="백분율 6 9 4 2" xfId="30037"/>
    <cellStyle name="백분율 6 9 4 2 2" xfId="30038"/>
    <cellStyle name="백분율 6 9 4 2 3" xfId="30039"/>
    <cellStyle name="백분율 6 9 4 3" xfId="30040"/>
    <cellStyle name="백분율 6 9 4 4" xfId="30041"/>
    <cellStyle name="백분율 6 9 5" xfId="30042"/>
    <cellStyle name="백분율 6 9 5 2" xfId="30043"/>
    <cellStyle name="백분율 6 9 5 3" xfId="30044"/>
    <cellStyle name="백분율 6 9 6" xfId="30045"/>
    <cellStyle name="백분율 6 9 7" xfId="30046"/>
    <cellStyle name="백분율 7" xfId="30047"/>
    <cellStyle name="백분율 8" xfId="30048"/>
    <cellStyle name="백분율 9" xfId="30049"/>
    <cellStyle name="백분율_95" xfId="30050"/>
    <cellStyle name="보통 10" xfId="30051"/>
    <cellStyle name="보통 11" xfId="30052"/>
    <cellStyle name="보통 12" xfId="30053"/>
    <cellStyle name="보통 13" xfId="30054"/>
    <cellStyle name="보통 14" xfId="30055"/>
    <cellStyle name="보통 15" xfId="30056"/>
    <cellStyle name="보통 2" xfId="30057"/>
    <cellStyle name="보통 2 2" xfId="30058"/>
    <cellStyle name="보통 2 2 2" xfId="30059"/>
    <cellStyle name="보통 2 3" xfId="30060"/>
    <cellStyle name="보통 3" xfId="30061"/>
    <cellStyle name="보통 3 2" xfId="30062"/>
    <cellStyle name="보통 3 3" xfId="30063"/>
    <cellStyle name="보통 4" xfId="30064"/>
    <cellStyle name="보통 4 2" xfId="30065"/>
    <cellStyle name="보통 5" xfId="30066"/>
    <cellStyle name="보통 6" xfId="30067"/>
    <cellStyle name="보통 7" xfId="30068"/>
    <cellStyle name="보통 8" xfId="30069"/>
    <cellStyle name="보통 9" xfId="30070"/>
    <cellStyle name="뷭?" xfId="30071"/>
    <cellStyle name="새귑[0]_丹홈셕뺍,茄셥 " xfId="30072"/>
    <cellStyle name="새귑_丹홈셕뺍,茄셥 " xfId="30073"/>
    <cellStyle name="설명 텍스트 10" xfId="30074"/>
    <cellStyle name="설명 텍스트 11" xfId="30075"/>
    <cellStyle name="설명 텍스트 12" xfId="30076"/>
    <cellStyle name="설명 텍스트 13" xfId="30077"/>
    <cellStyle name="설명 텍스트 14" xfId="30078"/>
    <cellStyle name="설명 텍스트 15" xfId="30079"/>
    <cellStyle name="설명 텍스트 2" xfId="30080"/>
    <cellStyle name="설명 텍스트 2 2" xfId="30081"/>
    <cellStyle name="설명 텍스트 2 2 2" xfId="30082"/>
    <cellStyle name="설명 텍스트 2 3" xfId="30083"/>
    <cellStyle name="설명 텍스트 3" xfId="30084"/>
    <cellStyle name="설명 텍스트 3 2" xfId="30085"/>
    <cellStyle name="설명 텍스트 4" xfId="30086"/>
    <cellStyle name="설명 텍스트 4 2" xfId="30087"/>
    <cellStyle name="설명 텍스트 5" xfId="30088"/>
    <cellStyle name="설명 텍스트 6" xfId="30089"/>
    <cellStyle name="설명 텍스트 7" xfId="30090"/>
    <cellStyle name="설명 텍스트 8" xfId="30091"/>
    <cellStyle name="설명 텍스트 9" xfId="30092"/>
    <cellStyle name="셀 확인 10" xfId="30093"/>
    <cellStyle name="셀 확인 11" xfId="30094"/>
    <cellStyle name="셀 확인 12" xfId="30095"/>
    <cellStyle name="셀 확인 13" xfId="30096"/>
    <cellStyle name="셀 확인 14" xfId="30097"/>
    <cellStyle name="셀 확인 15" xfId="30098"/>
    <cellStyle name="셀 확인 2" xfId="30099"/>
    <cellStyle name="셀 확인 2 2" xfId="30100"/>
    <cellStyle name="셀 확인 2 2 2" xfId="30101"/>
    <cellStyle name="셀 확인 2 3" xfId="30102"/>
    <cellStyle name="셀 확인 3" xfId="30103"/>
    <cellStyle name="셀 확인 3 2" xfId="30104"/>
    <cellStyle name="셀 확인 3 3" xfId="30105"/>
    <cellStyle name="셀 확인 4" xfId="30106"/>
    <cellStyle name="셀 확인 4 2" xfId="30107"/>
    <cellStyle name="셀 확인 5" xfId="30108"/>
    <cellStyle name="셀 확인 6" xfId="30109"/>
    <cellStyle name="셀 확인 7" xfId="30110"/>
    <cellStyle name="셀 확인 8" xfId="30111"/>
    <cellStyle name="셀 확인 9" xfId="30112"/>
    <cellStyle name="셈迷?XLS!check_filesche|_x0005_" xfId="30113"/>
    <cellStyle name="숫자" xfId="30114"/>
    <cellStyle name="숫자 2" xfId="30115"/>
    <cellStyle name="숫자(R)" xfId="30116"/>
    <cellStyle name="숫자(R) 2" xfId="30117"/>
    <cellStyle name="쉼표 [0] 2" xfId="30118"/>
    <cellStyle name="쉼표 [0] 2 10" xfId="30119"/>
    <cellStyle name="쉼표 [0] 2 10 2" xfId="30120"/>
    <cellStyle name="쉼표 [0] 2 10 2 2" xfId="30121"/>
    <cellStyle name="쉼표 [0] 2 10 2 3" xfId="30122"/>
    <cellStyle name="쉼표 [0] 2 10 3" xfId="30123"/>
    <cellStyle name="쉼표 [0] 2 10 4" xfId="30124"/>
    <cellStyle name="쉼표 [0] 2 10 5" xfId="30125"/>
    <cellStyle name="쉼표 [0] 2 2" xfId="30126"/>
    <cellStyle name="쉼표 [0] 2 2 2" xfId="30127"/>
    <cellStyle name="쉼표 [0] 2 2 3" xfId="30128"/>
    <cellStyle name="쉼표 [0] 2 2 3 2" xfId="30129"/>
    <cellStyle name="쉼표 [0] 2 2 3 2 2" xfId="30130"/>
    <cellStyle name="쉼표 [0] 2 2 3 2 3" xfId="30131"/>
    <cellStyle name="쉼표 [0] 2 2 3 3" xfId="30132"/>
    <cellStyle name="쉼표 [0] 2 2 3 4" xfId="30133"/>
    <cellStyle name="쉼표 [0] 2 2 3 5" xfId="30134"/>
    <cellStyle name="쉼표 [0] 2 3" xfId="30135"/>
    <cellStyle name="쉼표 [0] 2 3 2" xfId="30136"/>
    <cellStyle name="쉼표 [0] 2 4" xfId="30137"/>
    <cellStyle name="쉼표 [0] 2 4 2" xfId="30138"/>
    <cellStyle name="쉼표 [0] 2 5" xfId="30139"/>
    <cellStyle name="쉼표 [0] 2 5 2" xfId="30140"/>
    <cellStyle name="쉼표 [0] 2 6" xfId="30141"/>
    <cellStyle name="쉼표 [0] 2 7" xfId="30142"/>
    <cellStyle name="쉼표 [0] 2 8" xfId="30143"/>
    <cellStyle name="쉼표 [0] 2 9" xfId="30144"/>
    <cellStyle name="쉼표 [0] 3" xfId="30145"/>
    <cellStyle name="쉼표 [0] 3 2" xfId="30146"/>
    <cellStyle name="쉼표 [0] 3 2 2" xfId="30147"/>
    <cellStyle name="쉼표 [0] 3 2 2 2" xfId="30148"/>
    <cellStyle name="쉼표 [0] 3 2 2 3" xfId="30149"/>
    <cellStyle name="쉼표 [0] 3 2 3" xfId="30150"/>
    <cellStyle name="쉼표 [0] 3 2 4" xfId="30151"/>
    <cellStyle name="쉼표 [0] 3 3" xfId="30152"/>
    <cellStyle name="쉼표 [0] 3 3 2" xfId="30153"/>
    <cellStyle name="쉼표 [0] 3 3 3" xfId="30154"/>
    <cellStyle name="쉼표 [0] 3 4" xfId="30155"/>
    <cellStyle name="쉼표 [0] 3 4 2" xfId="30156"/>
    <cellStyle name="쉼표 [0] 3 4 3" xfId="30157"/>
    <cellStyle name="쉼표 [0] 3 5" xfId="30158"/>
    <cellStyle name="쉼표 [0] 3 6" xfId="30159"/>
    <cellStyle name="쉼표 [0] 3 7" xfId="30160"/>
    <cellStyle name="쉼표 [0] 4" xfId="30161"/>
    <cellStyle name="쉼표 [0] 4 2" xfId="30162"/>
    <cellStyle name="쉼표 [0] 4 3" xfId="30163"/>
    <cellStyle name="쉼표 [0] 5" xfId="30164"/>
    <cellStyle name="쉼표 [0] 5 2" xfId="30165"/>
    <cellStyle name="쉼표 [0] 5 3" xfId="30166"/>
    <cellStyle name="쉼표 [0] 6" xfId="30167"/>
    <cellStyle name="스타일 1" xfId="30168"/>
    <cellStyle name="스타일 1 2" xfId="30169"/>
    <cellStyle name="스타일 1 2 2" xfId="30170"/>
    <cellStyle name="스타일 1 3" xfId="30171"/>
    <cellStyle name="스타일 1 3 2" xfId="30172"/>
    <cellStyle name="스타일 1 4" xfId="30173"/>
    <cellStyle name="스타일 10" xfId="30174"/>
    <cellStyle name="스타일 11" xfId="30175"/>
    <cellStyle name="스타일 12" xfId="30176"/>
    <cellStyle name="스타일 13" xfId="30177"/>
    <cellStyle name="스타일 14" xfId="30178"/>
    <cellStyle name="스타일 15" xfId="30179"/>
    <cellStyle name="스타일 16" xfId="30180"/>
    <cellStyle name="스타일 17" xfId="30181"/>
    <cellStyle name="스타일 18" xfId="30182"/>
    <cellStyle name="스타일 19" xfId="30183"/>
    <cellStyle name="스타일 2" xfId="30184"/>
    <cellStyle name="스타일 20" xfId="30185"/>
    <cellStyle name="스타일 21" xfId="30186"/>
    <cellStyle name="스타일 22" xfId="30187"/>
    <cellStyle name="스타일 23" xfId="30188"/>
    <cellStyle name="스타일 24" xfId="30189"/>
    <cellStyle name="스타일 25" xfId="30190"/>
    <cellStyle name="스타일 26" xfId="30191"/>
    <cellStyle name="스타일 27" xfId="30192"/>
    <cellStyle name="스타일 28" xfId="30193"/>
    <cellStyle name="스타일 29" xfId="30194"/>
    <cellStyle name="스타일 3" xfId="30195"/>
    <cellStyle name="스타일 30" xfId="30196"/>
    <cellStyle name="스타일 31" xfId="30197"/>
    <cellStyle name="스타일 32" xfId="30198"/>
    <cellStyle name="스타일 33" xfId="30199"/>
    <cellStyle name="스타일 34" xfId="30200"/>
    <cellStyle name="스타일 35" xfId="30201"/>
    <cellStyle name="스타일 36" xfId="30202"/>
    <cellStyle name="스타일 37" xfId="30203"/>
    <cellStyle name="스타일 38" xfId="30204"/>
    <cellStyle name="스타일 39" xfId="30205"/>
    <cellStyle name="스타일 4" xfId="30206"/>
    <cellStyle name="스타일 40" xfId="30207"/>
    <cellStyle name="스타일 41" xfId="30208"/>
    <cellStyle name="스타일 42" xfId="30209"/>
    <cellStyle name="스타일 43" xfId="30210"/>
    <cellStyle name="스타일 44" xfId="30211"/>
    <cellStyle name="스타일 45" xfId="30212"/>
    <cellStyle name="스타일 46" xfId="30213"/>
    <cellStyle name="스타일 47" xfId="30214"/>
    <cellStyle name="스타일 48" xfId="30215"/>
    <cellStyle name="스타일 49" xfId="30216"/>
    <cellStyle name="스타일 5" xfId="30217"/>
    <cellStyle name="스타일 50" xfId="30218"/>
    <cellStyle name="스타일 51" xfId="30219"/>
    <cellStyle name="스타일 52" xfId="30220"/>
    <cellStyle name="스타일 53" xfId="30221"/>
    <cellStyle name="스타일 54" xfId="30222"/>
    <cellStyle name="스타일 6" xfId="30223"/>
    <cellStyle name="스타일 7" xfId="30224"/>
    <cellStyle name="스타일 8" xfId="30225"/>
    <cellStyle name="스타일 9" xfId="30226"/>
    <cellStyle name="연결된 셀 10" xfId="30227"/>
    <cellStyle name="연결된 셀 11" xfId="30228"/>
    <cellStyle name="연결된 셀 12" xfId="30229"/>
    <cellStyle name="연결된 셀 13" xfId="30230"/>
    <cellStyle name="연결된 셀 14" xfId="30231"/>
    <cellStyle name="연결된 셀 15" xfId="30232"/>
    <cellStyle name="연결된 셀 2" xfId="30233"/>
    <cellStyle name="연결된 셀 2 2" xfId="30234"/>
    <cellStyle name="연결된 셀 2 2 2" xfId="30235"/>
    <cellStyle name="연결된 셀 2 3" xfId="30236"/>
    <cellStyle name="연결된 셀 3" xfId="30237"/>
    <cellStyle name="연결된 셀 3 2" xfId="30238"/>
    <cellStyle name="연결된 셀 3 3" xfId="30239"/>
    <cellStyle name="연결된 셀 4" xfId="30240"/>
    <cellStyle name="연결된 셀 4 2" xfId="30241"/>
    <cellStyle name="연결된 셀 5" xfId="30242"/>
    <cellStyle name="연결된 셀 6" xfId="30243"/>
    <cellStyle name="연결된 셀 7" xfId="30244"/>
    <cellStyle name="연결된 셀 8" xfId="30245"/>
    <cellStyle name="연결된 셀 9" xfId="30246"/>
    <cellStyle name="열어본 하이퍼링크" xfId="30247"/>
    <cellStyle name="열어본 하이퍼링크 2" xfId="30248"/>
    <cellStyle name="요약 10" xfId="30249"/>
    <cellStyle name="요약 11" xfId="30250"/>
    <cellStyle name="요약 12" xfId="30251"/>
    <cellStyle name="요약 13" xfId="30252"/>
    <cellStyle name="요약 14" xfId="30253"/>
    <cellStyle name="요약 15" xfId="30254"/>
    <cellStyle name="요약 2" xfId="30255"/>
    <cellStyle name="요약 2 2" xfId="30256"/>
    <cellStyle name="요약 2 2 10" xfId="30257"/>
    <cellStyle name="요약 2 2 10 2" xfId="30258"/>
    <cellStyle name="요약 2 2 10 3" xfId="30259"/>
    <cellStyle name="요약 2 2 11" xfId="30260"/>
    <cellStyle name="요약 2 2 11 2" xfId="30261"/>
    <cellStyle name="요약 2 2 11 3" xfId="30262"/>
    <cellStyle name="요약 2 2 12" xfId="30263"/>
    <cellStyle name="요약 2 2 13" xfId="30264"/>
    <cellStyle name="요약 2 2 14" xfId="30265"/>
    <cellStyle name="요약 2 2 2" xfId="30266"/>
    <cellStyle name="요약 2 2 2 2" xfId="30267"/>
    <cellStyle name="요약 2 2 3" xfId="30268"/>
    <cellStyle name="요약 2 2 3 2" xfId="30269"/>
    <cellStyle name="요약 2 2 4" xfId="30270"/>
    <cellStyle name="요약 2 2 4 2" xfId="30271"/>
    <cellStyle name="요약 2 2 5" xfId="30272"/>
    <cellStyle name="요약 2 2 5 2" xfId="30273"/>
    <cellStyle name="요약 2 2 6" xfId="30274"/>
    <cellStyle name="요약 2 2 6 2" xfId="30275"/>
    <cellStyle name="요약 2 2 7" xfId="30276"/>
    <cellStyle name="요약 2 2 7 2" xfId="30277"/>
    <cellStyle name="요약 2 2 8" xfId="30278"/>
    <cellStyle name="요약 2 2 8 2" xfId="30279"/>
    <cellStyle name="요약 2 2 8 3" xfId="30280"/>
    <cellStyle name="요약 2 2 9" xfId="30281"/>
    <cellStyle name="요약 2 2 9 2" xfId="30282"/>
    <cellStyle name="요약 2 2 9 3" xfId="30283"/>
    <cellStyle name="요약 2 3" xfId="30284"/>
    <cellStyle name="요약 2 4" xfId="30285"/>
    <cellStyle name="요약 3" xfId="30286"/>
    <cellStyle name="요약 3 2" xfId="30287"/>
    <cellStyle name="요약 3 2 10" xfId="30288"/>
    <cellStyle name="요약 3 2 10 2" xfId="30289"/>
    <cellStyle name="요약 3 2 10 3" xfId="30290"/>
    <cellStyle name="요약 3 2 11" xfId="30291"/>
    <cellStyle name="요약 3 2 11 2" xfId="30292"/>
    <cellStyle name="요약 3 2 11 3" xfId="30293"/>
    <cellStyle name="요약 3 2 12" xfId="30294"/>
    <cellStyle name="요약 3 2 13" xfId="30295"/>
    <cellStyle name="요약 3 2 2" xfId="30296"/>
    <cellStyle name="요약 3 2 2 2" xfId="30297"/>
    <cellStyle name="요약 3 2 3" xfId="30298"/>
    <cellStyle name="요약 3 2 3 2" xfId="30299"/>
    <cellStyle name="요약 3 2 4" xfId="30300"/>
    <cellStyle name="요약 3 2 4 2" xfId="30301"/>
    <cellStyle name="요약 3 2 5" xfId="30302"/>
    <cellStyle name="요약 3 2 5 2" xfId="30303"/>
    <cellStyle name="요약 3 2 6" xfId="30304"/>
    <cellStyle name="요약 3 2 6 2" xfId="30305"/>
    <cellStyle name="요약 3 2 7" xfId="30306"/>
    <cellStyle name="요약 3 2 7 2" xfId="30307"/>
    <cellStyle name="요약 3 2 8" xfId="30308"/>
    <cellStyle name="요약 3 2 8 2" xfId="30309"/>
    <cellStyle name="요약 3 2 8 3" xfId="30310"/>
    <cellStyle name="요약 3 2 9" xfId="30311"/>
    <cellStyle name="요약 3 2 9 2" xfId="30312"/>
    <cellStyle name="요약 3 2 9 3" xfId="30313"/>
    <cellStyle name="요약 3 3" xfId="30314"/>
    <cellStyle name="요약 4" xfId="30315"/>
    <cellStyle name="요약 4 2" xfId="30316"/>
    <cellStyle name="요약 5" xfId="30317"/>
    <cellStyle name="요약 6" xfId="30318"/>
    <cellStyle name="요약 7" xfId="30319"/>
    <cellStyle name="요약 8" xfId="30320"/>
    <cellStyle name="요약 9" xfId="30321"/>
    <cellStyle name="입력 10" xfId="30322"/>
    <cellStyle name="입력 11" xfId="30323"/>
    <cellStyle name="입력 12" xfId="30324"/>
    <cellStyle name="입력 13" xfId="30325"/>
    <cellStyle name="입력 14" xfId="30326"/>
    <cellStyle name="입력 15" xfId="30327"/>
    <cellStyle name="입력 2" xfId="30328"/>
    <cellStyle name="입력 2 2" xfId="30329"/>
    <cellStyle name="입력 2 2 10" xfId="30330"/>
    <cellStyle name="입력 2 2 10 2" xfId="30331"/>
    <cellStyle name="입력 2 2 10 3" xfId="30332"/>
    <cellStyle name="입력 2 2 11" xfId="30333"/>
    <cellStyle name="입력 2 2 11 2" xfId="30334"/>
    <cellStyle name="입력 2 2 11 3" xfId="30335"/>
    <cellStyle name="입력 2 2 12" xfId="30336"/>
    <cellStyle name="입력 2 2 13" xfId="30337"/>
    <cellStyle name="입력 2 2 14" xfId="30338"/>
    <cellStyle name="입력 2 2 2" xfId="30339"/>
    <cellStyle name="입력 2 2 2 2" xfId="30340"/>
    <cellStyle name="입력 2 2 3" xfId="30341"/>
    <cellStyle name="입력 2 2 3 2" xfId="30342"/>
    <cellStyle name="입력 2 2 4" xfId="30343"/>
    <cellStyle name="입력 2 2 4 2" xfId="30344"/>
    <cellStyle name="입력 2 2 5" xfId="30345"/>
    <cellStyle name="입력 2 2 5 2" xfId="30346"/>
    <cellStyle name="입력 2 2 6" xfId="30347"/>
    <cellStyle name="입력 2 2 6 2" xfId="30348"/>
    <cellStyle name="입력 2 2 7" xfId="30349"/>
    <cellStyle name="입력 2 2 7 2" xfId="30350"/>
    <cellStyle name="입력 2 2 8" xfId="30351"/>
    <cellStyle name="입력 2 2 8 2" xfId="30352"/>
    <cellStyle name="입력 2 2 8 3" xfId="30353"/>
    <cellStyle name="입력 2 2 9" xfId="30354"/>
    <cellStyle name="입력 2 2 9 2" xfId="30355"/>
    <cellStyle name="입력 2 2 9 3" xfId="30356"/>
    <cellStyle name="입력 2 3" xfId="30357"/>
    <cellStyle name="입력 2 4" xfId="30358"/>
    <cellStyle name="입력 3" xfId="30359"/>
    <cellStyle name="입력 3 2" xfId="30360"/>
    <cellStyle name="입력 3 2 10" xfId="30361"/>
    <cellStyle name="입력 3 2 10 2" xfId="30362"/>
    <cellStyle name="입력 3 2 10 3" xfId="30363"/>
    <cellStyle name="입력 3 2 11" xfId="30364"/>
    <cellStyle name="입력 3 2 11 2" xfId="30365"/>
    <cellStyle name="입력 3 2 11 3" xfId="30366"/>
    <cellStyle name="입력 3 2 12" xfId="30367"/>
    <cellStyle name="입력 3 2 13" xfId="30368"/>
    <cellStyle name="입력 3 2 2" xfId="30369"/>
    <cellStyle name="입력 3 2 2 2" xfId="30370"/>
    <cellStyle name="입력 3 2 3" xfId="30371"/>
    <cellStyle name="입력 3 2 3 2" xfId="30372"/>
    <cellStyle name="입력 3 2 4" xfId="30373"/>
    <cellStyle name="입력 3 2 4 2" xfId="30374"/>
    <cellStyle name="입력 3 2 5" xfId="30375"/>
    <cellStyle name="입력 3 2 5 2" xfId="30376"/>
    <cellStyle name="입력 3 2 6" xfId="30377"/>
    <cellStyle name="입력 3 2 6 2" xfId="30378"/>
    <cellStyle name="입력 3 2 7" xfId="30379"/>
    <cellStyle name="입력 3 2 7 2" xfId="30380"/>
    <cellStyle name="입력 3 2 8" xfId="30381"/>
    <cellStyle name="입력 3 2 8 2" xfId="30382"/>
    <cellStyle name="입력 3 2 8 3" xfId="30383"/>
    <cellStyle name="입력 3 2 9" xfId="30384"/>
    <cellStyle name="입력 3 2 9 2" xfId="30385"/>
    <cellStyle name="입력 3 2 9 3" xfId="30386"/>
    <cellStyle name="입력 3 3" xfId="30387"/>
    <cellStyle name="입력 4" xfId="30388"/>
    <cellStyle name="입력 4 2" xfId="30389"/>
    <cellStyle name="입력 5" xfId="30390"/>
    <cellStyle name="입력 6" xfId="30391"/>
    <cellStyle name="입력 7" xfId="30392"/>
    <cellStyle name="입력 8" xfId="30393"/>
    <cellStyle name="입력 9" xfId="30394"/>
    <cellStyle name="자리수" xfId="30395"/>
    <cellStyle name="자리수 2" xfId="30396"/>
    <cellStyle name="자리수 2 2" xfId="30397"/>
    <cellStyle name="자리수0" xfId="30398"/>
    <cellStyle name="자리수0 2" xfId="30399"/>
    <cellStyle name="자리수0 2 2" xfId="30400"/>
    <cellStyle name="자리수0 3" xfId="30401"/>
    <cellStyle name="제목 1 10" xfId="30402"/>
    <cellStyle name="제목 1 11" xfId="30403"/>
    <cellStyle name="제목 1 12" xfId="30404"/>
    <cellStyle name="제목 1 13" xfId="30405"/>
    <cellStyle name="제목 1 14" xfId="30406"/>
    <cellStyle name="제목 1 15" xfId="30407"/>
    <cellStyle name="제목 1 2" xfId="30408"/>
    <cellStyle name="제목 1 2 2" xfId="30409"/>
    <cellStyle name="제목 1 2 2 2" xfId="30410"/>
    <cellStyle name="제목 1 2 3" xfId="30411"/>
    <cellStyle name="제목 1 3" xfId="30412"/>
    <cellStyle name="제목 1 3 2" xfId="30413"/>
    <cellStyle name="제목 1 3 3" xfId="30414"/>
    <cellStyle name="제목 1 4" xfId="30415"/>
    <cellStyle name="제목 1 4 2" xfId="30416"/>
    <cellStyle name="제목 1 5" xfId="30417"/>
    <cellStyle name="제목 1 6" xfId="30418"/>
    <cellStyle name="제목 1 7" xfId="30419"/>
    <cellStyle name="제목 1 8" xfId="30420"/>
    <cellStyle name="제목 1 9" xfId="30421"/>
    <cellStyle name="제목 10" xfId="30422"/>
    <cellStyle name="제목 11" xfId="30423"/>
    <cellStyle name="제목 12" xfId="30424"/>
    <cellStyle name="제목 13" xfId="30425"/>
    <cellStyle name="제목 14" xfId="30426"/>
    <cellStyle name="제목 15" xfId="30427"/>
    <cellStyle name="제목 16" xfId="30428"/>
    <cellStyle name="제목 17" xfId="30429"/>
    <cellStyle name="제목 18" xfId="30430"/>
    <cellStyle name="제목 2 10" xfId="30431"/>
    <cellStyle name="제목 2 11" xfId="30432"/>
    <cellStyle name="제목 2 12" xfId="30433"/>
    <cellStyle name="제목 2 13" xfId="30434"/>
    <cellStyle name="제목 2 14" xfId="30435"/>
    <cellStyle name="제목 2 15" xfId="30436"/>
    <cellStyle name="제목 2 2" xfId="30437"/>
    <cellStyle name="제목 2 2 2" xfId="30438"/>
    <cellStyle name="제목 2 2 2 2" xfId="30439"/>
    <cellStyle name="제목 2 2 3" xfId="30440"/>
    <cellStyle name="제목 2 3" xfId="30441"/>
    <cellStyle name="제목 2 3 2" xfId="30442"/>
    <cellStyle name="제목 2 3 3" xfId="30443"/>
    <cellStyle name="제목 2 4" xfId="30444"/>
    <cellStyle name="제목 2 4 2" xfId="30445"/>
    <cellStyle name="제목 2 5" xfId="30446"/>
    <cellStyle name="제목 2 6" xfId="30447"/>
    <cellStyle name="제목 2 7" xfId="30448"/>
    <cellStyle name="제목 2 8" xfId="30449"/>
    <cellStyle name="제목 2 9" xfId="30450"/>
    <cellStyle name="제목 3 10" xfId="30451"/>
    <cellStyle name="제목 3 11" xfId="30452"/>
    <cellStyle name="제목 3 12" xfId="30453"/>
    <cellStyle name="제목 3 13" xfId="30454"/>
    <cellStyle name="제목 3 14" xfId="30455"/>
    <cellStyle name="제목 3 15" xfId="30456"/>
    <cellStyle name="제목 3 2" xfId="30457"/>
    <cellStyle name="제목 3 2 2" xfId="30458"/>
    <cellStyle name="제목 3 2 2 10" xfId="30459"/>
    <cellStyle name="제목 3 2 2 2" xfId="30460"/>
    <cellStyle name="제목 3 2 2 2 2" xfId="30461"/>
    <cellStyle name="제목 3 2 2 3" xfId="30462"/>
    <cellStyle name="제목 3 2 2 3 2" xfId="30463"/>
    <cellStyle name="제목 3 2 2 4" xfId="30464"/>
    <cellStyle name="제목 3 2 2 4 2" xfId="30465"/>
    <cellStyle name="제목 3 2 2 5" xfId="30466"/>
    <cellStyle name="제목 3 2 2 5 2" xfId="30467"/>
    <cellStyle name="제목 3 2 2 6" xfId="30468"/>
    <cellStyle name="제목 3 2 2 6 2" xfId="30469"/>
    <cellStyle name="제목 3 2 2 7" xfId="30470"/>
    <cellStyle name="제목 3 2 2 7 2" xfId="30471"/>
    <cellStyle name="제목 3 2 2 8" xfId="30472"/>
    <cellStyle name="제목 3 2 2 8 2" xfId="30473"/>
    <cellStyle name="제목 3 2 2 9" xfId="30474"/>
    <cellStyle name="제목 3 2 2 9 2" xfId="30475"/>
    <cellStyle name="제목 3 2 3" xfId="30476"/>
    <cellStyle name="제목 3 3" xfId="30477"/>
    <cellStyle name="제목 3 3 2" xfId="30478"/>
    <cellStyle name="제목 3 3 2 2" xfId="30479"/>
    <cellStyle name="제목 3 3 2 2 2" xfId="30480"/>
    <cellStyle name="제목 3 3 2 3" xfId="30481"/>
    <cellStyle name="제목 3 3 2 3 2" xfId="30482"/>
    <cellStyle name="제목 3 3 2 4" xfId="30483"/>
    <cellStyle name="제목 3 3 2 4 2" xfId="30484"/>
    <cellStyle name="제목 3 3 2 5" xfId="30485"/>
    <cellStyle name="제목 3 3 2 5 2" xfId="30486"/>
    <cellStyle name="제목 3 3 2 6" xfId="30487"/>
    <cellStyle name="제목 3 3 2 6 2" xfId="30488"/>
    <cellStyle name="제목 3 3 2 7" xfId="30489"/>
    <cellStyle name="제목 3 3 2 7 2" xfId="30490"/>
    <cellStyle name="제목 3 3 2 8" xfId="30491"/>
    <cellStyle name="제목 3 3 2 8 2" xfId="30492"/>
    <cellStyle name="제목 3 3 2 9" xfId="30493"/>
    <cellStyle name="제목 3 3 2 9 2" xfId="30494"/>
    <cellStyle name="제목 3 3 3" xfId="30495"/>
    <cellStyle name="제목 3 4" xfId="30496"/>
    <cellStyle name="제목 3 4 2" xfId="30497"/>
    <cellStyle name="제목 3 5" xfId="30498"/>
    <cellStyle name="제목 3 6" xfId="30499"/>
    <cellStyle name="제목 3 7" xfId="30500"/>
    <cellStyle name="제목 3 8" xfId="30501"/>
    <cellStyle name="제목 3 9" xfId="30502"/>
    <cellStyle name="제목 4 10" xfId="30503"/>
    <cellStyle name="제목 4 11" xfId="30504"/>
    <cellStyle name="제목 4 12" xfId="30505"/>
    <cellStyle name="제목 4 13" xfId="30506"/>
    <cellStyle name="제목 4 14" xfId="30507"/>
    <cellStyle name="제목 4 15" xfId="30508"/>
    <cellStyle name="제목 4 2" xfId="30509"/>
    <cellStyle name="제목 4 2 2" xfId="30510"/>
    <cellStyle name="제목 4 2 2 2" xfId="30511"/>
    <cellStyle name="제목 4 2 3" xfId="30512"/>
    <cellStyle name="제목 4 3" xfId="30513"/>
    <cellStyle name="제목 4 3 2" xfId="30514"/>
    <cellStyle name="제목 4 3 3" xfId="30515"/>
    <cellStyle name="제목 4 4" xfId="30516"/>
    <cellStyle name="제목 4 4 2" xfId="30517"/>
    <cellStyle name="제목 4 5" xfId="30518"/>
    <cellStyle name="제목 4 6" xfId="30519"/>
    <cellStyle name="제목 4 7" xfId="30520"/>
    <cellStyle name="제목 4 8" xfId="30521"/>
    <cellStyle name="제목 4 9" xfId="30522"/>
    <cellStyle name="제목 5" xfId="30523"/>
    <cellStyle name="제목 5 2" xfId="30524"/>
    <cellStyle name="제목 5 2 2" xfId="30525"/>
    <cellStyle name="제목 5 3" xfId="30526"/>
    <cellStyle name="제목 6" xfId="30527"/>
    <cellStyle name="제목 6 2" xfId="30528"/>
    <cellStyle name="제목 6 3" xfId="30529"/>
    <cellStyle name="제목 7" xfId="30530"/>
    <cellStyle name="제목 7 2" xfId="30531"/>
    <cellStyle name="제목 8" xfId="30532"/>
    <cellStyle name="제목 9" xfId="30533"/>
    <cellStyle name="좋음 10" xfId="30534"/>
    <cellStyle name="좋음 11" xfId="30535"/>
    <cellStyle name="좋음 12" xfId="30536"/>
    <cellStyle name="좋음 13" xfId="30537"/>
    <cellStyle name="좋음 14" xfId="30538"/>
    <cellStyle name="좋음 15" xfId="30539"/>
    <cellStyle name="좋음 16" xfId="30540"/>
    <cellStyle name="좋음 17" xfId="30541"/>
    <cellStyle name="좋음 2" xfId="30542"/>
    <cellStyle name="좋음 2 2" xfId="30543"/>
    <cellStyle name="좋음 2 2 2" xfId="30544"/>
    <cellStyle name="좋음 2 3" xfId="30545"/>
    <cellStyle name="좋음 3" xfId="30546"/>
    <cellStyle name="좋음 3 2" xfId="30547"/>
    <cellStyle name="좋음 3 2 2" xfId="30548"/>
    <cellStyle name="좋음 3 3" xfId="30549"/>
    <cellStyle name="좋음 4" xfId="30550"/>
    <cellStyle name="좋음 4 2" xfId="30551"/>
    <cellStyle name="좋음 5" xfId="30552"/>
    <cellStyle name="좋음 6" xfId="30553"/>
    <cellStyle name="좋음 7" xfId="30554"/>
    <cellStyle name="좋음 8" xfId="30555"/>
    <cellStyle name="좋음 9" xfId="30556"/>
    <cellStyle name="지정되지 않음" xfId="30557"/>
    <cellStyle name="출력 10" xfId="30558"/>
    <cellStyle name="출력 11" xfId="30559"/>
    <cellStyle name="출력 12" xfId="30560"/>
    <cellStyle name="출력 13" xfId="30561"/>
    <cellStyle name="출력 14" xfId="30562"/>
    <cellStyle name="출력 15" xfId="30563"/>
    <cellStyle name="출력 2" xfId="30564"/>
    <cellStyle name="출력 2 2" xfId="30565"/>
    <cellStyle name="출력 2 2 10" xfId="30566"/>
    <cellStyle name="출력 2 2 10 2" xfId="30567"/>
    <cellStyle name="출력 2 2 10 3" xfId="30568"/>
    <cellStyle name="출력 2 2 11" xfId="30569"/>
    <cellStyle name="출력 2 2 11 2" xfId="30570"/>
    <cellStyle name="출력 2 2 11 3" xfId="30571"/>
    <cellStyle name="출력 2 2 12" xfId="30572"/>
    <cellStyle name="출력 2 2 13" xfId="30573"/>
    <cellStyle name="출력 2 2 14" xfId="30574"/>
    <cellStyle name="출력 2 2 2" xfId="30575"/>
    <cellStyle name="출력 2 2 2 2" xfId="30576"/>
    <cellStyle name="출력 2 2 3" xfId="30577"/>
    <cellStyle name="출력 2 2 3 2" xfId="30578"/>
    <cellStyle name="출력 2 2 4" xfId="30579"/>
    <cellStyle name="출력 2 2 4 2" xfId="30580"/>
    <cellStyle name="출력 2 2 5" xfId="30581"/>
    <cellStyle name="출력 2 2 5 2" xfId="30582"/>
    <cellStyle name="출력 2 2 6" xfId="30583"/>
    <cellStyle name="출력 2 2 6 2" xfId="30584"/>
    <cellStyle name="출력 2 2 7" xfId="30585"/>
    <cellStyle name="출력 2 2 7 2" xfId="30586"/>
    <cellStyle name="출력 2 2 8" xfId="30587"/>
    <cellStyle name="출력 2 2 8 2" xfId="30588"/>
    <cellStyle name="출력 2 2 8 3" xfId="30589"/>
    <cellStyle name="출력 2 2 9" xfId="30590"/>
    <cellStyle name="출력 2 2 9 2" xfId="30591"/>
    <cellStyle name="출력 2 2 9 3" xfId="30592"/>
    <cellStyle name="출력 2 3" xfId="30593"/>
    <cellStyle name="출력 2 4" xfId="30594"/>
    <cellStyle name="출력 3" xfId="30595"/>
    <cellStyle name="출력 3 2" xfId="30596"/>
    <cellStyle name="출력 3 2 10" xfId="30597"/>
    <cellStyle name="출력 3 2 10 2" xfId="30598"/>
    <cellStyle name="출력 3 2 10 3" xfId="30599"/>
    <cellStyle name="출력 3 2 11" xfId="30600"/>
    <cellStyle name="출력 3 2 11 2" xfId="30601"/>
    <cellStyle name="출력 3 2 11 3" xfId="30602"/>
    <cellStyle name="출력 3 2 12" xfId="30603"/>
    <cellStyle name="출력 3 2 13" xfId="30604"/>
    <cellStyle name="출력 3 2 2" xfId="30605"/>
    <cellStyle name="출력 3 2 2 2" xfId="30606"/>
    <cellStyle name="출력 3 2 3" xfId="30607"/>
    <cellStyle name="출력 3 2 3 2" xfId="30608"/>
    <cellStyle name="출력 3 2 4" xfId="30609"/>
    <cellStyle name="출력 3 2 4 2" xfId="30610"/>
    <cellStyle name="출력 3 2 5" xfId="30611"/>
    <cellStyle name="출력 3 2 5 2" xfId="30612"/>
    <cellStyle name="출력 3 2 6" xfId="30613"/>
    <cellStyle name="출력 3 2 6 2" xfId="30614"/>
    <cellStyle name="출력 3 2 7" xfId="30615"/>
    <cellStyle name="출력 3 2 7 2" xfId="30616"/>
    <cellStyle name="출력 3 2 8" xfId="30617"/>
    <cellStyle name="출력 3 2 8 2" xfId="30618"/>
    <cellStyle name="출력 3 2 8 3" xfId="30619"/>
    <cellStyle name="출력 3 2 9" xfId="30620"/>
    <cellStyle name="출력 3 2 9 2" xfId="30621"/>
    <cellStyle name="출력 3 2 9 3" xfId="30622"/>
    <cellStyle name="출력 3 3" xfId="30623"/>
    <cellStyle name="출력 4" xfId="30624"/>
    <cellStyle name="출력 4 2" xfId="30625"/>
    <cellStyle name="출력 5" xfId="30626"/>
    <cellStyle name="출력 6" xfId="30627"/>
    <cellStyle name="출력 7" xfId="30628"/>
    <cellStyle name="출력 8" xfId="30629"/>
    <cellStyle name="출력 9" xfId="30630"/>
    <cellStyle name="콤" xfId="30631"/>
    <cellStyle name="콤_ROTATION 유동" xfId="30632"/>
    <cellStyle name="콤_ROTATION 유동_도금 열처리 주단조 평가품의(040329)" xfId="30633"/>
    <cellStyle name="콤_ROTATION 유동_도금 열처리 주단조 평가품의(040329)_도금 열처리 주단조 평가품의(040329)" xfId="30634"/>
    <cellStyle name="콤_ROTATION 유동_도금 열처리 주단조 평가품의(040329)업체" xfId="30635"/>
    <cellStyle name="콤_ROTATION 유동_열처리결과품의(031017)개발" xfId="30636"/>
    <cellStyle name="콤_ROTATION 유동_열처리결과품의(031017)개발_도금 열처리 주단조 평가품의(040329)" xfId="30637"/>
    <cellStyle name="콤_ROTATION 유동_용접업종 평가결과품의(040510)" xfId="30638"/>
    <cellStyle name="콤_ROTATION 유동_용접업종 평가결과품의(040510)_용접업종 평가결과품의(040510)" xfId="30639"/>
    <cellStyle name="콤_ROTATION 유동_용접업종 평가결과품의(040510)_용접업종 평가결과품의(040510)(1)" xfId="30640"/>
    <cellStyle name="콤_ROTATION 유동_용접업종 평가결과품의(040510)_주단조용접업종 평가결과품의(040510)(1)" xfId="30641"/>
    <cellStyle name="콤_ROTATION 유동_주단조 업종 평가결과품의(040407)" xfId="30642"/>
    <cellStyle name="콤_ROTATION 유동_주단조 업종 평가결과품의(040407)_용접업종 평가결과품의(040510)" xfId="30643"/>
    <cellStyle name="콤_ROTATION 유동_주단조 업종 평가결과품의(040407)_용접업종 평가결과품의(040510)(1)" xfId="30644"/>
    <cellStyle name="콤_ROTATION 유동_주단조 업종 평가결과품의(040407)_주단조용접업종 평가결과품의(040510)(1)" xfId="30645"/>
    <cellStyle name="콤_ROTATION 유동_주단조 업종 평가결과품의(040416)(1)" xfId="30646"/>
    <cellStyle name="콤_ROTATION 유동_주단조 업종 평가결과품의(040416)(1)_용접업종 평가결과품의(040510)" xfId="30647"/>
    <cellStyle name="콤_ROTATION 유동_주단조 업종 평가결과품의(040416)(1)_용접업종 평가결과품의(040510)(1)" xfId="30648"/>
    <cellStyle name="콤_ROTATION 유동_주단조 업종 평가결과품의(040416)(1)_주단조용접업종 평가결과품의(040510)(1)" xfId="30649"/>
    <cellStyle name="콤_ROTATION 유동_최신-SQ인증업체현황1343사(03년평가완료031229수정)" xfId="30650"/>
    <cellStyle name="콤_ROTATION 유동_최신-SQ인증업체현황1343사(03년평가완료031229수정)_용접업종 평가결과품의(040510)" xfId="30651"/>
    <cellStyle name="콤_ROTATION 유동_최신-SQ인증업체현황1343사(03년평가완료031229수정)_용접업종 평가결과품의(040510)(1)" xfId="30652"/>
    <cellStyle name="콤_ROTATION 유동_최신-SQ인증업체현황1343사(03년평가완료031229수정)_주단조용접업종 평가결과품의(040510)(1)" xfId="30653"/>
    <cellStyle name="콤_SLIDE 폭" xfId="30654"/>
    <cellStyle name="콤_SLIDE 폭_도금 열처리 주단조 평가품의(040329)" xfId="30655"/>
    <cellStyle name="콤_SLIDE 폭_도금 열처리 주단조 평가품의(040329)_도금 열처리 주단조 평가품의(040329)" xfId="30656"/>
    <cellStyle name="콤_SLIDE 폭_도금 열처리 주단조 평가품의(040329)업체" xfId="30657"/>
    <cellStyle name="콤_SLIDE 폭_열처리결과품의(031017)개발" xfId="30658"/>
    <cellStyle name="콤_SLIDE 폭_열처리결과품의(031017)개발_도금 열처리 주단조 평가품의(040329)" xfId="30659"/>
    <cellStyle name="콤_SLIDE 폭_용접업종 평가결과품의(040510)" xfId="30660"/>
    <cellStyle name="콤_SLIDE 폭_용접업종 평가결과품의(040510)_용접업종 평가결과품의(040510)" xfId="30661"/>
    <cellStyle name="콤_SLIDE 폭_용접업종 평가결과품의(040510)_용접업종 평가결과품의(040510)(1)" xfId="30662"/>
    <cellStyle name="콤_SLIDE 폭_용접업종 평가결과품의(040510)_주단조용접업종 평가결과품의(040510)(1)" xfId="30663"/>
    <cellStyle name="콤_SLIDE 폭_주단조 업종 평가결과품의(040407)" xfId="30664"/>
    <cellStyle name="콤_SLIDE 폭_주단조 업종 평가결과품의(040407)_용접업종 평가결과품의(040510)" xfId="30665"/>
    <cellStyle name="콤_SLIDE 폭_주단조 업종 평가결과품의(040407)_용접업종 평가결과품의(040510)(1)" xfId="30666"/>
    <cellStyle name="콤_SLIDE 폭_주단조 업종 평가결과품의(040407)_주단조용접업종 평가결과품의(040510)(1)" xfId="30667"/>
    <cellStyle name="콤_SLIDE 폭_주단조 업종 평가결과품의(040416)(1)" xfId="30668"/>
    <cellStyle name="콤_SLIDE 폭_주단조 업종 평가결과품의(040416)(1)_용접업종 평가결과품의(040510)" xfId="30669"/>
    <cellStyle name="콤_SLIDE 폭_주단조 업종 평가결과품의(040416)(1)_용접업종 평가결과품의(040510)(1)" xfId="30670"/>
    <cellStyle name="콤_SLIDE 폭_주단조 업종 평가결과품의(040416)(1)_주단조용접업종 평가결과품의(040510)(1)" xfId="30671"/>
    <cellStyle name="콤_SLIDE 폭_최신-SQ인증업체현황1343사(03년평가완료031229수정)" xfId="30672"/>
    <cellStyle name="콤_SLIDE 폭_최신-SQ인증업체현황1343사(03년평가완료031229수정)_용접업종 평가결과품의(040510)" xfId="30673"/>
    <cellStyle name="콤_SLIDE 폭_최신-SQ인증업체현황1343사(03년평가완료031229수정)_용접업종 평가결과품의(040510)(1)" xfId="30674"/>
    <cellStyle name="콤_SLIDE 폭_최신-SQ인증업체현황1343사(03년평가완료031229수정)_주단조용접업종 평가결과품의(040510)(1)" xfId="30675"/>
    <cellStyle name="콤_도금 열처리 주단조 평가품의(040329)" xfId="30676"/>
    <cellStyle name="콤_도금 열처리 주단조 평가품의(040329)_도금 열처리 주단조 평가품의(040329)" xfId="30677"/>
    <cellStyle name="콤_도금 열처리 주단조 평가품의(040329)업체" xfId="30678"/>
    <cellStyle name="콤_사전회의(1208)" xfId="30679"/>
    <cellStyle name="콤_사전회의(1208)_ROTATION 유동" xfId="30680"/>
    <cellStyle name="콤_사전회의(1208)_ROTATION 유동_도금 열처리 주단조 평가품의(040329)" xfId="30681"/>
    <cellStyle name="콤_사전회의(1208)_ROTATION 유동_도금 열처리 주단조 평가품의(040329)_도금 열처리 주단조 평가품의(040329)" xfId="30682"/>
    <cellStyle name="콤_사전회의(1208)_ROTATION 유동_도금 열처리 주단조 평가품의(040329)업체" xfId="30683"/>
    <cellStyle name="콤_사전회의(1208)_ROTATION 유동_열처리결과품의(031017)개발" xfId="30684"/>
    <cellStyle name="콤_사전회의(1208)_ROTATION 유동_열처리결과품의(031017)개발_도금 열처리 주단조 평가품의(040329)" xfId="30685"/>
    <cellStyle name="콤_사전회의(1208)_ROTATION 유동_용접업종 평가결과품의(040510)" xfId="30686"/>
    <cellStyle name="콤_사전회의(1208)_ROTATION 유동_용접업종 평가결과품의(040510)_용접업종 평가결과품의(040510)" xfId="30687"/>
    <cellStyle name="콤_사전회의(1208)_ROTATION 유동_용접업종 평가결과품의(040510)_용접업종 평가결과품의(040510)(1)" xfId="30688"/>
    <cellStyle name="콤_사전회의(1208)_ROTATION 유동_용접업종 평가결과품의(040510)_주단조용접업종 평가결과품의(040510)(1)" xfId="30689"/>
    <cellStyle name="콤_사전회의(1208)_ROTATION 유동_주단조 업종 평가결과품의(040407)" xfId="30690"/>
    <cellStyle name="콤_사전회의(1208)_ROTATION 유동_주단조 업종 평가결과품의(040407)_용접업종 평가결과품의(040510)" xfId="30691"/>
    <cellStyle name="콤_사전회의(1208)_ROTATION 유동_주단조 업종 평가결과품의(040407)_용접업종 평가결과품의(040510)(1)" xfId="30692"/>
    <cellStyle name="콤_사전회의(1208)_ROTATION 유동_주단조 업종 평가결과품의(040407)_주단조용접업종 평가결과품의(040510)(1)" xfId="30693"/>
    <cellStyle name="콤_사전회의(1208)_ROTATION 유동_주단조 업종 평가결과품의(040416)(1)" xfId="30694"/>
    <cellStyle name="콤_사전회의(1208)_ROTATION 유동_주단조 업종 평가결과품의(040416)(1)_용접업종 평가결과품의(040510)" xfId="30695"/>
    <cellStyle name="콤_사전회의(1208)_ROTATION 유동_주단조 업종 평가결과품의(040416)(1)_용접업종 평가결과품의(040510)(1)" xfId="30696"/>
    <cellStyle name="콤_사전회의(1208)_ROTATION 유동_주단조 업종 평가결과품의(040416)(1)_주단조용접업종 평가결과품의(040510)(1)" xfId="30697"/>
    <cellStyle name="콤_사전회의(1208)_ROTATION 유동_최신-SQ인증업체현황1343사(03년평가완료031229수정)" xfId="30698"/>
    <cellStyle name="콤_사전회의(1208)_ROTATION 유동_최신-SQ인증업체현황1343사(03년평가완료031229수정)_용접업종 평가결과품의(040510)" xfId="30699"/>
    <cellStyle name="콤_사전회의(1208)_ROTATION 유동_최신-SQ인증업체현황1343사(03년평가완료031229수정)_용접업종 평가결과품의(040510)(1)" xfId="30700"/>
    <cellStyle name="콤_사전회의(1208)_ROTATION 유동_최신-SQ인증업체현황1343사(03년평가완료031229수정)_주단조용접업종 평가결과품의(040510)(1)" xfId="30701"/>
    <cellStyle name="콤_사전회의(1208)_SLIDE 폭" xfId="30702"/>
    <cellStyle name="콤_사전회의(1208)_SLIDE 폭_도금 열처리 주단조 평가품의(040329)" xfId="30703"/>
    <cellStyle name="콤_사전회의(1208)_SLIDE 폭_도금 열처리 주단조 평가품의(040329)_도금 열처리 주단조 평가품의(040329)" xfId="30704"/>
    <cellStyle name="콤_사전회의(1208)_SLIDE 폭_도금 열처리 주단조 평가품의(040329)업체" xfId="30705"/>
    <cellStyle name="콤_사전회의(1208)_SLIDE 폭_열처리결과품의(031017)개발" xfId="30706"/>
    <cellStyle name="콤_사전회의(1208)_SLIDE 폭_열처리결과품의(031017)개발_도금 열처리 주단조 평가품의(040329)" xfId="30707"/>
    <cellStyle name="콤_사전회의(1208)_SLIDE 폭_용접업종 평가결과품의(040510)" xfId="30708"/>
    <cellStyle name="콤_사전회의(1208)_SLIDE 폭_용접업종 평가결과품의(040510)_용접업종 평가결과품의(040510)" xfId="30709"/>
    <cellStyle name="콤_사전회의(1208)_SLIDE 폭_용접업종 평가결과품의(040510)_용접업종 평가결과품의(040510)(1)" xfId="30710"/>
    <cellStyle name="콤_사전회의(1208)_SLIDE 폭_용접업종 평가결과품의(040510)_주단조용접업종 평가결과품의(040510)(1)" xfId="30711"/>
    <cellStyle name="콤_사전회의(1208)_SLIDE 폭_주단조 업종 평가결과품의(040407)" xfId="30712"/>
    <cellStyle name="콤_사전회의(1208)_SLIDE 폭_주단조 업종 평가결과품의(040407)_용접업종 평가결과품의(040510)" xfId="30713"/>
    <cellStyle name="콤_사전회의(1208)_SLIDE 폭_주단조 업종 평가결과품의(040407)_용접업종 평가결과품의(040510)(1)" xfId="30714"/>
    <cellStyle name="콤_사전회의(1208)_SLIDE 폭_주단조 업종 평가결과품의(040407)_주단조용접업종 평가결과품의(040510)(1)" xfId="30715"/>
    <cellStyle name="콤_사전회의(1208)_SLIDE 폭_주단조 업종 평가결과품의(040416)(1)" xfId="30716"/>
    <cellStyle name="콤_사전회의(1208)_SLIDE 폭_주단조 업종 평가결과품의(040416)(1)_용접업종 평가결과품의(040510)" xfId="30717"/>
    <cellStyle name="콤_사전회의(1208)_SLIDE 폭_주단조 업종 평가결과품의(040416)(1)_용접업종 평가결과품의(040510)(1)" xfId="30718"/>
    <cellStyle name="콤_사전회의(1208)_SLIDE 폭_주단조 업종 평가결과품의(040416)(1)_주단조용접업종 평가결과품의(040510)(1)" xfId="30719"/>
    <cellStyle name="콤_사전회의(1208)_SLIDE 폭_최신-SQ인증업체현황1343사(03년평가완료031229수정)" xfId="30720"/>
    <cellStyle name="콤_사전회의(1208)_SLIDE 폭_최신-SQ인증업체현황1343사(03년평가완료031229수정)_용접업종 평가결과품의(040510)" xfId="30721"/>
    <cellStyle name="콤_사전회의(1208)_SLIDE 폭_최신-SQ인증업체현황1343사(03년평가완료031229수정)_용접업종 평가결과품의(040510)(1)" xfId="30722"/>
    <cellStyle name="콤_사전회의(1208)_SLIDE 폭_최신-SQ인증업체현황1343사(03년평가완료031229수정)_주단조용접업종 평가결과품의(040510)(1)" xfId="30723"/>
    <cellStyle name="콤_사전회의(1208)_도금 열처리 주단조 평가품의(040329)" xfId="30724"/>
    <cellStyle name="콤_사전회의(1208)_도금 열처리 주단조 평가품의(040329)_도금 열처리 주단조 평가품의(040329)" xfId="30725"/>
    <cellStyle name="콤_사전회의(1208)_도금 열처리 주단조 평가품의(040329)업체" xfId="30726"/>
    <cellStyle name="콤_사전회의(1208)_새벽시장1" xfId="30727"/>
    <cellStyle name="콤_사전회의(1208)_새벽시장1_도금 열처리 주단조 평가품의(040329)" xfId="30728"/>
    <cellStyle name="콤_사전회의(1208)_새벽시장1_도금 열처리 주단조 평가품의(040329)_도금 열처리 주단조 평가품의(040329)" xfId="30729"/>
    <cellStyle name="콤_사전회의(1208)_새벽시장1_도금 열처리 주단조 평가품의(040329)업체" xfId="30730"/>
    <cellStyle name="콤_사전회의(1208)_새벽시장1_열처리결과품의(031017)개발" xfId="30731"/>
    <cellStyle name="콤_사전회의(1208)_새벽시장1_열처리결과품의(031017)개발_도금 열처리 주단조 평가품의(040329)" xfId="30732"/>
    <cellStyle name="콤_사전회의(1208)_새벽시장1_용접업종 평가결과품의(040510)" xfId="30733"/>
    <cellStyle name="콤_사전회의(1208)_새벽시장1_용접업종 평가결과품의(040510)_용접업종 평가결과품의(040510)" xfId="30734"/>
    <cellStyle name="콤_사전회의(1208)_새벽시장1_용접업종 평가결과품의(040510)_용접업종 평가결과품의(040510)(1)" xfId="30735"/>
    <cellStyle name="콤_사전회의(1208)_새벽시장1_용접업종 평가결과품의(040510)_주단조용접업종 평가결과품의(040510)(1)" xfId="30736"/>
    <cellStyle name="콤_사전회의(1208)_새벽시장1_주단조 업종 평가결과품의(040407)" xfId="30737"/>
    <cellStyle name="콤_사전회의(1208)_새벽시장1_주단조 업종 평가결과품의(040407)_용접업종 평가결과품의(040510)" xfId="30738"/>
    <cellStyle name="콤_사전회의(1208)_새벽시장1_주단조 업종 평가결과품의(040407)_용접업종 평가결과품의(040510)(1)" xfId="30739"/>
    <cellStyle name="콤_사전회의(1208)_새벽시장1_주단조 업종 평가결과품의(040407)_주단조용접업종 평가결과품의(040510)(1)" xfId="30740"/>
    <cellStyle name="콤_사전회의(1208)_새벽시장1_주단조 업종 평가결과품의(040416)(1)" xfId="30741"/>
    <cellStyle name="콤_사전회의(1208)_새벽시장1_주단조 업종 평가결과품의(040416)(1)_용접업종 평가결과품의(040510)" xfId="30742"/>
    <cellStyle name="콤_사전회의(1208)_새벽시장1_주단조 업종 평가결과품의(040416)(1)_용접업종 평가결과품의(040510)(1)" xfId="30743"/>
    <cellStyle name="콤_사전회의(1208)_새벽시장1_주단조 업종 평가결과품의(040416)(1)_주단조용접업종 평가결과품의(040510)(1)" xfId="30744"/>
    <cellStyle name="콤_사전회의(1208)_새벽시장1_최신-SQ인증업체현황1343사(03년평가완료031229수정)" xfId="30745"/>
    <cellStyle name="콤_사전회의(1208)_새벽시장1_최신-SQ인증업체현황1343사(03년평가완료031229수정)_용접업종 평가결과품의(040510)" xfId="30746"/>
    <cellStyle name="콤_사전회의(1208)_새벽시장1_최신-SQ인증업체현황1343사(03년평가완료031229수정)_용접업종 평가결과품의(040510)(1)" xfId="30747"/>
    <cellStyle name="콤_사전회의(1208)_새벽시장1_최신-SQ인증업체현황1343사(03년평가완료031229수정)_주단조용접업종 평가결과품의(040510)(1)" xfId="30748"/>
    <cellStyle name="콤_사전회의(1208)_새벽시장3" xfId="30749"/>
    <cellStyle name="콤_사전회의(1208)_새벽시장3_도금 열처리 주단조 평가품의(040329)" xfId="30750"/>
    <cellStyle name="콤_사전회의(1208)_새벽시장3_도금 열처리 주단조 평가품의(040329)_도금 열처리 주단조 평가품의(040329)" xfId="30751"/>
    <cellStyle name="콤_사전회의(1208)_새벽시장3_도금 열처리 주단조 평가품의(040329)업체" xfId="30752"/>
    <cellStyle name="콤_사전회의(1208)_새벽시장3_열처리결과품의(031017)개발" xfId="30753"/>
    <cellStyle name="콤_사전회의(1208)_새벽시장3_열처리결과품의(031017)개발_도금 열처리 주단조 평가품의(040329)" xfId="30754"/>
    <cellStyle name="콤_사전회의(1208)_새벽시장3_용접업종 평가결과품의(040510)" xfId="30755"/>
    <cellStyle name="콤_사전회의(1208)_새벽시장3_용접업종 평가결과품의(040510)_용접업종 평가결과품의(040510)" xfId="30756"/>
    <cellStyle name="콤_사전회의(1208)_새벽시장3_용접업종 평가결과품의(040510)_용접업종 평가결과품의(040510)(1)" xfId="30757"/>
    <cellStyle name="콤_사전회의(1208)_새벽시장3_용접업종 평가결과품의(040510)_주단조용접업종 평가결과품의(040510)(1)" xfId="30758"/>
    <cellStyle name="콤_사전회의(1208)_새벽시장3_주단조 업종 평가결과품의(040407)" xfId="30759"/>
    <cellStyle name="콤_사전회의(1208)_새벽시장3_주단조 업종 평가결과품의(040407)_용접업종 평가결과품의(040510)" xfId="30760"/>
    <cellStyle name="콤_사전회의(1208)_새벽시장3_주단조 업종 평가결과품의(040407)_용접업종 평가결과품의(040510)(1)" xfId="30761"/>
    <cellStyle name="콤_사전회의(1208)_새벽시장3_주단조 업종 평가결과품의(040407)_주단조용접업종 평가결과품의(040510)(1)" xfId="30762"/>
    <cellStyle name="콤_사전회의(1208)_새벽시장3_주단조 업종 평가결과품의(040416)(1)" xfId="30763"/>
    <cellStyle name="콤_사전회의(1208)_새벽시장3_주단조 업종 평가결과품의(040416)(1)_용접업종 평가결과품의(040510)" xfId="30764"/>
    <cellStyle name="콤_사전회의(1208)_새벽시장3_주단조 업종 평가결과품의(040416)(1)_용접업종 평가결과품의(040510)(1)" xfId="30765"/>
    <cellStyle name="콤_사전회의(1208)_새벽시장3_주단조 업종 평가결과품의(040416)(1)_주단조용접업종 평가결과품의(040510)(1)" xfId="30766"/>
    <cellStyle name="콤_사전회의(1208)_새벽시장3_최신-SQ인증업체현황1343사(03년평가완료031229수정)" xfId="30767"/>
    <cellStyle name="콤_사전회의(1208)_새벽시장3_최신-SQ인증업체현황1343사(03년평가완료031229수정)_용접업종 평가결과품의(040510)" xfId="30768"/>
    <cellStyle name="콤_사전회의(1208)_새벽시장3_최신-SQ인증업체현황1343사(03년평가완료031229수정)_용접업종 평가결과품의(040510)(1)" xfId="30769"/>
    <cellStyle name="콤_사전회의(1208)_새벽시장3_최신-SQ인증업체현황1343사(03년평가완료031229수정)_주단조용접업종 평가결과품의(040510)(1)" xfId="30770"/>
    <cellStyle name="콤_사전회의(1208)_새벽시장5" xfId="30771"/>
    <cellStyle name="콤_사전회의(1208)_새벽시장5_도금 열처리 주단조 평가품의(040329)" xfId="30772"/>
    <cellStyle name="콤_사전회의(1208)_새벽시장5_도금 열처리 주단조 평가품의(040329)_도금 열처리 주단조 평가품의(040329)" xfId="30773"/>
    <cellStyle name="콤_사전회의(1208)_새벽시장5_도금 열처리 주단조 평가품의(040329)업체" xfId="30774"/>
    <cellStyle name="콤_사전회의(1208)_새벽시장5_열처리결과품의(031017)개발" xfId="30775"/>
    <cellStyle name="콤_사전회의(1208)_새벽시장5_열처리결과품의(031017)개발_도금 열처리 주단조 평가품의(040329)" xfId="30776"/>
    <cellStyle name="콤_사전회의(1208)_새벽시장5_용접업종 평가결과품의(040510)" xfId="30777"/>
    <cellStyle name="콤_사전회의(1208)_새벽시장5_용접업종 평가결과품의(040510)_용접업종 평가결과품의(040510)" xfId="30778"/>
    <cellStyle name="콤_사전회의(1208)_새벽시장5_용접업종 평가결과품의(040510)_용접업종 평가결과품의(040510)(1)" xfId="30779"/>
    <cellStyle name="콤_사전회의(1208)_새벽시장5_용접업종 평가결과품의(040510)_주단조용접업종 평가결과품의(040510)(1)" xfId="30780"/>
    <cellStyle name="콤_사전회의(1208)_새벽시장5_주단조 업종 평가결과품의(040407)" xfId="30781"/>
    <cellStyle name="콤_사전회의(1208)_새벽시장5_주단조 업종 평가결과품의(040407)_용접업종 평가결과품의(040510)" xfId="30782"/>
    <cellStyle name="콤_사전회의(1208)_새벽시장5_주단조 업종 평가결과품의(040407)_용접업종 평가결과품의(040510)(1)" xfId="30783"/>
    <cellStyle name="콤_사전회의(1208)_새벽시장5_주단조 업종 평가결과품의(040407)_주단조용접업종 평가결과품의(040510)(1)" xfId="30784"/>
    <cellStyle name="콤_사전회의(1208)_새벽시장5_주단조 업종 평가결과품의(040416)(1)" xfId="30785"/>
    <cellStyle name="콤_사전회의(1208)_새벽시장5_주단조 업종 평가결과품의(040416)(1)_용접업종 평가결과품의(040510)" xfId="30786"/>
    <cellStyle name="콤_사전회의(1208)_새벽시장5_주단조 업종 평가결과품의(040416)(1)_용접업종 평가결과품의(040510)(1)" xfId="30787"/>
    <cellStyle name="콤_사전회의(1208)_새벽시장5_주단조 업종 평가결과품의(040416)(1)_주단조용접업종 평가결과품의(040510)(1)" xfId="30788"/>
    <cellStyle name="콤_사전회의(1208)_새벽시장5_최신-SQ인증업체현황1343사(03년평가완료031229수정)" xfId="30789"/>
    <cellStyle name="콤_사전회의(1208)_새벽시장5_최신-SQ인증업체현황1343사(03년평가완료031229수정)_용접업종 평가결과품의(040510)" xfId="30790"/>
    <cellStyle name="콤_사전회의(1208)_새벽시장5_최신-SQ인증업체현황1343사(03년평가완료031229수정)_용접업종 평가결과품의(040510)(1)" xfId="30791"/>
    <cellStyle name="콤_사전회의(1208)_새벽시장5_최신-SQ인증업체현황1343사(03년평가완료031229수정)_주단조용접업종 평가결과품의(040510)(1)" xfId="30792"/>
    <cellStyle name="콤_사전회의(1208)_새벽시장7" xfId="30793"/>
    <cellStyle name="콤_사전회의(1208)_새벽시장7_도금 열처리 주단조 평가품의(040329)" xfId="30794"/>
    <cellStyle name="콤_사전회의(1208)_새벽시장7_도금 열처리 주단조 평가품의(040329)_도금 열처리 주단조 평가품의(040329)" xfId="30795"/>
    <cellStyle name="콤_사전회의(1208)_새벽시장7_도금 열처리 주단조 평가품의(040329)업체" xfId="30796"/>
    <cellStyle name="콤_사전회의(1208)_새벽시장7_열처리결과품의(031017)개발" xfId="30797"/>
    <cellStyle name="콤_사전회의(1208)_새벽시장7_열처리결과품의(031017)개발_도금 열처리 주단조 평가품의(040329)" xfId="30798"/>
    <cellStyle name="콤_사전회의(1208)_새벽시장7_용접업종 평가결과품의(040510)" xfId="30799"/>
    <cellStyle name="콤_사전회의(1208)_새벽시장7_용접업종 평가결과품의(040510)_용접업종 평가결과품의(040510)" xfId="30800"/>
    <cellStyle name="콤_사전회의(1208)_새벽시장7_용접업종 평가결과품의(040510)_용접업종 평가결과품의(040510)(1)" xfId="30801"/>
    <cellStyle name="콤_사전회의(1208)_새벽시장7_용접업종 평가결과품의(040510)_주단조용접업종 평가결과품의(040510)(1)" xfId="30802"/>
    <cellStyle name="콤_사전회의(1208)_새벽시장7_주단조 업종 평가결과품의(040407)" xfId="30803"/>
    <cellStyle name="콤_사전회의(1208)_새벽시장7_주단조 업종 평가결과품의(040407)_용접업종 평가결과품의(040510)" xfId="30804"/>
    <cellStyle name="콤_사전회의(1208)_새벽시장7_주단조 업종 평가결과품의(040407)_용접업종 평가결과품의(040510)(1)" xfId="30805"/>
    <cellStyle name="콤_사전회의(1208)_새벽시장7_주단조 업종 평가결과품의(040407)_주단조용접업종 평가결과품의(040510)(1)" xfId="30806"/>
    <cellStyle name="콤_사전회의(1208)_새벽시장7_주단조 업종 평가결과품의(040416)(1)" xfId="30807"/>
    <cellStyle name="콤_사전회의(1208)_새벽시장7_주단조 업종 평가결과품의(040416)(1)_용접업종 평가결과품의(040510)" xfId="30808"/>
    <cellStyle name="콤_사전회의(1208)_새벽시장7_주단조 업종 평가결과품의(040416)(1)_용접업종 평가결과품의(040510)(1)" xfId="30809"/>
    <cellStyle name="콤_사전회의(1208)_새벽시장7_주단조 업종 평가결과품의(040416)(1)_주단조용접업종 평가결과품의(040510)(1)" xfId="30810"/>
    <cellStyle name="콤_사전회의(1208)_새벽시장7_최신-SQ인증업체현황1343사(03년평가완료031229수정)" xfId="30811"/>
    <cellStyle name="콤_사전회의(1208)_새벽시장7_최신-SQ인증업체현황1343사(03년평가완료031229수정)_용접업종 평가결과품의(040510)" xfId="30812"/>
    <cellStyle name="콤_사전회의(1208)_새벽시장7_최신-SQ인증업체현황1343사(03년평가완료031229수정)_용접업종 평가결과품의(040510)(1)" xfId="30813"/>
    <cellStyle name="콤_사전회의(1208)_새벽시장7_최신-SQ인증업체현황1343사(03년평가완료031229수정)_주단조용접업종 평가결과품의(040510)(1)" xfId="30814"/>
    <cellStyle name="콤_사전회의(1208)_새벽시장8.10xls" xfId="30815"/>
    <cellStyle name="콤_사전회의(1208)_새벽시장8.10xls_도금 열처리 주단조 평가품의(040329)" xfId="30816"/>
    <cellStyle name="콤_사전회의(1208)_새벽시장8.10xls_도금 열처리 주단조 평가품의(040329)_도금 열처리 주단조 평가품의(040329)" xfId="30817"/>
    <cellStyle name="콤_사전회의(1208)_새벽시장8.10xls_도금 열처리 주단조 평가품의(040329)업체" xfId="30818"/>
    <cellStyle name="콤_사전회의(1208)_새벽시장8.10xls_열처리결과품의(031017)개발" xfId="30819"/>
    <cellStyle name="콤_사전회의(1208)_새벽시장8.10xls_열처리결과품의(031017)개발_도금 열처리 주단조 평가품의(040329)" xfId="30820"/>
    <cellStyle name="콤_사전회의(1208)_새벽시장8.10xls_용접업종 평가결과품의(040510)" xfId="30821"/>
    <cellStyle name="콤_사전회의(1208)_새벽시장8.10xls_용접업종 평가결과품의(040510)_용접업종 평가결과품의(040510)" xfId="30822"/>
    <cellStyle name="콤_사전회의(1208)_새벽시장8.10xls_용접업종 평가결과품의(040510)_용접업종 평가결과품의(040510)(1)" xfId="30823"/>
    <cellStyle name="콤_사전회의(1208)_새벽시장8.10xls_용접업종 평가결과품의(040510)_주단조용접업종 평가결과품의(040510)(1)" xfId="30824"/>
    <cellStyle name="콤_사전회의(1208)_새벽시장8.10xls_주단조 업종 평가결과품의(040407)" xfId="30825"/>
    <cellStyle name="콤_사전회의(1208)_새벽시장8.10xls_주단조 업종 평가결과품의(040407)_용접업종 평가결과품의(040510)" xfId="30826"/>
    <cellStyle name="콤_사전회의(1208)_새벽시장8.10xls_주단조 업종 평가결과품의(040407)_용접업종 평가결과품의(040510)(1)" xfId="30827"/>
    <cellStyle name="콤_사전회의(1208)_새벽시장8.10xls_주단조 업종 평가결과품의(040407)_주단조용접업종 평가결과품의(040510)(1)" xfId="30828"/>
    <cellStyle name="콤_사전회의(1208)_새벽시장8.10xls_주단조 업종 평가결과품의(040416)(1)" xfId="30829"/>
    <cellStyle name="콤_사전회의(1208)_새벽시장8.10xls_주단조 업종 평가결과품의(040416)(1)_용접업종 평가결과품의(040510)" xfId="30830"/>
    <cellStyle name="콤_사전회의(1208)_새벽시장8.10xls_주단조 업종 평가결과품의(040416)(1)_용접업종 평가결과품의(040510)(1)" xfId="30831"/>
    <cellStyle name="콤_사전회의(1208)_새벽시장8.10xls_주단조 업종 평가결과품의(040416)(1)_주단조용접업종 평가결과품의(040510)(1)" xfId="30832"/>
    <cellStyle name="콤_사전회의(1208)_새벽시장8.10xls_최신-SQ인증업체현황1343사(03년평가완료031229수정)" xfId="30833"/>
    <cellStyle name="콤_사전회의(1208)_새벽시장8.10xls_최신-SQ인증업체현황1343사(03년평가완료031229수정)_용접업종 평가결과품의(040510)" xfId="30834"/>
    <cellStyle name="콤_사전회의(1208)_새벽시장8.10xls_최신-SQ인증업체현황1343사(03년평가완료031229수정)_용접업종 평가결과품의(040510)(1)" xfId="30835"/>
    <cellStyle name="콤_사전회의(1208)_새벽시장8.10xls_최신-SQ인증업체현황1343사(03년평가완료031229수정)_주단조용접업종 평가결과품의(040510)(1)" xfId="30836"/>
    <cellStyle name="콤_사전회의(1208)_새벽시장8.26xls" xfId="30837"/>
    <cellStyle name="콤_사전회의(1208)_새벽시장8.26xls_도금 열처리 주단조 평가품의(040329)" xfId="30838"/>
    <cellStyle name="콤_사전회의(1208)_새벽시장8.26xls_도금 열처리 주단조 평가품의(040329)_도금 열처리 주단조 평가품의(040329)" xfId="30839"/>
    <cellStyle name="콤_사전회의(1208)_새벽시장8.26xls_도금 열처리 주단조 평가품의(040329)업체" xfId="30840"/>
    <cellStyle name="콤_사전회의(1208)_새벽시장8.26xls_열처리결과품의(031017)개발" xfId="30841"/>
    <cellStyle name="콤_사전회의(1208)_새벽시장8.26xls_열처리결과품의(031017)개발_도금 열처리 주단조 평가품의(040329)" xfId="30842"/>
    <cellStyle name="콤_사전회의(1208)_새벽시장8.26xls_용접업종 평가결과품의(040510)" xfId="30843"/>
    <cellStyle name="콤_사전회의(1208)_새벽시장8.26xls_용접업종 평가결과품의(040510)_용접업종 평가결과품의(040510)" xfId="30844"/>
    <cellStyle name="콤_사전회의(1208)_새벽시장8.26xls_용접업종 평가결과품의(040510)_용접업종 평가결과품의(040510)(1)" xfId="30845"/>
    <cellStyle name="콤_사전회의(1208)_새벽시장8.26xls_용접업종 평가결과품의(040510)_주단조용접업종 평가결과품의(040510)(1)" xfId="30846"/>
    <cellStyle name="콤_사전회의(1208)_새벽시장8.26xls_주단조 업종 평가결과품의(040407)" xfId="30847"/>
    <cellStyle name="콤_사전회의(1208)_새벽시장8.26xls_주단조 업종 평가결과품의(040407)_용접업종 평가결과품의(040510)" xfId="30848"/>
    <cellStyle name="콤_사전회의(1208)_새벽시장8.26xls_주단조 업종 평가결과품의(040407)_용접업종 평가결과품의(040510)(1)" xfId="30849"/>
    <cellStyle name="콤_사전회의(1208)_새벽시장8.26xls_주단조 업종 평가결과품의(040407)_주단조용접업종 평가결과품의(040510)(1)" xfId="30850"/>
    <cellStyle name="콤_사전회의(1208)_새벽시장8.26xls_주단조 업종 평가결과품의(040416)(1)" xfId="30851"/>
    <cellStyle name="콤_사전회의(1208)_새벽시장8.26xls_주단조 업종 평가결과품의(040416)(1)_용접업종 평가결과품의(040510)" xfId="30852"/>
    <cellStyle name="콤_사전회의(1208)_새벽시장8.26xls_주단조 업종 평가결과품의(040416)(1)_용접업종 평가결과품의(040510)(1)" xfId="30853"/>
    <cellStyle name="콤_사전회의(1208)_새벽시장8.26xls_주단조 업종 평가결과품의(040416)(1)_주단조용접업종 평가결과품의(040510)(1)" xfId="30854"/>
    <cellStyle name="콤_사전회의(1208)_새벽시장8.26xls_최신-SQ인증업체현황1343사(03년평가완료031229수정)" xfId="30855"/>
    <cellStyle name="콤_사전회의(1208)_새벽시장8.26xls_최신-SQ인증업체현황1343사(03년평가완료031229수정)_용접업종 평가결과품의(040510)" xfId="30856"/>
    <cellStyle name="콤_사전회의(1208)_새벽시장8.26xls_최신-SQ인증업체현황1343사(03년평가완료031229수정)_용접업종 평가결과품의(040510)(1)" xfId="30857"/>
    <cellStyle name="콤_사전회의(1208)_새벽시장8.26xls_최신-SQ인증업체현황1343사(03년평가완료031229수정)_주단조용접업종 평가결과품의(040510)(1)" xfId="30858"/>
    <cellStyle name="콤_사전회의(1208)_새벽시장9.16" xfId="30859"/>
    <cellStyle name="콤_사전회의(1208)_새벽시장9.16_도금 열처리 주단조 평가품의(040329)" xfId="30860"/>
    <cellStyle name="콤_사전회의(1208)_새벽시장9.16_도금 열처리 주단조 평가품의(040329)_도금 열처리 주단조 평가품의(040329)" xfId="30861"/>
    <cellStyle name="콤_사전회의(1208)_새벽시장9.16_도금 열처리 주단조 평가품의(040329)업체" xfId="30862"/>
    <cellStyle name="콤_사전회의(1208)_새벽시장9.16_열처리결과품의(031017)개발" xfId="30863"/>
    <cellStyle name="콤_사전회의(1208)_새벽시장9.16_열처리결과품의(031017)개발_도금 열처리 주단조 평가품의(040329)" xfId="30864"/>
    <cellStyle name="콤_사전회의(1208)_새벽시장9.16_용접업종 평가결과품의(040510)" xfId="30865"/>
    <cellStyle name="콤_사전회의(1208)_새벽시장9.16_용접업종 평가결과품의(040510)_용접업종 평가결과품의(040510)" xfId="30866"/>
    <cellStyle name="콤_사전회의(1208)_새벽시장9.16_용접업종 평가결과품의(040510)_용접업종 평가결과품의(040510)(1)" xfId="30867"/>
    <cellStyle name="콤_사전회의(1208)_새벽시장9.16_용접업종 평가결과품의(040510)_주단조용접업종 평가결과품의(040510)(1)" xfId="30868"/>
    <cellStyle name="콤_사전회의(1208)_새벽시장9.16_주단조 업종 평가결과품의(040407)" xfId="30869"/>
    <cellStyle name="콤_사전회의(1208)_새벽시장9.16_주단조 업종 평가결과품의(040407)_용접업종 평가결과품의(040510)" xfId="30870"/>
    <cellStyle name="콤_사전회의(1208)_새벽시장9.16_주단조 업종 평가결과품의(040407)_용접업종 평가결과품의(040510)(1)" xfId="30871"/>
    <cellStyle name="콤_사전회의(1208)_새벽시장9.16_주단조 업종 평가결과품의(040407)_주단조용접업종 평가결과품의(040510)(1)" xfId="30872"/>
    <cellStyle name="콤_사전회의(1208)_새벽시장9.16_주단조 업종 평가결과품의(040416)(1)" xfId="30873"/>
    <cellStyle name="콤_사전회의(1208)_새벽시장9.16_주단조 업종 평가결과품의(040416)(1)_용접업종 평가결과품의(040510)" xfId="30874"/>
    <cellStyle name="콤_사전회의(1208)_새벽시장9.16_주단조 업종 평가결과품의(040416)(1)_용접업종 평가결과품의(040510)(1)" xfId="30875"/>
    <cellStyle name="콤_사전회의(1208)_새벽시장9.16_주단조 업종 평가결과품의(040416)(1)_주단조용접업종 평가결과품의(040510)(1)" xfId="30876"/>
    <cellStyle name="콤_사전회의(1208)_새벽시장9.16_최신-SQ인증업체현황1343사(03년평가완료031229수정)" xfId="30877"/>
    <cellStyle name="콤_사전회의(1208)_새벽시장9.16_최신-SQ인증업체현황1343사(03년평가완료031229수정)_용접업종 평가결과품의(040510)" xfId="30878"/>
    <cellStyle name="콤_사전회의(1208)_새벽시장9.16_최신-SQ인증업체현황1343사(03년평가완료031229수정)_용접업종 평가결과품의(040510)(1)" xfId="30879"/>
    <cellStyle name="콤_사전회의(1208)_새벽시장9.16_최신-SQ인증업체현황1343사(03년평가완료031229수정)_주단조용접업종 평가결과품의(040510)(1)" xfId="30880"/>
    <cellStyle name="콤_사전회의(1208)_열처리결과품의(031017)개발" xfId="30881"/>
    <cellStyle name="콤_사전회의(1208)_열처리결과품의(031017)개발_도금 열처리 주단조 평가품의(040329)" xfId="30882"/>
    <cellStyle name="콤_사전회의(1208)_용접업종 평가결과품의(040510)" xfId="30883"/>
    <cellStyle name="콤_사전회의(1208)_용접업종 평가결과품의(040510)_용접업종 평가결과품의(040510)" xfId="30884"/>
    <cellStyle name="콤_사전회의(1208)_용접업종 평가결과품의(040510)_용접업종 평가결과품의(040510)(1)" xfId="30885"/>
    <cellStyle name="콤_사전회의(1208)_용접업종 평가결과품의(040510)_주단조용접업종 평가결과품의(040510)(1)" xfId="30886"/>
    <cellStyle name="콤_사전회의(1208)_주단조 업종 평가결과품의(040407)" xfId="30887"/>
    <cellStyle name="콤_사전회의(1208)_주단조 업종 평가결과품의(040407)_용접업종 평가결과품의(040510)" xfId="30888"/>
    <cellStyle name="콤_사전회의(1208)_주단조 업종 평가결과품의(040407)_용접업종 평가결과품의(040510)(1)" xfId="30889"/>
    <cellStyle name="콤_사전회의(1208)_주단조 업종 평가결과품의(040407)_주단조용접업종 평가결과품의(040510)(1)" xfId="30890"/>
    <cellStyle name="콤_사전회의(1208)_주단조 업종 평가결과품의(040416)(1)" xfId="30891"/>
    <cellStyle name="콤_사전회의(1208)_주단조 업종 평가결과품의(040416)(1)_용접업종 평가결과품의(040510)" xfId="30892"/>
    <cellStyle name="콤_사전회의(1208)_주단조 업종 평가결과품의(040416)(1)_용접업종 평가결과품의(040510)(1)" xfId="30893"/>
    <cellStyle name="콤_사전회의(1208)_주단조 업종 평가결과품의(040416)(1)_주단조용접업종 평가결과품의(040510)(1)" xfId="30894"/>
    <cellStyle name="콤_사전회의(1208)_최신-SQ인증업체현황1343사(03년평가완료031229수정)" xfId="30895"/>
    <cellStyle name="콤_사전회의(1208)_최신-SQ인증업체현황1343사(03년평가완료031229수정)_용접업종 평가결과품의(040510)" xfId="30896"/>
    <cellStyle name="콤_사전회의(1208)_최신-SQ인증업체현황1343사(03년평가완료031229수정)_용접업종 평가결과품의(040510)(1)" xfId="30897"/>
    <cellStyle name="콤_사전회의(1208)_최신-SQ인증업체현황1343사(03년평가완료031229수정)_주단조용접업종 평가결과품의(040510)(1)" xfId="30898"/>
    <cellStyle name="콤_새벽시장1" xfId="30899"/>
    <cellStyle name="콤_새벽시장1_도금 열처리 주단조 평가품의(040329)" xfId="30900"/>
    <cellStyle name="콤_새벽시장1_도금 열처리 주단조 평가품의(040329)_도금 열처리 주단조 평가품의(040329)" xfId="30901"/>
    <cellStyle name="콤_새벽시장1_도금 열처리 주단조 평가품의(040329)업체" xfId="30902"/>
    <cellStyle name="콤_새벽시장1_열처리결과품의(031017)개발" xfId="30903"/>
    <cellStyle name="콤_새벽시장1_열처리결과품의(031017)개발_도금 열처리 주단조 평가품의(040329)" xfId="30904"/>
    <cellStyle name="콤_새벽시장1_용접업종 평가결과품의(040510)" xfId="30905"/>
    <cellStyle name="콤_새벽시장1_용접업종 평가결과품의(040510)_용접업종 평가결과품의(040510)" xfId="30906"/>
    <cellStyle name="콤_새벽시장1_용접업종 평가결과품의(040510)_용접업종 평가결과품의(040510)(1)" xfId="30907"/>
    <cellStyle name="콤_새벽시장1_용접업종 평가결과품의(040510)_주단조용접업종 평가결과품의(040510)(1)" xfId="30908"/>
    <cellStyle name="콤_새벽시장1_주단조 업종 평가결과품의(040407)" xfId="30909"/>
    <cellStyle name="콤_새벽시장1_주단조 업종 평가결과품의(040407)_용접업종 평가결과품의(040510)" xfId="30910"/>
    <cellStyle name="콤_새벽시장1_주단조 업종 평가결과품의(040407)_용접업종 평가결과품의(040510)(1)" xfId="30911"/>
    <cellStyle name="콤_새벽시장1_주단조 업종 평가결과품의(040407)_주단조용접업종 평가결과품의(040510)(1)" xfId="30912"/>
    <cellStyle name="콤_새벽시장1_주단조 업종 평가결과품의(040416)(1)" xfId="30913"/>
    <cellStyle name="콤_새벽시장1_주단조 업종 평가결과품의(040416)(1)_용접업종 평가결과품의(040510)" xfId="30914"/>
    <cellStyle name="콤_새벽시장1_주단조 업종 평가결과품의(040416)(1)_용접업종 평가결과품의(040510)(1)" xfId="30915"/>
    <cellStyle name="콤_새벽시장1_주단조 업종 평가결과품의(040416)(1)_주단조용접업종 평가결과품의(040510)(1)" xfId="30916"/>
    <cellStyle name="콤_새벽시장1_최신-SQ인증업체현황1343사(03년평가완료031229수정)" xfId="30917"/>
    <cellStyle name="콤_새벽시장1_최신-SQ인증업체현황1343사(03년평가완료031229수정)_용접업종 평가결과품의(040510)" xfId="30918"/>
    <cellStyle name="콤_새벽시장1_최신-SQ인증업체현황1343사(03년평가완료031229수정)_용접업종 평가결과품의(040510)(1)" xfId="30919"/>
    <cellStyle name="콤_새벽시장1_최신-SQ인증업체현황1343사(03년평가완료031229수정)_주단조용접업종 평가결과품의(040510)(1)" xfId="30920"/>
    <cellStyle name="콤_새벽시장3" xfId="30921"/>
    <cellStyle name="콤_새벽시장3_도금 열처리 주단조 평가품의(040329)" xfId="30922"/>
    <cellStyle name="콤_새벽시장3_도금 열처리 주단조 평가품의(040329)_도금 열처리 주단조 평가품의(040329)" xfId="30923"/>
    <cellStyle name="콤_새벽시장3_도금 열처리 주단조 평가품의(040329)업체" xfId="30924"/>
    <cellStyle name="콤_새벽시장3_열처리결과품의(031017)개발" xfId="30925"/>
    <cellStyle name="콤_새벽시장3_열처리결과품의(031017)개발_도금 열처리 주단조 평가품의(040329)" xfId="30926"/>
    <cellStyle name="콤_새벽시장3_용접업종 평가결과품의(040510)" xfId="30927"/>
    <cellStyle name="콤_새벽시장3_용접업종 평가결과품의(040510)_용접업종 평가결과품의(040510)" xfId="30928"/>
    <cellStyle name="콤_새벽시장3_용접업종 평가결과품의(040510)_용접업종 평가결과품의(040510)(1)" xfId="30929"/>
    <cellStyle name="콤_새벽시장3_용접업종 평가결과품의(040510)_주단조용접업종 평가결과품의(040510)(1)" xfId="30930"/>
    <cellStyle name="콤_새벽시장3_주단조 업종 평가결과품의(040407)" xfId="30931"/>
    <cellStyle name="콤_새벽시장3_주단조 업종 평가결과품의(040407)_용접업종 평가결과품의(040510)" xfId="30932"/>
    <cellStyle name="콤_새벽시장3_주단조 업종 평가결과품의(040407)_용접업종 평가결과품의(040510)(1)" xfId="30933"/>
    <cellStyle name="콤_새벽시장3_주단조 업종 평가결과품의(040407)_주단조용접업종 평가결과품의(040510)(1)" xfId="30934"/>
    <cellStyle name="콤_새벽시장3_주단조 업종 평가결과품의(040416)(1)" xfId="30935"/>
    <cellStyle name="콤_새벽시장3_주단조 업종 평가결과품의(040416)(1)_용접업종 평가결과품의(040510)" xfId="30936"/>
    <cellStyle name="콤_새벽시장3_주단조 업종 평가결과품의(040416)(1)_용접업종 평가결과품의(040510)(1)" xfId="30937"/>
    <cellStyle name="콤_새벽시장3_주단조 업종 평가결과품의(040416)(1)_주단조용접업종 평가결과품의(040510)(1)" xfId="30938"/>
    <cellStyle name="콤_새벽시장3_최신-SQ인증업체현황1343사(03년평가완료031229수정)" xfId="30939"/>
    <cellStyle name="콤_새벽시장3_최신-SQ인증업체현황1343사(03년평가완료031229수정)_용접업종 평가결과품의(040510)" xfId="30940"/>
    <cellStyle name="콤_새벽시장3_최신-SQ인증업체현황1343사(03년평가완료031229수정)_용접업종 평가결과품의(040510)(1)" xfId="30941"/>
    <cellStyle name="콤_새벽시장3_최신-SQ인증업체현황1343사(03년평가완료031229수정)_주단조용접업종 평가결과품의(040510)(1)" xfId="30942"/>
    <cellStyle name="콤_새벽시장5" xfId="30943"/>
    <cellStyle name="콤_새벽시장5_도금 열처리 주단조 평가품의(040329)" xfId="30944"/>
    <cellStyle name="콤_새벽시장5_도금 열처리 주단조 평가품의(040329)_도금 열처리 주단조 평가품의(040329)" xfId="30945"/>
    <cellStyle name="콤_새벽시장5_도금 열처리 주단조 평가품의(040329)업체" xfId="30946"/>
    <cellStyle name="콤_새벽시장5_열처리결과품의(031017)개발" xfId="30947"/>
    <cellStyle name="콤_새벽시장5_열처리결과품의(031017)개발_도금 열처리 주단조 평가품의(040329)" xfId="30948"/>
    <cellStyle name="콤_새벽시장5_용접업종 평가결과품의(040510)" xfId="30949"/>
    <cellStyle name="콤_새벽시장5_용접업종 평가결과품의(040510)_용접업종 평가결과품의(040510)" xfId="30950"/>
    <cellStyle name="콤_새벽시장5_용접업종 평가결과품의(040510)_용접업종 평가결과품의(040510)(1)" xfId="30951"/>
    <cellStyle name="콤_새벽시장5_용접업종 평가결과품의(040510)_주단조용접업종 평가결과품의(040510)(1)" xfId="30952"/>
    <cellStyle name="콤_새벽시장5_주단조 업종 평가결과품의(040407)" xfId="30953"/>
    <cellStyle name="콤_새벽시장5_주단조 업종 평가결과품의(040407)_용접업종 평가결과품의(040510)" xfId="30954"/>
    <cellStyle name="콤_새벽시장5_주단조 업종 평가결과품의(040407)_용접업종 평가결과품의(040510)(1)" xfId="30955"/>
    <cellStyle name="콤_새벽시장5_주단조 업종 평가결과품의(040407)_주단조용접업종 평가결과품의(040510)(1)" xfId="30956"/>
    <cellStyle name="콤_새벽시장5_주단조 업종 평가결과품의(040416)(1)" xfId="30957"/>
    <cellStyle name="콤_새벽시장5_주단조 업종 평가결과품의(040416)(1)_용접업종 평가결과품의(040510)" xfId="30958"/>
    <cellStyle name="콤_새벽시장5_주단조 업종 평가결과품의(040416)(1)_용접업종 평가결과품의(040510)(1)" xfId="30959"/>
    <cellStyle name="콤_새벽시장5_주단조 업종 평가결과품의(040416)(1)_주단조용접업종 평가결과품의(040510)(1)" xfId="30960"/>
    <cellStyle name="콤_새벽시장5_최신-SQ인증업체현황1343사(03년평가완료031229수정)" xfId="30961"/>
    <cellStyle name="콤_새벽시장5_최신-SQ인증업체현황1343사(03년평가완료031229수정)_용접업종 평가결과품의(040510)" xfId="30962"/>
    <cellStyle name="콤_새벽시장5_최신-SQ인증업체현황1343사(03년평가완료031229수정)_용접업종 평가결과품의(040510)(1)" xfId="30963"/>
    <cellStyle name="콤_새벽시장5_최신-SQ인증업체현황1343사(03년평가완료031229수정)_주단조용접업종 평가결과품의(040510)(1)" xfId="30964"/>
    <cellStyle name="콤_새벽시장7" xfId="30965"/>
    <cellStyle name="콤_새벽시장7_도금 열처리 주단조 평가품의(040329)" xfId="30966"/>
    <cellStyle name="콤_새벽시장7_도금 열처리 주단조 평가품의(040329)_도금 열처리 주단조 평가품의(040329)" xfId="30967"/>
    <cellStyle name="콤_새벽시장7_도금 열처리 주단조 평가품의(040329)업체" xfId="30968"/>
    <cellStyle name="콤_새벽시장7_열처리결과품의(031017)개발" xfId="30969"/>
    <cellStyle name="콤_새벽시장7_열처리결과품의(031017)개발_도금 열처리 주단조 평가품의(040329)" xfId="30970"/>
    <cellStyle name="콤_새벽시장7_용접업종 평가결과품의(040510)" xfId="30971"/>
    <cellStyle name="콤_새벽시장7_용접업종 평가결과품의(040510)_용접업종 평가결과품의(040510)" xfId="30972"/>
    <cellStyle name="콤_새벽시장7_용접업종 평가결과품의(040510)_용접업종 평가결과품의(040510)(1)" xfId="30973"/>
    <cellStyle name="콤_새벽시장7_용접업종 평가결과품의(040510)_주단조용접업종 평가결과품의(040510)(1)" xfId="30974"/>
    <cellStyle name="콤_새벽시장7_주단조 업종 평가결과품의(040407)" xfId="30975"/>
    <cellStyle name="콤_새벽시장7_주단조 업종 평가결과품의(040407)_용접업종 평가결과품의(040510)" xfId="30976"/>
    <cellStyle name="콤_새벽시장7_주단조 업종 평가결과품의(040407)_용접업종 평가결과품의(040510)(1)" xfId="30977"/>
    <cellStyle name="콤_새벽시장7_주단조 업종 평가결과품의(040407)_주단조용접업종 평가결과품의(040510)(1)" xfId="30978"/>
    <cellStyle name="콤_새벽시장7_주단조 업종 평가결과품의(040416)(1)" xfId="30979"/>
    <cellStyle name="콤_새벽시장7_주단조 업종 평가결과품의(040416)(1)_용접업종 평가결과품의(040510)" xfId="30980"/>
    <cellStyle name="콤_새벽시장7_주단조 업종 평가결과품의(040416)(1)_용접업종 평가결과품의(040510)(1)" xfId="30981"/>
    <cellStyle name="콤_새벽시장7_주단조 업종 평가결과품의(040416)(1)_주단조용접업종 평가결과품의(040510)(1)" xfId="30982"/>
    <cellStyle name="콤_새벽시장7_최신-SQ인증업체현황1343사(03년평가완료031229수정)" xfId="30983"/>
    <cellStyle name="콤_새벽시장7_최신-SQ인증업체현황1343사(03년평가완료031229수정)_용접업종 평가결과품의(040510)" xfId="30984"/>
    <cellStyle name="콤_새벽시장7_최신-SQ인증업체현황1343사(03년평가완료031229수정)_용접업종 평가결과품의(040510)(1)" xfId="30985"/>
    <cellStyle name="콤_새벽시장7_최신-SQ인증업체현황1343사(03년평가완료031229수정)_주단조용접업종 평가결과품의(040510)(1)" xfId="30986"/>
    <cellStyle name="콤_새벽시장8.10xls" xfId="30987"/>
    <cellStyle name="콤_새벽시장8.10xls_도금 열처리 주단조 평가품의(040329)" xfId="30988"/>
    <cellStyle name="콤_새벽시장8.10xls_도금 열처리 주단조 평가품의(040329)_도금 열처리 주단조 평가품의(040329)" xfId="30989"/>
    <cellStyle name="콤_새벽시장8.10xls_도금 열처리 주단조 평가품의(040329)업체" xfId="30990"/>
    <cellStyle name="콤_새벽시장8.10xls_열처리결과품의(031017)개발" xfId="30991"/>
    <cellStyle name="콤_새벽시장8.10xls_열처리결과품의(031017)개발_도금 열처리 주단조 평가품의(040329)" xfId="30992"/>
    <cellStyle name="콤_새벽시장8.10xls_용접업종 평가결과품의(040510)" xfId="30993"/>
    <cellStyle name="콤_새벽시장8.10xls_용접업종 평가결과품의(040510)_용접업종 평가결과품의(040510)" xfId="30994"/>
    <cellStyle name="콤_새벽시장8.10xls_용접업종 평가결과품의(040510)_용접업종 평가결과품의(040510)(1)" xfId="30995"/>
    <cellStyle name="콤_새벽시장8.10xls_용접업종 평가결과품의(040510)_주단조용접업종 평가결과품의(040510)(1)" xfId="30996"/>
    <cellStyle name="콤_새벽시장8.10xls_주단조 업종 평가결과품의(040407)" xfId="30997"/>
    <cellStyle name="콤_새벽시장8.10xls_주단조 업종 평가결과품의(040407)_용접업종 평가결과품의(040510)" xfId="30998"/>
    <cellStyle name="콤_새벽시장8.10xls_주단조 업종 평가결과품의(040407)_용접업종 평가결과품의(040510)(1)" xfId="30999"/>
    <cellStyle name="콤_새벽시장8.10xls_주단조 업종 평가결과품의(040407)_주단조용접업종 평가결과품의(040510)(1)" xfId="31000"/>
    <cellStyle name="콤_새벽시장8.10xls_주단조 업종 평가결과품의(040416)(1)" xfId="31001"/>
    <cellStyle name="콤_새벽시장8.10xls_주단조 업종 평가결과품의(040416)(1)_용접업종 평가결과품의(040510)" xfId="31002"/>
    <cellStyle name="콤_새벽시장8.10xls_주단조 업종 평가결과품의(040416)(1)_용접업종 평가결과품의(040510)(1)" xfId="31003"/>
    <cellStyle name="콤_새벽시장8.10xls_주단조 업종 평가결과품의(040416)(1)_주단조용접업종 평가결과품의(040510)(1)" xfId="31004"/>
    <cellStyle name="콤_새벽시장8.10xls_최신-SQ인증업체현황1343사(03년평가완료031229수정)" xfId="31005"/>
    <cellStyle name="콤_새벽시장8.10xls_최신-SQ인증업체현황1343사(03년평가완료031229수정)_용접업종 평가결과품의(040510)" xfId="31006"/>
    <cellStyle name="콤_새벽시장8.10xls_최신-SQ인증업체현황1343사(03년평가완료031229수정)_용접업종 평가결과품의(040510)(1)" xfId="31007"/>
    <cellStyle name="콤_새벽시장8.10xls_최신-SQ인증업체현황1343사(03년평가완료031229수정)_주단조용접업종 평가결과품의(040510)(1)" xfId="31008"/>
    <cellStyle name="콤_새벽시장8.26xls" xfId="31009"/>
    <cellStyle name="콤_새벽시장8.26xls_도금 열처리 주단조 평가품의(040329)" xfId="31010"/>
    <cellStyle name="콤_새벽시장8.26xls_도금 열처리 주단조 평가품의(040329)_도금 열처리 주단조 평가품의(040329)" xfId="31011"/>
    <cellStyle name="콤_새벽시장8.26xls_도금 열처리 주단조 평가품의(040329)업체" xfId="31012"/>
    <cellStyle name="콤_새벽시장8.26xls_열처리결과품의(031017)개발" xfId="31013"/>
    <cellStyle name="콤_새벽시장8.26xls_열처리결과품의(031017)개발_도금 열처리 주단조 평가품의(040329)" xfId="31014"/>
    <cellStyle name="콤_새벽시장8.26xls_용접업종 평가결과품의(040510)" xfId="31015"/>
    <cellStyle name="콤_새벽시장8.26xls_용접업종 평가결과품의(040510)_용접업종 평가결과품의(040510)" xfId="31016"/>
    <cellStyle name="콤_새벽시장8.26xls_용접업종 평가결과품의(040510)_용접업종 평가결과품의(040510)(1)" xfId="31017"/>
    <cellStyle name="콤_새벽시장8.26xls_용접업종 평가결과품의(040510)_주단조용접업종 평가결과품의(040510)(1)" xfId="31018"/>
    <cellStyle name="콤_새벽시장8.26xls_주단조 업종 평가결과품의(040407)" xfId="31019"/>
    <cellStyle name="콤_새벽시장8.26xls_주단조 업종 평가결과품의(040407)_용접업종 평가결과품의(040510)" xfId="31020"/>
    <cellStyle name="콤_새벽시장8.26xls_주단조 업종 평가결과품의(040407)_용접업종 평가결과품의(040510)(1)" xfId="31021"/>
    <cellStyle name="콤_새벽시장8.26xls_주단조 업종 평가결과품의(040407)_주단조용접업종 평가결과품의(040510)(1)" xfId="31022"/>
    <cellStyle name="콤_새벽시장8.26xls_주단조 업종 평가결과품의(040416)(1)" xfId="31023"/>
    <cellStyle name="콤_새벽시장8.26xls_주단조 업종 평가결과품의(040416)(1)_용접업종 평가결과품의(040510)" xfId="31024"/>
    <cellStyle name="콤_새벽시장8.26xls_주단조 업종 평가결과품의(040416)(1)_용접업종 평가결과품의(040510)(1)" xfId="31025"/>
    <cellStyle name="콤_새벽시장8.26xls_주단조 업종 평가결과품의(040416)(1)_주단조용접업종 평가결과품의(040510)(1)" xfId="31026"/>
    <cellStyle name="콤_새벽시장8.26xls_최신-SQ인증업체현황1343사(03년평가완료031229수정)" xfId="31027"/>
    <cellStyle name="콤_새벽시장8.26xls_최신-SQ인증업체현황1343사(03년평가완료031229수정)_용접업종 평가결과품의(040510)" xfId="31028"/>
    <cellStyle name="콤_새벽시장8.26xls_최신-SQ인증업체현황1343사(03년평가완료031229수정)_용접업종 평가결과품의(040510)(1)" xfId="31029"/>
    <cellStyle name="콤_새벽시장8.26xls_최신-SQ인증업체현황1343사(03년평가완료031229수정)_주단조용접업종 평가결과품의(040510)(1)" xfId="31030"/>
    <cellStyle name="콤_새벽시장9.16" xfId="31031"/>
    <cellStyle name="콤_새벽시장9.16_도금 열처리 주단조 평가품의(040329)" xfId="31032"/>
    <cellStyle name="콤_새벽시장9.16_도금 열처리 주단조 평가품의(040329)_도금 열처리 주단조 평가품의(040329)" xfId="31033"/>
    <cellStyle name="콤_새벽시장9.16_도금 열처리 주단조 평가품의(040329)업체" xfId="31034"/>
    <cellStyle name="콤_새벽시장9.16_열처리결과품의(031017)개발" xfId="31035"/>
    <cellStyle name="콤_새벽시장9.16_열처리결과품의(031017)개발_도금 열처리 주단조 평가품의(040329)" xfId="31036"/>
    <cellStyle name="콤_새벽시장9.16_용접업종 평가결과품의(040510)" xfId="31037"/>
    <cellStyle name="콤_새벽시장9.16_용접업종 평가결과품의(040510)_용접업종 평가결과품의(040510)" xfId="31038"/>
    <cellStyle name="콤_새벽시장9.16_용접업종 평가결과품의(040510)_용접업종 평가결과품의(040510)(1)" xfId="31039"/>
    <cellStyle name="콤_새벽시장9.16_용접업종 평가결과품의(040510)_주단조용접업종 평가결과품의(040510)(1)" xfId="31040"/>
    <cellStyle name="콤_새벽시장9.16_주단조 업종 평가결과품의(040407)" xfId="31041"/>
    <cellStyle name="콤_새벽시장9.16_주단조 업종 평가결과품의(040407)_용접업종 평가결과품의(040510)" xfId="31042"/>
    <cellStyle name="콤_새벽시장9.16_주단조 업종 평가결과품의(040407)_용접업종 평가결과품의(040510)(1)" xfId="31043"/>
    <cellStyle name="콤_새벽시장9.16_주단조 업종 평가결과품의(040407)_주단조용접업종 평가결과품의(040510)(1)" xfId="31044"/>
    <cellStyle name="콤_새벽시장9.16_주단조 업종 평가결과품의(040416)(1)" xfId="31045"/>
    <cellStyle name="콤_새벽시장9.16_주단조 업종 평가결과품의(040416)(1)_용접업종 평가결과품의(040510)" xfId="31046"/>
    <cellStyle name="콤_새벽시장9.16_주단조 업종 평가결과품의(040416)(1)_용접업종 평가결과품의(040510)(1)" xfId="31047"/>
    <cellStyle name="콤_새벽시장9.16_주단조 업종 평가결과품의(040416)(1)_주단조용접업종 평가결과품의(040510)(1)" xfId="31048"/>
    <cellStyle name="콤_새벽시장9.16_최신-SQ인증업체현황1343사(03년평가완료031229수정)" xfId="31049"/>
    <cellStyle name="콤_새벽시장9.16_최신-SQ인증업체현황1343사(03년평가완료031229수정)_용접업종 평가결과품의(040510)" xfId="31050"/>
    <cellStyle name="콤_새벽시장9.16_최신-SQ인증업체현황1343사(03년평가완료031229수정)_용접업종 평가결과품의(040510)(1)" xfId="31051"/>
    <cellStyle name="콤_새벽시장9.16_최신-SQ인증업체현황1343사(03년평가완료031229수정)_주단조용접업종 평가결과품의(040510)(1)" xfId="31052"/>
    <cellStyle name="콤_열처리결과품의(031017)개발" xfId="31053"/>
    <cellStyle name="콤_열처리결과품의(031017)개발_도금 열처리 주단조 평가품의(040329)" xfId="31054"/>
    <cellStyle name="콤_용접업종 평가결과품의(040510)" xfId="31055"/>
    <cellStyle name="콤_용접업종 평가결과품의(040510)_용접업종 평가결과품의(040510)" xfId="31056"/>
    <cellStyle name="콤_용접업종 평가결과품의(040510)_용접업종 평가결과품의(040510)(1)" xfId="31057"/>
    <cellStyle name="콤_용접업종 평가결과품의(040510)_주단조용접업종 평가결과품의(040510)(1)" xfId="31058"/>
    <cellStyle name="콤_주단조 업종 평가결과품의(040407)" xfId="31059"/>
    <cellStyle name="콤_주단조 업종 평가결과품의(040407)_용접업종 평가결과품의(040510)" xfId="31060"/>
    <cellStyle name="콤_주단조 업종 평가결과품의(040407)_용접업종 평가결과품의(040510)(1)" xfId="31061"/>
    <cellStyle name="콤_주단조 업종 평가결과품의(040407)_주단조용접업종 평가결과품의(040510)(1)" xfId="31062"/>
    <cellStyle name="콤_주단조 업종 평가결과품의(040416)(1)" xfId="31063"/>
    <cellStyle name="콤_주단조 업종 평가결과품의(040416)(1)_용접업종 평가결과품의(040510)" xfId="31064"/>
    <cellStyle name="콤_주단조 업종 평가결과품의(040416)(1)_용접업종 평가결과품의(040510)(1)" xfId="31065"/>
    <cellStyle name="콤_주단조 업종 평가결과품의(040416)(1)_주단조용접업종 평가결과품의(040510)(1)" xfId="31066"/>
    <cellStyle name="콤_최신-SQ인증업체현황1343사(03년평가완료031229수정)" xfId="31067"/>
    <cellStyle name="콤_최신-SQ인증업체현황1343사(03년평가완료031229수정)_용접업종 평가결과품의(040510)" xfId="31068"/>
    <cellStyle name="콤_최신-SQ인증업체현황1343사(03년평가완료031229수정)_용접업종 평가결과품의(040510)(1)" xfId="31069"/>
    <cellStyle name="콤_최신-SQ인증업체현황1343사(03년평가완료031229수정)_주단조용접업종 평가결과품의(040510)(1)" xfId="31070"/>
    <cellStyle name="콤_출장계획서" xfId="31071"/>
    <cellStyle name="콤_출장계획서_ROTATION 유동" xfId="31072"/>
    <cellStyle name="콤_출장계획서_ROTATION 유동_도금 열처리 주단조 평가품의(040329)" xfId="31073"/>
    <cellStyle name="콤_출장계획서_ROTATION 유동_도금 열처리 주단조 평가품의(040329)_도금 열처리 주단조 평가품의(040329)" xfId="31074"/>
    <cellStyle name="콤_출장계획서_ROTATION 유동_도금 열처리 주단조 평가품의(040329)업체" xfId="31075"/>
    <cellStyle name="콤_출장계획서_ROTATION 유동_열처리결과품의(031017)개발" xfId="31076"/>
    <cellStyle name="콤_출장계획서_ROTATION 유동_열처리결과품의(031017)개발_도금 열처리 주단조 평가품의(040329)" xfId="31077"/>
    <cellStyle name="콤_출장계획서_ROTATION 유동_용접업종 평가결과품의(040510)" xfId="31078"/>
    <cellStyle name="콤_출장계획서_ROTATION 유동_용접업종 평가결과품의(040510)_용접업종 평가결과품의(040510)" xfId="31079"/>
    <cellStyle name="콤_출장계획서_ROTATION 유동_용접업종 평가결과품의(040510)_용접업종 평가결과품의(040510)(1)" xfId="31080"/>
    <cellStyle name="콤_출장계획서_ROTATION 유동_용접업종 평가결과품의(040510)_주단조용접업종 평가결과품의(040510)(1)" xfId="31081"/>
    <cellStyle name="콤_출장계획서_ROTATION 유동_주단조 업종 평가결과품의(040407)" xfId="31082"/>
    <cellStyle name="콤_출장계획서_ROTATION 유동_주단조 업종 평가결과품의(040407)_용접업종 평가결과품의(040510)" xfId="31083"/>
    <cellStyle name="콤_출장계획서_ROTATION 유동_주단조 업종 평가결과품의(040407)_용접업종 평가결과품의(040510)(1)" xfId="31084"/>
    <cellStyle name="콤_출장계획서_ROTATION 유동_주단조 업종 평가결과품의(040407)_주단조용접업종 평가결과품의(040510)(1)" xfId="31085"/>
    <cellStyle name="콤_출장계획서_ROTATION 유동_주단조 업종 평가결과품의(040416)(1)" xfId="31086"/>
    <cellStyle name="콤_출장계획서_ROTATION 유동_주단조 업종 평가결과품의(040416)(1)_용접업종 평가결과품의(040510)" xfId="31087"/>
    <cellStyle name="콤_출장계획서_ROTATION 유동_주단조 업종 평가결과품의(040416)(1)_용접업종 평가결과품의(040510)(1)" xfId="31088"/>
    <cellStyle name="콤_출장계획서_ROTATION 유동_주단조 업종 평가결과품의(040416)(1)_주단조용접업종 평가결과품의(040510)(1)" xfId="31089"/>
    <cellStyle name="콤_출장계획서_ROTATION 유동_최신-SQ인증업체현황1343사(03년평가완료031229수정)" xfId="31090"/>
    <cellStyle name="콤_출장계획서_ROTATION 유동_최신-SQ인증업체현황1343사(03년평가완료031229수정)_용접업종 평가결과품의(040510)" xfId="31091"/>
    <cellStyle name="콤_출장계획서_ROTATION 유동_최신-SQ인증업체현황1343사(03년평가완료031229수정)_용접업종 평가결과품의(040510)(1)" xfId="31092"/>
    <cellStyle name="콤_출장계획서_ROTATION 유동_최신-SQ인증업체현황1343사(03년평가완료031229수정)_주단조용접업종 평가결과품의(040510)(1)" xfId="31093"/>
    <cellStyle name="콤_출장계획서_SLIDE 폭" xfId="31094"/>
    <cellStyle name="콤_출장계획서_SLIDE 폭_도금 열처리 주단조 평가품의(040329)" xfId="31095"/>
    <cellStyle name="콤_출장계획서_SLIDE 폭_도금 열처리 주단조 평가품의(040329)_도금 열처리 주단조 평가품의(040329)" xfId="31096"/>
    <cellStyle name="콤_출장계획서_SLIDE 폭_도금 열처리 주단조 평가품의(040329)업체" xfId="31097"/>
    <cellStyle name="콤_출장계획서_SLIDE 폭_열처리결과품의(031017)개발" xfId="31098"/>
    <cellStyle name="콤_출장계획서_SLIDE 폭_열처리결과품의(031017)개발_도금 열처리 주단조 평가품의(040329)" xfId="31099"/>
    <cellStyle name="콤_출장계획서_SLIDE 폭_용접업종 평가결과품의(040510)" xfId="31100"/>
    <cellStyle name="콤_출장계획서_SLIDE 폭_용접업종 평가결과품의(040510)_용접업종 평가결과품의(040510)" xfId="31101"/>
    <cellStyle name="콤_출장계획서_SLIDE 폭_용접업종 평가결과품의(040510)_용접업종 평가결과품의(040510)(1)" xfId="31102"/>
    <cellStyle name="콤_출장계획서_SLIDE 폭_용접업종 평가결과품의(040510)_주단조용접업종 평가결과품의(040510)(1)" xfId="31103"/>
    <cellStyle name="콤_출장계획서_SLIDE 폭_주단조 업종 평가결과품의(040407)" xfId="31104"/>
    <cellStyle name="콤_출장계획서_SLIDE 폭_주단조 업종 평가결과품의(040407)_용접업종 평가결과품의(040510)" xfId="31105"/>
    <cellStyle name="콤_출장계획서_SLIDE 폭_주단조 업종 평가결과품의(040407)_용접업종 평가결과품의(040510)(1)" xfId="31106"/>
    <cellStyle name="콤_출장계획서_SLIDE 폭_주단조 업종 평가결과품의(040407)_주단조용접업종 평가결과품의(040510)(1)" xfId="31107"/>
    <cellStyle name="콤_출장계획서_SLIDE 폭_주단조 업종 평가결과품의(040416)(1)" xfId="31108"/>
    <cellStyle name="콤_출장계획서_SLIDE 폭_주단조 업종 평가결과품의(040416)(1)_용접업종 평가결과품의(040510)" xfId="31109"/>
    <cellStyle name="콤_출장계획서_SLIDE 폭_주단조 업종 평가결과품의(040416)(1)_용접업종 평가결과품의(040510)(1)" xfId="31110"/>
    <cellStyle name="콤_출장계획서_SLIDE 폭_주단조 업종 평가결과품의(040416)(1)_주단조용접업종 평가결과품의(040510)(1)" xfId="31111"/>
    <cellStyle name="콤_출장계획서_SLIDE 폭_최신-SQ인증업체현황1343사(03년평가완료031229수정)" xfId="31112"/>
    <cellStyle name="콤_출장계획서_SLIDE 폭_최신-SQ인증업체현황1343사(03년평가완료031229수정)_용접업종 평가결과품의(040510)" xfId="31113"/>
    <cellStyle name="콤_출장계획서_SLIDE 폭_최신-SQ인증업체현황1343사(03년평가완료031229수정)_용접업종 평가결과품의(040510)(1)" xfId="31114"/>
    <cellStyle name="콤_출장계획서_SLIDE 폭_최신-SQ인증업체현황1343사(03년평가완료031229수정)_주단조용접업종 평가결과품의(040510)(1)" xfId="31115"/>
    <cellStyle name="콤_출장계획서_도금 열처리 주단조 평가품의(040329)" xfId="31116"/>
    <cellStyle name="콤_출장계획서_도금 열처리 주단조 평가품의(040329)_도금 열처리 주단조 평가품의(040329)" xfId="31117"/>
    <cellStyle name="콤_출장계획서_도금 열처리 주단조 평가품의(040329)업체" xfId="31118"/>
    <cellStyle name="콤_출장계획서_새벽시장1" xfId="31119"/>
    <cellStyle name="콤_출장계획서_새벽시장1_도금 열처리 주단조 평가품의(040329)" xfId="31120"/>
    <cellStyle name="콤_출장계획서_새벽시장1_도금 열처리 주단조 평가품의(040329)_도금 열처리 주단조 평가품의(040329)" xfId="31121"/>
    <cellStyle name="콤_출장계획서_새벽시장1_도금 열처리 주단조 평가품의(040329)업체" xfId="31122"/>
    <cellStyle name="콤_출장계획서_새벽시장1_열처리결과품의(031017)개발" xfId="31123"/>
    <cellStyle name="콤_출장계획서_새벽시장1_열처리결과품의(031017)개발_도금 열처리 주단조 평가품의(040329)" xfId="31124"/>
    <cellStyle name="콤_출장계획서_새벽시장1_용접업종 평가결과품의(040510)" xfId="31125"/>
    <cellStyle name="콤_출장계획서_새벽시장1_용접업종 평가결과품의(040510)_용접업종 평가결과품의(040510)" xfId="31126"/>
    <cellStyle name="콤_출장계획서_새벽시장1_용접업종 평가결과품의(040510)_용접업종 평가결과품의(040510)(1)" xfId="31127"/>
    <cellStyle name="콤_출장계획서_새벽시장1_용접업종 평가결과품의(040510)_주단조용접업종 평가결과품의(040510)(1)" xfId="31128"/>
    <cellStyle name="콤_출장계획서_새벽시장1_주단조 업종 평가결과품의(040407)" xfId="31129"/>
    <cellStyle name="콤_출장계획서_새벽시장1_주단조 업종 평가결과품의(040407)_용접업종 평가결과품의(040510)" xfId="31130"/>
    <cellStyle name="콤_출장계획서_새벽시장1_주단조 업종 평가결과품의(040407)_용접업종 평가결과품의(040510)(1)" xfId="31131"/>
    <cellStyle name="콤_출장계획서_새벽시장1_주단조 업종 평가결과품의(040407)_주단조용접업종 평가결과품의(040510)(1)" xfId="31132"/>
    <cellStyle name="콤_출장계획서_새벽시장1_주단조 업종 평가결과품의(040416)(1)" xfId="31133"/>
    <cellStyle name="콤_출장계획서_새벽시장1_주단조 업종 평가결과품의(040416)(1)_용접업종 평가결과품의(040510)" xfId="31134"/>
    <cellStyle name="콤_출장계획서_새벽시장1_주단조 업종 평가결과품의(040416)(1)_용접업종 평가결과품의(040510)(1)" xfId="31135"/>
    <cellStyle name="콤_출장계획서_새벽시장1_주단조 업종 평가결과품의(040416)(1)_주단조용접업종 평가결과품의(040510)(1)" xfId="31136"/>
    <cellStyle name="콤_출장계획서_새벽시장1_최신-SQ인증업체현황1343사(03년평가완료031229수정)" xfId="31137"/>
    <cellStyle name="콤_출장계획서_새벽시장1_최신-SQ인증업체현황1343사(03년평가완료031229수정)_용접업종 평가결과품의(040510)" xfId="31138"/>
    <cellStyle name="콤_출장계획서_새벽시장1_최신-SQ인증업체현황1343사(03년평가완료031229수정)_용접업종 평가결과품의(040510)(1)" xfId="31139"/>
    <cellStyle name="콤_출장계획서_새벽시장1_최신-SQ인증업체현황1343사(03년평가완료031229수정)_주단조용접업종 평가결과품의(040510)(1)" xfId="31140"/>
    <cellStyle name="콤_출장계획서_새벽시장3" xfId="31141"/>
    <cellStyle name="콤_출장계획서_새벽시장3_도금 열처리 주단조 평가품의(040329)" xfId="31142"/>
    <cellStyle name="콤_출장계획서_새벽시장3_도금 열처리 주단조 평가품의(040329)_도금 열처리 주단조 평가품의(040329)" xfId="31143"/>
    <cellStyle name="콤_출장계획서_새벽시장3_도금 열처리 주단조 평가품의(040329)업체" xfId="31144"/>
    <cellStyle name="콤_출장계획서_새벽시장3_열처리결과품의(031017)개발" xfId="31145"/>
    <cellStyle name="콤_출장계획서_새벽시장3_열처리결과품의(031017)개발_도금 열처리 주단조 평가품의(040329)" xfId="31146"/>
    <cellStyle name="콤_출장계획서_새벽시장3_용접업종 평가결과품의(040510)" xfId="31147"/>
    <cellStyle name="콤_출장계획서_새벽시장3_용접업종 평가결과품의(040510)_용접업종 평가결과품의(040510)" xfId="31148"/>
    <cellStyle name="콤_출장계획서_새벽시장3_용접업종 평가결과품의(040510)_용접업종 평가결과품의(040510)(1)" xfId="31149"/>
    <cellStyle name="콤_출장계획서_새벽시장3_용접업종 평가결과품의(040510)_주단조용접업종 평가결과품의(040510)(1)" xfId="31150"/>
    <cellStyle name="콤_출장계획서_새벽시장3_주단조 업종 평가결과품의(040407)" xfId="31151"/>
    <cellStyle name="콤_출장계획서_새벽시장3_주단조 업종 평가결과품의(040407)_용접업종 평가결과품의(040510)" xfId="31152"/>
    <cellStyle name="콤_출장계획서_새벽시장3_주단조 업종 평가결과품의(040407)_용접업종 평가결과품의(040510)(1)" xfId="31153"/>
    <cellStyle name="콤_출장계획서_새벽시장3_주단조 업종 평가결과품의(040407)_주단조용접업종 평가결과품의(040510)(1)" xfId="31154"/>
    <cellStyle name="콤_출장계획서_새벽시장3_주단조 업종 평가결과품의(040416)(1)" xfId="31155"/>
    <cellStyle name="콤_출장계획서_새벽시장3_주단조 업종 평가결과품의(040416)(1)_용접업종 평가결과품의(040510)" xfId="31156"/>
    <cellStyle name="콤_출장계획서_새벽시장3_주단조 업종 평가결과품의(040416)(1)_용접업종 평가결과품의(040510)(1)" xfId="31157"/>
    <cellStyle name="콤_출장계획서_새벽시장3_주단조 업종 평가결과품의(040416)(1)_주단조용접업종 평가결과품의(040510)(1)" xfId="31158"/>
    <cellStyle name="콤_출장계획서_새벽시장3_최신-SQ인증업체현황1343사(03년평가완료031229수정)" xfId="31159"/>
    <cellStyle name="콤_출장계획서_새벽시장3_최신-SQ인증업체현황1343사(03년평가완료031229수정)_용접업종 평가결과품의(040510)" xfId="31160"/>
    <cellStyle name="콤_출장계획서_새벽시장3_최신-SQ인증업체현황1343사(03년평가완료031229수정)_용접업종 평가결과품의(040510)(1)" xfId="31161"/>
    <cellStyle name="콤_출장계획서_새벽시장3_최신-SQ인증업체현황1343사(03년평가완료031229수정)_주단조용접업종 평가결과품의(040510)(1)" xfId="31162"/>
    <cellStyle name="콤_출장계획서_새벽시장5" xfId="31163"/>
    <cellStyle name="콤_출장계획서_새벽시장5_도금 열처리 주단조 평가품의(040329)" xfId="31164"/>
    <cellStyle name="콤_출장계획서_새벽시장5_도금 열처리 주단조 평가품의(040329)_도금 열처리 주단조 평가품의(040329)" xfId="31165"/>
    <cellStyle name="콤_출장계획서_새벽시장5_도금 열처리 주단조 평가품의(040329)업체" xfId="31166"/>
    <cellStyle name="콤_출장계획서_새벽시장5_열처리결과품의(031017)개발" xfId="31167"/>
    <cellStyle name="콤_출장계획서_새벽시장5_열처리결과품의(031017)개발_도금 열처리 주단조 평가품의(040329)" xfId="31168"/>
    <cellStyle name="콤_출장계획서_새벽시장5_용접업종 평가결과품의(040510)" xfId="31169"/>
    <cellStyle name="콤_출장계획서_새벽시장5_용접업종 평가결과품의(040510)_용접업종 평가결과품의(040510)" xfId="31170"/>
    <cellStyle name="콤_출장계획서_새벽시장5_용접업종 평가결과품의(040510)_용접업종 평가결과품의(040510)(1)" xfId="31171"/>
    <cellStyle name="콤_출장계획서_새벽시장5_용접업종 평가결과품의(040510)_주단조용접업종 평가결과품의(040510)(1)" xfId="31172"/>
    <cellStyle name="콤_출장계획서_새벽시장5_주단조 업종 평가결과품의(040407)" xfId="31173"/>
    <cellStyle name="콤_출장계획서_새벽시장5_주단조 업종 평가결과품의(040407)_용접업종 평가결과품의(040510)" xfId="31174"/>
    <cellStyle name="콤_출장계획서_새벽시장5_주단조 업종 평가결과품의(040407)_용접업종 평가결과품의(040510)(1)" xfId="31175"/>
    <cellStyle name="콤_출장계획서_새벽시장5_주단조 업종 평가결과품의(040407)_주단조용접업종 평가결과품의(040510)(1)" xfId="31176"/>
    <cellStyle name="콤_출장계획서_새벽시장5_주단조 업종 평가결과품의(040416)(1)" xfId="31177"/>
    <cellStyle name="콤_출장계획서_새벽시장5_주단조 업종 평가결과품의(040416)(1)_용접업종 평가결과품의(040510)" xfId="31178"/>
    <cellStyle name="콤_출장계획서_새벽시장5_주단조 업종 평가결과품의(040416)(1)_용접업종 평가결과품의(040510)(1)" xfId="31179"/>
    <cellStyle name="콤_출장계획서_새벽시장5_주단조 업종 평가결과품의(040416)(1)_주단조용접업종 평가결과품의(040510)(1)" xfId="31180"/>
    <cellStyle name="콤_출장계획서_새벽시장5_최신-SQ인증업체현황1343사(03년평가완료031229수정)" xfId="31181"/>
    <cellStyle name="콤_출장계획서_새벽시장5_최신-SQ인증업체현황1343사(03년평가완료031229수정)_용접업종 평가결과품의(040510)" xfId="31182"/>
    <cellStyle name="콤_출장계획서_새벽시장5_최신-SQ인증업체현황1343사(03년평가완료031229수정)_용접업종 평가결과품의(040510)(1)" xfId="31183"/>
    <cellStyle name="콤_출장계획서_새벽시장5_최신-SQ인증업체현황1343사(03년평가완료031229수정)_주단조용접업종 평가결과품의(040510)(1)" xfId="31184"/>
    <cellStyle name="콤_출장계획서_새벽시장7" xfId="31185"/>
    <cellStyle name="콤_출장계획서_새벽시장7_도금 열처리 주단조 평가품의(040329)" xfId="31186"/>
    <cellStyle name="콤_출장계획서_새벽시장7_도금 열처리 주단조 평가품의(040329)_도금 열처리 주단조 평가품의(040329)" xfId="31187"/>
    <cellStyle name="콤_출장계획서_새벽시장7_도금 열처리 주단조 평가품의(040329)업체" xfId="31188"/>
    <cellStyle name="콤_출장계획서_새벽시장7_열처리결과품의(031017)개발" xfId="31189"/>
    <cellStyle name="콤_출장계획서_새벽시장7_열처리결과품의(031017)개발_도금 열처리 주단조 평가품의(040329)" xfId="31190"/>
    <cellStyle name="콤_출장계획서_새벽시장7_용접업종 평가결과품의(040510)" xfId="31191"/>
    <cellStyle name="콤_출장계획서_새벽시장7_용접업종 평가결과품의(040510)_용접업종 평가결과품의(040510)" xfId="31192"/>
    <cellStyle name="콤_출장계획서_새벽시장7_용접업종 평가결과품의(040510)_용접업종 평가결과품의(040510)(1)" xfId="31193"/>
    <cellStyle name="콤_출장계획서_새벽시장7_용접업종 평가결과품의(040510)_주단조용접업종 평가결과품의(040510)(1)" xfId="31194"/>
    <cellStyle name="콤_출장계획서_새벽시장7_주단조 업종 평가결과품의(040407)" xfId="31195"/>
    <cellStyle name="콤_출장계획서_새벽시장7_주단조 업종 평가결과품의(040407)_용접업종 평가결과품의(040510)" xfId="31196"/>
    <cellStyle name="콤_출장계획서_새벽시장7_주단조 업종 평가결과품의(040407)_용접업종 평가결과품의(040510)(1)" xfId="31197"/>
    <cellStyle name="콤_출장계획서_새벽시장7_주단조 업종 평가결과품의(040407)_주단조용접업종 평가결과품의(040510)(1)" xfId="31198"/>
    <cellStyle name="콤_출장계획서_새벽시장7_주단조 업종 평가결과품의(040416)(1)" xfId="31199"/>
    <cellStyle name="콤_출장계획서_새벽시장7_주단조 업종 평가결과품의(040416)(1)_용접업종 평가결과품의(040510)" xfId="31200"/>
    <cellStyle name="콤_출장계획서_새벽시장7_주단조 업종 평가결과품의(040416)(1)_용접업종 평가결과품의(040510)(1)" xfId="31201"/>
    <cellStyle name="콤_출장계획서_새벽시장7_주단조 업종 평가결과품의(040416)(1)_주단조용접업종 평가결과품의(040510)(1)" xfId="31202"/>
    <cellStyle name="콤_출장계획서_새벽시장7_최신-SQ인증업체현황1343사(03년평가완료031229수정)" xfId="31203"/>
    <cellStyle name="콤_출장계획서_새벽시장7_최신-SQ인증업체현황1343사(03년평가완료031229수정)_용접업종 평가결과품의(040510)" xfId="31204"/>
    <cellStyle name="콤_출장계획서_새벽시장7_최신-SQ인증업체현황1343사(03년평가완료031229수정)_용접업종 평가결과품의(040510)(1)" xfId="31205"/>
    <cellStyle name="콤_출장계획서_새벽시장7_최신-SQ인증업체현황1343사(03년평가완료031229수정)_주단조용접업종 평가결과품의(040510)(1)" xfId="31206"/>
    <cellStyle name="콤_출장계획서_새벽시장8.10xls" xfId="31207"/>
    <cellStyle name="콤_출장계획서_새벽시장8.10xls_도금 열처리 주단조 평가품의(040329)" xfId="31208"/>
    <cellStyle name="콤_출장계획서_새벽시장8.10xls_도금 열처리 주단조 평가품의(040329)_도금 열처리 주단조 평가품의(040329)" xfId="31209"/>
    <cellStyle name="콤_출장계획서_새벽시장8.10xls_도금 열처리 주단조 평가품의(040329)업체" xfId="31210"/>
    <cellStyle name="콤_출장계획서_새벽시장8.10xls_열처리결과품의(031017)개발" xfId="31211"/>
    <cellStyle name="콤_출장계획서_새벽시장8.10xls_열처리결과품의(031017)개발_도금 열처리 주단조 평가품의(040329)" xfId="31212"/>
    <cellStyle name="콤_출장계획서_새벽시장8.10xls_용접업종 평가결과품의(040510)" xfId="31213"/>
    <cellStyle name="콤_출장계획서_새벽시장8.10xls_용접업종 평가결과품의(040510)_용접업종 평가결과품의(040510)" xfId="31214"/>
    <cellStyle name="콤_출장계획서_새벽시장8.10xls_용접업종 평가결과품의(040510)_용접업종 평가결과품의(040510)(1)" xfId="31215"/>
    <cellStyle name="콤_출장계획서_새벽시장8.10xls_용접업종 평가결과품의(040510)_주단조용접업종 평가결과품의(040510)(1)" xfId="31216"/>
    <cellStyle name="콤_출장계획서_새벽시장8.10xls_주단조 업종 평가결과품의(040407)" xfId="31217"/>
    <cellStyle name="콤_출장계획서_새벽시장8.10xls_주단조 업종 평가결과품의(040407)_용접업종 평가결과품의(040510)" xfId="31218"/>
    <cellStyle name="콤_출장계획서_새벽시장8.10xls_주단조 업종 평가결과품의(040407)_용접업종 평가결과품의(040510)(1)" xfId="31219"/>
    <cellStyle name="콤_출장계획서_새벽시장8.10xls_주단조 업종 평가결과품의(040407)_주단조용접업종 평가결과품의(040510)(1)" xfId="31220"/>
    <cellStyle name="콤_출장계획서_새벽시장8.10xls_주단조 업종 평가결과품의(040416)(1)" xfId="31221"/>
    <cellStyle name="콤_출장계획서_새벽시장8.10xls_주단조 업종 평가결과품의(040416)(1)_용접업종 평가결과품의(040510)" xfId="31222"/>
    <cellStyle name="콤_출장계획서_새벽시장8.10xls_주단조 업종 평가결과품의(040416)(1)_용접업종 평가결과품의(040510)(1)" xfId="31223"/>
    <cellStyle name="콤_출장계획서_새벽시장8.10xls_주단조 업종 평가결과품의(040416)(1)_주단조용접업종 평가결과품의(040510)(1)" xfId="31224"/>
    <cellStyle name="콤_출장계획서_새벽시장8.10xls_최신-SQ인증업체현황1343사(03년평가완료031229수정)" xfId="31225"/>
    <cellStyle name="콤_출장계획서_새벽시장8.10xls_최신-SQ인증업체현황1343사(03년평가완료031229수정)_용접업종 평가결과품의(040510)" xfId="31226"/>
    <cellStyle name="콤_출장계획서_새벽시장8.10xls_최신-SQ인증업체현황1343사(03년평가완료031229수정)_용접업종 평가결과품의(040510)(1)" xfId="31227"/>
    <cellStyle name="콤_출장계획서_새벽시장8.10xls_최신-SQ인증업체현황1343사(03년평가완료031229수정)_주단조용접업종 평가결과품의(040510)(1)" xfId="31228"/>
    <cellStyle name="콤_출장계획서_새벽시장8.26xls" xfId="31229"/>
    <cellStyle name="콤_출장계획서_새벽시장8.26xls_도금 열처리 주단조 평가품의(040329)" xfId="31230"/>
    <cellStyle name="콤_출장계획서_새벽시장8.26xls_도금 열처리 주단조 평가품의(040329)_도금 열처리 주단조 평가품의(040329)" xfId="31231"/>
    <cellStyle name="콤_출장계획서_새벽시장8.26xls_도금 열처리 주단조 평가품의(040329)업체" xfId="31232"/>
    <cellStyle name="콤_출장계획서_새벽시장8.26xls_열처리결과품의(031017)개발" xfId="31233"/>
    <cellStyle name="콤_출장계획서_새벽시장8.26xls_열처리결과품의(031017)개발_도금 열처리 주단조 평가품의(040329)" xfId="31234"/>
    <cellStyle name="콤_출장계획서_새벽시장8.26xls_용접업종 평가결과품의(040510)" xfId="31235"/>
    <cellStyle name="콤_출장계획서_새벽시장8.26xls_용접업종 평가결과품의(040510)_용접업종 평가결과품의(040510)" xfId="31236"/>
    <cellStyle name="콤_출장계획서_새벽시장8.26xls_용접업종 평가결과품의(040510)_용접업종 평가결과품의(040510)(1)" xfId="31237"/>
    <cellStyle name="콤_출장계획서_새벽시장8.26xls_용접업종 평가결과품의(040510)_주단조용접업종 평가결과품의(040510)(1)" xfId="31238"/>
    <cellStyle name="콤_출장계획서_새벽시장8.26xls_주단조 업종 평가결과품의(040407)" xfId="31239"/>
    <cellStyle name="콤_출장계획서_새벽시장8.26xls_주단조 업종 평가결과품의(040407)_용접업종 평가결과품의(040510)" xfId="31240"/>
    <cellStyle name="콤_출장계획서_새벽시장8.26xls_주단조 업종 평가결과품의(040407)_용접업종 평가결과품의(040510)(1)" xfId="31241"/>
    <cellStyle name="콤_출장계획서_새벽시장8.26xls_주단조 업종 평가결과품의(040407)_주단조용접업종 평가결과품의(040510)(1)" xfId="31242"/>
    <cellStyle name="콤_출장계획서_새벽시장8.26xls_주단조 업종 평가결과품의(040416)(1)" xfId="31243"/>
    <cellStyle name="콤_출장계획서_새벽시장8.26xls_주단조 업종 평가결과품의(040416)(1)_용접업종 평가결과품의(040510)" xfId="31244"/>
    <cellStyle name="콤_출장계획서_새벽시장8.26xls_주단조 업종 평가결과품의(040416)(1)_용접업종 평가결과품의(040510)(1)" xfId="31245"/>
    <cellStyle name="콤_출장계획서_새벽시장8.26xls_주단조 업종 평가결과품의(040416)(1)_주단조용접업종 평가결과품의(040510)(1)" xfId="31246"/>
    <cellStyle name="콤_출장계획서_새벽시장8.26xls_최신-SQ인증업체현황1343사(03년평가완료031229수정)" xfId="31247"/>
    <cellStyle name="콤_출장계획서_새벽시장8.26xls_최신-SQ인증업체현황1343사(03년평가완료031229수정)_용접업종 평가결과품의(040510)" xfId="31248"/>
    <cellStyle name="콤_출장계획서_새벽시장8.26xls_최신-SQ인증업체현황1343사(03년평가완료031229수정)_용접업종 평가결과품의(040510)(1)" xfId="31249"/>
    <cellStyle name="콤_출장계획서_새벽시장8.26xls_최신-SQ인증업체현황1343사(03년평가완료031229수정)_주단조용접업종 평가결과품의(040510)(1)" xfId="31250"/>
    <cellStyle name="콤_출장계획서_새벽시장9.16" xfId="31251"/>
    <cellStyle name="콤_출장계획서_새벽시장9.16_도금 열처리 주단조 평가품의(040329)" xfId="31252"/>
    <cellStyle name="콤_출장계획서_새벽시장9.16_도금 열처리 주단조 평가품의(040329)_도금 열처리 주단조 평가품의(040329)" xfId="31253"/>
    <cellStyle name="콤_출장계획서_새벽시장9.16_도금 열처리 주단조 평가품의(040329)업체" xfId="31254"/>
    <cellStyle name="콤_출장계획서_새벽시장9.16_열처리결과품의(031017)개발" xfId="31255"/>
    <cellStyle name="콤_출장계획서_새벽시장9.16_열처리결과품의(031017)개발_도금 열처리 주단조 평가품의(040329)" xfId="31256"/>
    <cellStyle name="콤_출장계획서_새벽시장9.16_용접업종 평가결과품의(040510)" xfId="31257"/>
    <cellStyle name="콤_출장계획서_새벽시장9.16_용접업종 평가결과품의(040510)_용접업종 평가결과품의(040510)" xfId="31258"/>
    <cellStyle name="콤_출장계획서_새벽시장9.16_용접업종 평가결과품의(040510)_용접업종 평가결과품의(040510)(1)" xfId="31259"/>
    <cellStyle name="콤_출장계획서_새벽시장9.16_용접업종 평가결과품의(040510)_주단조용접업종 평가결과품의(040510)(1)" xfId="31260"/>
    <cellStyle name="콤_출장계획서_새벽시장9.16_주단조 업종 평가결과품의(040407)" xfId="31261"/>
    <cellStyle name="콤_출장계획서_새벽시장9.16_주단조 업종 평가결과품의(040407)_용접업종 평가결과품의(040510)" xfId="31262"/>
    <cellStyle name="콤_출장계획서_새벽시장9.16_주단조 업종 평가결과품의(040407)_용접업종 평가결과품의(040510)(1)" xfId="31263"/>
    <cellStyle name="콤_출장계획서_새벽시장9.16_주단조 업종 평가결과품의(040407)_주단조용접업종 평가결과품의(040510)(1)" xfId="31264"/>
    <cellStyle name="콤_출장계획서_새벽시장9.16_주단조 업종 평가결과품의(040416)(1)" xfId="31265"/>
    <cellStyle name="콤_출장계획서_새벽시장9.16_주단조 업종 평가결과품의(040416)(1)_용접업종 평가결과품의(040510)" xfId="31266"/>
    <cellStyle name="콤_출장계획서_새벽시장9.16_주단조 업종 평가결과품의(040416)(1)_용접업종 평가결과품의(040510)(1)" xfId="31267"/>
    <cellStyle name="콤_출장계획서_새벽시장9.16_주단조 업종 평가결과품의(040416)(1)_주단조용접업종 평가결과품의(040510)(1)" xfId="31268"/>
    <cellStyle name="콤_출장계획서_새벽시장9.16_최신-SQ인증업체현황1343사(03년평가완료031229수정)" xfId="31269"/>
    <cellStyle name="콤_출장계획서_새벽시장9.16_최신-SQ인증업체현황1343사(03년평가완료031229수정)_용접업종 평가결과품의(040510)" xfId="31270"/>
    <cellStyle name="콤_출장계획서_새벽시장9.16_최신-SQ인증업체현황1343사(03년평가완료031229수정)_용접업종 평가결과품의(040510)(1)" xfId="31271"/>
    <cellStyle name="콤_출장계획서_새벽시장9.16_최신-SQ인증업체현황1343사(03년평가완료031229수정)_주단조용접업종 평가결과품의(040510)(1)" xfId="31272"/>
    <cellStyle name="콤_출장계획서_열처리결과품의(031017)개발" xfId="31273"/>
    <cellStyle name="콤_출장계획서_열처리결과품의(031017)개발_도금 열처리 주단조 평가품의(040329)" xfId="31274"/>
    <cellStyle name="콤_출장계획서_용접업종 평가결과품의(040510)" xfId="31275"/>
    <cellStyle name="콤_출장계획서_용접업종 평가결과품의(040510)_용접업종 평가결과품의(040510)" xfId="31276"/>
    <cellStyle name="콤_출장계획서_용접업종 평가결과품의(040510)_용접업종 평가결과품의(040510)(1)" xfId="31277"/>
    <cellStyle name="콤_출장계획서_용접업종 평가결과품의(040510)_주단조용접업종 평가결과품의(040510)(1)" xfId="31278"/>
    <cellStyle name="콤_출장계획서_주단조 업종 평가결과품의(040407)" xfId="31279"/>
    <cellStyle name="콤_출장계획서_주단조 업종 평가결과품의(040407)_용접업종 평가결과품의(040510)" xfId="31280"/>
    <cellStyle name="콤_출장계획서_주단조 업종 평가결과품의(040407)_용접업종 평가결과품의(040510)(1)" xfId="31281"/>
    <cellStyle name="콤_출장계획서_주단조 업종 평가결과품의(040407)_주단조용접업종 평가결과품의(040510)(1)" xfId="31282"/>
    <cellStyle name="콤_출장계획서_주단조 업종 평가결과품의(040416)(1)" xfId="31283"/>
    <cellStyle name="콤_출장계획서_주단조 업종 평가결과품의(040416)(1)_용접업종 평가결과품의(040510)" xfId="31284"/>
    <cellStyle name="콤_출장계획서_주단조 업종 평가결과품의(040416)(1)_용접업종 평가결과품의(040510)(1)" xfId="31285"/>
    <cellStyle name="콤_출장계획서_주단조 업종 평가결과품의(040416)(1)_주단조용접업종 평가결과품의(040510)(1)" xfId="31286"/>
    <cellStyle name="콤_출장계획서_최신-SQ인증업체현황1343사(03년평가완료031229수정)" xfId="31287"/>
    <cellStyle name="콤_출장계획서_최신-SQ인증업체현황1343사(03년평가완료031229수정)_용접업종 평가결과품의(040510)" xfId="31288"/>
    <cellStyle name="콤_출장계획서_최신-SQ인증업체현황1343사(03년평가완료031229수정)_용접업종 평가결과품의(040510)(1)" xfId="31289"/>
    <cellStyle name="콤_출장계획서_최신-SQ인증업체현황1343사(03년평가완료031229수정)_주단조용접업종 평가결과품의(040510)(1)" xfId="31290"/>
    <cellStyle name="콤마 [" xfId="31291"/>
    <cellStyle name="콤마 [0]_ " xfId="31292"/>
    <cellStyle name="콤마,_x0005__x0014_" xfId="31293"/>
    <cellStyle name="콤마,_x0005__x0014_ 2" xfId="31294"/>
    <cellStyle name="콤마_ " xfId="31295"/>
    <cellStyle name="통" xfId="31296"/>
    <cellStyle name="통_ROTATION 유동" xfId="31297"/>
    <cellStyle name="통_ROTATION 유동_도금 열처리 주단조 평가품의(040329)" xfId="31298"/>
    <cellStyle name="통_ROTATION 유동_도금 열처리 주단조 평가품의(040329)_도금 열처리 주단조 평가품의(040329)" xfId="31299"/>
    <cellStyle name="통_ROTATION 유동_도금 열처리 주단조 평가품의(040329)업체" xfId="31300"/>
    <cellStyle name="통_ROTATION 유동_열처리결과품의(031017)개발" xfId="31301"/>
    <cellStyle name="통_ROTATION 유동_열처리결과품의(031017)개발_도금 열처리 주단조 평가품의(040329)" xfId="31302"/>
    <cellStyle name="통_ROTATION 유동_용접업종 평가결과품의(040510)" xfId="31303"/>
    <cellStyle name="통_ROTATION 유동_용접업종 평가결과품의(040510)_용접업종 평가결과품의(040510)" xfId="31304"/>
    <cellStyle name="통_ROTATION 유동_용접업종 평가결과품의(040510)_용접업종 평가결과품의(040510)(1)" xfId="31305"/>
    <cellStyle name="통_ROTATION 유동_용접업종 평가결과품의(040510)_주단조용접업종 평가결과품의(040510)(1)" xfId="31306"/>
    <cellStyle name="통_ROTATION 유동_주단조 업종 평가결과품의(040407)" xfId="31307"/>
    <cellStyle name="통_ROTATION 유동_주단조 업종 평가결과품의(040407)_용접업종 평가결과품의(040510)" xfId="31308"/>
    <cellStyle name="통_ROTATION 유동_주단조 업종 평가결과품의(040407)_용접업종 평가결과품의(040510)(1)" xfId="31309"/>
    <cellStyle name="통_ROTATION 유동_주단조 업종 평가결과품의(040407)_주단조용접업종 평가결과품의(040510)(1)" xfId="31310"/>
    <cellStyle name="통_ROTATION 유동_주단조 업종 평가결과품의(040416)(1)" xfId="31311"/>
    <cellStyle name="통_ROTATION 유동_주단조 업종 평가결과품의(040416)(1)_용접업종 평가결과품의(040510)" xfId="31312"/>
    <cellStyle name="통_ROTATION 유동_주단조 업종 평가결과품의(040416)(1)_용접업종 평가결과품의(040510)(1)" xfId="31313"/>
    <cellStyle name="통_ROTATION 유동_주단조 업종 평가결과품의(040416)(1)_주단조용접업종 평가결과품의(040510)(1)" xfId="31314"/>
    <cellStyle name="통_ROTATION 유동_최신-SQ인증업체현황1343사(03년평가완료031229수정)" xfId="31315"/>
    <cellStyle name="통_ROTATION 유동_최신-SQ인증업체현황1343사(03년평가완료031229수정)_용접업종 평가결과품의(040510)" xfId="31316"/>
    <cellStyle name="통_ROTATION 유동_최신-SQ인증업체현황1343사(03년평가완료031229수정)_용접업종 평가결과품의(040510)(1)" xfId="31317"/>
    <cellStyle name="통_ROTATION 유동_최신-SQ인증업체현황1343사(03년평가완료031229수정)_주단조용접업종 평가결과품의(040510)(1)" xfId="31318"/>
    <cellStyle name="통_SLIDE 폭" xfId="31319"/>
    <cellStyle name="통_SLIDE 폭_도금 열처리 주단조 평가품의(040329)" xfId="31320"/>
    <cellStyle name="통_SLIDE 폭_도금 열처리 주단조 평가품의(040329)_도금 열처리 주단조 평가품의(040329)" xfId="31321"/>
    <cellStyle name="통_SLIDE 폭_도금 열처리 주단조 평가품의(040329)업체" xfId="31322"/>
    <cellStyle name="통_SLIDE 폭_열처리결과품의(031017)개발" xfId="31323"/>
    <cellStyle name="통_SLIDE 폭_열처리결과품의(031017)개발_도금 열처리 주단조 평가품의(040329)" xfId="31324"/>
    <cellStyle name="통_SLIDE 폭_용접업종 평가결과품의(040510)" xfId="31325"/>
    <cellStyle name="통_SLIDE 폭_용접업종 평가결과품의(040510)_용접업종 평가결과품의(040510)" xfId="31326"/>
    <cellStyle name="통_SLIDE 폭_용접업종 평가결과품의(040510)_용접업종 평가결과품의(040510)(1)" xfId="31327"/>
    <cellStyle name="통_SLIDE 폭_용접업종 평가결과품의(040510)_주단조용접업종 평가결과품의(040510)(1)" xfId="31328"/>
    <cellStyle name="통_SLIDE 폭_주단조 업종 평가결과품의(040407)" xfId="31329"/>
    <cellStyle name="통_SLIDE 폭_주단조 업종 평가결과품의(040407)_용접업종 평가결과품의(040510)" xfId="31330"/>
    <cellStyle name="통_SLIDE 폭_주단조 업종 평가결과품의(040407)_용접업종 평가결과품의(040510)(1)" xfId="31331"/>
    <cellStyle name="통_SLIDE 폭_주단조 업종 평가결과품의(040407)_주단조용접업종 평가결과품의(040510)(1)" xfId="31332"/>
    <cellStyle name="통_SLIDE 폭_주단조 업종 평가결과품의(040416)(1)" xfId="31333"/>
    <cellStyle name="통_SLIDE 폭_주단조 업종 평가결과품의(040416)(1)_용접업종 평가결과품의(040510)" xfId="31334"/>
    <cellStyle name="통_SLIDE 폭_주단조 업종 평가결과품의(040416)(1)_용접업종 평가결과품의(040510)(1)" xfId="31335"/>
    <cellStyle name="통_SLIDE 폭_주단조 업종 평가결과품의(040416)(1)_주단조용접업종 평가결과품의(040510)(1)" xfId="31336"/>
    <cellStyle name="통_SLIDE 폭_최신-SQ인증업체현황1343사(03년평가완료031229수정)" xfId="31337"/>
    <cellStyle name="통_SLIDE 폭_최신-SQ인증업체현황1343사(03년평가완료031229수정)_용접업종 평가결과품의(040510)" xfId="31338"/>
    <cellStyle name="통_SLIDE 폭_최신-SQ인증업체현황1343사(03년평가완료031229수정)_용접업종 평가결과품의(040510)(1)" xfId="31339"/>
    <cellStyle name="통_SLIDE 폭_최신-SQ인증업체현황1343사(03년평가완료031229수정)_주단조용접업종 평가결과품의(040510)(1)" xfId="31340"/>
    <cellStyle name="통_도금 열처리 주단조 평가품의(040329)" xfId="31341"/>
    <cellStyle name="통_도금 열처리 주단조 평가품의(040329)_도금 열처리 주단조 평가품의(040329)" xfId="31342"/>
    <cellStyle name="통_도금 열처리 주단조 평가품의(040329)업체" xfId="31343"/>
    <cellStyle name="통_사전회의(1208)" xfId="31344"/>
    <cellStyle name="통_사전회의(1208)_ROTATION 유동" xfId="31345"/>
    <cellStyle name="통_사전회의(1208)_ROTATION 유동_도금 열처리 주단조 평가품의(040329)" xfId="31346"/>
    <cellStyle name="통_사전회의(1208)_ROTATION 유동_도금 열처리 주단조 평가품의(040329)_도금 열처리 주단조 평가품의(040329)" xfId="31347"/>
    <cellStyle name="통_사전회의(1208)_ROTATION 유동_도금 열처리 주단조 평가품의(040329)업체" xfId="31348"/>
    <cellStyle name="통_사전회의(1208)_ROTATION 유동_열처리결과품의(031017)개발" xfId="31349"/>
    <cellStyle name="통_사전회의(1208)_ROTATION 유동_열처리결과품의(031017)개발_도금 열처리 주단조 평가품의(040329)" xfId="31350"/>
    <cellStyle name="통_사전회의(1208)_ROTATION 유동_용접업종 평가결과품의(040510)" xfId="31351"/>
    <cellStyle name="통_사전회의(1208)_ROTATION 유동_용접업종 평가결과품의(040510)_용접업종 평가결과품의(040510)" xfId="31352"/>
    <cellStyle name="통_사전회의(1208)_ROTATION 유동_용접업종 평가결과품의(040510)_용접업종 평가결과품의(040510)(1)" xfId="31353"/>
    <cellStyle name="통_사전회의(1208)_ROTATION 유동_용접업종 평가결과품의(040510)_주단조용접업종 평가결과품의(040510)(1)" xfId="31354"/>
    <cellStyle name="통_사전회의(1208)_ROTATION 유동_주단조 업종 평가결과품의(040407)" xfId="31355"/>
    <cellStyle name="통_사전회의(1208)_ROTATION 유동_주단조 업종 평가결과품의(040407)_용접업종 평가결과품의(040510)" xfId="31356"/>
    <cellStyle name="통_사전회의(1208)_ROTATION 유동_주단조 업종 평가결과품의(040407)_용접업종 평가결과품의(040510)(1)" xfId="31357"/>
    <cellStyle name="통_사전회의(1208)_ROTATION 유동_주단조 업종 평가결과품의(040407)_주단조용접업종 평가결과품의(040510)(1)" xfId="31358"/>
    <cellStyle name="통_사전회의(1208)_ROTATION 유동_주단조 업종 평가결과품의(040416)(1)" xfId="31359"/>
    <cellStyle name="통_사전회의(1208)_ROTATION 유동_주단조 업종 평가결과품의(040416)(1)_용접업종 평가결과품의(040510)" xfId="31360"/>
    <cellStyle name="통_사전회의(1208)_ROTATION 유동_주단조 업종 평가결과품의(040416)(1)_용접업종 평가결과품의(040510)(1)" xfId="31361"/>
    <cellStyle name="통_사전회의(1208)_ROTATION 유동_주단조 업종 평가결과품의(040416)(1)_주단조용접업종 평가결과품의(040510)(1)" xfId="31362"/>
    <cellStyle name="통_사전회의(1208)_ROTATION 유동_최신-SQ인증업체현황1343사(03년평가완료031229수정)" xfId="31363"/>
    <cellStyle name="통_사전회의(1208)_ROTATION 유동_최신-SQ인증업체현황1343사(03년평가완료031229수정)_용접업종 평가결과품의(040510)" xfId="31364"/>
    <cellStyle name="통_사전회의(1208)_ROTATION 유동_최신-SQ인증업체현황1343사(03년평가완료031229수정)_용접업종 평가결과품의(040510)(1)" xfId="31365"/>
    <cellStyle name="통_사전회의(1208)_ROTATION 유동_최신-SQ인증업체현황1343사(03년평가완료031229수정)_주단조용접업종 평가결과품의(040510)(1)" xfId="31366"/>
    <cellStyle name="통_사전회의(1208)_SLIDE 폭" xfId="31367"/>
    <cellStyle name="통_사전회의(1208)_SLIDE 폭_도금 열처리 주단조 평가품의(040329)" xfId="31368"/>
    <cellStyle name="통_사전회의(1208)_SLIDE 폭_도금 열처리 주단조 평가품의(040329)_도금 열처리 주단조 평가품의(040329)" xfId="31369"/>
    <cellStyle name="통_사전회의(1208)_SLIDE 폭_도금 열처리 주단조 평가품의(040329)업체" xfId="31370"/>
    <cellStyle name="통_사전회의(1208)_SLIDE 폭_열처리결과품의(031017)개발" xfId="31371"/>
    <cellStyle name="통_사전회의(1208)_SLIDE 폭_열처리결과품의(031017)개발_도금 열처리 주단조 평가품의(040329)" xfId="31372"/>
    <cellStyle name="통_사전회의(1208)_SLIDE 폭_용접업종 평가결과품의(040510)" xfId="31373"/>
    <cellStyle name="통_사전회의(1208)_SLIDE 폭_용접업종 평가결과품의(040510)_용접업종 평가결과품의(040510)" xfId="31374"/>
    <cellStyle name="통_사전회의(1208)_SLIDE 폭_용접업종 평가결과품의(040510)_용접업종 평가결과품의(040510)(1)" xfId="31375"/>
    <cellStyle name="통_사전회의(1208)_SLIDE 폭_용접업종 평가결과품의(040510)_주단조용접업종 평가결과품의(040510)(1)" xfId="31376"/>
    <cellStyle name="통_사전회의(1208)_SLIDE 폭_주단조 업종 평가결과품의(040407)" xfId="31377"/>
    <cellStyle name="통_사전회의(1208)_SLIDE 폭_주단조 업종 평가결과품의(040407)_용접업종 평가결과품의(040510)" xfId="31378"/>
    <cellStyle name="통_사전회의(1208)_SLIDE 폭_주단조 업종 평가결과품의(040407)_용접업종 평가결과품의(040510)(1)" xfId="31379"/>
    <cellStyle name="통_사전회의(1208)_SLIDE 폭_주단조 업종 평가결과품의(040407)_주단조용접업종 평가결과품의(040510)(1)" xfId="31380"/>
    <cellStyle name="통_사전회의(1208)_SLIDE 폭_주단조 업종 평가결과품의(040416)(1)" xfId="31381"/>
    <cellStyle name="통_사전회의(1208)_SLIDE 폭_주단조 업종 평가결과품의(040416)(1)_용접업종 평가결과품의(040510)" xfId="31382"/>
    <cellStyle name="통_사전회의(1208)_SLIDE 폭_주단조 업종 평가결과품의(040416)(1)_용접업종 평가결과품의(040510)(1)" xfId="31383"/>
    <cellStyle name="통_사전회의(1208)_SLIDE 폭_주단조 업종 평가결과품의(040416)(1)_주단조용접업종 평가결과품의(040510)(1)" xfId="31384"/>
    <cellStyle name="통_사전회의(1208)_SLIDE 폭_최신-SQ인증업체현황1343사(03년평가완료031229수정)" xfId="31385"/>
    <cellStyle name="통_사전회의(1208)_SLIDE 폭_최신-SQ인증업체현황1343사(03년평가완료031229수정)_용접업종 평가결과품의(040510)" xfId="31386"/>
    <cellStyle name="통_사전회의(1208)_SLIDE 폭_최신-SQ인증업체현황1343사(03년평가완료031229수정)_용접업종 평가결과품의(040510)(1)" xfId="31387"/>
    <cellStyle name="통_사전회의(1208)_SLIDE 폭_최신-SQ인증업체현황1343사(03년평가완료031229수정)_주단조용접업종 평가결과품의(040510)(1)" xfId="31388"/>
    <cellStyle name="통_사전회의(1208)_도금 열처리 주단조 평가품의(040329)" xfId="31389"/>
    <cellStyle name="통_사전회의(1208)_도금 열처리 주단조 평가품의(040329)_도금 열처리 주단조 평가품의(040329)" xfId="31390"/>
    <cellStyle name="통_사전회의(1208)_도금 열처리 주단조 평가품의(040329)업체" xfId="31391"/>
    <cellStyle name="통_사전회의(1208)_새벽시장1" xfId="31392"/>
    <cellStyle name="통_사전회의(1208)_새벽시장1_도금 열처리 주단조 평가품의(040329)" xfId="31393"/>
    <cellStyle name="통_사전회의(1208)_새벽시장1_도금 열처리 주단조 평가품의(040329)_도금 열처리 주단조 평가품의(040329)" xfId="31394"/>
    <cellStyle name="통_사전회의(1208)_새벽시장1_도금 열처리 주단조 평가품의(040329)업체" xfId="31395"/>
    <cellStyle name="통_사전회의(1208)_새벽시장1_열처리결과품의(031017)개발" xfId="31396"/>
    <cellStyle name="통_사전회의(1208)_새벽시장1_열처리결과품의(031017)개발_도금 열처리 주단조 평가품의(040329)" xfId="31397"/>
    <cellStyle name="통_사전회의(1208)_새벽시장1_용접업종 평가결과품의(040510)" xfId="31398"/>
    <cellStyle name="통_사전회의(1208)_새벽시장1_용접업종 평가결과품의(040510)_용접업종 평가결과품의(040510)" xfId="31399"/>
    <cellStyle name="통_사전회의(1208)_새벽시장1_용접업종 평가결과품의(040510)_용접업종 평가결과품의(040510)(1)" xfId="31400"/>
    <cellStyle name="통_사전회의(1208)_새벽시장1_용접업종 평가결과품의(040510)_주단조용접업종 평가결과품의(040510)(1)" xfId="31401"/>
    <cellStyle name="통_사전회의(1208)_새벽시장1_주단조 업종 평가결과품의(040407)" xfId="31402"/>
    <cellStyle name="통_사전회의(1208)_새벽시장1_주단조 업종 평가결과품의(040407)_용접업종 평가결과품의(040510)" xfId="31403"/>
    <cellStyle name="통_사전회의(1208)_새벽시장1_주단조 업종 평가결과품의(040407)_용접업종 평가결과품의(040510)(1)" xfId="31404"/>
    <cellStyle name="통_사전회의(1208)_새벽시장1_주단조 업종 평가결과품의(040407)_주단조용접업종 평가결과품의(040510)(1)" xfId="31405"/>
    <cellStyle name="통_사전회의(1208)_새벽시장1_주단조 업종 평가결과품의(040416)(1)" xfId="31406"/>
    <cellStyle name="통_사전회의(1208)_새벽시장1_주단조 업종 평가결과품의(040416)(1)_용접업종 평가결과품의(040510)" xfId="31407"/>
    <cellStyle name="통_사전회의(1208)_새벽시장1_주단조 업종 평가결과품의(040416)(1)_용접업종 평가결과품의(040510)(1)" xfId="31408"/>
    <cellStyle name="통_사전회의(1208)_새벽시장1_주단조 업종 평가결과품의(040416)(1)_주단조용접업종 평가결과품의(040510)(1)" xfId="31409"/>
    <cellStyle name="통_사전회의(1208)_새벽시장1_최신-SQ인증업체현황1343사(03년평가완료031229수정)" xfId="31410"/>
    <cellStyle name="통_사전회의(1208)_새벽시장1_최신-SQ인증업체현황1343사(03년평가완료031229수정)_용접업종 평가결과품의(040510)" xfId="31411"/>
    <cellStyle name="통_사전회의(1208)_새벽시장1_최신-SQ인증업체현황1343사(03년평가완료031229수정)_용접업종 평가결과품의(040510)(1)" xfId="31412"/>
    <cellStyle name="통_사전회의(1208)_새벽시장1_최신-SQ인증업체현황1343사(03년평가완료031229수정)_주단조용접업종 평가결과품의(040510)(1)" xfId="31413"/>
    <cellStyle name="통_사전회의(1208)_새벽시장3" xfId="31414"/>
    <cellStyle name="통_사전회의(1208)_새벽시장3_도금 열처리 주단조 평가품의(040329)" xfId="31415"/>
    <cellStyle name="통_사전회의(1208)_새벽시장3_도금 열처리 주단조 평가품의(040329)_도금 열처리 주단조 평가품의(040329)" xfId="31416"/>
    <cellStyle name="통_사전회의(1208)_새벽시장3_도금 열처리 주단조 평가품의(040329)업체" xfId="31417"/>
    <cellStyle name="통_사전회의(1208)_새벽시장3_열처리결과품의(031017)개발" xfId="31418"/>
    <cellStyle name="통_사전회의(1208)_새벽시장3_열처리결과품의(031017)개발_도금 열처리 주단조 평가품의(040329)" xfId="31419"/>
    <cellStyle name="통_사전회의(1208)_새벽시장3_용접업종 평가결과품의(040510)" xfId="31420"/>
    <cellStyle name="통_사전회의(1208)_새벽시장3_용접업종 평가결과품의(040510)_용접업종 평가결과품의(040510)" xfId="31421"/>
    <cellStyle name="통_사전회의(1208)_새벽시장3_용접업종 평가결과품의(040510)_용접업종 평가결과품의(040510)(1)" xfId="31422"/>
    <cellStyle name="통_사전회의(1208)_새벽시장3_용접업종 평가결과품의(040510)_주단조용접업종 평가결과품의(040510)(1)" xfId="31423"/>
    <cellStyle name="통_사전회의(1208)_새벽시장3_주단조 업종 평가결과품의(040407)" xfId="31424"/>
    <cellStyle name="통_사전회의(1208)_새벽시장3_주단조 업종 평가결과품의(040407)_용접업종 평가결과품의(040510)" xfId="31425"/>
    <cellStyle name="통_사전회의(1208)_새벽시장3_주단조 업종 평가결과품의(040407)_용접업종 평가결과품의(040510)(1)" xfId="31426"/>
    <cellStyle name="통_사전회의(1208)_새벽시장3_주단조 업종 평가결과품의(040407)_주단조용접업종 평가결과품의(040510)(1)" xfId="31427"/>
    <cellStyle name="통_사전회의(1208)_새벽시장3_주단조 업종 평가결과품의(040416)(1)" xfId="31428"/>
    <cellStyle name="통_사전회의(1208)_새벽시장3_주단조 업종 평가결과품의(040416)(1)_용접업종 평가결과품의(040510)" xfId="31429"/>
    <cellStyle name="통_사전회의(1208)_새벽시장3_주단조 업종 평가결과품의(040416)(1)_용접업종 평가결과품의(040510)(1)" xfId="31430"/>
    <cellStyle name="통_사전회의(1208)_새벽시장3_주단조 업종 평가결과품의(040416)(1)_주단조용접업종 평가결과품의(040510)(1)" xfId="31431"/>
    <cellStyle name="통_사전회의(1208)_새벽시장3_최신-SQ인증업체현황1343사(03년평가완료031229수정)" xfId="31432"/>
    <cellStyle name="통_사전회의(1208)_새벽시장3_최신-SQ인증업체현황1343사(03년평가완료031229수정)_용접업종 평가결과품의(040510)" xfId="31433"/>
    <cellStyle name="통_사전회의(1208)_새벽시장3_최신-SQ인증업체현황1343사(03년평가완료031229수정)_용접업종 평가결과품의(040510)(1)" xfId="31434"/>
    <cellStyle name="통_사전회의(1208)_새벽시장3_최신-SQ인증업체현황1343사(03년평가완료031229수정)_주단조용접업종 평가결과품의(040510)(1)" xfId="31435"/>
    <cellStyle name="통_사전회의(1208)_새벽시장5" xfId="31436"/>
    <cellStyle name="통_사전회의(1208)_새벽시장5_도금 열처리 주단조 평가품의(040329)" xfId="31437"/>
    <cellStyle name="통_사전회의(1208)_새벽시장5_도금 열처리 주단조 평가품의(040329)_도금 열처리 주단조 평가품의(040329)" xfId="31438"/>
    <cellStyle name="통_사전회의(1208)_새벽시장5_도금 열처리 주단조 평가품의(040329)업체" xfId="31439"/>
    <cellStyle name="통_사전회의(1208)_새벽시장5_열처리결과품의(031017)개발" xfId="31440"/>
    <cellStyle name="통_사전회의(1208)_새벽시장5_열처리결과품의(031017)개발_도금 열처리 주단조 평가품의(040329)" xfId="31441"/>
    <cellStyle name="통_사전회의(1208)_새벽시장5_용접업종 평가결과품의(040510)" xfId="31442"/>
    <cellStyle name="통_사전회의(1208)_새벽시장5_용접업종 평가결과품의(040510)_용접업종 평가결과품의(040510)" xfId="31443"/>
    <cellStyle name="통_사전회의(1208)_새벽시장5_용접업종 평가결과품의(040510)_용접업종 평가결과품의(040510)(1)" xfId="31444"/>
    <cellStyle name="통_사전회의(1208)_새벽시장5_용접업종 평가결과품의(040510)_주단조용접업종 평가결과품의(040510)(1)" xfId="31445"/>
    <cellStyle name="통_사전회의(1208)_새벽시장5_주단조 업종 평가결과품의(040407)" xfId="31446"/>
    <cellStyle name="통_사전회의(1208)_새벽시장5_주단조 업종 평가결과품의(040407)_용접업종 평가결과품의(040510)" xfId="31447"/>
    <cellStyle name="통_사전회의(1208)_새벽시장5_주단조 업종 평가결과품의(040407)_용접업종 평가결과품의(040510)(1)" xfId="31448"/>
    <cellStyle name="통_사전회의(1208)_새벽시장5_주단조 업종 평가결과품의(040407)_주단조용접업종 평가결과품의(040510)(1)" xfId="31449"/>
    <cellStyle name="통_사전회의(1208)_새벽시장5_주단조 업종 평가결과품의(040416)(1)" xfId="31450"/>
    <cellStyle name="통_사전회의(1208)_새벽시장5_주단조 업종 평가결과품의(040416)(1)_용접업종 평가결과품의(040510)" xfId="31451"/>
    <cellStyle name="통_사전회의(1208)_새벽시장5_주단조 업종 평가결과품의(040416)(1)_용접업종 평가결과품의(040510)(1)" xfId="31452"/>
    <cellStyle name="통_사전회의(1208)_새벽시장5_주단조 업종 평가결과품의(040416)(1)_주단조용접업종 평가결과품의(040510)(1)" xfId="31453"/>
    <cellStyle name="통_사전회의(1208)_새벽시장5_최신-SQ인증업체현황1343사(03년평가완료031229수정)" xfId="31454"/>
    <cellStyle name="통_사전회의(1208)_새벽시장5_최신-SQ인증업체현황1343사(03년평가완료031229수정)_용접업종 평가결과품의(040510)" xfId="31455"/>
    <cellStyle name="통_사전회의(1208)_새벽시장5_최신-SQ인증업체현황1343사(03년평가완료031229수정)_용접업종 평가결과품의(040510)(1)" xfId="31456"/>
    <cellStyle name="통_사전회의(1208)_새벽시장5_최신-SQ인증업체현황1343사(03년평가완료031229수정)_주단조용접업종 평가결과품의(040510)(1)" xfId="31457"/>
    <cellStyle name="통_사전회의(1208)_새벽시장7" xfId="31458"/>
    <cellStyle name="통_사전회의(1208)_새벽시장7_도금 열처리 주단조 평가품의(040329)" xfId="31459"/>
    <cellStyle name="통_사전회의(1208)_새벽시장7_도금 열처리 주단조 평가품의(040329)_도금 열처리 주단조 평가품의(040329)" xfId="31460"/>
    <cellStyle name="통_사전회의(1208)_새벽시장7_도금 열처리 주단조 평가품의(040329)업체" xfId="31461"/>
    <cellStyle name="통_사전회의(1208)_새벽시장7_열처리결과품의(031017)개발" xfId="31462"/>
    <cellStyle name="통_사전회의(1208)_새벽시장7_열처리결과품의(031017)개발_도금 열처리 주단조 평가품의(040329)" xfId="31463"/>
    <cellStyle name="통_사전회의(1208)_새벽시장7_용접업종 평가결과품의(040510)" xfId="31464"/>
    <cellStyle name="통_사전회의(1208)_새벽시장7_용접업종 평가결과품의(040510)_용접업종 평가결과품의(040510)" xfId="31465"/>
    <cellStyle name="통_사전회의(1208)_새벽시장7_용접업종 평가결과품의(040510)_용접업종 평가결과품의(040510)(1)" xfId="31466"/>
    <cellStyle name="통_사전회의(1208)_새벽시장7_용접업종 평가결과품의(040510)_주단조용접업종 평가결과품의(040510)(1)" xfId="31467"/>
    <cellStyle name="통_사전회의(1208)_새벽시장7_주단조 업종 평가결과품의(040407)" xfId="31468"/>
    <cellStyle name="통_사전회의(1208)_새벽시장7_주단조 업종 평가결과품의(040407)_용접업종 평가결과품의(040510)" xfId="31469"/>
    <cellStyle name="통_사전회의(1208)_새벽시장7_주단조 업종 평가결과품의(040407)_용접업종 평가결과품의(040510)(1)" xfId="31470"/>
    <cellStyle name="통_사전회의(1208)_새벽시장7_주단조 업종 평가결과품의(040407)_주단조용접업종 평가결과품의(040510)(1)" xfId="31471"/>
    <cellStyle name="통_사전회의(1208)_새벽시장7_주단조 업종 평가결과품의(040416)(1)" xfId="31472"/>
    <cellStyle name="통_사전회의(1208)_새벽시장7_주단조 업종 평가결과품의(040416)(1)_용접업종 평가결과품의(040510)" xfId="31473"/>
    <cellStyle name="통_사전회의(1208)_새벽시장7_주단조 업종 평가결과품의(040416)(1)_용접업종 평가결과품의(040510)(1)" xfId="31474"/>
    <cellStyle name="통_사전회의(1208)_새벽시장7_주단조 업종 평가결과품의(040416)(1)_주단조용접업종 평가결과품의(040510)(1)" xfId="31475"/>
    <cellStyle name="통_사전회의(1208)_새벽시장7_최신-SQ인증업체현황1343사(03년평가완료031229수정)" xfId="31476"/>
    <cellStyle name="통_사전회의(1208)_새벽시장7_최신-SQ인증업체현황1343사(03년평가완료031229수정)_용접업종 평가결과품의(040510)" xfId="31477"/>
    <cellStyle name="통_사전회의(1208)_새벽시장7_최신-SQ인증업체현황1343사(03년평가완료031229수정)_용접업종 평가결과품의(040510)(1)" xfId="31478"/>
    <cellStyle name="통_사전회의(1208)_새벽시장7_최신-SQ인증업체현황1343사(03년평가완료031229수정)_주단조용접업종 평가결과품의(040510)(1)" xfId="31479"/>
    <cellStyle name="통_사전회의(1208)_새벽시장8.10xls" xfId="31480"/>
    <cellStyle name="통_사전회의(1208)_새벽시장8.10xls_도금 열처리 주단조 평가품의(040329)" xfId="31481"/>
    <cellStyle name="통_사전회의(1208)_새벽시장8.10xls_도금 열처리 주단조 평가품의(040329)_도금 열처리 주단조 평가품의(040329)" xfId="31482"/>
    <cellStyle name="통_사전회의(1208)_새벽시장8.10xls_도금 열처리 주단조 평가품의(040329)업체" xfId="31483"/>
    <cellStyle name="통_사전회의(1208)_새벽시장8.10xls_열처리결과품의(031017)개발" xfId="31484"/>
    <cellStyle name="통_사전회의(1208)_새벽시장8.10xls_열처리결과품의(031017)개발_도금 열처리 주단조 평가품의(040329)" xfId="31485"/>
    <cellStyle name="통_사전회의(1208)_새벽시장8.10xls_용접업종 평가결과품의(040510)" xfId="31486"/>
    <cellStyle name="통_사전회의(1208)_새벽시장8.10xls_용접업종 평가결과품의(040510)_용접업종 평가결과품의(040510)" xfId="31487"/>
    <cellStyle name="통_사전회의(1208)_새벽시장8.10xls_용접업종 평가결과품의(040510)_용접업종 평가결과품의(040510)(1)" xfId="31488"/>
    <cellStyle name="통_사전회의(1208)_새벽시장8.10xls_용접업종 평가결과품의(040510)_주단조용접업종 평가결과품의(040510)(1)" xfId="31489"/>
    <cellStyle name="통_사전회의(1208)_새벽시장8.10xls_주단조 업종 평가결과품의(040407)" xfId="31490"/>
    <cellStyle name="통_사전회의(1208)_새벽시장8.10xls_주단조 업종 평가결과품의(040407)_용접업종 평가결과품의(040510)" xfId="31491"/>
    <cellStyle name="통_사전회의(1208)_새벽시장8.10xls_주단조 업종 평가결과품의(040407)_용접업종 평가결과품의(040510)(1)" xfId="31492"/>
    <cellStyle name="통_사전회의(1208)_새벽시장8.10xls_주단조 업종 평가결과품의(040407)_주단조용접업종 평가결과품의(040510)(1)" xfId="31493"/>
    <cellStyle name="통_사전회의(1208)_새벽시장8.10xls_주단조 업종 평가결과품의(040416)(1)" xfId="31494"/>
    <cellStyle name="통_사전회의(1208)_새벽시장8.10xls_주단조 업종 평가결과품의(040416)(1)_용접업종 평가결과품의(040510)" xfId="31495"/>
    <cellStyle name="통_사전회의(1208)_새벽시장8.10xls_주단조 업종 평가결과품의(040416)(1)_용접업종 평가결과품의(040510)(1)" xfId="31496"/>
    <cellStyle name="통_사전회의(1208)_새벽시장8.10xls_주단조 업종 평가결과품의(040416)(1)_주단조용접업종 평가결과품의(040510)(1)" xfId="31497"/>
    <cellStyle name="통_사전회의(1208)_새벽시장8.10xls_최신-SQ인증업체현황1343사(03년평가완료031229수정)" xfId="31498"/>
    <cellStyle name="통_사전회의(1208)_새벽시장8.10xls_최신-SQ인증업체현황1343사(03년평가완료031229수정)_용접업종 평가결과품의(040510)" xfId="31499"/>
    <cellStyle name="통_사전회의(1208)_새벽시장8.10xls_최신-SQ인증업체현황1343사(03년평가완료031229수정)_용접업종 평가결과품의(040510)(1)" xfId="31500"/>
    <cellStyle name="통_사전회의(1208)_새벽시장8.10xls_최신-SQ인증업체현황1343사(03년평가완료031229수정)_주단조용접업종 평가결과품의(040510)(1)" xfId="31501"/>
    <cellStyle name="통_사전회의(1208)_새벽시장8.26xls" xfId="31502"/>
    <cellStyle name="통_사전회의(1208)_새벽시장8.26xls_도금 열처리 주단조 평가품의(040329)" xfId="31503"/>
    <cellStyle name="통_사전회의(1208)_새벽시장8.26xls_도금 열처리 주단조 평가품의(040329)_도금 열처리 주단조 평가품의(040329)" xfId="31504"/>
    <cellStyle name="통_사전회의(1208)_새벽시장8.26xls_도금 열처리 주단조 평가품의(040329)업체" xfId="31505"/>
    <cellStyle name="통_사전회의(1208)_새벽시장8.26xls_열처리결과품의(031017)개발" xfId="31506"/>
    <cellStyle name="통_사전회의(1208)_새벽시장8.26xls_열처리결과품의(031017)개발_도금 열처리 주단조 평가품의(040329)" xfId="31507"/>
    <cellStyle name="통_사전회의(1208)_새벽시장8.26xls_용접업종 평가결과품의(040510)" xfId="31508"/>
    <cellStyle name="통_사전회의(1208)_새벽시장8.26xls_용접업종 평가결과품의(040510)_용접업종 평가결과품의(040510)" xfId="31509"/>
    <cellStyle name="통_사전회의(1208)_새벽시장8.26xls_용접업종 평가결과품의(040510)_용접업종 평가결과품의(040510)(1)" xfId="31510"/>
    <cellStyle name="통_사전회의(1208)_새벽시장8.26xls_용접업종 평가결과품의(040510)_주단조용접업종 평가결과품의(040510)(1)" xfId="31511"/>
    <cellStyle name="통_사전회의(1208)_새벽시장8.26xls_주단조 업종 평가결과품의(040407)" xfId="31512"/>
    <cellStyle name="통_사전회의(1208)_새벽시장8.26xls_주단조 업종 평가결과품의(040407)_용접업종 평가결과품의(040510)" xfId="31513"/>
    <cellStyle name="통_사전회의(1208)_새벽시장8.26xls_주단조 업종 평가결과품의(040407)_용접업종 평가결과품의(040510)(1)" xfId="31514"/>
    <cellStyle name="통_사전회의(1208)_새벽시장8.26xls_주단조 업종 평가결과품의(040407)_주단조용접업종 평가결과품의(040510)(1)" xfId="31515"/>
    <cellStyle name="통_사전회의(1208)_새벽시장8.26xls_주단조 업종 평가결과품의(040416)(1)" xfId="31516"/>
    <cellStyle name="통_사전회의(1208)_새벽시장8.26xls_주단조 업종 평가결과품의(040416)(1)_용접업종 평가결과품의(040510)" xfId="31517"/>
    <cellStyle name="통_사전회의(1208)_새벽시장8.26xls_주단조 업종 평가결과품의(040416)(1)_용접업종 평가결과품의(040510)(1)" xfId="31518"/>
    <cellStyle name="통_사전회의(1208)_새벽시장8.26xls_주단조 업종 평가결과품의(040416)(1)_주단조용접업종 평가결과품의(040510)(1)" xfId="31519"/>
    <cellStyle name="통_사전회의(1208)_새벽시장8.26xls_최신-SQ인증업체현황1343사(03년평가완료031229수정)" xfId="31520"/>
    <cellStyle name="통_사전회의(1208)_새벽시장8.26xls_최신-SQ인증업체현황1343사(03년평가완료031229수정)_용접업종 평가결과품의(040510)" xfId="31521"/>
    <cellStyle name="통_사전회의(1208)_새벽시장8.26xls_최신-SQ인증업체현황1343사(03년평가완료031229수정)_용접업종 평가결과품의(040510)(1)" xfId="31522"/>
    <cellStyle name="통_사전회의(1208)_새벽시장8.26xls_최신-SQ인증업체현황1343사(03년평가완료031229수정)_주단조용접업종 평가결과품의(040510)(1)" xfId="31523"/>
    <cellStyle name="통_사전회의(1208)_새벽시장9.16" xfId="31524"/>
    <cellStyle name="통_사전회의(1208)_새벽시장9.16_도금 열처리 주단조 평가품의(040329)" xfId="31525"/>
    <cellStyle name="통_사전회의(1208)_새벽시장9.16_도금 열처리 주단조 평가품의(040329)_도금 열처리 주단조 평가품의(040329)" xfId="31526"/>
    <cellStyle name="통_사전회의(1208)_새벽시장9.16_도금 열처리 주단조 평가품의(040329)업체" xfId="31527"/>
    <cellStyle name="통_사전회의(1208)_새벽시장9.16_열처리결과품의(031017)개발" xfId="31528"/>
    <cellStyle name="통_사전회의(1208)_새벽시장9.16_열처리결과품의(031017)개발_도금 열처리 주단조 평가품의(040329)" xfId="31529"/>
    <cellStyle name="통_사전회의(1208)_새벽시장9.16_용접업종 평가결과품의(040510)" xfId="31530"/>
    <cellStyle name="통_사전회의(1208)_새벽시장9.16_용접업종 평가결과품의(040510)_용접업종 평가결과품의(040510)" xfId="31531"/>
    <cellStyle name="통_사전회의(1208)_새벽시장9.16_용접업종 평가결과품의(040510)_용접업종 평가결과품의(040510)(1)" xfId="31532"/>
    <cellStyle name="통_사전회의(1208)_새벽시장9.16_용접업종 평가결과품의(040510)_주단조용접업종 평가결과품의(040510)(1)" xfId="31533"/>
    <cellStyle name="통_사전회의(1208)_새벽시장9.16_주단조 업종 평가결과품의(040407)" xfId="31534"/>
    <cellStyle name="통_사전회의(1208)_새벽시장9.16_주단조 업종 평가결과품의(040407)_용접업종 평가결과품의(040510)" xfId="31535"/>
    <cellStyle name="통_사전회의(1208)_새벽시장9.16_주단조 업종 평가결과품의(040407)_용접업종 평가결과품의(040510)(1)" xfId="31536"/>
    <cellStyle name="통_사전회의(1208)_새벽시장9.16_주단조 업종 평가결과품의(040407)_주단조용접업종 평가결과품의(040510)(1)" xfId="31537"/>
    <cellStyle name="통_사전회의(1208)_새벽시장9.16_주단조 업종 평가결과품의(040416)(1)" xfId="31538"/>
    <cellStyle name="통_사전회의(1208)_새벽시장9.16_주단조 업종 평가결과품의(040416)(1)_용접업종 평가결과품의(040510)" xfId="31539"/>
    <cellStyle name="통_사전회의(1208)_새벽시장9.16_주단조 업종 평가결과품의(040416)(1)_용접업종 평가결과품의(040510)(1)" xfId="31540"/>
    <cellStyle name="통_사전회의(1208)_새벽시장9.16_주단조 업종 평가결과품의(040416)(1)_주단조용접업종 평가결과품의(040510)(1)" xfId="31541"/>
    <cellStyle name="통_사전회의(1208)_새벽시장9.16_최신-SQ인증업체현황1343사(03년평가완료031229수정)" xfId="31542"/>
    <cellStyle name="통_사전회의(1208)_새벽시장9.16_최신-SQ인증업체현황1343사(03년평가완료031229수정)_용접업종 평가결과품의(040510)" xfId="31543"/>
    <cellStyle name="통_사전회의(1208)_새벽시장9.16_최신-SQ인증업체현황1343사(03년평가완료031229수정)_용접업종 평가결과품의(040510)(1)" xfId="31544"/>
    <cellStyle name="통_사전회의(1208)_새벽시장9.16_최신-SQ인증업체현황1343사(03년평가완료031229수정)_주단조용접업종 평가결과품의(040510)(1)" xfId="31545"/>
    <cellStyle name="통_사전회의(1208)_열처리결과품의(031017)개발" xfId="31546"/>
    <cellStyle name="통_사전회의(1208)_열처리결과품의(031017)개발_도금 열처리 주단조 평가품의(040329)" xfId="31547"/>
    <cellStyle name="통_사전회의(1208)_용접업종 평가결과품의(040510)" xfId="31548"/>
    <cellStyle name="통_사전회의(1208)_용접업종 평가결과품의(040510)_용접업종 평가결과품의(040510)" xfId="31549"/>
    <cellStyle name="통_사전회의(1208)_용접업종 평가결과품의(040510)_용접업종 평가결과품의(040510)(1)" xfId="31550"/>
    <cellStyle name="통_사전회의(1208)_용접업종 평가결과품의(040510)_주단조용접업종 평가결과품의(040510)(1)" xfId="31551"/>
    <cellStyle name="통_사전회의(1208)_주단조 업종 평가결과품의(040407)" xfId="31552"/>
    <cellStyle name="통_사전회의(1208)_주단조 업종 평가결과품의(040407)_용접업종 평가결과품의(040510)" xfId="31553"/>
    <cellStyle name="통_사전회의(1208)_주단조 업종 평가결과품의(040407)_용접업종 평가결과품의(040510)(1)" xfId="31554"/>
    <cellStyle name="통_사전회의(1208)_주단조 업종 평가결과품의(040407)_주단조용접업종 평가결과품의(040510)(1)" xfId="31555"/>
    <cellStyle name="통_사전회의(1208)_주단조 업종 평가결과품의(040416)(1)" xfId="31556"/>
    <cellStyle name="통_사전회의(1208)_주단조 업종 평가결과품의(040416)(1)_용접업종 평가결과품의(040510)" xfId="31557"/>
    <cellStyle name="통_사전회의(1208)_주단조 업종 평가결과품의(040416)(1)_용접업종 평가결과품의(040510)(1)" xfId="31558"/>
    <cellStyle name="통_사전회의(1208)_주단조 업종 평가결과품의(040416)(1)_주단조용접업종 평가결과품의(040510)(1)" xfId="31559"/>
    <cellStyle name="통_사전회의(1208)_최신-SQ인증업체현황1343사(03년평가완료031229수정)" xfId="31560"/>
    <cellStyle name="통_사전회의(1208)_최신-SQ인증업체현황1343사(03년평가완료031229수정)_용접업종 평가결과품의(040510)" xfId="31561"/>
    <cellStyle name="통_사전회의(1208)_최신-SQ인증업체현황1343사(03년평가완료031229수정)_용접업종 평가결과품의(040510)(1)" xfId="31562"/>
    <cellStyle name="통_사전회의(1208)_최신-SQ인증업체현황1343사(03년평가완료031229수정)_주단조용접업종 평가결과품의(040510)(1)" xfId="31563"/>
    <cellStyle name="통_새벽시장1" xfId="31564"/>
    <cellStyle name="통_새벽시장1_도금 열처리 주단조 평가품의(040329)" xfId="31565"/>
    <cellStyle name="통_새벽시장1_도금 열처리 주단조 평가품의(040329)_도금 열처리 주단조 평가품의(040329)" xfId="31566"/>
    <cellStyle name="통_새벽시장1_도금 열처리 주단조 평가품의(040329)업체" xfId="31567"/>
    <cellStyle name="통_새벽시장1_열처리결과품의(031017)개발" xfId="31568"/>
    <cellStyle name="통_새벽시장1_열처리결과품의(031017)개발_도금 열처리 주단조 평가품의(040329)" xfId="31569"/>
    <cellStyle name="통_새벽시장1_용접업종 평가결과품의(040510)" xfId="31570"/>
    <cellStyle name="통_새벽시장1_용접업종 평가결과품의(040510)_용접업종 평가결과품의(040510)" xfId="31571"/>
    <cellStyle name="통_새벽시장1_용접업종 평가결과품의(040510)_용접업종 평가결과품의(040510)(1)" xfId="31572"/>
    <cellStyle name="통_새벽시장1_용접업종 평가결과품의(040510)_주단조용접업종 평가결과품의(040510)(1)" xfId="31573"/>
    <cellStyle name="통_새벽시장1_주단조 업종 평가결과품의(040407)" xfId="31574"/>
    <cellStyle name="통_새벽시장1_주단조 업종 평가결과품의(040407)_용접업종 평가결과품의(040510)" xfId="31575"/>
    <cellStyle name="통_새벽시장1_주단조 업종 평가결과품의(040407)_용접업종 평가결과품의(040510)(1)" xfId="31576"/>
    <cellStyle name="통_새벽시장1_주단조 업종 평가결과품의(040407)_주단조용접업종 평가결과품의(040510)(1)" xfId="31577"/>
    <cellStyle name="통_새벽시장1_주단조 업종 평가결과품의(040416)(1)" xfId="31578"/>
    <cellStyle name="통_새벽시장1_주단조 업종 평가결과품의(040416)(1)_용접업종 평가결과품의(040510)" xfId="31579"/>
    <cellStyle name="통_새벽시장1_주단조 업종 평가결과품의(040416)(1)_용접업종 평가결과품의(040510)(1)" xfId="31580"/>
    <cellStyle name="통_새벽시장1_주단조 업종 평가결과품의(040416)(1)_주단조용접업종 평가결과품의(040510)(1)" xfId="31581"/>
    <cellStyle name="통_새벽시장1_최신-SQ인증업체현황1343사(03년평가완료031229수정)" xfId="31582"/>
    <cellStyle name="통_새벽시장1_최신-SQ인증업체현황1343사(03년평가완료031229수정)_용접업종 평가결과품의(040510)" xfId="31583"/>
    <cellStyle name="통_새벽시장1_최신-SQ인증업체현황1343사(03년평가완료031229수정)_용접업종 평가결과품의(040510)(1)" xfId="31584"/>
    <cellStyle name="통_새벽시장1_최신-SQ인증업체현황1343사(03년평가완료031229수정)_주단조용접업종 평가결과품의(040510)(1)" xfId="31585"/>
    <cellStyle name="통_새벽시장3" xfId="31586"/>
    <cellStyle name="통_새벽시장3_도금 열처리 주단조 평가품의(040329)" xfId="31587"/>
    <cellStyle name="통_새벽시장3_도금 열처리 주단조 평가품의(040329)_도금 열처리 주단조 평가품의(040329)" xfId="31588"/>
    <cellStyle name="통_새벽시장3_도금 열처리 주단조 평가품의(040329)업체" xfId="31589"/>
    <cellStyle name="통_새벽시장3_열처리결과품의(031017)개발" xfId="31590"/>
    <cellStyle name="통_새벽시장3_열처리결과품의(031017)개발_도금 열처리 주단조 평가품의(040329)" xfId="31591"/>
    <cellStyle name="통_새벽시장3_용접업종 평가결과품의(040510)" xfId="31592"/>
    <cellStyle name="통_새벽시장3_용접업종 평가결과품의(040510)_용접업종 평가결과품의(040510)" xfId="31593"/>
    <cellStyle name="통_새벽시장3_용접업종 평가결과품의(040510)_용접업종 평가결과품의(040510)(1)" xfId="31594"/>
    <cellStyle name="통_새벽시장3_용접업종 평가결과품의(040510)_주단조용접업종 평가결과품의(040510)(1)" xfId="31595"/>
    <cellStyle name="통_새벽시장3_주단조 업종 평가결과품의(040407)" xfId="31596"/>
    <cellStyle name="통_새벽시장3_주단조 업종 평가결과품의(040407)_용접업종 평가결과품의(040510)" xfId="31597"/>
    <cellStyle name="통_새벽시장3_주단조 업종 평가결과품의(040407)_용접업종 평가결과품의(040510)(1)" xfId="31598"/>
    <cellStyle name="통_새벽시장3_주단조 업종 평가결과품의(040407)_주단조용접업종 평가결과품의(040510)(1)" xfId="31599"/>
    <cellStyle name="통_새벽시장3_주단조 업종 평가결과품의(040416)(1)" xfId="31600"/>
    <cellStyle name="통_새벽시장3_주단조 업종 평가결과품의(040416)(1)_용접업종 평가결과품의(040510)" xfId="31601"/>
    <cellStyle name="통_새벽시장3_주단조 업종 평가결과품의(040416)(1)_용접업종 평가결과품의(040510)(1)" xfId="31602"/>
    <cellStyle name="통_새벽시장3_주단조 업종 평가결과품의(040416)(1)_주단조용접업종 평가결과품의(040510)(1)" xfId="31603"/>
    <cellStyle name="통_새벽시장3_최신-SQ인증업체현황1343사(03년평가완료031229수정)" xfId="31604"/>
    <cellStyle name="통_새벽시장3_최신-SQ인증업체현황1343사(03년평가완료031229수정)_용접업종 평가결과품의(040510)" xfId="31605"/>
    <cellStyle name="통_새벽시장3_최신-SQ인증업체현황1343사(03년평가완료031229수정)_용접업종 평가결과품의(040510)(1)" xfId="31606"/>
    <cellStyle name="통_새벽시장3_최신-SQ인증업체현황1343사(03년평가완료031229수정)_주단조용접업종 평가결과품의(040510)(1)" xfId="31607"/>
    <cellStyle name="통_새벽시장5" xfId="31608"/>
    <cellStyle name="통_새벽시장5_도금 열처리 주단조 평가품의(040329)" xfId="31609"/>
    <cellStyle name="통_새벽시장5_도금 열처리 주단조 평가품의(040329)_도금 열처리 주단조 평가품의(040329)" xfId="31610"/>
    <cellStyle name="통_새벽시장5_도금 열처리 주단조 평가품의(040329)업체" xfId="31611"/>
    <cellStyle name="통_새벽시장5_열처리결과품의(031017)개발" xfId="31612"/>
    <cellStyle name="통_새벽시장5_열처리결과품의(031017)개발_도금 열처리 주단조 평가품의(040329)" xfId="31613"/>
    <cellStyle name="통_새벽시장5_용접업종 평가결과품의(040510)" xfId="31614"/>
    <cellStyle name="통_새벽시장5_용접업종 평가결과품의(040510)_용접업종 평가결과품의(040510)" xfId="31615"/>
    <cellStyle name="통_새벽시장5_용접업종 평가결과품의(040510)_용접업종 평가결과품의(040510)(1)" xfId="31616"/>
    <cellStyle name="통_새벽시장5_용접업종 평가결과품의(040510)_주단조용접업종 평가결과품의(040510)(1)" xfId="31617"/>
    <cellStyle name="통_새벽시장5_주단조 업종 평가결과품의(040407)" xfId="31618"/>
    <cellStyle name="통_새벽시장5_주단조 업종 평가결과품의(040407)_용접업종 평가결과품의(040510)" xfId="31619"/>
    <cellStyle name="통_새벽시장5_주단조 업종 평가결과품의(040407)_용접업종 평가결과품의(040510)(1)" xfId="31620"/>
    <cellStyle name="통_새벽시장5_주단조 업종 평가결과품의(040407)_주단조용접업종 평가결과품의(040510)(1)" xfId="31621"/>
    <cellStyle name="통_새벽시장5_주단조 업종 평가결과품의(040416)(1)" xfId="31622"/>
    <cellStyle name="통_새벽시장5_주단조 업종 평가결과품의(040416)(1)_용접업종 평가결과품의(040510)" xfId="31623"/>
    <cellStyle name="통_새벽시장5_주단조 업종 평가결과품의(040416)(1)_용접업종 평가결과품의(040510)(1)" xfId="31624"/>
    <cellStyle name="통_새벽시장5_주단조 업종 평가결과품의(040416)(1)_주단조용접업종 평가결과품의(040510)(1)" xfId="31625"/>
    <cellStyle name="통_새벽시장5_최신-SQ인증업체현황1343사(03년평가완료031229수정)" xfId="31626"/>
    <cellStyle name="통_새벽시장5_최신-SQ인증업체현황1343사(03년평가완료031229수정)_용접업종 평가결과품의(040510)" xfId="31627"/>
    <cellStyle name="통_새벽시장5_최신-SQ인증업체현황1343사(03년평가완료031229수정)_용접업종 평가결과품의(040510)(1)" xfId="31628"/>
    <cellStyle name="통_새벽시장5_최신-SQ인증업체현황1343사(03년평가완료031229수정)_주단조용접업종 평가결과품의(040510)(1)" xfId="31629"/>
    <cellStyle name="통_새벽시장7" xfId="31630"/>
    <cellStyle name="통_새벽시장7_도금 열처리 주단조 평가품의(040329)" xfId="31631"/>
    <cellStyle name="통_새벽시장7_도금 열처리 주단조 평가품의(040329)_도금 열처리 주단조 평가품의(040329)" xfId="31632"/>
    <cellStyle name="통_새벽시장7_도금 열처리 주단조 평가품의(040329)업체" xfId="31633"/>
    <cellStyle name="통_새벽시장7_열처리결과품의(031017)개발" xfId="31634"/>
    <cellStyle name="통_새벽시장7_열처리결과품의(031017)개발_도금 열처리 주단조 평가품의(040329)" xfId="31635"/>
    <cellStyle name="통_새벽시장7_용접업종 평가결과품의(040510)" xfId="31636"/>
    <cellStyle name="통_새벽시장7_용접업종 평가결과품의(040510)_용접업종 평가결과품의(040510)" xfId="31637"/>
    <cellStyle name="통_새벽시장7_용접업종 평가결과품의(040510)_용접업종 평가결과품의(040510)(1)" xfId="31638"/>
    <cellStyle name="통_새벽시장7_용접업종 평가결과품의(040510)_주단조용접업종 평가결과품의(040510)(1)" xfId="31639"/>
    <cellStyle name="통_새벽시장7_주단조 업종 평가결과품의(040407)" xfId="31640"/>
    <cellStyle name="통_새벽시장7_주단조 업종 평가결과품의(040407)_용접업종 평가결과품의(040510)" xfId="31641"/>
    <cellStyle name="통_새벽시장7_주단조 업종 평가결과품의(040407)_용접업종 평가결과품의(040510)(1)" xfId="31642"/>
    <cellStyle name="통_새벽시장7_주단조 업종 평가결과품의(040407)_주단조용접업종 평가결과품의(040510)(1)" xfId="31643"/>
    <cellStyle name="통_새벽시장7_주단조 업종 평가결과품의(040416)(1)" xfId="31644"/>
    <cellStyle name="통_새벽시장7_주단조 업종 평가결과품의(040416)(1)_용접업종 평가결과품의(040510)" xfId="31645"/>
    <cellStyle name="통_새벽시장7_주단조 업종 평가결과품의(040416)(1)_용접업종 평가결과품의(040510)(1)" xfId="31646"/>
    <cellStyle name="통_새벽시장7_주단조 업종 평가결과품의(040416)(1)_주단조용접업종 평가결과품의(040510)(1)" xfId="31647"/>
    <cellStyle name="통_새벽시장7_최신-SQ인증업체현황1343사(03년평가완료031229수정)" xfId="31648"/>
    <cellStyle name="통_새벽시장7_최신-SQ인증업체현황1343사(03년평가완료031229수정)_용접업종 평가결과품의(040510)" xfId="31649"/>
    <cellStyle name="통_새벽시장7_최신-SQ인증업체현황1343사(03년평가완료031229수정)_용접업종 평가결과품의(040510)(1)" xfId="31650"/>
    <cellStyle name="통_새벽시장7_최신-SQ인증업체현황1343사(03년평가완료031229수정)_주단조용접업종 평가결과품의(040510)(1)" xfId="31651"/>
    <cellStyle name="통_새벽시장8.10xls" xfId="31652"/>
    <cellStyle name="통_새벽시장8.10xls_도금 열처리 주단조 평가품의(040329)" xfId="31653"/>
    <cellStyle name="통_새벽시장8.10xls_도금 열처리 주단조 평가품의(040329)_도금 열처리 주단조 평가품의(040329)" xfId="31654"/>
    <cellStyle name="통_새벽시장8.10xls_도금 열처리 주단조 평가품의(040329)업체" xfId="31655"/>
    <cellStyle name="통_새벽시장8.10xls_열처리결과품의(031017)개발" xfId="31656"/>
    <cellStyle name="통_새벽시장8.10xls_열처리결과품의(031017)개발_도금 열처리 주단조 평가품의(040329)" xfId="31657"/>
    <cellStyle name="통_새벽시장8.10xls_용접업종 평가결과품의(040510)" xfId="31658"/>
    <cellStyle name="통_새벽시장8.10xls_용접업종 평가결과품의(040510)_용접업종 평가결과품의(040510)" xfId="31659"/>
    <cellStyle name="통_새벽시장8.10xls_용접업종 평가결과품의(040510)_용접업종 평가결과품의(040510)(1)" xfId="31660"/>
    <cellStyle name="통_새벽시장8.10xls_용접업종 평가결과품의(040510)_주단조용접업종 평가결과품의(040510)(1)" xfId="31661"/>
    <cellStyle name="통_새벽시장8.10xls_주단조 업종 평가결과품의(040407)" xfId="31662"/>
    <cellStyle name="통_새벽시장8.10xls_주단조 업종 평가결과품의(040407)_용접업종 평가결과품의(040510)" xfId="31663"/>
    <cellStyle name="통_새벽시장8.10xls_주단조 업종 평가결과품의(040407)_용접업종 평가결과품의(040510)(1)" xfId="31664"/>
    <cellStyle name="통_새벽시장8.10xls_주단조 업종 평가결과품의(040407)_주단조용접업종 평가결과품의(040510)(1)" xfId="31665"/>
    <cellStyle name="통_새벽시장8.10xls_주단조 업종 평가결과품의(040416)(1)" xfId="31666"/>
    <cellStyle name="통_새벽시장8.10xls_주단조 업종 평가결과품의(040416)(1)_용접업종 평가결과품의(040510)" xfId="31667"/>
    <cellStyle name="통_새벽시장8.10xls_주단조 업종 평가결과품의(040416)(1)_용접업종 평가결과품의(040510)(1)" xfId="31668"/>
    <cellStyle name="통_새벽시장8.10xls_주단조 업종 평가결과품의(040416)(1)_주단조용접업종 평가결과품의(040510)(1)" xfId="31669"/>
    <cellStyle name="통_새벽시장8.10xls_최신-SQ인증업체현황1343사(03년평가완료031229수정)" xfId="31670"/>
    <cellStyle name="통_새벽시장8.10xls_최신-SQ인증업체현황1343사(03년평가완료031229수정)_용접업종 평가결과품의(040510)" xfId="31671"/>
    <cellStyle name="통_새벽시장8.10xls_최신-SQ인증업체현황1343사(03년평가완료031229수정)_용접업종 평가결과품의(040510)(1)" xfId="31672"/>
    <cellStyle name="통_새벽시장8.10xls_최신-SQ인증업체현황1343사(03년평가완료031229수정)_주단조용접업종 평가결과품의(040510)(1)" xfId="31673"/>
    <cellStyle name="통_새벽시장8.26xls" xfId="31674"/>
    <cellStyle name="통_새벽시장8.26xls_도금 열처리 주단조 평가품의(040329)" xfId="31675"/>
    <cellStyle name="통_새벽시장8.26xls_도금 열처리 주단조 평가품의(040329)_도금 열처리 주단조 평가품의(040329)" xfId="31676"/>
    <cellStyle name="통_새벽시장8.26xls_도금 열처리 주단조 평가품의(040329)업체" xfId="31677"/>
    <cellStyle name="통_새벽시장8.26xls_열처리결과품의(031017)개발" xfId="31678"/>
    <cellStyle name="통_새벽시장8.26xls_열처리결과품의(031017)개발_도금 열처리 주단조 평가품의(040329)" xfId="31679"/>
    <cellStyle name="통_새벽시장8.26xls_용접업종 평가결과품의(040510)" xfId="31680"/>
    <cellStyle name="통_새벽시장8.26xls_용접업종 평가결과품의(040510)_용접업종 평가결과품의(040510)" xfId="31681"/>
    <cellStyle name="통_새벽시장8.26xls_용접업종 평가결과품의(040510)_용접업종 평가결과품의(040510)(1)" xfId="31682"/>
    <cellStyle name="통_새벽시장8.26xls_용접업종 평가결과품의(040510)_주단조용접업종 평가결과품의(040510)(1)" xfId="31683"/>
    <cellStyle name="통_새벽시장8.26xls_주단조 업종 평가결과품의(040407)" xfId="31684"/>
    <cellStyle name="통_새벽시장8.26xls_주단조 업종 평가결과품의(040407)_용접업종 평가결과품의(040510)" xfId="31685"/>
    <cellStyle name="통_새벽시장8.26xls_주단조 업종 평가결과품의(040407)_용접업종 평가결과품의(040510)(1)" xfId="31686"/>
    <cellStyle name="통_새벽시장8.26xls_주단조 업종 평가결과품의(040407)_주단조용접업종 평가결과품의(040510)(1)" xfId="31687"/>
    <cellStyle name="통_새벽시장8.26xls_주단조 업종 평가결과품의(040416)(1)" xfId="31688"/>
    <cellStyle name="통_새벽시장8.26xls_주단조 업종 평가결과품의(040416)(1)_용접업종 평가결과품의(040510)" xfId="31689"/>
    <cellStyle name="통_새벽시장8.26xls_주단조 업종 평가결과품의(040416)(1)_용접업종 평가결과품의(040510)(1)" xfId="31690"/>
    <cellStyle name="통_새벽시장8.26xls_주단조 업종 평가결과품의(040416)(1)_주단조용접업종 평가결과품의(040510)(1)" xfId="31691"/>
    <cellStyle name="통_새벽시장8.26xls_최신-SQ인증업체현황1343사(03년평가완료031229수정)" xfId="31692"/>
    <cellStyle name="통_새벽시장8.26xls_최신-SQ인증업체현황1343사(03년평가완료031229수정)_용접업종 평가결과품의(040510)" xfId="31693"/>
    <cellStyle name="통_새벽시장8.26xls_최신-SQ인증업체현황1343사(03년평가완료031229수정)_용접업종 평가결과품의(040510)(1)" xfId="31694"/>
    <cellStyle name="통_새벽시장8.26xls_최신-SQ인증업체현황1343사(03년평가완료031229수정)_주단조용접업종 평가결과품의(040510)(1)" xfId="31695"/>
    <cellStyle name="통_새벽시장9.16" xfId="31696"/>
    <cellStyle name="통_새벽시장9.16_도금 열처리 주단조 평가품의(040329)" xfId="31697"/>
    <cellStyle name="통_새벽시장9.16_도금 열처리 주단조 평가품의(040329)_도금 열처리 주단조 평가품의(040329)" xfId="31698"/>
    <cellStyle name="통_새벽시장9.16_도금 열처리 주단조 평가품의(040329)업체" xfId="31699"/>
    <cellStyle name="통_새벽시장9.16_열처리결과품의(031017)개발" xfId="31700"/>
    <cellStyle name="통_새벽시장9.16_열처리결과품의(031017)개발_도금 열처리 주단조 평가품의(040329)" xfId="31701"/>
    <cellStyle name="통_새벽시장9.16_용접업종 평가결과품의(040510)" xfId="31702"/>
    <cellStyle name="통_새벽시장9.16_용접업종 평가결과품의(040510)_용접업종 평가결과품의(040510)" xfId="31703"/>
    <cellStyle name="통_새벽시장9.16_용접업종 평가결과품의(040510)_용접업종 평가결과품의(040510)(1)" xfId="31704"/>
    <cellStyle name="통_새벽시장9.16_용접업종 평가결과품의(040510)_주단조용접업종 평가결과품의(040510)(1)" xfId="31705"/>
    <cellStyle name="통_새벽시장9.16_주단조 업종 평가결과품의(040407)" xfId="31706"/>
    <cellStyle name="통_새벽시장9.16_주단조 업종 평가결과품의(040407)_용접업종 평가결과품의(040510)" xfId="31707"/>
    <cellStyle name="통_새벽시장9.16_주단조 업종 평가결과품의(040407)_용접업종 평가결과품의(040510)(1)" xfId="31708"/>
    <cellStyle name="통_새벽시장9.16_주단조 업종 평가결과품의(040407)_주단조용접업종 평가결과품의(040510)(1)" xfId="31709"/>
    <cellStyle name="통_새벽시장9.16_주단조 업종 평가결과품의(040416)(1)" xfId="31710"/>
    <cellStyle name="통_새벽시장9.16_주단조 업종 평가결과품의(040416)(1)_용접업종 평가결과품의(040510)" xfId="31711"/>
    <cellStyle name="통_새벽시장9.16_주단조 업종 평가결과품의(040416)(1)_용접업종 평가결과품의(040510)(1)" xfId="31712"/>
    <cellStyle name="통_새벽시장9.16_주단조 업종 평가결과품의(040416)(1)_주단조용접업종 평가결과품의(040510)(1)" xfId="31713"/>
    <cellStyle name="통_새벽시장9.16_최신-SQ인증업체현황1343사(03년평가완료031229수정)" xfId="31714"/>
    <cellStyle name="통_새벽시장9.16_최신-SQ인증업체현황1343사(03년평가완료031229수정)_용접업종 평가결과품의(040510)" xfId="31715"/>
    <cellStyle name="통_새벽시장9.16_최신-SQ인증업체현황1343사(03년평가완료031229수정)_용접업종 평가결과품의(040510)(1)" xfId="31716"/>
    <cellStyle name="통_새벽시장9.16_최신-SQ인증업체현황1343사(03년평가완료031229수정)_주단조용접업종 평가결과품의(040510)(1)" xfId="31717"/>
    <cellStyle name="통_열처리결과품의(031017)개발" xfId="31718"/>
    <cellStyle name="통_열처리결과품의(031017)개발_도금 열처리 주단조 평가품의(040329)" xfId="31719"/>
    <cellStyle name="통_용접업종 평가결과품의(040510)" xfId="31720"/>
    <cellStyle name="통_용접업종 평가결과품의(040510)_용접업종 평가결과품의(040510)" xfId="31721"/>
    <cellStyle name="통_용접업종 평가결과품의(040510)_용접업종 평가결과품의(040510)(1)" xfId="31722"/>
    <cellStyle name="통_용접업종 평가결과품의(040510)_주단조용접업종 평가결과품의(040510)(1)" xfId="31723"/>
    <cellStyle name="통_주단조 업종 평가결과품의(040407)" xfId="31724"/>
    <cellStyle name="통_주단조 업종 평가결과품의(040407)_용접업종 평가결과품의(040510)" xfId="31725"/>
    <cellStyle name="통_주단조 업종 평가결과품의(040407)_용접업종 평가결과품의(040510)(1)" xfId="31726"/>
    <cellStyle name="통_주단조 업종 평가결과품의(040407)_주단조용접업종 평가결과품의(040510)(1)" xfId="31727"/>
    <cellStyle name="통_주단조 업종 평가결과품의(040416)(1)" xfId="31728"/>
    <cellStyle name="통_주단조 업종 평가결과품의(040416)(1)_용접업종 평가결과품의(040510)" xfId="31729"/>
    <cellStyle name="통_주단조 업종 평가결과품의(040416)(1)_용접업종 평가결과품의(040510)(1)" xfId="31730"/>
    <cellStyle name="통_주단조 업종 평가결과품의(040416)(1)_주단조용접업종 평가결과품의(040510)(1)" xfId="31731"/>
    <cellStyle name="통_최신-SQ인증업체현황1343사(03년평가완료031229수정)" xfId="31732"/>
    <cellStyle name="통_최신-SQ인증업체현황1343사(03년평가완료031229수정)_용접업종 평가결과품의(040510)" xfId="31733"/>
    <cellStyle name="통_최신-SQ인증업체현황1343사(03년평가완료031229수정)_용접업종 평가결과품의(040510)(1)" xfId="31734"/>
    <cellStyle name="통_최신-SQ인증업체현황1343사(03년평가완료031229수정)_주단조용접업종 평가결과품의(040510)(1)" xfId="31735"/>
    <cellStyle name="통_출장계획서" xfId="31736"/>
    <cellStyle name="통_출장계획서_ROTATION 유동" xfId="31737"/>
    <cellStyle name="통_출장계획서_ROTATION 유동_도금 열처리 주단조 평가품의(040329)" xfId="31738"/>
    <cellStyle name="통_출장계획서_ROTATION 유동_도금 열처리 주단조 평가품의(040329)_도금 열처리 주단조 평가품의(040329)" xfId="31739"/>
    <cellStyle name="통_출장계획서_ROTATION 유동_도금 열처리 주단조 평가품의(040329)업체" xfId="31740"/>
    <cellStyle name="통_출장계획서_ROTATION 유동_열처리결과품의(031017)개발" xfId="31741"/>
    <cellStyle name="통_출장계획서_ROTATION 유동_열처리결과품의(031017)개발_도금 열처리 주단조 평가품의(040329)" xfId="31742"/>
    <cellStyle name="통_출장계획서_ROTATION 유동_용접업종 평가결과품의(040510)" xfId="31743"/>
    <cellStyle name="통_출장계획서_ROTATION 유동_용접업종 평가결과품의(040510)_용접업종 평가결과품의(040510)" xfId="31744"/>
    <cellStyle name="통_출장계획서_ROTATION 유동_용접업종 평가결과품의(040510)_용접업종 평가결과품의(040510)(1)" xfId="31745"/>
    <cellStyle name="통_출장계획서_ROTATION 유동_용접업종 평가결과품의(040510)_주단조용접업종 평가결과품의(040510)(1)" xfId="31746"/>
    <cellStyle name="통_출장계획서_ROTATION 유동_주단조 업종 평가결과품의(040407)" xfId="31747"/>
    <cellStyle name="통_출장계획서_ROTATION 유동_주단조 업종 평가결과품의(040407)_용접업종 평가결과품의(040510)" xfId="31748"/>
    <cellStyle name="통_출장계획서_ROTATION 유동_주단조 업종 평가결과품의(040407)_용접업종 평가결과품의(040510)(1)" xfId="31749"/>
    <cellStyle name="통_출장계획서_ROTATION 유동_주단조 업종 평가결과품의(040407)_주단조용접업종 평가결과품의(040510)(1)" xfId="31750"/>
    <cellStyle name="통_출장계획서_ROTATION 유동_주단조 업종 평가결과품의(040416)(1)" xfId="31751"/>
    <cellStyle name="통_출장계획서_ROTATION 유동_주단조 업종 평가결과품의(040416)(1)_용접업종 평가결과품의(040510)" xfId="31752"/>
    <cellStyle name="통_출장계획서_ROTATION 유동_주단조 업종 평가결과품의(040416)(1)_용접업종 평가결과품의(040510)(1)" xfId="31753"/>
    <cellStyle name="통_출장계획서_ROTATION 유동_주단조 업종 평가결과품의(040416)(1)_주단조용접업종 평가결과품의(040510)(1)" xfId="31754"/>
    <cellStyle name="통_출장계획서_ROTATION 유동_최신-SQ인증업체현황1343사(03년평가완료031229수정)" xfId="31755"/>
    <cellStyle name="통_출장계획서_ROTATION 유동_최신-SQ인증업체현황1343사(03년평가완료031229수정)_용접업종 평가결과품의(040510)" xfId="31756"/>
    <cellStyle name="통_출장계획서_ROTATION 유동_최신-SQ인증업체현황1343사(03년평가완료031229수정)_용접업종 평가결과품의(040510)(1)" xfId="31757"/>
    <cellStyle name="통_출장계획서_ROTATION 유동_최신-SQ인증업체현황1343사(03년평가완료031229수정)_주단조용접업종 평가결과품의(040510)(1)" xfId="31758"/>
    <cellStyle name="통_출장계획서_SLIDE 폭" xfId="31759"/>
    <cellStyle name="통_출장계획서_SLIDE 폭_도금 열처리 주단조 평가품의(040329)" xfId="31760"/>
    <cellStyle name="통_출장계획서_SLIDE 폭_도금 열처리 주단조 평가품의(040329)_도금 열처리 주단조 평가품의(040329)" xfId="31761"/>
    <cellStyle name="통_출장계획서_SLIDE 폭_도금 열처리 주단조 평가품의(040329)업체" xfId="31762"/>
    <cellStyle name="통_출장계획서_SLIDE 폭_열처리결과품의(031017)개발" xfId="31763"/>
    <cellStyle name="통_출장계획서_SLIDE 폭_열처리결과품의(031017)개발_도금 열처리 주단조 평가품의(040329)" xfId="31764"/>
    <cellStyle name="통_출장계획서_SLIDE 폭_용접업종 평가결과품의(040510)" xfId="31765"/>
    <cellStyle name="통_출장계획서_SLIDE 폭_용접업종 평가결과품의(040510)_용접업종 평가결과품의(040510)" xfId="31766"/>
    <cellStyle name="통_출장계획서_SLIDE 폭_용접업종 평가결과품의(040510)_용접업종 평가결과품의(040510)(1)" xfId="31767"/>
    <cellStyle name="통_출장계획서_SLIDE 폭_용접업종 평가결과품의(040510)_주단조용접업종 평가결과품의(040510)(1)" xfId="31768"/>
    <cellStyle name="통_출장계획서_SLIDE 폭_주단조 업종 평가결과품의(040407)" xfId="31769"/>
    <cellStyle name="통_출장계획서_SLIDE 폭_주단조 업종 평가결과품의(040407)_용접업종 평가결과품의(040510)" xfId="31770"/>
    <cellStyle name="통_출장계획서_SLIDE 폭_주단조 업종 평가결과품의(040407)_용접업종 평가결과품의(040510)(1)" xfId="31771"/>
    <cellStyle name="통_출장계획서_SLIDE 폭_주단조 업종 평가결과품의(040407)_주단조용접업종 평가결과품의(040510)(1)" xfId="31772"/>
    <cellStyle name="통_출장계획서_SLIDE 폭_주단조 업종 평가결과품의(040416)(1)" xfId="31773"/>
    <cellStyle name="통_출장계획서_SLIDE 폭_주단조 업종 평가결과품의(040416)(1)_용접업종 평가결과품의(040510)" xfId="31774"/>
    <cellStyle name="통_출장계획서_SLIDE 폭_주단조 업종 평가결과품의(040416)(1)_용접업종 평가결과품의(040510)(1)" xfId="31775"/>
    <cellStyle name="통_출장계획서_SLIDE 폭_주단조 업종 평가결과품의(040416)(1)_주단조용접업종 평가결과품의(040510)(1)" xfId="31776"/>
    <cellStyle name="통_출장계획서_SLIDE 폭_최신-SQ인증업체현황1343사(03년평가완료031229수정)" xfId="31777"/>
    <cellStyle name="통_출장계획서_SLIDE 폭_최신-SQ인증업체현황1343사(03년평가완료031229수정)_용접업종 평가결과품의(040510)" xfId="31778"/>
    <cellStyle name="통_출장계획서_SLIDE 폭_최신-SQ인증업체현황1343사(03년평가완료031229수정)_용접업종 평가결과품의(040510)(1)" xfId="31779"/>
    <cellStyle name="통_출장계획서_SLIDE 폭_최신-SQ인증업체현황1343사(03년평가완료031229수정)_주단조용접업종 평가결과품의(040510)(1)" xfId="31780"/>
    <cellStyle name="통_출장계획서_도금 열처리 주단조 평가품의(040329)" xfId="31781"/>
    <cellStyle name="통_출장계획서_도금 열처리 주단조 평가품의(040329)_도금 열처리 주단조 평가품의(040329)" xfId="31782"/>
    <cellStyle name="통_출장계획서_도금 열처리 주단조 평가품의(040329)업체" xfId="31783"/>
    <cellStyle name="통_출장계획서_새벽시장1" xfId="31784"/>
    <cellStyle name="통_출장계획서_새벽시장1_도금 열처리 주단조 평가품의(040329)" xfId="31785"/>
    <cellStyle name="통_출장계획서_새벽시장1_도금 열처리 주단조 평가품의(040329)_도금 열처리 주단조 평가품의(040329)" xfId="31786"/>
    <cellStyle name="통_출장계획서_새벽시장1_도금 열처리 주단조 평가품의(040329)업체" xfId="31787"/>
    <cellStyle name="통_출장계획서_새벽시장1_열처리결과품의(031017)개발" xfId="31788"/>
    <cellStyle name="통_출장계획서_새벽시장1_열처리결과품의(031017)개발_도금 열처리 주단조 평가품의(040329)" xfId="31789"/>
    <cellStyle name="통_출장계획서_새벽시장1_용접업종 평가결과품의(040510)" xfId="31790"/>
    <cellStyle name="통_출장계획서_새벽시장1_용접업종 평가결과품의(040510)_용접업종 평가결과품의(040510)" xfId="31791"/>
    <cellStyle name="통_출장계획서_새벽시장1_용접업종 평가결과품의(040510)_용접업종 평가결과품의(040510)(1)" xfId="31792"/>
    <cellStyle name="통_출장계획서_새벽시장1_용접업종 평가결과품의(040510)_주단조용접업종 평가결과품의(040510)(1)" xfId="31793"/>
    <cellStyle name="통_출장계획서_새벽시장1_주단조 업종 평가결과품의(040407)" xfId="31794"/>
    <cellStyle name="통_출장계획서_새벽시장1_주단조 업종 평가결과품의(040407)_용접업종 평가결과품의(040510)" xfId="31795"/>
    <cellStyle name="통_출장계획서_새벽시장1_주단조 업종 평가결과품의(040407)_용접업종 평가결과품의(040510)(1)" xfId="31796"/>
    <cellStyle name="통_출장계획서_새벽시장1_주단조 업종 평가결과품의(040407)_주단조용접업종 평가결과품의(040510)(1)" xfId="31797"/>
    <cellStyle name="통_출장계획서_새벽시장1_주단조 업종 평가결과품의(040416)(1)" xfId="31798"/>
    <cellStyle name="통_출장계획서_새벽시장1_주단조 업종 평가결과품의(040416)(1)_용접업종 평가결과품의(040510)" xfId="31799"/>
    <cellStyle name="통_출장계획서_새벽시장1_주단조 업종 평가결과품의(040416)(1)_용접업종 평가결과품의(040510)(1)" xfId="31800"/>
    <cellStyle name="통_출장계획서_새벽시장1_주단조 업종 평가결과품의(040416)(1)_주단조용접업종 평가결과품의(040510)(1)" xfId="31801"/>
    <cellStyle name="통_출장계획서_새벽시장1_최신-SQ인증업체현황1343사(03년평가완료031229수정)" xfId="31802"/>
    <cellStyle name="통_출장계획서_새벽시장1_최신-SQ인증업체현황1343사(03년평가완료031229수정)_용접업종 평가결과품의(040510)" xfId="31803"/>
    <cellStyle name="통_출장계획서_새벽시장1_최신-SQ인증업체현황1343사(03년평가완료031229수정)_용접업종 평가결과품의(040510)(1)" xfId="31804"/>
    <cellStyle name="통_출장계획서_새벽시장1_최신-SQ인증업체현황1343사(03년평가완료031229수정)_주단조용접업종 평가결과품의(040510)(1)" xfId="31805"/>
    <cellStyle name="통_출장계획서_새벽시장3" xfId="31806"/>
    <cellStyle name="통_출장계획서_새벽시장3_도금 열처리 주단조 평가품의(040329)" xfId="31807"/>
    <cellStyle name="통_출장계획서_새벽시장3_도금 열처리 주단조 평가품의(040329)_도금 열처리 주단조 평가품의(040329)" xfId="31808"/>
    <cellStyle name="통_출장계획서_새벽시장3_도금 열처리 주단조 평가품의(040329)업체" xfId="31809"/>
    <cellStyle name="통_출장계획서_새벽시장3_열처리결과품의(031017)개발" xfId="31810"/>
    <cellStyle name="통_출장계획서_새벽시장3_열처리결과품의(031017)개발_도금 열처리 주단조 평가품의(040329)" xfId="31811"/>
    <cellStyle name="통_출장계획서_새벽시장3_용접업종 평가결과품의(040510)" xfId="31812"/>
    <cellStyle name="통_출장계획서_새벽시장3_용접업종 평가결과품의(040510)_용접업종 평가결과품의(040510)" xfId="31813"/>
    <cellStyle name="통_출장계획서_새벽시장3_용접업종 평가결과품의(040510)_용접업종 평가결과품의(040510)(1)" xfId="31814"/>
    <cellStyle name="통_출장계획서_새벽시장3_용접업종 평가결과품의(040510)_주단조용접업종 평가결과품의(040510)(1)" xfId="31815"/>
    <cellStyle name="통_출장계획서_새벽시장3_주단조 업종 평가결과품의(040407)" xfId="31816"/>
    <cellStyle name="통_출장계획서_새벽시장3_주단조 업종 평가결과품의(040407)_용접업종 평가결과품의(040510)" xfId="31817"/>
    <cellStyle name="통_출장계획서_새벽시장3_주단조 업종 평가결과품의(040407)_용접업종 평가결과품의(040510)(1)" xfId="31818"/>
    <cellStyle name="통_출장계획서_새벽시장3_주단조 업종 평가결과품의(040407)_주단조용접업종 평가결과품의(040510)(1)" xfId="31819"/>
    <cellStyle name="통_출장계획서_새벽시장3_주단조 업종 평가결과품의(040416)(1)" xfId="31820"/>
    <cellStyle name="통_출장계획서_새벽시장3_주단조 업종 평가결과품의(040416)(1)_용접업종 평가결과품의(040510)" xfId="31821"/>
    <cellStyle name="통_출장계획서_새벽시장3_주단조 업종 평가결과품의(040416)(1)_용접업종 평가결과품의(040510)(1)" xfId="31822"/>
    <cellStyle name="통_출장계획서_새벽시장3_주단조 업종 평가결과품의(040416)(1)_주단조용접업종 평가결과품의(040510)(1)" xfId="31823"/>
    <cellStyle name="통_출장계획서_새벽시장3_최신-SQ인증업체현황1343사(03년평가완료031229수정)" xfId="31824"/>
    <cellStyle name="통_출장계획서_새벽시장3_최신-SQ인증업체현황1343사(03년평가완료031229수정)_용접업종 평가결과품의(040510)" xfId="31825"/>
    <cellStyle name="통_출장계획서_새벽시장3_최신-SQ인증업체현황1343사(03년평가완료031229수정)_용접업종 평가결과품의(040510)(1)" xfId="31826"/>
    <cellStyle name="통_출장계획서_새벽시장3_최신-SQ인증업체현황1343사(03년평가완료031229수정)_주단조용접업종 평가결과품의(040510)(1)" xfId="31827"/>
    <cellStyle name="통_출장계획서_새벽시장5" xfId="31828"/>
    <cellStyle name="통_출장계획서_새벽시장5_도금 열처리 주단조 평가품의(040329)" xfId="31829"/>
    <cellStyle name="통_출장계획서_새벽시장5_도금 열처리 주단조 평가품의(040329)_도금 열처리 주단조 평가품의(040329)" xfId="31830"/>
    <cellStyle name="통_출장계획서_새벽시장5_도금 열처리 주단조 평가품의(040329)업체" xfId="31831"/>
    <cellStyle name="통_출장계획서_새벽시장5_열처리결과품의(031017)개발" xfId="31832"/>
    <cellStyle name="통_출장계획서_새벽시장5_열처리결과품의(031017)개발_도금 열처리 주단조 평가품의(040329)" xfId="31833"/>
    <cellStyle name="통_출장계획서_새벽시장5_용접업종 평가결과품의(040510)" xfId="31834"/>
    <cellStyle name="통_출장계획서_새벽시장5_용접업종 평가결과품의(040510)_용접업종 평가결과품의(040510)" xfId="31835"/>
    <cellStyle name="통_출장계획서_새벽시장5_용접업종 평가결과품의(040510)_용접업종 평가결과품의(040510)(1)" xfId="31836"/>
    <cellStyle name="통_출장계획서_새벽시장5_용접업종 평가결과품의(040510)_주단조용접업종 평가결과품의(040510)(1)" xfId="31837"/>
    <cellStyle name="통_출장계획서_새벽시장5_주단조 업종 평가결과품의(040407)" xfId="31838"/>
    <cellStyle name="통_출장계획서_새벽시장5_주단조 업종 평가결과품의(040407)_용접업종 평가결과품의(040510)" xfId="31839"/>
    <cellStyle name="통_출장계획서_새벽시장5_주단조 업종 평가결과품의(040407)_용접업종 평가결과품의(040510)(1)" xfId="31840"/>
    <cellStyle name="통_출장계획서_새벽시장5_주단조 업종 평가결과품의(040407)_주단조용접업종 평가결과품의(040510)(1)" xfId="31841"/>
    <cellStyle name="통_출장계획서_새벽시장5_주단조 업종 평가결과품의(040416)(1)" xfId="31842"/>
    <cellStyle name="통_출장계획서_새벽시장5_주단조 업종 평가결과품의(040416)(1)_용접업종 평가결과품의(040510)" xfId="31843"/>
    <cellStyle name="통_출장계획서_새벽시장5_주단조 업종 평가결과품의(040416)(1)_용접업종 평가결과품의(040510)(1)" xfId="31844"/>
    <cellStyle name="통_출장계획서_새벽시장5_주단조 업종 평가결과품의(040416)(1)_주단조용접업종 평가결과품의(040510)(1)" xfId="31845"/>
    <cellStyle name="통_출장계획서_새벽시장5_최신-SQ인증업체현황1343사(03년평가완료031229수정)" xfId="31846"/>
    <cellStyle name="통_출장계획서_새벽시장5_최신-SQ인증업체현황1343사(03년평가완료031229수정)_용접업종 평가결과품의(040510)" xfId="31847"/>
    <cellStyle name="통_출장계획서_새벽시장5_최신-SQ인증업체현황1343사(03년평가완료031229수정)_용접업종 평가결과품의(040510)(1)" xfId="31848"/>
    <cellStyle name="통_출장계획서_새벽시장5_최신-SQ인증업체현황1343사(03년평가완료031229수정)_주단조용접업종 평가결과품의(040510)(1)" xfId="31849"/>
    <cellStyle name="통_출장계획서_새벽시장7" xfId="31850"/>
    <cellStyle name="통_출장계획서_새벽시장7_도금 열처리 주단조 평가품의(040329)" xfId="31851"/>
    <cellStyle name="통_출장계획서_새벽시장7_도금 열처리 주단조 평가품의(040329)_도금 열처리 주단조 평가품의(040329)" xfId="31852"/>
    <cellStyle name="통_출장계획서_새벽시장7_도금 열처리 주단조 평가품의(040329)업체" xfId="31853"/>
    <cellStyle name="통_출장계획서_새벽시장7_열처리결과품의(031017)개발" xfId="31854"/>
    <cellStyle name="통_출장계획서_새벽시장7_열처리결과품의(031017)개발_도금 열처리 주단조 평가품의(040329)" xfId="31855"/>
    <cellStyle name="통_출장계획서_새벽시장7_용접업종 평가결과품의(040510)" xfId="31856"/>
    <cellStyle name="통_출장계획서_새벽시장7_용접업종 평가결과품의(040510)_용접업종 평가결과품의(040510)" xfId="31857"/>
    <cellStyle name="통_출장계획서_새벽시장7_용접업종 평가결과품의(040510)_용접업종 평가결과품의(040510)(1)" xfId="31858"/>
    <cellStyle name="통_출장계획서_새벽시장7_용접업종 평가결과품의(040510)_주단조용접업종 평가결과품의(040510)(1)" xfId="31859"/>
    <cellStyle name="통_출장계획서_새벽시장7_주단조 업종 평가결과품의(040407)" xfId="31860"/>
    <cellStyle name="통_출장계획서_새벽시장7_주단조 업종 평가결과품의(040407)_용접업종 평가결과품의(040510)" xfId="31861"/>
    <cellStyle name="통_출장계획서_새벽시장7_주단조 업종 평가결과품의(040407)_용접업종 평가결과품의(040510)(1)" xfId="31862"/>
    <cellStyle name="통_출장계획서_새벽시장7_주단조 업종 평가결과품의(040407)_주단조용접업종 평가결과품의(040510)(1)" xfId="31863"/>
    <cellStyle name="통_출장계획서_새벽시장7_주단조 업종 평가결과품의(040416)(1)" xfId="31864"/>
    <cellStyle name="통_출장계획서_새벽시장7_주단조 업종 평가결과품의(040416)(1)_용접업종 평가결과품의(040510)" xfId="31865"/>
    <cellStyle name="통_출장계획서_새벽시장7_주단조 업종 평가결과품의(040416)(1)_용접업종 평가결과품의(040510)(1)" xfId="31866"/>
    <cellStyle name="통_출장계획서_새벽시장7_주단조 업종 평가결과품의(040416)(1)_주단조용접업종 평가결과품의(040510)(1)" xfId="31867"/>
    <cellStyle name="통_출장계획서_새벽시장7_최신-SQ인증업체현황1343사(03년평가완료031229수정)" xfId="31868"/>
    <cellStyle name="통_출장계획서_새벽시장7_최신-SQ인증업체현황1343사(03년평가완료031229수정)_용접업종 평가결과품의(040510)" xfId="31869"/>
    <cellStyle name="통_출장계획서_새벽시장7_최신-SQ인증업체현황1343사(03년평가완료031229수정)_용접업종 평가결과품의(040510)(1)" xfId="31870"/>
    <cellStyle name="통_출장계획서_새벽시장7_최신-SQ인증업체현황1343사(03년평가완료031229수정)_주단조용접업종 평가결과품의(040510)(1)" xfId="31871"/>
    <cellStyle name="통_출장계획서_새벽시장8.10xls" xfId="31872"/>
    <cellStyle name="통_출장계획서_새벽시장8.10xls_도금 열처리 주단조 평가품의(040329)" xfId="31873"/>
    <cellStyle name="통_출장계획서_새벽시장8.10xls_도금 열처리 주단조 평가품의(040329)_도금 열처리 주단조 평가품의(040329)" xfId="31874"/>
    <cellStyle name="통_출장계획서_새벽시장8.10xls_도금 열처리 주단조 평가품의(040329)업체" xfId="31875"/>
    <cellStyle name="통_출장계획서_새벽시장8.10xls_열처리결과품의(031017)개발" xfId="31876"/>
    <cellStyle name="통_출장계획서_새벽시장8.10xls_열처리결과품의(031017)개발_도금 열처리 주단조 평가품의(040329)" xfId="31877"/>
    <cellStyle name="통_출장계획서_새벽시장8.10xls_용접업종 평가결과품의(040510)" xfId="31878"/>
    <cellStyle name="통_출장계획서_새벽시장8.10xls_용접업종 평가결과품의(040510)_용접업종 평가결과품의(040510)" xfId="31879"/>
    <cellStyle name="통_출장계획서_새벽시장8.10xls_용접업종 평가결과품의(040510)_용접업종 평가결과품의(040510)(1)" xfId="31880"/>
    <cellStyle name="통_출장계획서_새벽시장8.10xls_용접업종 평가결과품의(040510)_주단조용접업종 평가결과품의(040510)(1)" xfId="31881"/>
    <cellStyle name="통_출장계획서_새벽시장8.10xls_주단조 업종 평가결과품의(040407)" xfId="31882"/>
    <cellStyle name="통_출장계획서_새벽시장8.10xls_주단조 업종 평가결과품의(040407)_용접업종 평가결과품의(040510)" xfId="31883"/>
    <cellStyle name="통_출장계획서_새벽시장8.10xls_주단조 업종 평가결과품의(040407)_용접업종 평가결과품의(040510)(1)" xfId="31884"/>
    <cellStyle name="통_출장계획서_새벽시장8.10xls_주단조 업종 평가결과품의(040407)_주단조용접업종 평가결과품의(040510)(1)" xfId="31885"/>
    <cellStyle name="통_출장계획서_새벽시장8.10xls_주단조 업종 평가결과품의(040416)(1)" xfId="31886"/>
    <cellStyle name="통_출장계획서_새벽시장8.10xls_주단조 업종 평가결과품의(040416)(1)_용접업종 평가결과품의(040510)" xfId="31887"/>
    <cellStyle name="통_출장계획서_새벽시장8.10xls_주단조 업종 평가결과품의(040416)(1)_용접업종 평가결과품의(040510)(1)" xfId="31888"/>
    <cellStyle name="통_출장계획서_새벽시장8.10xls_주단조 업종 평가결과품의(040416)(1)_주단조용접업종 평가결과품의(040510)(1)" xfId="31889"/>
    <cellStyle name="통_출장계획서_새벽시장8.10xls_최신-SQ인증업체현황1343사(03년평가완료031229수정)" xfId="31890"/>
    <cellStyle name="통_출장계획서_새벽시장8.10xls_최신-SQ인증업체현황1343사(03년평가완료031229수정)_용접업종 평가결과품의(040510)" xfId="31891"/>
    <cellStyle name="통_출장계획서_새벽시장8.10xls_최신-SQ인증업체현황1343사(03년평가완료031229수정)_용접업종 평가결과품의(040510)(1)" xfId="31892"/>
    <cellStyle name="통_출장계획서_새벽시장8.10xls_최신-SQ인증업체현황1343사(03년평가완료031229수정)_주단조용접업종 평가결과품의(040510)(1)" xfId="31893"/>
    <cellStyle name="통_출장계획서_새벽시장8.26xls" xfId="31894"/>
    <cellStyle name="통_출장계획서_새벽시장8.26xls_도금 열처리 주단조 평가품의(040329)" xfId="31895"/>
    <cellStyle name="통_출장계획서_새벽시장8.26xls_도금 열처리 주단조 평가품의(040329)_도금 열처리 주단조 평가품의(040329)" xfId="31896"/>
    <cellStyle name="통_출장계획서_새벽시장8.26xls_도금 열처리 주단조 평가품의(040329)업체" xfId="31897"/>
    <cellStyle name="통_출장계획서_새벽시장8.26xls_열처리결과품의(031017)개발" xfId="31898"/>
    <cellStyle name="통_출장계획서_새벽시장8.26xls_열처리결과품의(031017)개발_도금 열처리 주단조 평가품의(040329)" xfId="31899"/>
    <cellStyle name="통_출장계획서_새벽시장8.26xls_용접업종 평가결과품의(040510)" xfId="31900"/>
    <cellStyle name="통_출장계획서_새벽시장8.26xls_용접업종 평가결과품의(040510)_용접업종 평가결과품의(040510)" xfId="31901"/>
    <cellStyle name="통_출장계획서_새벽시장8.26xls_용접업종 평가결과품의(040510)_용접업종 평가결과품의(040510)(1)" xfId="31902"/>
    <cellStyle name="통_출장계획서_새벽시장8.26xls_용접업종 평가결과품의(040510)_주단조용접업종 평가결과품의(040510)(1)" xfId="31903"/>
    <cellStyle name="통_출장계획서_새벽시장8.26xls_주단조 업종 평가결과품의(040407)" xfId="31904"/>
    <cellStyle name="통_출장계획서_새벽시장8.26xls_주단조 업종 평가결과품의(040407)_용접업종 평가결과품의(040510)" xfId="31905"/>
    <cellStyle name="통_출장계획서_새벽시장8.26xls_주단조 업종 평가결과품의(040407)_용접업종 평가결과품의(040510)(1)" xfId="31906"/>
    <cellStyle name="통_출장계획서_새벽시장8.26xls_주단조 업종 평가결과품의(040407)_주단조용접업종 평가결과품의(040510)(1)" xfId="31907"/>
    <cellStyle name="통_출장계획서_새벽시장8.26xls_주단조 업종 평가결과품의(040416)(1)" xfId="31908"/>
    <cellStyle name="통_출장계획서_새벽시장8.26xls_주단조 업종 평가결과품의(040416)(1)_용접업종 평가결과품의(040510)" xfId="31909"/>
    <cellStyle name="통_출장계획서_새벽시장8.26xls_주단조 업종 평가결과품의(040416)(1)_용접업종 평가결과품의(040510)(1)" xfId="31910"/>
    <cellStyle name="통_출장계획서_새벽시장8.26xls_주단조 업종 평가결과품의(040416)(1)_주단조용접업종 평가결과품의(040510)(1)" xfId="31911"/>
    <cellStyle name="통_출장계획서_새벽시장8.26xls_최신-SQ인증업체현황1343사(03년평가완료031229수정)" xfId="31912"/>
    <cellStyle name="통_출장계획서_새벽시장8.26xls_최신-SQ인증업체현황1343사(03년평가완료031229수정)_용접업종 평가결과품의(040510)" xfId="31913"/>
    <cellStyle name="통_출장계획서_새벽시장8.26xls_최신-SQ인증업체현황1343사(03년평가완료031229수정)_용접업종 평가결과품의(040510)(1)" xfId="31914"/>
    <cellStyle name="통_출장계획서_새벽시장8.26xls_최신-SQ인증업체현황1343사(03년평가완료031229수정)_주단조용접업종 평가결과품의(040510)(1)" xfId="31915"/>
    <cellStyle name="통_출장계획서_새벽시장9.16" xfId="31916"/>
    <cellStyle name="통_출장계획서_새벽시장9.16_도금 열처리 주단조 평가품의(040329)" xfId="31917"/>
    <cellStyle name="통_출장계획서_새벽시장9.16_도금 열처리 주단조 평가품의(040329)_도금 열처리 주단조 평가품의(040329)" xfId="31918"/>
    <cellStyle name="통_출장계획서_새벽시장9.16_도금 열처리 주단조 평가품의(040329)업체" xfId="31919"/>
    <cellStyle name="통_출장계획서_새벽시장9.16_열처리결과품의(031017)개발" xfId="31920"/>
    <cellStyle name="통_출장계획서_새벽시장9.16_열처리결과품의(031017)개발_도금 열처리 주단조 평가품의(040329)" xfId="31921"/>
    <cellStyle name="통_출장계획서_새벽시장9.16_용접업종 평가결과품의(040510)" xfId="31922"/>
    <cellStyle name="통_출장계획서_새벽시장9.16_용접업종 평가결과품의(040510)_용접업종 평가결과품의(040510)" xfId="31923"/>
    <cellStyle name="통_출장계획서_새벽시장9.16_용접업종 평가결과품의(040510)_용접업종 평가결과품의(040510)(1)" xfId="31924"/>
    <cellStyle name="통_출장계획서_새벽시장9.16_용접업종 평가결과품의(040510)_주단조용접업종 평가결과품의(040510)(1)" xfId="31925"/>
    <cellStyle name="통_출장계획서_새벽시장9.16_주단조 업종 평가결과품의(040407)" xfId="31926"/>
    <cellStyle name="통_출장계획서_새벽시장9.16_주단조 업종 평가결과품의(040407)_용접업종 평가결과품의(040510)" xfId="31927"/>
    <cellStyle name="통_출장계획서_새벽시장9.16_주단조 업종 평가결과품의(040407)_용접업종 평가결과품의(040510)(1)" xfId="31928"/>
    <cellStyle name="통_출장계획서_새벽시장9.16_주단조 업종 평가결과품의(040407)_주단조용접업종 평가결과품의(040510)(1)" xfId="31929"/>
    <cellStyle name="통_출장계획서_새벽시장9.16_주단조 업종 평가결과품의(040416)(1)" xfId="31930"/>
    <cellStyle name="통_출장계획서_새벽시장9.16_주단조 업종 평가결과품의(040416)(1)_용접업종 평가결과품의(040510)" xfId="31931"/>
    <cellStyle name="통_출장계획서_새벽시장9.16_주단조 업종 평가결과품의(040416)(1)_용접업종 평가결과품의(040510)(1)" xfId="31932"/>
    <cellStyle name="통_출장계획서_새벽시장9.16_주단조 업종 평가결과품의(040416)(1)_주단조용접업종 평가결과품의(040510)(1)" xfId="31933"/>
    <cellStyle name="통_출장계획서_새벽시장9.16_최신-SQ인증업체현황1343사(03년평가완료031229수정)" xfId="31934"/>
    <cellStyle name="통_출장계획서_새벽시장9.16_최신-SQ인증업체현황1343사(03년평가완료031229수정)_용접업종 평가결과품의(040510)" xfId="31935"/>
    <cellStyle name="통_출장계획서_새벽시장9.16_최신-SQ인증업체현황1343사(03년평가완료031229수정)_용접업종 평가결과품의(040510)(1)" xfId="31936"/>
    <cellStyle name="통_출장계획서_새벽시장9.16_최신-SQ인증업체현황1343사(03년평가완료031229수정)_주단조용접업종 평가결과품의(040510)(1)" xfId="31937"/>
    <cellStyle name="통_출장계획서_열처리결과품의(031017)개발" xfId="31938"/>
    <cellStyle name="통_출장계획서_열처리결과품의(031017)개발_도금 열처리 주단조 평가품의(040329)" xfId="31939"/>
    <cellStyle name="통_출장계획서_용접업종 평가결과품의(040510)" xfId="31940"/>
    <cellStyle name="통_출장계획서_용접업종 평가결과품의(040510)_용접업종 평가결과품의(040510)" xfId="31941"/>
    <cellStyle name="통_출장계획서_용접업종 평가결과품의(040510)_용접업종 평가결과품의(040510)(1)" xfId="31942"/>
    <cellStyle name="통_출장계획서_용접업종 평가결과품의(040510)_주단조용접업종 평가결과품의(040510)(1)" xfId="31943"/>
    <cellStyle name="통_출장계획서_주단조 업종 평가결과품의(040407)" xfId="31944"/>
    <cellStyle name="통_출장계획서_주단조 업종 평가결과품의(040407)_용접업종 평가결과품의(040510)" xfId="31945"/>
    <cellStyle name="통_출장계획서_주단조 업종 평가결과품의(040407)_용접업종 평가결과품의(040510)(1)" xfId="31946"/>
    <cellStyle name="통_출장계획서_주단조 업종 평가결과품의(040407)_주단조용접업종 평가결과품의(040510)(1)" xfId="31947"/>
    <cellStyle name="통_출장계획서_주단조 업종 평가결과품의(040416)(1)" xfId="31948"/>
    <cellStyle name="통_출장계획서_주단조 업종 평가결과품의(040416)(1)_용접업종 평가결과품의(040510)" xfId="31949"/>
    <cellStyle name="통_출장계획서_주단조 업종 평가결과품의(040416)(1)_용접업종 평가결과품의(040510)(1)" xfId="31950"/>
    <cellStyle name="통_출장계획서_주단조 업종 평가결과품의(040416)(1)_주단조용접업종 평가결과품의(040510)(1)" xfId="31951"/>
    <cellStyle name="통_출장계획서_최신-SQ인증업체현황1343사(03년평가완료031229수정)" xfId="31952"/>
    <cellStyle name="통_출장계획서_최신-SQ인증업체현황1343사(03년평가완료031229수정)_용접업종 평가결과품의(040510)" xfId="31953"/>
    <cellStyle name="통_출장계획서_최신-SQ인증업체현황1343사(03년평가완료031229수정)_용접업종 평가결과품의(040510)(1)" xfId="31954"/>
    <cellStyle name="통_출장계획서_최신-SQ인증업체현황1343사(03년평가완료031229수정)_주단조용접업종 평가결과품의(040510)(1)" xfId="31955"/>
    <cellStyle name="통화 [" xfId="31956"/>
    <cellStyle name="통화 [0] 2" xfId="31957"/>
    <cellStyle name="통화 [0] 2 2" xfId="31958"/>
    <cellStyle name="통화 [0]_1202" xfId="31959"/>
    <cellStyle name="통화_1202" xfId="31960"/>
    <cellStyle name="팒" xfId="31961"/>
    <cellStyle name="팒 2" xfId="31962"/>
    <cellStyle name="팹繫_1-3墩 " xfId="31963"/>
    <cellStyle name="퍼센트" xfId="31964"/>
    <cellStyle name="퍼센트 2" xfId="31965"/>
    <cellStyle name="퍼센트 2 2" xfId="31966"/>
    <cellStyle name="퍼센트 3" xfId="31967"/>
    <cellStyle name="표" xfId="31968"/>
    <cellStyle name="표_ROTATION 유동" xfId="31969"/>
    <cellStyle name="표_ROTATION 유동_도금 열처리 주단조 평가품의(040329)" xfId="31970"/>
    <cellStyle name="표_ROTATION 유동_도금 열처리 주단조 평가품의(040329)_도금 열처리 주단조 평가품의(040329)" xfId="31971"/>
    <cellStyle name="표_ROTATION 유동_도금 열처리 주단조 평가품의(040329)업체" xfId="31972"/>
    <cellStyle name="표_ROTATION 유동_열처리결과품의(031017)개발" xfId="31973"/>
    <cellStyle name="표_ROTATION 유동_열처리결과품의(031017)개발_도금 열처리 주단조 평가품의(040329)" xfId="31974"/>
    <cellStyle name="표_ROTATION 유동_용접업종 평가결과품의(040510)" xfId="31975"/>
    <cellStyle name="표_ROTATION 유동_용접업종 평가결과품의(040510)_용접업종 평가결과품의(040510)" xfId="31976"/>
    <cellStyle name="표_ROTATION 유동_용접업종 평가결과품의(040510)_용접업종 평가결과품의(040510)(1)" xfId="31977"/>
    <cellStyle name="표_ROTATION 유동_용접업종 평가결과품의(040510)_주단조용접업종 평가결과품의(040510)(1)" xfId="31978"/>
    <cellStyle name="표_ROTATION 유동_주단조 업종 평가결과품의(040407)" xfId="31979"/>
    <cellStyle name="표_ROTATION 유동_주단조 업종 평가결과품의(040407)_용접업종 평가결과품의(040510)" xfId="31980"/>
    <cellStyle name="표_ROTATION 유동_주단조 업종 평가결과품의(040407)_용접업종 평가결과품의(040510)(1)" xfId="31981"/>
    <cellStyle name="표_ROTATION 유동_주단조 업종 평가결과품의(040407)_주단조용접업종 평가결과품의(040510)(1)" xfId="31982"/>
    <cellStyle name="표_ROTATION 유동_주단조 업종 평가결과품의(040416)(1)" xfId="31983"/>
    <cellStyle name="표_ROTATION 유동_주단조 업종 평가결과품의(040416)(1)_용접업종 평가결과품의(040510)" xfId="31984"/>
    <cellStyle name="표_ROTATION 유동_주단조 업종 평가결과품의(040416)(1)_용접업종 평가결과품의(040510)(1)" xfId="31985"/>
    <cellStyle name="표_ROTATION 유동_주단조 업종 평가결과품의(040416)(1)_주단조용접업종 평가결과품의(040510)(1)" xfId="31986"/>
    <cellStyle name="표_ROTATION 유동_최신-SQ인증업체현황1343사(03년평가완료031229수정)" xfId="31987"/>
    <cellStyle name="표_ROTATION 유동_최신-SQ인증업체현황1343사(03년평가완료031229수정)_용접업종 평가결과품의(040510)" xfId="31988"/>
    <cellStyle name="표_ROTATION 유동_최신-SQ인증업체현황1343사(03년평가완료031229수정)_용접업종 평가결과품의(040510)(1)" xfId="31989"/>
    <cellStyle name="표_ROTATION 유동_최신-SQ인증업체현황1343사(03년평가완료031229수정)_주단조용접업종 평가결과품의(040510)(1)" xfId="31990"/>
    <cellStyle name="표_SLIDE 폭" xfId="31991"/>
    <cellStyle name="표_SLIDE 폭_도금 열처리 주단조 평가품의(040329)" xfId="31992"/>
    <cellStyle name="표_SLIDE 폭_도금 열처리 주단조 평가품의(040329)_도금 열처리 주단조 평가품의(040329)" xfId="31993"/>
    <cellStyle name="표_SLIDE 폭_도금 열처리 주단조 평가품의(040329)업체" xfId="31994"/>
    <cellStyle name="표_SLIDE 폭_열처리결과품의(031017)개발" xfId="31995"/>
    <cellStyle name="표_SLIDE 폭_열처리결과품의(031017)개발_도금 열처리 주단조 평가품의(040329)" xfId="31996"/>
    <cellStyle name="표_SLIDE 폭_용접업종 평가결과품의(040510)" xfId="31997"/>
    <cellStyle name="표_SLIDE 폭_용접업종 평가결과품의(040510)_용접업종 평가결과품의(040510)" xfId="31998"/>
    <cellStyle name="표_SLIDE 폭_용접업종 평가결과품의(040510)_용접업종 평가결과품의(040510)(1)" xfId="31999"/>
    <cellStyle name="표_SLIDE 폭_용접업종 평가결과품의(040510)_주단조용접업종 평가결과품의(040510)(1)" xfId="32000"/>
    <cellStyle name="표_SLIDE 폭_주단조 업종 평가결과품의(040407)" xfId="32001"/>
    <cellStyle name="표_SLIDE 폭_주단조 업종 평가결과품의(040407)_용접업종 평가결과품의(040510)" xfId="32002"/>
    <cellStyle name="표_SLIDE 폭_주단조 업종 평가결과품의(040407)_용접업종 평가결과품의(040510)(1)" xfId="32003"/>
    <cellStyle name="표_SLIDE 폭_주단조 업종 평가결과품의(040407)_주단조용접업종 평가결과품의(040510)(1)" xfId="32004"/>
    <cellStyle name="표_SLIDE 폭_주단조 업종 평가결과품의(040416)(1)" xfId="32005"/>
    <cellStyle name="표_SLIDE 폭_주단조 업종 평가결과품의(040416)(1)_용접업종 평가결과품의(040510)" xfId="32006"/>
    <cellStyle name="표_SLIDE 폭_주단조 업종 평가결과품의(040416)(1)_용접업종 평가결과품의(040510)(1)" xfId="32007"/>
    <cellStyle name="표_SLIDE 폭_주단조 업종 평가결과품의(040416)(1)_주단조용접업종 평가결과품의(040510)(1)" xfId="32008"/>
    <cellStyle name="표_SLIDE 폭_최신-SQ인증업체현황1343사(03년평가완료031229수정)" xfId="32009"/>
    <cellStyle name="표_SLIDE 폭_최신-SQ인증업체현황1343사(03년평가완료031229수정)_용접업종 평가결과품의(040510)" xfId="32010"/>
    <cellStyle name="표_SLIDE 폭_최신-SQ인증업체현황1343사(03년평가완료031229수정)_용접업종 평가결과품의(040510)(1)" xfId="32011"/>
    <cellStyle name="표_SLIDE 폭_최신-SQ인증업체현황1343사(03년평가완료031229수정)_주단조용접업종 평가결과품의(040510)(1)" xfId="32012"/>
    <cellStyle name="표_도금 열처리 주단조 평가품의(040329)" xfId="32013"/>
    <cellStyle name="표_도금 열처리 주단조 평가품의(040329)_도금 열처리 주단조 평가품의(040329)" xfId="32014"/>
    <cellStyle name="표_도금 열처리 주단조 평가품의(040329)업체" xfId="32015"/>
    <cellStyle name="표_사전회의(1208)" xfId="32016"/>
    <cellStyle name="표_사전회의(1208)_ROTATION 유동" xfId="32017"/>
    <cellStyle name="표_사전회의(1208)_ROTATION 유동_도금 열처리 주단조 평가품의(040329)" xfId="32018"/>
    <cellStyle name="표_사전회의(1208)_ROTATION 유동_도금 열처리 주단조 평가품의(040329)_도금 열처리 주단조 평가품의(040329)" xfId="32019"/>
    <cellStyle name="표_사전회의(1208)_ROTATION 유동_도금 열처리 주단조 평가품의(040329)업체" xfId="32020"/>
    <cellStyle name="표_사전회의(1208)_ROTATION 유동_열처리결과품의(031017)개발" xfId="32021"/>
    <cellStyle name="표_사전회의(1208)_ROTATION 유동_열처리결과품의(031017)개발_도금 열처리 주단조 평가품의(040329)" xfId="32022"/>
    <cellStyle name="표_사전회의(1208)_ROTATION 유동_용접업종 평가결과품의(040510)" xfId="32023"/>
    <cellStyle name="표_사전회의(1208)_ROTATION 유동_용접업종 평가결과품의(040510)_용접업종 평가결과품의(040510)" xfId="32024"/>
    <cellStyle name="표_사전회의(1208)_ROTATION 유동_용접업종 평가결과품의(040510)_용접업종 평가결과품의(040510)(1)" xfId="32025"/>
    <cellStyle name="표_사전회의(1208)_ROTATION 유동_용접업종 평가결과품의(040510)_주단조용접업종 평가결과품의(040510)(1)" xfId="32026"/>
    <cellStyle name="표_사전회의(1208)_ROTATION 유동_주단조 업종 평가결과품의(040407)" xfId="32027"/>
    <cellStyle name="표_사전회의(1208)_ROTATION 유동_주단조 업종 평가결과품의(040407)_용접업종 평가결과품의(040510)" xfId="32028"/>
    <cellStyle name="표_사전회의(1208)_ROTATION 유동_주단조 업종 평가결과품의(040407)_용접업종 평가결과품의(040510)(1)" xfId="32029"/>
    <cellStyle name="표_사전회의(1208)_ROTATION 유동_주단조 업종 평가결과품의(040407)_주단조용접업종 평가결과품의(040510)(1)" xfId="32030"/>
    <cellStyle name="표_사전회의(1208)_ROTATION 유동_주단조 업종 평가결과품의(040416)(1)" xfId="32031"/>
    <cellStyle name="표_사전회의(1208)_ROTATION 유동_주단조 업종 평가결과품의(040416)(1)_용접업종 평가결과품의(040510)" xfId="32032"/>
    <cellStyle name="표_사전회의(1208)_ROTATION 유동_주단조 업종 평가결과품의(040416)(1)_용접업종 평가결과품의(040510)(1)" xfId="32033"/>
    <cellStyle name="표_사전회의(1208)_ROTATION 유동_주단조 업종 평가결과품의(040416)(1)_주단조용접업종 평가결과품의(040510)(1)" xfId="32034"/>
    <cellStyle name="표_사전회의(1208)_ROTATION 유동_최신-SQ인증업체현황1343사(03년평가완료031229수정)" xfId="32035"/>
    <cellStyle name="표_사전회의(1208)_ROTATION 유동_최신-SQ인증업체현황1343사(03년평가완료031229수정)_용접업종 평가결과품의(040510)" xfId="32036"/>
    <cellStyle name="표_사전회의(1208)_ROTATION 유동_최신-SQ인증업체현황1343사(03년평가완료031229수정)_용접업종 평가결과품의(040510)(1)" xfId="32037"/>
    <cellStyle name="표_사전회의(1208)_ROTATION 유동_최신-SQ인증업체현황1343사(03년평가완료031229수정)_주단조용접업종 평가결과품의(040510)(1)" xfId="32038"/>
    <cellStyle name="표_사전회의(1208)_SLIDE 폭" xfId="32039"/>
    <cellStyle name="표_사전회의(1208)_SLIDE 폭_도금 열처리 주단조 평가품의(040329)" xfId="32040"/>
    <cellStyle name="표_사전회의(1208)_SLIDE 폭_도금 열처리 주단조 평가품의(040329)_도금 열처리 주단조 평가품의(040329)" xfId="32041"/>
    <cellStyle name="표_사전회의(1208)_SLIDE 폭_도금 열처리 주단조 평가품의(040329)업체" xfId="32042"/>
    <cellStyle name="표_사전회의(1208)_SLIDE 폭_열처리결과품의(031017)개발" xfId="32043"/>
    <cellStyle name="표_사전회의(1208)_SLIDE 폭_열처리결과품의(031017)개발_도금 열처리 주단조 평가품의(040329)" xfId="32044"/>
    <cellStyle name="표_사전회의(1208)_SLIDE 폭_용접업종 평가결과품의(040510)" xfId="32045"/>
    <cellStyle name="표_사전회의(1208)_SLIDE 폭_용접업종 평가결과품의(040510)_용접업종 평가결과품의(040510)" xfId="32046"/>
    <cellStyle name="표_사전회의(1208)_SLIDE 폭_용접업종 평가결과품의(040510)_용접업종 평가결과품의(040510)(1)" xfId="32047"/>
    <cellStyle name="표_사전회의(1208)_SLIDE 폭_용접업종 평가결과품의(040510)_주단조용접업종 평가결과품의(040510)(1)" xfId="32048"/>
    <cellStyle name="표_사전회의(1208)_SLIDE 폭_주단조 업종 평가결과품의(040407)" xfId="32049"/>
    <cellStyle name="표_사전회의(1208)_SLIDE 폭_주단조 업종 평가결과품의(040407)_용접업종 평가결과품의(040510)" xfId="32050"/>
    <cellStyle name="표_사전회의(1208)_SLIDE 폭_주단조 업종 평가결과품의(040407)_용접업종 평가결과품의(040510)(1)" xfId="32051"/>
    <cellStyle name="표_사전회의(1208)_SLIDE 폭_주단조 업종 평가결과품의(040407)_주단조용접업종 평가결과품의(040510)(1)" xfId="32052"/>
    <cellStyle name="표_사전회의(1208)_SLIDE 폭_주단조 업종 평가결과품의(040416)(1)" xfId="32053"/>
    <cellStyle name="표_사전회의(1208)_SLIDE 폭_주단조 업종 평가결과품의(040416)(1)_용접업종 평가결과품의(040510)" xfId="32054"/>
    <cellStyle name="표_사전회의(1208)_SLIDE 폭_주단조 업종 평가결과품의(040416)(1)_용접업종 평가결과품의(040510)(1)" xfId="32055"/>
    <cellStyle name="표_사전회의(1208)_SLIDE 폭_주단조 업종 평가결과품의(040416)(1)_주단조용접업종 평가결과품의(040510)(1)" xfId="32056"/>
    <cellStyle name="표_사전회의(1208)_SLIDE 폭_최신-SQ인증업체현황1343사(03년평가완료031229수정)" xfId="32057"/>
    <cellStyle name="표_사전회의(1208)_SLIDE 폭_최신-SQ인증업체현황1343사(03년평가완료031229수정)_용접업종 평가결과품의(040510)" xfId="32058"/>
    <cellStyle name="표_사전회의(1208)_SLIDE 폭_최신-SQ인증업체현황1343사(03년평가완료031229수정)_용접업종 평가결과품의(040510)(1)" xfId="32059"/>
    <cellStyle name="표_사전회의(1208)_SLIDE 폭_최신-SQ인증업체현황1343사(03년평가완료031229수정)_주단조용접업종 평가결과품의(040510)(1)" xfId="32060"/>
    <cellStyle name="표_사전회의(1208)_도금 열처리 주단조 평가품의(040329)" xfId="32061"/>
    <cellStyle name="표_사전회의(1208)_도금 열처리 주단조 평가품의(040329)_도금 열처리 주단조 평가품의(040329)" xfId="32062"/>
    <cellStyle name="표_사전회의(1208)_도금 열처리 주단조 평가품의(040329)업체" xfId="32063"/>
    <cellStyle name="표_사전회의(1208)_새벽시장1" xfId="32064"/>
    <cellStyle name="표_사전회의(1208)_새벽시장1_도금 열처리 주단조 평가품의(040329)" xfId="32065"/>
    <cellStyle name="표_사전회의(1208)_새벽시장1_도금 열처리 주단조 평가품의(040329)_도금 열처리 주단조 평가품의(040329)" xfId="32066"/>
    <cellStyle name="표_사전회의(1208)_새벽시장1_도금 열처리 주단조 평가품의(040329)업체" xfId="32067"/>
    <cellStyle name="표_사전회의(1208)_새벽시장1_열처리결과품의(031017)개발" xfId="32068"/>
    <cellStyle name="표_사전회의(1208)_새벽시장1_열처리결과품의(031017)개발_도금 열처리 주단조 평가품의(040329)" xfId="32069"/>
    <cellStyle name="표_사전회의(1208)_새벽시장1_용접업종 평가결과품의(040510)" xfId="32070"/>
    <cellStyle name="표_사전회의(1208)_새벽시장1_용접업종 평가결과품의(040510)_용접업종 평가결과품의(040510)" xfId="32071"/>
    <cellStyle name="표_사전회의(1208)_새벽시장1_용접업종 평가결과품의(040510)_용접업종 평가결과품의(040510)(1)" xfId="32072"/>
    <cellStyle name="표_사전회의(1208)_새벽시장1_용접업종 평가결과품의(040510)_주단조용접업종 평가결과품의(040510)(1)" xfId="32073"/>
    <cellStyle name="표_사전회의(1208)_새벽시장1_주단조 업종 평가결과품의(040407)" xfId="32074"/>
    <cellStyle name="표_사전회의(1208)_새벽시장1_주단조 업종 평가결과품의(040407)_용접업종 평가결과품의(040510)" xfId="32075"/>
    <cellStyle name="표_사전회의(1208)_새벽시장1_주단조 업종 평가결과품의(040407)_용접업종 평가결과품의(040510)(1)" xfId="32076"/>
    <cellStyle name="표_사전회의(1208)_새벽시장1_주단조 업종 평가결과품의(040407)_주단조용접업종 평가결과품의(040510)(1)" xfId="32077"/>
    <cellStyle name="표_사전회의(1208)_새벽시장1_주단조 업종 평가결과품의(040416)(1)" xfId="32078"/>
    <cellStyle name="표_사전회의(1208)_새벽시장1_주단조 업종 평가결과품의(040416)(1)_용접업종 평가결과품의(040510)" xfId="32079"/>
    <cellStyle name="표_사전회의(1208)_새벽시장1_주단조 업종 평가결과품의(040416)(1)_용접업종 평가결과품의(040510)(1)" xfId="32080"/>
    <cellStyle name="표_사전회의(1208)_새벽시장1_주단조 업종 평가결과품의(040416)(1)_주단조용접업종 평가결과품의(040510)(1)" xfId="32081"/>
    <cellStyle name="표_사전회의(1208)_새벽시장1_최신-SQ인증업체현황1343사(03년평가완료031229수정)" xfId="32082"/>
    <cellStyle name="표_사전회의(1208)_새벽시장1_최신-SQ인증업체현황1343사(03년평가완료031229수정)_용접업종 평가결과품의(040510)" xfId="32083"/>
    <cellStyle name="표_사전회의(1208)_새벽시장1_최신-SQ인증업체현황1343사(03년평가완료031229수정)_용접업종 평가결과품의(040510)(1)" xfId="32084"/>
    <cellStyle name="표_사전회의(1208)_새벽시장1_최신-SQ인증업체현황1343사(03년평가완료031229수정)_주단조용접업종 평가결과품의(040510)(1)" xfId="32085"/>
    <cellStyle name="표_사전회의(1208)_새벽시장3" xfId="32086"/>
    <cellStyle name="표_사전회의(1208)_새벽시장3_도금 열처리 주단조 평가품의(040329)" xfId="32087"/>
    <cellStyle name="표_사전회의(1208)_새벽시장3_도금 열처리 주단조 평가품의(040329)_도금 열처리 주단조 평가품의(040329)" xfId="32088"/>
    <cellStyle name="표_사전회의(1208)_새벽시장3_도금 열처리 주단조 평가품의(040329)업체" xfId="32089"/>
    <cellStyle name="표_사전회의(1208)_새벽시장3_열처리결과품의(031017)개발" xfId="32090"/>
    <cellStyle name="표_사전회의(1208)_새벽시장3_열처리결과품의(031017)개발_도금 열처리 주단조 평가품의(040329)" xfId="32091"/>
    <cellStyle name="표_사전회의(1208)_새벽시장3_용접업종 평가결과품의(040510)" xfId="32092"/>
    <cellStyle name="표_사전회의(1208)_새벽시장3_용접업종 평가결과품의(040510)_용접업종 평가결과품의(040510)" xfId="32093"/>
    <cellStyle name="표_사전회의(1208)_새벽시장3_용접업종 평가결과품의(040510)_용접업종 평가결과품의(040510)(1)" xfId="32094"/>
    <cellStyle name="표_사전회의(1208)_새벽시장3_용접업종 평가결과품의(040510)_주단조용접업종 평가결과품의(040510)(1)" xfId="32095"/>
    <cellStyle name="표_사전회의(1208)_새벽시장3_주단조 업종 평가결과품의(040407)" xfId="32096"/>
    <cellStyle name="표_사전회의(1208)_새벽시장3_주단조 업종 평가결과품의(040407)_용접업종 평가결과품의(040510)" xfId="32097"/>
    <cellStyle name="표_사전회의(1208)_새벽시장3_주단조 업종 평가결과품의(040407)_용접업종 평가결과품의(040510)(1)" xfId="32098"/>
    <cellStyle name="표_사전회의(1208)_새벽시장3_주단조 업종 평가결과품의(040407)_주단조용접업종 평가결과품의(040510)(1)" xfId="32099"/>
    <cellStyle name="표_사전회의(1208)_새벽시장3_주단조 업종 평가결과품의(040416)(1)" xfId="32100"/>
    <cellStyle name="표_사전회의(1208)_새벽시장3_주단조 업종 평가결과품의(040416)(1)_용접업종 평가결과품의(040510)" xfId="32101"/>
    <cellStyle name="표_사전회의(1208)_새벽시장3_주단조 업종 평가결과품의(040416)(1)_용접업종 평가결과품의(040510)(1)" xfId="32102"/>
    <cellStyle name="표_사전회의(1208)_새벽시장3_주단조 업종 평가결과품의(040416)(1)_주단조용접업종 평가결과품의(040510)(1)" xfId="32103"/>
    <cellStyle name="표_사전회의(1208)_새벽시장3_최신-SQ인증업체현황1343사(03년평가완료031229수정)" xfId="32104"/>
    <cellStyle name="표_사전회의(1208)_새벽시장3_최신-SQ인증업체현황1343사(03년평가완료031229수정)_용접업종 평가결과품의(040510)" xfId="32105"/>
    <cellStyle name="표_사전회의(1208)_새벽시장3_최신-SQ인증업체현황1343사(03년평가완료031229수정)_용접업종 평가결과품의(040510)(1)" xfId="32106"/>
    <cellStyle name="표_사전회의(1208)_새벽시장3_최신-SQ인증업체현황1343사(03년평가완료031229수정)_주단조용접업종 평가결과품의(040510)(1)" xfId="32107"/>
    <cellStyle name="표_사전회의(1208)_새벽시장5" xfId="32108"/>
    <cellStyle name="표_사전회의(1208)_새벽시장5_도금 열처리 주단조 평가품의(040329)" xfId="32109"/>
    <cellStyle name="표_사전회의(1208)_새벽시장5_도금 열처리 주단조 평가품의(040329)_도금 열처리 주단조 평가품의(040329)" xfId="32110"/>
    <cellStyle name="표_사전회의(1208)_새벽시장5_도금 열처리 주단조 평가품의(040329)업체" xfId="32111"/>
    <cellStyle name="표_사전회의(1208)_새벽시장5_열처리결과품의(031017)개발" xfId="32112"/>
    <cellStyle name="표_사전회의(1208)_새벽시장5_열처리결과품의(031017)개발_도금 열처리 주단조 평가품의(040329)" xfId="32113"/>
    <cellStyle name="표_사전회의(1208)_새벽시장5_용접업종 평가결과품의(040510)" xfId="32114"/>
    <cellStyle name="표_사전회의(1208)_새벽시장5_용접업종 평가결과품의(040510)_용접업종 평가결과품의(040510)" xfId="32115"/>
    <cellStyle name="표_사전회의(1208)_새벽시장5_용접업종 평가결과품의(040510)_용접업종 평가결과품의(040510)(1)" xfId="32116"/>
    <cellStyle name="표_사전회의(1208)_새벽시장5_용접업종 평가결과품의(040510)_주단조용접업종 평가결과품의(040510)(1)" xfId="32117"/>
    <cellStyle name="표_사전회의(1208)_새벽시장5_주단조 업종 평가결과품의(040407)" xfId="32118"/>
    <cellStyle name="표_사전회의(1208)_새벽시장5_주단조 업종 평가결과품의(040407)_용접업종 평가결과품의(040510)" xfId="32119"/>
    <cellStyle name="표_사전회의(1208)_새벽시장5_주단조 업종 평가결과품의(040407)_용접업종 평가결과품의(040510)(1)" xfId="32120"/>
    <cellStyle name="표_사전회의(1208)_새벽시장5_주단조 업종 평가결과품의(040407)_주단조용접업종 평가결과품의(040510)(1)" xfId="32121"/>
    <cellStyle name="표_사전회의(1208)_새벽시장5_주단조 업종 평가결과품의(040416)(1)" xfId="32122"/>
    <cellStyle name="표_사전회의(1208)_새벽시장5_주단조 업종 평가결과품의(040416)(1)_용접업종 평가결과품의(040510)" xfId="32123"/>
    <cellStyle name="표_사전회의(1208)_새벽시장5_주단조 업종 평가결과품의(040416)(1)_용접업종 평가결과품의(040510)(1)" xfId="32124"/>
    <cellStyle name="표_사전회의(1208)_새벽시장5_주단조 업종 평가결과품의(040416)(1)_주단조용접업종 평가결과품의(040510)(1)" xfId="32125"/>
    <cellStyle name="표_사전회의(1208)_새벽시장5_최신-SQ인증업체현황1343사(03년평가완료031229수정)" xfId="32126"/>
    <cellStyle name="표_사전회의(1208)_새벽시장5_최신-SQ인증업체현황1343사(03년평가완료031229수정)_용접업종 평가결과품의(040510)" xfId="32127"/>
    <cellStyle name="표_사전회의(1208)_새벽시장5_최신-SQ인증업체현황1343사(03년평가완료031229수정)_용접업종 평가결과품의(040510)(1)" xfId="32128"/>
    <cellStyle name="표_사전회의(1208)_새벽시장5_최신-SQ인증업체현황1343사(03년평가완료031229수정)_주단조용접업종 평가결과품의(040510)(1)" xfId="32129"/>
    <cellStyle name="표_사전회의(1208)_새벽시장7" xfId="32130"/>
    <cellStyle name="표_사전회의(1208)_새벽시장7_도금 열처리 주단조 평가품의(040329)" xfId="32131"/>
    <cellStyle name="표_사전회의(1208)_새벽시장7_도금 열처리 주단조 평가품의(040329)_도금 열처리 주단조 평가품의(040329)" xfId="32132"/>
    <cellStyle name="표_사전회의(1208)_새벽시장7_도금 열처리 주단조 평가품의(040329)업체" xfId="32133"/>
    <cellStyle name="표_사전회의(1208)_새벽시장7_열처리결과품의(031017)개발" xfId="32134"/>
    <cellStyle name="표_사전회의(1208)_새벽시장7_열처리결과품의(031017)개발_도금 열처리 주단조 평가품의(040329)" xfId="32135"/>
    <cellStyle name="표_사전회의(1208)_새벽시장7_용접업종 평가결과품의(040510)" xfId="32136"/>
    <cellStyle name="표_사전회의(1208)_새벽시장7_용접업종 평가결과품의(040510)_용접업종 평가결과품의(040510)" xfId="32137"/>
    <cellStyle name="표_사전회의(1208)_새벽시장7_용접업종 평가결과품의(040510)_용접업종 평가결과품의(040510)(1)" xfId="32138"/>
    <cellStyle name="표_사전회의(1208)_새벽시장7_용접업종 평가결과품의(040510)_주단조용접업종 평가결과품의(040510)(1)" xfId="32139"/>
    <cellStyle name="표_사전회의(1208)_새벽시장7_주단조 업종 평가결과품의(040407)" xfId="32140"/>
    <cellStyle name="표_사전회의(1208)_새벽시장7_주단조 업종 평가결과품의(040407)_용접업종 평가결과품의(040510)" xfId="32141"/>
    <cellStyle name="표_사전회의(1208)_새벽시장7_주단조 업종 평가결과품의(040407)_용접업종 평가결과품의(040510)(1)" xfId="32142"/>
    <cellStyle name="표_사전회의(1208)_새벽시장7_주단조 업종 평가결과품의(040407)_주단조용접업종 평가결과품의(040510)(1)" xfId="32143"/>
    <cellStyle name="표_사전회의(1208)_새벽시장7_주단조 업종 평가결과품의(040416)(1)" xfId="32144"/>
    <cellStyle name="표_사전회의(1208)_새벽시장7_주단조 업종 평가결과품의(040416)(1)_용접업종 평가결과품의(040510)" xfId="32145"/>
    <cellStyle name="표_사전회의(1208)_새벽시장7_주단조 업종 평가결과품의(040416)(1)_용접업종 평가결과품의(040510)(1)" xfId="32146"/>
    <cellStyle name="표_사전회의(1208)_새벽시장7_주단조 업종 평가결과품의(040416)(1)_주단조용접업종 평가결과품의(040510)(1)" xfId="32147"/>
    <cellStyle name="표_사전회의(1208)_새벽시장7_최신-SQ인증업체현황1343사(03년평가완료031229수정)" xfId="32148"/>
    <cellStyle name="표_사전회의(1208)_새벽시장7_최신-SQ인증업체현황1343사(03년평가완료031229수정)_용접업종 평가결과품의(040510)" xfId="32149"/>
    <cellStyle name="표_사전회의(1208)_새벽시장7_최신-SQ인증업체현황1343사(03년평가완료031229수정)_용접업종 평가결과품의(040510)(1)" xfId="32150"/>
    <cellStyle name="표_사전회의(1208)_새벽시장7_최신-SQ인증업체현황1343사(03년평가완료031229수정)_주단조용접업종 평가결과품의(040510)(1)" xfId="32151"/>
    <cellStyle name="표_사전회의(1208)_새벽시장8.10xls" xfId="32152"/>
    <cellStyle name="표_사전회의(1208)_새벽시장8.10xls_도금 열처리 주단조 평가품의(040329)" xfId="32153"/>
    <cellStyle name="표_사전회의(1208)_새벽시장8.10xls_도금 열처리 주단조 평가품의(040329)_도금 열처리 주단조 평가품의(040329)" xfId="32154"/>
    <cellStyle name="표_사전회의(1208)_새벽시장8.10xls_도금 열처리 주단조 평가품의(040329)업체" xfId="32155"/>
    <cellStyle name="표_사전회의(1208)_새벽시장8.10xls_열처리결과품의(031017)개발" xfId="32156"/>
    <cellStyle name="표_사전회의(1208)_새벽시장8.10xls_열처리결과품의(031017)개발_도금 열처리 주단조 평가품의(040329)" xfId="32157"/>
    <cellStyle name="표_사전회의(1208)_새벽시장8.10xls_용접업종 평가결과품의(040510)" xfId="32158"/>
    <cellStyle name="표_사전회의(1208)_새벽시장8.10xls_용접업종 평가결과품의(040510)_용접업종 평가결과품의(040510)" xfId="32159"/>
    <cellStyle name="표_사전회의(1208)_새벽시장8.10xls_용접업종 평가결과품의(040510)_용접업종 평가결과품의(040510)(1)" xfId="32160"/>
    <cellStyle name="표_사전회의(1208)_새벽시장8.10xls_용접업종 평가결과품의(040510)_주단조용접업종 평가결과품의(040510)(1)" xfId="32161"/>
    <cellStyle name="표_사전회의(1208)_새벽시장8.10xls_주단조 업종 평가결과품의(040407)" xfId="32162"/>
    <cellStyle name="표_사전회의(1208)_새벽시장8.10xls_주단조 업종 평가결과품의(040407)_용접업종 평가결과품의(040510)" xfId="32163"/>
    <cellStyle name="표_사전회의(1208)_새벽시장8.10xls_주단조 업종 평가결과품의(040407)_용접업종 평가결과품의(040510)(1)" xfId="32164"/>
    <cellStyle name="표_사전회의(1208)_새벽시장8.10xls_주단조 업종 평가결과품의(040407)_주단조용접업종 평가결과품의(040510)(1)" xfId="32165"/>
    <cellStyle name="표_사전회의(1208)_새벽시장8.10xls_주단조 업종 평가결과품의(040416)(1)" xfId="32166"/>
    <cellStyle name="표_사전회의(1208)_새벽시장8.10xls_주단조 업종 평가결과품의(040416)(1)_용접업종 평가결과품의(040510)" xfId="32167"/>
    <cellStyle name="표_사전회의(1208)_새벽시장8.10xls_주단조 업종 평가결과품의(040416)(1)_용접업종 평가결과품의(040510)(1)" xfId="32168"/>
    <cellStyle name="표_사전회의(1208)_새벽시장8.10xls_주단조 업종 평가결과품의(040416)(1)_주단조용접업종 평가결과품의(040510)(1)" xfId="32169"/>
    <cellStyle name="표_사전회의(1208)_새벽시장8.10xls_최신-SQ인증업체현황1343사(03년평가완료031229수정)" xfId="32170"/>
    <cellStyle name="표_사전회의(1208)_새벽시장8.10xls_최신-SQ인증업체현황1343사(03년평가완료031229수정)_용접업종 평가결과품의(040510)" xfId="32171"/>
    <cellStyle name="표_사전회의(1208)_새벽시장8.10xls_최신-SQ인증업체현황1343사(03년평가완료031229수정)_용접업종 평가결과품의(040510)(1)" xfId="32172"/>
    <cellStyle name="표_사전회의(1208)_새벽시장8.10xls_최신-SQ인증업체현황1343사(03년평가완료031229수정)_주단조용접업종 평가결과품의(040510)(1)" xfId="32173"/>
    <cellStyle name="표_사전회의(1208)_새벽시장8.26xls" xfId="32174"/>
    <cellStyle name="표_사전회의(1208)_새벽시장8.26xls_도금 열처리 주단조 평가품의(040329)" xfId="32175"/>
    <cellStyle name="표_사전회의(1208)_새벽시장8.26xls_도금 열처리 주단조 평가품의(040329)_도금 열처리 주단조 평가품의(040329)" xfId="32176"/>
    <cellStyle name="표_사전회의(1208)_새벽시장8.26xls_도금 열처리 주단조 평가품의(040329)업체" xfId="32177"/>
    <cellStyle name="표_사전회의(1208)_새벽시장8.26xls_열처리결과품의(031017)개발" xfId="32178"/>
    <cellStyle name="표_사전회의(1208)_새벽시장8.26xls_열처리결과품의(031017)개발_도금 열처리 주단조 평가품의(040329)" xfId="32179"/>
    <cellStyle name="표_사전회의(1208)_새벽시장8.26xls_용접업종 평가결과품의(040510)" xfId="32180"/>
    <cellStyle name="표_사전회의(1208)_새벽시장8.26xls_용접업종 평가결과품의(040510)_용접업종 평가결과품의(040510)" xfId="32181"/>
    <cellStyle name="표_사전회의(1208)_새벽시장8.26xls_용접업종 평가결과품의(040510)_용접업종 평가결과품의(040510)(1)" xfId="32182"/>
    <cellStyle name="표_사전회의(1208)_새벽시장8.26xls_용접업종 평가결과품의(040510)_주단조용접업종 평가결과품의(040510)(1)" xfId="32183"/>
    <cellStyle name="표_사전회의(1208)_새벽시장8.26xls_주단조 업종 평가결과품의(040407)" xfId="32184"/>
    <cellStyle name="표_사전회의(1208)_새벽시장8.26xls_주단조 업종 평가결과품의(040407)_용접업종 평가결과품의(040510)" xfId="32185"/>
    <cellStyle name="표_사전회의(1208)_새벽시장8.26xls_주단조 업종 평가결과품의(040407)_용접업종 평가결과품의(040510)(1)" xfId="32186"/>
    <cellStyle name="표_사전회의(1208)_새벽시장8.26xls_주단조 업종 평가결과품의(040407)_주단조용접업종 평가결과품의(040510)(1)" xfId="32187"/>
    <cellStyle name="표_사전회의(1208)_새벽시장8.26xls_주단조 업종 평가결과품의(040416)(1)" xfId="32188"/>
    <cellStyle name="표_사전회의(1208)_새벽시장8.26xls_주단조 업종 평가결과품의(040416)(1)_용접업종 평가결과품의(040510)" xfId="32189"/>
    <cellStyle name="표_사전회의(1208)_새벽시장8.26xls_주단조 업종 평가결과품의(040416)(1)_용접업종 평가결과품의(040510)(1)" xfId="32190"/>
    <cellStyle name="표_사전회의(1208)_새벽시장8.26xls_주단조 업종 평가결과품의(040416)(1)_주단조용접업종 평가결과품의(040510)(1)" xfId="32191"/>
    <cellStyle name="표_사전회의(1208)_새벽시장8.26xls_최신-SQ인증업체현황1343사(03년평가완료031229수정)" xfId="32192"/>
    <cellStyle name="표_사전회의(1208)_새벽시장8.26xls_최신-SQ인증업체현황1343사(03년평가완료031229수정)_용접업종 평가결과품의(040510)" xfId="32193"/>
    <cellStyle name="표_사전회의(1208)_새벽시장8.26xls_최신-SQ인증업체현황1343사(03년평가완료031229수정)_용접업종 평가결과품의(040510)(1)" xfId="32194"/>
    <cellStyle name="표_사전회의(1208)_새벽시장8.26xls_최신-SQ인증업체현황1343사(03년평가완료031229수정)_주단조용접업종 평가결과품의(040510)(1)" xfId="32195"/>
    <cellStyle name="표_사전회의(1208)_새벽시장9.16" xfId="32196"/>
    <cellStyle name="표_사전회의(1208)_새벽시장9.16_도금 열처리 주단조 평가품의(040329)" xfId="32197"/>
    <cellStyle name="표_사전회의(1208)_새벽시장9.16_도금 열처리 주단조 평가품의(040329)_도금 열처리 주단조 평가품의(040329)" xfId="32198"/>
    <cellStyle name="표_사전회의(1208)_새벽시장9.16_도금 열처리 주단조 평가품의(040329)업체" xfId="32199"/>
    <cellStyle name="표_사전회의(1208)_새벽시장9.16_열처리결과품의(031017)개발" xfId="32200"/>
    <cellStyle name="표_사전회의(1208)_새벽시장9.16_열처리결과품의(031017)개발_도금 열처리 주단조 평가품의(040329)" xfId="32201"/>
    <cellStyle name="표_사전회의(1208)_새벽시장9.16_용접업종 평가결과품의(040510)" xfId="32202"/>
    <cellStyle name="표_사전회의(1208)_새벽시장9.16_용접업종 평가결과품의(040510)_용접업종 평가결과품의(040510)" xfId="32203"/>
    <cellStyle name="표_사전회의(1208)_새벽시장9.16_용접업종 평가결과품의(040510)_용접업종 평가결과품의(040510)(1)" xfId="32204"/>
    <cellStyle name="표_사전회의(1208)_새벽시장9.16_용접업종 평가결과품의(040510)_주단조용접업종 평가결과품의(040510)(1)" xfId="32205"/>
    <cellStyle name="표_사전회의(1208)_새벽시장9.16_주단조 업종 평가결과품의(040407)" xfId="32206"/>
    <cellStyle name="표_사전회의(1208)_새벽시장9.16_주단조 업종 평가결과품의(040407)_용접업종 평가결과품의(040510)" xfId="32207"/>
    <cellStyle name="표_사전회의(1208)_새벽시장9.16_주단조 업종 평가결과품의(040407)_용접업종 평가결과품의(040510)(1)" xfId="32208"/>
    <cellStyle name="표_사전회의(1208)_새벽시장9.16_주단조 업종 평가결과품의(040407)_주단조용접업종 평가결과품의(040510)(1)" xfId="32209"/>
    <cellStyle name="표_사전회의(1208)_새벽시장9.16_주단조 업종 평가결과품의(040416)(1)" xfId="32210"/>
    <cellStyle name="표_사전회의(1208)_새벽시장9.16_주단조 업종 평가결과품의(040416)(1)_용접업종 평가결과품의(040510)" xfId="32211"/>
    <cellStyle name="표_사전회의(1208)_새벽시장9.16_주단조 업종 평가결과품의(040416)(1)_용접업종 평가결과품의(040510)(1)" xfId="32212"/>
    <cellStyle name="표_사전회의(1208)_새벽시장9.16_주단조 업종 평가결과품의(040416)(1)_주단조용접업종 평가결과품의(040510)(1)" xfId="32213"/>
    <cellStyle name="표_사전회의(1208)_새벽시장9.16_최신-SQ인증업체현황1343사(03년평가완료031229수정)" xfId="32214"/>
    <cellStyle name="표_사전회의(1208)_새벽시장9.16_최신-SQ인증업체현황1343사(03년평가완료031229수정)_용접업종 평가결과품의(040510)" xfId="32215"/>
    <cellStyle name="표_사전회의(1208)_새벽시장9.16_최신-SQ인증업체현황1343사(03년평가완료031229수정)_용접업종 평가결과품의(040510)(1)" xfId="32216"/>
    <cellStyle name="표_사전회의(1208)_새벽시장9.16_최신-SQ인증업체현황1343사(03년평가완료031229수정)_주단조용접업종 평가결과품의(040510)(1)" xfId="32217"/>
    <cellStyle name="표_사전회의(1208)_열처리결과품의(031017)개발" xfId="32218"/>
    <cellStyle name="표_사전회의(1208)_열처리결과품의(031017)개발_도금 열처리 주단조 평가품의(040329)" xfId="32219"/>
    <cellStyle name="표_사전회의(1208)_용접업종 평가결과품의(040510)" xfId="32220"/>
    <cellStyle name="표_사전회의(1208)_용접업종 평가결과품의(040510)_용접업종 평가결과품의(040510)" xfId="32221"/>
    <cellStyle name="표_사전회의(1208)_용접업종 평가결과품의(040510)_용접업종 평가결과품의(040510)(1)" xfId="32222"/>
    <cellStyle name="표_사전회의(1208)_용접업종 평가결과품의(040510)_주단조용접업종 평가결과품의(040510)(1)" xfId="32223"/>
    <cellStyle name="표_사전회의(1208)_주단조 업종 평가결과품의(040407)" xfId="32224"/>
    <cellStyle name="표_사전회의(1208)_주단조 업종 평가결과품의(040407)_용접업종 평가결과품의(040510)" xfId="32225"/>
    <cellStyle name="표_사전회의(1208)_주단조 업종 평가결과품의(040407)_용접업종 평가결과품의(040510)(1)" xfId="32226"/>
    <cellStyle name="표_사전회의(1208)_주단조 업종 평가결과품의(040407)_주단조용접업종 평가결과품의(040510)(1)" xfId="32227"/>
    <cellStyle name="표_사전회의(1208)_주단조 업종 평가결과품의(040416)(1)" xfId="32228"/>
    <cellStyle name="표_사전회의(1208)_주단조 업종 평가결과품의(040416)(1)_용접업종 평가결과품의(040510)" xfId="32229"/>
    <cellStyle name="표_사전회의(1208)_주단조 업종 평가결과품의(040416)(1)_용접업종 평가결과품의(040510)(1)" xfId="32230"/>
    <cellStyle name="표_사전회의(1208)_주단조 업종 평가결과품의(040416)(1)_주단조용접업종 평가결과품의(040510)(1)" xfId="32231"/>
    <cellStyle name="표_사전회의(1208)_최신-SQ인증업체현황1343사(03년평가완료031229수정)" xfId="32232"/>
    <cellStyle name="표_사전회의(1208)_최신-SQ인증업체현황1343사(03년평가완료031229수정)_용접업종 평가결과품의(040510)" xfId="32233"/>
    <cellStyle name="표_사전회의(1208)_최신-SQ인증업체현황1343사(03년평가완료031229수정)_용접업종 평가결과품의(040510)(1)" xfId="32234"/>
    <cellStyle name="표_사전회의(1208)_최신-SQ인증업체현황1343사(03년평가완료031229수정)_주단조용접업종 평가결과품의(040510)(1)" xfId="32235"/>
    <cellStyle name="표_새벽시장1" xfId="32236"/>
    <cellStyle name="표_새벽시장1_도금 열처리 주단조 평가품의(040329)" xfId="32237"/>
    <cellStyle name="표_새벽시장1_도금 열처리 주단조 평가품의(040329)_도금 열처리 주단조 평가품의(040329)" xfId="32238"/>
    <cellStyle name="표_새벽시장1_도금 열처리 주단조 평가품의(040329)업체" xfId="32239"/>
    <cellStyle name="표_새벽시장1_열처리결과품의(031017)개발" xfId="32240"/>
    <cellStyle name="표_새벽시장1_열처리결과품의(031017)개발_도금 열처리 주단조 평가품의(040329)" xfId="32241"/>
    <cellStyle name="표_새벽시장1_용접업종 평가결과품의(040510)" xfId="32242"/>
    <cellStyle name="표_새벽시장1_용접업종 평가결과품의(040510)_용접업종 평가결과품의(040510)" xfId="32243"/>
    <cellStyle name="표_새벽시장1_용접업종 평가결과품의(040510)_용접업종 평가결과품의(040510)(1)" xfId="32244"/>
    <cellStyle name="표_새벽시장1_용접업종 평가결과품의(040510)_주단조용접업종 평가결과품의(040510)(1)" xfId="32245"/>
    <cellStyle name="표_새벽시장1_주단조 업종 평가결과품의(040407)" xfId="32246"/>
    <cellStyle name="표_새벽시장1_주단조 업종 평가결과품의(040407)_용접업종 평가결과품의(040510)" xfId="32247"/>
    <cellStyle name="표_새벽시장1_주단조 업종 평가결과품의(040407)_용접업종 평가결과품의(040510)(1)" xfId="32248"/>
    <cellStyle name="표_새벽시장1_주단조 업종 평가결과품의(040407)_주단조용접업종 평가결과품의(040510)(1)" xfId="32249"/>
    <cellStyle name="표_새벽시장1_주단조 업종 평가결과품의(040416)(1)" xfId="32250"/>
    <cellStyle name="표_새벽시장1_주단조 업종 평가결과품의(040416)(1)_용접업종 평가결과품의(040510)" xfId="32251"/>
    <cellStyle name="표_새벽시장1_주단조 업종 평가결과품의(040416)(1)_용접업종 평가결과품의(040510)(1)" xfId="32252"/>
    <cellStyle name="표_새벽시장1_주단조 업종 평가결과품의(040416)(1)_주단조용접업종 평가결과품의(040510)(1)" xfId="32253"/>
    <cellStyle name="표_새벽시장1_최신-SQ인증업체현황1343사(03년평가완료031229수정)" xfId="32254"/>
    <cellStyle name="표_새벽시장1_최신-SQ인증업체현황1343사(03년평가완료031229수정)_용접업종 평가결과품의(040510)" xfId="32255"/>
    <cellStyle name="표_새벽시장1_최신-SQ인증업체현황1343사(03년평가완료031229수정)_용접업종 평가결과품의(040510)(1)" xfId="32256"/>
    <cellStyle name="표_새벽시장1_최신-SQ인증업체현황1343사(03년평가완료031229수정)_주단조용접업종 평가결과품의(040510)(1)" xfId="32257"/>
    <cellStyle name="표_새벽시장3" xfId="32258"/>
    <cellStyle name="표_새벽시장3_도금 열처리 주단조 평가품의(040329)" xfId="32259"/>
    <cellStyle name="표_새벽시장3_도금 열처리 주단조 평가품의(040329)_도금 열처리 주단조 평가품의(040329)" xfId="32260"/>
    <cellStyle name="표_새벽시장3_도금 열처리 주단조 평가품의(040329)업체" xfId="32261"/>
    <cellStyle name="표_새벽시장3_열처리결과품의(031017)개발" xfId="32262"/>
    <cellStyle name="표_새벽시장3_열처리결과품의(031017)개발_도금 열처리 주단조 평가품의(040329)" xfId="32263"/>
    <cellStyle name="표_새벽시장3_용접업종 평가결과품의(040510)" xfId="32264"/>
    <cellStyle name="표_새벽시장3_용접업종 평가결과품의(040510)_용접업종 평가결과품의(040510)" xfId="32265"/>
    <cellStyle name="표_새벽시장3_용접업종 평가결과품의(040510)_용접업종 평가결과품의(040510)(1)" xfId="32266"/>
    <cellStyle name="표_새벽시장3_용접업종 평가결과품의(040510)_주단조용접업종 평가결과품의(040510)(1)" xfId="32267"/>
    <cellStyle name="표_새벽시장3_주단조 업종 평가결과품의(040407)" xfId="32268"/>
    <cellStyle name="표_새벽시장3_주단조 업종 평가결과품의(040407)_용접업종 평가결과품의(040510)" xfId="32269"/>
    <cellStyle name="표_새벽시장3_주단조 업종 평가결과품의(040407)_용접업종 평가결과품의(040510)(1)" xfId="32270"/>
    <cellStyle name="표_새벽시장3_주단조 업종 평가결과품의(040407)_주단조용접업종 평가결과품의(040510)(1)" xfId="32271"/>
    <cellStyle name="표_새벽시장3_주단조 업종 평가결과품의(040416)(1)" xfId="32272"/>
    <cellStyle name="표_새벽시장3_주단조 업종 평가결과품의(040416)(1)_용접업종 평가결과품의(040510)" xfId="32273"/>
    <cellStyle name="표_새벽시장3_주단조 업종 평가결과품의(040416)(1)_용접업종 평가결과품의(040510)(1)" xfId="32274"/>
    <cellStyle name="표_새벽시장3_주단조 업종 평가결과품의(040416)(1)_주단조용접업종 평가결과품의(040510)(1)" xfId="32275"/>
    <cellStyle name="표_새벽시장3_최신-SQ인증업체현황1343사(03년평가완료031229수정)" xfId="32276"/>
    <cellStyle name="표_새벽시장3_최신-SQ인증업체현황1343사(03년평가완료031229수정)_용접업종 평가결과품의(040510)" xfId="32277"/>
    <cellStyle name="표_새벽시장3_최신-SQ인증업체현황1343사(03년평가완료031229수정)_용접업종 평가결과품의(040510)(1)" xfId="32278"/>
    <cellStyle name="표_새벽시장3_최신-SQ인증업체현황1343사(03년평가완료031229수정)_주단조용접업종 평가결과품의(040510)(1)" xfId="32279"/>
    <cellStyle name="표_새벽시장5" xfId="32280"/>
    <cellStyle name="표_새벽시장5_도금 열처리 주단조 평가품의(040329)" xfId="32281"/>
    <cellStyle name="표_새벽시장5_도금 열처리 주단조 평가품의(040329)_도금 열처리 주단조 평가품의(040329)" xfId="32282"/>
    <cellStyle name="표_새벽시장5_도금 열처리 주단조 평가품의(040329)업체" xfId="32283"/>
    <cellStyle name="표_새벽시장5_열처리결과품의(031017)개발" xfId="32284"/>
    <cellStyle name="표_새벽시장5_열처리결과품의(031017)개발_도금 열처리 주단조 평가품의(040329)" xfId="32285"/>
    <cellStyle name="표_새벽시장5_용접업종 평가결과품의(040510)" xfId="32286"/>
    <cellStyle name="표_새벽시장5_용접업종 평가결과품의(040510)_용접업종 평가결과품의(040510)" xfId="32287"/>
    <cellStyle name="표_새벽시장5_용접업종 평가결과품의(040510)_용접업종 평가결과품의(040510)(1)" xfId="32288"/>
    <cellStyle name="표_새벽시장5_용접업종 평가결과품의(040510)_주단조용접업종 평가결과품의(040510)(1)" xfId="32289"/>
    <cellStyle name="표_새벽시장5_주단조 업종 평가결과품의(040407)" xfId="32290"/>
    <cellStyle name="표_새벽시장5_주단조 업종 평가결과품의(040407)_용접업종 평가결과품의(040510)" xfId="32291"/>
    <cellStyle name="표_새벽시장5_주단조 업종 평가결과품의(040407)_용접업종 평가결과품의(040510)(1)" xfId="32292"/>
    <cellStyle name="표_새벽시장5_주단조 업종 평가결과품의(040407)_주단조용접업종 평가결과품의(040510)(1)" xfId="32293"/>
    <cellStyle name="표_새벽시장5_주단조 업종 평가결과품의(040416)(1)" xfId="32294"/>
    <cellStyle name="표_새벽시장5_주단조 업종 평가결과품의(040416)(1)_용접업종 평가결과품의(040510)" xfId="32295"/>
    <cellStyle name="표_새벽시장5_주단조 업종 평가결과품의(040416)(1)_용접업종 평가결과품의(040510)(1)" xfId="32296"/>
    <cellStyle name="표_새벽시장5_주단조 업종 평가결과품의(040416)(1)_주단조용접업종 평가결과품의(040510)(1)" xfId="32297"/>
    <cellStyle name="표_새벽시장5_최신-SQ인증업체현황1343사(03년평가완료031229수정)" xfId="32298"/>
    <cellStyle name="표_새벽시장5_최신-SQ인증업체현황1343사(03년평가완료031229수정)_용접업종 평가결과품의(040510)" xfId="32299"/>
    <cellStyle name="표_새벽시장5_최신-SQ인증업체현황1343사(03년평가완료031229수정)_용접업종 평가결과품의(040510)(1)" xfId="32300"/>
    <cellStyle name="표_새벽시장5_최신-SQ인증업체현황1343사(03년평가완료031229수정)_주단조용접업종 평가결과품의(040510)(1)" xfId="32301"/>
    <cellStyle name="표_새벽시장7" xfId="32302"/>
    <cellStyle name="표_새벽시장7_도금 열처리 주단조 평가품의(040329)" xfId="32303"/>
    <cellStyle name="표_새벽시장7_도금 열처리 주단조 평가품의(040329)_도금 열처리 주단조 평가품의(040329)" xfId="32304"/>
    <cellStyle name="표_새벽시장7_도금 열처리 주단조 평가품의(040329)업체" xfId="32305"/>
    <cellStyle name="표_새벽시장7_열처리결과품의(031017)개발" xfId="32306"/>
    <cellStyle name="표_새벽시장7_열처리결과품의(031017)개발_도금 열처리 주단조 평가품의(040329)" xfId="32307"/>
    <cellStyle name="표_새벽시장7_용접업종 평가결과품의(040510)" xfId="32308"/>
    <cellStyle name="표_새벽시장7_용접업종 평가결과품의(040510)_용접업종 평가결과품의(040510)" xfId="32309"/>
    <cellStyle name="표_새벽시장7_용접업종 평가결과품의(040510)_용접업종 평가결과품의(040510)(1)" xfId="32310"/>
    <cellStyle name="표_새벽시장7_용접업종 평가결과품의(040510)_주단조용접업종 평가결과품의(040510)(1)" xfId="32311"/>
    <cellStyle name="표_새벽시장7_주단조 업종 평가결과품의(040407)" xfId="32312"/>
    <cellStyle name="표_새벽시장7_주단조 업종 평가결과품의(040407)_용접업종 평가결과품의(040510)" xfId="32313"/>
    <cellStyle name="표_새벽시장7_주단조 업종 평가결과품의(040407)_용접업종 평가결과품의(040510)(1)" xfId="32314"/>
    <cellStyle name="표_새벽시장7_주단조 업종 평가결과품의(040407)_주단조용접업종 평가결과품의(040510)(1)" xfId="32315"/>
    <cellStyle name="표_새벽시장7_주단조 업종 평가결과품의(040416)(1)" xfId="32316"/>
    <cellStyle name="표_새벽시장7_주단조 업종 평가결과품의(040416)(1)_용접업종 평가결과품의(040510)" xfId="32317"/>
    <cellStyle name="표_새벽시장7_주단조 업종 평가결과품의(040416)(1)_용접업종 평가결과품의(040510)(1)" xfId="32318"/>
    <cellStyle name="표_새벽시장7_주단조 업종 평가결과품의(040416)(1)_주단조용접업종 평가결과품의(040510)(1)" xfId="32319"/>
    <cellStyle name="표_새벽시장7_최신-SQ인증업체현황1343사(03년평가완료031229수정)" xfId="32320"/>
    <cellStyle name="표_새벽시장7_최신-SQ인증업체현황1343사(03년평가완료031229수정)_용접업종 평가결과품의(040510)" xfId="32321"/>
    <cellStyle name="표_새벽시장7_최신-SQ인증업체현황1343사(03년평가완료031229수정)_용접업종 평가결과품의(040510)(1)" xfId="32322"/>
    <cellStyle name="표_새벽시장7_최신-SQ인증업체현황1343사(03년평가완료031229수정)_주단조용접업종 평가결과품의(040510)(1)" xfId="32323"/>
    <cellStyle name="표_새벽시장8.10xls" xfId="32324"/>
    <cellStyle name="표_새벽시장8.10xls_도금 열처리 주단조 평가품의(040329)" xfId="32325"/>
    <cellStyle name="표_새벽시장8.10xls_도금 열처리 주단조 평가품의(040329)_도금 열처리 주단조 평가품의(040329)" xfId="32326"/>
    <cellStyle name="표_새벽시장8.10xls_도금 열처리 주단조 평가품의(040329)업체" xfId="32327"/>
    <cellStyle name="표_새벽시장8.10xls_열처리결과품의(031017)개발" xfId="32328"/>
    <cellStyle name="표_새벽시장8.10xls_열처리결과품의(031017)개발_도금 열처리 주단조 평가품의(040329)" xfId="32329"/>
    <cellStyle name="표_새벽시장8.10xls_용접업종 평가결과품의(040510)" xfId="32330"/>
    <cellStyle name="표_새벽시장8.10xls_용접업종 평가결과품의(040510)_용접업종 평가결과품의(040510)" xfId="32331"/>
    <cellStyle name="표_새벽시장8.10xls_용접업종 평가결과품의(040510)_용접업종 평가결과품의(040510)(1)" xfId="32332"/>
    <cellStyle name="표_새벽시장8.10xls_용접업종 평가결과품의(040510)_주단조용접업종 평가결과품의(040510)(1)" xfId="32333"/>
    <cellStyle name="표_새벽시장8.10xls_주단조 업종 평가결과품의(040407)" xfId="32334"/>
    <cellStyle name="표_새벽시장8.10xls_주단조 업종 평가결과품의(040407)_용접업종 평가결과품의(040510)" xfId="32335"/>
    <cellStyle name="표_새벽시장8.10xls_주단조 업종 평가결과품의(040407)_용접업종 평가결과품의(040510)(1)" xfId="32336"/>
    <cellStyle name="표_새벽시장8.10xls_주단조 업종 평가결과품의(040407)_주단조용접업종 평가결과품의(040510)(1)" xfId="32337"/>
    <cellStyle name="표_새벽시장8.10xls_주단조 업종 평가결과품의(040416)(1)" xfId="32338"/>
    <cellStyle name="표_새벽시장8.10xls_주단조 업종 평가결과품의(040416)(1)_용접업종 평가결과품의(040510)" xfId="32339"/>
    <cellStyle name="표_새벽시장8.10xls_주단조 업종 평가결과품의(040416)(1)_용접업종 평가결과품의(040510)(1)" xfId="32340"/>
    <cellStyle name="표_새벽시장8.10xls_주단조 업종 평가결과품의(040416)(1)_주단조용접업종 평가결과품의(040510)(1)" xfId="32341"/>
    <cellStyle name="표_새벽시장8.10xls_최신-SQ인증업체현황1343사(03년평가완료031229수정)" xfId="32342"/>
    <cellStyle name="표_새벽시장8.10xls_최신-SQ인증업체현황1343사(03년평가완료031229수정)_용접업종 평가결과품의(040510)" xfId="32343"/>
    <cellStyle name="표_새벽시장8.10xls_최신-SQ인증업체현황1343사(03년평가완료031229수정)_용접업종 평가결과품의(040510)(1)" xfId="32344"/>
    <cellStyle name="표_새벽시장8.10xls_최신-SQ인증업체현황1343사(03년평가완료031229수정)_주단조용접업종 평가결과품의(040510)(1)" xfId="32345"/>
    <cellStyle name="표_새벽시장8.26xls" xfId="32346"/>
    <cellStyle name="표_새벽시장8.26xls_도금 열처리 주단조 평가품의(040329)" xfId="32347"/>
    <cellStyle name="표_새벽시장8.26xls_도금 열처리 주단조 평가품의(040329)_도금 열처리 주단조 평가품의(040329)" xfId="32348"/>
    <cellStyle name="표_새벽시장8.26xls_도금 열처리 주단조 평가품의(040329)업체" xfId="32349"/>
    <cellStyle name="표_새벽시장8.26xls_열처리결과품의(031017)개발" xfId="32350"/>
    <cellStyle name="표_새벽시장8.26xls_열처리결과품의(031017)개발_도금 열처리 주단조 평가품의(040329)" xfId="32351"/>
    <cellStyle name="표_새벽시장8.26xls_용접업종 평가결과품의(040510)" xfId="32352"/>
    <cellStyle name="표_새벽시장8.26xls_용접업종 평가결과품의(040510)_용접업종 평가결과품의(040510)" xfId="32353"/>
    <cellStyle name="표_새벽시장8.26xls_용접업종 평가결과품의(040510)_용접업종 평가결과품의(040510)(1)" xfId="32354"/>
    <cellStyle name="표_새벽시장8.26xls_용접업종 평가결과품의(040510)_주단조용접업종 평가결과품의(040510)(1)" xfId="32355"/>
    <cellStyle name="표_새벽시장8.26xls_주단조 업종 평가결과품의(040407)" xfId="32356"/>
    <cellStyle name="표_새벽시장8.26xls_주단조 업종 평가결과품의(040407)_용접업종 평가결과품의(040510)" xfId="32357"/>
    <cellStyle name="표_새벽시장8.26xls_주단조 업종 평가결과품의(040407)_용접업종 평가결과품의(040510)(1)" xfId="32358"/>
    <cellStyle name="표_새벽시장8.26xls_주단조 업종 평가결과품의(040407)_주단조용접업종 평가결과품의(040510)(1)" xfId="32359"/>
    <cellStyle name="표_새벽시장8.26xls_주단조 업종 평가결과품의(040416)(1)" xfId="32360"/>
    <cellStyle name="표_새벽시장8.26xls_주단조 업종 평가결과품의(040416)(1)_용접업종 평가결과품의(040510)" xfId="32361"/>
    <cellStyle name="표_새벽시장8.26xls_주단조 업종 평가결과품의(040416)(1)_용접업종 평가결과품의(040510)(1)" xfId="32362"/>
    <cellStyle name="표_새벽시장8.26xls_주단조 업종 평가결과품의(040416)(1)_주단조용접업종 평가결과품의(040510)(1)" xfId="32363"/>
    <cellStyle name="표_새벽시장8.26xls_최신-SQ인증업체현황1343사(03년평가완료031229수정)" xfId="32364"/>
    <cellStyle name="표_새벽시장8.26xls_최신-SQ인증업체현황1343사(03년평가완료031229수정)_용접업종 평가결과품의(040510)" xfId="32365"/>
    <cellStyle name="표_새벽시장8.26xls_최신-SQ인증업체현황1343사(03년평가완료031229수정)_용접업종 평가결과품의(040510)(1)" xfId="32366"/>
    <cellStyle name="표_새벽시장8.26xls_최신-SQ인증업체현황1343사(03년평가완료031229수정)_주단조용접업종 평가결과품의(040510)(1)" xfId="32367"/>
    <cellStyle name="표_새벽시장9.16" xfId="32368"/>
    <cellStyle name="표_새벽시장9.16_도금 열처리 주단조 평가품의(040329)" xfId="32369"/>
    <cellStyle name="표_새벽시장9.16_도금 열처리 주단조 평가품의(040329)_도금 열처리 주단조 평가품의(040329)" xfId="32370"/>
    <cellStyle name="표_새벽시장9.16_도금 열처리 주단조 평가품의(040329)업체" xfId="32371"/>
    <cellStyle name="표_새벽시장9.16_열처리결과품의(031017)개발" xfId="32372"/>
    <cellStyle name="표_새벽시장9.16_열처리결과품의(031017)개발_도금 열처리 주단조 평가품의(040329)" xfId="32373"/>
    <cellStyle name="표_새벽시장9.16_용접업종 평가결과품의(040510)" xfId="32374"/>
    <cellStyle name="표_새벽시장9.16_용접업종 평가결과품의(040510)_용접업종 평가결과품의(040510)" xfId="32375"/>
    <cellStyle name="표_새벽시장9.16_용접업종 평가결과품의(040510)_용접업종 평가결과품의(040510)(1)" xfId="32376"/>
    <cellStyle name="표_새벽시장9.16_용접업종 평가결과품의(040510)_주단조용접업종 평가결과품의(040510)(1)" xfId="32377"/>
    <cellStyle name="표_새벽시장9.16_주단조 업종 평가결과품의(040407)" xfId="32378"/>
    <cellStyle name="표_새벽시장9.16_주단조 업종 평가결과품의(040407)_용접업종 평가결과품의(040510)" xfId="32379"/>
    <cellStyle name="표_새벽시장9.16_주단조 업종 평가결과품의(040407)_용접업종 평가결과품의(040510)(1)" xfId="32380"/>
    <cellStyle name="표_새벽시장9.16_주단조 업종 평가결과품의(040407)_주단조용접업종 평가결과품의(040510)(1)" xfId="32381"/>
    <cellStyle name="표_새벽시장9.16_주단조 업종 평가결과품의(040416)(1)" xfId="32382"/>
    <cellStyle name="표_새벽시장9.16_주단조 업종 평가결과품의(040416)(1)_용접업종 평가결과품의(040510)" xfId="32383"/>
    <cellStyle name="표_새벽시장9.16_주단조 업종 평가결과품의(040416)(1)_용접업종 평가결과품의(040510)(1)" xfId="32384"/>
    <cellStyle name="표_새벽시장9.16_주단조 업종 평가결과품의(040416)(1)_주단조용접업종 평가결과품의(040510)(1)" xfId="32385"/>
    <cellStyle name="표_새벽시장9.16_최신-SQ인증업체현황1343사(03년평가완료031229수정)" xfId="32386"/>
    <cellStyle name="표_새벽시장9.16_최신-SQ인증업체현황1343사(03년평가완료031229수정)_용접업종 평가결과품의(040510)" xfId="32387"/>
    <cellStyle name="표_새벽시장9.16_최신-SQ인증업체현황1343사(03년평가완료031229수정)_용접업종 평가결과품의(040510)(1)" xfId="32388"/>
    <cellStyle name="표_새벽시장9.16_최신-SQ인증업체현황1343사(03년평가완료031229수정)_주단조용접업종 평가결과품의(040510)(1)" xfId="32389"/>
    <cellStyle name="표_열처리결과품의(031017)개발" xfId="32390"/>
    <cellStyle name="표_열처리결과품의(031017)개발_도금 열처리 주단조 평가품의(040329)" xfId="32391"/>
    <cellStyle name="표_용접업종 평가결과품의(040510)" xfId="32392"/>
    <cellStyle name="표_용접업종 평가결과품의(040510)_용접업종 평가결과품의(040510)" xfId="32393"/>
    <cellStyle name="표_용접업종 평가결과품의(040510)_용접업종 평가결과품의(040510)(1)" xfId="32394"/>
    <cellStyle name="표_용접업종 평가결과품의(040510)_주단조용접업종 평가결과품의(040510)(1)" xfId="32395"/>
    <cellStyle name="표_주단조 업종 평가결과품의(040407)" xfId="32396"/>
    <cellStyle name="표_주단조 업종 평가결과품의(040407)_용접업종 평가결과품의(040510)" xfId="32397"/>
    <cellStyle name="표_주단조 업종 평가결과품의(040407)_용접업종 평가결과품의(040510)(1)" xfId="32398"/>
    <cellStyle name="표_주단조 업종 평가결과품의(040407)_주단조용접업종 평가결과품의(040510)(1)" xfId="32399"/>
    <cellStyle name="표_주단조 업종 평가결과품의(040416)(1)" xfId="32400"/>
    <cellStyle name="표_주단조 업종 평가결과품의(040416)(1)_용접업종 평가결과품의(040510)" xfId="32401"/>
    <cellStyle name="표_주단조 업종 평가결과품의(040416)(1)_용접업종 평가결과품의(040510)(1)" xfId="32402"/>
    <cellStyle name="표_주단조 업종 평가결과품의(040416)(1)_주단조용접업종 평가결과품의(040510)(1)" xfId="32403"/>
    <cellStyle name="표_최신-SQ인증업체현황1343사(03년평가완료031229수정)" xfId="32404"/>
    <cellStyle name="표_최신-SQ인증업체현황1343사(03년평가완료031229수정)_용접업종 평가결과품의(040510)" xfId="32405"/>
    <cellStyle name="표_최신-SQ인증업체현황1343사(03년평가완료031229수정)_용접업종 평가결과품의(040510)(1)" xfId="32406"/>
    <cellStyle name="표_최신-SQ인증업체현황1343사(03년평가완료031229수정)_주단조용접업종 평가결과품의(040510)(1)" xfId="32407"/>
    <cellStyle name="표_출장계획서" xfId="32408"/>
    <cellStyle name="표_출장계획서_ROTATION 유동" xfId="32409"/>
    <cellStyle name="표_출장계획서_ROTATION 유동_도금 열처리 주단조 평가품의(040329)" xfId="32410"/>
    <cellStyle name="표_출장계획서_ROTATION 유동_도금 열처리 주단조 평가품의(040329)_도금 열처리 주단조 평가품의(040329)" xfId="32411"/>
    <cellStyle name="표_출장계획서_ROTATION 유동_도금 열처리 주단조 평가품의(040329)업체" xfId="32412"/>
    <cellStyle name="표_출장계획서_ROTATION 유동_열처리결과품의(031017)개발" xfId="32413"/>
    <cellStyle name="표_출장계획서_ROTATION 유동_열처리결과품의(031017)개발_도금 열처리 주단조 평가품의(040329)" xfId="32414"/>
    <cellStyle name="표_출장계획서_ROTATION 유동_용접업종 평가결과품의(040510)" xfId="32415"/>
    <cellStyle name="표_출장계획서_ROTATION 유동_용접업종 평가결과품의(040510)_용접업종 평가결과품의(040510)" xfId="32416"/>
    <cellStyle name="표_출장계획서_ROTATION 유동_용접업종 평가결과품의(040510)_용접업종 평가결과품의(040510)(1)" xfId="32417"/>
    <cellStyle name="표_출장계획서_ROTATION 유동_용접업종 평가결과품의(040510)_주단조용접업종 평가결과품의(040510)(1)" xfId="32418"/>
    <cellStyle name="표_출장계획서_ROTATION 유동_주단조 업종 평가결과품의(040407)" xfId="32419"/>
    <cellStyle name="표_출장계획서_ROTATION 유동_주단조 업종 평가결과품의(040407)_용접업종 평가결과품의(040510)" xfId="32420"/>
    <cellStyle name="표_출장계획서_ROTATION 유동_주단조 업종 평가결과품의(040407)_용접업종 평가결과품의(040510)(1)" xfId="32421"/>
    <cellStyle name="표_출장계획서_ROTATION 유동_주단조 업종 평가결과품의(040407)_주단조용접업종 평가결과품의(040510)(1)" xfId="32422"/>
    <cellStyle name="표_출장계획서_ROTATION 유동_주단조 업종 평가결과품의(040416)(1)" xfId="32423"/>
    <cellStyle name="표_출장계획서_ROTATION 유동_주단조 업종 평가결과품의(040416)(1)_용접업종 평가결과품의(040510)" xfId="32424"/>
    <cellStyle name="표_출장계획서_ROTATION 유동_주단조 업종 평가결과품의(040416)(1)_용접업종 평가결과품의(040510)(1)" xfId="32425"/>
    <cellStyle name="표_출장계획서_ROTATION 유동_주단조 업종 평가결과품의(040416)(1)_주단조용접업종 평가결과품의(040510)(1)" xfId="32426"/>
    <cellStyle name="표_출장계획서_ROTATION 유동_최신-SQ인증업체현황1343사(03년평가완료031229수정)" xfId="32427"/>
    <cellStyle name="표_출장계획서_ROTATION 유동_최신-SQ인증업체현황1343사(03년평가완료031229수정)_용접업종 평가결과품의(040510)" xfId="32428"/>
    <cellStyle name="표_출장계획서_ROTATION 유동_최신-SQ인증업체현황1343사(03년평가완료031229수정)_용접업종 평가결과품의(040510)(1)" xfId="32429"/>
    <cellStyle name="표_출장계획서_ROTATION 유동_최신-SQ인증업체현황1343사(03년평가완료031229수정)_주단조용접업종 평가결과품의(040510)(1)" xfId="32430"/>
    <cellStyle name="표_출장계획서_SLIDE 폭" xfId="32431"/>
    <cellStyle name="표_출장계획서_SLIDE 폭_도금 열처리 주단조 평가품의(040329)" xfId="32432"/>
    <cellStyle name="표_출장계획서_SLIDE 폭_도금 열처리 주단조 평가품의(040329)_도금 열처리 주단조 평가품의(040329)" xfId="32433"/>
    <cellStyle name="표_출장계획서_SLIDE 폭_도금 열처리 주단조 평가품의(040329)업체" xfId="32434"/>
    <cellStyle name="표_출장계획서_SLIDE 폭_열처리결과품의(031017)개발" xfId="32435"/>
    <cellStyle name="표_출장계획서_SLIDE 폭_열처리결과품의(031017)개발_도금 열처리 주단조 평가품의(040329)" xfId="32436"/>
    <cellStyle name="표_출장계획서_SLIDE 폭_용접업종 평가결과품의(040510)" xfId="32437"/>
    <cellStyle name="표_출장계획서_SLIDE 폭_용접업종 평가결과품의(040510)_용접업종 평가결과품의(040510)" xfId="32438"/>
    <cellStyle name="표_출장계획서_SLIDE 폭_용접업종 평가결과품의(040510)_용접업종 평가결과품의(040510)(1)" xfId="32439"/>
    <cellStyle name="표_출장계획서_SLIDE 폭_용접업종 평가결과품의(040510)_주단조용접업종 평가결과품의(040510)(1)" xfId="32440"/>
    <cellStyle name="표_출장계획서_SLIDE 폭_주단조 업종 평가결과품의(040407)" xfId="32441"/>
    <cellStyle name="표_출장계획서_SLIDE 폭_주단조 업종 평가결과품의(040407)_용접업종 평가결과품의(040510)" xfId="32442"/>
    <cellStyle name="표_출장계획서_SLIDE 폭_주단조 업종 평가결과품의(040407)_용접업종 평가결과품의(040510)(1)" xfId="32443"/>
    <cellStyle name="표_출장계획서_SLIDE 폭_주단조 업종 평가결과품의(040407)_주단조용접업종 평가결과품의(040510)(1)" xfId="32444"/>
    <cellStyle name="표_출장계획서_SLIDE 폭_주단조 업종 평가결과품의(040416)(1)" xfId="32445"/>
    <cellStyle name="표_출장계획서_SLIDE 폭_주단조 업종 평가결과품의(040416)(1)_용접업종 평가결과품의(040510)" xfId="32446"/>
    <cellStyle name="표_출장계획서_SLIDE 폭_주단조 업종 평가결과품의(040416)(1)_용접업종 평가결과품의(040510)(1)" xfId="32447"/>
    <cellStyle name="표_출장계획서_SLIDE 폭_주단조 업종 평가결과품의(040416)(1)_주단조용접업종 평가결과품의(040510)(1)" xfId="32448"/>
    <cellStyle name="표_출장계획서_SLIDE 폭_최신-SQ인증업체현황1343사(03년평가완료031229수정)" xfId="32449"/>
    <cellStyle name="표_출장계획서_SLIDE 폭_최신-SQ인증업체현황1343사(03년평가완료031229수정)_용접업종 평가결과품의(040510)" xfId="32450"/>
    <cellStyle name="표_출장계획서_SLIDE 폭_최신-SQ인증업체현황1343사(03년평가완료031229수정)_용접업종 평가결과품의(040510)(1)" xfId="32451"/>
    <cellStyle name="표_출장계획서_SLIDE 폭_최신-SQ인증업체현황1343사(03년평가완료031229수정)_주단조용접업종 평가결과품의(040510)(1)" xfId="32452"/>
    <cellStyle name="표_출장계획서_도금 열처리 주단조 평가품의(040329)" xfId="32453"/>
    <cellStyle name="표_출장계획서_도금 열처리 주단조 평가품의(040329)_도금 열처리 주단조 평가품의(040329)" xfId="32454"/>
    <cellStyle name="표_출장계획서_도금 열처리 주단조 평가품의(040329)업체" xfId="32455"/>
    <cellStyle name="표_출장계획서_새벽시장1" xfId="32456"/>
    <cellStyle name="표_출장계획서_새벽시장1_도금 열처리 주단조 평가품의(040329)" xfId="32457"/>
    <cellStyle name="표_출장계획서_새벽시장1_도금 열처리 주단조 평가품의(040329)_도금 열처리 주단조 평가품의(040329)" xfId="32458"/>
    <cellStyle name="표_출장계획서_새벽시장1_도금 열처리 주단조 평가품의(040329)업체" xfId="32459"/>
    <cellStyle name="표_출장계획서_새벽시장1_열처리결과품의(031017)개발" xfId="32460"/>
    <cellStyle name="표_출장계획서_새벽시장1_열처리결과품의(031017)개발_도금 열처리 주단조 평가품의(040329)" xfId="32461"/>
    <cellStyle name="표_출장계획서_새벽시장1_용접업종 평가결과품의(040510)" xfId="32462"/>
    <cellStyle name="표_출장계획서_새벽시장1_용접업종 평가결과품의(040510)_용접업종 평가결과품의(040510)" xfId="32463"/>
    <cellStyle name="표_출장계획서_새벽시장1_용접업종 평가결과품의(040510)_용접업종 평가결과품의(040510)(1)" xfId="32464"/>
    <cellStyle name="표_출장계획서_새벽시장1_용접업종 평가결과품의(040510)_주단조용접업종 평가결과품의(040510)(1)" xfId="32465"/>
    <cellStyle name="표_출장계획서_새벽시장1_주단조 업종 평가결과품의(040407)" xfId="32466"/>
    <cellStyle name="표_출장계획서_새벽시장1_주단조 업종 평가결과품의(040407)_용접업종 평가결과품의(040510)" xfId="32467"/>
    <cellStyle name="표_출장계획서_새벽시장1_주단조 업종 평가결과품의(040407)_용접업종 평가결과품의(040510)(1)" xfId="32468"/>
    <cellStyle name="표_출장계획서_새벽시장1_주단조 업종 평가결과품의(040407)_주단조용접업종 평가결과품의(040510)(1)" xfId="32469"/>
    <cellStyle name="표_출장계획서_새벽시장1_주단조 업종 평가결과품의(040416)(1)" xfId="32470"/>
    <cellStyle name="표_출장계획서_새벽시장1_주단조 업종 평가결과품의(040416)(1)_용접업종 평가결과품의(040510)" xfId="32471"/>
    <cellStyle name="표_출장계획서_새벽시장1_주단조 업종 평가결과품의(040416)(1)_용접업종 평가결과품의(040510)(1)" xfId="32472"/>
    <cellStyle name="표_출장계획서_새벽시장1_주단조 업종 평가결과품의(040416)(1)_주단조용접업종 평가결과품의(040510)(1)" xfId="32473"/>
    <cellStyle name="표_출장계획서_새벽시장1_최신-SQ인증업체현황1343사(03년평가완료031229수정)" xfId="32474"/>
    <cellStyle name="표_출장계획서_새벽시장1_최신-SQ인증업체현황1343사(03년평가완료031229수정)_용접업종 평가결과품의(040510)" xfId="32475"/>
    <cellStyle name="표_출장계획서_새벽시장1_최신-SQ인증업체현황1343사(03년평가완료031229수정)_용접업종 평가결과품의(040510)(1)" xfId="32476"/>
    <cellStyle name="표_출장계획서_새벽시장1_최신-SQ인증업체현황1343사(03년평가완료031229수정)_주단조용접업종 평가결과품의(040510)(1)" xfId="32477"/>
    <cellStyle name="표_출장계획서_새벽시장3" xfId="32478"/>
    <cellStyle name="표_출장계획서_새벽시장3_도금 열처리 주단조 평가품의(040329)" xfId="32479"/>
    <cellStyle name="표_출장계획서_새벽시장3_도금 열처리 주단조 평가품의(040329)_도금 열처리 주단조 평가품의(040329)" xfId="32480"/>
    <cellStyle name="표_출장계획서_새벽시장3_도금 열처리 주단조 평가품의(040329)업체" xfId="32481"/>
    <cellStyle name="표_출장계획서_새벽시장3_열처리결과품의(031017)개발" xfId="32482"/>
    <cellStyle name="표_출장계획서_새벽시장3_열처리결과품의(031017)개발_도금 열처리 주단조 평가품의(040329)" xfId="32483"/>
    <cellStyle name="표_출장계획서_새벽시장3_용접업종 평가결과품의(040510)" xfId="32484"/>
    <cellStyle name="표_출장계획서_새벽시장3_용접업종 평가결과품의(040510)_용접업종 평가결과품의(040510)" xfId="32485"/>
    <cellStyle name="표_출장계획서_새벽시장3_용접업종 평가결과품의(040510)_용접업종 평가결과품의(040510)(1)" xfId="32486"/>
    <cellStyle name="표_출장계획서_새벽시장3_용접업종 평가결과품의(040510)_주단조용접업종 평가결과품의(040510)(1)" xfId="32487"/>
    <cellStyle name="표_출장계획서_새벽시장3_주단조 업종 평가결과품의(040407)" xfId="32488"/>
    <cellStyle name="표_출장계획서_새벽시장3_주단조 업종 평가결과품의(040407)_용접업종 평가결과품의(040510)" xfId="32489"/>
    <cellStyle name="표_출장계획서_새벽시장3_주단조 업종 평가결과품의(040407)_용접업종 평가결과품의(040510)(1)" xfId="32490"/>
    <cellStyle name="표_출장계획서_새벽시장3_주단조 업종 평가결과품의(040407)_주단조용접업종 평가결과품의(040510)(1)" xfId="32491"/>
    <cellStyle name="표_출장계획서_새벽시장3_주단조 업종 평가결과품의(040416)(1)" xfId="32492"/>
    <cellStyle name="표_출장계획서_새벽시장3_주단조 업종 평가결과품의(040416)(1)_용접업종 평가결과품의(040510)" xfId="32493"/>
    <cellStyle name="표_출장계획서_새벽시장3_주단조 업종 평가결과품의(040416)(1)_용접업종 평가결과품의(040510)(1)" xfId="32494"/>
    <cellStyle name="표_출장계획서_새벽시장3_주단조 업종 평가결과품의(040416)(1)_주단조용접업종 평가결과품의(040510)(1)" xfId="32495"/>
    <cellStyle name="표_출장계획서_새벽시장3_최신-SQ인증업체현황1343사(03년평가완료031229수정)" xfId="32496"/>
    <cellStyle name="표_출장계획서_새벽시장3_최신-SQ인증업체현황1343사(03년평가완료031229수정)_용접업종 평가결과품의(040510)" xfId="32497"/>
    <cellStyle name="표_출장계획서_새벽시장3_최신-SQ인증업체현황1343사(03년평가완료031229수정)_용접업종 평가결과품의(040510)(1)" xfId="32498"/>
    <cellStyle name="표_출장계획서_새벽시장3_최신-SQ인증업체현황1343사(03년평가완료031229수정)_주단조용접업종 평가결과품의(040510)(1)" xfId="32499"/>
    <cellStyle name="표_출장계획서_새벽시장5" xfId="32500"/>
    <cellStyle name="표_출장계획서_새벽시장5_도금 열처리 주단조 평가품의(040329)" xfId="32501"/>
    <cellStyle name="표_출장계획서_새벽시장5_도금 열처리 주단조 평가품의(040329)_도금 열처리 주단조 평가품의(040329)" xfId="32502"/>
    <cellStyle name="표_출장계획서_새벽시장5_도금 열처리 주단조 평가품의(040329)업체" xfId="32503"/>
    <cellStyle name="표_출장계획서_새벽시장5_열처리결과품의(031017)개발" xfId="32504"/>
    <cellStyle name="표_출장계획서_새벽시장5_열처리결과품의(031017)개발_도금 열처리 주단조 평가품의(040329)" xfId="32505"/>
    <cellStyle name="표_출장계획서_새벽시장5_용접업종 평가결과품의(040510)" xfId="32506"/>
    <cellStyle name="표_출장계획서_새벽시장5_용접업종 평가결과품의(040510)_용접업종 평가결과품의(040510)" xfId="32507"/>
    <cellStyle name="표_출장계획서_새벽시장5_용접업종 평가결과품의(040510)_용접업종 평가결과품의(040510)(1)" xfId="32508"/>
    <cellStyle name="표_출장계획서_새벽시장5_용접업종 평가결과품의(040510)_주단조용접업종 평가결과품의(040510)(1)" xfId="32509"/>
    <cellStyle name="표_출장계획서_새벽시장5_주단조 업종 평가결과품의(040407)" xfId="32510"/>
    <cellStyle name="표_출장계획서_새벽시장5_주단조 업종 평가결과품의(040407)_용접업종 평가결과품의(040510)" xfId="32511"/>
    <cellStyle name="표_출장계획서_새벽시장5_주단조 업종 평가결과품의(040407)_용접업종 평가결과품의(040510)(1)" xfId="32512"/>
    <cellStyle name="표_출장계획서_새벽시장5_주단조 업종 평가결과품의(040407)_주단조용접업종 평가결과품의(040510)(1)" xfId="32513"/>
    <cellStyle name="표_출장계획서_새벽시장5_주단조 업종 평가결과품의(040416)(1)" xfId="32514"/>
    <cellStyle name="표_출장계획서_새벽시장5_주단조 업종 평가결과품의(040416)(1)_용접업종 평가결과품의(040510)" xfId="32515"/>
    <cellStyle name="표_출장계획서_새벽시장5_주단조 업종 평가결과품의(040416)(1)_용접업종 평가결과품의(040510)(1)" xfId="32516"/>
    <cellStyle name="표_출장계획서_새벽시장5_주단조 업종 평가결과품의(040416)(1)_주단조용접업종 평가결과품의(040510)(1)" xfId="32517"/>
    <cellStyle name="표_출장계획서_새벽시장5_최신-SQ인증업체현황1343사(03년평가완료031229수정)" xfId="32518"/>
    <cellStyle name="표_출장계획서_새벽시장5_최신-SQ인증업체현황1343사(03년평가완료031229수정)_용접업종 평가결과품의(040510)" xfId="32519"/>
    <cellStyle name="표_출장계획서_새벽시장5_최신-SQ인증업체현황1343사(03년평가완료031229수정)_용접업종 평가결과품의(040510)(1)" xfId="32520"/>
    <cellStyle name="표_출장계획서_새벽시장5_최신-SQ인증업체현황1343사(03년평가완료031229수정)_주단조용접업종 평가결과품의(040510)(1)" xfId="32521"/>
    <cellStyle name="표_출장계획서_새벽시장7" xfId="32522"/>
    <cellStyle name="표_출장계획서_새벽시장7_도금 열처리 주단조 평가품의(040329)" xfId="32523"/>
    <cellStyle name="표_출장계획서_새벽시장7_도금 열처리 주단조 평가품의(040329)_도금 열처리 주단조 평가품의(040329)" xfId="32524"/>
    <cellStyle name="표_출장계획서_새벽시장7_도금 열처리 주단조 평가품의(040329)업체" xfId="32525"/>
    <cellStyle name="표_출장계획서_새벽시장7_열처리결과품의(031017)개발" xfId="32526"/>
    <cellStyle name="표_출장계획서_새벽시장7_열처리결과품의(031017)개발_도금 열처리 주단조 평가품의(040329)" xfId="32527"/>
    <cellStyle name="표_출장계획서_새벽시장7_용접업종 평가결과품의(040510)" xfId="32528"/>
    <cellStyle name="표_출장계획서_새벽시장7_용접업종 평가결과품의(040510)_용접업종 평가결과품의(040510)" xfId="32529"/>
    <cellStyle name="표_출장계획서_새벽시장7_용접업종 평가결과품의(040510)_용접업종 평가결과품의(040510)(1)" xfId="32530"/>
    <cellStyle name="표_출장계획서_새벽시장7_용접업종 평가결과품의(040510)_주단조용접업종 평가결과품의(040510)(1)" xfId="32531"/>
    <cellStyle name="표_출장계획서_새벽시장7_주단조 업종 평가결과품의(040407)" xfId="32532"/>
    <cellStyle name="표_출장계획서_새벽시장7_주단조 업종 평가결과품의(040407)_용접업종 평가결과품의(040510)" xfId="32533"/>
    <cellStyle name="표_출장계획서_새벽시장7_주단조 업종 평가결과품의(040407)_용접업종 평가결과품의(040510)(1)" xfId="32534"/>
    <cellStyle name="표_출장계획서_새벽시장7_주단조 업종 평가결과품의(040407)_주단조용접업종 평가결과품의(040510)(1)" xfId="32535"/>
    <cellStyle name="표_출장계획서_새벽시장7_주단조 업종 평가결과품의(040416)(1)" xfId="32536"/>
    <cellStyle name="표_출장계획서_새벽시장7_주단조 업종 평가결과품의(040416)(1)_용접업종 평가결과품의(040510)" xfId="32537"/>
    <cellStyle name="표_출장계획서_새벽시장7_주단조 업종 평가결과품의(040416)(1)_용접업종 평가결과품의(040510)(1)" xfId="32538"/>
    <cellStyle name="표_출장계획서_새벽시장7_주단조 업종 평가결과품의(040416)(1)_주단조용접업종 평가결과품의(040510)(1)" xfId="32539"/>
    <cellStyle name="표_출장계획서_새벽시장7_최신-SQ인증업체현황1343사(03년평가완료031229수정)" xfId="32540"/>
    <cellStyle name="표_출장계획서_새벽시장7_최신-SQ인증업체현황1343사(03년평가완료031229수정)_용접업종 평가결과품의(040510)" xfId="32541"/>
    <cellStyle name="표_출장계획서_새벽시장7_최신-SQ인증업체현황1343사(03년평가완료031229수정)_용접업종 평가결과품의(040510)(1)" xfId="32542"/>
    <cellStyle name="표_출장계획서_새벽시장7_최신-SQ인증업체현황1343사(03년평가완료031229수정)_주단조용접업종 평가결과품의(040510)(1)" xfId="32543"/>
    <cellStyle name="표_출장계획서_새벽시장8.10xls" xfId="32544"/>
    <cellStyle name="표_출장계획서_새벽시장8.10xls_도금 열처리 주단조 평가품의(040329)" xfId="32545"/>
    <cellStyle name="표_출장계획서_새벽시장8.10xls_도금 열처리 주단조 평가품의(040329)_도금 열처리 주단조 평가품의(040329)" xfId="32546"/>
    <cellStyle name="표_출장계획서_새벽시장8.10xls_도금 열처리 주단조 평가품의(040329)업체" xfId="32547"/>
    <cellStyle name="표_출장계획서_새벽시장8.10xls_열처리결과품의(031017)개발" xfId="32548"/>
    <cellStyle name="표_출장계획서_새벽시장8.10xls_열처리결과품의(031017)개발_도금 열처리 주단조 평가품의(040329)" xfId="32549"/>
    <cellStyle name="표_출장계획서_새벽시장8.10xls_용접업종 평가결과품의(040510)" xfId="32550"/>
    <cellStyle name="표_출장계획서_새벽시장8.10xls_용접업종 평가결과품의(040510)_용접업종 평가결과품의(040510)" xfId="32551"/>
    <cellStyle name="표_출장계획서_새벽시장8.10xls_용접업종 평가결과품의(040510)_용접업종 평가결과품의(040510)(1)" xfId="32552"/>
    <cellStyle name="표_출장계획서_새벽시장8.10xls_용접업종 평가결과품의(040510)_주단조용접업종 평가결과품의(040510)(1)" xfId="32553"/>
    <cellStyle name="표_출장계획서_새벽시장8.10xls_주단조 업종 평가결과품의(040407)" xfId="32554"/>
    <cellStyle name="표_출장계획서_새벽시장8.10xls_주단조 업종 평가결과품의(040407)_용접업종 평가결과품의(040510)" xfId="32555"/>
    <cellStyle name="표_출장계획서_새벽시장8.10xls_주단조 업종 평가결과품의(040407)_용접업종 평가결과품의(040510)(1)" xfId="32556"/>
    <cellStyle name="표_출장계획서_새벽시장8.10xls_주단조 업종 평가결과품의(040407)_주단조용접업종 평가결과품의(040510)(1)" xfId="32557"/>
    <cellStyle name="표_출장계획서_새벽시장8.10xls_주단조 업종 평가결과품의(040416)(1)" xfId="32558"/>
    <cellStyle name="표_출장계획서_새벽시장8.10xls_주단조 업종 평가결과품의(040416)(1)_용접업종 평가결과품의(040510)" xfId="32559"/>
    <cellStyle name="표_출장계획서_새벽시장8.10xls_주단조 업종 평가결과품의(040416)(1)_용접업종 평가결과품의(040510)(1)" xfId="32560"/>
    <cellStyle name="표_출장계획서_새벽시장8.10xls_주단조 업종 평가결과품의(040416)(1)_주단조용접업종 평가결과품의(040510)(1)" xfId="32561"/>
    <cellStyle name="표_출장계획서_새벽시장8.10xls_최신-SQ인증업체현황1343사(03년평가완료031229수정)" xfId="32562"/>
    <cellStyle name="표_출장계획서_새벽시장8.10xls_최신-SQ인증업체현황1343사(03년평가완료031229수정)_용접업종 평가결과품의(040510)" xfId="32563"/>
    <cellStyle name="표_출장계획서_새벽시장8.10xls_최신-SQ인증업체현황1343사(03년평가완료031229수정)_용접업종 평가결과품의(040510)(1)" xfId="32564"/>
    <cellStyle name="표_출장계획서_새벽시장8.10xls_최신-SQ인증업체현황1343사(03년평가완료031229수정)_주단조용접업종 평가결과품의(040510)(1)" xfId="32565"/>
    <cellStyle name="표_출장계획서_새벽시장8.26xls" xfId="32566"/>
    <cellStyle name="표_출장계획서_새벽시장8.26xls_도금 열처리 주단조 평가품의(040329)" xfId="32567"/>
    <cellStyle name="표_출장계획서_새벽시장8.26xls_도금 열처리 주단조 평가품의(040329)_도금 열처리 주단조 평가품의(040329)" xfId="32568"/>
    <cellStyle name="표_출장계획서_새벽시장8.26xls_도금 열처리 주단조 평가품의(040329)업체" xfId="32569"/>
    <cellStyle name="표_출장계획서_새벽시장8.26xls_열처리결과품의(031017)개발" xfId="32570"/>
    <cellStyle name="표_출장계획서_새벽시장8.26xls_열처리결과품의(031017)개발_도금 열처리 주단조 평가품의(040329)" xfId="32571"/>
    <cellStyle name="표_출장계획서_새벽시장8.26xls_용접업종 평가결과품의(040510)" xfId="32572"/>
    <cellStyle name="표_출장계획서_새벽시장8.26xls_용접업종 평가결과품의(040510)_용접업종 평가결과품의(040510)" xfId="32573"/>
    <cellStyle name="표_출장계획서_새벽시장8.26xls_용접업종 평가결과품의(040510)_용접업종 평가결과품의(040510)(1)" xfId="32574"/>
    <cellStyle name="표_출장계획서_새벽시장8.26xls_용접업종 평가결과품의(040510)_주단조용접업종 평가결과품의(040510)(1)" xfId="32575"/>
    <cellStyle name="표_출장계획서_새벽시장8.26xls_주단조 업종 평가결과품의(040407)" xfId="32576"/>
    <cellStyle name="표_출장계획서_새벽시장8.26xls_주단조 업종 평가결과품의(040407)_용접업종 평가결과품의(040510)" xfId="32577"/>
    <cellStyle name="표_출장계획서_새벽시장8.26xls_주단조 업종 평가결과품의(040407)_용접업종 평가결과품의(040510)(1)" xfId="32578"/>
    <cellStyle name="표_출장계획서_새벽시장8.26xls_주단조 업종 평가결과품의(040407)_주단조용접업종 평가결과품의(040510)(1)" xfId="32579"/>
    <cellStyle name="표_출장계획서_새벽시장8.26xls_주단조 업종 평가결과품의(040416)(1)" xfId="32580"/>
    <cellStyle name="표_출장계획서_새벽시장8.26xls_주단조 업종 평가결과품의(040416)(1)_용접업종 평가결과품의(040510)" xfId="32581"/>
    <cellStyle name="표_출장계획서_새벽시장8.26xls_주단조 업종 평가결과품의(040416)(1)_용접업종 평가결과품의(040510)(1)" xfId="32582"/>
    <cellStyle name="표_출장계획서_새벽시장8.26xls_주단조 업종 평가결과품의(040416)(1)_주단조용접업종 평가결과품의(040510)(1)" xfId="32583"/>
    <cellStyle name="표_출장계획서_새벽시장8.26xls_최신-SQ인증업체현황1343사(03년평가완료031229수정)" xfId="32584"/>
    <cellStyle name="표_출장계획서_새벽시장8.26xls_최신-SQ인증업체현황1343사(03년평가완료031229수정)_용접업종 평가결과품의(040510)" xfId="32585"/>
    <cellStyle name="표_출장계획서_새벽시장8.26xls_최신-SQ인증업체현황1343사(03년평가완료031229수정)_용접업종 평가결과품의(040510)(1)" xfId="32586"/>
    <cellStyle name="표_출장계획서_새벽시장8.26xls_최신-SQ인증업체현황1343사(03년평가완료031229수정)_주단조용접업종 평가결과품의(040510)(1)" xfId="32587"/>
    <cellStyle name="표_출장계획서_새벽시장9.16" xfId="32588"/>
    <cellStyle name="표_출장계획서_새벽시장9.16_도금 열처리 주단조 평가품의(040329)" xfId="32589"/>
    <cellStyle name="표_출장계획서_새벽시장9.16_도금 열처리 주단조 평가품의(040329)_도금 열처리 주단조 평가품의(040329)" xfId="32590"/>
    <cellStyle name="표_출장계획서_새벽시장9.16_도금 열처리 주단조 평가품의(040329)업체" xfId="32591"/>
    <cellStyle name="표_출장계획서_새벽시장9.16_열처리결과품의(031017)개발" xfId="32592"/>
    <cellStyle name="표_출장계획서_새벽시장9.16_열처리결과품의(031017)개발_도금 열처리 주단조 평가품의(040329)" xfId="32593"/>
    <cellStyle name="표_출장계획서_새벽시장9.16_용접업종 평가결과품의(040510)" xfId="32594"/>
    <cellStyle name="표_출장계획서_새벽시장9.16_용접업종 평가결과품의(040510)_용접업종 평가결과품의(040510)" xfId="32595"/>
    <cellStyle name="표_출장계획서_새벽시장9.16_용접업종 평가결과품의(040510)_용접업종 평가결과품의(040510)(1)" xfId="32596"/>
    <cellStyle name="표_출장계획서_새벽시장9.16_용접업종 평가결과품의(040510)_주단조용접업종 평가결과품의(040510)(1)" xfId="32597"/>
    <cellStyle name="표_출장계획서_새벽시장9.16_주단조 업종 평가결과품의(040407)" xfId="32598"/>
    <cellStyle name="표_출장계획서_새벽시장9.16_주단조 업종 평가결과품의(040407)_용접업종 평가결과품의(040510)" xfId="32599"/>
    <cellStyle name="표_출장계획서_새벽시장9.16_주단조 업종 평가결과품의(040407)_용접업종 평가결과품의(040510)(1)" xfId="32600"/>
    <cellStyle name="표_출장계획서_새벽시장9.16_주단조 업종 평가결과품의(040407)_주단조용접업종 평가결과품의(040510)(1)" xfId="32601"/>
    <cellStyle name="표_출장계획서_새벽시장9.16_주단조 업종 평가결과품의(040416)(1)" xfId="32602"/>
    <cellStyle name="표_출장계획서_새벽시장9.16_주단조 업종 평가결과품의(040416)(1)_용접업종 평가결과품의(040510)" xfId="32603"/>
    <cellStyle name="표_출장계획서_새벽시장9.16_주단조 업종 평가결과품의(040416)(1)_용접업종 평가결과품의(040510)(1)" xfId="32604"/>
    <cellStyle name="표_출장계획서_새벽시장9.16_주단조 업종 평가결과품의(040416)(1)_주단조용접업종 평가결과품의(040510)(1)" xfId="32605"/>
    <cellStyle name="표_출장계획서_새벽시장9.16_최신-SQ인증업체현황1343사(03년평가완료031229수정)" xfId="32606"/>
    <cellStyle name="표_출장계획서_새벽시장9.16_최신-SQ인증업체현황1343사(03년평가완료031229수정)_용접업종 평가결과품의(040510)" xfId="32607"/>
    <cellStyle name="표_출장계획서_새벽시장9.16_최신-SQ인증업체현황1343사(03년평가완료031229수정)_용접업종 평가결과품의(040510)(1)" xfId="32608"/>
    <cellStyle name="표_출장계획서_새벽시장9.16_최신-SQ인증업체현황1343사(03년평가완료031229수정)_주단조용접업종 평가결과품의(040510)(1)" xfId="32609"/>
    <cellStyle name="표_출장계획서_열처리결과품의(031017)개발" xfId="32610"/>
    <cellStyle name="표_출장계획서_열처리결과품의(031017)개발_도금 열처리 주단조 평가품의(040329)" xfId="32611"/>
    <cellStyle name="표_출장계획서_용접업종 평가결과품의(040510)" xfId="32612"/>
    <cellStyle name="표_출장계획서_용접업종 평가결과품의(040510)_용접업종 평가결과품의(040510)" xfId="32613"/>
    <cellStyle name="표_출장계획서_용접업종 평가결과품의(040510)_용접업종 평가결과품의(040510)(1)" xfId="32614"/>
    <cellStyle name="표_출장계획서_용접업종 평가결과품의(040510)_주단조용접업종 평가결과품의(040510)(1)" xfId="32615"/>
    <cellStyle name="표_출장계획서_주단조 업종 평가결과품의(040407)" xfId="32616"/>
    <cellStyle name="표_출장계획서_주단조 업종 평가결과품의(040407)_용접업종 평가결과품의(040510)" xfId="32617"/>
    <cellStyle name="표_출장계획서_주단조 업종 평가결과품의(040407)_용접업종 평가결과품의(040510)(1)" xfId="32618"/>
    <cellStyle name="표_출장계획서_주단조 업종 평가결과품의(040407)_주단조용접업종 평가결과품의(040510)(1)" xfId="32619"/>
    <cellStyle name="표_출장계획서_주단조 업종 평가결과품의(040416)(1)" xfId="32620"/>
    <cellStyle name="표_출장계획서_주단조 업종 평가결과품의(040416)(1)_용접업종 평가결과품의(040510)" xfId="32621"/>
    <cellStyle name="표_출장계획서_주단조 업종 평가결과품의(040416)(1)_용접업종 평가결과품의(040510)(1)" xfId="32622"/>
    <cellStyle name="표_출장계획서_주단조 업종 평가결과품의(040416)(1)_주단조용접업종 평가결과품의(040510)(1)" xfId="32623"/>
    <cellStyle name="표_출장계획서_최신-SQ인증업체현황1343사(03년평가완료031229수정)" xfId="32624"/>
    <cellStyle name="표_출장계획서_최신-SQ인증업체현황1343사(03년평가완료031229수정)_용접업종 평가결과품의(040510)" xfId="32625"/>
    <cellStyle name="표_출장계획서_최신-SQ인증업체현황1343사(03년평가완료031229수정)_용접업종 평가결과품의(040510)(1)" xfId="32626"/>
    <cellStyle name="표_출장계획서_최신-SQ인증업체현황1343사(03년평가완료031229수정)_주단조용접업종 평가결과품의(040510)(1)" xfId="32627"/>
    <cellStyle name="표준 10" xfId="32628"/>
    <cellStyle name="표준 10 10" xfId="32629"/>
    <cellStyle name="표준 10 10 2" xfId="32630"/>
    <cellStyle name="표준 10 10 2 2" xfId="32631"/>
    <cellStyle name="표준 10 10 2 2 2" xfId="32632"/>
    <cellStyle name="표준 10 10 2 2 2 2" xfId="32633"/>
    <cellStyle name="표준 10 10 2 2 2 3" xfId="32634"/>
    <cellStyle name="표준 10 10 2 2 3" xfId="32635"/>
    <cellStyle name="표준 10 10 2 2 4" xfId="32636"/>
    <cellStyle name="표준 10 10 2 3" xfId="32637"/>
    <cellStyle name="표준 10 10 2 3 2" xfId="32638"/>
    <cellStyle name="표준 10 10 2 3 3" xfId="32639"/>
    <cellStyle name="표준 10 10 2 4" xfId="32640"/>
    <cellStyle name="표준 10 10 2 5" xfId="32641"/>
    <cellStyle name="표준 10 10 3" xfId="32642"/>
    <cellStyle name="표준 10 10 3 2" xfId="32643"/>
    <cellStyle name="표준 10 10 3 2 2" xfId="32644"/>
    <cellStyle name="표준 10 10 3 2 2 2" xfId="32645"/>
    <cellStyle name="표준 10 10 3 2 2 3" xfId="32646"/>
    <cellStyle name="표준 10 10 3 2 3" xfId="32647"/>
    <cellStyle name="표준 10 10 3 2 4" xfId="32648"/>
    <cellStyle name="표준 10 10 3 3" xfId="32649"/>
    <cellStyle name="표준 10 10 3 3 2" xfId="32650"/>
    <cellStyle name="표준 10 10 3 3 3" xfId="32651"/>
    <cellStyle name="표준 10 10 3 4" xfId="32652"/>
    <cellStyle name="표준 10 10 3 5" xfId="32653"/>
    <cellStyle name="표준 10 10 4" xfId="32654"/>
    <cellStyle name="표준 10 10 4 2" xfId="32655"/>
    <cellStyle name="표준 10 10 4 2 2" xfId="32656"/>
    <cellStyle name="표준 10 10 4 2 3" xfId="32657"/>
    <cellStyle name="표준 10 10 4 3" xfId="32658"/>
    <cellStyle name="표준 10 10 4 4" xfId="32659"/>
    <cellStyle name="표준 10 10 5" xfId="32660"/>
    <cellStyle name="표준 10 10 5 2" xfId="32661"/>
    <cellStyle name="표준 10 10 5 3" xfId="32662"/>
    <cellStyle name="표준 10 10 6" xfId="32663"/>
    <cellStyle name="표준 10 10 7" xfId="32664"/>
    <cellStyle name="표준 10 11" xfId="32665"/>
    <cellStyle name="표준 10 11 2" xfId="32666"/>
    <cellStyle name="표준 10 11 2 2" xfId="32667"/>
    <cellStyle name="표준 10 11 2 2 2" xfId="32668"/>
    <cellStyle name="표준 10 11 2 2 3" xfId="32669"/>
    <cellStyle name="표준 10 11 2 3" xfId="32670"/>
    <cellStyle name="표준 10 11 2 4" xfId="32671"/>
    <cellStyle name="표준 10 11 3" xfId="32672"/>
    <cellStyle name="표준 10 11 3 2" xfId="32673"/>
    <cellStyle name="표준 10 11 3 3" xfId="32674"/>
    <cellStyle name="표준 10 11 4" xfId="32675"/>
    <cellStyle name="표준 10 11 5" xfId="32676"/>
    <cellStyle name="표준 10 12" xfId="32677"/>
    <cellStyle name="표준 10 12 2" xfId="32678"/>
    <cellStyle name="표준 10 12 2 2" xfId="32679"/>
    <cellStyle name="표준 10 12 2 2 2" xfId="32680"/>
    <cellStyle name="표준 10 12 2 2 3" xfId="32681"/>
    <cellStyle name="표준 10 12 2 3" xfId="32682"/>
    <cellStyle name="표준 10 12 2 4" xfId="32683"/>
    <cellStyle name="표준 10 12 3" xfId="32684"/>
    <cellStyle name="표준 10 12 3 2" xfId="32685"/>
    <cellStyle name="표준 10 12 3 3" xfId="32686"/>
    <cellStyle name="표준 10 12 4" xfId="32687"/>
    <cellStyle name="표준 10 12 5" xfId="32688"/>
    <cellStyle name="표준 10 13" xfId="32689"/>
    <cellStyle name="표준 10 13 2" xfId="32690"/>
    <cellStyle name="표준 10 13 2 2" xfId="32691"/>
    <cellStyle name="표준 10 13 2 2 2" xfId="32692"/>
    <cellStyle name="표준 10 13 2 2 3" xfId="32693"/>
    <cellStyle name="표준 10 13 2 3" xfId="32694"/>
    <cellStyle name="표준 10 13 2 4" xfId="32695"/>
    <cellStyle name="표준 10 13 3" xfId="32696"/>
    <cellStyle name="표준 10 13 3 2" xfId="32697"/>
    <cellStyle name="표준 10 13 3 3" xfId="32698"/>
    <cellStyle name="표준 10 13 4" xfId="32699"/>
    <cellStyle name="표준 10 13 5" xfId="32700"/>
    <cellStyle name="표준 10 14" xfId="32701"/>
    <cellStyle name="표준 10 14 2" xfId="32702"/>
    <cellStyle name="표준 10 14 2 2" xfId="32703"/>
    <cellStyle name="표준 10 14 2 3" xfId="32704"/>
    <cellStyle name="표준 10 14 3" xfId="32705"/>
    <cellStyle name="표준 10 14 4" xfId="32706"/>
    <cellStyle name="표준 10 15" xfId="32707"/>
    <cellStyle name="표준 10 15 2" xfId="32708"/>
    <cellStyle name="표준 10 15 3" xfId="32709"/>
    <cellStyle name="표준 10 16" xfId="32710"/>
    <cellStyle name="표준 10 17" xfId="32711"/>
    <cellStyle name="표준 10 18" xfId="32712"/>
    <cellStyle name="표준 10 2" xfId="32713"/>
    <cellStyle name="표준 10 2 10" xfId="32714"/>
    <cellStyle name="표준 10 2 10 2" xfId="32715"/>
    <cellStyle name="표준 10 2 10 2 2" xfId="32716"/>
    <cellStyle name="표준 10 2 10 2 2 2" xfId="32717"/>
    <cellStyle name="표준 10 2 10 2 2 3" xfId="32718"/>
    <cellStyle name="표준 10 2 10 2 3" xfId="32719"/>
    <cellStyle name="표준 10 2 10 2 4" xfId="32720"/>
    <cellStyle name="표준 10 2 10 3" xfId="32721"/>
    <cellStyle name="표준 10 2 10 3 2" xfId="32722"/>
    <cellStyle name="표준 10 2 10 3 3" xfId="32723"/>
    <cellStyle name="표준 10 2 10 4" xfId="32724"/>
    <cellStyle name="표준 10 2 10 5" xfId="32725"/>
    <cellStyle name="표준 10 2 11" xfId="32726"/>
    <cellStyle name="표준 10 2 11 2" xfId="32727"/>
    <cellStyle name="표준 10 2 11 2 2" xfId="32728"/>
    <cellStyle name="표준 10 2 11 2 3" xfId="32729"/>
    <cellStyle name="표준 10 2 11 3" xfId="32730"/>
    <cellStyle name="표준 10 2 11 4" xfId="32731"/>
    <cellStyle name="표준 10 2 12" xfId="32732"/>
    <cellStyle name="표준 10 2 12 2" xfId="32733"/>
    <cellStyle name="표준 10 2 12 3" xfId="32734"/>
    <cellStyle name="표준 10 2 13" xfId="32735"/>
    <cellStyle name="표준 10 2 14" xfId="32736"/>
    <cellStyle name="표준 10 2 2" xfId="32737"/>
    <cellStyle name="표준 10 2 2 10" xfId="32738"/>
    <cellStyle name="표준 10 2 2 10 2" xfId="32739"/>
    <cellStyle name="표준 10 2 2 10 2 2" xfId="32740"/>
    <cellStyle name="표준 10 2 2 10 2 3" xfId="32741"/>
    <cellStyle name="표준 10 2 2 10 3" xfId="32742"/>
    <cellStyle name="표준 10 2 2 10 4" xfId="32743"/>
    <cellStyle name="표준 10 2 2 11" xfId="32744"/>
    <cellStyle name="표준 10 2 2 11 2" xfId="32745"/>
    <cellStyle name="표준 10 2 2 11 3" xfId="32746"/>
    <cellStyle name="표준 10 2 2 12" xfId="32747"/>
    <cellStyle name="표준 10 2 2 13" xfId="32748"/>
    <cellStyle name="표준 10 2 2 2" xfId="32749"/>
    <cellStyle name="표준 10 2 2 2 10" xfId="32750"/>
    <cellStyle name="표준 10 2 2 2 2" xfId="32751"/>
    <cellStyle name="표준 10 2 2 2 2 2" xfId="32752"/>
    <cellStyle name="표준 10 2 2 2 2 2 2" xfId="32753"/>
    <cellStyle name="표준 10 2 2 2 2 2 2 2" xfId="32754"/>
    <cellStyle name="표준 10 2 2 2 2 2 2 2 2" xfId="32755"/>
    <cellStyle name="표준 10 2 2 2 2 2 2 2 3" xfId="32756"/>
    <cellStyle name="표준 10 2 2 2 2 2 2 3" xfId="32757"/>
    <cellStyle name="표준 10 2 2 2 2 2 2 4" xfId="32758"/>
    <cellStyle name="표준 10 2 2 2 2 2 3" xfId="32759"/>
    <cellStyle name="표준 10 2 2 2 2 2 3 2" xfId="32760"/>
    <cellStyle name="표준 10 2 2 2 2 2 3 3" xfId="32761"/>
    <cellStyle name="표준 10 2 2 2 2 2 4" xfId="32762"/>
    <cellStyle name="표준 10 2 2 2 2 2 5" xfId="32763"/>
    <cellStyle name="표준 10 2 2 2 2 3" xfId="32764"/>
    <cellStyle name="표준 10 2 2 2 2 3 2" xfId="32765"/>
    <cellStyle name="표준 10 2 2 2 2 3 2 2" xfId="32766"/>
    <cellStyle name="표준 10 2 2 2 2 3 2 2 2" xfId="32767"/>
    <cellStyle name="표준 10 2 2 2 2 3 2 2 3" xfId="32768"/>
    <cellStyle name="표준 10 2 2 2 2 3 2 3" xfId="32769"/>
    <cellStyle name="표준 10 2 2 2 2 3 2 4" xfId="32770"/>
    <cellStyle name="표준 10 2 2 2 2 3 3" xfId="32771"/>
    <cellStyle name="표준 10 2 2 2 2 3 3 2" xfId="32772"/>
    <cellStyle name="표준 10 2 2 2 2 3 3 3" xfId="32773"/>
    <cellStyle name="표준 10 2 2 2 2 3 4" xfId="32774"/>
    <cellStyle name="표준 10 2 2 2 2 3 5" xfId="32775"/>
    <cellStyle name="표준 10 2 2 2 2 4" xfId="32776"/>
    <cellStyle name="표준 10 2 2 2 2 4 2" xfId="32777"/>
    <cellStyle name="표준 10 2 2 2 2 4 2 2" xfId="32778"/>
    <cellStyle name="표준 10 2 2 2 2 4 2 3" xfId="32779"/>
    <cellStyle name="표준 10 2 2 2 2 4 3" xfId="32780"/>
    <cellStyle name="표준 10 2 2 2 2 4 4" xfId="32781"/>
    <cellStyle name="표준 10 2 2 2 2 5" xfId="32782"/>
    <cellStyle name="표준 10 2 2 2 2 5 2" xfId="32783"/>
    <cellStyle name="표준 10 2 2 2 2 5 3" xfId="32784"/>
    <cellStyle name="표준 10 2 2 2 2 6" xfId="32785"/>
    <cellStyle name="표준 10 2 2 2 2 7" xfId="32786"/>
    <cellStyle name="표준 10 2 2 2 3" xfId="32787"/>
    <cellStyle name="표준 10 2 2 2 3 2" xfId="32788"/>
    <cellStyle name="표준 10 2 2 2 3 2 2" xfId="32789"/>
    <cellStyle name="표준 10 2 2 2 3 2 2 2" xfId="32790"/>
    <cellStyle name="표준 10 2 2 2 3 2 2 2 2" xfId="32791"/>
    <cellStyle name="표준 10 2 2 2 3 2 2 2 3" xfId="32792"/>
    <cellStyle name="표준 10 2 2 2 3 2 2 3" xfId="32793"/>
    <cellStyle name="표준 10 2 2 2 3 2 2 4" xfId="32794"/>
    <cellStyle name="표준 10 2 2 2 3 2 3" xfId="32795"/>
    <cellStyle name="표준 10 2 2 2 3 2 3 2" xfId="32796"/>
    <cellStyle name="표준 10 2 2 2 3 2 3 3" xfId="32797"/>
    <cellStyle name="표준 10 2 2 2 3 2 4" xfId="32798"/>
    <cellStyle name="표준 10 2 2 2 3 2 5" xfId="32799"/>
    <cellStyle name="표준 10 2 2 2 3 3" xfId="32800"/>
    <cellStyle name="표준 10 2 2 2 3 3 2" xfId="32801"/>
    <cellStyle name="표준 10 2 2 2 3 3 2 2" xfId="32802"/>
    <cellStyle name="표준 10 2 2 2 3 3 2 2 2" xfId="32803"/>
    <cellStyle name="표준 10 2 2 2 3 3 2 2 3" xfId="32804"/>
    <cellStyle name="표준 10 2 2 2 3 3 2 3" xfId="32805"/>
    <cellStyle name="표준 10 2 2 2 3 3 2 4" xfId="32806"/>
    <cellStyle name="표준 10 2 2 2 3 3 3" xfId="32807"/>
    <cellStyle name="표준 10 2 2 2 3 3 3 2" xfId="32808"/>
    <cellStyle name="표준 10 2 2 2 3 3 3 3" xfId="32809"/>
    <cellStyle name="표준 10 2 2 2 3 3 4" xfId="32810"/>
    <cellStyle name="표준 10 2 2 2 3 3 5" xfId="32811"/>
    <cellStyle name="표준 10 2 2 2 3 4" xfId="32812"/>
    <cellStyle name="표준 10 2 2 2 3 4 2" xfId="32813"/>
    <cellStyle name="표준 10 2 2 2 3 4 2 2" xfId="32814"/>
    <cellStyle name="표준 10 2 2 2 3 4 2 3" xfId="32815"/>
    <cellStyle name="표준 10 2 2 2 3 4 3" xfId="32816"/>
    <cellStyle name="표준 10 2 2 2 3 4 4" xfId="32817"/>
    <cellStyle name="표준 10 2 2 2 3 5" xfId="32818"/>
    <cellStyle name="표준 10 2 2 2 3 5 2" xfId="32819"/>
    <cellStyle name="표준 10 2 2 2 3 5 3" xfId="32820"/>
    <cellStyle name="표준 10 2 2 2 3 6" xfId="32821"/>
    <cellStyle name="표준 10 2 2 2 3 7" xfId="32822"/>
    <cellStyle name="표준 10 2 2 2 4" xfId="32823"/>
    <cellStyle name="표준 10 2 2 2 4 2" xfId="32824"/>
    <cellStyle name="표준 10 2 2 2 4 2 2" xfId="32825"/>
    <cellStyle name="표준 10 2 2 2 4 2 2 2" xfId="32826"/>
    <cellStyle name="표준 10 2 2 2 4 2 2 3" xfId="32827"/>
    <cellStyle name="표준 10 2 2 2 4 2 3" xfId="32828"/>
    <cellStyle name="표준 10 2 2 2 4 2 4" xfId="32829"/>
    <cellStyle name="표준 10 2 2 2 4 3" xfId="32830"/>
    <cellStyle name="표준 10 2 2 2 4 3 2" xfId="32831"/>
    <cellStyle name="표준 10 2 2 2 4 3 3" xfId="32832"/>
    <cellStyle name="표준 10 2 2 2 4 4" xfId="32833"/>
    <cellStyle name="표준 10 2 2 2 4 5" xfId="32834"/>
    <cellStyle name="표준 10 2 2 2 5" xfId="32835"/>
    <cellStyle name="표준 10 2 2 2 5 2" xfId="32836"/>
    <cellStyle name="표준 10 2 2 2 5 2 2" xfId="32837"/>
    <cellStyle name="표준 10 2 2 2 5 2 2 2" xfId="32838"/>
    <cellStyle name="표준 10 2 2 2 5 2 2 3" xfId="32839"/>
    <cellStyle name="표준 10 2 2 2 5 2 3" xfId="32840"/>
    <cellStyle name="표준 10 2 2 2 5 2 4" xfId="32841"/>
    <cellStyle name="표준 10 2 2 2 5 3" xfId="32842"/>
    <cellStyle name="표준 10 2 2 2 5 3 2" xfId="32843"/>
    <cellStyle name="표준 10 2 2 2 5 3 3" xfId="32844"/>
    <cellStyle name="표준 10 2 2 2 5 4" xfId="32845"/>
    <cellStyle name="표준 10 2 2 2 5 5" xfId="32846"/>
    <cellStyle name="표준 10 2 2 2 6" xfId="32847"/>
    <cellStyle name="표준 10 2 2 2 6 2" xfId="32848"/>
    <cellStyle name="표준 10 2 2 2 6 2 2" xfId="32849"/>
    <cellStyle name="표준 10 2 2 2 6 2 2 2" xfId="32850"/>
    <cellStyle name="표준 10 2 2 2 6 2 2 3" xfId="32851"/>
    <cellStyle name="표준 10 2 2 2 6 2 3" xfId="32852"/>
    <cellStyle name="표준 10 2 2 2 6 2 4" xfId="32853"/>
    <cellStyle name="표준 10 2 2 2 6 3" xfId="32854"/>
    <cellStyle name="표준 10 2 2 2 6 3 2" xfId="32855"/>
    <cellStyle name="표준 10 2 2 2 6 3 3" xfId="32856"/>
    <cellStyle name="표준 10 2 2 2 6 4" xfId="32857"/>
    <cellStyle name="표준 10 2 2 2 6 5" xfId="32858"/>
    <cellStyle name="표준 10 2 2 2 7" xfId="32859"/>
    <cellStyle name="표준 10 2 2 2 7 2" xfId="32860"/>
    <cellStyle name="표준 10 2 2 2 7 2 2" xfId="32861"/>
    <cellStyle name="표준 10 2 2 2 7 2 3" xfId="32862"/>
    <cellStyle name="표준 10 2 2 2 7 3" xfId="32863"/>
    <cellStyle name="표준 10 2 2 2 7 4" xfId="32864"/>
    <cellStyle name="표준 10 2 2 2 8" xfId="32865"/>
    <cellStyle name="표준 10 2 2 2 8 2" xfId="32866"/>
    <cellStyle name="표준 10 2 2 2 8 3" xfId="32867"/>
    <cellStyle name="표준 10 2 2 2 9" xfId="32868"/>
    <cellStyle name="표준 10 2 2 3" xfId="32869"/>
    <cellStyle name="표준 10 2 2 3 10" xfId="32870"/>
    <cellStyle name="표준 10 2 2 3 2" xfId="32871"/>
    <cellStyle name="표준 10 2 2 3 2 2" xfId="32872"/>
    <cellStyle name="표준 10 2 2 3 2 2 2" xfId="32873"/>
    <cellStyle name="표준 10 2 2 3 2 2 2 2" xfId="32874"/>
    <cellStyle name="표준 10 2 2 3 2 2 2 2 2" xfId="32875"/>
    <cellStyle name="표준 10 2 2 3 2 2 2 2 3" xfId="32876"/>
    <cellStyle name="표준 10 2 2 3 2 2 2 3" xfId="32877"/>
    <cellStyle name="표준 10 2 2 3 2 2 2 4" xfId="32878"/>
    <cellStyle name="표준 10 2 2 3 2 2 3" xfId="32879"/>
    <cellStyle name="표준 10 2 2 3 2 2 3 2" xfId="32880"/>
    <cellStyle name="표준 10 2 2 3 2 2 3 3" xfId="32881"/>
    <cellStyle name="표준 10 2 2 3 2 2 4" xfId="32882"/>
    <cellStyle name="표준 10 2 2 3 2 2 5" xfId="32883"/>
    <cellStyle name="표준 10 2 2 3 2 3" xfId="32884"/>
    <cellStyle name="표준 10 2 2 3 2 3 2" xfId="32885"/>
    <cellStyle name="표준 10 2 2 3 2 3 2 2" xfId="32886"/>
    <cellStyle name="표준 10 2 2 3 2 3 2 2 2" xfId="32887"/>
    <cellStyle name="표준 10 2 2 3 2 3 2 2 3" xfId="32888"/>
    <cellStyle name="표준 10 2 2 3 2 3 2 3" xfId="32889"/>
    <cellStyle name="표준 10 2 2 3 2 3 2 4" xfId="32890"/>
    <cellStyle name="표준 10 2 2 3 2 3 3" xfId="32891"/>
    <cellStyle name="표준 10 2 2 3 2 3 3 2" xfId="32892"/>
    <cellStyle name="표준 10 2 2 3 2 3 3 3" xfId="32893"/>
    <cellStyle name="표준 10 2 2 3 2 3 4" xfId="32894"/>
    <cellStyle name="표준 10 2 2 3 2 3 5" xfId="32895"/>
    <cellStyle name="표준 10 2 2 3 2 4" xfId="32896"/>
    <cellStyle name="표준 10 2 2 3 2 4 2" xfId="32897"/>
    <cellStyle name="표준 10 2 2 3 2 4 2 2" xfId="32898"/>
    <cellStyle name="표준 10 2 2 3 2 4 2 3" xfId="32899"/>
    <cellStyle name="표준 10 2 2 3 2 4 3" xfId="32900"/>
    <cellStyle name="표준 10 2 2 3 2 4 4" xfId="32901"/>
    <cellStyle name="표준 10 2 2 3 2 5" xfId="32902"/>
    <cellStyle name="표준 10 2 2 3 2 5 2" xfId="32903"/>
    <cellStyle name="표준 10 2 2 3 2 5 3" xfId="32904"/>
    <cellStyle name="표준 10 2 2 3 2 6" xfId="32905"/>
    <cellStyle name="표준 10 2 2 3 2 7" xfId="32906"/>
    <cellStyle name="표준 10 2 2 3 3" xfId="32907"/>
    <cellStyle name="표준 10 2 2 3 3 2" xfId="32908"/>
    <cellStyle name="표준 10 2 2 3 3 2 2" xfId="32909"/>
    <cellStyle name="표준 10 2 2 3 3 2 2 2" xfId="32910"/>
    <cellStyle name="표준 10 2 2 3 3 2 2 2 2" xfId="32911"/>
    <cellStyle name="표준 10 2 2 3 3 2 2 2 3" xfId="32912"/>
    <cellStyle name="표준 10 2 2 3 3 2 2 3" xfId="32913"/>
    <cellStyle name="표준 10 2 2 3 3 2 2 4" xfId="32914"/>
    <cellStyle name="표준 10 2 2 3 3 2 3" xfId="32915"/>
    <cellStyle name="표준 10 2 2 3 3 2 3 2" xfId="32916"/>
    <cellStyle name="표준 10 2 2 3 3 2 3 3" xfId="32917"/>
    <cellStyle name="표준 10 2 2 3 3 2 4" xfId="32918"/>
    <cellStyle name="표준 10 2 2 3 3 2 5" xfId="32919"/>
    <cellStyle name="표준 10 2 2 3 3 3" xfId="32920"/>
    <cellStyle name="표준 10 2 2 3 3 3 2" xfId="32921"/>
    <cellStyle name="표준 10 2 2 3 3 3 2 2" xfId="32922"/>
    <cellStyle name="표준 10 2 2 3 3 3 2 2 2" xfId="32923"/>
    <cellStyle name="표준 10 2 2 3 3 3 2 2 3" xfId="32924"/>
    <cellStyle name="표준 10 2 2 3 3 3 2 3" xfId="32925"/>
    <cellStyle name="표준 10 2 2 3 3 3 2 4" xfId="32926"/>
    <cellStyle name="표준 10 2 2 3 3 3 3" xfId="32927"/>
    <cellStyle name="표준 10 2 2 3 3 3 3 2" xfId="32928"/>
    <cellStyle name="표준 10 2 2 3 3 3 3 3" xfId="32929"/>
    <cellStyle name="표준 10 2 2 3 3 3 4" xfId="32930"/>
    <cellStyle name="표준 10 2 2 3 3 3 5" xfId="32931"/>
    <cellStyle name="표준 10 2 2 3 3 4" xfId="32932"/>
    <cellStyle name="표준 10 2 2 3 3 4 2" xfId="32933"/>
    <cellStyle name="표준 10 2 2 3 3 4 2 2" xfId="32934"/>
    <cellStyle name="표준 10 2 2 3 3 4 2 3" xfId="32935"/>
    <cellStyle name="표준 10 2 2 3 3 4 3" xfId="32936"/>
    <cellStyle name="표준 10 2 2 3 3 4 4" xfId="32937"/>
    <cellStyle name="표준 10 2 2 3 3 5" xfId="32938"/>
    <cellStyle name="표준 10 2 2 3 3 5 2" xfId="32939"/>
    <cellStyle name="표준 10 2 2 3 3 5 3" xfId="32940"/>
    <cellStyle name="표준 10 2 2 3 3 6" xfId="32941"/>
    <cellStyle name="표준 10 2 2 3 3 7" xfId="32942"/>
    <cellStyle name="표준 10 2 2 3 4" xfId="32943"/>
    <cellStyle name="표준 10 2 2 3 4 2" xfId="32944"/>
    <cellStyle name="표준 10 2 2 3 4 2 2" xfId="32945"/>
    <cellStyle name="표준 10 2 2 3 4 2 2 2" xfId="32946"/>
    <cellStyle name="표준 10 2 2 3 4 2 2 3" xfId="32947"/>
    <cellStyle name="표준 10 2 2 3 4 2 3" xfId="32948"/>
    <cellStyle name="표준 10 2 2 3 4 2 4" xfId="32949"/>
    <cellStyle name="표준 10 2 2 3 4 3" xfId="32950"/>
    <cellStyle name="표준 10 2 2 3 4 3 2" xfId="32951"/>
    <cellStyle name="표준 10 2 2 3 4 3 3" xfId="32952"/>
    <cellStyle name="표준 10 2 2 3 4 4" xfId="32953"/>
    <cellStyle name="표준 10 2 2 3 4 5" xfId="32954"/>
    <cellStyle name="표준 10 2 2 3 5" xfId="32955"/>
    <cellStyle name="표준 10 2 2 3 5 2" xfId="32956"/>
    <cellStyle name="표준 10 2 2 3 5 2 2" xfId="32957"/>
    <cellStyle name="표준 10 2 2 3 5 2 2 2" xfId="32958"/>
    <cellStyle name="표준 10 2 2 3 5 2 2 3" xfId="32959"/>
    <cellStyle name="표준 10 2 2 3 5 2 3" xfId="32960"/>
    <cellStyle name="표준 10 2 2 3 5 2 4" xfId="32961"/>
    <cellStyle name="표준 10 2 2 3 5 3" xfId="32962"/>
    <cellStyle name="표준 10 2 2 3 5 3 2" xfId="32963"/>
    <cellStyle name="표준 10 2 2 3 5 3 3" xfId="32964"/>
    <cellStyle name="표준 10 2 2 3 5 4" xfId="32965"/>
    <cellStyle name="표준 10 2 2 3 5 5" xfId="32966"/>
    <cellStyle name="표준 10 2 2 3 6" xfId="32967"/>
    <cellStyle name="표준 10 2 2 3 6 2" xfId="32968"/>
    <cellStyle name="표준 10 2 2 3 6 2 2" xfId="32969"/>
    <cellStyle name="표준 10 2 2 3 6 2 2 2" xfId="32970"/>
    <cellStyle name="표준 10 2 2 3 6 2 2 3" xfId="32971"/>
    <cellStyle name="표준 10 2 2 3 6 2 3" xfId="32972"/>
    <cellStyle name="표준 10 2 2 3 6 2 4" xfId="32973"/>
    <cellStyle name="표준 10 2 2 3 6 3" xfId="32974"/>
    <cellStyle name="표준 10 2 2 3 6 3 2" xfId="32975"/>
    <cellStyle name="표준 10 2 2 3 6 3 3" xfId="32976"/>
    <cellStyle name="표준 10 2 2 3 6 4" xfId="32977"/>
    <cellStyle name="표준 10 2 2 3 6 5" xfId="32978"/>
    <cellStyle name="표준 10 2 2 3 7" xfId="32979"/>
    <cellStyle name="표준 10 2 2 3 7 2" xfId="32980"/>
    <cellStyle name="표준 10 2 2 3 7 2 2" xfId="32981"/>
    <cellStyle name="표준 10 2 2 3 7 2 3" xfId="32982"/>
    <cellStyle name="표준 10 2 2 3 7 3" xfId="32983"/>
    <cellStyle name="표준 10 2 2 3 7 4" xfId="32984"/>
    <cellStyle name="표준 10 2 2 3 8" xfId="32985"/>
    <cellStyle name="표준 10 2 2 3 8 2" xfId="32986"/>
    <cellStyle name="표준 10 2 2 3 8 3" xfId="32987"/>
    <cellStyle name="표준 10 2 2 3 9" xfId="32988"/>
    <cellStyle name="표준 10 2 2 4" xfId="32989"/>
    <cellStyle name="표준 10 2 2 4 10" xfId="32990"/>
    <cellStyle name="표준 10 2 2 4 2" xfId="32991"/>
    <cellStyle name="표준 10 2 2 4 2 2" xfId="32992"/>
    <cellStyle name="표준 10 2 2 4 2 2 2" xfId="32993"/>
    <cellStyle name="표준 10 2 2 4 2 2 2 2" xfId="32994"/>
    <cellStyle name="표준 10 2 2 4 2 2 2 2 2" xfId="32995"/>
    <cellStyle name="표준 10 2 2 4 2 2 2 2 3" xfId="32996"/>
    <cellStyle name="표준 10 2 2 4 2 2 2 3" xfId="32997"/>
    <cellStyle name="표준 10 2 2 4 2 2 2 4" xfId="32998"/>
    <cellStyle name="표준 10 2 2 4 2 2 3" xfId="32999"/>
    <cellStyle name="표준 10 2 2 4 2 2 3 2" xfId="33000"/>
    <cellStyle name="표준 10 2 2 4 2 2 3 3" xfId="33001"/>
    <cellStyle name="표준 10 2 2 4 2 2 4" xfId="33002"/>
    <cellStyle name="표준 10 2 2 4 2 2 5" xfId="33003"/>
    <cellStyle name="표준 10 2 2 4 2 3" xfId="33004"/>
    <cellStyle name="표준 10 2 2 4 2 3 2" xfId="33005"/>
    <cellStyle name="표준 10 2 2 4 2 3 2 2" xfId="33006"/>
    <cellStyle name="표준 10 2 2 4 2 3 2 2 2" xfId="33007"/>
    <cellStyle name="표준 10 2 2 4 2 3 2 2 3" xfId="33008"/>
    <cellStyle name="표준 10 2 2 4 2 3 2 3" xfId="33009"/>
    <cellStyle name="표준 10 2 2 4 2 3 2 4" xfId="33010"/>
    <cellStyle name="표준 10 2 2 4 2 3 3" xfId="33011"/>
    <cellStyle name="표준 10 2 2 4 2 3 3 2" xfId="33012"/>
    <cellStyle name="표준 10 2 2 4 2 3 3 3" xfId="33013"/>
    <cellStyle name="표준 10 2 2 4 2 3 4" xfId="33014"/>
    <cellStyle name="표준 10 2 2 4 2 3 5" xfId="33015"/>
    <cellStyle name="표준 10 2 2 4 2 4" xfId="33016"/>
    <cellStyle name="표준 10 2 2 4 2 4 2" xfId="33017"/>
    <cellStyle name="표준 10 2 2 4 2 4 2 2" xfId="33018"/>
    <cellStyle name="표준 10 2 2 4 2 4 2 3" xfId="33019"/>
    <cellStyle name="표준 10 2 2 4 2 4 3" xfId="33020"/>
    <cellStyle name="표준 10 2 2 4 2 4 4" xfId="33021"/>
    <cellStyle name="표준 10 2 2 4 2 5" xfId="33022"/>
    <cellStyle name="표준 10 2 2 4 2 5 2" xfId="33023"/>
    <cellStyle name="표준 10 2 2 4 2 5 3" xfId="33024"/>
    <cellStyle name="표준 10 2 2 4 2 6" xfId="33025"/>
    <cellStyle name="표준 10 2 2 4 2 7" xfId="33026"/>
    <cellStyle name="표준 10 2 2 4 3" xfId="33027"/>
    <cellStyle name="표준 10 2 2 4 3 2" xfId="33028"/>
    <cellStyle name="표준 10 2 2 4 3 2 2" xfId="33029"/>
    <cellStyle name="표준 10 2 2 4 3 2 2 2" xfId="33030"/>
    <cellStyle name="표준 10 2 2 4 3 2 2 2 2" xfId="33031"/>
    <cellStyle name="표준 10 2 2 4 3 2 2 2 3" xfId="33032"/>
    <cellStyle name="표준 10 2 2 4 3 2 2 3" xfId="33033"/>
    <cellStyle name="표준 10 2 2 4 3 2 2 4" xfId="33034"/>
    <cellStyle name="표준 10 2 2 4 3 2 3" xfId="33035"/>
    <cellStyle name="표준 10 2 2 4 3 2 3 2" xfId="33036"/>
    <cellStyle name="표준 10 2 2 4 3 2 3 3" xfId="33037"/>
    <cellStyle name="표준 10 2 2 4 3 2 4" xfId="33038"/>
    <cellStyle name="표준 10 2 2 4 3 2 5" xfId="33039"/>
    <cellStyle name="표준 10 2 2 4 3 3" xfId="33040"/>
    <cellStyle name="표준 10 2 2 4 3 3 2" xfId="33041"/>
    <cellStyle name="표준 10 2 2 4 3 3 2 2" xfId="33042"/>
    <cellStyle name="표준 10 2 2 4 3 3 2 2 2" xfId="33043"/>
    <cellStyle name="표준 10 2 2 4 3 3 2 2 3" xfId="33044"/>
    <cellStyle name="표준 10 2 2 4 3 3 2 3" xfId="33045"/>
    <cellStyle name="표준 10 2 2 4 3 3 2 4" xfId="33046"/>
    <cellStyle name="표준 10 2 2 4 3 3 3" xfId="33047"/>
    <cellStyle name="표준 10 2 2 4 3 3 3 2" xfId="33048"/>
    <cellStyle name="표준 10 2 2 4 3 3 3 3" xfId="33049"/>
    <cellStyle name="표준 10 2 2 4 3 3 4" xfId="33050"/>
    <cellStyle name="표준 10 2 2 4 3 3 5" xfId="33051"/>
    <cellStyle name="표준 10 2 2 4 3 4" xfId="33052"/>
    <cellStyle name="표준 10 2 2 4 3 4 2" xfId="33053"/>
    <cellStyle name="표준 10 2 2 4 3 4 2 2" xfId="33054"/>
    <cellStyle name="표준 10 2 2 4 3 4 2 3" xfId="33055"/>
    <cellStyle name="표준 10 2 2 4 3 4 3" xfId="33056"/>
    <cellStyle name="표준 10 2 2 4 3 4 4" xfId="33057"/>
    <cellStyle name="표준 10 2 2 4 3 5" xfId="33058"/>
    <cellStyle name="표준 10 2 2 4 3 5 2" xfId="33059"/>
    <cellStyle name="표준 10 2 2 4 3 5 3" xfId="33060"/>
    <cellStyle name="표준 10 2 2 4 3 6" xfId="33061"/>
    <cellStyle name="표준 10 2 2 4 3 7" xfId="33062"/>
    <cellStyle name="표준 10 2 2 4 4" xfId="33063"/>
    <cellStyle name="표준 10 2 2 4 4 2" xfId="33064"/>
    <cellStyle name="표준 10 2 2 4 4 2 2" xfId="33065"/>
    <cellStyle name="표준 10 2 2 4 4 2 2 2" xfId="33066"/>
    <cellStyle name="표준 10 2 2 4 4 2 2 3" xfId="33067"/>
    <cellStyle name="표준 10 2 2 4 4 2 3" xfId="33068"/>
    <cellStyle name="표준 10 2 2 4 4 2 4" xfId="33069"/>
    <cellStyle name="표준 10 2 2 4 4 3" xfId="33070"/>
    <cellStyle name="표준 10 2 2 4 4 3 2" xfId="33071"/>
    <cellStyle name="표준 10 2 2 4 4 3 3" xfId="33072"/>
    <cellStyle name="표준 10 2 2 4 4 4" xfId="33073"/>
    <cellStyle name="표준 10 2 2 4 4 5" xfId="33074"/>
    <cellStyle name="표준 10 2 2 4 5" xfId="33075"/>
    <cellStyle name="표준 10 2 2 4 5 2" xfId="33076"/>
    <cellStyle name="표준 10 2 2 4 5 2 2" xfId="33077"/>
    <cellStyle name="표준 10 2 2 4 5 2 2 2" xfId="33078"/>
    <cellStyle name="표준 10 2 2 4 5 2 2 3" xfId="33079"/>
    <cellStyle name="표준 10 2 2 4 5 2 3" xfId="33080"/>
    <cellStyle name="표준 10 2 2 4 5 2 4" xfId="33081"/>
    <cellStyle name="표준 10 2 2 4 5 3" xfId="33082"/>
    <cellStyle name="표준 10 2 2 4 5 3 2" xfId="33083"/>
    <cellStyle name="표준 10 2 2 4 5 3 3" xfId="33084"/>
    <cellStyle name="표준 10 2 2 4 5 4" xfId="33085"/>
    <cellStyle name="표준 10 2 2 4 5 5" xfId="33086"/>
    <cellStyle name="표준 10 2 2 4 6" xfId="33087"/>
    <cellStyle name="표준 10 2 2 4 6 2" xfId="33088"/>
    <cellStyle name="표준 10 2 2 4 6 2 2" xfId="33089"/>
    <cellStyle name="표준 10 2 2 4 6 2 2 2" xfId="33090"/>
    <cellStyle name="표준 10 2 2 4 6 2 2 3" xfId="33091"/>
    <cellStyle name="표준 10 2 2 4 6 2 3" xfId="33092"/>
    <cellStyle name="표준 10 2 2 4 6 2 4" xfId="33093"/>
    <cellStyle name="표준 10 2 2 4 6 3" xfId="33094"/>
    <cellStyle name="표준 10 2 2 4 6 3 2" xfId="33095"/>
    <cellStyle name="표준 10 2 2 4 6 3 3" xfId="33096"/>
    <cellStyle name="표준 10 2 2 4 6 4" xfId="33097"/>
    <cellStyle name="표준 10 2 2 4 6 5" xfId="33098"/>
    <cellStyle name="표준 10 2 2 4 7" xfId="33099"/>
    <cellStyle name="표준 10 2 2 4 7 2" xfId="33100"/>
    <cellStyle name="표준 10 2 2 4 7 2 2" xfId="33101"/>
    <cellStyle name="표준 10 2 2 4 7 2 3" xfId="33102"/>
    <cellStyle name="표준 10 2 2 4 7 3" xfId="33103"/>
    <cellStyle name="표준 10 2 2 4 7 4" xfId="33104"/>
    <cellStyle name="표준 10 2 2 4 8" xfId="33105"/>
    <cellStyle name="표준 10 2 2 4 8 2" xfId="33106"/>
    <cellStyle name="표준 10 2 2 4 8 3" xfId="33107"/>
    <cellStyle name="표준 10 2 2 4 9" xfId="33108"/>
    <cellStyle name="표준 10 2 2 5" xfId="33109"/>
    <cellStyle name="표준 10 2 2 5 2" xfId="33110"/>
    <cellStyle name="표준 10 2 2 5 2 2" xfId="33111"/>
    <cellStyle name="표준 10 2 2 5 2 2 2" xfId="33112"/>
    <cellStyle name="표준 10 2 2 5 2 2 2 2" xfId="33113"/>
    <cellStyle name="표준 10 2 2 5 2 2 2 3" xfId="33114"/>
    <cellStyle name="표준 10 2 2 5 2 2 3" xfId="33115"/>
    <cellStyle name="표준 10 2 2 5 2 2 4" xfId="33116"/>
    <cellStyle name="표준 10 2 2 5 2 3" xfId="33117"/>
    <cellStyle name="표준 10 2 2 5 2 3 2" xfId="33118"/>
    <cellStyle name="표준 10 2 2 5 2 3 3" xfId="33119"/>
    <cellStyle name="표준 10 2 2 5 2 4" xfId="33120"/>
    <cellStyle name="표준 10 2 2 5 2 5" xfId="33121"/>
    <cellStyle name="표준 10 2 2 5 3" xfId="33122"/>
    <cellStyle name="표준 10 2 2 5 3 2" xfId="33123"/>
    <cellStyle name="표준 10 2 2 5 3 2 2" xfId="33124"/>
    <cellStyle name="표준 10 2 2 5 3 2 2 2" xfId="33125"/>
    <cellStyle name="표준 10 2 2 5 3 2 2 3" xfId="33126"/>
    <cellStyle name="표준 10 2 2 5 3 2 3" xfId="33127"/>
    <cellStyle name="표준 10 2 2 5 3 2 4" xfId="33128"/>
    <cellStyle name="표준 10 2 2 5 3 3" xfId="33129"/>
    <cellStyle name="표준 10 2 2 5 3 3 2" xfId="33130"/>
    <cellStyle name="표준 10 2 2 5 3 3 3" xfId="33131"/>
    <cellStyle name="표준 10 2 2 5 3 4" xfId="33132"/>
    <cellStyle name="표준 10 2 2 5 3 5" xfId="33133"/>
    <cellStyle name="표준 10 2 2 5 4" xfId="33134"/>
    <cellStyle name="표준 10 2 2 5 4 2" xfId="33135"/>
    <cellStyle name="표준 10 2 2 5 4 2 2" xfId="33136"/>
    <cellStyle name="표준 10 2 2 5 4 2 3" xfId="33137"/>
    <cellStyle name="표준 10 2 2 5 4 3" xfId="33138"/>
    <cellStyle name="표준 10 2 2 5 4 4" xfId="33139"/>
    <cellStyle name="표준 10 2 2 5 5" xfId="33140"/>
    <cellStyle name="표준 10 2 2 5 5 2" xfId="33141"/>
    <cellStyle name="표준 10 2 2 5 5 3" xfId="33142"/>
    <cellStyle name="표준 10 2 2 5 6" xfId="33143"/>
    <cellStyle name="표준 10 2 2 5 7" xfId="33144"/>
    <cellStyle name="표준 10 2 2 6" xfId="33145"/>
    <cellStyle name="표준 10 2 2 6 2" xfId="33146"/>
    <cellStyle name="표준 10 2 2 6 2 2" xfId="33147"/>
    <cellStyle name="표준 10 2 2 6 2 2 2" xfId="33148"/>
    <cellStyle name="표준 10 2 2 6 2 2 2 2" xfId="33149"/>
    <cellStyle name="표준 10 2 2 6 2 2 2 3" xfId="33150"/>
    <cellStyle name="표준 10 2 2 6 2 2 3" xfId="33151"/>
    <cellStyle name="표준 10 2 2 6 2 2 4" xfId="33152"/>
    <cellStyle name="표준 10 2 2 6 2 3" xfId="33153"/>
    <cellStyle name="표준 10 2 2 6 2 3 2" xfId="33154"/>
    <cellStyle name="표준 10 2 2 6 2 3 3" xfId="33155"/>
    <cellStyle name="표준 10 2 2 6 2 4" xfId="33156"/>
    <cellStyle name="표준 10 2 2 6 2 5" xfId="33157"/>
    <cellStyle name="표준 10 2 2 6 3" xfId="33158"/>
    <cellStyle name="표준 10 2 2 6 3 2" xfId="33159"/>
    <cellStyle name="표준 10 2 2 6 3 2 2" xfId="33160"/>
    <cellStyle name="표준 10 2 2 6 3 2 2 2" xfId="33161"/>
    <cellStyle name="표준 10 2 2 6 3 2 2 3" xfId="33162"/>
    <cellStyle name="표준 10 2 2 6 3 2 3" xfId="33163"/>
    <cellStyle name="표준 10 2 2 6 3 2 4" xfId="33164"/>
    <cellStyle name="표준 10 2 2 6 3 3" xfId="33165"/>
    <cellStyle name="표준 10 2 2 6 3 3 2" xfId="33166"/>
    <cellStyle name="표준 10 2 2 6 3 3 3" xfId="33167"/>
    <cellStyle name="표준 10 2 2 6 3 4" xfId="33168"/>
    <cellStyle name="표준 10 2 2 6 3 5" xfId="33169"/>
    <cellStyle name="표준 10 2 2 6 4" xfId="33170"/>
    <cellStyle name="표준 10 2 2 6 4 2" xfId="33171"/>
    <cellStyle name="표준 10 2 2 6 4 2 2" xfId="33172"/>
    <cellStyle name="표준 10 2 2 6 4 2 3" xfId="33173"/>
    <cellStyle name="표준 10 2 2 6 4 3" xfId="33174"/>
    <cellStyle name="표준 10 2 2 6 4 4" xfId="33175"/>
    <cellStyle name="표준 10 2 2 6 5" xfId="33176"/>
    <cellStyle name="표준 10 2 2 6 5 2" xfId="33177"/>
    <cellStyle name="표준 10 2 2 6 5 3" xfId="33178"/>
    <cellStyle name="표준 10 2 2 6 6" xfId="33179"/>
    <cellStyle name="표준 10 2 2 6 7" xfId="33180"/>
    <cellStyle name="표준 10 2 2 7" xfId="33181"/>
    <cellStyle name="표준 10 2 2 7 2" xfId="33182"/>
    <cellStyle name="표준 10 2 2 7 2 2" xfId="33183"/>
    <cellStyle name="표준 10 2 2 7 2 2 2" xfId="33184"/>
    <cellStyle name="표준 10 2 2 7 2 2 3" xfId="33185"/>
    <cellStyle name="표준 10 2 2 7 2 3" xfId="33186"/>
    <cellStyle name="표준 10 2 2 7 2 4" xfId="33187"/>
    <cellStyle name="표준 10 2 2 7 3" xfId="33188"/>
    <cellStyle name="표준 10 2 2 7 3 2" xfId="33189"/>
    <cellStyle name="표준 10 2 2 7 3 3" xfId="33190"/>
    <cellStyle name="표준 10 2 2 7 4" xfId="33191"/>
    <cellStyle name="표준 10 2 2 7 5" xfId="33192"/>
    <cellStyle name="표준 10 2 2 8" xfId="33193"/>
    <cellStyle name="표준 10 2 2 8 2" xfId="33194"/>
    <cellStyle name="표준 10 2 2 8 2 2" xfId="33195"/>
    <cellStyle name="표준 10 2 2 8 2 2 2" xfId="33196"/>
    <cellStyle name="표준 10 2 2 8 2 2 3" xfId="33197"/>
    <cellStyle name="표준 10 2 2 8 2 3" xfId="33198"/>
    <cellStyle name="표준 10 2 2 8 2 4" xfId="33199"/>
    <cellStyle name="표준 10 2 2 8 3" xfId="33200"/>
    <cellStyle name="표준 10 2 2 8 3 2" xfId="33201"/>
    <cellStyle name="표준 10 2 2 8 3 3" xfId="33202"/>
    <cellStyle name="표준 10 2 2 8 4" xfId="33203"/>
    <cellStyle name="표준 10 2 2 8 5" xfId="33204"/>
    <cellStyle name="표준 10 2 2 9" xfId="33205"/>
    <cellStyle name="표준 10 2 2 9 2" xfId="33206"/>
    <cellStyle name="표준 10 2 2 9 2 2" xfId="33207"/>
    <cellStyle name="표준 10 2 2 9 2 2 2" xfId="33208"/>
    <cellStyle name="표준 10 2 2 9 2 2 3" xfId="33209"/>
    <cellStyle name="표준 10 2 2 9 2 3" xfId="33210"/>
    <cellStyle name="표준 10 2 2 9 2 4" xfId="33211"/>
    <cellStyle name="표준 10 2 2 9 3" xfId="33212"/>
    <cellStyle name="표준 10 2 2 9 3 2" xfId="33213"/>
    <cellStyle name="표준 10 2 2 9 3 3" xfId="33214"/>
    <cellStyle name="표준 10 2 2 9 4" xfId="33215"/>
    <cellStyle name="표준 10 2 2 9 5" xfId="33216"/>
    <cellStyle name="표준 10 2 3" xfId="33217"/>
    <cellStyle name="표준 10 2 3 10" xfId="33218"/>
    <cellStyle name="표준 10 2 3 2" xfId="33219"/>
    <cellStyle name="표준 10 2 3 2 2" xfId="33220"/>
    <cellStyle name="표준 10 2 3 2 2 2" xfId="33221"/>
    <cellStyle name="표준 10 2 3 2 2 2 2" xfId="33222"/>
    <cellStyle name="표준 10 2 3 2 2 2 2 2" xfId="33223"/>
    <cellStyle name="표준 10 2 3 2 2 2 2 3" xfId="33224"/>
    <cellStyle name="표준 10 2 3 2 2 2 3" xfId="33225"/>
    <cellStyle name="표준 10 2 3 2 2 2 4" xfId="33226"/>
    <cellStyle name="표준 10 2 3 2 2 3" xfId="33227"/>
    <cellStyle name="표준 10 2 3 2 2 3 2" xfId="33228"/>
    <cellStyle name="표준 10 2 3 2 2 3 3" xfId="33229"/>
    <cellStyle name="표준 10 2 3 2 2 4" xfId="33230"/>
    <cellStyle name="표준 10 2 3 2 2 5" xfId="33231"/>
    <cellStyle name="표준 10 2 3 2 3" xfId="33232"/>
    <cellStyle name="표준 10 2 3 2 3 2" xfId="33233"/>
    <cellStyle name="표준 10 2 3 2 3 2 2" xfId="33234"/>
    <cellStyle name="표준 10 2 3 2 3 2 2 2" xfId="33235"/>
    <cellStyle name="표준 10 2 3 2 3 2 2 3" xfId="33236"/>
    <cellStyle name="표준 10 2 3 2 3 2 3" xfId="33237"/>
    <cellStyle name="표준 10 2 3 2 3 2 4" xfId="33238"/>
    <cellStyle name="표준 10 2 3 2 3 3" xfId="33239"/>
    <cellStyle name="표준 10 2 3 2 3 3 2" xfId="33240"/>
    <cellStyle name="표준 10 2 3 2 3 3 3" xfId="33241"/>
    <cellStyle name="표준 10 2 3 2 3 4" xfId="33242"/>
    <cellStyle name="표준 10 2 3 2 3 5" xfId="33243"/>
    <cellStyle name="표준 10 2 3 2 4" xfId="33244"/>
    <cellStyle name="표준 10 2 3 2 4 2" xfId="33245"/>
    <cellStyle name="표준 10 2 3 2 4 2 2" xfId="33246"/>
    <cellStyle name="표준 10 2 3 2 4 2 3" xfId="33247"/>
    <cellStyle name="표준 10 2 3 2 4 3" xfId="33248"/>
    <cellStyle name="표준 10 2 3 2 4 4" xfId="33249"/>
    <cellStyle name="표준 10 2 3 2 5" xfId="33250"/>
    <cellStyle name="표준 10 2 3 2 5 2" xfId="33251"/>
    <cellStyle name="표준 10 2 3 2 5 3" xfId="33252"/>
    <cellStyle name="표준 10 2 3 2 6" xfId="33253"/>
    <cellStyle name="표준 10 2 3 2 7" xfId="33254"/>
    <cellStyle name="표준 10 2 3 3" xfId="33255"/>
    <cellStyle name="표준 10 2 3 3 2" xfId="33256"/>
    <cellStyle name="표준 10 2 3 3 2 2" xfId="33257"/>
    <cellStyle name="표준 10 2 3 3 2 2 2" xfId="33258"/>
    <cellStyle name="표준 10 2 3 3 2 2 2 2" xfId="33259"/>
    <cellStyle name="표준 10 2 3 3 2 2 2 3" xfId="33260"/>
    <cellStyle name="표준 10 2 3 3 2 2 3" xfId="33261"/>
    <cellStyle name="표준 10 2 3 3 2 2 4" xfId="33262"/>
    <cellStyle name="표준 10 2 3 3 2 3" xfId="33263"/>
    <cellStyle name="표준 10 2 3 3 2 3 2" xfId="33264"/>
    <cellStyle name="표준 10 2 3 3 2 3 3" xfId="33265"/>
    <cellStyle name="표준 10 2 3 3 2 4" xfId="33266"/>
    <cellStyle name="표준 10 2 3 3 2 5" xfId="33267"/>
    <cellStyle name="표준 10 2 3 3 3" xfId="33268"/>
    <cellStyle name="표준 10 2 3 3 3 2" xfId="33269"/>
    <cellStyle name="표준 10 2 3 3 3 2 2" xfId="33270"/>
    <cellStyle name="표준 10 2 3 3 3 2 2 2" xfId="33271"/>
    <cellStyle name="표준 10 2 3 3 3 2 2 3" xfId="33272"/>
    <cellStyle name="표준 10 2 3 3 3 2 3" xfId="33273"/>
    <cellStyle name="표준 10 2 3 3 3 2 4" xfId="33274"/>
    <cellStyle name="표준 10 2 3 3 3 3" xfId="33275"/>
    <cellStyle name="표준 10 2 3 3 3 3 2" xfId="33276"/>
    <cellStyle name="표준 10 2 3 3 3 3 3" xfId="33277"/>
    <cellStyle name="표준 10 2 3 3 3 4" xfId="33278"/>
    <cellStyle name="표준 10 2 3 3 3 5" xfId="33279"/>
    <cellStyle name="표준 10 2 3 3 4" xfId="33280"/>
    <cellStyle name="표준 10 2 3 3 4 2" xfId="33281"/>
    <cellStyle name="표준 10 2 3 3 4 2 2" xfId="33282"/>
    <cellStyle name="표준 10 2 3 3 4 2 3" xfId="33283"/>
    <cellStyle name="표준 10 2 3 3 4 3" xfId="33284"/>
    <cellStyle name="표준 10 2 3 3 4 4" xfId="33285"/>
    <cellStyle name="표준 10 2 3 3 5" xfId="33286"/>
    <cellStyle name="표준 10 2 3 3 5 2" xfId="33287"/>
    <cellStyle name="표준 10 2 3 3 5 3" xfId="33288"/>
    <cellStyle name="표준 10 2 3 3 6" xfId="33289"/>
    <cellStyle name="표준 10 2 3 3 7" xfId="33290"/>
    <cellStyle name="표준 10 2 3 4" xfId="33291"/>
    <cellStyle name="표준 10 2 3 4 2" xfId="33292"/>
    <cellStyle name="표준 10 2 3 4 2 2" xfId="33293"/>
    <cellStyle name="표준 10 2 3 4 2 2 2" xfId="33294"/>
    <cellStyle name="표준 10 2 3 4 2 2 3" xfId="33295"/>
    <cellStyle name="표준 10 2 3 4 2 3" xfId="33296"/>
    <cellStyle name="표준 10 2 3 4 2 4" xfId="33297"/>
    <cellStyle name="표준 10 2 3 4 3" xfId="33298"/>
    <cellStyle name="표준 10 2 3 4 3 2" xfId="33299"/>
    <cellStyle name="표준 10 2 3 4 3 3" xfId="33300"/>
    <cellStyle name="표준 10 2 3 4 4" xfId="33301"/>
    <cellStyle name="표준 10 2 3 4 5" xfId="33302"/>
    <cellStyle name="표준 10 2 3 5" xfId="33303"/>
    <cellStyle name="표준 10 2 3 5 2" xfId="33304"/>
    <cellStyle name="표준 10 2 3 5 2 2" xfId="33305"/>
    <cellStyle name="표준 10 2 3 5 2 2 2" xfId="33306"/>
    <cellStyle name="표준 10 2 3 5 2 2 3" xfId="33307"/>
    <cellStyle name="표준 10 2 3 5 2 3" xfId="33308"/>
    <cellStyle name="표준 10 2 3 5 2 4" xfId="33309"/>
    <cellStyle name="표준 10 2 3 5 3" xfId="33310"/>
    <cellStyle name="표준 10 2 3 5 3 2" xfId="33311"/>
    <cellStyle name="표준 10 2 3 5 3 3" xfId="33312"/>
    <cellStyle name="표준 10 2 3 5 4" xfId="33313"/>
    <cellStyle name="표준 10 2 3 5 5" xfId="33314"/>
    <cellStyle name="표준 10 2 3 6" xfId="33315"/>
    <cellStyle name="표준 10 2 3 6 2" xfId="33316"/>
    <cellStyle name="표준 10 2 3 6 2 2" xfId="33317"/>
    <cellStyle name="표준 10 2 3 6 2 2 2" xfId="33318"/>
    <cellStyle name="표준 10 2 3 6 2 2 3" xfId="33319"/>
    <cellStyle name="표준 10 2 3 6 2 3" xfId="33320"/>
    <cellStyle name="표준 10 2 3 6 2 4" xfId="33321"/>
    <cellStyle name="표준 10 2 3 6 3" xfId="33322"/>
    <cellStyle name="표준 10 2 3 6 3 2" xfId="33323"/>
    <cellStyle name="표준 10 2 3 6 3 3" xfId="33324"/>
    <cellStyle name="표준 10 2 3 6 4" xfId="33325"/>
    <cellStyle name="표준 10 2 3 6 5" xfId="33326"/>
    <cellStyle name="표준 10 2 3 7" xfId="33327"/>
    <cellStyle name="표준 10 2 3 7 2" xfId="33328"/>
    <cellStyle name="표준 10 2 3 7 2 2" xfId="33329"/>
    <cellStyle name="표준 10 2 3 7 2 3" xfId="33330"/>
    <cellStyle name="표준 10 2 3 7 3" xfId="33331"/>
    <cellStyle name="표준 10 2 3 7 4" xfId="33332"/>
    <cellStyle name="표준 10 2 3 8" xfId="33333"/>
    <cellStyle name="표준 10 2 3 8 2" xfId="33334"/>
    <cellStyle name="표준 10 2 3 8 3" xfId="33335"/>
    <cellStyle name="표준 10 2 3 9" xfId="33336"/>
    <cellStyle name="표준 10 2 4" xfId="33337"/>
    <cellStyle name="표준 10 2 4 10" xfId="33338"/>
    <cellStyle name="표준 10 2 4 2" xfId="33339"/>
    <cellStyle name="표준 10 2 4 2 2" xfId="33340"/>
    <cellStyle name="표준 10 2 4 2 2 2" xfId="33341"/>
    <cellStyle name="표준 10 2 4 2 2 2 2" xfId="33342"/>
    <cellStyle name="표준 10 2 4 2 2 2 2 2" xfId="33343"/>
    <cellStyle name="표준 10 2 4 2 2 2 2 3" xfId="33344"/>
    <cellStyle name="표준 10 2 4 2 2 2 3" xfId="33345"/>
    <cellStyle name="표준 10 2 4 2 2 2 4" xfId="33346"/>
    <cellStyle name="표준 10 2 4 2 2 3" xfId="33347"/>
    <cellStyle name="표준 10 2 4 2 2 3 2" xfId="33348"/>
    <cellStyle name="표준 10 2 4 2 2 3 3" xfId="33349"/>
    <cellStyle name="표준 10 2 4 2 2 4" xfId="33350"/>
    <cellStyle name="표준 10 2 4 2 2 5" xfId="33351"/>
    <cellStyle name="표준 10 2 4 2 3" xfId="33352"/>
    <cellStyle name="표준 10 2 4 2 3 2" xfId="33353"/>
    <cellStyle name="표준 10 2 4 2 3 2 2" xfId="33354"/>
    <cellStyle name="표준 10 2 4 2 3 2 2 2" xfId="33355"/>
    <cellStyle name="표준 10 2 4 2 3 2 2 3" xfId="33356"/>
    <cellStyle name="표준 10 2 4 2 3 2 3" xfId="33357"/>
    <cellStyle name="표준 10 2 4 2 3 2 4" xfId="33358"/>
    <cellStyle name="표준 10 2 4 2 3 3" xfId="33359"/>
    <cellStyle name="표준 10 2 4 2 3 3 2" xfId="33360"/>
    <cellStyle name="표준 10 2 4 2 3 3 3" xfId="33361"/>
    <cellStyle name="표준 10 2 4 2 3 4" xfId="33362"/>
    <cellStyle name="표준 10 2 4 2 3 5" xfId="33363"/>
    <cellStyle name="표준 10 2 4 2 4" xfId="33364"/>
    <cellStyle name="표준 10 2 4 2 4 2" xfId="33365"/>
    <cellStyle name="표준 10 2 4 2 4 2 2" xfId="33366"/>
    <cellStyle name="표준 10 2 4 2 4 2 3" xfId="33367"/>
    <cellStyle name="표준 10 2 4 2 4 3" xfId="33368"/>
    <cellStyle name="표준 10 2 4 2 4 4" xfId="33369"/>
    <cellStyle name="표준 10 2 4 2 5" xfId="33370"/>
    <cellStyle name="표준 10 2 4 2 5 2" xfId="33371"/>
    <cellStyle name="표준 10 2 4 2 5 3" xfId="33372"/>
    <cellStyle name="표준 10 2 4 2 6" xfId="33373"/>
    <cellStyle name="표준 10 2 4 2 7" xfId="33374"/>
    <cellStyle name="표준 10 2 4 3" xfId="33375"/>
    <cellStyle name="표준 10 2 4 3 2" xfId="33376"/>
    <cellStyle name="표준 10 2 4 3 2 2" xfId="33377"/>
    <cellStyle name="표준 10 2 4 3 2 2 2" xfId="33378"/>
    <cellStyle name="표준 10 2 4 3 2 2 2 2" xfId="33379"/>
    <cellStyle name="표준 10 2 4 3 2 2 2 3" xfId="33380"/>
    <cellStyle name="표준 10 2 4 3 2 2 3" xfId="33381"/>
    <cellStyle name="표준 10 2 4 3 2 2 4" xfId="33382"/>
    <cellStyle name="표준 10 2 4 3 2 3" xfId="33383"/>
    <cellStyle name="표준 10 2 4 3 2 3 2" xfId="33384"/>
    <cellStyle name="표준 10 2 4 3 2 3 3" xfId="33385"/>
    <cellStyle name="표준 10 2 4 3 2 4" xfId="33386"/>
    <cellStyle name="표준 10 2 4 3 2 5" xfId="33387"/>
    <cellStyle name="표준 10 2 4 3 3" xfId="33388"/>
    <cellStyle name="표준 10 2 4 3 3 2" xfId="33389"/>
    <cellStyle name="표준 10 2 4 3 3 2 2" xfId="33390"/>
    <cellStyle name="표준 10 2 4 3 3 2 2 2" xfId="33391"/>
    <cellStyle name="표준 10 2 4 3 3 2 2 3" xfId="33392"/>
    <cellStyle name="표준 10 2 4 3 3 2 3" xfId="33393"/>
    <cellStyle name="표준 10 2 4 3 3 2 4" xfId="33394"/>
    <cellStyle name="표준 10 2 4 3 3 3" xfId="33395"/>
    <cellStyle name="표준 10 2 4 3 3 3 2" xfId="33396"/>
    <cellStyle name="표준 10 2 4 3 3 3 3" xfId="33397"/>
    <cellStyle name="표준 10 2 4 3 3 4" xfId="33398"/>
    <cellStyle name="표준 10 2 4 3 3 5" xfId="33399"/>
    <cellStyle name="표준 10 2 4 3 4" xfId="33400"/>
    <cellStyle name="표준 10 2 4 3 4 2" xfId="33401"/>
    <cellStyle name="표준 10 2 4 3 4 2 2" xfId="33402"/>
    <cellStyle name="표준 10 2 4 3 4 2 3" xfId="33403"/>
    <cellStyle name="표준 10 2 4 3 4 3" xfId="33404"/>
    <cellStyle name="표준 10 2 4 3 4 4" xfId="33405"/>
    <cellStyle name="표준 10 2 4 3 5" xfId="33406"/>
    <cellStyle name="표준 10 2 4 3 5 2" xfId="33407"/>
    <cellStyle name="표준 10 2 4 3 5 3" xfId="33408"/>
    <cellStyle name="표준 10 2 4 3 6" xfId="33409"/>
    <cellStyle name="표준 10 2 4 3 7" xfId="33410"/>
    <cellStyle name="표준 10 2 4 4" xfId="33411"/>
    <cellStyle name="표준 10 2 4 4 2" xfId="33412"/>
    <cellStyle name="표준 10 2 4 4 2 2" xfId="33413"/>
    <cellStyle name="표준 10 2 4 4 2 2 2" xfId="33414"/>
    <cellStyle name="표준 10 2 4 4 2 2 3" xfId="33415"/>
    <cellStyle name="표준 10 2 4 4 2 3" xfId="33416"/>
    <cellStyle name="표준 10 2 4 4 2 4" xfId="33417"/>
    <cellStyle name="표준 10 2 4 4 3" xfId="33418"/>
    <cellStyle name="표준 10 2 4 4 3 2" xfId="33419"/>
    <cellStyle name="표준 10 2 4 4 3 3" xfId="33420"/>
    <cellStyle name="표준 10 2 4 4 4" xfId="33421"/>
    <cellStyle name="표준 10 2 4 4 5" xfId="33422"/>
    <cellStyle name="표준 10 2 4 5" xfId="33423"/>
    <cellStyle name="표준 10 2 4 5 2" xfId="33424"/>
    <cellStyle name="표준 10 2 4 5 2 2" xfId="33425"/>
    <cellStyle name="표준 10 2 4 5 2 2 2" xfId="33426"/>
    <cellStyle name="표준 10 2 4 5 2 2 3" xfId="33427"/>
    <cellStyle name="표준 10 2 4 5 2 3" xfId="33428"/>
    <cellStyle name="표준 10 2 4 5 2 4" xfId="33429"/>
    <cellStyle name="표준 10 2 4 5 3" xfId="33430"/>
    <cellStyle name="표준 10 2 4 5 3 2" xfId="33431"/>
    <cellStyle name="표준 10 2 4 5 3 3" xfId="33432"/>
    <cellStyle name="표준 10 2 4 5 4" xfId="33433"/>
    <cellStyle name="표준 10 2 4 5 5" xfId="33434"/>
    <cellStyle name="표준 10 2 4 6" xfId="33435"/>
    <cellStyle name="표준 10 2 4 6 2" xfId="33436"/>
    <cellStyle name="표준 10 2 4 6 2 2" xfId="33437"/>
    <cellStyle name="표준 10 2 4 6 2 2 2" xfId="33438"/>
    <cellStyle name="표준 10 2 4 6 2 2 3" xfId="33439"/>
    <cellStyle name="표준 10 2 4 6 2 3" xfId="33440"/>
    <cellStyle name="표준 10 2 4 6 2 4" xfId="33441"/>
    <cellStyle name="표준 10 2 4 6 3" xfId="33442"/>
    <cellStyle name="표준 10 2 4 6 3 2" xfId="33443"/>
    <cellStyle name="표준 10 2 4 6 3 3" xfId="33444"/>
    <cellStyle name="표준 10 2 4 6 4" xfId="33445"/>
    <cellStyle name="표준 10 2 4 6 5" xfId="33446"/>
    <cellStyle name="표준 10 2 4 7" xfId="33447"/>
    <cellStyle name="표준 10 2 4 7 2" xfId="33448"/>
    <cellStyle name="표준 10 2 4 7 2 2" xfId="33449"/>
    <cellStyle name="표준 10 2 4 7 2 3" xfId="33450"/>
    <cellStyle name="표준 10 2 4 7 3" xfId="33451"/>
    <cellStyle name="표준 10 2 4 7 4" xfId="33452"/>
    <cellStyle name="표준 10 2 4 8" xfId="33453"/>
    <cellStyle name="표준 10 2 4 8 2" xfId="33454"/>
    <cellStyle name="표준 10 2 4 8 3" xfId="33455"/>
    <cellStyle name="표준 10 2 4 9" xfId="33456"/>
    <cellStyle name="표준 10 2 5" xfId="33457"/>
    <cellStyle name="표준 10 2 5 10" xfId="33458"/>
    <cellStyle name="표준 10 2 5 2" xfId="33459"/>
    <cellStyle name="표준 10 2 5 2 2" xfId="33460"/>
    <cellStyle name="표준 10 2 5 2 2 2" xfId="33461"/>
    <cellStyle name="표준 10 2 5 2 2 2 2" xfId="33462"/>
    <cellStyle name="표준 10 2 5 2 2 2 2 2" xfId="33463"/>
    <cellStyle name="표준 10 2 5 2 2 2 2 3" xfId="33464"/>
    <cellStyle name="표준 10 2 5 2 2 2 3" xfId="33465"/>
    <cellStyle name="표준 10 2 5 2 2 2 4" xfId="33466"/>
    <cellStyle name="표준 10 2 5 2 2 3" xfId="33467"/>
    <cellStyle name="표준 10 2 5 2 2 3 2" xfId="33468"/>
    <cellStyle name="표준 10 2 5 2 2 3 3" xfId="33469"/>
    <cellStyle name="표준 10 2 5 2 2 4" xfId="33470"/>
    <cellStyle name="표준 10 2 5 2 2 5" xfId="33471"/>
    <cellStyle name="표준 10 2 5 2 3" xfId="33472"/>
    <cellStyle name="표준 10 2 5 2 3 2" xfId="33473"/>
    <cellStyle name="표준 10 2 5 2 3 2 2" xfId="33474"/>
    <cellStyle name="표준 10 2 5 2 3 2 2 2" xfId="33475"/>
    <cellStyle name="표준 10 2 5 2 3 2 2 3" xfId="33476"/>
    <cellStyle name="표준 10 2 5 2 3 2 3" xfId="33477"/>
    <cellStyle name="표준 10 2 5 2 3 2 4" xfId="33478"/>
    <cellStyle name="표준 10 2 5 2 3 3" xfId="33479"/>
    <cellStyle name="표준 10 2 5 2 3 3 2" xfId="33480"/>
    <cellStyle name="표준 10 2 5 2 3 3 3" xfId="33481"/>
    <cellStyle name="표준 10 2 5 2 3 4" xfId="33482"/>
    <cellStyle name="표준 10 2 5 2 3 5" xfId="33483"/>
    <cellStyle name="표준 10 2 5 2 4" xfId="33484"/>
    <cellStyle name="표준 10 2 5 2 4 2" xfId="33485"/>
    <cellStyle name="표준 10 2 5 2 4 2 2" xfId="33486"/>
    <cellStyle name="표준 10 2 5 2 4 2 3" xfId="33487"/>
    <cellStyle name="표준 10 2 5 2 4 3" xfId="33488"/>
    <cellStyle name="표준 10 2 5 2 4 4" xfId="33489"/>
    <cellStyle name="표준 10 2 5 2 5" xfId="33490"/>
    <cellStyle name="표준 10 2 5 2 5 2" xfId="33491"/>
    <cellStyle name="표준 10 2 5 2 5 3" xfId="33492"/>
    <cellStyle name="표준 10 2 5 2 6" xfId="33493"/>
    <cellStyle name="표준 10 2 5 2 7" xfId="33494"/>
    <cellStyle name="표준 10 2 5 3" xfId="33495"/>
    <cellStyle name="표준 10 2 5 3 2" xfId="33496"/>
    <cellStyle name="표준 10 2 5 3 2 2" xfId="33497"/>
    <cellStyle name="표준 10 2 5 3 2 2 2" xfId="33498"/>
    <cellStyle name="표준 10 2 5 3 2 2 2 2" xfId="33499"/>
    <cellStyle name="표준 10 2 5 3 2 2 2 3" xfId="33500"/>
    <cellStyle name="표준 10 2 5 3 2 2 3" xfId="33501"/>
    <cellStyle name="표준 10 2 5 3 2 2 4" xfId="33502"/>
    <cellStyle name="표준 10 2 5 3 2 3" xfId="33503"/>
    <cellStyle name="표준 10 2 5 3 2 3 2" xfId="33504"/>
    <cellStyle name="표준 10 2 5 3 2 3 3" xfId="33505"/>
    <cellStyle name="표준 10 2 5 3 2 4" xfId="33506"/>
    <cellStyle name="표준 10 2 5 3 2 5" xfId="33507"/>
    <cellStyle name="표준 10 2 5 3 3" xfId="33508"/>
    <cellStyle name="표준 10 2 5 3 3 2" xfId="33509"/>
    <cellStyle name="표준 10 2 5 3 3 2 2" xfId="33510"/>
    <cellStyle name="표준 10 2 5 3 3 2 2 2" xfId="33511"/>
    <cellStyle name="표준 10 2 5 3 3 2 2 3" xfId="33512"/>
    <cellStyle name="표준 10 2 5 3 3 2 3" xfId="33513"/>
    <cellStyle name="표준 10 2 5 3 3 2 4" xfId="33514"/>
    <cellStyle name="표준 10 2 5 3 3 3" xfId="33515"/>
    <cellStyle name="표준 10 2 5 3 3 3 2" xfId="33516"/>
    <cellStyle name="표준 10 2 5 3 3 3 3" xfId="33517"/>
    <cellStyle name="표준 10 2 5 3 3 4" xfId="33518"/>
    <cellStyle name="표준 10 2 5 3 3 5" xfId="33519"/>
    <cellStyle name="표준 10 2 5 3 4" xfId="33520"/>
    <cellStyle name="표준 10 2 5 3 4 2" xfId="33521"/>
    <cellStyle name="표준 10 2 5 3 4 2 2" xfId="33522"/>
    <cellStyle name="표준 10 2 5 3 4 2 3" xfId="33523"/>
    <cellStyle name="표준 10 2 5 3 4 3" xfId="33524"/>
    <cellStyle name="표준 10 2 5 3 4 4" xfId="33525"/>
    <cellStyle name="표준 10 2 5 3 5" xfId="33526"/>
    <cellStyle name="표준 10 2 5 3 5 2" xfId="33527"/>
    <cellStyle name="표준 10 2 5 3 5 3" xfId="33528"/>
    <cellStyle name="표준 10 2 5 3 6" xfId="33529"/>
    <cellStyle name="표준 10 2 5 3 7" xfId="33530"/>
    <cellStyle name="표준 10 2 5 4" xfId="33531"/>
    <cellStyle name="표준 10 2 5 4 2" xfId="33532"/>
    <cellStyle name="표준 10 2 5 4 2 2" xfId="33533"/>
    <cellStyle name="표준 10 2 5 4 2 2 2" xfId="33534"/>
    <cellStyle name="표준 10 2 5 4 2 2 3" xfId="33535"/>
    <cellStyle name="표준 10 2 5 4 2 3" xfId="33536"/>
    <cellStyle name="표준 10 2 5 4 2 4" xfId="33537"/>
    <cellStyle name="표준 10 2 5 4 3" xfId="33538"/>
    <cellStyle name="표준 10 2 5 4 3 2" xfId="33539"/>
    <cellStyle name="표준 10 2 5 4 3 3" xfId="33540"/>
    <cellStyle name="표준 10 2 5 4 4" xfId="33541"/>
    <cellStyle name="표준 10 2 5 4 5" xfId="33542"/>
    <cellStyle name="표준 10 2 5 5" xfId="33543"/>
    <cellStyle name="표준 10 2 5 5 2" xfId="33544"/>
    <cellStyle name="표준 10 2 5 5 2 2" xfId="33545"/>
    <cellStyle name="표준 10 2 5 5 2 2 2" xfId="33546"/>
    <cellStyle name="표준 10 2 5 5 2 2 3" xfId="33547"/>
    <cellStyle name="표준 10 2 5 5 2 3" xfId="33548"/>
    <cellStyle name="표준 10 2 5 5 2 4" xfId="33549"/>
    <cellStyle name="표준 10 2 5 5 3" xfId="33550"/>
    <cellStyle name="표준 10 2 5 5 3 2" xfId="33551"/>
    <cellStyle name="표준 10 2 5 5 3 3" xfId="33552"/>
    <cellStyle name="표준 10 2 5 5 4" xfId="33553"/>
    <cellStyle name="표준 10 2 5 5 5" xfId="33554"/>
    <cellStyle name="표준 10 2 5 6" xfId="33555"/>
    <cellStyle name="표준 10 2 5 6 2" xfId="33556"/>
    <cellStyle name="표준 10 2 5 6 2 2" xfId="33557"/>
    <cellStyle name="표준 10 2 5 6 2 2 2" xfId="33558"/>
    <cellStyle name="표준 10 2 5 6 2 2 3" xfId="33559"/>
    <cellStyle name="표준 10 2 5 6 2 3" xfId="33560"/>
    <cellStyle name="표준 10 2 5 6 2 4" xfId="33561"/>
    <cellStyle name="표준 10 2 5 6 3" xfId="33562"/>
    <cellStyle name="표준 10 2 5 6 3 2" xfId="33563"/>
    <cellStyle name="표준 10 2 5 6 3 3" xfId="33564"/>
    <cellStyle name="표준 10 2 5 6 4" xfId="33565"/>
    <cellStyle name="표준 10 2 5 6 5" xfId="33566"/>
    <cellStyle name="표준 10 2 5 7" xfId="33567"/>
    <cellStyle name="표준 10 2 5 7 2" xfId="33568"/>
    <cellStyle name="표준 10 2 5 7 2 2" xfId="33569"/>
    <cellStyle name="표준 10 2 5 7 2 3" xfId="33570"/>
    <cellStyle name="표준 10 2 5 7 3" xfId="33571"/>
    <cellStyle name="표준 10 2 5 7 4" xfId="33572"/>
    <cellStyle name="표준 10 2 5 8" xfId="33573"/>
    <cellStyle name="표준 10 2 5 8 2" xfId="33574"/>
    <cellStyle name="표준 10 2 5 8 3" xfId="33575"/>
    <cellStyle name="표준 10 2 5 9" xfId="33576"/>
    <cellStyle name="표준 10 2 6" xfId="33577"/>
    <cellStyle name="표준 10 2 6 2" xfId="33578"/>
    <cellStyle name="표준 10 2 6 2 2" xfId="33579"/>
    <cellStyle name="표준 10 2 6 2 2 2" xfId="33580"/>
    <cellStyle name="표준 10 2 6 2 2 2 2" xfId="33581"/>
    <cellStyle name="표준 10 2 6 2 2 2 3" xfId="33582"/>
    <cellStyle name="표준 10 2 6 2 2 3" xfId="33583"/>
    <cellStyle name="표준 10 2 6 2 2 4" xfId="33584"/>
    <cellStyle name="표준 10 2 6 2 3" xfId="33585"/>
    <cellStyle name="표준 10 2 6 2 3 2" xfId="33586"/>
    <cellStyle name="표준 10 2 6 2 3 3" xfId="33587"/>
    <cellStyle name="표준 10 2 6 2 4" xfId="33588"/>
    <cellStyle name="표준 10 2 6 2 5" xfId="33589"/>
    <cellStyle name="표준 10 2 6 3" xfId="33590"/>
    <cellStyle name="표준 10 2 6 3 2" xfId="33591"/>
    <cellStyle name="표준 10 2 6 3 2 2" xfId="33592"/>
    <cellStyle name="표준 10 2 6 3 2 2 2" xfId="33593"/>
    <cellStyle name="표준 10 2 6 3 2 2 3" xfId="33594"/>
    <cellStyle name="표준 10 2 6 3 2 3" xfId="33595"/>
    <cellStyle name="표준 10 2 6 3 2 4" xfId="33596"/>
    <cellStyle name="표준 10 2 6 3 3" xfId="33597"/>
    <cellStyle name="표준 10 2 6 3 3 2" xfId="33598"/>
    <cellStyle name="표준 10 2 6 3 3 3" xfId="33599"/>
    <cellStyle name="표준 10 2 6 3 4" xfId="33600"/>
    <cellStyle name="표준 10 2 6 3 5" xfId="33601"/>
    <cellStyle name="표준 10 2 6 4" xfId="33602"/>
    <cellStyle name="표준 10 2 6 4 2" xfId="33603"/>
    <cellStyle name="표준 10 2 6 4 2 2" xfId="33604"/>
    <cellStyle name="표준 10 2 6 4 2 3" xfId="33605"/>
    <cellStyle name="표준 10 2 6 4 3" xfId="33606"/>
    <cellStyle name="표준 10 2 6 4 4" xfId="33607"/>
    <cellStyle name="표준 10 2 6 5" xfId="33608"/>
    <cellStyle name="표준 10 2 6 5 2" xfId="33609"/>
    <cellStyle name="표준 10 2 6 5 3" xfId="33610"/>
    <cellStyle name="표준 10 2 6 6" xfId="33611"/>
    <cellStyle name="표준 10 2 6 7" xfId="33612"/>
    <cellStyle name="표준 10 2 7" xfId="33613"/>
    <cellStyle name="표준 10 2 7 2" xfId="33614"/>
    <cellStyle name="표준 10 2 7 2 2" xfId="33615"/>
    <cellStyle name="표준 10 2 7 2 2 2" xfId="33616"/>
    <cellStyle name="표준 10 2 7 2 2 2 2" xfId="33617"/>
    <cellStyle name="표준 10 2 7 2 2 2 3" xfId="33618"/>
    <cellStyle name="표준 10 2 7 2 2 3" xfId="33619"/>
    <cellStyle name="표준 10 2 7 2 2 4" xfId="33620"/>
    <cellStyle name="표준 10 2 7 2 3" xfId="33621"/>
    <cellStyle name="표준 10 2 7 2 3 2" xfId="33622"/>
    <cellStyle name="표준 10 2 7 2 3 3" xfId="33623"/>
    <cellStyle name="표준 10 2 7 2 4" xfId="33624"/>
    <cellStyle name="표준 10 2 7 2 5" xfId="33625"/>
    <cellStyle name="표준 10 2 7 3" xfId="33626"/>
    <cellStyle name="표준 10 2 7 3 2" xfId="33627"/>
    <cellStyle name="표준 10 2 7 3 2 2" xfId="33628"/>
    <cellStyle name="표준 10 2 7 3 2 2 2" xfId="33629"/>
    <cellStyle name="표준 10 2 7 3 2 2 3" xfId="33630"/>
    <cellStyle name="표준 10 2 7 3 2 3" xfId="33631"/>
    <cellStyle name="표준 10 2 7 3 2 4" xfId="33632"/>
    <cellStyle name="표준 10 2 7 3 3" xfId="33633"/>
    <cellStyle name="표준 10 2 7 3 3 2" xfId="33634"/>
    <cellStyle name="표준 10 2 7 3 3 3" xfId="33635"/>
    <cellStyle name="표준 10 2 7 3 4" xfId="33636"/>
    <cellStyle name="표준 10 2 7 3 5" xfId="33637"/>
    <cellStyle name="표준 10 2 7 4" xfId="33638"/>
    <cellStyle name="표준 10 2 7 4 2" xfId="33639"/>
    <cellStyle name="표준 10 2 7 4 2 2" xfId="33640"/>
    <cellStyle name="표준 10 2 7 4 2 3" xfId="33641"/>
    <cellStyle name="표준 10 2 7 4 3" xfId="33642"/>
    <cellStyle name="표준 10 2 7 4 4" xfId="33643"/>
    <cellStyle name="표준 10 2 7 5" xfId="33644"/>
    <cellStyle name="표준 10 2 7 5 2" xfId="33645"/>
    <cellStyle name="표준 10 2 7 5 3" xfId="33646"/>
    <cellStyle name="표준 10 2 7 6" xfId="33647"/>
    <cellStyle name="표준 10 2 7 7" xfId="33648"/>
    <cellStyle name="표준 10 2 8" xfId="33649"/>
    <cellStyle name="표준 10 2 8 2" xfId="33650"/>
    <cellStyle name="표준 10 2 8 2 2" xfId="33651"/>
    <cellStyle name="표준 10 2 8 2 2 2" xfId="33652"/>
    <cellStyle name="표준 10 2 8 2 2 3" xfId="33653"/>
    <cellStyle name="표준 10 2 8 2 3" xfId="33654"/>
    <cellStyle name="표준 10 2 8 2 4" xfId="33655"/>
    <cellStyle name="표준 10 2 8 3" xfId="33656"/>
    <cellStyle name="표준 10 2 8 3 2" xfId="33657"/>
    <cellStyle name="표준 10 2 8 3 3" xfId="33658"/>
    <cellStyle name="표준 10 2 8 4" xfId="33659"/>
    <cellStyle name="표준 10 2 8 5" xfId="33660"/>
    <cellStyle name="표준 10 2 9" xfId="33661"/>
    <cellStyle name="표준 10 2 9 2" xfId="33662"/>
    <cellStyle name="표준 10 2 9 2 2" xfId="33663"/>
    <cellStyle name="표준 10 2 9 2 2 2" xfId="33664"/>
    <cellStyle name="표준 10 2 9 2 2 3" xfId="33665"/>
    <cellStyle name="표준 10 2 9 2 3" xfId="33666"/>
    <cellStyle name="표준 10 2 9 2 4" xfId="33667"/>
    <cellStyle name="표준 10 2 9 3" xfId="33668"/>
    <cellStyle name="표준 10 2 9 3 2" xfId="33669"/>
    <cellStyle name="표준 10 2 9 3 3" xfId="33670"/>
    <cellStyle name="표준 10 2 9 4" xfId="33671"/>
    <cellStyle name="표준 10 2 9 5" xfId="33672"/>
    <cellStyle name="표준 10 3" xfId="33673"/>
    <cellStyle name="표준 10 3 10" xfId="33674"/>
    <cellStyle name="표준 10 3 10 2" xfId="33675"/>
    <cellStyle name="표준 10 3 10 2 2" xfId="33676"/>
    <cellStyle name="표준 10 3 10 2 2 2" xfId="33677"/>
    <cellStyle name="표준 10 3 10 2 2 3" xfId="33678"/>
    <cellStyle name="표준 10 3 10 2 3" xfId="33679"/>
    <cellStyle name="표준 10 3 10 2 4" xfId="33680"/>
    <cellStyle name="표준 10 3 10 3" xfId="33681"/>
    <cellStyle name="표준 10 3 10 3 2" xfId="33682"/>
    <cellStyle name="표준 10 3 10 3 3" xfId="33683"/>
    <cellStyle name="표준 10 3 10 4" xfId="33684"/>
    <cellStyle name="표준 10 3 10 5" xfId="33685"/>
    <cellStyle name="표준 10 3 11" xfId="33686"/>
    <cellStyle name="표준 10 3 11 2" xfId="33687"/>
    <cellStyle name="표준 10 3 11 2 2" xfId="33688"/>
    <cellStyle name="표준 10 3 11 2 3" xfId="33689"/>
    <cellStyle name="표준 10 3 11 3" xfId="33690"/>
    <cellStyle name="표준 10 3 11 4" xfId="33691"/>
    <cellStyle name="표준 10 3 12" xfId="33692"/>
    <cellStyle name="표준 10 3 12 2" xfId="33693"/>
    <cellStyle name="표준 10 3 12 3" xfId="33694"/>
    <cellStyle name="표준 10 3 13" xfId="33695"/>
    <cellStyle name="표준 10 3 14" xfId="33696"/>
    <cellStyle name="표준 10 3 2" xfId="33697"/>
    <cellStyle name="표준 10 3 2 10" xfId="33698"/>
    <cellStyle name="표준 10 3 2 10 2" xfId="33699"/>
    <cellStyle name="표준 10 3 2 10 2 2" xfId="33700"/>
    <cellStyle name="표준 10 3 2 10 2 3" xfId="33701"/>
    <cellStyle name="표준 10 3 2 10 3" xfId="33702"/>
    <cellStyle name="표준 10 3 2 10 4" xfId="33703"/>
    <cellStyle name="표준 10 3 2 11" xfId="33704"/>
    <cellStyle name="표준 10 3 2 11 2" xfId="33705"/>
    <cellStyle name="표준 10 3 2 11 3" xfId="33706"/>
    <cellStyle name="표준 10 3 2 12" xfId="33707"/>
    <cellStyle name="표준 10 3 2 13" xfId="33708"/>
    <cellStyle name="표준 10 3 2 2" xfId="33709"/>
    <cellStyle name="표준 10 3 2 2 10" xfId="33710"/>
    <cellStyle name="표준 10 3 2 2 2" xfId="33711"/>
    <cellStyle name="표준 10 3 2 2 2 2" xfId="33712"/>
    <cellStyle name="표준 10 3 2 2 2 2 2" xfId="33713"/>
    <cellStyle name="표준 10 3 2 2 2 2 2 2" xfId="33714"/>
    <cellStyle name="표준 10 3 2 2 2 2 2 2 2" xfId="33715"/>
    <cellStyle name="표준 10 3 2 2 2 2 2 2 3" xfId="33716"/>
    <cellStyle name="표준 10 3 2 2 2 2 2 3" xfId="33717"/>
    <cellStyle name="표준 10 3 2 2 2 2 2 4" xfId="33718"/>
    <cellStyle name="표준 10 3 2 2 2 2 3" xfId="33719"/>
    <cellStyle name="표준 10 3 2 2 2 2 3 2" xfId="33720"/>
    <cellStyle name="표준 10 3 2 2 2 2 3 3" xfId="33721"/>
    <cellStyle name="표준 10 3 2 2 2 2 4" xfId="33722"/>
    <cellStyle name="표준 10 3 2 2 2 2 5" xfId="33723"/>
    <cellStyle name="표준 10 3 2 2 2 3" xfId="33724"/>
    <cellStyle name="표준 10 3 2 2 2 3 2" xfId="33725"/>
    <cellStyle name="표준 10 3 2 2 2 3 2 2" xfId="33726"/>
    <cellStyle name="표준 10 3 2 2 2 3 2 2 2" xfId="33727"/>
    <cellStyle name="표준 10 3 2 2 2 3 2 2 3" xfId="33728"/>
    <cellStyle name="표준 10 3 2 2 2 3 2 3" xfId="33729"/>
    <cellStyle name="표준 10 3 2 2 2 3 2 4" xfId="33730"/>
    <cellStyle name="표준 10 3 2 2 2 3 3" xfId="33731"/>
    <cellStyle name="표준 10 3 2 2 2 3 3 2" xfId="33732"/>
    <cellStyle name="표준 10 3 2 2 2 3 3 3" xfId="33733"/>
    <cellStyle name="표준 10 3 2 2 2 3 4" xfId="33734"/>
    <cellStyle name="표준 10 3 2 2 2 3 5" xfId="33735"/>
    <cellStyle name="표준 10 3 2 2 2 4" xfId="33736"/>
    <cellStyle name="표준 10 3 2 2 2 4 2" xfId="33737"/>
    <cellStyle name="표준 10 3 2 2 2 4 2 2" xfId="33738"/>
    <cellStyle name="표준 10 3 2 2 2 4 2 3" xfId="33739"/>
    <cellStyle name="표준 10 3 2 2 2 4 3" xfId="33740"/>
    <cellStyle name="표준 10 3 2 2 2 4 4" xfId="33741"/>
    <cellStyle name="표준 10 3 2 2 2 5" xfId="33742"/>
    <cellStyle name="표준 10 3 2 2 2 5 2" xfId="33743"/>
    <cellStyle name="표준 10 3 2 2 2 5 3" xfId="33744"/>
    <cellStyle name="표준 10 3 2 2 2 6" xfId="33745"/>
    <cellStyle name="표준 10 3 2 2 2 7" xfId="33746"/>
    <cellStyle name="표준 10 3 2 2 3" xfId="33747"/>
    <cellStyle name="표준 10 3 2 2 3 2" xfId="33748"/>
    <cellStyle name="표준 10 3 2 2 3 2 2" xfId="33749"/>
    <cellStyle name="표준 10 3 2 2 3 2 2 2" xfId="33750"/>
    <cellStyle name="표준 10 3 2 2 3 2 2 2 2" xfId="33751"/>
    <cellStyle name="표준 10 3 2 2 3 2 2 2 3" xfId="33752"/>
    <cellStyle name="표준 10 3 2 2 3 2 2 3" xfId="33753"/>
    <cellStyle name="표준 10 3 2 2 3 2 2 4" xfId="33754"/>
    <cellStyle name="표준 10 3 2 2 3 2 3" xfId="33755"/>
    <cellStyle name="표준 10 3 2 2 3 2 3 2" xfId="33756"/>
    <cellStyle name="표준 10 3 2 2 3 2 3 3" xfId="33757"/>
    <cellStyle name="표준 10 3 2 2 3 2 4" xfId="33758"/>
    <cellStyle name="표준 10 3 2 2 3 2 5" xfId="33759"/>
    <cellStyle name="표준 10 3 2 2 3 3" xfId="33760"/>
    <cellStyle name="표준 10 3 2 2 3 3 2" xfId="33761"/>
    <cellStyle name="표준 10 3 2 2 3 3 2 2" xfId="33762"/>
    <cellStyle name="표준 10 3 2 2 3 3 2 2 2" xfId="33763"/>
    <cellStyle name="표준 10 3 2 2 3 3 2 2 3" xfId="33764"/>
    <cellStyle name="표준 10 3 2 2 3 3 2 3" xfId="33765"/>
    <cellStyle name="표준 10 3 2 2 3 3 2 4" xfId="33766"/>
    <cellStyle name="표준 10 3 2 2 3 3 3" xfId="33767"/>
    <cellStyle name="표준 10 3 2 2 3 3 3 2" xfId="33768"/>
    <cellStyle name="표준 10 3 2 2 3 3 3 3" xfId="33769"/>
    <cellStyle name="표준 10 3 2 2 3 3 4" xfId="33770"/>
    <cellStyle name="표준 10 3 2 2 3 3 5" xfId="33771"/>
    <cellStyle name="표준 10 3 2 2 3 4" xfId="33772"/>
    <cellStyle name="표준 10 3 2 2 3 4 2" xfId="33773"/>
    <cellStyle name="표준 10 3 2 2 3 4 2 2" xfId="33774"/>
    <cellStyle name="표준 10 3 2 2 3 4 2 3" xfId="33775"/>
    <cellStyle name="표준 10 3 2 2 3 4 3" xfId="33776"/>
    <cellStyle name="표준 10 3 2 2 3 4 4" xfId="33777"/>
    <cellStyle name="표준 10 3 2 2 3 5" xfId="33778"/>
    <cellStyle name="표준 10 3 2 2 3 5 2" xfId="33779"/>
    <cellStyle name="표준 10 3 2 2 3 5 3" xfId="33780"/>
    <cellStyle name="표준 10 3 2 2 3 6" xfId="33781"/>
    <cellStyle name="표준 10 3 2 2 3 7" xfId="33782"/>
    <cellStyle name="표준 10 3 2 2 4" xfId="33783"/>
    <cellStyle name="표준 10 3 2 2 4 2" xfId="33784"/>
    <cellStyle name="표준 10 3 2 2 4 2 2" xfId="33785"/>
    <cellStyle name="표준 10 3 2 2 4 2 2 2" xfId="33786"/>
    <cellStyle name="표준 10 3 2 2 4 2 2 3" xfId="33787"/>
    <cellStyle name="표준 10 3 2 2 4 2 3" xfId="33788"/>
    <cellStyle name="표준 10 3 2 2 4 2 4" xfId="33789"/>
    <cellStyle name="표준 10 3 2 2 4 3" xfId="33790"/>
    <cellStyle name="표준 10 3 2 2 4 3 2" xfId="33791"/>
    <cellStyle name="표준 10 3 2 2 4 3 3" xfId="33792"/>
    <cellStyle name="표준 10 3 2 2 4 4" xfId="33793"/>
    <cellStyle name="표준 10 3 2 2 4 5" xfId="33794"/>
    <cellStyle name="표준 10 3 2 2 5" xfId="33795"/>
    <cellStyle name="표준 10 3 2 2 5 2" xfId="33796"/>
    <cellStyle name="표준 10 3 2 2 5 2 2" xfId="33797"/>
    <cellStyle name="표준 10 3 2 2 5 2 2 2" xfId="33798"/>
    <cellStyle name="표준 10 3 2 2 5 2 2 3" xfId="33799"/>
    <cellStyle name="표준 10 3 2 2 5 2 3" xfId="33800"/>
    <cellStyle name="표준 10 3 2 2 5 2 4" xfId="33801"/>
    <cellStyle name="표준 10 3 2 2 5 3" xfId="33802"/>
    <cellStyle name="표준 10 3 2 2 5 3 2" xfId="33803"/>
    <cellStyle name="표준 10 3 2 2 5 3 3" xfId="33804"/>
    <cellStyle name="표준 10 3 2 2 5 4" xfId="33805"/>
    <cellStyle name="표준 10 3 2 2 5 5" xfId="33806"/>
    <cellStyle name="표준 10 3 2 2 6" xfId="33807"/>
    <cellStyle name="표준 10 3 2 2 6 2" xfId="33808"/>
    <cellStyle name="표준 10 3 2 2 6 2 2" xfId="33809"/>
    <cellStyle name="표준 10 3 2 2 6 2 2 2" xfId="33810"/>
    <cellStyle name="표준 10 3 2 2 6 2 2 3" xfId="33811"/>
    <cellStyle name="표준 10 3 2 2 6 2 3" xfId="33812"/>
    <cellStyle name="표준 10 3 2 2 6 2 4" xfId="33813"/>
    <cellStyle name="표준 10 3 2 2 6 3" xfId="33814"/>
    <cellStyle name="표준 10 3 2 2 6 3 2" xfId="33815"/>
    <cellStyle name="표준 10 3 2 2 6 3 3" xfId="33816"/>
    <cellStyle name="표준 10 3 2 2 6 4" xfId="33817"/>
    <cellStyle name="표준 10 3 2 2 6 5" xfId="33818"/>
    <cellStyle name="표준 10 3 2 2 7" xfId="33819"/>
    <cellStyle name="표준 10 3 2 2 7 2" xfId="33820"/>
    <cellStyle name="표준 10 3 2 2 7 2 2" xfId="33821"/>
    <cellStyle name="표준 10 3 2 2 7 2 3" xfId="33822"/>
    <cellStyle name="표준 10 3 2 2 7 3" xfId="33823"/>
    <cellStyle name="표준 10 3 2 2 7 4" xfId="33824"/>
    <cellStyle name="표준 10 3 2 2 8" xfId="33825"/>
    <cellStyle name="표준 10 3 2 2 8 2" xfId="33826"/>
    <cellStyle name="표준 10 3 2 2 8 3" xfId="33827"/>
    <cellStyle name="표준 10 3 2 2 9" xfId="33828"/>
    <cellStyle name="표준 10 3 2 3" xfId="33829"/>
    <cellStyle name="표준 10 3 2 3 10" xfId="33830"/>
    <cellStyle name="표준 10 3 2 3 2" xfId="33831"/>
    <cellStyle name="표준 10 3 2 3 2 2" xfId="33832"/>
    <cellStyle name="표준 10 3 2 3 2 2 2" xfId="33833"/>
    <cellStyle name="표준 10 3 2 3 2 2 2 2" xfId="33834"/>
    <cellStyle name="표준 10 3 2 3 2 2 2 2 2" xfId="33835"/>
    <cellStyle name="표준 10 3 2 3 2 2 2 2 3" xfId="33836"/>
    <cellStyle name="표준 10 3 2 3 2 2 2 3" xfId="33837"/>
    <cellStyle name="표준 10 3 2 3 2 2 2 4" xfId="33838"/>
    <cellStyle name="표준 10 3 2 3 2 2 3" xfId="33839"/>
    <cellStyle name="표준 10 3 2 3 2 2 3 2" xfId="33840"/>
    <cellStyle name="표준 10 3 2 3 2 2 3 3" xfId="33841"/>
    <cellStyle name="표준 10 3 2 3 2 2 4" xfId="33842"/>
    <cellStyle name="표준 10 3 2 3 2 2 5" xfId="33843"/>
    <cellStyle name="표준 10 3 2 3 2 3" xfId="33844"/>
    <cellStyle name="표준 10 3 2 3 2 3 2" xfId="33845"/>
    <cellStyle name="표준 10 3 2 3 2 3 2 2" xfId="33846"/>
    <cellStyle name="표준 10 3 2 3 2 3 2 2 2" xfId="33847"/>
    <cellStyle name="표준 10 3 2 3 2 3 2 2 3" xfId="33848"/>
    <cellStyle name="표준 10 3 2 3 2 3 2 3" xfId="33849"/>
    <cellStyle name="표준 10 3 2 3 2 3 2 4" xfId="33850"/>
    <cellStyle name="표준 10 3 2 3 2 3 3" xfId="33851"/>
    <cellStyle name="표준 10 3 2 3 2 3 3 2" xfId="33852"/>
    <cellStyle name="표준 10 3 2 3 2 3 3 3" xfId="33853"/>
    <cellStyle name="표준 10 3 2 3 2 3 4" xfId="33854"/>
    <cellStyle name="표준 10 3 2 3 2 3 5" xfId="33855"/>
    <cellStyle name="표준 10 3 2 3 2 4" xfId="33856"/>
    <cellStyle name="표준 10 3 2 3 2 4 2" xfId="33857"/>
    <cellStyle name="표준 10 3 2 3 2 4 2 2" xfId="33858"/>
    <cellStyle name="표준 10 3 2 3 2 4 2 3" xfId="33859"/>
    <cellStyle name="표준 10 3 2 3 2 4 3" xfId="33860"/>
    <cellStyle name="표준 10 3 2 3 2 4 4" xfId="33861"/>
    <cellStyle name="표준 10 3 2 3 2 5" xfId="33862"/>
    <cellStyle name="표준 10 3 2 3 2 5 2" xfId="33863"/>
    <cellStyle name="표준 10 3 2 3 2 5 3" xfId="33864"/>
    <cellStyle name="표준 10 3 2 3 2 6" xfId="33865"/>
    <cellStyle name="표준 10 3 2 3 2 7" xfId="33866"/>
    <cellStyle name="표준 10 3 2 3 3" xfId="33867"/>
    <cellStyle name="표준 10 3 2 3 3 2" xfId="33868"/>
    <cellStyle name="표준 10 3 2 3 3 2 2" xfId="33869"/>
    <cellStyle name="표준 10 3 2 3 3 2 2 2" xfId="33870"/>
    <cellStyle name="표준 10 3 2 3 3 2 2 2 2" xfId="33871"/>
    <cellStyle name="표준 10 3 2 3 3 2 2 2 3" xfId="33872"/>
    <cellStyle name="표준 10 3 2 3 3 2 2 3" xfId="33873"/>
    <cellStyle name="표준 10 3 2 3 3 2 2 4" xfId="33874"/>
    <cellStyle name="표준 10 3 2 3 3 2 3" xfId="33875"/>
    <cellStyle name="표준 10 3 2 3 3 2 3 2" xfId="33876"/>
    <cellStyle name="표준 10 3 2 3 3 2 3 3" xfId="33877"/>
    <cellStyle name="표준 10 3 2 3 3 2 4" xfId="33878"/>
    <cellStyle name="표준 10 3 2 3 3 2 5" xfId="33879"/>
    <cellStyle name="표준 10 3 2 3 3 3" xfId="33880"/>
    <cellStyle name="표준 10 3 2 3 3 3 2" xfId="33881"/>
    <cellStyle name="표준 10 3 2 3 3 3 2 2" xfId="33882"/>
    <cellStyle name="표준 10 3 2 3 3 3 2 2 2" xfId="33883"/>
    <cellStyle name="표준 10 3 2 3 3 3 2 2 3" xfId="33884"/>
    <cellStyle name="표준 10 3 2 3 3 3 2 3" xfId="33885"/>
    <cellStyle name="표준 10 3 2 3 3 3 2 4" xfId="33886"/>
    <cellStyle name="표준 10 3 2 3 3 3 3" xfId="33887"/>
    <cellStyle name="표준 10 3 2 3 3 3 3 2" xfId="33888"/>
    <cellStyle name="표준 10 3 2 3 3 3 3 3" xfId="33889"/>
    <cellStyle name="표준 10 3 2 3 3 3 4" xfId="33890"/>
    <cellStyle name="표준 10 3 2 3 3 3 5" xfId="33891"/>
    <cellStyle name="표준 10 3 2 3 3 4" xfId="33892"/>
    <cellStyle name="표준 10 3 2 3 3 4 2" xfId="33893"/>
    <cellStyle name="표준 10 3 2 3 3 4 2 2" xfId="33894"/>
    <cellStyle name="표준 10 3 2 3 3 4 2 3" xfId="33895"/>
    <cellStyle name="표준 10 3 2 3 3 4 3" xfId="33896"/>
    <cellStyle name="표준 10 3 2 3 3 4 4" xfId="33897"/>
    <cellStyle name="표준 10 3 2 3 3 5" xfId="33898"/>
    <cellStyle name="표준 10 3 2 3 3 5 2" xfId="33899"/>
    <cellStyle name="표준 10 3 2 3 3 5 3" xfId="33900"/>
    <cellStyle name="표준 10 3 2 3 3 6" xfId="33901"/>
    <cellStyle name="표준 10 3 2 3 3 7" xfId="33902"/>
    <cellStyle name="표준 10 3 2 3 4" xfId="33903"/>
    <cellStyle name="표준 10 3 2 3 4 2" xfId="33904"/>
    <cellStyle name="표준 10 3 2 3 4 2 2" xfId="33905"/>
    <cellStyle name="표준 10 3 2 3 4 2 2 2" xfId="33906"/>
    <cellStyle name="표준 10 3 2 3 4 2 2 3" xfId="33907"/>
    <cellStyle name="표준 10 3 2 3 4 2 3" xfId="33908"/>
    <cellStyle name="표준 10 3 2 3 4 2 4" xfId="33909"/>
    <cellStyle name="표준 10 3 2 3 4 3" xfId="33910"/>
    <cellStyle name="표준 10 3 2 3 4 3 2" xfId="33911"/>
    <cellStyle name="표준 10 3 2 3 4 3 3" xfId="33912"/>
    <cellStyle name="표준 10 3 2 3 4 4" xfId="33913"/>
    <cellStyle name="표준 10 3 2 3 4 5" xfId="33914"/>
    <cellStyle name="표준 10 3 2 3 5" xfId="33915"/>
    <cellStyle name="표준 10 3 2 3 5 2" xfId="33916"/>
    <cellStyle name="표준 10 3 2 3 5 2 2" xfId="33917"/>
    <cellStyle name="표준 10 3 2 3 5 2 2 2" xfId="33918"/>
    <cellStyle name="표준 10 3 2 3 5 2 2 3" xfId="33919"/>
    <cellStyle name="표준 10 3 2 3 5 2 3" xfId="33920"/>
    <cellStyle name="표준 10 3 2 3 5 2 4" xfId="33921"/>
    <cellStyle name="표준 10 3 2 3 5 3" xfId="33922"/>
    <cellStyle name="표준 10 3 2 3 5 3 2" xfId="33923"/>
    <cellStyle name="표준 10 3 2 3 5 3 3" xfId="33924"/>
    <cellStyle name="표준 10 3 2 3 5 4" xfId="33925"/>
    <cellStyle name="표준 10 3 2 3 5 5" xfId="33926"/>
    <cellStyle name="표준 10 3 2 3 6" xfId="33927"/>
    <cellStyle name="표준 10 3 2 3 6 2" xfId="33928"/>
    <cellStyle name="표준 10 3 2 3 6 2 2" xfId="33929"/>
    <cellStyle name="표준 10 3 2 3 6 2 2 2" xfId="33930"/>
    <cellStyle name="표준 10 3 2 3 6 2 2 3" xfId="33931"/>
    <cellStyle name="표준 10 3 2 3 6 2 3" xfId="33932"/>
    <cellStyle name="표준 10 3 2 3 6 2 4" xfId="33933"/>
    <cellStyle name="표준 10 3 2 3 6 3" xfId="33934"/>
    <cellStyle name="표준 10 3 2 3 6 3 2" xfId="33935"/>
    <cellStyle name="표준 10 3 2 3 6 3 3" xfId="33936"/>
    <cellStyle name="표준 10 3 2 3 6 4" xfId="33937"/>
    <cellStyle name="표준 10 3 2 3 6 5" xfId="33938"/>
    <cellStyle name="표준 10 3 2 3 7" xfId="33939"/>
    <cellStyle name="표준 10 3 2 3 7 2" xfId="33940"/>
    <cellStyle name="표준 10 3 2 3 7 2 2" xfId="33941"/>
    <cellStyle name="표준 10 3 2 3 7 2 3" xfId="33942"/>
    <cellStyle name="표준 10 3 2 3 7 3" xfId="33943"/>
    <cellStyle name="표준 10 3 2 3 7 4" xfId="33944"/>
    <cellStyle name="표준 10 3 2 3 8" xfId="33945"/>
    <cellStyle name="표준 10 3 2 3 8 2" xfId="33946"/>
    <cellStyle name="표준 10 3 2 3 8 3" xfId="33947"/>
    <cellStyle name="표준 10 3 2 3 9" xfId="33948"/>
    <cellStyle name="표준 10 3 2 4" xfId="33949"/>
    <cellStyle name="표준 10 3 2 4 10" xfId="33950"/>
    <cellStyle name="표준 10 3 2 4 2" xfId="33951"/>
    <cellStyle name="표준 10 3 2 4 2 2" xfId="33952"/>
    <cellStyle name="표준 10 3 2 4 2 2 2" xfId="33953"/>
    <cellStyle name="표준 10 3 2 4 2 2 2 2" xfId="33954"/>
    <cellStyle name="표준 10 3 2 4 2 2 2 2 2" xfId="33955"/>
    <cellStyle name="표준 10 3 2 4 2 2 2 2 3" xfId="33956"/>
    <cellStyle name="표준 10 3 2 4 2 2 2 3" xfId="33957"/>
    <cellStyle name="표준 10 3 2 4 2 2 2 4" xfId="33958"/>
    <cellStyle name="표준 10 3 2 4 2 2 3" xfId="33959"/>
    <cellStyle name="표준 10 3 2 4 2 2 3 2" xfId="33960"/>
    <cellStyle name="표준 10 3 2 4 2 2 3 3" xfId="33961"/>
    <cellStyle name="표준 10 3 2 4 2 2 4" xfId="33962"/>
    <cellStyle name="표준 10 3 2 4 2 2 5" xfId="33963"/>
    <cellStyle name="표준 10 3 2 4 2 3" xfId="33964"/>
    <cellStyle name="표준 10 3 2 4 2 3 2" xfId="33965"/>
    <cellStyle name="표준 10 3 2 4 2 3 2 2" xfId="33966"/>
    <cellStyle name="표준 10 3 2 4 2 3 2 2 2" xfId="33967"/>
    <cellStyle name="표준 10 3 2 4 2 3 2 2 3" xfId="33968"/>
    <cellStyle name="표준 10 3 2 4 2 3 2 3" xfId="33969"/>
    <cellStyle name="표준 10 3 2 4 2 3 2 4" xfId="33970"/>
    <cellStyle name="표준 10 3 2 4 2 3 3" xfId="33971"/>
    <cellStyle name="표준 10 3 2 4 2 3 3 2" xfId="33972"/>
    <cellStyle name="표준 10 3 2 4 2 3 3 3" xfId="33973"/>
    <cellStyle name="표준 10 3 2 4 2 3 4" xfId="33974"/>
    <cellStyle name="표준 10 3 2 4 2 3 5" xfId="33975"/>
    <cellStyle name="표준 10 3 2 4 2 4" xfId="33976"/>
    <cellStyle name="표준 10 3 2 4 2 4 2" xfId="33977"/>
    <cellStyle name="표준 10 3 2 4 2 4 2 2" xfId="33978"/>
    <cellStyle name="표준 10 3 2 4 2 4 2 3" xfId="33979"/>
    <cellStyle name="표준 10 3 2 4 2 4 3" xfId="33980"/>
    <cellStyle name="표준 10 3 2 4 2 4 4" xfId="33981"/>
    <cellStyle name="표준 10 3 2 4 2 5" xfId="33982"/>
    <cellStyle name="표준 10 3 2 4 2 5 2" xfId="33983"/>
    <cellStyle name="표준 10 3 2 4 2 5 3" xfId="33984"/>
    <cellStyle name="표준 10 3 2 4 2 6" xfId="33985"/>
    <cellStyle name="표준 10 3 2 4 2 7" xfId="33986"/>
    <cellStyle name="표준 10 3 2 4 3" xfId="33987"/>
    <cellStyle name="표준 10 3 2 4 3 2" xfId="33988"/>
    <cellStyle name="표준 10 3 2 4 3 2 2" xfId="33989"/>
    <cellStyle name="표준 10 3 2 4 3 2 2 2" xfId="33990"/>
    <cellStyle name="표준 10 3 2 4 3 2 2 2 2" xfId="33991"/>
    <cellStyle name="표준 10 3 2 4 3 2 2 2 3" xfId="33992"/>
    <cellStyle name="표준 10 3 2 4 3 2 2 3" xfId="33993"/>
    <cellStyle name="표준 10 3 2 4 3 2 2 4" xfId="33994"/>
    <cellStyle name="표준 10 3 2 4 3 2 3" xfId="33995"/>
    <cellStyle name="표준 10 3 2 4 3 2 3 2" xfId="33996"/>
    <cellStyle name="표준 10 3 2 4 3 2 3 3" xfId="33997"/>
    <cellStyle name="표준 10 3 2 4 3 2 4" xfId="33998"/>
    <cellStyle name="표준 10 3 2 4 3 2 5" xfId="33999"/>
    <cellStyle name="표준 10 3 2 4 3 3" xfId="34000"/>
    <cellStyle name="표준 10 3 2 4 3 3 2" xfId="34001"/>
    <cellStyle name="표준 10 3 2 4 3 3 2 2" xfId="34002"/>
    <cellStyle name="표준 10 3 2 4 3 3 2 2 2" xfId="34003"/>
    <cellStyle name="표준 10 3 2 4 3 3 2 2 3" xfId="34004"/>
    <cellStyle name="표준 10 3 2 4 3 3 2 3" xfId="34005"/>
    <cellStyle name="표준 10 3 2 4 3 3 2 4" xfId="34006"/>
    <cellStyle name="표준 10 3 2 4 3 3 3" xfId="34007"/>
    <cellStyle name="표준 10 3 2 4 3 3 3 2" xfId="34008"/>
    <cellStyle name="표준 10 3 2 4 3 3 3 3" xfId="34009"/>
    <cellStyle name="표준 10 3 2 4 3 3 4" xfId="34010"/>
    <cellStyle name="표준 10 3 2 4 3 3 5" xfId="34011"/>
    <cellStyle name="표준 10 3 2 4 3 4" xfId="34012"/>
    <cellStyle name="표준 10 3 2 4 3 4 2" xfId="34013"/>
    <cellStyle name="표준 10 3 2 4 3 4 2 2" xfId="34014"/>
    <cellStyle name="표준 10 3 2 4 3 4 2 3" xfId="34015"/>
    <cellStyle name="표준 10 3 2 4 3 4 3" xfId="34016"/>
    <cellStyle name="표준 10 3 2 4 3 4 4" xfId="34017"/>
    <cellStyle name="표준 10 3 2 4 3 5" xfId="34018"/>
    <cellStyle name="표준 10 3 2 4 3 5 2" xfId="34019"/>
    <cellStyle name="표준 10 3 2 4 3 5 3" xfId="34020"/>
    <cellStyle name="표준 10 3 2 4 3 6" xfId="34021"/>
    <cellStyle name="표준 10 3 2 4 3 7" xfId="34022"/>
    <cellStyle name="표준 10 3 2 4 4" xfId="34023"/>
    <cellStyle name="표준 10 3 2 4 4 2" xfId="34024"/>
    <cellStyle name="표준 10 3 2 4 4 2 2" xfId="34025"/>
    <cellStyle name="표준 10 3 2 4 4 2 2 2" xfId="34026"/>
    <cellStyle name="표준 10 3 2 4 4 2 2 3" xfId="34027"/>
    <cellStyle name="표준 10 3 2 4 4 2 3" xfId="34028"/>
    <cellStyle name="표준 10 3 2 4 4 2 4" xfId="34029"/>
    <cellStyle name="표준 10 3 2 4 4 3" xfId="34030"/>
    <cellStyle name="표준 10 3 2 4 4 3 2" xfId="34031"/>
    <cellStyle name="표준 10 3 2 4 4 3 3" xfId="34032"/>
    <cellStyle name="표준 10 3 2 4 4 4" xfId="34033"/>
    <cellStyle name="표준 10 3 2 4 4 5" xfId="34034"/>
    <cellStyle name="표준 10 3 2 4 5" xfId="34035"/>
    <cellStyle name="표준 10 3 2 4 5 2" xfId="34036"/>
    <cellStyle name="표준 10 3 2 4 5 2 2" xfId="34037"/>
    <cellStyle name="표준 10 3 2 4 5 2 2 2" xfId="34038"/>
    <cellStyle name="표준 10 3 2 4 5 2 2 3" xfId="34039"/>
    <cellStyle name="표준 10 3 2 4 5 2 3" xfId="34040"/>
    <cellStyle name="표준 10 3 2 4 5 2 4" xfId="34041"/>
    <cellStyle name="표준 10 3 2 4 5 3" xfId="34042"/>
    <cellStyle name="표준 10 3 2 4 5 3 2" xfId="34043"/>
    <cellStyle name="표준 10 3 2 4 5 3 3" xfId="34044"/>
    <cellStyle name="표준 10 3 2 4 5 4" xfId="34045"/>
    <cellStyle name="표준 10 3 2 4 5 5" xfId="34046"/>
    <cellStyle name="표준 10 3 2 4 6" xfId="34047"/>
    <cellStyle name="표준 10 3 2 4 6 2" xfId="34048"/>
    <cellStyle name="표준 10 3 2 4 6 2 2" xfId="34049"/>
    <cellStyle name="표준 10 3 2 4 6 2 2 2" xfId="34050"/>
    <cellStyle name="표준 10 3 2 4 6 2 2 3" xfId="34051"/>
    <cellStyle name="표준 10 3 2 4 6 2 3" xfId="34052"/>
    <cellStyle name="표준 10 3 2 4 6 2 4" xfId="34053"/>
    <cellStyle name="표준 10 3 2 4 6 3" xfId="34054"/>
    <cellStyle name="표준 10 3 2 4 6 3 2" xfId="34055"/>
    <cellStyle name="표준 10 3 2 4 6 3 3" xfId="34056"/>
    <cellStyle name="표준 10 3 2 4 6 4" xfId="34057"/>
    <cellStyle name="표준 10 3 2 4 6 5" xfId="34058"/>
    <cellStyle name="표준 10 3 2 4 7" xfId="34059"/>
    <cellStyle name="표준 10 3 2 4 7 2" xfId="34060"/>
    <cellStyle name="표준 10 3 2 4 7 2 2" xfId="34061"/>
    <cellStyle name="표준 10 3 2 4 7 2 3" xfId="34062"/>
    <cellStyle name="표준 10 3 2 4 7 3" xfId="34063"/>
    <cellStyle name="표준 10 3 2 4 7 4" xfId="34064"/>
    <cellStyle name="표준 10 3 2 4 8" xfId="34065"/>
    <cellStyle name="표준 10 3 2 4 8 2" xfId="34066"/>
    <cellStyle name="표준 10 3 2 4 8 3" xfId="34067"/>
    <cellStyle name="표준 10 3 2 4 9" xfId="34068"/>
    <cellStyle name="표준 10 3 2 5" xfId="34069"/>
    <cellStyle name="표준 10 3 2 5 2" xfId="34070"/>
    <cellStyle name="표준 10 3 2 5 2 2" xfId="34071"/>
    <cellStyle name="표준 10 3 2 5 2 2 2" xfId="34072"/>
    <cellStyle name="표준 10 3 2 5 2 2 2 2" xfId="34073"/>
    <cellStyle name="표준 10 3 2 5 2 2 2 3" xfId="34074"/>
    <cellStyle name="표준 10 3 2 5 2 2 3" xfId="34075"/>
    <cellStyle name="표준 10 3 2 5 2 2 4" xfId="34076"/>
    <cellStyle name="표준 10 3 2 5 2 3" xfId="34077"/>
    <cellStyle name="표준 10 3 2 5 2 3 2" xfId="34078"/>
    <cellStyle name="표준 10 3 2 5 2 3 3" xfId="34079"/>
    <cellStyle name="표준 10 3 2 5 2 4" xfId="34080"/>
    <cellStyle name="표준 10 3 2 5 2 5" xfId="34081"/>
    <cellStyle name="표준 10 3 2 5 3" xfId="34082"/>
    <cellStyle name="표준 10 3 2 5 3 2" xfId="34083"/>
    <cellStyle name="표준 10 3 2 5 3 2 2" xfId="34084"/>
    <cellStyle name="표준 10 3 2 5 3 2 2 2" xfId="34085"/>
    <cellStyle name="표준 10 3 2 5 3 2 2 3" xfId="34086"/>
    <cellStyle name="표준 10 3 2 5 3 2 3" xfId="34087"/>
    <cellStyle name="표준 10 3 2 5 3 2 4" xfId="34088"/>
    <cellStyle name="표준 10 3 2 5 3 3" xfId="34089"/>
    <cellStyle name="표준 10 3 2 5 3 3 2" xfId="34090"/>
    <cellStyle name="표준 10 3 2 5 3 3 3" xfId="34091"/>
    <cellStyle name="표준 10 3 2 5 3 4" xfId="34092"/>
    <cellStyle name="표준 10 3 2 5 3 5" xfId="34093"/>
    <cellStyle name="표준 10 3 2 5 4" xfId="34094"/>
    <cellStyle name="표준 10 3 2 5 4 2" xfId="34095"/>
    <cellStyle name="표준 10 3 2 5 4 2 2" xfId="34096"/>
    <cellStyle name="표준 10 3 2 5 4 2 3" xfId="34097"/>
    <cellStyle name="표준 10 3 2 5 4 3" xfId="34098"/>
    <cellStyle name="표준 10 3 2 5 4 4" xfId="34099"/>
    <cellStyle name="표준 10 3 2 5 5" xfId="34100"/>
    <cellStyle name="표준 10 3 2 5 5 2" xfId="34101"/>
    <cellStyle name="표준 10 3 2 5 5 3" xfId="34102"/>
    <cellStyle name="표준 10 3 2 5 6" xfId="34103"/>
    <cellStyle name="표준 10 3 2 5 7" xfId="34104"/>
    <cellStyle name="표준 10 3 2 6" xfId="34105"/>
    <cellStyle name="표준 10 3 2 6 2" xfId="34106"/>
    <cellStyle name="표준 10 3 2 6 2 2" xfId="34107"/>
    <cellStyle name="표준 10 3 2 6 2 2 2" xfId="34108"/>
    <cellStyle name="표준 10 3 2 6 2 2 2 2" xfId="34109"/>
    <cellStyle name="표준 10 3 2 6 2 2 2 3" xfId="34110"/>
    <cellStyle name="표준 10 3 2 6 2 2 3" xfId="34111"/>
    <cellStyle name="표준 10 3 2 6 2 2 4" xfId="34112"/>
    <cellStyle name="표준 10 3 2 6 2 3" xfId="34113"/>
    <cellStyle name="표준 10 3 2 6 2 3 2" xfId="34114"/>
    <cellStyle name="표준 10 3 2 6 2 3 3" xfId="34115"/>
    <cellStyle name="표준 10 3 2 6 2 4" xfId="34116"/>
    <cellStyle name="표준 10 3 2 6 2 5" xfId="34117"/>
    <cellStyle name="표준 10 3 2 6 3" xfId="34118"/>
    <cellStyle name="표준 10 3 2 6 3 2" xfId="34119"/>
    <cellStyle name="표준 10 3 2 6 3 2 2" xfId="34120"/>
    <cellStyle name="표준 10 3 2 6 3 2 2 2" xfId="34121"/>
    <cellStyle name="표준 10 3 2 6 3 2 2 3" xfId="34122"/>
    <cellStyle name="표준 10 3 2 6 3 2 3" xfId="34123"/>
    <cellStyle name="표준 10 3 2 6 3 2 4" xfId="34124"/>
    <cellStyle name="표준 10 3 2 6 3 3" xfId="34125"/>
    <cellStyle name="표준 10 3 2 6 3 3 2" xfId="34126"/>
    <cellStyle name="표준 10 3 2 6 3 3 3" xfId="34127"/>
    <cellStyle name="표준 10 3 2 6 3 4" xfId="34128"/>
    <cellStyle name="표준 10 3 2 6 3 5" xfId="34129"/>
    <cellStyle name="표준 10 3 2 6 4" xfId="34130"/>
    <cellStyle name="표준 10 3 2 6 4 2" xfId="34131"/>
    <cellStyle name="표준 10 3 2 6 4 2 2" xfId="34132"/>
    <cellStyle name="표준 10 3 2 6 4 2 3" xfId="34133"/>
    <cellStyle name="표준 10 3 2 6 4 3" xfId="34134"/>
    <cellStyle name="표준 10 3 2 6 4 4" xfId="34135"/>
    <cellStyle name="표준 10 3 2 6 5" xfId="34136"/>
    <cellStyle name="표준 10 3 2 6 5 2" xfId="34137"/>
    <cellStyle name="표준 10 3 2 6 5 3" xfId="34138"/>
    <cellStyle name="표준 10 3 2 6 6" xfId="34139"/>
    <cellStyle name="표준 10 3 2 6 7" xfId="34140"/>
    <cellStyle name="표준 10 3 2 7" xfId="34141"/>
    <cellStyle name="표준 10 3 2 7 2" xfId="34142"/>
    <cellStyle name="표준 10 3 2 7 2 2" xfId="34143"/>
    <cellStyle name="표준 10 3 2 7 2 2 2" xfId="34144"/>
    <cellStyle name="표준 10 3 2 7 2 2 3" xfId="34145"/>
    <cellStyle name="표준 10 3 2 7 2 3" xfId="34146"/>
    <cellStyle name="표준 10 3 2 7 2 4" xfId="34147"/>
    <cellStyle name="표준 10 3 2 7 3" xfId="34148"/>
    <cellStyle name="표준 10 3 2 7 3 2" xfId="34149"/>
    <cellStyle name="표준 10 3 2 7 3 3" xfId="34150"/>
    <cellStyle name="표준 10 3 2 7 4" xfId="34151"/>
    <cellStyle name="표준 10 3 2 7 5" xfId="34152"/>
    <cellStyle name="표준 10 3 2 8" xfId="34153"/>
    <cellStyle name="표준 10 3 2 8 2" xfId="34154"/>
    <cellStyle name="표준 10 3 2 8 2 2" xfId="34155"/>
    <cellStyle name="표준 10 3 2 8 2 2 2" xfId="34156"/>
    <cellStyle name="표준 10 3 2 8 2 2 3" xfId="34157"/>
    <cellStyle name="표준 10 3 2 8 2 3" xfId="34158"/>
    <cellStyle name="표준 10 3 2 8 2 4" xfId="34159"/>
    <cellStyle name="표준 10 3 2 8 3" xfId="34160"/>
    <cellStyle name="표준 10 3 2 8 3 2" xfId="34161"/>
    <cellStyle name="표준 10 3 2 8 3 3" xfId="34162"/>
    <cellStyle name="표준 10 3 2 8 4" xfId="34163"/>
    <cellStyle name="표준 10 3 2 8 5" xfId="34164"/>
    <cellStyle name="표준 10 3 2 9" xfId="34165"/>
    <cellStyle name="표준 10 3 2 9 2" xfId="34166"/>
    <cellStyle name="표준 10 3 2 9 2 2" xfId="34167"/>
    <cellStyle name="표준 10 3 2 9 2 2 2" xfId="34168"/>
    <cellStyle name="표준 10 3 2 9 2 2 3" xfId="34169"/>
    <cellStyle name="표준 10 3 2 9 2 3" xfId="34170"/>
    <cellStyle name="표준 10 3 2 9 2 4" xfId="34171"/>
    <cellStyle name="표준 10 3 2 9 3" xfId="34172"/>
    <cellStyle name="표준 10 3 2 9 3 2" xfId="34173"/>
    <cellStyle name="표준 10 3 2 9 3 3" xfId="34174"/>
    <cellStyle name="표준 10 3 2 9 4" xfId="34175"/>
    <cellStyle name="표준 10 3 2 9 5" xfId="34176"/>
    <cellStyle name="표준 10 3 3" xfId="34177"/>
    <cellStyle name="표준 10 3 3 10" xfId="34178"/>
    <cellStyle name="표준 10 3 3 2" xfId="34179"/>
    <cellStyle name="표준 10 3 3 2 2" xfId="34180"/>
    <cellStyle name="표준 10 3 3 2 2 2" xfId="34181"/>
    <cellStyle name="표준 10 3 3 2 2 2 2" xfId="34182"/>
    <cellStyle name="표준 10 3 3 2 2 2 2 2" xfId="34183"/>
    <cellStyle name="표준 10 3 3 2 2 2 2 3" xfId="34184"/>
    <cellStyle name="표준 10 3 3 2 2 2 3" xfId="34185"/>
    <cellStyle name="표준 10 3 3 2 2 2 4" xfId="34186"/>
    <cellStyle name="표준 10 3 3 2 2 3" xfId="34187"/>
    <cellStyle name="표준 10 3 3 2 2 3 2" xfId="34188"/>
    <cellStyle name="표준 10 3 3 2 2 3 3" xfId="34189"/>
    <cellStyle name="표준 10 3 3 2 2 4" xfId="34190"/>
    <cellStyle name="표준 10 3 3 2 2 5" xfId="34191"/>
    <cellStyle name="표준 10 3 3 2 3" xfId="34192"/>
    <cellStyle name="표준 10 3 3 2 3 2" xfId="34193"/>
    <cellStyle name="표준 10 3 3 2 3 2 2" xfId="34194"/>
    <cellStyle name="표준 10 3 3 2 3 2 2 2" xfId="34195"/>
    <cellStyle name="표준 10 3 3 2 3 2 2 3" xfId="34196"/>
    <cellStyle name="표준 10 3 3 2 3 2 3" xfId="34197"/>
    <cellStyle name="표준 10 3 3 2 3 2 4" xfId="34198"/>
    <cellStyle name="표준 10 3 3 2 3 3" xfId="34199"/>
    <cellStyle name="표준 10 3 3 2 3 3 2" xfId="34200"/>
    <cellStyle name="표준 10 3 3 2 3 3 3" xfId="34201"/>
    <cellStyle name="표준 10 3 3 2 3 4" xfId="34202"/>
    <cellStyle name="표준 10 3 3 2 3 5" xfId="34203"/>
    <cellStyle name="표준 10 3 3 2 4" xfId="34204"/>
    <cellStyle name="표준 10 3 3 2 4 2" xfId="34205"/>
    <cellStyle name="표준 10 3 3 2 4 2 2" xfId="34206"/>
    <cellStyle name="표준 10 3 3 2 4 2 3" xfId="34207"/>
    <cellStyle name="표준 10 3 3 2 4 3" xfId="34208"/>
    <cellStyle name="표준 10 3 3 2 4 4" xfId="34209"/>
    <cellStyle name="표준 10 3 3 2 5" xfId="34210"/>
    <cellStyle name="표준 10 3 3 2 5 2" xfId="34211"/>
    <cellStyle name="표준 10 3 3 2 5 3" xfId="34212"/>
    <cellStyle name="표준 10 3 3 2 6" xfId="34213"/>
    <cellStyle name="표준 10 3 3 2 7" xfId="34214"/>
    <cellStyle name="표준 10 3 3 3" xfId="34215"/>
    <cellStyle name="표준 10 3 3 3 2" xfId="34216"/>
    <cellStyle name="표준 10 3 3 3 2 2" xfId="34217"/>
    <cellStyle name="표준 10 3 3 3 2 2 2" xfId="34218"/>
    <cellStyle name="표준 10 3 3 3 2 2 2 2" xfId="34219"/>
    <cellStyle name="표준 10 3 3 3 2 2 2 3" xfId="34220"/>
    <cellStyle name="표준 10 3 3 3 2 2 3" xfId="34221"/>
    <cellStyle name="표준 10 3 3 3 2 2 4" xfId="34222"/>
    <cellStyle name="표준 10 3 3 3 2 3" xfId="34223"/>
    <cellStyle name="표준 10 3 3 3 2 3 2" xfId="34224"/>
    <cellStyle name="표준 10 3 3 3 2 3 3" xfId="34225"/>
    <cellStyle name="표준 10 3 3 3 2 4" xfId="34226"/>
    <cellStyle name="표준 10 3 3 3 2 5" xfId="34227"/>
    <cellStyle name="표준 10 3 3 3 3" xfId="34228"/>
    <cellStyle name="표준 10 3 3 3 3 2" xfId="34229"/>
    <cellStyle name="표준 10 3 3 3 3 2 2" xfId="34230"/>
    <cellStyle name="표준 10 3 3 3 3 2 2 2" xfId="34231"/>
    <cellStyle name="표준 10 3 3 3 3 2 2 3" xfId="34232"/>
    <cellStyle name="표준 10 3 3 3 3 2 3" xfId="34233"/>
    <cellStyle name="표준 10 3 3 3 3 2 4" xfId="34234"/>
    <cellStyle name="표준 10 3 3 3 3 3" xfId="34235"/>
    <cellStyle name="표준 10 3 3 3 3 3 2" xfId="34236"/>
    <cellStyle name="표준 10 3 3 3 3 3 3" xfId="34237"/>
    <cellStyle name="표준 10 3 3 3 3 4" xfId="34238"/>
    <cellStyle name="표준 10 3 3 3 3 5" xfId="34239"/>
    <cellStyle name="표준 10 3 3 3 4" xfId="34240"/>
    <cellStyle name="표준 10 3 3 3 4 2" xfId="34241"/>
    <cellStyle name="표준 10 3 3 3 4 2 2" xfId="34242"/>
    <cellStyle name="표준 10 3 3 3 4 2 3" xfId="34243"/>
    <cellStyle name="표준 10 3 3 3 4 3" xfId="34244"/>
    <cellStyle name="표준 10 3 3 3 4 4" xfId="34245"/>
    <cellStyle name="표준 10 3 3 3 5" xfId="34246"/>
    <cellStyle name="표준 10 3 3 3 5 2" xfId="34247"/>
    <cellStyle name="표준 10 3 3 3 5 3" xfId="34248"/>
    <cellStyle name="표준 10 3 3 3 6" xfId="34249"/>
    <cellStyle name="표준 10 3 3 3 7" xfId="34250"/>
    <cellStyle name="표준 10 3 3 4" xfId="34251"/>
    <cellStyle name="표준 10 3 3 4 2" xfId="34252"/>
    <cellStyle name="표준 10 3 3 4 2 2" xfId="34253"/>
    <cellStyle name="표준 10 3 3 4 2 2 2" xfId="34254"/>
    <cellStyle name="표준 10 3 3 4 2 2 3" xfId="34255"/>
    <cellStyle name="표준 10 3 3 4 2 3" xfId="34256"/>
    <cellStyle name="표준 10 3 3 4 2 4" xfId="34257"/>
    <cellStyle name="표준 10 3 3 4 3" xfId="34258"/>
    <cellStyle name="표준 10 3 3 4 3 2" xfId="34259"/>
    <cellStyle name="표준 10 3 3 4 3 3" xfId="34260"/>
    <cellStyle name="표준 10 3 3 4 4" xfId="34261"/>
    <cellStyle name="표준 10 3 3 4 5" xfId="34262"/>
    <cellStyle name="표준 10 3 3 5" xfId="34263"/>
    <cellStyle name="표준 10 3 3 5 2" xfId="34264"/>
    <cellStyle name="표준 10 3 3 5 2 2" xfId="34265"/>
    <cellStyle name="표준 10 3 3 5 2 2 2" xfId="34266"/>
    <cellStyle name="표준 10 3 3 5 2 2 3" xfId="34267"/>
    <cellStyle name="표준 10 3 3 5 2 3" xfId="34268"/>
    <cellStyle name="표준 10 3 3 5 2 4" xfId="34269"/>
    <cellStyle name="표준 10 3 3 5 3" xfId="34270"/>
    <cellStyle name="표준 10 3 3 5 3 2" xfId="34271"/>
    <cellStyle name="표준 10 3 3 5 3 3" xfId="34272"/>
    <cellStyle name="표준 10 3 3 5 4" xfId="34273"/>
    <cellStyle name="표준 10 3 3 5 5" xfId="34274"/>
    <cellStyle name="표준 10 3 3 6" xfId="34275"/>
    <cellStyle name="표준 10 3 3 6 2" xfId="34276"/>
    <cellStyle name="표준 10 3 3 6 2 2" xfId="34277"/>
    <cellStyle name="표준 10 3 3 6 2 2 2" xfId="34278"/>
    <cellStyle name="표준 10 3 3 6 2 2 3" xfId="34279"/>
    <cellStyle name="표준 10 3 3 6 2 3" xfId="34280"/>
    <cellStyle name="표준 10 3 3 6 2 4" xfId="34281"/>
    <cellStyle name="표준 10 3 3 6 3" xfId="34282"/>
    <cellStyle name="표준 10 3 3 6 3 2" xfId="34283"/>
    <cellStyle name="표준 10 3 3 6 3 3" xfId="34284"/>
    <cellStyle name="표준 10 3 3 6 4" xfId="34285"/>
    <cellStyle name="표준 10 3 3 6 5" xfId="34286"/>
    <cellStyle name="표준 10 3 3 7" xfId="34287"/>
    <cellStyle name="표준 10 3 3 7 2" xfId="34288"/>
    <cellStyle name="표준 10 3 3 7 2 2" xfId="34289"/>
    <cellStyle name="표준 10 3 3 7 2 3" xfId="34290"/>
    <cellStyle name="표준 10 3 3 7 3" xfId="34291"/>
    <cellStyle name="표준 10 3 3 7 4" xfId="34292"/>
    <cellStyle name="표준 10 3 3 8" xfId="34293"/>
    <cellStyle name="표준 10 3 3 8 2" xfId="34294"/>
    <cellStyle name="표준 10 3 3 8 3" xfId="34295"/>
    <cellStyle name="표준 10 3 3 9" xfId="34296"/>
    <cellStyle name="표준 10 3 4" xfId="34297"/>
    <cellStyle name="표준 10 3 4 10" xfId="34298"/>
    <cellStyle name="표준 10 3 4 2" xfId="34299"/>
    <cellStyle name="표준 10 3 4 2 2" xfId="34300"/>
    <cellStyle name="표준 10 3 4 2 2 2" xfId="34301"/>
    <cellStyle name="표준 10 3 4 2 2 2 2" xfId="34302"/>
    <cellStyle name="표준 10 3 4 2 2 2 2 2" xfId="34303"/>
    <cellStyle name="표준 10 3 4 2 2 2 2 3" xfId="34304"/>
    <cellStyle name="표준 10 3 4 2 2 2 3" xfId="34305"/>
    <cellStyle name="표준 10 3 4 2 2 2 4" xfId="34306"/>
    <cellStyle name="표준 10 3 4 2 2 3" xfId="34307"/>
    <cellStyle name="표준 10 3 4 2 2 3 2" xfId="34308"/>
    <cellStyle name="표준 10 3 4 2 2 3 3" xfId="34309"/>
    <cellStyle name="표준 10 3 4 2 2 4" xfId="34310"/>
    <cellStyle name="표준 10 3 4 2 2 5" xfId="34311"/>
    <cellStyle name="표준 10 3 4 2 3" xfId="34312"/>
    <cellStyle name="표준 10 3 4 2 3 2" xfId="34313"/>
    <cellStyle name="표준 10 3 4 2 3 2 2" xfId="34314"/>
    <cellStyle name="표준 10 3 4 2 3 2 2 2" xfId="34315"/>
    <cellStyle name="표준 10 3 4 2 3 2 2 3" xfId="34316"/>
    <cellStyle name="표준 10 3 4 2 3 2 3" xfId="34317"/>
    <cellStyle name="표준 10 3 4 2 3 2 4" xfId="34318"/>
    <cellStyle name="표준 10 3 4 2 3 3" xfId="34319"/>
    <cellStyle name="표준 10 3 4 2 3 3 2" xfId="34320"/>
    <cellStyle name="표준 10 3 4 2 3 3 3" xfId="34321"/>
    <cellStyle name="표준 10 3 4 2 3 4" xfId="34322"/>
    <cellStyle name="표준 10 3 4 2 3 5" xfId="34323"/>
    <cellStyle name="표준 10 3 4 2 4" xfId="34324"/>
    <cellStyle name="표준 10 3 4 2 4 2" xfId="34325"/>
    <cellStyle name="표준 10 3 4 2 4 2 2" xfId="34326"/>
    <cellStyle name="표준 10 3 4 2 4 2 3" xfId="34327"/>
    <cellStyle name="표준 10 3 4 2 4 3" xfId="34328"/>
    <cellStyle name="표준 10 3 4 2 4 4" xfId="34329"/>
    <cellStyle name="표준 10 3 4 2 5" xfId="34330"/>
    <cellStyle name="표준 10 3 4 2 5 2" xfId="34331"/>
    <cellStyle name="표준 10 3 4 2 5 3" xfId="34332"/>
    <cellStyle name="표준 10 3 4 2 6" xfId="34333"/>
    <cellStyle name="표준 10 3 4 2 7" xfId="34334"/>
    <cellStyle name="표준 10 3 4 3" xfId="34335"/>
    <cellStyle name="표준 10 3 4 3 2" xfId="34336"/>
    <cellStyle name="표준 10 3 4 3 2 2" xfId="34337"/>
    <cellStyle name="표준 10 3 4 3 2 2 2" xfId="34338"/>
    <cellStyle name="표준 10 3 4 3 2 2 2 2" xfId="34339"/>
    <cellStyle name="표준 10 3 4 3 2 2 2 3" xfId="34340"/>
    <cellStyle name="표준 10 3 4 3 2 2 3" xfId="34341"/>
    <cellStyle name="표준 10 3 4 3 2 2 4" xfId="34342"/>
    <cellStyle name="표준 10 3 4 3 2 3" xfId="34343"/>
    <cellStyle name="표준 10 3 4 3 2 3 2" xfId="34344"/>
    <cellStyle name="표준 10 3 4 3 2 3 3" xfId="34345"/>
    <cellStyle name="표준 10 3 4 3 2 4" xfId="34346"/>
    <cellStyle name="표준 10 3 4 3 2 5" xfId="34347"/>
    <cellStyle name="표준 10 3 4 3 3" xfId="34348"/>
    <cellStyle name="표준 10 3 4 3 3 2" xfId="34349"/>
    <cellStyle name="표준 10 3 4 3 3 2 2" xfId="34350"/>
    <cellStyle name="표준 10 3 4 3 3 2 2 2" xfId="34351"/>
    <cellStyle name="표준 10 3 4 3 3 2 2 3" xfId="34352"/>
    <cellStyle name="표준 10 3 4 3 3 2 3" xfId="34353"/>
    <cellStyle name="표준 10 3 4 3 3 2 4" xfId="34354"/>
    <cellStyle name="표준 10 3 4 3 3 3" xfId="34355"/>
    <cellStyle name="표준 10 3 4 3 3 3 2" xfId="34356"/>
    <cellStyle name="표준 10 3 4 3 3 3 3" xfId="34357"/>
    <cellStyle name="표준 10 3 4 3 3 4" xfId="34358"/>
    <cellStyle name="표준 10 3 4 3 3 5" xfId="34359"/>
    <cellStyle name="표준 10 3 4 3 4" xfId="34360"/>
    <cellStyle name="표준 10 3 4 3 4 2" xfId="34361"/>
    <cellStyle name="표준 10 3 4 3 4 2 2" xfId="34362"/>
    <cellStyle name="표준 10 3 4 3 4 2 3" xfId="34363"/>
    <cellStyle name="표준 10 3 4 3 4 3" xfId="34364"/>
    <cellStyle name="표준 10 3 4 3 4 4" xfId="34365"/>
    <cellStyle name="표준 10 3 4 3 5" xfId="34366"/>
    <cellStyle name="표준 10 3 4 3 5 2" xfId="34367"/>
    <cellStyle name="표준 10 3 4 3 5 3" xfId="34368"/>
    <cellStyle name="표준 10 3 4 3 6" xfId="34369"/>
    <cellStyle name="표준 10 3 4 3 7" xfId="34370"/>
    <cellStyle name="표준 10 3 4 4" xfId="34371"/>
    <cellStyle name="표준 10 3 4 4 2" xfId="34372"/>
    <cellStyle name="표준 10 3 4 4 2 2" xfId="34373"/>
    <cellStyle name="표준 10 3 4 4 2 2 2" xfId="34374"/>
    <cellStyle name="표준 10 3 4 4 2 2 3" xfId="34375"/>
    <cellStyle name="표준 10 3 4 4 2 3" xfId="34376"/>
    <cellStyle name="표준 10 3 4 4 2 4" xfId="34377"/>
    <cellStyle name="표준 10 3 4 4 3" xfId="34378"/>
    <cellStyle name="표준 10 3 4 4 3 2" xfId="34379"/>
    <cellStyle name="표준 10 3 4 4 3 3" xfId="34380"/>
    <cellStyle name="표준 10 3 4 4 4" xfId="34381"/>
    <cellStyle name="표준 10 3 4 4 5" xfId="34382"/>
    <cellStyle name="표준 10 3 4 5" xfId="34383"/>
    <cellStyle name="표준 10 3 4 5 2" xfId="34384"/>
    <cellStyle name="표준 10 3 4 5 2 2" xfId="34385"/>
    <cellStyle name="표준 10 3 4 5 2 2 2" xfId="34386"/>
    <cellStyle name="표준 10 3 4 5 2 2 3" xfId="34387"/>
    <cellStyle name="표준 10 3 4 5 2 3" xfId="34388"/>
    <cellStyle name="표준 10 3 4 5 2 4" xfId="34389"/>
    <cellStyle name="표준 10 3 4 5 3" xfId="34390"/>
    <cellStyle name="표준 10 3 4 5 3 2" xfId="34391"/>
    <cellStyle name="표준 10 3 4 5 3 3" xfId="34392"/>
    <cellStyle name="표준 10 3 4 5 4" xfId="34393"/>
    <cellStyle name="표준 10 3 4 5 5" xfId="34394"/>
    <cellStyle name="표준 10 3 4 6" xfId="34395"/>
    <cellStyle name="표준 10 3 4 6 2" xfId="34396"/>
    <cellStyle name="표준 10 3 4 6 2 2" xfId="34397"/>
    <cellStyle name="표준 10 3 4 6 2 2 2" xfId="34398"/>
    <cellStyle name="표준 10 3 4 6 2 2 3" xfId="34399"/>
    <cellStyle name="표준 10 3 4 6 2 3" xfId="34400"/>
    <cellStyle name="표준 10 3 4 6 2 4" xfId="34401"/>
    <cellStyle name="표준 10 3 4 6 3" xfId="34402"/>
    <cellStyle name="표준 10 3 4 6 3 2" xfId="34403"/>
    <cellStyle name="표준 10 3 4 6 3 3" xfId="34404"/>
    <cellStyle name="표준 10 3 4 6 4" xfId="34405"/>
    <cellStyle name="표준 10 3 4 6 5" xfId="34406"/>
    <cellStyle name="표준 10 3 4 7" xfId="34407"/>
    <cellStyle name="표준 10 3 4 7 2" xfId="34408"/>
    <cellStyle name="표준 10 3 4 7 2 2" xfId="34409"/>
    <cellStyle name="표준 10 3 4 7 2 3" xfId="34410"/>
    <cellStyle name="표준 10 3 4 7 3" xfId="34411"/>
    <cellStyle name="표준 10 3 4 7 4" xfId="34412"/>
    <cellStyle name="표준 10 3 4 8" xfId="34413"/>
    <cellStyle name="표준 10 3 4 8 2" xfId="34414"/>
    <cellStyle name="표준 10 3 4 8 3" xfId="34415"/>
    <cellStyle name="표준 10 3 4 9" xfId="34416"/>
    <cellStyle name="표준 10 3 5" xfId="34417"/>
    <cellStyle name="표준 10 3 5 10" xfId="34418"/>
    <cellStyle name="표준 10 3 5 2" xfId="34419"/>
    <cellStyle name="표준 10 3 5 2 2" xfId="34420"/>
    <cellStyle name="표준 10 3 5 2 2 2" xfId="34421"/>
    <cellStyle name="표준 10 3 5 2 2 2 2" xfId="34422"/>
    <cellStyle name="표준 10 3 5 2 2 2 2 2" xfId="34423"/>
    <cellStyle name="표준 10 3 5 2 2 2 2 3" xfId="34424"/>
    <cellStyle name="표준 10 3 5 2 2 2 3" xfId="34425"/>
    <cellStyle name="표준 10 3 5 2 2 2 4" xfId="34426"/>
    <cellStyle name="표준 10 3 5 2 2 3" xfId="34427"/>
    <cellStyle name="표준 10 3 5 2 2 3 2" xfId="34428"/>
    <cellStyle name="표준 10 3 5 2 2 3 3" xfId="34429"/>
    <cellStyle name="표준 10 3 5 2 2 4" xfId="34430"/>
    <cellStyle name="표준 10 3 5 2 2 5" xfId="34431"/>
    <cellStyle name="표준 10 3 5 2 3" xfId="34432"/>
    <cellStyle name="표준 10 3 5 2 3 2" xfId="34433"/>
    <cellStyle name="표준 10 3 5 2 3 2 2" xfId="34434"/>
    <cellStyle name="표준 10 3 5 2 3 2 2 2" xfId="34435"/>
    <cellStyle name="표준 10 3 5 2 3 2 2 3" xfId="34436"/>
    <cellStyle name="표준 10 3 5 2 3 2 3" xfId="34437"/>
    <cellStyle name="표준 10 3 5 2 3 2 4" xfId="34438"/>
    <cellStyle name="표준 10 3 5 2 3 3" xfId="34439"/>
    <cellStyle name="표준 10 3 5 2 3 3 2" xfId="34440"/>
    <cellStyle name="표준 10 3 5 2 3 3 3" xfId="34441"/>
    <cellStyle name="표준 10 3 5 2 3 4" xfId="34442"/>
    <cellStyle name="표준 10 3 5 2 3 5" xfId="34443"/>
    <cellStyle name="표준 10 3 5 2 4" xfId="34444"/>
    <cellStyle name="표준 10 3 5 2 4 2" xfId="34445"/>
    <cellStyle name="표준 10 3 5 2 4 2 2" xfId="34446"/>
    <cellStyle name="표준 10 3 5 2 4 2 3" xfId="34447"/>
    <cellStyle name="표준 10 3 5 2 4 3" xfId="34448"/>
    <cellStyle name="표준 10 3 5 2 4 4" xfId="34449"/>
    <cellStyle name="표준 10 3 5 2 5" xfId="34450"/>
    <cellStyle name="표준 10 3 5 2 5 2" xfId="34451"/>
    <cellStyle name="표준 10 3 5 2 5 3" xfId="34452"/>
    <cellStyle name="표준 10 3 5 2 6" xfId="34453"/>
    <cellStyle name="표준 10 3 5 2 7" xfId="34454"/>
    <cellStyle name="표준 10 3 5 3" xfId="34455"/>
    <cellStyle name="표준 10 3 5 3 2" xfId="34456"/>
    <cellStyle name="표준 10 3 5 3 2 2" xfId="34457"/>
    <cellStyle name="표준 10 3 5 3 2 2 2" xfId="34458"/>
    <cellStyle name="표준 10 3 5 3 2 2 2 2" xfId="34459"/>
    <cellStyle name="표준 10 3 5 3 2 2 2 3" xfId="34460"/>
    <cellStyle name="표준 10 3 5 3 2 2 3" xfId="34461"/>
    <cellStyle name="표준 10 3 5 3 2 2 4" xfId="34462"/>
    <cellStyle name="표준 10 3 5 3 2 3" xfId="34463"/>
    <cellStyle name="표준 10 3 5 3 2 3 2" xfId="34464"/>
    <cellStyle name="표준 10 3 5 3 2 3 3" xfId="34465"/>
    <cellStyle name="표준 10 3 5 3 2 4" xfId="34466"/>
    <cellStyle name="표준 10 3 5 3 2 5" xfId="34467"/>
    <cellStyle name="표준 10 3 5 3 3" xfId="34468"/>
    <cellStyle name="표준 10 3 5 3 3 2" xfId="34469"/>
    <cellStyle name="표준 10 3 5 3 3 2 2" xfId="34470"/>
    <cellStyle name="표준 10 3 5 3 3 2 2 2" xfId="34471"/>
    <cellStyle name="표준 10 3 5 3 3 2 2 3" xfId="34472"/>
    <cellStyle name="표준 10 3 5 3 3 2 3" xfId="34473"/>
    <cellStyle name="표준 10 3 5 3 3 2 4" xfId="34474"/>
    <cellStyle name="표준 10 3 5 3 3 3" xfId="34475"/>
    <cellStyle name="표준 10 3 5 3 3 3 2" xfId="34476"/>
    <cellStyle name="표준 10 3 5 3 3 3 3" xfId="34477"/>
    <cellStyle name="표준 10 3 5 3 3 4" xfId="34478"/>
    <cellStyle name="표준 10 3 5 3 3 5" xfId="34479"/>
    <cellStyle name="표준 10 3 5 3 4" xfId="34480"/>
    <cellStyle name="표준 10 3 5 3 4 2" xfId="34481"/>
    <cellStyle name="표준 10 3 5 3 4 2 2" xfId="34482"/>
    <cellStyle name="표준 10 3 5 3 4 2 3" xfId="34483"/>
    <cellStyle name="표준 10 3 5 3 4 3" xfId="34484"/>
    <cellStyle name="표준 10 3 5 3 4 4" xfId="34485"/>
    <cellStyle name="표준 10 3 5 3 5" xfId="34486"/>
    <cellStyle name="표준 10 3 5 3 5 2" xfId="34487"/>
    <cellStyle name="표준 10 3 5 3 5 3" xfId="34488"/>
    <cellStyle name="표준 10 3 5 3 6" xfId="34489"/>
    <cellStyle name="표준 10 3 5 3 7" xfId="34490"/>
    <cellStyle name="표준 10 3 5 4" xfId="34491"/>
    <cellStyle name="표준 10 3 5 4 2" xfId="34492"/>
    <cellStyle name="표준 10 3 5 4 2 2" xfId="34493"/>
    <cellStyle name="표준 10 3 5 4 2 2 2" xfId="34494"/>
    <cellStyle name="표준 10 3 5 4 2 2 3" xfId="34495"/>
    <cellStyle name="표준 10 3 5 4 2 3" xfId="34496"/>
    <cellStyle name="표준 10 3 5 4 2 4" xfId="34497"/>
    <cellStyle name="표준 10 3 5 4 3" xfId="34498"/>
    <cellStyle name="표준 10 3 5 4 3 2" xfId="34499"/>
    <cellStyle name="표준 10 3 5 4 3 3" xfId="34500"/>
    <cellStyle name="표준 10 3 5 4 4" xfId="34501"/>
    <cellStyle name="표준 10 3 5 4 5" xfId="34502"/>
    <cellStyle name="표준 10 3 5 5" xfId="34503"/>
    <cellStyle name="표준 10 3 5 5 2" xfId="34504"/>
    <cellStyle name="표준 10 3 5 5 2 2" xfId="34505"/>
    <cellStyle name="표준 10 3 5 5 2 2 2" xfId="34506"/>
    <cellStyle name="표준 10 3 5 5 2 2 3" xfId="34507"/>
    <cellStyle name="표준 10 3 5 5 2 3" xfId="34508"/>
    <cellStyle name="표준 10 3 5 5 2 4" xfId="34509"/>
    <cellStyle name="표준 10 3 5 5 3" xfId="34510"/>
    <cellStyle name="표준 10 3 5 5 3 2" xfId="34511"/>
    <cellStyle name="표준 10 3 5 5 3 3" xfId="34512"/>
    <cellStyle name="표준 10 3 5 5 4" xfId="34513"/>
    <cellStyle name="표준 10 3 5 5 5" xfId="34514"/>
    <cellStyle name="표준 10 3 5 6" xfId="34515"/>
    <cellStyle name="표준 10 3 5 6 2" xfId="34516"/>
    <cellStyle name="표준 10 3 5 6 2 2" xfId="34517"/>
    <cellStyle name="표준 10 3 5 6 2 2 2" xfId="34518"/>
    <cellStyle name="표준 10 3 5 6 2 2 3" xfId="34519"/>
    <cellStyle name="표준 10 3 5 6 2 3" xfId="34520"/>
    <cellStyle name="표준 10 3 5 6 2 4" xfId="34521"/>
    <cellStyle name="표준 10 3 5 6 3" xfId="34522"/>
    <cellStyle name="표준 10 3 5 6 3 2" xfId="34523"/>
    <cellStyle name="표준 10 3 5 6 3 3" xfId="34524"/>
    <cellStyle name="표준 10 3 5 6 4" xfId="34525"/>
    <cellStyle name="표준 10 3 5 6 5" xfId="34526"/>
    <cellStyle name="표준 10 3 5 7" xfId="34527"/>
    <cellStyle name="표준 10 3 5 7 2" xfId="34528"/>
    <cellStyle name="표준 10 3 5 7 2 2" xfId="34529"/>
    <cellStyle name="표준 10 3 5 7 2 3" xfId="34530"/>
    <cellStyle name="표준 10 3 5 7 3" xfId="34531"/>
    <cellStyle name="표준 10 3 5 7 4" xfId="34532"/>
    <cellStyle name="표준 10 3 5 8" xfId="34533"/>
    <cellStyle name="표준 10 3 5 8 2" xfId="34534"/>
    <cellStyle name="표준 10 3 5 8 3" xfId="34535"/>
    <cellStyle name="표준 10 3 5 9" xfId="34536"/>
    <cellStyle name="표준 10 3 6" xfId="34537"/>
    <cellStyle name="표준 10 3 6 2" xfId="34538"/>
    <cellStyle name="표준 10 3 6 2 2" xfId="34539"/>
    <cellStyle name="표준 10 3 6 2 2 2" xfId="34540"/>
    <cellStyle name="표준 10 3 6 2 2 2 2" xfId="34541"/>
    <cellStyle name="표준 10 3 6 2 2 2 3" xfId="34542"/>
    <cellStyle name="표준 10 3 6 2 2 3" xfId="34543"/>
    <cellStyle name="표준 10 3 6 2 2 4" xfId="34544"/>
    <cellStyle name="표준 10 3 6 2 3" xfId="34545"/>
    <cellStyle name="표준 10 3 6 2 3 2" xfId="34546"/>
    <cellStyle name="표준 10 3 6 2 3 3" xfId="34547"/>
    <cellStyle name="표준 10 3 6 2 4" xfId="34548"/>
    <cellStyle name="표준 10 3 6 2 5" xfId="34549"/>
    <cellStyle name="표준 10 3 6 3" xfId="34550"/>
    <cellStyle name="표준 10 3 6 3 2" xfId="34551"/>
    <cellStyle name="표준 10 3 6 3 2 2" xfId="34552"/>
    <cellStyle name="표준 10 3 6 3 2 2 2" xfId="34553"/>
    <cellStyle name="표준 10 3 6 3 2 2 3" xfId="34554"/>
    <cellStyle name="표준 10 3 6 3 2 3" xfId="34555"/>
    <cellStyle name="표준 10 3 6 3 2 4" xfId="34556"/>
    <cellStyle name="표준 10 3 6 3 3" xfId="34557"/>
    <cellStyle name="표준 10 3 6 3 3 2" xfId="34558"/>
    <cellStyle name="표준 10 3 6 3 3 3" xfId="34559"/>
    <cellStyle name="표준 10 3 6 3 4" xfId="34560"/>
    <cellStyle name="표준 10 3 6 3 5" xfId="34561"/>
    <cellStyle name="표준 10 3 6 4" xfId="34562"/>
    <cellStyle name="표준 10 3 6 4 2" xfId="34563"/>
    <cellStyle name="표준 10 3 6 4 2 2" xfId="34564"/>
    <cellStyle name="표준 10 3 6 4 2 3" xfId="34565"/>
    <cellStyle name="표준 10 3 6 4 3" xfId="34566"/>
    <cellStyle name="표준 10 3 6 4 4" xfId="34567"/>
    <cellStyle name="표준 10 3 6 5" xfId="34568"/>
    <cellStyle name="표준 10 3 6 5 2" xfId="34569"/>
    <cellStyle name="표준 10 3 6 5 3" xfId="34570"/>
    <cellStyle name="표준 10 3 6 6" xfId="34571"/>
    <cellStyle name="표준 10 3 6 7" xfId="34572"/>
    <cellStyle name="표준 10 3 7" xfId="34573"/>
    <cellStyle name="표준 10 3 7 2" xfId="34574"/>
    <cellStyle name="표준 10 3 7 2 2" xfId="34575"/>
    <cellStyle name="표준 10 3 7 2 2 2" xfId="34576"/>
    <cellStyle name="표준 10 3 7 2 2 2 2" xfId="34577"/>
    <cellStyle name="표준 10 3 7 2 2 2 3" xfId="34578"/>
    <cellStyle name="표준 10 3 7 2 2 3" xfId="34579"/>
    <cellStyle name="표준 10 3 7 2 2 4" xfId="34580"/>
    <cellStyle name="표준 10 3 7 2 3" xfId="34581"/>
    <cellStyle name="표준 10 3 7 2 3 2" xfId="34582"/>
    <cellStyle name="표준 10 3 7 2 3 3" xfId="34583"/>
    <cellStyle name="표준 10 3 7 2 4" xfId="34584"/>
    <cellStyle name="표준 10 3 7 2 5" xfId="34585"/>
    <cellStyle name="표준 10 3 7 3" xfId="34586"/>
    <cellStyle name="표준 10 3 7 3 2" xfId="34587"/>
    <cellStyle name="표준 10 3 7 3 2 2" xfId="34588"/>
    <cellStyle name="표준 10 3 7 3 2 2 2" xfId="34589"/>
    <cellStyle name="표준 10 3 7 3 2 2 3" xfId="34590"/>
    <cellStyle name="표준 10 3 7 3 2 3" xfId="34591"/>
    <cellStyle name="표준 10 3 7 3 2 4" xfId="34592"/>
    <cellStyle name="표준 10 3 7 3 3" xfId="34593"/>
    <cellStyle name="표준 10 3 7 3 3 2" xfId="34594"/>
    <cellStyle name="표준 10 3 7 3 3 3" xfId="34595"/>
    <cellStyle name="표준 10 3 7 3 4" xfId="34596"/>
    <cellStyle name="표준 10 3 7 3 5" xfId="34597"/>
    <cellStyle name="표준 10 3 7 4" xfId="34598"/>
    <cellStyle name="표준 10 3 7 4 2" xfId="34599"/>
    <cellStyle name="표준 10 3 7 4 2 2" xfId="34600"/>
    <cellStyle name="표준 10 3 7 4 2 3" xfId="34601"/>
    <cellStyle name="표준 10 3 7 4 3" xfId="34602"/>
    <cellStyle name="표준 10 3 7 4 4" xfId="34603"/>
    <cellStyle name="표준 10 3 7 5" xfId="34604"/>
    <cellStyle name="표준 10 3 7 5 2" xfId="34605"/>
    <cellStyle name="표준 10 3 7 5 3" xfId="34606"/>
    <cellStyle name="표준 10 3 7 6" xfId="34607"/>
    <cellStyle name="표준 10 3 7 7" xfId="34608"/>
    <cellStyle name="표준 10 3 8" xfId="34609"/>
    <cellStyle name="표준 10 3 8 2" xfId="34610"/>
    <cellStyle name="표준 10 3 8 2 2" xfId="34611"/>
    <cellStyle name="표준 10 3 8 2 2 2" xfId="34612"/>
    <cellStyle name="표준 10 3 8 2 2 3" xfId="34613"/>
    <cellStyle name="표준 10 3 8 2 3" xfId="34614"/>
    <cellStyle name="표준 10 3 8 2 4" xfId="34615"/>
    <cellStyle name="표준 10 3 8 3" xfId="34616"/>
    <cellStyle name="표준 10 3 8 3 2" xfId="34617"/>
    <cellStyle name="표준 10 3 8 3 3" xfId="34618"/>
    <cellStyle name="표준 10 3 8 4" xfId="34619"/>
    <cellStyle name="표준 10 3 8 5" xfId="34620"/>
    <cellStyle name="표준 10 3 9" xfId="34621"/>
    <cellStyle name="표준 10 3 9 2" xfId="34622"/>
    <cellStyle name="표준 10 3 9 2 2" xfId="34623"/>
    <cellStyle name="표준 10 3 9 2 2 2" xfId="34624"/>
    <cellStyle name="표준 10 3 9 2 2 3" xfId="34625"/>
    <cellStyle name="표준 10 3 9 2 3" xfId="34626"/>
    <cellStyle name="표준 10 3 9 2 4" xfId="34627"/>
    <cellStyle name="표준 10 3 9 3" xfId="34628"/>
    <cellStyle name="표준 10 3 9 3 2" xfId="34629"/>
    <cellStyle name="표준 10 3 9 3 3" xfId="34630"/>
    <cellStyle name="표준 10 3 9 4" xfId="34631"/>
    <cellStyle name="표준 10 3 9 5" xfId="34632"/>
    <cellStyle name="표준 10 4" xfId="34633"/>
    <cellStyle name="표준 10 4 10" xfId="34634"/>
    <cellStyle name="표준 10 4 10 2" xfId="34635"/>
    <cellStyle name="표준 10 4 10 2 2" xfId="34636"/>
    <cellStyle name="표준 10 4 10 2 2 2" xfId="34637"/>
    <cellStyle name="표준 10 4 10 2 2 3" xfId="34638"/>
    <cellStyle name="표준 10 4 10 2 3" xfId="34639"/>
    <cellStyle name="표준 10 4 10 2 4" xfId="34640"/>
    <cellStyle name="표준 10 4 10 3" xfId="34641"/>
    <cellStyle name="표준 10 4 10 3 2" xfId="34642"/>
    <cellStyle name="표준 10 4 10 3 3" xfId="34643"/>
    <cellStyle name="표준 10 4 10 4" xfId="34644"/>
    <cellStyle name="표준 10 4 10 5" xfId="34645"/>
    <cellStyle name="표준 10 4 11" xfId="34646"/>
    <cellStyle name="표준 10 4 11 2" xfId="34647"/>
    <cellStyle name="표준 10 4 11 2 2" xfId="34648"/>
    <cellStyle name="표준 10 4 11 2 3" xfId="34649"/>
    <cellStyle name="표준 10 4 11 3" xfId="34650"/>
    <cellStyle name="표준 10 4 11 4" xfId="34651"/>
    <cellStyle name="표준 10 4 12" xfId="34652"/>
    <cellStyle name="표준 10 4 12 2" xfId="34653"/>
    <cellStyle name="표준 10 4 12 3" xfId="34654"/>
    <cellStyle name="표준 10 4 13" xfId="34655"/>
    <cellStyle name="표준 10 4 14" xfId="34656"/>
    <cellStyle name="표준 10 4 2" xfId="34657"/>
    <cellStyle name="표준 10 4 2 10" xfId="34658"/>
    <cellStyle name="표준 10 4 2 10 2" xfId="34659"/>
    <cellStyle name="표준 10 4 2 10 2 2" xfId="34660"/>
    <cellStyle name="표준 10 4 2 10 2 3" xfId="34661"/>
    <cellStyle name="표준 10 4 2 10 3" xfId="34662"/>
    <cellStyle name="표준 10 4 2 10 4" xfId="34663"/>
    <cellStyle name="표준 10 4 2 11" xfId="34664"/>
    <cellStyle name="표준 10 4 2 11 2" xfId="34665"/>
    <cellStyle name="표준 10 4 2 11 3" xfId="34666"/>
    <cellStyle name="표준 10 4 2 12" xfId="34667"/>
    <cellStyle name="표준 10 4 2 13" xfId="34668"/>
    <cellStyle name="표준 10 4 2 2" xfId="34669"/>
    <cellStyle name="표준 10 4 2 2 10" xfId="34670"/>
    <cellStyle name="표준 10 4 2 2 2" xfId="34671"/>
    <cellStyle name="표준 10 4 2 2 2 2" xfId="34672"/>
    <cellStyle name="표준 10 4 2 2 2 2 2" xfId="34673"/>
    <cellStyle name="표준 10 4 2 2 2 2 2 2" xfId="34674"/>
    <cellStyle name="표준 10 4 2 2 2 2 2 2 2" xfId="34675"/>
    <cellStyle name="표준 10 4 2 2 2 2 2 2 3" xfId="34676"/>
    <cellStyle name="표준 10 4 2 2 2 2 2 3" xfId="34677"/>
    <cellStyle name="표준 10 4 2 2 2 2 2 4" xfId="34678"/>
    <cellStyle name="표준 10 4 2 2 2 2 3" xfId="34679"/>
    <cellStyle name="표준 10 4 2 2 2 2 3 2" xfId="34680"/>
    <cellStyle name="표준 10 4 2 2 2 2 3 3" xfId="34681"/>
    <cellStyle name="표준 10 4 2 2 2 2 4" xfId="34682"/>
    <cellStyle name="표준 10 4 2 2 2 2 5" xfId="34683"/>
    <cellStyle name="표준 10 4 2 2 2 3" xfId="34684"/>
    <cellStyle name="표준 10 4 2 2 2 3 2" xfId="34685"/>
    <cellStyle name="표준 10 4 2 2 2 3 2 2" xfId="34686"/>
    <cellStyle name="표준 10 4 2 2 2 3 2 2 2" xfId="34687"/>
    <cellStyle name="표준 10 4 2 2 2 3 2 2 3" xfId="34688"/>
    <cellStyle name="표준 10 4 2 2 2 3 2 3" xfId="34689"/>
    <cellStyle name="표준 10 4 2 2 2 3 2 4" xfId="34690"/>
    <cellStyle name="표준 10 4 2 2 2 3 3" xfId="34691"/>
    <cellStyle name="표준 10 4 2 2 2 3 3 2" xfId="34692"/>
    <cellStyle name="표준 10 4 2 2 2 3 3 3" xfId="34693"/>
    <cellStyle name="표준 10 4 2 2 2 3 4" xfId="34694"/>
    <cellStyle name="표준 10 4 2 2 2 3 5" xfId="34695"/>
    <cellStyle name="표준 10 4 2 2 2 4" xfId="34696"/>
    <cellStyle name="표준 10 4 2 2 2 4 2" xfId="34697"/>
    <cellStyle name="표준 10 4 2 2 2 4 2 2" xfId="34698"/>
    <cellStyle name="표준 10 4 2 2 2 4 2 3" xfId="34699"/>
    <cellStyle name="표준 10 4 2 2 2 4 3" xfId="34700"/>
    <cellStyle name="표준 10 4 2 2 2 4 4" xfId="34701"/>
    <cellStyle name="표준 10 4 2 2 2 5" xfId="34702"/>
    <cellStyle name="표준 10 4 2 2 2 5 2" xfId="34703"/>
    <cellStyle name="표준 10 4 2 2 2 5 3" xfId="34704"/>
    <cellStyle name="표준 10 4 2 2 2 6" xfId="34705"/>
    <cellStyle name="표준 10 4 2 2 2 7" xfId="34706"/>
    <cellStyle name="표준 10 4 2 2 3" xfId="34707"/>
    <cellStyle name="표준 10 4 2 2 3 2" xfId="34708"/>
    <cellStyle name="표준 10 4 2 2 3 2 2" xfId="34709"/>
    <cellStyle name="표준 10 4 2 2 3 2 2 2" xfId="34710"/>
    <cellStyle name="표준 10 4 2 2 3 2 2 2 2" xfId="34711"/>
    <cellStyle name="표준 10 4 2 2 3 2 2 2 3" xfId="34712"/>
    <cellStyle name="표준 10 4 2 2 3 2 2 3" xfId="34713"/>
    <cellStyle name="표준 10 4 2 2 3 2 2 4" xfId="34714"/>
    <cellStyle name="표준 10 4 2 2 3 2 3" xfId="34715"/>
    <cellStyle name="표준 10 4 2 2 3 2 3 2" xfId="34716"/>
    <cellStyle name="표준 10 4 2 2 3 2 3 3" xfId="34717"/>
    <cellStyle name="표준 10 4 2 2 3 2 4" xfId="34718"/>
    <cellStyle name="표준 10 4 2 2 3 2 5" xfId="34719"/>
    <cellStyle name="표준 10 4 2 2 3 3" xfId="34720"/>
    <cellStyle name="표준 10 4 2 2 3 3 2" xfId="34721"/>
    <cellStyle name="표준 10 4 2 2 3 3 2 2" xfId="34722"/>
    <cellStyle name="표준 10 4 2 2 3 3 2 2 2" xfId="34723"/>
    <cellStyle name="표준 10 4 2 2 3 3 2 2 3" xfId="34724"/>
    <cellStyle name="표준 10 4 2 2 3 3 2 3" xfId="34725"/>
    <cellStyle name="표준 10 4 2 2 3 3 2 4" xfId="34726"/>
    <cellStyle name="표준 10 4 2 2 3 3 3" xfId="34727"/>
    <cellStyle name="표준 10 4 2 2 3 3 3 2" xfId="34728"/>
    <cellStyle name="표준 10 4 2 2 3 3 3 3" xfId="34729"/>
    <cellStyle name="표준 10 4 2 2 3 3 4" xfId="34730"/>
    <cellStyle name="표준 10 4 2 2 3 3 5" xfId="34731"/>
    <cellStyle name="표준 10 4 2 2 3 4" xfId="34732"/>
    <cellStyle name="표준 10 4 2 2 3 4 2" xfId="34733"/>
    <cellStyle name="표준 10 4 2 2 3 4 2 2" xfId="34734"/>
    <cellStyle name="표준 10 4 2 2 3 4 2 3" xfId="34735"/>
    <cellStyle name="표준 10 4 2 2 3 4 3" xfId="34736"/>
    <cellStyle name="표준 10 4 2 2 3 4 4" xfId="34737"/>
    <cellStyle name="표준 10 4 2 2 3 5" xfId="34738"/>
    <cellStyle name="표준 10 4 2 2 3 5 2" xfId="34739"/>
    <cellStyle name="표준 10 4 2 2 3 5 3" xfId="34740"/>
    <cellStyle name="표준 10 4 2 2 3 6" xfId="34741"/>
    <cellStyle name="표준 10 4 2 2 3 7" xfId="34742"/>
    <cellStyle name="표준 10 4 2 2 4" xfId="34743"/>
    <cellStyle name="표준 10 4 2 2 4 2" xfId="34744"/>
    <cellStyle name="표준 10 4 2 2 4 2 2" xfId="34745"/>
    <cellStyle name="표준 10 4 2 2 4 2 2 2" xfId="34746"/>
    <cellStyle name="표준 10 4 2 2 4 2 2 3" xfId="34747"/>
    <cellStyle name="표준 10 4 2 2 4 2 3" xfId="34748"/>
    <cellStyle name="표준 10 4 2 2 4 2 4" xfId="34749"/>
    <cellStyle name="표준 10 4 2 2 4 3" xfId="34750"/>
    <cellStyle name="표준 10 4 2 2 4 3 2" xfId="34751"/>
    <cellStyle name="표준 10 4 2 2 4 3 3" xfId="34752"/>
    <cellStyle name="표준 10 4 2 2 4 4" xfId="34753"/>
    <cellStyle name="표준 10 4 2 2 4 5" xfId="34754"/>
    <cellStyle name="표준 10 4 2 2 5" xfId="34755"/>
    <cellStyle name="표준 10 4 2 2 5 2" xfId="34756"/>
    <cellStyle name="표준 10 4 2 2 5 2 2" xfId="34757"/>
    <cellStyle name="표준 10 4 2 2 5 2 2 2" xfId="34758"/>
    <cellStyle name="표준 10 4 2 2 5 2 2 3" xfId="34759"/>
    <cellStyle name="표준 10 4 2 2 5 2 3" xfId="34760"/>
    <cellStyle name="표준 10 4 2 2 5 2 4" xfId="34761"/>
    <cellStyle name="표준 10 4 2 2 5 3" xfId="34762"/>
    <cellStyle name="표준 10 4 2 2 5 3 2" xfId="34763"/>
    <cellStyle name="표준 10 4 2 2 5 3 3" xfId="34764"/>
    <cellStyle name="표준 10 4 2 2 5 4" xfId="34765"/>
    <cellStyle name="표준 10 4 2 2 5 5" xfId="34766"/>
    <cellStyle name="표준 10 4 2 2 6" xfId="34767"/>
    <cellStyle name="표준 10 4 2 2 6 2" xfId="34768"/>
    <cellStyle name="표준 10 4 2 2 6 2 2" xfId="34769"/>
    <cellStyle name="표준 10 4 2 2 6 2 2 2" xfId="34770"/>
    <cellStyle name="표준 10 4 2 2 6 2 2 3" xfId="34771"/>
    <cellStyle name="표준 10 4 2 2 6 2 3" xfId="34772"/>
    <cellStyle name="표준 10 4 2 2 6 2 4" xfId="34773"/>
    <cellStyle name="표준 10 4 2 2 6 3" xfId="34774"/>
    <cellStyle name="표준 10 4 2 2 6 3 2" xfId="34775"/>
    <cellStyle name="표준 10 4 2 2 6 3 3" xfId="34776"/>
    <cellStyle name="표준 10 4 2 2 6 4" xfId="34777"/>
    <cellStyle name="표준 10 4 2 2 6 5" xfId="34778"/>
    <cellStyle name="표준 10 4 2 2 7" xfId="34779"/>
    <cellStyle name="표준 10 4 2 2 7 2" xfId="34780"/>
    <cellStyle name="표준 10 4 2 2 7 2 2" xfId="34781"/>
    <cellStyle name="표준 10 4 2 2 7 2 3" xfId="34782"/>
    <cellStyle name="표준 10 4 2 2 7 3" xfId="34783"/>
    <cellStyle name="표준 10 4 2 2 7 4" xfId="34784"/>
    <cellStyle name="표준 10 4 2 2 8" xfId="34785"/>
    <cellStyle name="표준 10 4 2 2 8 2" xfId="34786"/>
    <cellStyle name="표준 10 4 2 2 8 3" xfId="34787"/>
    <cellStyle name="표준 10 4 2 2 9" xfId="34788"/>
    <cellStyle name="표준 10 4 2 3" xfId="34789"/>
    <cellStyle name="표준 10 4 2 3 10" xfId="34790"/>
    <cellStyle name="표준 10 4 2 3 2" xfId="34791"/>
    <cellStyle name="표준 10 4 2 3 2 2" xfId="34792"/>
    <cellStyle name="표준 10 4 2 3 2 2 2" xfId="34793"/>
    <cellStyle name="표준 10 4 2 3 2 2 2 2" xfId="34794"/>
    <cellStyle name="표준 10 4 2 3 2 2 2 2 2" xfId="34795"/>
    <cellStyle name="표준 10 4 2 3 2 2 2 2 3" xfId="34796"/>
    <cellStyle name="표준 10 4 2 3 2 2 2 3" xfId="34797"/>
    <cellStyle name="표준 10 4 2 3 2 2 2 4" xfId="34798"/>
    <cellStyle name="표준 10 4 2 3 2 2 3" xfId="34799"/>
    <cellStyle name="표준 10 4 2 3 2 2 3 2" xfId="34800"/>
    <cellStyle name="표준 10 4 2 3 2 2 3 3" xfId="34801"/>
    <cellStyle name="표준 10 4 2 3 2 2 4" xfId="34802"/>
    <cellStyle name="표준 10 4 2 3 2 2 5" xfId="34803"/>
    <cellStyle name="표준 10 4 2 3 2 3" xfId="34804"/>
    <cellStyle name="표준 10 4 2 3 2 3 2" xfId="34805"/>
    <cellStyle name="표준 10 4 2 3 2 3 2 2" xfId="34806"/>
    <cellStyle name="표준 10 4 2 3 2 3 2 2 2" xfId="34807"/>
    <cellStyle name="표준 10 4 2 3 2 3 2 2 3" xfId="34808"/>
    <cellStyle name="표준 10 4 2 3 2 3 2 3" xfId="34809"/>
    <cellStyle name="표준 10 4 2 3 2 3 2 4" xfId="34810"/>
    <cellStyle name="표준 10 4 2 3 2 3 3" xfId="34811"/>
    <cellStyle name="표준 10 4 2 3 2 3 3 2" xfId="34812"/>
    <cellStyle name="표준 10 4 2 3 2 3 3 3" xfId="34813"/>
    <cellStyle name="표준 10 4 2 3 2 3 4" xfId="34814"/>
    <cellStyle name="표준 10 4 2 3 2 3 5" xfId="34815"/>
    <cellStyle name="표준 10 4 2 3 2 4" xfId="34816"/>
    <cellStyle name="표준 10 4 2 3 2 4 2" xfId="34817"/>
    <cellStyle name="표준 10 4 2 3 2 4 2 2" xfId="34818"/>
    <cellStyle name="표준 10 4 2 3 2 4 2 3" xfId="34819"/>
    <cellStyle name="표준 10 4 2 3 2 4 3" xfId="34820"/>
    <cellStyle name="표준 10 4 2 3 2 4 4" xfId="34821"/>
    <cellStyle name="표준 10 4 2 3 2 5" xfId="34822"/>
    <cellStyle name="표준 10 4 2 3 2 5 2" xfId="34823"/>
    <cellStyle name="표준 10 4 2 3 2 5 3" xfId="34824"/>
    <cellStyle name="표준 10 4 2 3 2 6" xfId="34825"/>
    <cellStyle name="표준 10 4 2 3 2 7" xfId="34826"/>
    <cellStyle name="표준 10 4 2 3 3" xfId="34827"/>
    <cellStyle name="표준 10 4 2 3 3 2" xfId="34828"/>
    <cellStyle name="표준 10 4 2 3 3 2 2" xfId="34829"/>
    <cellStyle name="표준 10 4 2 3 3 2 2 2" xfId="34830"/>
    <cellStyle name="표준 10 4 2 3 3 2 2 2 2" xfId="34831"/>
    <cellStyle name="표준 10 4 2 3 3 2 2 2 3" xfId="34832"/>
    <cellStyle name="표준 10 4 2 3 3 2 2 3" xfId="34833"/>
    <cellStyle name="표준 10 4 2 3 3 2 2 4" xfId="34834"/>
    <cellStyle name="표준 10 4 2 3 3 2 3" xfId="34835"/>
    <cellStyle name="표준 10 4 2 3 3 2 3 2" xfId="34836"/>
    <cellStyle name="표준 10 4 2 3 3 2 3 3" xfId="34837"/>
    <cellStyle name="표준 10 4 2 3 3 2 4" xfId="34838"/>
    <cellStyle name="표준 10 4 2 3 3 2 5" xfId="34839"/>
    <cellStyle name="표준 10 4 2 3 3 3" xfId="34840"/>
    <cellStyle name="표준 10 4 2 3 3 3 2" xfId="34841"/>
    <cellStyle name="표준 10 4 2 3 3 3 2 2" xfId="34842"/>
    <cellStyle name="표준 10 4 2 3 3 3 2 2 2" xfId="34843"/>
    <cellStyle name="표준 10 4 2 3 3 3 2 2 3" xfId="34844"/>
    <cellStyle name="표준 10 4 2 3 3 3 2 3" xfId="34845"/>
    <cellStyle name="표준 10 4 2 3 3 3 2 4" xfId="34846"/>
    <cellStyle name="표준 10 4 2 3 3 3 3" xfId="34847"/>
    <cellStyle name="표준 10 4 2 3 3 3 3 2" xfId="34848"/>
    <cellStyle name="표준 10 4 2 3 3 3 3 3" xfId="34849"/>
    <cellStyle name="표준 10 4 2 3 3 3 4" xfId="34850"/>
    <cellStyle name="표준 10 4 2 3 3 3 5" xfId="34851"/>
    <cellStyle name="표준 10 4 2 3 3 4" xfId="34852"/>
    <cellStyle name="표준 10 4 2 3 3 4 2" xfId="34853"/>
    <cellStyle name="표준 10 4 2 3 3 4 2 2" xfId="34854"/>
    <cellStyle name="표준 10 4 2 3 3 4 2 3" xfId="34855"/>
    <cellStyle name="표준 10 4 2 3 3 4 3" xfId="34856"/>
    <cellStyle name="표준 10 4 2 3 3 4 4" xfId="34857"/>
    <cellStyle name="표준 10 4 2 3 3 5" xfId="34858"/>
    <cellStyle name="표준 10 4 2 3 3 5 2" xfId="34859"/>
    <cellStyle name="표준 10 4 2 3 3 5 3" xfId="34860"/>
    <cellStyle name="표준 10 4 2 3 3 6" xfId="34861"/>
    <cellStyle name="표준 10 4 2 3 3 7" xfId="34862"/>
    <cellStyle name="표준 10 4 2 3 4" xfId="34863"/>
    <cellStyle name="표준 10 4 2 3 4 2" xfId="34864"/>
    <cellStyle name="표준 10 4 2 3 4 2 2" xfId="34865"/>
    <cellStyle name="표준 10 4 2 3 4 2 2 2" xfId="34866"/>
    <cellStyle name="표준 10 4 2 3 4 2 2 3" xfId="34867"/>
    <cellStyle name="표준 10 4 2 3 4 2 3" xfId="34868"/>
    <cellStyle name="표준 10 4 2 3 4 2 4" xfId="34869"/>
    <cellStyle name="표준 10 4 2 3 4 3" xfId="34870"/>
    <cellStyle name="표준 10 4 2 3 4 3 2" xfId="34871"/>
    <cellStyle name="표준 10 4 2 3 4 3 3" xfId="34872"/>
    <cellStyle name="표준 10 4 2 3 4 4" xfId="34873"/>
    <cellStyle name="표준 10 4 2 3 4 5" xfId="34874"/>
    <cellStyle name="표준 10 4 2 3 5" xfId="34875"/>
    <cellStyle name="표준 10 4 2 3 5 2" xfId="34876"/>
    <cellStyle name="표준 10 4 2 3 5 2 2" xfId="34877"/>
    <cellStyle name="표준 10 4 2 3 5 2 2 2" xfId="34878"/>
    <cellStyle name="표준 10 4 2 3 5 2 2 3" xfId="34879"/>
    <cellStyle name="표준 10 4 2 3 5 2 3" xfId="34880"/>
    <cellStyle name="표준 10 4 2 3 5 2 4" xfId="34881"/>
    <cellStyle name="표준 10 4 2 3 5 3" xfId="34882"/>
    <cellStyle name="표준 10 4 2 3 5 3 2" xfId="34883"/>
    <cellStyle name="표준 10 4 2 3 5 3 3" xfId="34884"/>
    <cellStyle name="표준 10 4 2 3 5 4" xfId="34885"/>
    <cellStyle name="표준 10 4 2 3 5 5" xfId="34886"/>
    <cellStyle name="표준 10 4 2 3 6" xfId="34887"/>
    <cellStyle name="표준 10 4 2 3 6 2" xfId="34888"/>
    <cellStyle name="표준 10 4 2 3 6 2 2" xfId="34889"/>
    <cellStyle name="표준 10 4 2 3 6 2 2 2" xfId="34890"/>
    <cellStyle name="표준 10 4 2 3 6 2 2 3" xfId="34891"/>
    <cellStyle name="표준 10 4 2 3 6 2 3" xfId="34892"/>
    <cellStyle name="표준 10 4 2 3 6 2 4" xfId="34893"/>
    <cellStyle name="표준 10 4 2 3 6 3" xfId="34894"/>
    <cellStyle name="표준 10 4 2 3 6 3 2" xfId="34895"/>
    <cellStyle name="표준 10 4 2 3 6 3 3" xfId="34896"/>
    <cellStyle name="표준 10 4 2 3 6 4" xfId="34897"/>
    <cellStyle name="표준 10 4 2 3 6 5" xfId="34898"/>
    <cellStyle name="표준 10 4 2 3 7" xfId="34899"/>
    <cellStyle name="표준 10 4 2 3 7 2" xfId="34900"/>
    <cellStyle name="표준 10 4 2 3 7 2 2" xfId="34901"/>
    <cellStyle name="표준 10 4 2 3 7 2 3" xfId="34902"/>
    <cellStyle name="표준 10 4 2 3 7 3" xfId="34903"/>
    <cellStyle name="표준 10 4 2 3 7 4" xfId="34904"/>
    <cellStyle name="표준 10 4 2 3 8" xfId="34905"/>
    <cellStyle name="표준 10 4 2 3 8 2" xfId="34906"/>
    <cellStyle name="표준 10 4 2 3 8 3" xfId="34907"/>
    <cellStyle name="표준 10 4 2 3 9" xfId="34908"/>
    <cellStyle name="표준 10 4 2 4" xfId="34909"/>
    <cellStyle name="표준 10 4 2 4 10" xfId="34910"/>
    <cellStyle name="표준 10 4 2 4 2" xfId="34911"/>
    <cellStyle name="표준 10 4 2 4 2 2" xfId="34912"/>
    <cellStyle name="표준 10 4 2 4 2 2 2" xfId="34913"/>
    <cellStyle name="표준 10 4 2 4 2 2 2 2" xfId="34914"/>
    <cellStyle name="표준 10 4 2 4 2 2 2 2 2" xfId="34915"/>
    <cellStyle name="표준 10 4 2 4 2 2 2 2 3" xfId="34916"/>
    <cellStyle name="표준 10 4 2 4 2 2 2 3" xfId="34917"/>
    <cellStyle name="표준 10 4 2 4 2 2 2 4" xfId="34918"/>
    <cellStyle name="표준 10 4 2 4 2 2 3" xfId="34919"/>
    <cellStyle name="표준 10 4 2 4 2 2 3 2" xfId="34920"/>
    <cellStyle name="표준 10 4 2 4 2 2 3 3" xfId="34921"/>
    <cellStyle name="표준 10 4 2 4 2 2 4" xfId="34922"/>
    <cellStyle name="표준 10 4 2 4 2 2 5" xfId="34923"/>
    <cellStyle name="표준 10 4 2 4 2 3" xfId="34924"/>
    <cellStyle name="표준 10 4 2 4 2 3 2" xfId="34925"/>
    <cellStyle name="표준 10 4 2 4 2 3 2 2" xfId="34926"/>
    <cellStyle name="표준 10 4 2 4 2 3 2 2 2" xfId="34927"/>
    <cellStyle name="표준 10 4 2 4 2 3 2 2 3" xfId="34928"/>
    <cellStyle name="표준 10 4 2 4 2 3 2 3" xfId="34929"/>
    <cellStyle name="표준 10 4 2 4 2 3 2 4" xfId="34930"/>
    <cellStyle name="표준 10 4 2 4 2 3 3" xfId="34931"/>
    <cellStyle name="표준 10 4 2 4 2 3 3 2" xfId="34932"/>
    <cellStyle name="표준 10 4 2 4 2 3 3 3" xfId="34933"/>
    <cellStyle name="표준 10 4 2 4 2 3 4" xfId="34934"/>
    <cellStyle name="표준 10 4 2 4 2 3 5" xfId="34935"/>
    <cellStyle name="표준 10 4 2 4 2 4" xfId="34936"/>
    <cellStyle name="표준 10 4 2 4 2 4 2" xfId="34937"/>
    <cellStyle name="표준 10 4 2 4 2 4 2 2" xfId="34938"/>
    <cellStyle name="표준 10 4 2 4 2 4 2 3" xfId="34939"/>
    <cellStyle name="표준 10 4 2 4 2 4 3" xfId="34940"/>
    <cellStyle name="표준 10 4 2 4 2 4 4" xfId="34941"/>
    <cellStyle name="표준 10 4 2 4 2 5" xfId="34942"/>
    <cellStyle name="표준 10 4 2 4 2 5 2" xfId="34943"/>
    <cellStyle name="표준 10 4 2 4 2 5 3" xfId="34944"/>
    <cellStyle name="표준 10 4 2 4 2 6" xfId="34945"/>
    <cellStyle name="표준 10 4 2 4 2 7" xfId="34946"/>
    <cellStyle name="표준 10 4 2 4 3" xfId="34947"/>
    <cellStyle name="표준 10 4 2 4 3 2" xfId="34948"/>
    <cellStyle name="표준 10 4 2 4 3 2 2" xfId="34949"/>
    <cellStyle name="표준 10 4 2 4 3 2 2 2" xfId="34950"/>
    <cellStyle name="표준 10 4 2 4 3 2 2 2 2" xfId="34951"/>
    <cellStyle name="표준 10 4 2 4 3 2 2 2 3" xfId="34952"/>
    <cellStyle name="표준 10 4 2 4 3 2 2 3" xfId="34953"/>
    <cellStyle name="표준 10 4 2 4 3 2 2 4" xfId="34954"/>
    <cellStyle name="표준 10 4 2 4 3 2 3" xfId="34955"/>
    <cellStyle name="표준 10 4 2 4 3 2 3 2" xfId="34956"/>
    <cellStyle name="표준 10 4 2 4 3 2 3 3" xfId="34957"/>
    <cellStyle name="표준 10 4 2 4 3 2 4" xfId="34958"/>
    <cellStyle name="표준 10 4 2 4 3 2 5" xfId="34959"/>
    <cellStyle name="표준 10 4 2 4 3 3" xfId="34960"/>
    <cellStyle name="표준 10 4 2 4 3 3 2" xfId="34961"/>
    <cellStyle name="표준 10 4 2 4 3 3 2 2" xfId="34962"/>
    <cellStyle name="표준 10 4 2 4 3 3 2 2 2" xfId="34963"/>
    <cellStyle name="표준 10 4 2 4 3 3 2 2 3" xfId="34964"/>
    <cellStyle name="표준 10 4 2 4 3 3 2 3" xfId="34965"/>
    <cellStyle name="표준 10 4 2 4 3 3 2 4" xfId="34966"/>
    <cellStyle name="표준 10 4 2 4 3 3 3" xfId="34967"/>
    <cellStyle name="표준 10 4 2 4 3 3 3 2" xfId="34968"/>
    <cellStyle name="표준 10 4 2 4 3 3 3 3" xfId="34969"/>
    <cellStyle name="표준 10 4 2 4 3 3 4" xfId="34970"/>
    <cellStyle name="표준 10 4 2 4 3 3 5" xfId="34971"/>
    <cellStyle name="표준 10 4 2 4 3 4" xfId="34972"/>
    <cellStyle name="표준 10 4 2 4 3 4 2" xfId="34973"/>
    <cellStyle name="표준 10 4 2 4 3 4 2 2" xfId="34974"/>
    <cellStyle name="표준 10 4 2 4 3 4 2 3" xfId="34975"/>
    <cellStyle name="표준 10 4 2 4 3 4 3" xfId="34976"/>
    <cellStyle name="표준 10 4 2 4 3 4 4" xfId="34977"/>
    <cellStyle name="표준 10 4 2 4 3 5" xfId="34978"/>
    <cellStyle name="표준 10 4 2 4 3 5 2" xfId="34979"/>
    <cellStyle name="표준 10 4 2 4 3 5 3" xfId="34980"/>
    <cellStyle name="표준 10 4 2 4 3 6" xfId="34981"/>
    <cellStyle name="표준 10 4 2 4 3 7" xfId="34982"/>
    <cellStyle name="표준 10 4 2 4 4" xfId="34983"/>
    <cellStyle name="표준 10 4 2 4 4 2" xfId="34984"/>
    <cellStyle name="표준 10 4 2 4 4 2 2" xfId="34985"/>
    <cellStyle name="표준 10 4 2 4 4 2 2 2" xfId="34986"/>
    <cellStyle name="표준 10 4 2 4 4 2 2 3" xfId="34987"/>
    <cellStyle name="표준 10 4 2 4 4 2 3" xfId="34988"/>
    <cellStyle name="표준 10 4 2 4 4 2 4" xfId="34989"/>
    <cellStyle name="표준 10 4 2 4 4 3" xfId="34990"/>
    <cellStyle name="표준 10 4 2 4 4 3 2" xfId="34991"/>
    <cellStyle name="표준 10 4 2 4 4 3 3" xfId="34992"/>
    <cellStyle name="표준 10 4 2 4 4 4" xfId="34993"/>
    <cellStyle name="표준 10 4 2 4 4 5" xfId="34994"/>
    <cellStyle name="표준 10 4 2 4 5" xfId="34995"/>
    <cellStyle name="표준 10 4 2 4 5 2" xfId="34996"/>
    <cellStyle name="표준 10 4 2 4 5 2 2" xfId="34997"/>
    <cellStyle name="표준 10 4 2 4 5 2 2 2" xfId="34998"/>
    <cellStyle name="표준 10 4 2 4 5 2 2 3" xfId="34999"/>
    <cellStyle name="표준 10 4 2 4 5 2 3" xfId="35000"/>
    <cellStyle name="표준 10 4 2 4 5 2 4" xfId="35001"/>
    <cellStyle name="표준 10 4 2 4 5 3" xfId="35002"/>
    <cellStyle name="표준 10 4 2 4 5 3 2" xfId="35003"/>
    <cellStyle name="표준 10 4 2 4 5 3 3" xfId="35004"/>
    <cellStyle name="표준 10 4 2 4 5 4" xfId="35005"/>
    <cellStyle name="표준 10 4 2 4 5 5" xfId="35006"/>
    <cellStyle name="표준 10 4 2 4 6" xfId="35007"/>
    <cellStyle name="표준 10 4 2 4 6 2" xfId="35008"/>
    <cellStyle name="표준 10 4 2 4 6 2 2" xfId="35009"/>
    <cellStyle name="표준 10 4 2 4 6 2 2 2" xfId="35010"/>
    <cellStyle name="표준 10 4 2 4 6 2 2 3" xfId="35011"/>
    <cellStyle name="표준 10 4 2 4 6 2 3" xfId="35012"/>
    <cellStyle name="표준 10 4 2 4 6 2 4" xfId="35013"/>
    <cellStyle name="표준 10 4 2 4 6 3" xfId="35014"/>
    <cellStyle name="표준 10 4 2 4 6 3 2" xfId="35015"/>
    <cellStyle name="표준 10 4 2 4 6 3 3" xfId="35016"/>
    <cellStyle name="표준 10 4 2 4 6 4" xfId="35017"/>
    <cellStyle name="표준 10 4 2 4 6 5" xfId="35018"/>
    <cellStyle name="표준 10 4 2 4 7" xfId="35019"/>
    <cellStyle name="표준 10 4 2 4 7 2" xfId="35020"/>
    <cellStyle name="표준 10 4 2 4 7 2 2" xfId="35021"/>
    <cellStyle name="표준 10 4 2 4 7 2 3" xfId="35022"/>
    <cellStyle name="표준 10 4 2 4 7 3" xfId="35023"/>
    <cellStyle name="표준 10 4 2 4 7 4" xfId="35024"/>
    <cellStyle name="표준 10 4 2 4 8" xfId="35025"/>
    <cellStyle name="표준 10 4 2 4 8 2" xfId="35026"/>
    <cellStyle name="표준 10 4 2 4 8 3" xfId="35027"/>
    <cellStyle name="표준 10 4 2 4 9" xfId="35028"/>
    <cellStyle name="표준 10 4 2 5" xfId="35029"/>
    <cellStyle name="표준 10 4 2 5 2" xfId="35030"/>
    <cellStyle name="표준 10 4 2 5 2 2" xfId="35031"/>
    <cellStyle name="표준 10 4 2 5 2 2 2" xfId="35032"/>
    <cellStyle name="표준 10 4 2 5 2 2 2 2" xfId="35033"/>
    <cellStyle name="표준 10 4 2 5 2 2 2 3" xfId="35034"/>
    <cellStyle name="표준 10 4 2 5 2 2 3" xfId="35035"/>
    <cellStyle name="표준 10 4 2 5 2 2 4" xfId="35036"/>
    <cellStyle name="표준 10 4 2 5 2 3" xfId="35037"/>
    <cellStyle name="표준 10 4 2 5 2 3 2" xfId="35038"/>
    <cellStyle name="표준 10 4 2 5 2 3 3" xfId="35039"/>
    <cellStyle name="표준 10 4 2 5 2 4" xfId="35040"/>
    <cellStyle name="표준 10 4 2 5 2 5" xfId="35041"/>
    <cellStyle name="표준 10 4 2 5 3" xfId="35042"/>
    <cellStyle name="표준 10 4 2 5 3 2" xfId="35043"/>
    <cellStyle name="표준 10 4 2 5 3 2 2" xfId="35044"/>
    <cellStyle name="표준 10 4 2 5 3 2 2 2" xfId="35045"/>
    <cellStyle name="표준 10 4 2 5 3 2 2 3" xfId="35046"/>
    <cellStyle name="표준 10 4 2 5 3 2 3" xfId="35047"/>
    <cellStyle name="표준 10 4 2 5 3 2 4" xfId="35048"/>
    <cellStyle name="표준 10 4 2 5 3 3" xfId="35049"/>
    <cellStyle name="표준 10 4 2 5 3 3 2" xfId="35050"/>
    <cellStyle name="표준 10 4 2 5 3 3 3" xfId="35051"/>
    <cellStyle name="표준 10 4 2 5 3 4" xfId="35052"/>
    <cellStyle name="표준 10 4 2 5 3 5" xfId="35053"/>
    <cellStyle name="표준 10 4 2 5 4" xfId="35054"/>
    <cellStyle name="표준 10 4 2 5 4 2" xfId="35055"/>
    <cellStyle name="표준 10 4 2 5 4 2 2" xfId="35056"/>
    <cellStyle name="표준 10 4 2 5 4 2 3" xfId="35057"/>
    <cellStyle name="표준 10 4 2 5 4 3" xfId="35058"/>
    <cellStyle name="표준 10 4 2 5 4 4" xfId="35059"/>
    <cellStyle name="표준 10 4 2 5 5" xfId="35060"/>
    <cellStyle name="표준 10 4 2 5 5 2" xfId="35061"/>
    <cellStyle name="표준 10 4 2 5 5 3" xfId="35062"/>
    <cellStyle name="표준 10 4 2 5 6" xfId="35063"/>
    <cellStyle name="표준 10 4 2 5 7" xfId="35064"/>
    <cellStyle name="표준 10 4 2 6" xfId="35065"/>
    <cellStyle name="표준 10 4 2 6 2" xfId="35066"/>
    <cellStyle name="표준 10 4 2 6 2 2" xfId="35067"/>
    <cellStyle name="표준 10 4 2 6 2 2 2" xfId="35068"/>
    <cellStyle name="표준 10 4 2 6 2 2 2 2" xfId="35069"/>
    <cellStyle name="표준 10 4 2 6 2 2 2 3" xfId="35070"/>
    <cellStyle name="표준 10 4 2 6 2 2 3" xfId="35071"/>
    <cellStyle name="표준 10 4 2 6 2 2 4" xfId="35072"/>
    <cellStyle name="표준 10 4 2 6 2 3" xfId="35073"/>
    <cellStyle name="표준 10 4 2 6 2 3 2" xfId="35074"/>
    <cellStyle name="표준 10 4 2 6 2 3 3" xfId="35075"/>
    <cellStyle name="표준 10 4 2 6 2 4" xfId="35076"/>
    <cellStyle name="표준 10 4 2 6 2 5" xfId="35077"/>
    <cellStyle name="표준 10 4 2 6 3" xfId="35078"/>
    <cellStyle name="표준 10 4 2 6 3 2" xfId="35079"/>
    <cellStyle name="표준 10 4 2 6 3 2 2" xfId="35080"/>
    <cellStyle name="표준 10 4 2 6 3 2 2 2" xfId="35081"/>
    <cellStyle name="표준 10 4 2 6 3 2 2 3" xfId="35082"/>
    <cellStyle name="표준 10 4 2 6 3 2 3" xfId="35083"/>
    <cellStyle name="표준 10 4 2 6 3 2 4" xfId="35084"/>
    <cellStyle name="표준 10 4 2 6 3 3" xfId="35085"/>
    <cellStyle name="표준 10 4 2 6 3 3 2" xfId="35086"/>
    <cellStyle name="표준 10 4 2 6 3 3 3" xfId="35087"/>
    <cellStyle name="표준 10 4 2 6 3 4" xfId="35088"/>
    <cellStyle name="표준 10 4 2 6 3 5" xfId="35089"/>
    <cellStyle name="표준 10 4 2 6 4" xfId="35090"/>
    <cellStyle name="표준 10 4 2 6 4 2" xfId="35091"/>
    <cellStyle name="표준 10 4 2 6 4 2 2" xfId="35092"/>
    <cellStyle name="표준 10 4 2 6 4 2 3" xfId="35093"/>
    <cellStyle name="표준 10 4 2 6 4 3" xfId="35094"/>
    <cellStyle name="표준 10 4 2 6 4 4" xfId="35095"/>
    <cellStyle name="표준 10 4 2 6 5" xfId="35096"/>
    <cellStyle name="표준 10 4 2 6 5 2" xfId="35097"/>
    <cellStyle name="표준 10 4 2 6 5 3" xfId="35098"/>
    <cellStyle name="표준 10 4 2 6 6" xfId="35099"/>
    <cellStyle name="표준 10 4 2 6 7" xfId="35100"/>
    <cellStyle name="표준 10 4 2 7" xfId="35101"/>
    <cellStyle name="표준 10 4 2 7 2" xfId="35102"/>
    <cellStyle name="표준 10 4 2 7 2 2" xfId="35103"/>
    <cellStyle name="표준 10 4 2 7 2 2 2" xfId="35104"/>
    <cellStyle name="표준 10 4 2 7 2 2 3" xfId="35105"/>
    <cellStyle name="표준 10 4 2 7 2 3" xfId="35106"/>
    <cellStyle name="표준 10 4 2 7 2 4" xfId="35107"/>
    <cellStyle name="표준 10 4 2 7 3" xfId="35108"/>
    <cellStyle name="표준 10 4 2 7 3 2" xfId="35109"/>
    <cellStyle name="표준 10 4 2 7 3 3" xfId="35110"/>
    <cellStyle name="표준 10 4 2 7 4" xfId="35111"/>
    <cellStyle name="표준 10 4 2 7 5" xfId="35112"/>
    <cellStyle name="표준 10 4 2 8" xfId="35113"/>
    <cellStyle name="표준 10 4 2 8 2" xfId="35114"/>
    <cellStyle name="표준 10 4 2 8 2 2" xfId="35115"/>
    <cellStyle name="표준 10 4 2 8 2 2 2" xfId="35116"/>
    <cellStyle name="표준 10 4 2 8 2 2 3" xfId="35117"/>
    <cellStyle name="표준 10 4 2 8 2 3" xfId="35118"/>
    <cellStyle name="표준 10 4 2 8 2 4" xfId="35119"/>
    <cellStyle name="표준 10 4 2 8 3" xfId="35120"/>
    <cellStyle name="표준 10 4 2 8 3 2" xfId="35121"/>
    <cellStyle name="표준 10 4 2 8 3 3" xfId="35122"/>
    <cellStyle name="표준 10 4 2 8 4" xfId="35123"/>
    <cellStyle name="표준 10 4 2 8 5" xfId="35124"/>
    <cellStyle name="표준 10 4 2 9" xfId="35125"/>
    <cellStyle name="표준 10 4 2 9 2" xfId="35126"/>
    <cellStyle name="표준 10 4 2 9 2 2" xfId="35127"/>
    <cellStyle name="표준 10 4 2 9 2 2 2" xfId="35128"/>
    <cellStyle name="표준 10 4 2 9 2 2 3" xfId="35129"/>
    <cellStyle name="표준 10 4 2 9 2 3" xfId="35130"/>
    <cellStyle name="표준 10 4 2 9 2 4" xfId="35131"/>
    <cellStyle name="표준 10 4 2 9 3" xfId="35132"/>
    <cellStyle name="표준 10 4 2 9 3 2" xfId="35133"/>
    <cellStyle name="표준 10 4 2 9 3 3" xfId="35134"/>
    <cellStyle name="표준 10 4 2 9 4" xfId="35135"/>
    <cellStyle name="표준 10 4 2 9 5" xfId="35136"/>
    <cellStyle name="표준 10 4 3" xfId="35137"/>
    <cellStyle name="표준 10 4 3 10" xfId="35138"/>
    <cellStyle name="표준 10 4 3 2" xfId="35139"/>
    <cellStyle name="표준 10 4 3 2 2" xfId="35140"/>
    <cellStyle name="표준 10 4 3 2 2 2" xfId="35141"/>
    <cellStyle name="표준 10 4 3 2 2 2 2" xfId="35142"/>
    <cellStyle name="표준 10 4 3 2 2 2 2 2" xfId="35143"/>
    <cellStyle name="표준 10 4 3 2 2 2 2 3" xfId="35144"/>
    <cellStyle name="표준 10 4 3 2 2 2 3" xfId="35145"/>
    <cellStyle name="표준 10 4 3 2 2 2 4" xfId="35146"/>
    <cellStyle name="표준 10 4 3 2 2 3" xfId="35147"/>
    <cellStyle name="표준 10 4 3 2 2 3 2" xfId="35148"/>
    <cellStyle name="표준 10 4 3 2 2 3 3" xfId="35149"/>
    <cellStyle name="표준 10 4 3 2 2 4" xfId="35150"/>
    <cellStyle name="표준 10 4 3 2 2 5" xfId="35151"/>
    <cellStyle name="표준 10 4 3 2 3" xfId="35152"/>
    <cellStyle name="표준 10 4 3 2 3 2" xfId="35153"/>
    <cellStyle name="표준 10 4 3 2 3 2 2" xfId="35154"/>
    <cellStyle name="표준 10 4 3 2 3 2 2 2" xfId="35155"/>
    <cellStyle name="표준 10 4 3 2 3 2 2 3" xfId="35156"/>
    <cellStyle name="표준 10 4 3 2 3 2 3" xfId="35157"/>
    <cellStyle name="표준 10 4 3 2 3 2 4" xfId="35158"/>
    <cellStyle name="표준 10 4 3 2 3 3" xfId="35159"/>
    <cellStyle name="표준 10 4 3 2 3 3 2" xfId="35160"/>
    <cellStyle name="표준 10 4 3 2 3 3 3" xfId="35161"/>
    <cellStyle name="표준 10 4 3 2 3 4" xfId="35162"/>
    <cellStyle name="표준 10 4 3 2 3 5" xfId="35163"/>
    <cellStyle name="표준 10 4 3 2 4" xfId="35164"/>
    <cellStyle name="표준 10 4 3 2 4 2" xfId="35165"/>
    <cellStyle name="표준 10 4 3 2 4 2 2" xfId="35166"/>
    <cellStyle name="표준 10 4 3 2 4 2 3" xfId="35167"/>
    <cellStyle name="표준 10 4 3 2 4 3" xfId="35168"/>
    <cellStyle name="표준 10 4 3 2 4 4" xfId="35169"/>
    <cellStyle name="표준 10 4 3 2 5" xfId="35170"/>
    <cellStyle name="표준 10 4 3 2 5 2" xfId="35171"/>
    <cellStyle name="표준 10 4 3 2 5 3" xfId="35172"/>
    <cellStyle name="표준 10 4 3 2 6" xfId="35173"/>
    <cellStyle name="표준 10 4 3 2 7" xfId="35174"/>
    <cellStyle name="표준 10 4 3 3" xfId="35175"/>
    <cellStyle name="표준 10 4 3 3 2" xfId="35176"/>
    <cellStyle name="표준 10 4 3 3 2 2" xfId="35177"/>
    <cellStyle name="표준 10 4 3 3 2 2 2" xfId="35178"/>
    <cellStyle name="표준 10 4 3 3 2 2 2 2" xfId="35179"/>
    <cellStyle name="표준 10 4 3 3 2 2 2 3" xfId="35180"/>
    <cellStyle name="표준 10 4 3 3 2 2 3" xfId="35181"/>
    <cellStyle name="표준 10 4 3 3 2 2 4" xfId="35182"/>
    <cellStyle name="표준 10 4 3 3 2 3" xfId="35183"/>
    <cellStyle name="표준 10 4 3 3 2 3 2" xfId="35184"/>
    <cellStyle name="표준 10 4 3 3 2 3 3" xfId="35185"/>
    <cellStyle name="표준 10 4 3 3 2 4" xfId="35186"/>
    <cellStyle name="표준 10 4 3 3 2 5" xfId="35187"/>
    <cellStyle name="표준 10 4 3 3 3" xfId="35188"/>
    <cellStyle name="표준 10 4 3 3 3 2" xfId="35189"/>
    <cellStyle name="표준 10 4 3 3 3 2 2" xfId="35190"/>
    <cellStyle name="표준 10 4 3 3 3 2 2 2" xfId="35191"/>
    <cellStyle name="표준 10 4 3 3 3 2 2 3" xfId="35192"/>
    <cellStyle name="표준 10 4 3 3 3 2 3" xfId="35193"/>
    <cellStyle name="표준 10 4 3 3 3 2 4" xfId="35194"/>
    <cellStyle name="표준 10 4 3 3 3 3" xfId="35195"/>
    <cellStyle name="표준 10 4 3 3 3 3 2" xfId="35196"/>
    <cellStyle name="표준 10 4 3 3 3 3 3" xfId="35197"/>
    <cellStyle name="표준 10 4 3 3 3 4" xfId="35198"/>
    <cellStyle name="표준 10 4 3 3 3 5" xfId="35199"/>
    <cellStyle name="표준 10 4 3 3 4" xfId="35200"/>
    <cellStyle name="표준 10 4 3 3 4 2" xfId="35201"/>
    <cellStyle name="표준 10 4 3 3 4 2 2" xfId="35202"/>
    <cellStyle name="표준 10 4 3 3 4 2 3" xfId="35203"/>
    <cellStyle name="표준 10 4 3 3 4 3" xfId="35204"/>
    <cellStyle name="표준 10 4 3 3 4 4" xfId="35205"/>
    <cellStyle name="표준 10 4 3 3 5" xfId="35206"/>
    <cellStyle name="표준 10 4 3 3 5 2" xfId="35207"/>
    <cellStyle name="표준 10 4 3 3 5 3" xfId="35208"/>
    <cellStyle name="표준 10 4 3 3 6" xfId="35209"/>
    <cellStyle name="표준 10 4 3 3 7" xfId="35210"/>
    <cellStyle name="표준 10 4 3 4" xfId="35211"/>
    <cellStyle name="표준 10 4 3 4 2" xfId="35212"/>
    <cellStyle name="표준 10 4 3 4 2 2" xfId="35213"/>
    <cellStyle name="표준 10 4 3 4 2 2 2" xfId="35214"/>
    <cellStyle name="표준 10 4 3 4 2 2 3" xfId="35215"/>
    <cellStyle name="표준 10 4 3 4 2 3" xfId="35216"/>
    <cellStyle name="표준 10 4 3 4 2 4" xfId="35217"/>
    <cellStyle name="표준 10 4 3 4 3" xfId="35218"/>
    <cellStyle name="표준 10 4 3 4 3 2" xfId="35219"/>
    <cellStyle name="표준 10 4 3 4 3 3" xfId="35220"/>
    <cellStyle name="표준 10 4 3 4 4" xfId="35221"/>
    <cellStyle name="표준 10 4 3 4 5" xfId="35222"/>
    <cellStyle name="표준 10 4 3 5" xfId="35223"/>
    <cellStyle name="표준 10 4 3 5 2" xfId="35224"/>
    <cellStyle name="표준 10 4 3 5 2 2" xfId="35225"/>
    <cellStyle name="표준 10 4 3 5 2 2 2" xfId="35226"/>
    <cellStyle name="표준 10 4 3 5 2 2 3" xfId="35227"/>
    <cellStyle name="표준 10 4 3 5 2 3" xfId="35228"/>
    <cellStyle name="표준 10 4 3 5 2 4" xfId="35229"/>
    <cellStyle name="표준 10 4 3 5 3" xfId="35230"/>
    <cellStyle name="표준 10 4 3 5 3 2" xfId="35231"/>
    <cellStyle name="표준 10 4 3 5 3 3" xfId="35232"/>
    <cellStyle name="표준 10 4 3 5 4" xfId="35233"/>
    <cellStyle name="표준 10 4 3 5 5" xfId="35234"/>
    <cellStyle name="표준 10 4 3 6" xfId="35235"/>
    <cellStyle name="표준 10 4 3 6 2" xfId="35236"/>
    <cellStyle name="표준 10 4 3 6 2 2" xfId="35237"/>
    <cellStyle name="표준 10 4 3 6 2 2 2" xfId="35238"/>
    <cellStyle name="표준 10 4 3 6 2 2 3" xfId="35239"/>
    <cellStyle name="표준 10 4 3 6 2 3" xfId="35240"/>
    <cellStyle name="표준 10 4 3 6 2 4" xfId="35241"/>
    <cellStyle name="표준 10 4 3 6 3" xfId="35242"/>
    <cellStyle name="표준 10 4 3 6 3 2" xfId="35243"/>
    <cellStyle name="표준 10 4 3 6 3 3" xfId="35244"/>
    <cellStyle name="표준 10 4 3 6 4" xfId="35245"/>
    <cellStyle name="표준 10 4 3 6 5" xfId="35246"/>
    <cellStyle name="표준 10 4 3 7" xfId="35247"/>
    <cellStyle name="표준 10 4 3 7 2" xfId="35248"/>
    <cellStyle name="표준 10 4 3 7 2 2" xfId="35249"/>
    <cellStyle name="표준 10 4 3 7 2 3" xfId="35250"/>
    <cellStyle name="표준 10 4 3 7 3" xfId="35251"/>
    <cellStyle name="표준 10 4 3 7 4" xfId="35252"/>
    <cellStyle name="표준 10 4 3 8" xfId="35253"/>
    <cellStyle name="표준 10 4 3 8 2" xfId="35254"/>
    <cellStyle name="표준 10 4 3 8 3" xfId="35255"/>
    <cellStyle name="표준 10 4 3 9" xfId="35256"/>
    <cellStyle name="표준 10 4 4" xfId="35257"/>
    <cellStyle name="표준 10 4 4 10" xfId="35258"/>
    <cellStyle name="표준 10 4 4 2" xfId="35259"/>
    <cellStyle name="표준 10 4 4 2 2" xfId="35260"/>
    <cellStyle name="표준 10 4 4 2 2 2" xfId="35261"/>
    <cellStyle name="표준 10 4 4 2 2 2 2" xfId="35262"/>
    <cellStyle name="표준 10 4 4 2 2 2 2 2" xfId="35263"/>
    <cellStyle name="표준 10 4 4 2 2 2 2 3" xfId="35264"/>
    <cellStyle name="표준 10 4 4 2 2 2 3" xfId="35265"/>
    <cellStyle name="표준 10 4 4 2 2 2 4" xfId="35266"/>
    <cellStyle name="표준 10 4 4 2 2 3" xfId="35267"/>
    <cellStyle name="표준 10 4 4 2 2 3 2" xfId="35268"/>
    <cellStyle name="표준 10 4 4 2 2 3 3" xfId="35269"/>
    <cellStyle name="표준 10 4 4 2 2 4" xfId="35270"/>
    <cellStyle name="표준 10 4 4 2 2 5" xfId="35271"/>
    <cellStyle name="표준 10 4 4 2 3" xfId="35272"/>
    <cellStyle name="표준 10 4 4 2 3 2" xfId="35273"/>
    <cellStyle name="표준 10 4 4 2 3 2 2" xfId="35274"/>
    <cellStyle name="표준 10 4 4 2 3 2 2 2" xfId="35275"/>
    <cellStyle name="표준 10 4 4 2 3 2 2 3" xfId="35276"/>
    <cellStyle name="표준 10 4 4 2 3 2 3" xfId="35277"/>
    <cellStyle name="표준 10 4 4 2 3 2 4" xfId="35278"/>
    <cellStyle name="표준 10 4 4 2 3 3" xfId="35279"/>
    <cellStyle name="표준 10 4 4 2 3 3 2" xfId="35280"/>
    <cellStyle name="표준 10 4 4 2 3 3 3" xfId="35281"/>
    <cellStyle name="표준 10 4 4 2 3 4" xfId="35282"/>
    <cellStyle name="표준 10 4 4 2 3 5" xfId="35283"/>
    <cellStyle name="표준 10 4 4 2 4" xfId="35284"/>
    <cellStyle name="표준 10 4 4 2 4 2" xfId="35285"/>
    <cellStyle name="표준 10 4 4 2 4 2 2" xfId="35286"/>
    <cellStyle name="표준 10 4 4 2 4 2 3" xfId="35287"/>
    <cellStyle name="표준 10 4 4 2 4 3" xfId="35288"/>
    <cellStyle name="표준 10 4 4 2 4 4" xfId="35289"/>
    <cellStyle name="표준 10 4 4 2 5" xfId="35290"/>
    <cellStyle name="표준 10 4 4 2 5 2" xfId="35291"/>
    <cellStyle name="표준 10 4 4 2 5 3" xfId="35292"/>
    <cellStyle name="표준 10 4 4 2 6" xfId="35293"/>
    <cellStyle name="표준 10 4 4 2 7" xfId="35294"/>
    <cellStyle name="표준 10 4 4 3" xfId="35295"/>
    <cellStyle name="표준 10 4 4 3 2" xfId="35296"/>
    <cellStyle name="표준 10 4 4 3 2 2" xfId="35297"/>
    <cellStyle name="표준 10 4 4 3 2 2 2" xfId="35298"/>
    <cellStyle name="표준 10 4 4 3 2 2 2 2" xfId="35299"/>
    <cellStyle name="표준 10 4 4 3 2 2 2 3" xfId="35300"/>
    <cellStyle name="표준 10 4 4 3 2 2 3" xfId="35301"/>
    <cellStyle name="표준 10 4 4 3 2 2 4" xfId="35302"/>
    <cellStyle name="표준 10 4 4 3 2 3" xfId="35303"/>
    <cellStyle name="표준 10 4 4 3 2 3 2" xfId="35304"/>
    <cellStyle name="표준 10 4 4 3 2 3 3" xfId="35305"/>
    <cellStyle name="표준 10 4 4 3 2 4" xfId="35306"/>
    <cellStyle name="표준 10 4 4 3 2 5" xfId="35307"/>
    <cellStyle name="표준 10 4 4 3 3" xfId="35308"/>
    <cellStyle name="표준 10 4 4 3 3 2" xfId="35309"/>
    <cellStyle name="표준 10 4 4 3 3 2 2" xfId="35310"/>
    <cellStyle name="표준 10 4 4 3 3 2 2 2" xfId="35311"/>
    <cellStyle name="표준 10 4 4 3 3 2 2 3" xfId="35312"/>
    <cellStyle name="표준 10 4 4 3 3 2 3" xfId="35313"/>
    <cellStyle name="표준 10 4 4 3 3 2 4" xfId="35314"/>
    <cellStyle name="표준 10 4 4 3 3 3" xfId="35315"/>
    <cellStyle name="표준 10 4 4 3 3 3 2" xfId="35316"/>
    <cellStyle name="표준 10 4 4 3 3 3 3" xfId="35317"/>
    <cellStyle name="표준 10 4 4 3 3 4" xfId="35318"/>
    <cellStyle name="표준 10 4 4 3 3 5" xfId="35319"/>
    <cellStyle name="표준 10 4 4 3 4" xfId="35320"/>
    <cellStyle name="표준 10 4 4 3 4 2" xfId="35321"/>
    <cellStyle name="표준 10 4 4 3 4 2 2" xfId="35322"/>
    <cellStyle name="표준 10 4 4 3 4 2 3" xfId="35323"/>
    <cellStyle name="표준 10 4 4 3 4 3" xfId="35324"/>
    <cellStyle name="표준 10 4 4 3 4 4" xfId="35325"/>
    <cellStyle name="표준 10 4 4 3 5" xfId="35326"/>
    <cellStyle name="표준 10 4 4 3 5 2" xfId="35327"/>
    <cellStyle name="표준 10 4 4 3 5 3" xfId="35328"/>
    <cellStyle name="표준 10 4 4 3 6" xfId="35329"/>
    <cellStyle name="표준 10 4 4 3 7" xfId="35330"/>
    <cellStyle name="표준 10 4 4 4" xfId="35331"/>
    <cellStyle name="표준 10 4 4 4 2" xfId="35332"/>
    <cellStyle name="표준 10 4 4 4 2 2" xfId="35333"/>
    <cellStyle name="표준 10 4 4 4 2 2 2" xfId="35334"/>
    <cellStyle name="표준 10 4 4 4 2 2 3" xfId="35335"/>
    <cellStyle name="표준 10 4 4 4 2 3" xfId="35336"/>
    <cellStyle name="표준 10 4 4 4 2 4" xfId="35337"/>
    <cellStyle name="표준 10 4 4 4 3" xfId="35338"/>
    <cellStyle name="표준 10 4 4 4 3 2" xfId="35339"/>
    <cellStyle name="표준 10 4 4 4 3 3" xfId="35340"/>
    <cellStyle name="표준 10 4 4 4 4" xfId="35341"/>
    <cellStyle name="표준 10 4 4 4 5" xfId="35342"/>
    <cellStyle name="표준 10 4 4 5" xfId="35343"/>
    <cellStyle name="표준 10 4 4 5 2" xfId="35344"/>
    <cellStyle name="표준 10 4 4 5 2 2" xfId="35345"/>
    <cellStyle name="표준 10 4 4 5 2 2 2" xfId="35346"/>
    <cellStyle name="표준 10 4 4 5 2 2 3" xfId="35347"/>
    <cellStyle name="표준 10 4 4 5 2 3" xfId="35348"/>
    <cellStyle name="표준 10 4 4 5 2 4" xfId="35349"/>
    <cellStyle name="표준 10 4 4 5 3" xfId="35350"/>
    <cellStyle name="표준 10 4 4 5 3 2" xfId="35351"/>
    <cellStyle name="표준 10 4 4 5 3 3" xfId="35352"/>
    <cellStyle name="표준 10 4 4 5 4" xfId="35353"/>
    <cellStyle name="표준 10 4 4 5 5" xfId="35354"/>
    <cellStyle name="표준 10 4 4 6" xfId="35355"/>
    <cellStyle name="표준 10 4 4 6 2" xfId="35356"/>
    <cellStyle name="표준 10 4 4 6 2 2" xfId="35357"/>
    <cellStyle name="표준 10 4 4 6 2 2 2" xfId="35358"/>
    <cellStyle name="표준 10 4 4 6 2 2 3" xfId="35359"/>
    <cellStyle name="표준 10 4 4 6 2 3" xfId="35360"/>
    <cellStyle name="표준 10 4 4 6 2 4" xfId="35361"/>
    <cellStyle name="표준 10 4 4 6 3" xfId="35362"/>
    <cellStyle name="표준 10 4 4 6 3 2" xfId="35363"/>
    <cellStyle name="표준 10 4 4 6 3 3" xfId="35364"/>
    <cellStyle name="표준 10 4 4 6 4" xfId="35365"/>
    <cellStyle name="표준 10 4 4 6 5" xfId="35366"/>
    <cellStyle name="표준 10 4 4 7" xfId="35367"/>
    <cellStyle name="표준 10 4 4 7 2" xfId="35368"/>
    <cellStyle name="표준 10 4 4 7 2 2" xfId="35369"/>
    <cellStyle name="표준 10 4 4 7 2 3" xfId="35370"/>
    <cellStyle name="표준 10 4 4 7 3" xfId="35371"/>
    <cellStyle name="표준 10 4 4 7 4" xfId="35372"/>
    <cellStyle name="표준 10 4 4 8" xfId="35373"/>
    <cellStyle name="표준 10 4 4 8 2" xfId="35374"/>
    <cellStyle name="표준 10 4 4 8 3" xfId="35375"/>
    <cellStyle name="표준 10 4 4 9" xfId="35376"/>
    <cellStyle name="표준 10 4 5" xfId="35377"/>
    <cellStyle name="표준 10 4 5 10" xfId="35378"/>
    <cellStyle name="표준 10 4 5 2" xfId="35379"/>
    <cellStyle name="표준 10 4 5 2 2" xfId="35380"/>
    <cellStyle name="표준 10 4 5 2 2 2" xfId="35381"/>
    <cellStyle name="표준 10 4 5 2 2 2 2" xfId="35382"/>
    <cellStyle name="표준 10 4 5 2 2 2 2 2" xfId="35383"/>
    <cellStyle name="표준 10 4 5 2 2 2 2 3" xfId="35384"/>
    <cellStyle name="표준 10 4 5 2 2 2 3" xfId="35385"/>
    <cellStyle name="표준 10 4 5 2 2 2 4" xfId="35386"/>
    <cellStyle name="표준 10 4 5 2 2 3" xfId="35387"/>
    <cellStyle name="표준 10 4 5 2 2 3 2" xfId="35388"/>
    <cellStyle name="표준 10 4 5 2 2 3 3" xfId="35389"/>
    <cellStyle name="표준 10 4 5 2 2 4" xfId="35390"/>
    <cellStyle name="표준 10 4 5 2 2 5" xfId="35391"/>
    <cellStyle name="표준 10 4 5 2 3" xfId="35392"/>
    <cellStyle name="표준 10 4 5 2 3 2" xfId="35393"/>
    <cellStyle name="표준 10 4 5 2 3 2 2" xfId="35394"/>
    <cellStyle name="표준 10 4 5 2 3 2 2 2" xfId="35395"/>
    <cellStyle name="표준 10 4 5 2 3 2 2 3" xfId="35396"/>
    <cellStyle name="표준 10 4 5 2 3 2 3" xfId="35397"/>
    <cellStyle name="표준 10 4 5 2 3 2 4" xfId="35398"/>
    <cellStyle name="표준 10 4 5 2 3 3" xfId="35399"/>
    <cellStyle name="표준 10 4 5 2 3 3 2" xfId="35400"/>
    <cellStyle name="표준 10 4 5 2 3 3 3" xfId="35401"/>
    <cellStyle name="표준 10 4 5 2 3 4" xfId="35402"/>
    <cellStyle name="표준 10 4 5 2 3 5" xfId="35403"/>
    <cellStyle name="표준 10 4 5 2 4" xfId="35404"/>
    <cellStyle name="표준 10 4 5 2 4 2" xfId="35405"/>
    <cellStyle name="표준 10 4 5 2 4 2 2" xfId="35406"/>
    <cellStyle name="표준 10 4 5 2 4 2 3" xfId="35407"/>
    <cellStyle name="표준 10 4 5 2 4 3" xfId="35408"/>
    <cellStyle name="표준 10 4 5 2 4 4" xfId="35409"/>
    <cellStyle name="표준 10 4 5 2 5" xfId="35410"/>
    <cellStyle name="표준 10 4 5 2 5 2" xfId="35411"/>
    <cellStyle name="표준 10 4 5 2 5 3" xfId="35412"/>
    <cellStyle name="표준 10 4 5 2 6" xfId="35413"/>
    <cellStyle name="표준 10 4 5 2 7" xfId="35414"/>
    <cellStyle name="표준 10 4 5 3" xfId="35415"/>
    <cellStyle name="표준 10 4 5 3 2" xfId="35416"/>
    <cellStyle name="표준 10 4 5 3 2 2" xfId="35417"/>
    <cellStyle name="표준 10 4 5 3 2 2 2" xfId="35418"/>
    <cellStyle name="표준 10 4 5 3 2 2 2 2" xfId="35419"/>
    <cellStyle name="표준 10 4 5 3 2 2 2 3" xfId="35420"/>
    <cellStyle name="표준 10 4 5 3 2 2 3" xfId="35421"/>
    <cellStyle name="표준 10 4 5 3 2 2 4" xfId="35422"/>
    <cellStyle name="표준 10 4 5 3 2 3" xfId="35423"/>
    <cellStyle name="표준 10 4 5 3 2 3 2" xfId="35424"/>
    <cellStyle name="표준 10 4 5 3 2 3 3" xfId="35425"/>
    <cellStyle name="표준 10 4 5 3 2 4" xfId="35426"/>
    <cellStyle name="표준 10 4 5 3 2 5" xfId="35427"/>
    <cellStyle name="표준 10 4 5 3 3" xfId="35428"/>
    <cellStyle name="표준 10 4 5 3 3 2" xfId="35429"/>
    <cellStyle name="표준 10 4 5 3 3 2 2" xfId="35430"/>
    <cellStyle name="표준 10 4 5 3 3 2 2 2" xfId="35431"/>
    <cellStyle name="표준 10 4 5 3 3 2 2 3" xfId="35432"/>
    <cellStyle name="표준 10 4 5 3 3 2 3" xfId="35433"/>
    <cellStyle name="표준 10 4 5 3 3 2 4" xfId="35434"/>
    <cellStyle name="표준 10 4 5 3 3 3" xfId="35435"/>
    <cellStyle name="표준 10 4 5 3 3 3 2" xfId="35436"/>
    <cellStyle name="표준 10 4 5 3 3 3 3" xfId="35437"/>
    <cellStyle name="표준 10 4 5 3 3 4" xfId="35438"/>
    <cellStyle name="표준 10 4 5 3 3 5" xfId="35439"/>
    <cellStyle name="표준 10 4 5 3 4" xfId="35440"/>
    <cellStyle name="표준 10 4 5 3 4 2" xfId="35441"/>
    <cellStyle name="표준 10 4 5 3 4 2 2" xfId="35442"/>
    <cellStyle name="표준 10 4 5 3 4 2 3" xfId="35443"/>
    <cellStyle name="표준 10 4 5 3 4 3" xfId="35444"/>
    <cellStyle name="표준 10 4 5 3 4 4" xfId="35445"/>
    <cellStyle name="표준 10 4 5 3 5" xfId="35446"/>
    <cellStyle name="표준 10 4 5 3 5 2" xfId="35447"/>
    <cellStyle name="표준 10 4 5 3 5 3" xfId="35448"/>
    <cellStyle name="표준 10 4 5 3 6" xfId="35449"/>
    <cellStyle name="표준 10 4 5 3 7" xfId="35450"/>
    <cellStyle name="표준 10 4 5 4" xfId="35451"/>
    <cellStyle name="표준 10 4 5 4 2" xfId="35452"/>
    <cellStyle name="표준 10 4 5 4 2 2" xfId="35453"/>
    <cellStyle name="표준 10 4 5 4 2 2 2" xfId="35454"/>
    <cellStyle name="표준 10 4 5 4 2 2 3" xfId="35455"/>
    <cellStyle name="표준 10 4 5 4 2 3" xfId="35456"/>
    <cellStyle name="표준 10 4 5 4 2 4" xfId="35457"/>
    <cellStyle name="표준 10 4 5 4 3" xfId="35458"/>
    <cellStyle name="표준 10 4 5 4 3 2" xfId="35459"/>
    <cellStyle name="표준 10 4 5 4 3 3" xfId="35460"/>
    <cellStyle name="표준 10 4 5 4 4" xfId="35461"/>
    <cellStyle name="표준 10 4 5 4 5" xfId="35462"/>
    <cellStyle name="표준 10 4 5 5" xfId="35463"/>
    <cellStyle name="표준 10 4 5 5 2" xfId="35464"/>
    <cellStyle name="표준 10 4 5 5 2 2" xfId="35465"/>
    <cellStyle name="표준 10 4 5 5 2 2 2" xfId="35466"/>
    <cellStyle name="표준 10 4 5 5 2 2 3" xfId="35467"/>
    <cellStyle name="표준 10 4 5 5 2 3" xfId="35468"/>
    <cellStyle name="표준 10 4 5 5 2 4" xfId="35469"/>
    <cellStyle name="표준 10 4 5 5 3" xfId="35470"/>
    <cellStyle name="표준 10 4 5 5 3 2" xfId="35471"/>
    <cellStyle name="표준 10 4 5 5 3 3" xfId="35472"/>
    <cellStyle name="표준 10 4 5 5 4" xfId="35473"/>
    <cellStyle name="표준 10 4 5 5 5" xfId="35474"/>
    <cellStyle name="표준 10 4 5 6" xfId="35475"/>
    <cellStyle name="표준 10 4 5 6 2" xfId="35476"/>
    <cellStyle name="표준 10 4 5 6 2 2" xfId="35477"/>
    <cellStyle name="표준 10 4 5 6 2 2 2" xfId="35478"/>
    <cellStyle name="표준 10 4 5 6 2 2 3" xfId="35479"/>
    <cellStyle name="표준 10 4 5 6 2 3" xfId="35480"/>
    <cellStyle name="표준 10 4 5 6 2 4" xfId="35481"/>
    <cellStyle name="표준 10 4 5 6 3" xfId="35482"/>
    <cellStyle name="표준 10 4 5 6 3 2" xfId="35483"/>
    <cellStyle name="표준 10 4 5 6 3 3" xfId="35484"/>
    <cellStyle name="표준 10 4 5 6 4" xfId="35485"/>
    <cellStyle name="표준 10 4 5 6 5" xfId="35486"/>
    <cellStyle name="표준 10 4 5 7" xfId="35487"/>
    <cellStyle name="표준 10 4 5 7 2" xfId="35488"/>
    <cellStyle name="표준 10 4 5 7 2 2" xfId="35489"/>
    <cellStyle name="표준 10 4 5 7 2 3" xfId="35490"/>
    <cellStyle name="표준 10 4 5 7 3" xfId="35491"/>
    <cellStyle name="표준 10 4 5 7 4" xfId="35492"/>
    <cellStyle name="표준 10 4 5 8" xfId="35493"/>
    <cellStyle name="표준 10 4 5 8 2" xfId="35494"/>
    <cellStyle name="표준 10 4 5 8 3" xfId="35495"/>
    <cellStyle name="표준 10 4 5 9" xfId="35496"/>
    <cellStyle name="표준 10 4 6" xfId="35497"/>
    <cellStyle name="표준 10 4 6 2" xfId="35498"/>
    <cellStyle name="표준 10 4 6 2 2" xfId="35499"/>
    <cellStyle name="표준 10 4 6 2 2 2" xfId="35500"/>
    <cellStyle name="표준 10 4 6 2 2 2 2" xfId="35501"/>
    <cellStyle name="표준 10 4 6 2 2 2 3" xfId="35502"/>
    <cellStyle name="표준 10 4 6 2 2 3" xfId="35503"/>
    <cellStyle name="표준 10 4 6 2 2 4" xfId="35504"/>
    <cellStyle name="표준 10 4 6 2 3" xfId="35505"/>
    <cellStyle name="표준 10 4 6 2 3 2" xfId="35506"/>
    <cellStyle name="표준 10 4 6 2 3 3" xfId="35507"/>
    <cellStyle name="표준 10 4 6 2 4" xfId="35508"/>
    <cellStyle name="표준 10 4 6 2 5" xfId="35509"/>
    <cellStyle name="표준 10 4 6 3" xfId="35510"/>
    <cellStyle name="표준 10 4 6 3 2" xfId="35511"/>
    <cellStyle name="표준 10 4 6 3 2 2" xfId="35512"/>
    <cellStyle name="표준 10 4 6 3 2 2 2" xfId="35513"/>
    <cellStyle name="표준 10 4 6 3 2 2 3" xfId="35514"/>
    <cellStyle name="표준 10 4 6 3 2 3" xfId="35515"/>
    <cellStyle name="표준 10 4 6 3 2 4" xfId="35516"/>
    <cellStyle name="표준 10 4 6 3 3" xfId="35517"/>
    <cellStyle name="표준 10 4 6 3 3 2" xfId="35518"/>
    <cellStyle name="표준 10 4 6 3 3 3" xfId="35519"/>
    <cellStyle name="표준 10 4 6 3 4" xfId="35520"/>
    <cellStyle name="표준 10 4 6 3 5" xfId="35521"/>
    <cellStyle name="표준 10 4 6 4" xfId="35522"/>
    <cellStyle name="표준 10 4 6 4 2" xfId="35523"/>
    <cellStyle name="표준 10 4 6 4 2 2" xfId="35524"/>
    <cellStyle name="표준 10 4 6 4 2 3" xfId="35525"/>
    <cellStyle name="표준 10 4 6 4 3" xfId="35526"/>
    <cellStyle name="표준 10 4 6 4 4" xfId="35527"/>
    <cellStyle name="표준 10 4 6 5" xfId="35528"/>
    <cellStyle name="표준 10 4 6 5 2" xfId="35529"/>
    <cellStyle name="표준 10 4 6 5 3" xfId="35530"/>
    <cellStyle name="표준 10 4 6 6" xfId="35531"/>
    <cellStyle name="표준 10 4 6 7" xfId="35532"/>
    <cellStyle name="표준 10 4 7" xfId="35533"/>
    <cellStyle name="표준 10 4 7 2" xfId="35534"/>
    <cellStyle name="표준 10 4 7 2 2" xfId="35535"/>
    <cellStyle name="표준 10 4 7 2 2 2" xfId="35536"/>
    <cellStyle name="표준 10 4 7 2 2 2 2" xfId="35537"/>
    <cellStyle name="표준 10 4 7 2 2 2 3" xfId="35538"/>
    <cellStyle name="표준 10 4 7 2 2 3" xfId="35539"/>
    <cellStyle name="표준 10 4 7 2 2 4" xfId="35540"/>
    <cellStyle name="표준 10 4 7 2 3" xfId="35541"/>
    <cellStyle name="표준 10 4 7 2 3 2" xfId="35542"/>
    <cellStyle name="표준 10 4 7 2 3 3" xfId="35543"/>
    <cellStyle name="표준 10 4 7 2 4" xfId="35544"/>
    <cellStyle name="표준 10 4 7 2 5" xfId="35545"/>
    <cellStyle name="표준 10 4 7 3" xfId="35546"/>
    <cellStyle name="표준 10 4 7 3 2" xfId="35547"/>
    <cellStyle name="표준 10 4 7 3 2 2" xfId="35548"/>
    <cellStyle name="표준 10 4 7 3 2 2 2" xfId="35549"/>
    <cellStyle name="표준 10 4 7 3 2 2 3" xfId="35550"/>
    <cellStyle name="표준 10 4 7 3 2 3" xfId="35551"/>
    <cellStyle name="표준 10 4 7 3 2 4" xfId="35552"/>
    <cellStyle name="표준 10 4 7 3 3" xfId="35553"/>
    <cellStyle name="표준 10 4 7 3 3 2" xfId="35554"/>
    <cellStyle name="표준 10 4 7 3 3 3" xfId="35555"/>
    <cellStyle name="표준 10 4 7 3 4" xfId="35556"/>
    <cellStyle name="표준 10 4 7 3 5" xfId="35557"/>
    <cellStyle name="표준 10 4 7 4" xfId="35558"/>
    <cellStyle name="표준 10 4 7 4 2" xfId="35559"/>
    <cellStyle name="표준 10 4 7 4 2 2" xfId="35560"/>
    <cellStyle name="표준 10 4 7 4 2 3" xfId="35561"/>
    <cellStyle name="표준 10 4 7 4 3" xfId="35562"/>
    <cellStyle name="표준 10 4 7 4 4" xfId="35563"/>
    <cellStyle name="표준 10 4 7 5" xfId="35564"/>
    <cellStyle name="표준 10 4 7 5 2" xfId="35565"/>
    <cellStyle name="표준 10 4 7 5 3" xfId="35566"/>
    <cellStyle name="표준 10 4 7 6" xfId="35567"/>
    <cellStyle name="표준 10 4 7 7" xfId="35568"/>
    <cellStyle name="표준 10 4 8" xfId="35569"/>
    <cellStyle name="표준 10 4 8 2" xfId="35570"/>
    <cellStyle name="표준 10 4 8 2 2" xfId="35571"/>
    <cellStyle name="표준 10 4 8 2 2 2" xfId="35572"/>
    <cellStyle name="표준 10 4 8 2 2 3" xfId="35573"/>
    <cellStyle name="표준 10 4 8 2 3" xfId="35574"/>
    <cellStyle name="표준 10 4 8 2 4" xfId="35575"/>
    <cellStyle name="표준 10 4 8 3" xfId="35576"/>
    <cellStyle name="표준 10 4 8 3 2" xfId="35577"/>
    <cellStyle name="표준 10 4 8 3 3" xfId="35578"/>
    <cellStyle name="표준 10 4 8 4" xfId="35579"/>
    <cellStyle name="표준 10 4 8 5" xfId="35580"/>
    <cellStyle name="표준 10 4 9" xfId="35581"/>
    <cellStyle name="표준 10 4 9 2" xfId="35582"/>
    <cellStyle name="표준 10 4 9 2 2" xfId="35583"/>
    <cellStyle name="표준 10 4 9 2 2 2" xfId="35584"/>
    <cellStyle name="표준 10 4 9 2 2 3" xfId="35585"/>
    <cellStyle name="표준 10 4 9 2 3" xfId="35586"/>
    <cellStyle name="표준 10 4 9 2 4" xfId="35587"/>
    <cellStyle name="표준 10 4 9 3" xfId="35588"/>
    <cellStyle name="표준 10 4 9 3 2" xfId="35589"/>
    <cellStyle name="표준 10 4 9 3 3" xfId="35590"/>
    <cellStyle name="표준 10 4 9 4" xfId="35591"/>
    <cellStyle name="표준 10 4 9 5" xfId="35592"/>
    <cellStyle name="표준 10 5" xfId="35593"/>
    <cellStyle name="표준 10 5 10" xfId="35594"/>
    <cellStyle name="표준 10 5 10 2" xfId="35595"/>
    <cellStyle name="표준 10 5 10 2 2" xfId="35596"/>
    <cellStyle name="표준 10 5 10 2 3" xfId="35597"/>
    <cellStyle name="표준 10 5 10 3" xfId="35598"/>
    <cellStyle name="표준 10 5 10 4" xfId="35599"/>
    <cellStyle name="표준 10 5 11" xfId="35600"/>
    <cellStyle name="표준 10 5 11 2" xfId="35601"/>
    <cellStyle name="표준 10 5 11 3" xfId="35602"/>
    <cellStyle name="표준 10 5 12" xfId="35603"/>
    <cellStyle name="표준 10 5 13" xfId="35604"/>
    <cellStyle name="표준 10 5 2" xfId="35605"/>
    <cellStyle name="표준 10 5 2 10" xfId="35606"/>
    <cellStyle name="표준 10 5 2 2" xfId="35607"/>
    <cellStyle name="표준 10 5 2 2 2" xfId="35608"/>
    <cellStyle name="표준 10 5 2 2 2 2" xfId="35609"/>
    <cellStyle name="표준 10 5 2 2 2 2 2" xfId="35610"/>
    <cellStyle name="표준 10 5 2 2 2 2 2 2" xfId="35611"/>
    <cellStyle name="표준 10 5 2 2 2 2 2 3" xfId="35612"/>
    <cellStyle name="표준 10 5 2 2 2 2 3" xfId="35613"/>
    <cellStyle name="표준 10 5 2 2 2 2 4" xfId="35614"/>
    <cellStyle name="표준 10 5 2 2 2 3" xfId="35615"/>
    <cellStyle name="표준 10 5 2 2 2 3 2" xfId="35616"/>
    <cellStyle name="표준 10 5 2 2 2 3 3" xfId="35617"/>
    <cellStyle name="표준 10 5 2 2 2 4" xfId="35618"/>
    <cellStyle name="표준 10 5 2 2 2 5" xfId="35619"/>
    <cellStyle name="표준 10 5 2 2 3" xfId="35620"/>
    <cellStyle name="표준 10 5 2 2 3 2" xfId="35621"/>
    <cellStyle name="표준 10 5 2 2 3 2 2" xfId="35622"/>
    <cellStyle name="표준 10 5 2 2 3 2 2 2" xfId="35623"/>
    <cellStyle name="표준 10 5 2 2 3 2 2 3" xfId="35624"/>
    <cellStyle name="표준 10 5 2 2 3 2 3" xfId="35625"/>
    <cellStyle name="표준 10 5 2 2 3 2 4" xfId="35626"/>
    <cellStyle name="표준 10 5 2 2 3 3" xfId="35627"/>
    <cellStyle name="표준 10 5 2 2 3 3 2" xfId="35628"/>
    <cellStyle name="표준 10 5 2 2 3 3 3" xfId="35629"/>
    <cellStyle name="표준 10 5 2 2 3 4" xfId="35630"/>
    <cellStyle name="표준 10 5 2 2 3 5" xfId="35631"/>
    <cellStyle name="표준 10 5 2 2 4" xfId="35632"/>
    <cellStyle name="표준 10 5 2 2 4 2" xfId="35633"/>
    <cellStyle name="표준 10 5 2 2 4 2 2" xfId="35634"/>
    <cellStyle name="표준 10 5 2 2 4 2 3" xfId="35635"/>
    <cellStyle name="표준 10 5 2 2 4 3" xfId="35636"/>
    <cellStyle name="표준 10 5 2 2 4 4" xfId="35637"/>
    <cellStyle name="표준 10 5 2 2 5" xfId="35638"/>
    <cellStyle name="표준 10 5 2 2 5 2" xfId="35639"/>
    <cellStyle name="표준 10 5 2 2 5 3" xfId="35640"/>
    <cellStyle name="표준 10 5 2 2 6" xfId="35641"/>
    <cellStyle name="표준 10 5 2 2 7" xfId="35642"/>
    <cellStyle name="표준 10 5 2 3" xfId="35643"/>
    <cellStyle name="표준 10 5 2 3 2" xfId="35644"/>
    <cellStyle name="표준 10 5 2 3 2 2" xfId="35645"/>
    <cellStyle name="표준 10 5 2 3 2 2 2" xfId="35646"/>
    <cellStyle name="표준 10 5 2 3 2 2 2 2" xfId="35647"/>
    <cellStyle name="표준 10 5 2 3 2 2 2 3" xfId="35648"/>
    <cellStyle name="표준 10 5 2 3 2 2 3" xfId="35649"/>
    <cellStyle name="표준 10 5 2 3 2 2 4" xfId="35650"/>
    <cellStyle name="표준 10 5 2 3 2 3" xfId="35651"/>
    <cellStyle name="표준 10 5 2 3 2 3 2" xfId="35652"/>
    <cellStyle name="표준 10 5 2 3 2 3 3" xfId="35653"/>
    <cellStyle name="표준 10 5 2 3 2 4" xfId="35654"/>
    <cellStyle name="표준 10 5 2 3 2 5" xfId="35655"/>
    <cellStyle name="표준 10 5 2 3 3" xfId="35656"/>
    <cellStyle name="표준 10 5 2 3 3 2" xfId="35657"/>
    <cellStyle name="표준 10 5 2 3 3 2 2" xfId="35658"/>
    <cellStyle name="표준 10 5 2 3 3 2 2 2" xfId="35659"/>
    <cellStyle name="표준 10 5 2 3 3 2 2 3" xfId="35660"/>
    <cellStyle name="표준 10 5 2 3 3 2 3" xfId="35661"/>
    <cellStyle name="표준 10 5 2 3 3 2 4" xfId="35662"/>
    <cellStyle name="표준 10 5 2 3 3 3" xfId="35663"/>
    <cellStyle name="표준 10 5 2 3 3 3 2" xfId="35664"/>
    <cellStyle name="표준 10 5 2 3 3 3 3" xfId="35665"/>
    <cellStyle name="표준 10 5 2 3 3 4" xfId="35666"/>
    <cellStyle name="표준 10 5 2 3 3 5" xfId="35667"/>
    <cellStyle name="표준 10 5 2 3 4" xfId="35668"/>
    <cellStyle name="표준 10 5 2 3 4 2" xfId="35669"/>
    <cellStyle name="표준 10 5 2 3 4 2 2" xfId="35670"/>
    <cellStyle name="표준 10 5 2 3 4 2 3" xfId="35671"/>
    <cellStyle name="표준 10 5 2 3 4 3" xfId="35672"/>
    <cellStyle name="표준 10 5 2 3 4 4" xfId="35673"/>
    <cellStyle name="표준 10 5 2 3 5" xfId="35674"/>
    <cellStyle name="표준 10 5 2 3 5 2" xfId="35675"/>
    <cellStyle name="표준 10 5 2 3 5 3" xfId="35676"/>
    <cellStyle name="표준 10 5 2 3 6" xfId="35677"/>
    <cellStyle name="표준 10 5 2 3 7" xfId="35678"/>
    <cellStyle name="표준 10 5 2 4" xfId="35679"/>
    <cellStyle name="표준 10 5 2 4 2" xfId="35680"/>
    <cellStyle name="표준 10 5 2 4 2 2" xfId="35681"/>
    <cellStyle name="표준 10 5 2 4 2 2 2" xfId="35682"/>
    <cellStyle name="표준 10 5 2 4 2 2 3" xfId="35683"/>
    <cellStyle name="표준 10 5 2 4 2 3" xfId="35684"/>
    <cellStyle name="표준 10 5 2 4 2 4" xfId="35685"/>
    <cellStyle name="표준 10 5 2 4 3" xfId="35686"/>
    <cellStyle name="표준 10 5 2 4 3 2" xfId="35687"/>
    <cellStyle name="표준 10 5 2 4 3 3" xfId="35688"/>
    <cellStyle name="표준 10 5 2 4 4" xfId="35689"/>
    <cellStyle name="표준 10 5 2 4 5" xfId="35690"/>
    <cellStyle name="표준 10 5 2 5" xfId="35691"/>
    <cellStyle name="표준 10 5 2 5 2" xfId="35692"/>
    <cellStyle name="표준 10 5 2 5 2 2" xfId="35693"/>
    <cellStyle name="표준 10 5 2 5 2 2 2" xfId="35694"/>
    <cellStyle name="표준 10 5 2 5 2 2 3" xfId="35695"/>
    <cellStyle name="표준 10 5 2 5 2 3" xfId="35696"/>
    <cellStyle name="표준 10 5 2 5 2 4" xfId="35697"/>
    <cellStyle name="표준 10 5 2 5 3" xfId="35698"/>
    <cellStyle name="표준 10 5 2 5 3 2" xfId="35699"/>
    <cellStyle name="표준 10 5 2 5 3 3" xfId="35700"/>
    <cellStyle name="표준 10 5 2 5 4" xfId="35701"/>
    <cellStyle name="표준 10 5 2 5 5" xfId="35702"/>
    <cellStyle name="표준 10 5 2 6" xfId="35703"/>
    <cellStyle name="표준 10 5 2 6 2" xfId="35704"/>
    <cellStyle name="표준 10 5 2 6 2 2" xfId="35705"/>
    <cellStyle name="표준 10 5 2 6 2 2 2" xfId="35706"/>
    <cellStyle name="표준 10 5 2 6 2 2 3" xfId="35707"/>
    <cellStyle name="표준 10 5 2 6 2 3" xfId="35708"/>
    <cellStyle name="표준 10 5 2 6 2 4" xfId="35709"/>
    <cellStyle name="표준 10 5 2 6 3" xfId="35710"/>
    <cellStyle name="표준 10 5 2 6 3 2" xfId="35711"/>
    <cellStyle name="표준 10 5 2 6 3 3" xfId="35712"/>
    <cellStyle name="표준 10 5 2 6 4" xfId="35713"/>
    <cellStyle name="표준 10 5 2 6 5" xfId="35714"/>
    <cellStyle name="표준 10 5 2 7" xfId="35715"/>
    <cellStyle name="표준 10 5 2 7 2" xfId="35716"/>
    <cellStyle name="표준 10 5 2 7 2 2" xfId="35717"/>
    <cellStyle name="표준 10 5 2 7 2 3" xfId="35718"/>
    <cellStyle name="표준 10 5 2 7 3" xfId="35719"/>
    <cellStyle name="표준 10 5 2 7 4" xfId="35720"/>
    <cellStyle name="표준 10 5 2 8" xfId="35721"/>
    <cellStyle name="표준 10 5 2 8 2" xfId="35722"/>
    <cellStyle name="표준 10 5 2 8 3" xfId="35723"/>
    <cellStyle name="표준 10 5 2 9" xfId="35724"/>
    <cellStyle name="표준 10 5 3" xfId="35725"/>
    <cellStyle name="표준 10 5 3 10" xfId="35726"/>
    <cellStyle name="표준 10 5 3 2" xfId="35727"/>
    <cellStyle name="표준 10 5 3 2 2" xfId="35728"/>
    <cellStyle name="표준 10 5 3 2 2 2" xfId="35729"/>
    <cellStyle name="표준 10 5 3 2 2 2 2" xfId="35730"/>
    <cellStyle name="표준 10 5 3 2 2 2 2 2" xfId="35731"/>
    <cellStyle name="표준 10 5 3 2 2 2 2 3" xfId="35732"/>
    <cellStyle name="표준 10 5 3 2 2 2 3" xfId="35733"/>
    <cellStyle name="표준 10 5 3 2 2 2 4" xfId="35734"/>
    <cellStyle name="표준 10 5 3 2 2 3" xfId="35735"/>
    <cellStyle name="표준 10 5 3 2 2 3 2" xfId="35736"/>
    <cellStyle name="표준 10 5 3 2 2 3 3" xfId="35737"/>
    <cellStyle name="표준 10 5 3 2 2 4" xfId="35738"/>
    <cellStyle name="표준 10 5 3 2 2 5" xfId="35739"/>
    <cellStyle name="표준 10 5 3 2 3" xfId="35740"/>
    <cellStyle name="표준 10 5 3 2 3 2" xfId="35741"/>
    <cellStyle name="표준 10 5 3 2 3 2 2" xfId="35742"/>
    <cellStyle name="표준 10 5 3 2 3 2 2 2" xfId="35743"/>
    <cellStyle name="표준 10 5 3 2 3 2 2 3" xfId="35744"/>
    <cellStyle name="표준 10 5 3 2 3 2 3" xfId="35745"/>
    <cellStyle name="표준 10 5 3 2 3 2 4" xfId="35746"/>
    <cellStyle name="표준 10 5 3 2 3 3" xfId="35747"/>
    <cellStyle name="표준 10 5 3 2 3 3 2" xfId="35748"/>
    <cellStyle name="표준 10 5 3 2 3 3 3" xfId="35749"/>
    <cellStyle name="표준 10 5 3 2 3 4" xfId="35750"/>
    <cellStyle name="표준 10 5 3 2 3 5" xfId="35751"/>
    <cellStyle name="표준 10 5 3 2 4" xfId="35752"/>
    <cellStyle name="표준 10 5 3 2 4 2" xfId="35753"/>
    <cellStyle name="표준 10 5 3 2 4 2 2" xfId="35754"/>
    <cellStyle name="표준 10 5 3 2 4 2 3" xfId="35755"/>
    <cellStyle name="표준 10 5 3 2 4 3" xfId="35756"/>
    <cellStyle name="표준 10 5 3 2 4 4" xfId="35757"/>
    <cellStyle name="표준 10 5 3 2 5" xfId="35758"/>
    <cellStyle name="표준 10 5 3 2 5 2" xfId="35759"/>
    <cellStyle name="표준 10 5 3 2 5 3" xfId="35760"/>
    <cellStyle name="표준 10 5 3 2 6" xfId="35761"/>
    <cellStyle name="표준 10 5 3 2 7" xfId="35762"/>
    <cellStyle name="표준 10 5 3 3" xfId="35763"/>
    <cellStyle name="표준 10 5 3 3 2" xfId="35764"/>
    <cellStyle name="표준 10 5 3 3 2 2" xfId="35765"/>
    <cellStyle name="표준 10 5 3 3 2 2 2" xfId="35766"/>
    <cellStyle name="표준 10 5 3 3 2 2 2 2" xfId="35767"/>
    <cellStyle name="표준 10 5 3 3 2 2 2 3" xfId="35768"/>
    <cellStyle name="표준 10 5 3 3 2 2 3" xfId="35769"/>
    <cellStyle name="표준 10 5 3 3 2 2 4" xfId="35770"/>
    <cellStyle name="표준 10 5 3 3 2 3" xfId="35771"/>
    <cellStyle name="표준 10 5 3 3 2 3 2" xfId="35772"/>
    <cellStyle name="표준 10 5 3 3 2 3 3" xfId="35773"/>
    <cellStyle name="표준 10 5 3 3 2 4" xfId="35774"/>
    <cellStyle name="표준 10 5 3 3 2 5" xfId="35775"/>
    <cellStyle name="표준 10 5 3 3 3" xfId="35776"/>
    <cellStyle name="표준 10 5 3 3 3 2" xfId="35777"/>
    <cellStyle name="표준 10 5 3 3 3 2 2" xfId="35778"/>
    <cellStyle name="표준 10 5 3 3 3 2 2 2" xfId="35779"/>
    <cellStyle name="표준 10 5 3 3 3 2 2 3" xfId="35780"/>
    <cellStyle name="표준 10 5 3 3 3 2 3" xfId="35781"/>
    <cellStyle name="표준 10 5 3 3 3 2 4" xfId="35782"/>
    <cellStyle name="표준 10 5 3 3 3 3" xfId="35783"/>
    <cellStyle name="표준 10 5 3 3 3 3 2" xfId="35784"/>
    <cellStyle name="표준 10 5 3 3 3 3 3" xfId="35785"/>
    <cellStyle name="표준 10 5 3 3 3 4" xfId="35786"/>
    <cellStyle name="표준 10 5 3 3 3 5" xfId="35787"/>
    <cellStyle name="표준 10 5 3 3 4" xfId="35788"/>
    <cellStyle name="표준 10 5 3 3 4 2" xfId="35789"/>
    <cellStyle name="표준 10 5 3 3 4 2 2" xfId="35790"/>
    <cellStyle name="표준 10 5 3 3 4 2 3" xfId="35791"/>
    <cellStyle name="표준 10 5 3 3 4 3" xfId="35792"/>
    <cellStyle name="표준 10 5 3 3 4 4" xfId="35793"/>
    <cellStyle name="표준 10 5 3 3 5" xfId="35794"/>
    <cellStyle name="표준 10 5 3 3 5 2" xfId="35795"/>
    <cellStyle name="표준 10 5 3 3 5 3" xfId="35796"/>
    <cellStyle name="표준 10 5 3 3 6" xfId="35797"/>
    <cellStyle name="표준 10 5 3 3 7" xfId="35798"/>
    <cellStyle name="표준 10 5 3 4" xfId="35799"/>
    <cellStyle name="표준 10 5 3 4 2" xfId="35800"/>
    <cellStyle name="표준 10 5 3 4 2 2" xfId="35801"/>
    <cellStyle name="표준 10 5 3 4 2 2 2" xfId="35802"/>
    <cellStyle name="표준 10 5 3 4 2 2 3" xfId="35803"/>
    <cellStyle name="표준 10 5 3 4 2 3" xfId="35804"/>
    <cellStyle name="표준 10 5 3 4 2 4" xfId="35805"/>
    <cellStyle name="표준 10 5 3 4 3" xfId="35806"/>
    <cellStyle name="표준 10 5 3 4 3 2" xfId="35807"/>
    <cellStyle name="표준 10 5 3 4 3 3" xfId="35808"/>
    <cellStyle name="표준 10 5 3 4 4" xfId="35809"/>
    <cellStyle name="표준 10 5 3 4 5" xfId="35810"/>
    <cellStyle name="표준 10 5 3 5" xfId="35811"/>
    <cellStyle name="표준 10 5 3 5 2" xfId="35812"/>
    <cellStyle name="표준 10 5 3 5 2 2" xfId="35813"/>
    <cellStyle name="표준 10 5 3 5 2 2 2" xfId="35814"/>
    <cellStyle name="표준 10 5 3 5 2 2 3" xfId="35815"/>
    <cellStyle name="표준 10 5 3 5 2 3" xfId="35816"/>
    <cellStyle name="표준 10 5 3 5 2 4" xfId="35817"/>
    <cellStyle name="표준 10 5 3 5 3" xfId="35818"/>
    <cellStyle name="표준 10 5 3 5 3 2" xfId="35819"/>
    <cellStyle name="표준 10 5 3 5 3 3" xfId="35820"/>
    <cellStyle name="표준 10 5 3 5 4" xfId="35821"/>
    <cellStyle name="표준 10 5 3 5 5" xfId="35822"/>
    <cellStyle name="표준 10 5 3 6" xfId="35823"/>
    <cellStyle name="표준 10 5 3 6 2" xfId="35824"/>
    <cellStyle name="표준 10 5 3 6 2 2" xfId="35825"/>
    <cellStyle name="표준 10 5 3 6 2 2 2" xfId="35826"/>
    <cellStyle name="표준 10 5 3 6 2 2 3" xfId="35827"/>
    <cellStyle name="표준 10 5 3 6 2 3" xfId="35828"/>
    <cellStyle name="표준 10 5 3 6 2 4" xfId="35829"/>
    <cellStyle name="표준 10 5 3 6 3" xfId="35830"/>
    <cellStyle name="표준 10 5 3 6 3 2" xfId="35831"/>
    <cellStyle name="표준 10 5 3 6 3 3" xfId="35832"/>
    <cellStyle name="표준 10 5 3 6 4" xfId="35833"/>
    <cellStyle name="표준 10 5 3 6 5" xfId="35834"/>
    <cellStyle name="표준 10 5 3 7" xfId="35835"/>
    <cellStyle name="표준 10 5 3 7 2" xfId="35836"/>
    <cellStyle name="표준 10 5 3 7 2 2" xfId="35837"/>
    <cellStyle name="표준 10 5 3 7 2 3" xfId="35838"/>
    <cellStyle name="표준 10 5 3 7 3" xfId="35839"/>
    <cellStyle name="표준 10 5 3 7 4" xfId="35840"/>
    <cellStyle name="표준 10 5 3 8" xfId="35841"/>
    <cellStyle name="표준 10 5 3 8 2" xfId="35842"/>
    <cellStyle name="표준 10 5 3 8 3" xfId="35843"/>
    <cellStyle name="표준 10 5 3 9" xfId="35844"/>
    <cellStyle name="표준 10 5 4" xfId="35845"/>
    <cellStyle name="표준 10 5 4 10" xfId="35846"/>
    <cellStyle name="표준 10 5 4 2" xfId="35847"/>
    <cellStyle name="표준 10 5 4 2 2" xfId="35848"/>
    <cellStyle name="표준 10 5 4 2 2 2" xfId="35849"/>
    <cellStyle name="표준 10 5 4 2 2 2 2" xfId="35850"/>
    <cellStyle name="표준 10 5 4 2 2 2 2 2" xfId="35851"/>
    <cellStyle name="표준 10 5 4 2 2 2 2 3" xfId="35852"/>
    <cellStyle name="표준 10 5 4 2 2 2 3" xfId="35853"/>
    <cellStyle name="표준 10 5 4 2 2 2 4" xfId="35854"/>
    <cellStyle name="표준 10 5 4 2 2 3" xfId="35855"/>
    <cellStyle name="표준 10 5 4 2 2 3 2" xfId="35856"/>
    <cellStyle name="표준 10 5 4 2 2 3 3" xfId="35857"/>
    <cellStyle name="표준 10 5 4 2 2 4" xfId="35858"/>
    <cellStyle name="표준 10 5 4 2 2 5" xfId="35859"/>
    <cellStyle name="표준 10 5 4 2 3" xfId="35860"/>
    <cellStyle name="표준 10 5 4 2 3 2" xfId="35861"/>
    <cellStyle name="표준 10 5 4 2 3 2 2" xfId="35862"/>
    <cellStyle name="표준 10 5 4 2 3 2 2 2" xfId="35863"/>
    <cellStyle name="표준 10 5 4 2 3 2 2 3" xfId="35864"/>
    <cellStyle name="표준 10 5 4 2 3 2 3" xfId="35865"/>
    <cellStyle name="표준 10 5 4 2 3 2 4" xfId="35866"/>
    <cellStyle name="표준 10 5 4 2 3 3" xfId="35867"/>
    <cellStyle name="표준 10 5 4 2 3 3 2" xfId="35868"/>
    <cellStyle name="표준 10 5 4 2 3 3 3" xfId="35869"/>
    <cellStyle name="표준 10 5 4 2 3 4" xfId="35870"/>
    <cellStyle name="표준 10 5 4 2 3 5" xfId="35871"/>
    <cellStyle name="표준 10 5 4 2 4" xfId="35872"/>
    <cellStyle name="표준 10 5 4 2 4 2" xfId="35873"/>
    <cellStyle name="표준 10 5 4 2 4 2 2" xfId="35874"/>
    <cellStyle name="표준 10 5 4 2 4 2 3" xfId="35875"/>
    <cellStyle name="표준 10 5 4 2 4 3" xfId="35876"/>
    <cellStyle name="표준 10 5 4 2 4 4" xfId="35877"/>
    <cellStyle name="표준 10 5 4 2 5" xfId="35878"/>
    <cellStyle name="표준 10 5 4 2 5 2" xfId="35879"/>
    <cellStyle name="표준 10 5 4 2 5 3" xfId="35880"/>
    <cellStyle name="표준 10 5 4 2 6" xfId="35881"/>
    <cellStyle name="표준 10 5 4 2 7" xfId="35882"/>
    <cellStyle name="표준 10 5 4 3" xfId="35883"/>
    <cellStyle name="표준 10 5 4 3 2" xfId="35884"/>
    <cellStyle name="표준 10 5 4 3 2 2" xfId="35885"/>
    <cellStyle name="표준 10 5 4 3 2 2 2" xfId="35886"/>
    <cellStyle name="표준 10 5 4 3 2 2 2 2" xfId="35887"/>
    <cellStyle name="표준 10 5 4 3 2 2 2 3" xfId="35888"/>
    <cellStyle name="표준 10 5 4 3 2 2 3" xfId="35889"/>
    <cellStyle name="표준 10 5 4 3 2 2 4" xfId="35890"/>
    <cellStyle name="표준 10 5 4 3 2 3" xfId="35891"/>
    <cellStyle name="표준 10 5 4 3 2 3 2" xfId="35892"/>
    <cellStyle name="표준 10 5 4 3 2 3 3" xfId="35893"/>
    <cellStyle name="표준 10 5 4 3 2 4" xfId="35894"/>
    <cellStyle name="표준 10 5 4 3 2 5" xfId="35895"/>
    <cellStyle name="표준 10 5 4 3 3" xfId="35896"/>
    <cellStyle name="표준 10 5 4 3 3 2" xfId="35897"/>
    <cellStyle name="표준 10 5 4 3 3 2 2" xfId="35898"/>
    <cellStyle name="표준 10 5 4 3 3 2 2 2" xfId="35899"/>
    <cellStyle name="표준 10 5 4 3 3 2 2 3" xfId="35900"/>
    <cellStyle name="표준 10 5 4 3 3 2 3" xfId="35901"/>
    <cellStyle name="표준 10 5 4 3 3 2 4" xfId="35902"/>
    <cellStyle name="표준 10 5 4 3 3 3" xfId="35903"/>
    <cellStyle name="표준 10 5 4 3 3 3 2" xfId="35904"/>
    <cellStyle name="표준 10 5 4 3 3 3 3" xfId="35905"/>
    <cellStyle name="표준 10 5 4 3 3 4" xfId="35906"/>
    <cellStyle name="표준 10 5 4 3 3 5" xfId="35907"/>
    <cellStyle name="표준 10 5 4 3 4" xfId="35908"/>
    <cellStyle name="표준 10 5 4 3 4 2" xfId="35909"/>
    <cellStyle name="표준 10 5 4 3 4 2 2" xfId="35910"/>
    <cellStyle name="표준 10 5 4 3 4 2 3" xfId="35911"/>
    <cellStyle name="표준 10 5 4 3 4 3" xfId="35912"/>
    <cellStyle name="표준 10 5 4 3 4 4" xfId="35913"/>
    <cellStyle name="표준 10 5 4 3 5" xfId="35914"/>
    <cellStyle name="표준 10 5 4 3 5 2" xfId="35915"/>
    <cellStyle name="표준 10 5 4 3 5 3" xfId="35916"/>
    <cellStyle name="표준 10 5 4 3 6" xfId="35917"/>
    <cellStyle name="표준 10 5 4 3 7" xfId="35918"/>
    <cellStyle name="표준 10 5 4 4" xfId="35919"/>
    <cellStyle name="표준 10 5 4 4 2" xfId="35920"/>
    <cellStyle name="표준 10 5 4 4 2 2" xfId="35921"/>
    <cellStyle name="표준 10 5 4 4 2 2 2" xfId="35922"/>
    <cellStyle name="표준 10 5 4 4 2 2 3" xfId="35923"/>
    <cellStyle name="표준 10 5 4 4 2 3" xfId="35924"/>
    <cellStyle name="표준 10 5 4 4 2 4" xfId="35925"/>
    <cellStyle name="표준 10 5 4 4 3" xfId="35926"/>
    <cellStyle name="표준 10 5 4 4 3 2" xfId="35927"/>
    <cellStyle name="표준 10 5 4 4 3 3" xfId="35928"/>
    <cellStyle name="표준 10 5 4 4 4" xfId="35929"/>
    <cellStyle name="표준 10 5 4 4 5" xfId="35930"/>
    <cellStyle name="표준 10 5 4 5" xfId="35931"/>
    <cellStyle name="표준 10 5 4 5 2" xfId="35932"/>
    <cellStyle name="표준 10 5 4 5 2 2" xfId="35933"/>
    <cellStyle name="표준 10 5 4 5 2 2 2" xfId="35934"/>
    <cellStyle name="표준 10 5 4 5 2 2 3" xfId="35935"/>
    <cellStyle name="표준 10 5 4 5 2 3" xfId="35936"/>
    <cellStyle name="표준 10 5 4 5 2 4" xfId="35937"/>
    <cellStyle name="표준 10 5 4 5 3" xfId="35938"/>
    <cellStyle name="표준 10 5 4 5 3 2" xfId="35939"/>
    <cellStyle name="표준 10 5 4 5 3 3" xfId="35940"/>
    <cellStyle name="표준 10 5 4 5 4" xfId="35941"/>
    <cellStyle name="표준 10 5 4 5 5" xfId="35942"/>
    <cellStyle name="표준 10 5 4 6" xfId="35943"/>
    <cellStyle name="표준 10 5 4 6 2" xfId="35944"/>
    <cellStyle name="표준 10 5 4 6 2 2" xfId="35945"/>
    <cellStyle name="표준 10 5 4 6 2 2 2" xfId="35946"/>
    <cellStyle name="표준 10 5 4 6 2 2 3" xfId="35947"/>
    <cellStyle name="표준 10 5 4 6 2 3" xfId="35948"/>
    <cellStyle name="표준 10 5 4 6 2 4" xfId="35949"/>
    <cellStyle name="표준 10 5 4 6 3" xfId="35950"/>
    <cellStyle name="표준 10 5 4 6 3 2" xfId="35951"/>
    <cellStyle name="표준 10 5 4 6 3 3" xfId="35952"/>
    <cellStyle name="표준 10 5 4 6 4" xfId="35953"/>
    <cellStyle name="표준 10 5 4 6 5" xfId="35954"/>
    <cellStyle name="표준 10 5 4 7" xfId="35955"/>
    <cellStyle name="표준 10 5 4 7 2" xfId="35956"/>
    <cellStyle name="표준 10 5 4 7 2 2" xfId="35957"/>
    <cellStyle name="표준 10 5 4 7 2 3" xfId="35958"/>
    <cellStyle name="표준 10 5 4 7 3" xfId="35959"/>
    <cellStyle name="표준 10 5 4 7 4" xfId="35960"/>
    <cellStyle name="표준 10 5 4 8" xfId="35961"/>
    <cellStyle name="표준 10 5 4 8 2" xfId="35962"/>
    <cellStyle name="표준 10 5 4 8 3" xfId="35963"/>
    <cellStyle name="표준 10 5 4 9" xfId="35964"/>
    <cellStyle name="표준 10 5 5" xfId="35965"/>
    <cellStyle name="표준 10 5 5 2" xfId="35966"/>
    <cellStyle name="표준 10 5 5 2 2" xfId="35967"/>
    <cellStyle name="표준 10 5 5 2 2 2" xfId="35968"/>
    <cellStyle name="표준 10 5 5 2 2 2 2" xfId="35969"/>
    <cellStyle name="표준 10 5 5 2 2 2 3" xfId="35970"/>
    <cellStyle name="표준 10 5 5 2 2 3" xfId="35971"/>
    <cellStyle name="표준 10 5 5 2 2 4" xfId="35972"/>
    <cellStyle name="표준 10 5 5 2 3" xfId="35973"/>
    <cellStyle name="표준 10 5 5 2 3 2" xfId="35974"/>
    <cellStyle name="표준 10 5 5 2 3 3" xfId="35975"/>
    <cellStyle name="표준 10 5 5 2 4" xfId="35976"/>
    <cellStyle name="표준 10 5 5 2 5" xfId="35977"/>
    <cellStyle name="표준 10 5 5 3" xfId="35978"/>
    <cellStyle name="표준 10 5 5 3 2" xfId="35979"/>
    <cellStyle name="표준 10 5 5 3 2 2" xfId="35980"/>
    <cellStyle name="표준 10 5 5 3 2 2 2" xfId="35981"/>
    <cellStyle name="표준 10 5 5 3 2 2 3" xfId="35982"/>
    <cellStyle name="표준 10 5 5 3 2 3" xfId="35983"/>
    <cellStyle name="표준 10 5 5 3 2 4" xfId="35984"/>
    <cellStyle name="표준 10 5 5 3 3" xfId="35985"/>
    <cellStyle name="표준 10 5 5 3 3 2" xfId="35986"/>
    <cellStyle name="표준 10 5 5 3 3 3" xfId="35987"/>
    <cellStyle name="표준 10 5 5 3 4" xfId="35988"/>
    <cellStyle name="표준 10 5 5 3 5" xfId="35989"/>
    <cellStyle name="표준 10 5 5 4" xfId="35990"/>
    <cellStyle name="표준 10 5 5 4 2" xfId="35991"/>
    <cellStyle name="표준 10 5 5 4 2 2" xfId="35992"/>
    <cellStyle name="표준 10 5 5 4 2 3" xfId="35993"/>
    <cellStyle name="표준 10 5 5 4 3" xfId="35994"/>
    <cellStyle name="표준 10 5 5 4 4" xfId="35995"/>
    <cellStyle name="표준 10 5 5 5" xfId="35996"/>
    <cellStyle name="표준 10 5 5 5 2" xfId="35997"/>
    <cellStyle name="표준 10 5 5 5 3" xfId="35998"/>
    <cellStyle name="표준 10 5 5 6" xfId="35999"/>
    <cellStyle name="표준 10 5 5 7" xfId="36000"/>
    <cellStyle name="표준 10 5 6" xfId="36001"/>
    <cellStyle name="표준 10 5 6 2" xfId="36002"/>
    <cellStyle name="표준 10 5 6 2 2" xfId="36003"/>
    <cellStyle name="표준 10 5 6 2 2 2" xfId="36004"/>
    <cellStyle name="표준 10 5 6 2 2 2 2" xfId="36005"/>
    <cellStyle name="표준 10 5 6 2 2 2 3" xfId="36006"/>
    <cellStyle name="표준 10 5 6 2 2 3" xfId="36007"/>
    <cellStyle name="표준 10 5 6 2 2 4" xfId="36008"/>
    <cellStyle name="표준 10 5 6 2 3" xfId="36009"/>
    <cellStyle name="표준 10 5 6 2 3 2" xfId="36010"/>
    <cellStyle name="표준 10 5 6 2 3 3" xfId="36011"/>
    <cellStyle name="표준 10 5 6 2 4" xfId="36012"/>
    <cellStyle name="표준 10 5 6 2 5" xfId="36013"/>
    <cellStyle name="표준 10 5 6 3" xfId="36014"/>
    <cellStyle name="표준 10 5 6 3 2" xfId="36015"/>
    <cellStyle name="표준 10 5 6 3 2 2" xfId="36016"/>
    <cellStyle name="표준 10 5 6 3 2 2 2" xfId="36017"/>
    <cellStyle name="표준 10 5 6 3 2 2 3" xfId="36018"/>
    <cellStyle name="표준 10 5 6 3 2 3" xfId="36019"/>
    <cellStyle name="표준 10 5 6 3 2 4" xfId="36020"/>
    <cellStyle name="표준 10 5 6 3 3" xfId="36021"/>
    <cellStyle name="표준 10 5 6 3 3 2" xfId="36022"/>
    <cellStyle name="표준 10 5 6 3 3 3" xfId="36023"/>
    <cellStyle name="표준 10 5 6 3 4" xfId="36024"/>
    <cellStyle name="표준 10 5 6 3 5" xfId="36025"/>
    <cellStyle name="표준 10 5 6 4" xfId="36026"/>
    <cellStyle name="표준 10 5 6 4 2" xfId="36027"/>
    <cellStyle name="표준 10 5 6 4 2 2" xfId="36028"/>
    <cellStyle name="표준 10 5 6 4 2 3" xfId="36029"/>
    <cellStyle name="표준 10 5 6 4 3" xfId="36030"/>
    <cellStyle name="표준 10 5 6 4 4" xfId="36031"/>
    <cellStyle name="표준 10 5 6 5" xfId="36032"/>
    <cellStyle name="표준 10 5 6 5 2" xfId="36033"/>
    <cellStyle name="표준 10 5 6 5 3" xfId="36034"/>
    <cellStyle name="표준 10 5 6 6" xfId="36035"/>
    <cellStyle name="표준 10 5 6 7" xfId="36036"/>
    <cellStyle name="표준 10 5 7" xfId="36037"/>
    <cellStyle name="표준 10 5 7 2" xfId="36038"/>
    <cellStyle name="표준 10 5 7 2 2" xfId="36039"/>
    <cellStyle name="표준 10 5 7 2 2 2" xfId="36040"/>
    <cellStyle name="표준 10 5 7 2 2 3" xfId="36041"/>
    <cellStyle name="표준 10 5 7 2 3" xfId="36042"/>
    <cellStyle name="표준 10 5 7 2 4" xfId="36043"/>
    <cellStyle name="표준 10 5 7 3" xfId="36044"/>
    <cellStyle name="표준 10 5 7 3 2" xfId="36045"/>
    <cellStyle name="표준 10 5 7 3 3" xfId="36046"/>
    <cellStyle name="표준 10 5 7 4" xfId="36047"/>
    <cellStyle name="표준 10 5 7 5" xfId="36048"/>
    <cellStyle name="표준 10 5 8" xfId="36049"/>
    <cellStyle name="표준 10 5 8 2" xfId="36050"/>
    <cellStyle name="표준 10 5 8 2 2" xfId="36051"/>
    <cellStyle name="표준 10 5 8 2 2 2" xfId="36052"/>
    <cellStyle name="표준 10 5 8 2 2 3" xfId="36053"/>
    <cellStyle name="표준 10 5 8 2 3" xfId="36054"/>
    <cellStyle name="표준 10 5 8 2 4" xfId="36055"/>
    <cellStyle name="표준 10 5 8 3" xfId="36056"/>
    <cellStyle name="표준 10 5 8 3 2" xfId="36057"/>
    <cellStyle name="표준 10 5 8 3 3" xfId="36058"/>
    <cellStyle name="표준 10 5 8 4" xfId="36059"/>
    <cellStyle name="표준 10 5 8 5" xfId="36060"/>
    <cellStyle name="표준 10 5 9" xfId="36061"/>
    <cellStyle name="표준 10 5 9 2" xfId="36062"/>
    <cellStyle name="표준 10 5 9 2 2" xfId="36063"/>
    <cellStyle name="표준 10 5 9 2 2 2" xfId="36064"/>
    <cellStyle name="표준 10 5 9 2 2 3" xfId="36065"/>
    <cellStyle name="표준 10 5 9 2 3" xfId="36066"/>
    <cellStyle name="표준 10 5 9 2 4" xfId="36067"/>
    <cellStyle name="표준 10 5 9 3" xfId="36068"/>
    <cellStyle name="표준 10 5 9 3 2" xfId="36069"/>
    <cellStyle name="표준 10 5 9 3 3" xfId="36070"/>
    <cellStyle name="표준 10 5 9 4" xfId="36071"/>
    <cellStyle name="표준 10 5 9 5" xfId="36072"/>
    <cellStyle name="표준 10 6" xfId="36073"/>
    <cellStyle name="표준 10 6 10" xfId="36074"/>
    <cellStyle name="표준 10 6 2" xfId="36075"/>
    <cellStyle name="표준 10 6 2 2" xfId="36076"/>
    <cellStyle name="표준 10 6 2 2 2" xfId="36077"/>
    <cellStyle name="표준 10 6 2 2 2 2" xfId="36078"/>
    <cellStyle name="표준 10 6 2 2 2 2 2" xfId="36079"/>
    <cellStyle name="표준 10 6 2 2 2 2 3" xfId="36080"/>
    <cellStyle name="표준 10 6 2 2 2 3" xfId="36081"/>
    <cellStyle name="표준 10 6 2 2 2 4" xfId="36082"/>
    <cellStyle name="표준 10 6 2 2 3" xfId="36083"/>
    <cellStyle name="표준 10 6 2 2 3 2" xfId="36084"/>
    <cellStyle name="표준 10 6 2 2 3 3" xfId="36085"/>
    <cellStyle name="표준 10 6 2 2 4" xfId="36086"/>
    <cellStyle name="표준 10 6 2 2 5" xfId="36087"/>
    <cellStyle name="표준 10 6 2 3" xfId="36088"/>
    <cellStyle name="표준 10 6 2 3 2" xfId="36089"/>
    <cellStyle name="표준 10 6 2 3 2 2" xfId="36090"/>
    <cellStyle name="표준 10 6 2 3 2 2 2" xfId="36091"/>
    <cellStyle name="표준 10 6 2 3 2 2 3" xfId="36092"/>
    <cellStyle name="표준 10 6 2 3 2 3" xfId="36093"/>
    <cellStyle name="표준 10 6 2 3 2 4" xfId="36094"/>
    <cellStyle name="표준 10 6 2 3 3" xfId="36095"/>
    <cellStyle name="표준 10 6 2 3 3 2" xfId="36096"/>
    <cellStyle name="표준 10 6 2 3 3 3" xfId="36097"/>
    <cellStyle name="표준 10 6 2 3 4" xfId="36098"/>
    <cellStyle name="표준 10 6 2 3 5" xfId="36099"/>
    <cellStyle name="표준 10 6 2 4" xfId="36100"/>
    <cellStyle name="표준 10 6 2 4 2" xfId="36101"/>
    <cellStyle name="표준 10 6 2 4 2 2" xfId="36102"/>
    <cellStyle name="표준 10 6 2 4 2 3" xfId="36103"/>
    <cellStyle name="표준 10 6 2 4 3" xfId="36104"/>
    <cellStyle name="표준 10 6 2 4 4" xfId="36105"/>
    <cellStyle name="표준 10 6 2 5" xfId="36106"/>
    <cellStyle name="표준 10 6 2 5 2" xfId="36107"/>
    <cellStyle name="표준 10 6 2 5 3" xfId="36108"/>
    <cellStyle name="표준 10 6 2 6" xfId="36109"/>
    <cellStyle name="표준 10 6 2 7" xfId="36110"/>
    <cellStyle name="표준 10 6 3" xfId="36111"/>
    <cellStyle name="표준 10 6 3 2" xfId="36112"/>
    <cellStyle name="표준 10 6 3 2 2" xfId="36113"/>
    <cellStyle name="표준 10 6 3 2 2 2" xfId="36114"/>
    <cellStyle name="표준 10 6 3 2 2 2 2" xfId="36115"/>
    <cellStyle name="표준 10 6 3 2 2 2 3" xfId="36116"/>
    <cellStyle name="표준 10 6 3 2 2 3" xfId="36117"/>
    <cellStyle name="표준 10 6 3 2 2 4" xfId="36118"/>
    <cellStyle name="표준 10 6 3 2 3" xfId="36119"/>
    <cellStyle name="표준 10 6 3 2 3 2" xfId="36120"/>
    <cellStyle name="표준 10 6 3 2 3 3" xfId="36121"/>
    <cellStyle name="표준 10 6 3 2 4" xfId="36122"/>
    <cellStyle name="표준 10 6 3 2 5" xfId="36123"/>
    <cellStyle name="표준 10 6 3 3" xfId="36124"/>
    <cellStyle name="표준 10 6 3 3 2" xfId="36125"/>
    <cellStyle name="표준 10 6 3 3 2 2" xfId="36126"/>
    <cellStyle name="표준 10 6 3 3 2 2 2" xfId="36127"/>
    <cellStyle name="표준 10 6 3 3 2 2 3" xfId="36128"/>
    <cellStyle name="표준 10 6 3 3 2 3" xfId="36129"/>
    <cellStyle name="표준 10 6 3 3 2 4" xfId="36130"/>
    <cellStyle name="표준 10 6 3 3 3" xfId="36131"/>
    <cellStyle name="표준 10 6 3 3 3 2" xfId="36132"/>
    <cellStyle name="표준 10 6 3 3 3 3" xfId="36133"/>
    <cellStyle name="표준 10 6 3 3 4" xfId="36134"/>
    <cellStyle name="표준 10 6 3 3 5" xfId="36135"/>
    <cellStyle name="표준 10 6 3 4" xfId="36136"/>
    <cellStyle name="표준 10 6 3 4 2" xfId="36137"/>
    <cellStyle name="표준 10 6 3 4 2 2" xfId="36138"/>
    <cellStyle name="표준 10 6 3 4 2 3" xfId="36139"/>
    <cellStyle name="표준 10 6 3 4 3" xfId="36140"/>
    <cellStyle name="표준 10 6 3 4 4" xfId="36141"/>
    <cellStyle name="표준 10 6 3 5" xfId="36142"/>
    <cellStyle name="표준 10 6 3 5 2" xfId="36143"/>
    <cellStyle name="표준 10 6 3 5 3" xfId="36144"/>
    <cellStyle name="표준 10 6 3 6" xfId="36145"/>
    <cellStyle name="표준 10 6 3 7" xfId="36146"/>
    <cellStyle name="표준 10 6 4" xfId="36147"/>
    <cellStyle name="표준 10 6 4 2" xfId="36148"/>
    <cellStyle name="표준 10 6 4 2 2" xfId="36149"/>
    <cellStyle name="표준 10 6 4 2 2 2" xfId="36150"/>
    <cellStyle name="표준 10 6 4 2 2 3" xfId="36151"/>
    <cellStyle name="표준 10 6 4 2 3" xfId="36152"/>
    <cellStyle name="표준 10 6 4 2 4" xfId="36153"/>
    <cellStyle name="표준 10 6 4 3" xfId="36154"/>
    <cellStyle name="표준 10 6 4 3 2" xfId="36155"/>
    <cellStyle name="표준 10 6 4 3 3" xfId="36156"/>
    <cellStyle name="표준 10 6 4 4" xfId="36157"/>
    <cellStyle name="표준 10 6 4 5" xfId="36158"/>
    <cellStyle name="표준 10 6 5" xfId="36159"/>
    <cellStyle name="표준 10 6 5 2" xfId="36160"/>
    <cellStyle name="표준 10 6 5 2 2" xfId="36161"/>
    <cellStyle name="표준 10 6 5 2 2 2" xfId="36162"/>
    <cellStyle name="표준 10 6 5 2 2 3" xfId="36163"/>
    <cellStyle name="표준 10 6 5 2 3" xfId="36164"/>
    <cellStyle name="표준 10 6 5 2 4" xfId="36165"/>
    <cellStyle name="표준 10 6 5 3" xfId="36166"/>
    <cellStyle name="표준 10 6 5 3 2" xfId="36167"/>
    <cellStyle name="표준 10 6 5 3 3" xfId="36168"/>
    <cellStyle name="표준 10 6 5 4" xfId="36169"/>
    <cellStyle name="표준 10 6 5 5" xfId="36170"/>
    <cellStyle name="표준 10 6 6" xfId="36171"/>
    <cellStyle name="표준 10 6 6 2" xfId="36172"/>
    <cellStyle name="표준 10 6 6 2 2" xfId="36173"/>
    <cellStyle name="표준 10 6 6 2 2 2" xfId="36174"/>
    <cellStyle name="표준 10 6 6 2 2 3" xfId="36175"/>
    <cellStyle name="표준 10 6 6 2 3" xfId="36176"/>
    <cellStyle name="표준 10 6 6 2 4" xfId="36177"/>
    <cellStyle name="표준 10 6 6 3" xfId="36178"/>
    <cellStyle name="표준 10 6 6 3 2" xfId="36179"/>
    <cellStyle name="표준 10 6 6 3 3" xfId="36180"/>
    <cellStyle name="표준 10 6 6 4" xfId="36181"/>
    <cellStyle name="표준 10 6 6 5" xfId="36182"/>
    <cellStyle name="표준 10 6 7" xfId="36183"/>
    <cellStyle name="표준 10 6 7 2" xfId="36184"/>
    <cellStyle name="표준 10 6 7 2 2" xfId="36185"/>
    <cellStyle name="표준 10 6 7 2 3" xfId="36186"/>
    <cellStyle name="표준 10 6 7 3" xfId="36187"/>
    <cellStyle name="표준 10 6 7 4" xfId="36188"/>
    <cellStyle name="표준 10 6 8" xfId="36189"/>
    <cellStyle name="표준 10 6 8 2" xfId="36190"/>
    <cellStyle name="표준 10 6 8 3" xfId="36191"/>
    <cellStyle name="표준 10 6 9" xfId="36192"/>
    <cellStyle name="표준 10 7" xfId="36193"/>
    <cellStyle name="표준 10 7 10" xfId="36194"/>
    <cellStyle name="표준 10 7 2" xfId="36195"/>
    <cellStyle name="표준 10 7 2 2" xfId="36196"/>
    <cellStyle name="표준 10 7 2 2 2" xfId="36197"/>
    <cellStyle name="표준 10 7 2 2 2 2" xfId="36198"/>
    <cellStyle name="표준 10 7 2 2 2 2 2" xfId="36199"/>
    <cellStyle name="표준 10 7 2 2 2 2 3" xfId="36200"/>
    <cellStyle name="표준 10 7 2 2 2 3" xfId="36201"/>
    <cellStyle name="표준 10 7 2 2 2 4" xfId="36202"/>
    <cellStyle name="표준 10 7 2 2 3" xfId="36203"/>
    <cellStyle name="표준 10 7 2 2 3 2" xfId="36204"/>
    <cellStyle name="표준 10 7 2 2 3 3" xfId="36205"/>
    <cellStyle name="표준 10 7 2 2 4" xfId="36206"/>
    <cellStyle name="표준 10 7 2 2 5" xfId="36207"/>
    <cellStyle name="표준 10 7 2 3" xfId="36208"/>
    <cellStyle name="표준 10 7 2 3 2" xfId="36209"/>
    <cellStyle name="표준 10 7 2 3 2 2" xfId="36210"/>
    <cellStyle name="표준 10 7 2 3 2 2 2" xfId="36211"/>
    <cellStyle name="표준 10 7 2 3 2 2 3" xfId="36212"/>
    <cellStyle name="표준 10 7 2 3 2 3" xfId="36213"/>
    <cellStyle name="표준 10 7 2 3 2 4" xfId="36214"/>
    <cellStyle name="표준 10 7 2 3 3" xfId="36215"/>
    <cellStyle name="표준 10 7 2 3 3 2" xfId="36216"/>
    <cellStyle name="표준 10 7 2 3 3 3" xfId="36217"/>
    <cellStyle name="표준 10 7 2 3 4" xfId="36218"/>
    <cellStyle name="표준 10 7 2 3 5" xfId="36219"/>
    <cellStyle name="표준 10 7 2 4" xfId="36220"/>
    <cellStyle name="표준 10 7 2 4 2" xfId="36221"/>
    <cellStyle name="표준 10 7 2 4 2 2" xfId="36222"/>
    <cellStyle name="표준 10 7 2 4 2 3" xfId="36223"/>
    <cellStyle name="표준 10 7 2 4 3" xfId="36224"/>
    <cellStyle name="표준 10 7 2 4 4" xfId="36225"/>
    <cellStyle name="표준 10 7 2 5" xfId="36226"/>
    <cellStyle name="표준 10 7 2 5 2" xfId="36227"/>
    <cellStyle name="표준 10 7 2 5 3" xfId="36228"/>
    <cellStyle name="표준 10 7 2 6" xfId="36229"/>
    <cellStyle name="표준 10 7 2 7" xfId="36230"/>
    <cellStyle name="표준 10 7 3" xfId="36231"/>
    <cellStyle name="표준 10 7 3 2" xfId="36232"/>
    <cellStyle name="표준 10 7 3 2 2" xfId="36233"/>
    <cellStyle name="표준 10 7 3 2 2 2" xfId="36234"/>
    <cellStyle name="표준 10 7 3 2 2 2 2" xfId="36235"/>
    <cellStyle name="표준 10 7 3 2 2 2 3" xfId="36236"/>
    <cellStyle name="표준 10 7 3 2 2 3" xfId="36237"/>
    <cellStyle name="표준 10 7 3 2 2 4" xfId="36238"/>
    <cellStyle name="표준 10 7 3 2 3" xfId="36239"/>
    <cellStyle name="표준 10 7 3 2 3 2" xfId="36240"/>
    <cellStyle name="표준 10 7 3 2 3 3" xfId="36241"/>
    <cellStyle name="표준 10 7 3 2 4" xfId="36242"/>
    <cellStyle name="표준 10 7 3 2 5" xfId="36243"/>
    <cellStyle name="표준 10 7 3 3" xfId="36244"/>
    <cellStyle name="표준 10 7 3 3 2" xfId="36245"/>
    <cellStyle name="표준 10 7 3 3 2 2" xfId="36246"/>
    <cellStyle name="표준 10 7 3 3 2 2 2" xfId="36247"/>
    <cellStyle name="표준 10 7 3 3 2 2 3" xfId="36248"/>
    <cellStyle name="표준 10 7 3 3 2 3" xfId="36249"/>
    <cellStyle name="표준 10 7 3 3 2 4" xfId="36250"/>
    <cellStyle name="표준 10 7 3 3 3" xfId="36251"/>
    <cellStyle name="표준 10 7 3 3 3 2" xfId="36252"/>
    <cellStyle name="표준 10 7 3 3 3 3" xfId="36253"/>
    <cellStyle name="표준 10 7 3 3 4" xfId="36254"/>
    <cellStyle name="표준 10 7 3 3 5" xfId="36255"/>
    <cellStyle name="표준 10 7 3 4" xfId="36256"/>
    <cellStyle name="표준 10 7 3 4 2" xfId="36257"/>
    <cellStyle name="표준 10 7 3 4 2 2" xfId="36258"/>
    <cellStyle name="표준 10 7 3 4 2 3" xfId="36259"/>
    <cellStyle name="표준 10 7 3 4 3" xfId="36260"/>
    <cellStyle name="표준 10 7 3 4 4" xfId="36261"/>
    <cellStyle name="표준 10 7 3 5" xfId="36262"/>
    <cellStyle name="표준 10 7 3 5 2" xfId="36263"/>
    <cellStyle name="표준 10 7 3 5 3" xfId="36264"/>
    <cellStyle name="표준 10 7 3 6" xfId="36265"/>
    <cellStyle name="표준 10 7 3 7" xfId="36266"/>
    <cellStyle name="표준 10 7 4" xfId="36267"/>
    <cellStyle name="표준 10 7 4 2" xfId="36268"/>
    <cellStyle name="표준 10 7 4 2 2" xfId="36269"/>
    <cellStyle name="표준 10 7 4 2 2 2" xfId="36270"/>
    <cellStyle name="표준 10 7 4 2 2 3" xfId="36271"/>
    <cellStyle name="표준 10 7 4 2 3" xfId="36272"/>
    <cellStyle name="표준 10 7 4 2 4" xfId="36273"/>
    <cellStyle name="표준 10 7 4 3" xfId="36274"/>
    <cellStyle name="표준 10 7 4 3 2" xfId="36275"/>
    <cellStyle name="표준 10 7 4 3 3" xfId="36276"/>
    <cellStyle name="표준 10 7 4 4" xfId="36277"/>
    <cellStyle name="표준 10 7 4 5" xfId="36278"/>
    <cellStyle name="표준 10 7 5" xfId="36279"/>
    <cellStyle name="표준 10 7 5 2" xfId="36280"/>
    <cellStyle name="표준 10 7 5 2 2" xfId="36281"/>
    <cellStyle name="표준 10 7 5 2 2 2" xfId="36282"/>
    <cellStyle name="표준 10 7 5 2 2 3" xfId="36283"/>
    <cellStyle name="표준 10 7 5 2 3" xfId="36284"/>
    <cellStyle name="표준 10 7 5 2 4" xfId="36285"/>
    <cellStyle name="표준 10 7 5 3" xfId="36286"/>
    <cellStyle name="표준 10 7 5 3 2" xfId="36287"/>
    <cellStyle name="표준 10 7 5 3 3" xfId="36288"/>
    <cellStyle name="표준 10 7 5 4" xfId="36289"/>
    <cellStyle name="표준 10 7 5 5" xfId="36290"/>
    <cellStyle name="표준 10 7 6" xfId="36291"/>
    <cellStyle name="표준 10 7 6 2" xfId="36292"/>
    <cellStyle name="표준 10 7 6 2 2" xfId="36293"/>
    <cellStyle name="표준 10 7 6 2 2 2" xfId="36294"/>
    <cellStyle name="표준 10 7 6 2 2 3" xfId="36295"/>
    <cellStyle name="표준 10 7 6 2 3" xfId="36296"/>
    <cellStyle name="표준 10 7 6 2 4" xfId="36297"/>
    <cellStyle name="표준 10 7 6 3" xfId="36298"/>
    <cellStyle name="표준 10 7 6 3 2" xfId="36299"/>
    <cellStyle name="표준 10 7 6 3 3" xfId="36300"/>
    <cellStyle name="표준 10 7 6 4" xfId="36301"/>
    <cellStyle name="표준 10 7 6 5" xfId="36302"/>
    <cellStyle name="표준 10 7 7" xfId="36303"/>
    <cellStyle name="표준 10 7 7 2" xfId="36304"/>
    <cellStyle name="표준 10 7 7 2 2" xfId="36305"/>
    <cellStyle name="표준 10 7 7 2 3" xfId="36306"/>
    <cellStyle name="표준 10 7 7 3" xfId="36307"/>
    <cellStyle name="표준 10 7 7 4" xfId="36308"/>
    <cellStyle name="표준 10 7 8" xfId="36309"/>
    <cellStyle name="표준 10 7 8 2" xfId="36310"/>
    <cellStyle name="표준 10 7 8 3" xfId="36311"/>
    <cellStyle name="표준 10 7 9" xfId="36312"/>
    <cellStyle name="표준 10 8" xfId="36313"/>
    <cellStyle name="표준 10 8 10" xfId="36314"/>
    <cellStyle name="표준 10 8 2" xfId="36315"/>
    <cellStyle name="표준 10 8 2 2" xfId="36316"/>
    <cellStyle name="표준 10 8 2 2 2" xfId="36317"/>
    <cellStyle name="표준 10 8 2 2 2 2" xfId="36318"/>
    <cellStyle name="표준 10 8 2 2 2 2 2" xfId="36319"/>
    <cellStyle name="표준 10 8 2 2 2 2 3" xfId="36320"/>
    <cellStyle name="표준 10 8 2 2 2 3" xfId="36321"/>
    <cellStyle name="표준 10 8 2 2 2 4" xfId="36322"/>
    <cellStyle name="표준 10 8 2 2 3" xfId="36323"/>
    <cellStyle name="표준 10 8 2 2 3 2" xfId="36324"/>
    <cellStyle name="표준 10 8 2 2 3 3" xfId="36325"/>
    <cellStyle name="표준 10 8 2 2 4" xfId="36326"/>
    <cellStyle name="표준 10 8 2 2 5" xfId="36327"/>
    <cellStyle name="표준 10 8 2 3" xfId="36328"/>
    <cellStyle name="표준 10 8 2 3 2" xfId="36329"/>
    <cellStyle name="표준 10 8 2 3 2 2" xfId="36330"/>
    <cellStyle name="표준 10 8 2 3 2 2 2" xfId="36331"/>
    <cellStyle name="표준 10 8 2 3 2 2 3" xfId="36332"/>
    <cellStyle name="표준 10 8 2 3 2 3" xfId="36333"/>
    <cellStyle name="표준 10 8 2 3 2 4" xfId="36334"/>
    <cellStyle name="표준 10 8 2 3 3" xfId="36335"/>
    <cellStyle name="표준 10 8 2 3 3 2" xfId="36336"/>
    <cellStyle name="표준 10 8 2 3 3 3" xfId="36337"/>
    <cellStyle name="표준 10 8 2 3 4" xfId="36338"/>
    <cellStyle name="표준 10 8 2 3 5" xfId="36339"/>
    <cellStyle name="표준 10 8 2 4" xfId="36340"/>
    <cellStyle name="표준 10 8 2 4 2" xfId="36341"/>
    <cellStyle name="표준 10 8 2 4 2 2" xfId="36342"/>
    <cellStyle name="표준 10 8 2 4 2 3" xfId="36343"/>
    <cellStyle name="표준 10 8 2 4 3" xfId="36344"/>
    <cellStyle name="표준 10 8 2 4 4" xfId="36345"/>
    <cellStyle name="표준 10 8 2 5" xfId="36346"/>
    <cellStyle name="표준 10 8 2 5 2" xfId="36347"/>
    <cellStyle name="표준 10 8 2 5 3" xfId="36348"/>
    <cellStyle name="표준 10 8 2 6" xfId="36349"/>
    <cellStyle name="표준 10 8 2 7" xfId="36350"/>
    <cellStyle name="표준 10 8 3" xfId="36351"/>
    <cellStyle name="표준 10 8 3 2" xfId="36352"/>
    <cellStyle name="표준 10 8 3 2 2" xfId="36353"/>
    <cellStyle name="표준 10 8 3 2 2 2" xfId="36354"/>
    <cellStyle name="표준 10 8 3 2 2 2 2" xfId="36355"/>
    <cellStyle name="표준 10 8 3 2 2 2 3" xfId="36356"/>
    <cellStyle name="표준 10 8 3 2 2 3" xfId="36357"/>
    <cellStyle name="표준 10 8 3 2 2 4" xfId="36358"/>
    <cellStyle name="표준 10 8 3 2 3" xfId="36359"/>
    <cellStyle name="표준 10 8 3 2 3 2" xfId="36360"/>
    <cellStyle name="표준 10 8 3 2 3 3" xfId="36361"/>
    <cellStyle name="표준 10 8 3 2 4" xfId="36362"/>
    <cellStyle name="표준 10 8 3 2 5" xfId="36363"/>
    <cellStyle name="표준 10 8 3 3" xfId="36364"/>
    <cellStyle name="표준 10 8 3 3 2" xfId="36365"/>
    <cellStyle name="표준 10 8 3 3 2 2" xfId="36366"/>
    <cellStyle name="표준 10 8 3 3 2 2 2" xfId="36367"/>
    <cellStyle name="표준 10 8 3 3 2 2 3" xfId="36368"/>
    <cellStyle name="표준 10 8 3 3 2 3" xfId="36369"/>
    <cellStyle name="표준 10 8 3 3 2 4" xfId="36370"/>
    <cellStyle name="표준 10 8 3 3 3" xfId="36371"/>
    <cellStyle name="표준 10 8 3 3 3 2" xfId="36372"/>
    <cellStyle name="표준 10 8 3 3 3 3" xfId="36373"/>
    <cellStyle name="표준 10 8 3 3 4" xfId="36374"/>
    <cellStyle name="표준 10 8 3 3 5" xfId="36375"/>
    <cellStyle name="표준 10 8 3 4" xfId="36376"/>
    <cellStyle name="표준 10 8 3 4 2" xfId="36377"/>
    <cellStyle name="표준 10 8 3 4 2 2" xfId="36378"/>
    <cellStyle name="표준 10 8 3 4 2 3" xfId="36379"/>
    <cellStyle name="표준 10 8 3 4 3" xfId="36380"/>
    <cellStyle name="표준 10 8 3 4 4" xfId="36381"/>
    <cellStyle name="표준 10 8 3 5" xfId="36382"/>
    <cellStyle name="표준 10 8 3 5 2" xfId="36383"/>
    <cellStyle name="표준 10 8 3 5 3" xfId="36384"/>
    <cellStyle name="표준 10 8 3 6" xfId="36385"/>
    <cellStyle name="표준 10 8 3 7" xfId="36386"/>
    <cellStyle name="표준 10 8 4" xfId="36387"/>
    <cellStyle name="표준 10 8 4 2" xfId="36388"/>
    <cellStyle name="표준 10 8 4 2 2" xfId="36389"/>
    <cellStyle name="표준 10 8 4 2 2 2" xfId="36390"/>
    <cellStyle name="표준 10 8 4 2 2 3" xfId="36391"/>
    <cellStyle name="표준 10 8 4 2 3" xfId="36392"/>
    <cellStyle name="표준 10 8 4 2 4" xfId="36393"/>
    <cellStyle name="표준 10 8 4 3" xfId="36394"/>
    <cellStyle name="표준 10 8 4 3 2" xfId="36395"/>
    <cellStyle name="표준 10 8 4 3 3" xfId="36396"/>
    <cellStyle name="표준 10 8 4 4" xfId="36397"/>
    <cellStyle name="표준 10 8 4 5" xfId="36398"/>
    <cellStyle name="표준 10 8 5" xfId="36399"/>
    <cellStyle name="표준 10 8 5 2" xfId="36400"/>
    <cellStyle name="표준 10 8 5 2 2" xfId="36401"/>
    <cellStyle name="표준 10 8 5 2 2 2" xfId="36402"/>
    <cellStyle name="표준 10 8 5 2 2 3" xfId="36403"/>
    <cellStyle name="표준 10 8 5 2 3" xfId="36404"/>
    <cellStyle name="표준 10 8 5 2 4" xfId="36405"/>
    <cellStyle name="표준 10 8 5 3" xfId="36406"/>
    <cellStyle name="표준 10 8 5 3 2" xfId="36407"/>
    <cellStyle name="표준 10 8 5 3 3" xfId="36408"/>
    <cellStyle name="표준 10 8 5 4" xfId="36409"/>
    <cellStyle name="표준 10 8 5 5" xfId="36410"/>
    <cellStyle name="표준 10 8 6" xfId="36411"/>
    <cellStyle name="표준 10 8 6 2" xfId="36412"/>
    <cellStyle name="표준 10 8 6 2 2" xfId="36413"/>
    <cellStyle name="표준 10 8 6 2 2 2" xfId="36414"/>
    <cellStyle name="표준 10 8 6 2 2 3" xfId="36415"/>
    <cellStyle name="표준 10 8 6 2 3" xfId="36416"/>
    <cellStyle name="표준 10 8 6 2 4" xfId="36417"/>
    <cellStyle name="표준 10 8 6 3" xfId="36418"/>
    <cellStyle name="표준 10 8 6 3 2" xfId="36419"/>
    <cellStyle name="표준 10 8 6 3 3" xfId="36420"/>
    <cellStyle name="표준 10 8 6 4" xfId="36421"/>
    <cellStyle name="표준 10 8 6 5" xfId="36422"/>
    <cellStyle name="표준 10 8 7" xfId="36423"/>
    <cellStyle name="표준 10 8 7 2" xfId="36424"/>
    <cellStyle name="표준 10 8 7 2 2" xfId="36425"/>
    <cellStyle name="표준 10 8 7 2 3" xfId="36426"/>
    <cellStyle name="표준 10 8 7 3" xfId="36427"/>
    <cellStyle name="표준 10 8 7 4" xfId="36428"/>
    <cellStyle name="표준 10 8 8" xfId="36429"/>
    <cellStyle name="표준 10 8 8 2" xfId="36430"/>
    <cellStyle name="표준 10 8 8 3" xfId="36431"/>
    <cellStyle name="표준 10 8 9" xfId="36432"/>
    <cellStyle name="표준 10 9" xfId="36433"/>
    <cellStyle name="표준 10 9 2" xfId="36434"/>
    <cellStyle name="표준 10 9 2 2" xfId="36435"/>
    <cellStyle name="표준 10 9 2 2 2" xfId="36436"/>
    <cellStyle name="표준 10 9 2 2 2 2" xfId="36437"/>
    <cellStyle name="표준 10 9 2 2 2 3" xfId="36438"/>
    <cellStyle name="표준 10 9 2 2 3" xfId="36439"/>
    <cellStyle name="표준 10 9 2 2 4" xfId="36440"/>
    <cellStyle name="표준 10 9 2 3" xfId="36441"/>
    <cellStyle name="표준 10 9 2 3 2" xfId="36442"/>
    <cellStyle name="표준 10 9 2 3 3" xfId="36443"/>
    <cellStyle name="표준 10 9 2 4" xfId="36444"/>
    <cellStyle name="표준 10 9 2 5" xfId="36445"/>
    <cellStyle name="표준 10 9 3" xfId="36446"/>
    <cellStyle name="표준 10 9 3 2" xfId="36447"/>
    <cellStyle name="표준 10 9 3 2 2" xfId="36448"/>
    <cellStyle name="표준 10 9 3 2 2 2" xfId="36449"/>
    <cellStyle name="표준 10 9 3 2 2 3" xfId="36450"/>
    <cellStyle name="표준 10 9 3 2 3" xfId="36451"/>
    <cellStyle name="표준 10 9 3 2 4" xfId="36452"/>
    <cellStyle name="표준 10 9 3 3" xfId="36453"/>
    <cellStyle name="표준 10 9 3 3 2" xfId="36454"/>
    <cellStyle name="표준 10 9 3 3 3" xfId="36455"/>
    <cellStyle name="표준 10 9 3 4" xfId="36456"/>
    <cellStyle name="표준 10 9 3 5" xfId="36457"/>
    <cellStyle name="표준 10 9 4" xfId="36458"/>
    <cellStyle name="표준 10 9 4 2" xfId="36459"/>
    <cellStyle name="표준 10 9 4 2 2" xfId="36460"/>
    <cellStyle name="표준 10 9 4 2 3" xfId="36461"/>
    <cellStyle name="표준 10 9 4 3" xfId="36462"/>
    <cellStyle name="표준 10 9 4 4" xfId="36463"/>
    <cellStyle name="표준 10 9 5" xfId="36464"/>
    <cellStyle name="표준 10 9 5 2" xfId="36465"/>
    <cellStyle name="표준 10 9 5 3" xfId="36466"/>
    <cellStyle name="표준 10 9 6" xfId="36467"/>
    <cellStyle name="표준 10 9 7" xfId="36468"/>
    <cellStyle name="표준 10_Sheet3" xfId="36469"/>
    <cellStyle name="표준 100" xfId="36470"/>
    <cellStyle name="표준 101" xfId="36471"/>
    <cellStyle name="표준 102" xfId="36472"/>
    <cellStyle name="표준 103" xfId="36473"/>
    <cellStyle name="표준 104" xfId="36474"/>
    <cellStyle name="표준 105" xfId="36475"/>
    <cellStyle name="표준 106" xfId="36476"/>
    <cellStyle name="표준 107" xfId="36477"/>
    <cellStyle name="표준 108" xfId="36478"/>
    <cellStyle name="표준 109" xfId="36479"/>
    <cellStyle name="표준 11" xfId="36480"/>
    <cellStyle name="표준 11 10" xfId="36481"/>
    <cellStyle name="표준 11 10 2" xfId="36482"/>
    <cellStyle name="표준 11 10 2 2" xfId="36483"/>
    <cellStyle name="표준 11 10 2 2 2" xfId="36484"/>
    <cellStyle name="표준 11 10 2 2 3" xfId="36485"/>
    <cellStyle name="표준 11 10 2 3" xfId="36486"/>
    <cellStyle name="표준 11 10 2 4" xfId="36487"/>
    <cellStyle name="표준 11 10 3" xfId="36488"/>
    <cellStyle name="표준 11 10 3 2" xfId="36489"/>
    <cellStyle name="표준 11 10 3 3" xfId="36490"/>
    <cellStyle name="표준 11 10 4" xfId="36491"/>
    <cellStyle name="표준 11 10 5" xfId="36492"/>
    <cellStyle name="표준 11 11" xfId="36493"/>
    <cellStyle name="표준 11 11 2" xfId="36494"/>
    <cellStyle name="표준 11 11 2 2" xfId="36495"/>
    <cellStyle name="표준 11 11 2 3" xfId="36496"/>
    <cellStyle name="표준 11 11 3" xfId="36497"/>
    <cellStyle name="표준 11 11 4" xfId="36498"/>
    <cellStyle name="표준 11 12" xfId="36499"/>
    <cellStyle name="표준 11 12 2" xfId="36500"/>
    <cellStyle name="표준 11 12 3" xfId="36501"/>
    <cellStyle name="표준 11 13" xfId="36502"/>
    <cellStyle name="표준 11 14" xfId="36503"/>
    <cellStyle name="표준 11 2" xfId="36504"/>
    <cellStyle name="표준 11 2 10" xfId="36505"/>
    <cellStyle name="표준 11 2 10 2" xfId="36506"/>
    <cellStyle name="표준 11 2 10 2 2" xfId="36507"/>
    <cellStyle name="표준 11 2 10 2 3" xfId="36508"/>
    <cellStyle name="표준 11 2 10 3" xfId="36509"/>
    <cellStyle name="표준 11 2 10 4" xfId="36510"/>
    <cellStyle name="표준 11 2 11" xfId="36511"/>
    <cellStyle name="표준 11 2 11 2" xfId="36512"/>
    <cellStyle name="표준 11 2 11 3" xfId="36513"/>
    <cellStyle name="표준 11 2 12" xfId="36514"/>
    <cellStyle name="표준 11 2 13" xfId="36515"/>
    <cellStyle name="표준 11 2 2" xfId="36516"/>
    <cellStyle name="표준 11 2 2 10" xfId="36517"/>
    <cellStyle name="표준 11 2 2 2" xfId="36518"/>
    <cellStyle name="표준 11 2 2 2 2" xfId="36519"/>
    <cellStyle name="표준 11 2 2 2 2 2" xfId="36520"/>
    <cellStyle name="표준 11 2 2 2 2 2 2" xfId="36521"/>
    <cellStyle name="표준 11 2 2 2 2 2 2 2" xfId="36522"/>
    <cellStyle name="표준 11 2 2 2 2 2 2 3" xfId="36523"/>
    <cellStyle name="표준 11 2 2 2 2 2 3" xfId="36524"/>
    <cellStyle name="표준 11 2 2 2 2 2 4" xfId="36525"/>
    <cellStyle name="표준 11 2 2 2 2 3" xfId="36526"/>
    <cellStyle name="표준 11 2 2 2 2 3 2" xfId="36527"/>
    <cellStyle name="표준 11 2 2 2 2 3 3" xfId="36528"/>
    <cellStyle name="표준 11 2 2 2 2 4" xfId="36529"/>
    <cellStyle name="표준 11 2 2 2 2 5" xfId="36530"/>
    <cellStyle name="표준 11 2 2 2 3" xfId="36531"/>
    <cellStyle name="표준 11 2 2 2 3 2" xfId="36532"/>
    <cellStyle name="표준 11 2 2 2 3 2 2" xfId="36533"/>
    <cellStyle name="표준 11 2 2 2 3 2 2 2" xfId="36534"/>
    <cellStyle name="표준 11 2 2 2 3 2 2 3" xfId="36535"/>
    <cellStyle name="표준 11 2 2 2 3 2 3" xfId="36536"/>
    <cellStyle name="표준 11 2 2 2 3 2 4" xfId="36537"/>
    <cellStyle name="표준 11 2 2 2 3 3" xfId="36538"/>
    <cellStyle name="표준 11 2 2 2 3 3 2" xfId="36539"/>
    <cellStyle name="표준 11 2 2 2 3 3 3" xfId="36540"/>
    <cellStyle name="표준 11 2 2 2 3 4" xfId="36541"/>
    <cellStyle name="표준 11 2 2 2 3 5" xfId="36542"/>
    <cellStyle name="표준 11 2 2 2 4" xfId="36543"/>
    <cellStyle name="표준 11 2 2 2 4 2" xfId="36544"/>
    <cellStyle name="표준 11 2 2 2 4 2 2" xfId="36545"/>
    <cellStyle name="표준 11 2 2 2 4 2 3" xfId="36546"/>
    <cellStyle name="표준 11 2 2 2 4 3" xfId="36547"/>
    <cellStyle name="표준 11 2 2 2 4 4" xfId="36548"/>
    <cellStyle name="표준 11 2 2 2 5" xfId="36549"/>
    <cellStyle name="표준 11 2 2 2 5 2" xfId="36550"/>
    <cellStyle name="표준 11 2 2 2 5 3" xfId="36551"/>
    <cellStyle name="표준 11 2 2 2 6" xfId="36552"/>
    <cellStyle name="표준 11 2 2 2 7" xfId="36553"/>
    <cellStyle name="표준 11 2 2 3" xfId="36554"/>
    <cellStyle name="표준 11 2 2 3 2" xfId="36555"/>
    <cellStyle name="표준 11 2 2 3 2 2" xfId="36556"/>
    <cellStyle name="표준 11 2 2 3 2 2 2" xfId="36557"/>
    <cellStyle name="표준 11 2 2 3 2 2 2 2" xfId="36558"/>
    <cellStyle name="표준 11 2 2 3 2 2 2 3" xfId="36559"/>
    <cellStyle name="표준 11 2 2 3 2 2 3" xfId="36560"/>
    <cellStyle name="표준 11 2 2 3 2 2 4" xfId="36561"/>
    <cellStyle name="표준 11 2 2 3 2 3" xfId="36562"/>
    <cellStyle name="표준 11 2 2 3 2 3 2" xfId="36563"/>
    <cellStyle name="표준 11 2 2 3 2 3 3" xfId="36564"/>
    <cellStyle name="표준 11 2 2 3 2 4" xfId="36565"/>
    <cellStyle name="표준 11 2 2 3 2 5" xfId="36566"/>
    <cellStyle name="표준 11 2 2 3 3" xfId="36567"/>
    <cellStyle name="표준 11 2 2 3 3 2" xfId="36568"/>
    <cellStyle name="표준 11 2 2 3 3 2 2" xfId="36569"/>
    <cellStyle name="표준 11 2 2 3 3 2 2 2" xfId="36570"/>
    <cellStyle name="표준 11 2 2 3 3 2 2 3" xfId="36571"/>
    <cellStyle name="표준 11 2 2 3 3 2 3" xfId="36572"/>
    <cellStyle name="표준 11 2 2 3 3 2 4" xfId="36573"/>
    <cellStyle name="표준 11 2 2 3 3 3" xfId="36574"/>
    <cellStyle name="표준 11 2 2 3 3 3 2" xfId="36575"/>
    <cellStyle name="표준 11 2 2 3 3 3 3" xfId="36576"/>
    <cellStyle name="표준 11 2 2 3 3 4" xfId="36577"/>
    <cellStyle name="표준 11 2 2 3 3 5" xfId="36578"/>
    <cellStyle name="표준 11 2 2 3 4" xfId="36579"/>
    <cellStyle name="표준 11 2 2 3 4 2" xfId="36580"/>
    <cellStyle name="표준 11 2 2 3 4 2 2" xfId="36581"/>
    <cellStyle name="표준 11 2 2 3 4 2 3" xfId="36582"/>
    <cellStyle name="표준 11 2 2 3 4 3" xfId="36583"/>
    <cellStyle name="표준 11 2 2 3 4 4" xfId="36584"/>
    <cellStyle name="표준 11 2 2 3 5" xfId="36585"/>
    <cellStyle name="표준 11 2 2 3 5 2" xfId="36586"/>
    <cellStyle name="표준 11 2 2 3 5 3" xfId="36587"/>
    <cellStyle name="표준 11 2 2 3 6" xfId="36588"/>
    <cellStyle name="표준 11 2 2 3 7" xfId="36589"/>
    <cellStyle name="표준 11 2 2 4" xfId="36590"/>
    <cellStyle name="표준 11 2 2 4 2" xfId="36591"/>
    <cellStyle name="표준 11 2 2 4 2 2" xfId="36592"/>
    <cellStyle name="표준 11 2 2 4 2 2 2" xfId="36593"/>
    <cellStyle name="표준 11 2 2 4 2 2 3" xfId="36594"/>
    <cellStyle name="표준 11 2 2 4 2 3" xfId="36595"/>
    <cellStyle name="표준 11 2 2 4 2 4" xfId="36596"/>
    <cellStyle name="표준 11 2 2 4 3" xfId="36597"/>
    <cellStyle name="표준 11 2 2 4 3 2" xfId="36598"/>
    <cellStyle name="표준 11 2 2 4 3 3" xfId="36599"/>
    <cellStyle name="표준 11 2 2 4 4" xfId="36600"/>
    <cellStyle name="표준 11 2 2 4 5" xfId="36601"/>
    <cellStyle name="표준 11 2 2 5" xfId="36602"/>
    <cellStyle name="표준 11 2 2 5 2" xfId="36603"/>
    <cellStyle name="표준 11 2 2 5 2 2" xfId="36604"/>
    <cellStyle name="표준 11 2 2 5 2 2 2" xfId="36605"/>
    <cellStyle name="표준 11 2 2 5 2 2 3" xfId="36606"/>
    <cellStyle name="표준 11 2 2 5 2 3" xfId="36607"/>
    <cellStyle name="표준 11 2 2 5 2 4" xfId="36608"/>
    <cellStyle name="표준 11 2 2 5 3" xfId="36609"/>
    <cellStyle name="표준 11 2 2 5 3 2" xfId="36610"/>
    <cellStyle name="표준 11 2 2 5 3 3" xfId="36611"/>
    <cellStyle name="표준 11 2 2 5 4" xfId="36612"/>
    <cellStyle name="표준 11 2 2 5 5" xfId="36613"/>
    <cellStyle name="표준 11 2 2 6" xfId="36614"/>
    <cellStyle name="표준 11 2 2 6 2" xfId="36615"/>
    <cellStyle name="표준 11 2 2 6 2 2" xfId="36616"/>
    <cellStyle name="표준 11 2 2 6 2 2 2" xfId="36617"/>
    <cellStyle name="표준 11 2 2 6 2 2 3" xfId="36618"/>
    <cellStyle name="표준 11 2 2 6 2 3" xfId="36619"/>
    <cellStyle name="표준 11 2 2 6 2 4" xfId="36620"/>
    <cellStyle name="표준 11 2 2 6 3" xfId="36621"/>
    <cellStyle name="표준 11 2 2 6 3 2" xfId="36622"/>
    <cellStyle name="표준 11 2 2 6 3 3" xfId="36623"/>
    <cellStyle name="표준 11 2 2 6 4" xfId="36624"/>
    <cellStyle name="표준 11 2 2 6 5" xfId="36625"/>
    <cellStyle name="표준 11 2 2 7" xfId="36626"/>
    <cellStyle name="표준 11 2 2 7 2" xfId="36627"/>
    <cellStyle name="표준 11 2 2 7 2 2" xfId="36628"/>
    <cellStyle name="표준 11 2 2 7 2 3" xfId="36629"/>
    <cellStyle name="표준 11 2 2 7 3" xfId="36630"/>
    <cellStyle name="표준 11 2 2 7 4" xfId="36631"/>
    <cellStyle name="표준 11 2 2 8" xfId="36632"/>
    <cellStyle name="표준 11 2 2 8 2" xfId="36633"/>
    <cellStyle name="표준 11 2 2 8 3" xfId="36634"/>
    <cellStyle name="표준 11 2 2 9" xfId="36635"/>
    <cellStyle name="표준 11 2 3" xfId="36636"/>
    <cellStyle name="표준 11 2 3 10" xfId="36637"/>
    <cellStyle name="표준 11 2 3 2" xfId="36638"/>
    <cellStyle name="표준 11 2 3 2 2" xfId="36639"/>
    <cellStyle name="표준 11 2 3 2 2 2" xfId="36640"/>
    <cellStyle name="표준 11 2 3 2 2 2 2" xfId="36641"/>
    <cellStyle name="표준 11 2 3 2 2 2 2 2" xfId="36642"/>
    <cellStyle name="표준 11 2 3 2 2 2 2 3" xfId="36643"/>
    <cellStyle name="표준 11 2 3 2 2 2 3" xfId="36644"/>
    <cellStyle name="표준 11 2 3 2 2 2 4" xfId="36645"/>
    <cellStyle name="표준 11 2 3 2 2 3" xfId="36646"/>
    <cellStyle name="표준 11 2 3 2 2 3 2" xfId="36647"/>
    <cellStyle name="표준 11 2 3 2 2 3 3" xfId="36648"/>
    <cellStyle name="표준 11 2 3 2 2 4" xfId="36649"/>
    <cellStyle name="표준 11 2 3 2 2 5" xfId="36650"/>
    <cellStyle name="표준 11 2 3 2 3" xfId="36651"/>
    <cellStyle name="표준 11 2 3 2 3 2" xfId="36652"/>
    <cellStyle name="표준 11 2 3 2 3 2 2" xfId="36653"/>
    <cellStyle name="표준 11 2 3 2 3 2 2 2" xfId="36654"/>
    <cellStyle name="표준 11 2 3 2 3 2 2 3" xfId="36655"/>
    <cellStyle name="표준 11 2 3 2 3 2 3" xfId="36656"/>
    <cellStyle name="표준 11 2 3 2 3 2 4" xfId="36657"/>
    <cellStyle name="표준 11 2 3 2 3 3" xfId="36658"/>
    <cellStyle name="표준 11 2 3 2 3 3 2" xfId="36659"/>
    <cellStyle name="표준 11 2 3 2 3 3 3" xfId="36660"/>
    <cellStyle name="표준 11 2 3 2 3 4" xfId="36661"/>
    <cellStyle name="표준 11 2 3 2 3 5" xfId="36662"/>
    <cellStyle name="표준 11 2 3 2 4" xfId="36663"/>
    <cellStyle name="표준 11 2 3 2 4 2" xfId="36664"/>
    <cellStyle name="표준 11 2 3 2 4 2 2" xfId="36665"/>
    <cellStyle name="표준 11 2 3 2 4 2 3" xfId="36666"/>
    <cellStyle name="표준 11 2 3 2 4 3" xfId="36667"/>
    <cellStyle name="표준 11 2 3 2 4 4" xfId="36668"/>
    <cellStyle name="표준 11 2 3 2 5" xfId="36669"/>
    <cellStyle name="표준 11 2 3 2 5 2" xfId="36670"/>
    <cellStyle name="표준 11 2 3 2 5 3" xfId="36671"/>
    <cellStyle name="표준 11 2 3 2 6" xfId="36672"/>
    <cellStyle name="표준 11 2 3 2 7" xfId="36673"/>
    <cellStyle name="표준 11 2 3 3" xfId="36674"/>
    <cellStyle name="표준 11 2 3 3 2" xfId="36675"/>
    <cellStyle name="표준 11 2 3 3 2 2" xfId="36676"/>
    <cellStyle name="표준 11 2 3 3 2 2 2" xfId="36677"/>
    <cellStyle name="표준 11 2 3 3 2 2 2 2" xfId="36678"/>
    <cellStyle name="표준 11 2 3 3 2 2 2 3" xfId="36679"/>
    <cellStyle name="표준 11 2 3 3 2 2 3" xfId="36680"/>
    <cellStyle name="표준 11 2 3 3 2 2 4" xfId="36681"/>
    <cellStyle name="표준 11 2 3 3 2 3" xfId="36682"/>
    <cellStyle name="표준 11 2 3 3 2 3 2" xfId="36683"/>
    <cellStyle name="표준 11 2 3 3 2 3 3" xfId="36684"/>
    <cellStyle name="표준 11 2 3 3 2 4" xfId="36685"/>
    <cellStyle name="표준 11 2 3 3 2 5" xfId="36686"/>
    <cellStyle name="표준 11 2 3 3 3" xfId="36687"/>
    <cellStyle name="표준 11 2 3 3 3 2" xfId="36688"/>
    <cellStyle name="표준 11 2 3 3 3 2 2" xfId="36689"/>
    <cellStyle name="표준 11 2 3 3 3 2 2 2" xfId="36690"/>
    <cellStyle name="표준 11 2 3 3 3 2 2 3" xfId="36691"/>
    <cellStyle name="표준 11 2 3 3 3 2 3" xfId="36692"/>
    <cellStyle name="표준 11 2 3 3 3 2 4" xfId="36693"/>
    <cellStyle name="표준 11 2 3 3 3 3" xfId="36694"/>
    <cellStyle name="표준 11 2 3 3 3 3 2" xfId="36695"/>
    <cellStyle name="표준 11 2 3 3 3 3 3" xfId="36696"/>
    <cellStyle name="표준 11 2 3 3 3 4" xfId="36697"/>
    <cellStyle name="표준 11 2 3 3 3 5" xfId="36698"/>
    <cellStyle name="표준 11 2 3 3 4" xfId="36699"/>
    <cellStyle name="표준 11 2 3 3 4 2" xfId="36700"/>
    <cellStyle name="표준 11 2 3 3 4 2 2" xfId="36701"/>
    <cellStyle name="표준 11 2 3 3 4 2 3" xfId="36702"/>
    <cellStyle name="표준 11 2 3 3 4 3" xfId="36703"/>
    <cellStyle name="표준 11 2 3 3 4 4" xfId="36704"/>
    <cellStyle name="표준 11 2 3 3 5" xfId="36705"/>
    <cellStyle name="표준 11 2 3 3 5 2" xfId="36706"/>
    <cellStyle name="표준 11 2 3 3 5 3" xfId="36707"/>
    <cellStyle name="표준 11 2 3 3 6" xfId="36708"/>
    <cellStyle name="표준 11 2 3 3 7" xfId="36709"/>
    <cellStyle name="표준 11 2 3 4" xfId="36710"/>
    <cellStyle name="표준 11 2 3 4 2" xfId="36711"/>
    <cellStyle name="표준 11 2 3 4 2 2" xfId="36712"/>
    <cellStyle name="표준 11 2 3 4 2 2 2" xfId="36713"/>
    <cellStyle name="표준 11 2 3 4 2 2 3" xfId="36714"/>
    <cellStyle name="표준 11 2 3 4 2 3" xfId="36715"/>
    <cellStyle name="표준 11 2 3 4 2 4" xfId="36716"/>
    <cellStyle name="표준 11 2 3 4 3" xfId="36717"/>
    <cellStyle name="표준 11 2 3 4 3 2" xfId="36718"/>
    <cellStyle name="표준 11 2 3 4 3 3" xfId="36719"/>
    <cellStyle name="표준 11 2 3 4 4" xfId="36720"/>
    <cellStyle name="표준 11 2 3 4 5" xfId="36721"/>
    <cellStyle name="표준 11 2 3 5" xfId="36722"/>
    <cellStyle name="표준 11 2 3 5 2" xfId="36723"/>
    <cellStyle name="표준 11 2 3 5 2 2" xfId="36724"/>
    <cellStyle name="표준 11 2 3 5 2 2 2" xfId="36725"/>
    <cellStyle name="표준 11 2 3 5 2 2 3" xfId="36726"/>
    <cellStyle name="표준 11 2 3 5 2 3" xfId="36727"/>
    <cellStyle name="표준 11 2 3 5 2 4" xfId="36728"/>
    <cellStyle name="표준 11 2 3 5 3" xfId="36729"/>
    <cellStyle name="표준 11 2 3 5 3 2" xfId="36730"/>
    <cellStyle name="표준 11 2 3 5 3 3" xfId="36731"/>
    <cellStyle name="표준 11 2 3 5 4" xfId="36732"/>
    <cellStyle name="표준 11 2 3 5 5" xfId="36733"/>
    <cellStyle name="표준 11 2 3 6" xfId="36734"/>
    <cellStyle name="표준 11 2 3 6 2" xfId="36735"/>
    <cellStyle name="표준 11 2 3 6 2 2" xfId="36736"/>
    <cellStyle name="표준 11 2 3 6 2 2 2" xfId="36737"/>
    <cellStyle name="표준 11 2 3 6 2 2 3" xfId="36738"/>
    <cellStyle name="표준 11 2 3 6 2 3" xfId="36739"/>
    <cellStyle name="표준 11 2 3 6 2 4" xfId="36740"/>
    <cellStyle name="표준 11 2 3 6 3" xfId="36741"/>
    <cellStyle name="표준 11 2 3 6 3 2" xfId="36742"/>
    <cellStyle name="표준 11 2 3 6 3 3" xfId="36743"/>
    <cellStyle name="표준 11 2 3 6 4" xfId="36744"/>
    <cellStyle name="표준 11 2 3 6 5" xfId="36745"/>
    <cellStyle name="표준 11 2 3 7" xfId="36746"/>
    <cellStyle name="표준 11 2 3 7 2" xfId="36747"/>
    <cellStyle name="표준 11 2 3 7 2 2" xfId="36748"/>
    <cellStyle name="표준 11 2 3 7 2 3" xfId="36749"/>
    <cellStyle name="표준 11 2 3 7 3" xfId="36750"/>
    <cellStyle name="표준 11 2 3 7 4" xfId="36751"/>
    <cellStyle name="표준 11 2 3 8" xfId="36752"/>
    <cellStyle name="표준 11 2 3 8 2" xfId="36753"/>
    <cellStyle name="표준 11 2 3 8 3" xfId="36754"/>
    <cellStyle name="표준 11 2 3 9" xfId="36755"/>
    <cellStyle name="표준 11 2 4" xfId="36756"/>
    <cellStyle name="표준 11 2 4 10" xfId="36757"/>
    <cellStyle name="표준 11 2 4 2" xfId="36758"/>
    <cellStyle name="표준 11 2 4 2 2" xfId="36759"/>
    <cellStyle name="표준 11 2 4 2 2 2" xfId="36760"/>
    <cellStyle name="표준 11 2 4 2 2 2 2" xfId="36761"/>
    <cellStyle name="표준 11 2 4 2 2 2 2 2" xfId="36762"/>
    <cellStyle name="표준 11 2 4 2 2 2 2 3" xfId="36763"/>
    <cellStyle name="표준 11 2 4 2 2 2 3" xfId="36764"/>
    <cellStyle name="표준 11 2 4 2 2 2 4" xfId="36765"/>
    <cellStyle name="표준 11 2 4 2 2 3" xfId="36766"/>
    <cellStyle name="표준 11 2 4 2 2 3 2" xfId="36767"/>
    <cellStyle name="표준 11 2 4 2 2 3 3" xfId="36768"/>
    <cellStyle name="표준 11 2 4 2 2 4" xfId="36769"/>
    <cellStyle name="표준 11 2 4 2 2 5" xfId="36770"/>
    <cellStyle name="표준 11 2 4 2 3" xfId="36771"/>
    <cellStyle name="표준 11 2 4 2 3 2" xfId="36772"/>
    <cellStyle name="표준 11 2 4 2 3 2 2" xfId="36773"/>
    <cellStyle name="표준 11 2 4 2 3 2 2 2" xfId="36774"/>
    <cellStyle name="표준 11 2 4 2 3 2 2 3" xfId="36775"/>
    <cellStyle name="표준 11 2 4 2 3 2 3" xfId="36776"/>
    <cellStyle name="표준 11 2 4 2 3 2 4" xfId="36777"/>
    <cellStyle name="표준 11 2 4 2 3 3" xfId="36778"/>
    <cellStyle name="표준 11 2 4 2 3 3 2" xfId="36779"/>
    <cellStyle name="표준 11 2 4 2 3 3 3" xfId="36780"/>
    <cellStyle name="표준 11 2 4 2 3 4" xfId="36781"/>
    <cellStyle name="표준 11 2 4 2 3 5" xfId="36782"/>
    <cellStyle name="표준 11 2 4 2 4" xfId="36783"/>
    <cellStyle name="표준 11 2 4 2 4 2" xfId="36784"/>
    <cellStyle name="표준 11 2 4 2 4 2 2" xfId="36785"/>
    <cellStyle name="표준 11 2 4 2 4 2 3" xfId="36786"/>
    <cellStyle name="표준 11 2 4 2 4 3" xfId="36787"/>
    <cellStyle name="표준 11 2 4 2 4 4" xfId="36788"/>
    <cellStyle name="표준 11 2 4 2 5" xfId="36789"/>
    <cellStyle name="표준 11 2 4 2 5 2" xfId="36790"/>
    <cellStyle name="표준 11 2 4 2 5 3" xfId="36791"/>
    <cellStyle name="표준 11 2 4 2 6" xfId="36792"/>
    <cellStyle name="표준 11 2 4 2 7" xfId="36793"/>
    <cellStyle name="표준 11 2 4 3" xfId="36794"/>
    <cellStyle name="표준 11 2 4 3 2" xfId="36795"/>
    <cellStyle name="표준 11 2 4 3 2 2" xfId="36796"/>
    <cellStyle name="표준 11 2 4 3 2 2 2" xfId="36797"/>
    <cellStyle name="표준 11 2 4 3 2 2 2 2" xfId="36798"/>
    <cellStyle name="표준 11 2 4 3 2 2 2 3" xfId="36799"/>
    <cellStyle name="표준 11 2 4 3 2 2 3" xfId="36800"/>
    <cellStyle name="표준 11 2 4 3 2 2 4" xfId="36801"/>
    <cellStyle name="표준 11 2 4 3 2 3" xfId="36802"/>
    <cellStyle name="표준 11 2 4 3 2 3 2" xfId="36803"/>
    <cellStyle name="표준 11 2 4 3 2 3 3" xfId="36804"/>
    <cellStyle name="표준 11 2 4 3 2 4" xfId="36805"/>
    <cellStyle name="표준 11 2 4 3 2 5" xfId="36806"/>
    <cellStyle name="표준 11 2 4 3 3" xfId="36807"/>
    <cellStyle name="표준 11 2 4 3 3 2" xfId="36808"/>
    <cellStyle name="표준 11 2 4 3 3 2 2" xfId="36809"/>
    <cellStyle name="표준 11 2 4 3 3 2 2 2" xfId="36810"/>
    <cellStyle name="표준 11 2 4 3 3 2 2 3" xfId="36811"/>
    <cellStyle name="표준 11 2 4 3 3 2 3" xfId="36812"/>
    <cellStyle name="표준 11 2 4 3 3 2 4" xfId="36813"/>
    <cellStyle name="표준 11 2 4 3 3 3" xfId="36814"/>
    <cellStyle name="표준 11 2 4 3 3 3 2" xfId="36815"/>
    <cellStyle name="표준 11 2 4 3 3 3 3" xfId="36816"/>
    <cellStyle name="표준 11 2 4 3 3 4" xfId="36817"/>
    <cellStyle name="표준 11 2 4 3 3 5" xfId="36818"/>
    <cellStyle name="표준 11 2 4 3 4" xfId="36819"/>
    <cellStyle name="표준 11 2 4 3 4 2" xfId="36820"/>
    <cellStyle name="표준 11 2 4 3 4 2 2" xfId="36821"/>
    <cellStyle name="표준 11 2 4 3 4 2 3" xfId="36822"/>
    <cellStyle name="표준 11 2 4 3 4 3" xfId="36823"/>
    <cellStyle name="표준 11 2 4 3 4 4" xfId="36824"/>
    <cellStyle name="표준 11 2 4 3 5" xfId="36825"/>
    <cellStyle name="표준 11 2 4 3 5 2" xfId="36826"/>
    <cellStyle name="표준 11 2 4 3 5 3" xfId="36827"/>
    <cellStyle name="표준 11 2 4 3 6" xfId="36828"/>
    <cellStyle name="표준 11 2 4 3 7" xfId="36829"/>
    <cellStyle name="표준 11 2 4 4" xfId="36830"/>
    <cellStyle name="표준 11 2 4 4 2" xfId="36831"/>
    <cellStyle name="표준 11 2 4 4 2 2" xfId="36832"/>
    <cellStyle name="표준 11 2 4 4 2 2 2" xfId="36833"/>
    <cellStyle name="표준 11 2 4 4 2 2 3" xfId="36834"/>
    <cellStyle name="표준 11 2 4 4 2 3" xfId="36835"/>
    <cellStyle name="표준 11 2 4 4 2 4" xfId="36836"/>
    <cellStyle name="표준 11 2 4 4 3" xfId="36837"/>
    <cellStyle name="표준 11 2 4 4 3 2" xfId="36838"/>
    <cellStyle name="표준 11 2 4 4 3 3" xfId="36839"/>
    <cellStyle name="표준 11 2 4 4 4" xfId="36840"/>
    <cellStyle name="표준 11 2 4 4 5" xfId="36841"/>
    <cellStyle name="표준 11 2 4 5" xfId="36842"/>
    <cellStyle name="표준 11 2 4 5 2" xfId="36843"/>
    <cellStyle name="표준 11 2 4 5 2 2" xfId="36844"/>
    <cellStyle name="표준 11 2 4 5 2 2 2" xfId="36845"/>
    <cellStyle name="표준 11 2 4 5 2 2 3" xfId="36846"/>
    <cellStyle name="표준 11 2 4 5 2 3" xfId="36847"/>
    <cellStyle name="표준 11 2 4 5 2 4" xfId="36848"/>
    <cellStyle name="표준 11 2 4 5 3" xfId="36849"/>
    <cellStyle name="표준 11 2 4 5 3 2" xfId="36850"/>
    <cellStyle name="표준 11 2 4 5 3 3" xfId="36851"/>
    <cellStyle name="표준 11 2 4 5 4" xfId="36852"/>
    <cellStyle name="표준 11 2 4 5 5" xfId="36853"/>
    <cellStyle name="표준 11 2 4 6" xfId="36854"/>
    <cellStyle name="표준 11 2 4 6 2" xfId="36855"/>
    <cellStyle name="표준 11 2 4 6 2 2" xfId="36856"/>
    <cellStyle name="표준 11 2 4 6 2 2 2" xfId="36857"/>
    <cellStyle name="표준 11 2 4 6 2 2 3" xfId="36858"/>
    <cellStyle name="표준 11 2 4 6 2 3" xfId="36859"/>
    <cellStyle name="표준 11 2 4 6 2 4" xfId="36860"/>
    <cellStyle name="표준 11 2 4 6 3" xfId="36861"/>
    <cellStyle name="표준 11 2 4 6 3 2" xfId="36862"/>
    <cellStyle name="표준 11 2 4 6 3 3" xfId="36863"/>
    <cellStyle name="표준 11 2 4 6 4" xfId="36864"/>
    <cellStyle name="표준 11 2 4 6 5" xfId="36865"/>
    <cellStyle name="표준 11 2 4 7" xfId="36866"/>
    <cellStyle name="표준 11 2 4 7 2" xfId="36867"/>
    <cellStyle name="표준 11 2 4 7 2 2" xfId="36868"/>
    <cellStyle name="표준 11 2 4 7 2 3" xfId="36869"/>
    <cellStyle name="표준 11 2 4 7 3" xfId="36870"/>
    <cellStyle name="표준 11 2 4 7 4" xfId="36871"/>
    <cellStyle name="표준 11 2 4 8" xfId="36872"/>
    <cellStyle name="표준 11 2 4 8 2" xfId="36873"/>
    <cellStyle name="표준 11 2 4 8 3" xfId="36874"/>
    <cellStyle name="표준 11 2 4 9" xfId="36875"/>
    <cellStyle name="표준 11 2 5" xfId="36876"/>
    <cellStyle name="표준 11 2 5 2" xfId="36877"/>
    <cellStyle name="표준 11 2 5 2 2" xfId="36878"/>
    <cellStyle name="표준 11 2 5 2 2 2" xfId="36879"/>
    <cellStyle name="표준 11 2 5 2 2 2 2" xfId="36880"/>
    <cellStyle name="표준 11 2 5 2 2 2 3" xfId="36881"/>
    <cellStyle name="표준 11 2 5 2 2 3" xfId="36882"/>
    <cellStyle name="표준 11 2 5 2 2 4" xfId="36883"/>
    <cellStyle name="표준 11 2 5 2 3" xfId="36884"/>
    <cellStyle name="표준 11 2 5 2 3 2" xfId="36885"/>
    <cellStyle name="표준 11 2 5 2 3 3" xfId="36886"/>
    <cellStyle name="표준 11 2 5 2 4" xfId="36887"/>
    <cellStyle name="표준 11 2 5 2 5" xfId="36888"/>
    <cellStyle name="표준 11 2 5 3" xfId="36889"/>
    <cellStyle name="표준 11 2 5 3 2" xfId="36890"/>
    <cellStyle name="표준 11 2 5 3 2 2" xfId="36891"/>
    <cellStyle name="표준 11 2 5 3 2 2 2" xfId="36892"/>
    <cellStyle name="표준 11 2 5 3 2 2 3" xfId="36893"/>
    <cellStyle name="표준 11 2 5 3 2 3" xfId="36894"/>
    <cellStyle name="표준 11 2 5 3 2 4" xfId="36895"/>
    <cellStyle name="표준 11 2 5 3 3" xfId="36896"/>
    <cellStyle name="표준 11 2 5 3 3 2" xfId="36897"/>
    <cellStyle name="표준 11 2 5 3 3 3" xfId="36898"/>
    <cellStyle name="표준 11 2 5 3 4" xfId="36899"/>
    <cellStyle name="표준 11 2 5 3 5" xfId="36900"/>
    <cellStyle name="표준 11 2 5 4" xfId="36901"/>
    <cellStyle name="표준 11 2 5 4 2" xfId="36902"/>
    <cellStyle name="표준 11 2 5 4 2 2" xfId="36903"/>
    <cellStyle name="표준 11 2 5 4 2 3" xfId="36904"/>
    <cellStyle name="표준 11 2 5 4 3" xfId="36905"/>
    <cellStyle name="표준 11 2 5 4 4" xfId="36906"/>
    <cellStyle name="표준 11 2 5 5" xfId="36907"/>
    <cellStyle name="표준 11 2 5 5 2" xfId="36908"/>
    <cellStyle name="표준 11 2 5 5 3" xfId="36909"/>
    <cellStyle name="표준 11 2 5 6" xfId="36910"/>
    <cellStyle name="표준 11 2 5 7" xfId="36911"/>
    <cellStyle name="표준 11 2 6" xfId="36912"/>
    <cellStyle name="표준 11 2 6 2" xfId="36913"/>
    <cellStyle name="표준 11 2 6 2 2" xfId="36914"/>
    <cellStyle name="표준 11 2 6 2 2 2" xfId="36915"/>
    <cellStyle name="표준 11 2 6 2 2 2 2" xfId="36916"/>
    <cellStyle name="표준 11 2 6 2 2 2 3" xfId="36917"/>
    <cellStyle name="표준 11 2 6 2 2 3" xfId="36918"/>
    <cellStyle name="표준 11 2 6 2 2 4" xfId="36919"/>
    <cellStyle name="표준 11 2 6 2 3" xfId="36920"/>
    <cellStyle name="표준 11 2 6 2 3 2" xfId="36921"/>
    <cellStyle name="표준 11 2 6 2 3 3" xfId="36922"/>
    <cellStyle name="표준 11 2 6 2 4" xfId="36923"/>
    <cellStyle name="표준 11 2 6 2 5" xfId="36924"/>
    <cellStyle name="표준 11 2 6 3" xfId="36925"/>
    <cellStyle name="표준 11 2 6 3 2" xfId="36926"/>
    <cellStyle name="표준 11 2 6 3 2 2" xfId="36927"/>
    <cellStyle name="표준 11 2 6 3 2 2 2" xfId="36928"/>
    <cellStyle name="표준 11 2 6 3 2 2 3" xfId="36929"/>
    <cellStyle name="표준 11 2 6 3 2 3" xfId="36930"/>
    <cellStyle name="표준 11 2 6 3 2 4" xfId="36931"/>
    <cellStyle name="표준 11 2 6 3 3" xfId="36932"/>
    <cellStyle name="표준 11 2 6 3 3 2" xfId="36933"/>
    <cellStyle name="표준 11 2 6 3 3 3" xfId="36934"/>
    <cellStyle name="표준 11 2 6 3 4" xfId="36935"/>
    <cellStyle name="표준 11 2 6 3 5" xfId="36936"/>
    <cellStyle name="표준 11 2 6 4" xfId="36937"/>
    <cellStyle name="표준 11 2 6 4 2" xfId="36938"/>
    <cellStyle name="표준 11 2 6 4 2 2" xfId="36939"/>
    <cellStyle name="표준 11 2 6 4 2 3" xfId="36940"/>
    <cellStyle name="표준 11 2 6 4 3" xfId="36941"/>
    <cellStyle name="표준 11 2 6 4 4" xfId="36942"/>
    <cellStyle name="표준 11 2 6 5" xfId="36943"/>
    <cellStyle name="표준 11 2 6 5 2" xfId="36944"/>
    <cellStyle name="표준 11 2 6 5 3" xfId="36945"/>
    <cellStyle name="표준 11 2 6 6" xfId="36946"/>
    <cellStyle name="표준 11 2 6 7" xfId="36947"/>
    <cellStyle name="표준 11 2 7" xfId="36948"/>
    <cellStyle name="표준 11 2 7 2" xfId="36949"/>
    <cellStyle name="표준 11 2 7 2 2" xfId="36950"/>
    <cellStyle name="표준 11 2 7 2 2 2" xfId="36951"/>
    <cellStyle name="표준 11 2 7 2 2 3" xfId="36952"/>
    <cellStyle name="표준 11 2 7 2 3" xfId="36953"/>
    <cellStyle name="표준 11 2 7 2 4" xfId="36954"/>
    <cellStyle name="표준 11 2 7 3" xfId="36955"/>
    <cellStyle name="표준 11 2 7 3 2" xfId="36956"/>
    <cellStyle name="표준 11 2 7 3 3" xfId="36957"/>
    <cellStyle name="표준 11 2 7 4" xfId="36958"/>
    <cellStyle name="표준 11 2 7 5" xfId="36959"/>
    <cellStyle name="표준 11 2 8" xfId="36960"/>
    <cellStyle name="표준 11 2 8 2" xfId="36961"/>
    <cellStyle name="표준 11 2 8 2 2" xfId="36962"/>
    <cellStyle name="표준 11 2 8 2 2 2" xfId="36963"/>
    <cellStyle name="표준 11 2 8 2 2 3" xfId="36964"/>
    <cellStyle name="표준 11 2 8 2 3" xfId="36965"/>
    <cellStyle name="표준 11 2 8 2 4" xfId="36966"/>
    <cellStyle name="표준 11 2 8 3" xfId="36967"/>
    <cellStyle name="표준 11 2 8 3 2" xfId="36968"/>
    <cellStyle name="표준 11 2 8 3 3" xfId="36969"/>
    <cellStyle name="표준 11 2 8 4" xfId="36970"/>
    <cellStyle name="표준 11 2 8 5" xfId="36971"/>
    <cellStyle name="표준 11 2 9" xfId="36972"/>
    <cellStyle name="표준 11 2 9 2" xfId="36973"/>
    <cellStyle name="표준 11 2 9 2 2" xfId="36974"/>
    <cellStyle name="표준 11 2 9 2 2 2" xfId="36975"/>
    <cellStyle name="표준 11 2 9 2 2 3" xfId="36976"/>
    <cellStyle name="표준 11 2 9 2 3" xfId="36977"/>
    <cellStyle name="표준 11 2 9 2 4" xfId="36978"/>
    <cellStyle name="표준 11 2 9 3" xfId="36979"/>
    <cellStyle name="표준 11 2 9 3 2" xfId="36980"/>
    <cellStyle name="표준 11 2 9 3 3" xfId="36981"/>
    <cellStyle name="표준 11 2 9 4" xfId="36982"/>
    <cellStyle name="표준 11 2 9 5" xfId="36983"/>
    <cellStyle name="표준 11 3" xfId="36984"/>
    <cellStyle name="표준 11 3 10" xfId="36985"/>
    <cellStyle name="표준 11 3 2" xfId="36986"/>
    <cellStyle name="표준 11 3 2 2" xfId="36987"/>
    <cellStyle name="표준 11 3 2 2 2" xfId="36988"/>
    <cellStyle name="표준 11 3 2 2 2 2" xfId="36989"/>
    <cellStyle name="표준 11 3 2 2 2 2 2" xfId="36990"/>
    <cellStyle name="표준 11 3 2 2 2 2 3" xfId="36991"/>
    <cellStyle name="표준 11 3 2 2 2 3" xfId="36992"/>
    <cellStyle name="표준 11 3 2 2 2 4" xfId="36993"/>
    <cellStyle name="표준 11 3 2 2 3" xfId="36994"/>
    <cellStyle name="표준 11 3 2 2 3 2" xfId="36995"/>
    <cellStyle name="표준 11 3 2 2 3 3" xfId="36996"/>
    <cellStyle name="표준 11 3 2 2 4" xfId="36997"/>
    <cellStyle name="표준 11 3 2 2 5" xfId="36998"/>
    <cellStyle name="표준 11 3 2 3" xfId="36999"/>
    <cellStyle name="표준 11 3 2 3 2" xfId="37000"/>
    <cellStyle name="표준 11 3 2 3 2 2" xfId="37001"/>
    <cellStyle name="표준 11 3 2 3 2 2 2" xfId="37002"/>
    <cellStyle name="표준 11 3 2 3 2 2 3" xfId="37003"/>
    <cellStyle name="표준 11 3 2 3 2 3" xfId="37004"/>
    <cellStyle name="표준 11 3 2 3 2 4" xfId="37005"/>
    <cellStyle name="표준 11 3 2 3 3" xfId="37006"/>
    <cellStyle name="표준 11 3 2 3 3 2" xfId="37007"/>
    <cellStyle name="표준 11 3 2 3 3 3" xfId="37008"/>
    <cellStyle name="표준 11 3 2 3 4" xfId="37009"/>
    <cellStyle name="표준 11 3 2 3 5" xfId="37010"/>
    <cellStyle name="표준 11 3 2 4" xfId="37011"/>
    <cellStyle name="표준 11 3 2 4 2" xfId="37012"/>
    <cellStyle name="표준 11 3 2 4 2 2" xfId="37013"/>
    <cellStyle name="표준 11 3 2 4 2 3" xfId="37014"/>
    <cellStyle name="표준 11 3 2 4 3" xfId="37015"/>
    <cellStyle name="표준 11 3 2 4 4" xfId="37016"/>
    <cellStyle name="표준 11 3 2 5" xfId="37017"/>
    <cellStyle name="표준 11 3 2 5 2" xfId="37018"/>
    <cellStyle name="표준 11 3 2 5 3" xfId="37019"/>
    <cellStyle name="표준 11 3 2 6" xfId="37020"/>
    <cellStyle name="표준 11 3 2 7" xfId="37021"/>
    <cellStyle name="표준 11 3 3" xfId="37022"/>
    <cellStyle name="표준 11 3 3 2" xfId="37023"/>
    <cellStyle name="표준 11 3 3 2 2" xfId="37024"/>
    <cellStyle name="표준 11 3 3 2 2 2" xfId="37025"/>
    <cellStyle name="표준 11 3 3 2 2 2 2" xfId="37026"/>
    <cellStyle name="표준 11 3 3 2 2 2 3" xfId="37027"/>
    <cellStyle name="표준 11 3 3 2 2 3" xfId="37028"/>
    <cellStyle name="표준 11 3 3 2 2 4" xfId="37029"/>
    <cellStyle name="표준 11 3 3 2 3" xfId="37030"/>
    <cellStyle name="표준 11 3 3 2 3 2" xfId="37031"/>
    <cellStyle name="표준 11 3 3 2 3 3" xfId="37032"/>
    <cellStyle name="표준 11 3 3 2 4" xfId="37033"/>
    <cellStyle name="표준 11 3 3 2 5" xfId="37034"/>
    <cellStyle name="표준 11 3 3 3" xfId="37035"/>
    <cellStyle name="표준 11 3 3 3 2" xfId="37036"/>
    <cellStyle name="표준 11 3 3 3 2 2" xfId="37037"/>
    <cellStyle name="표준 11 3 3 3 2 2 2" xfId="37038"/>
    <cellStyle name="표준 11 3 3 3 2 2 3" xfId="37039"/>
    <cellStyle name="표준 11 3 3 3 2 3" xfId="37040"/>
    <cellStyle name="표준 11 3 3 3 2 4" xfId="37041"/>
    <cellStyle name="표준 11 3 3 3 3" xfId="37042"/>
    <cellStyle name="표준 11 3 3 3 3 2" xfId="37043"/>
    <cellStyle name="표준 11 3 3 3 3 3" xfId="37044"/>
    <cellStyle name="표준 11 3 3 3 4" xfId="37045"/>
    <cellStyle name="표준 11 3 3 3 5" xfId="37046"/>
    <cellStyle name="표준 11 3 3 4" xfId="37047"/>
    <cellStyle name="표준 11 3 3 4 2" xfId="37048"/>
    <cellStyle name="표준 11 3 3 4 2 2" xfId="37049"/>
    <cellStyle name="표준 11 3 3 4 2 3" xfId="37050"/>
    <cellStyle name="표준 11 3 3 4 3" xfId="37051"/>
    <cellStyle name="표준 11 3 3 4 4" xfId="37052"/>
    <cellStyle name="표준 11 3 3 5" xfId="37053"/>
    <cellStyle name="표준 11 3 3 5 2" xfId="37054"/>
    <cellStyle name="표준 11 3 3 5 3" xfId="37055"/>
    <cellStyle name="표준 11 3 3 6" xfId="37056"/>
    <cellStyle name="표준 11 3 3 7" xfId="37057"/>
    <cellStyle name="표준 11 3 4" xfId="37058"/>
    <cellStyle name="표준 11 3 4 2" xfId="37059"/>
    <cellStyle name="표준 11 3 4 2 2" xfId="37060"/>
    <cellStyle name="표준 11 3 4 2 2 2" xfId="37061"/>
    <cellStyle name="표준 11 3 4 2 2 3" xfId="37062"/>
    <cellStyle name="표준 11 3 4 2 3" xfId="37063"/>
    <cellStyle name="표준 11 3 4 2 4" xfId="37064"/>
    <cellStyle name="표준 11 3 4 3" xfId="37065"/>
    <cellStyle name="표준 11 3 4 3 2" xfId="37066"/>
    <cellStyle name="표준 11 3 4 3 3" xfId="37067"/>
    <cellStyle name="표준 11 3 4 4" xfId="37068"/>
    <cellStyle name="표준 11 3 4 5" xfId="37069"/>
    <cellStyle name="표준 11 3 5" xfId="37070"/>
    <cellStyle name="표준 11 3 5 2" xfId="37071"/>
    <cellStyle name="표준 11 3 5 2 2" xfId="37072"/>
    <cellStyle name="표준 11 3 5 2 2 2" xfId="37073"/>
    <cellStyle name="표준 11 3 5 2 2 3" xfId="37074"/>
    <cellStyle name="표준 11 3 5 2 3" xfId="37075"/>
    <cellStyle name="표준 11 3 5 2 4" xfId="37076"/>
    <cellStyle name="표준 11 3 5 3" xfId="37077"/>
    <cellStyle name="표준 11 3 5 3 2" xfId="37078"/>
    <cellStyle name="표준 11 3 5 3 3" xfId="37079"/>
    <cellStyle name="표준 11 3 5 4" xfId="37080"/>
    <cellStyle name="표준 11 3 5 5" xfId="37081"/>
    <cellStyle name="표준 11 3 6" xfId="37082"/>
    <cellStyle name="표준 11 3 6 2" xfId="37083"/>
    <cellStyle name="표준 11 3 6 2 2" xfId="37084"/>
    <cellStyle name="표준 11 3 6 2 2 2" xfId="37085"/>
    <cellStyle name="표준 11 3 6 2 2 3" xfId="37086"/>
    <cellStyle name="표준 11 3 6 2 3" xfId="37087"/>
    <cellStyle name="표준 11 3 6 2 4" xfId="37088"/>
    <cellStyle name="표준 11 3 6 3" xfId="37089"/>
    <cellStyle name="표준 11 3 6 3 2" xfId="37090"/>
    <cellStyle name="표준 11 3 6 3 3" xfId="37091"/>
    <cellStyle name="표준 11 3 6 4" xfId="37092"/>
    <cellStyle name="표준 11 3 6 5" xfId="37093"/>
    <cellStyle name="표준 11 3 7" xfId="37094"/>
    <cellStyle name="표준 11 3 7 2" xfId="37095"/>
    <cellStyle name="표준 11 3 7 2 2" xfId="37096"/>
    <cellStyle name="표준 11 3 7 2 3" xfId="37097"/>
    <cellStyle name="표준 11 3 7 3" xfId="37098"/>
    <cellStyle name="표준 11 3 7 4" xfId="37099"/>
    <cellStyle name="표준 11 3 8" xfId="37100"/>
    <cellStyle name="표준 11 3 8 2" xfId="37101"/>
    <cellStyle name="표준 11 3 8 3" xfId="37102"/>
    <cellStyle name="표준 11 3 9" xfId="37103"/>
    <cellStyle name="표준 11 4" xfId="37104"/>
    <cellStyle name="표준 11 4 10" xfId="37105"/>
    <cellStyle name="표준 11 4 2" xfId="37106"/>
    <cellStyle name="표준 11 4 2 2" xfId="37107"/>
    <cellStyle name="표준 11 4 2 2 2" xfId="37108"/>
    <cellStyle name="표준 11 4 2 2 2 2" xfId="37109"/>
    <cellStyle name="표준 11 4 2 2 2 2 2" xfId="37110"/>
    <cellStyle name="표준 11 4 2 2 2 2 3" xfId="37111"/>
    <cellStyle name="표준 11 4 2 2 2 3" xfId="37112"/>
    <cellStyle name="표준 11 4 2 2 2 4" xfId="37113"/>
    <cellStyle name="표준 11 4 2 2 3" xfId="37114"/>
    <cellStyle name="표준 11 4 2 2 3 2" xfId="37115"/>
    <cellStyle name="표준 11 4 2 2 3 3" xfId="37116"/>
    <cellStyle name="표준 11 4 2 2 4" xfId="37117"/>
    <cellStyle name="표준 11 4 2 2 5" xfId="37118"/>
    <cellStyle name="표준 11 4 2 3" xfId="37119"/>
    <cellStyle name="표준 11 4 2 3 2" xfId="37120"/>
    <cellStyle name="표준 11 4 2 3 2 2" xfId="37121"/>
    <cellStyle name="표준 11 4 2 3 2 2 2" xfId="37122"/>
    <cellStyle name="표준 11 4 2 3 2 2 3" xfId="37123"/>
    <cellStyle name="표준 11 4 2 3 2 3" xfId="37124"/>
    <cellStyle name="표준 11 4 2 3 2 4" xfId="37125"/>
    <cellStyle name="표준 11 4 2 3 3" xfId="37126"/>
    <cellStyle name="표준 11 4 2 3 3 2" xfId="37127"/>
    <cellStyle name="표준 11 4 2 3 3 3" xfId="37128"/>
    <cellStyle name="표준 11 4 2 3 4" xfId="37129"/>
    <cellStyle name="표준 11 4 2 3 5" xfId="37130"/>
    <cellStyle name="표준 11 4 2 4" xfId="37131"/>
    <cellStyle name="표준 11 4 2 4 2" xfId="37132"/>
    <cellStyle name="표준 11 4 2 4 2 2" xfId="37133"/>
    <cellStyle name="표준 11 4 2 4 2 3" xfId="37134"/>
    <cellStyle name="표준 11 4 2 4 3" xfId="37135"/>
    <cellStyle name="표준 11 4 2 4 4" xfId="37136"/>
    <cellStyle name="표준 11 4 2 5" xfId="37137"/>
    <cellStyle name="표준 11 4 2 5 2" xfId="37138"/>
    <cellStyle name="표준 11 4 2 5 3" xfId="37139"/>
    <cellStyle name="표준 11 4 2 6" xfId="37140"/>
    <cellStyle name="표준 11 4 2 7" xfId="37141"/>
    <cellStyle name="표준 11 4 3" xfId="37142"/>
    <cellStyle name="표준 11 4 3 2" xfId="37143"/>
    <cellStyle name="표준 11 4 3 2 2" xfId="37144"/>
    <cellStyle name="표준 11 4 3 2 2 2" xfId="37145"/>
    <cellStyle name="표준 11 4 3 2 2 2 2" xfId="37146"/>
    <cellStyle name="표준 11 4 3 2 2 2 3" xfId="37147"/>
    <cellStyle name="표준 11 4 3 2 2 3" xfId="37148"/>
    <cellStyle name="표준 11 4 3 2 2 4" xfId="37149"/>
    <cellStyle name="표준 11 4 3 2 3" xfId="37150"/>
    <cellStyle name="표준 11 4 3 2 3 2" xfId="37151"/>
    <cellStyle name="표준 11 4 3 2 3 3" xfId="37152"/>
    <cellStyle name="표준 11 4 3 2 4" xfId="37153"/>
    <cellStyle name="표준 11 4 3 2 5" xfId="37154"/>
    <cellStyle name="표준 11 4 3 3" xfId="37155"/>
    <cellStyle name="표준 11 4 3 3 2" xfId="37156"/>
    <cellStyle name="표준 11 4 3 3 2 2" xfId="37157"/>
    <cellStyle name="표준 11 4 3 3 2 2 2" xfId="37158"/>
    <cellStyle name="표준 11 4 3 3 2 2 3" xfId="37159"/>
    <cellStyle name="표준 11 4 3 3 2 3" xfId="37160"/>
    <cellStyle name="표준 11 4 3 3 2 4" xfId="37161"/>
    <cellStyle name="표준 11 4 3 3 3" xfId="37162"/>
    <cellStyle name="표준 11 4 3 3 3 2" xfId="37163"/>
    <cellStyle name="표준 11 4 3 3 3 3" xfId="37164"/>
    <cellStyle name="표준 11 4 3 3 4" xfId="37165"/>
    <cellStyle name="표준 11 4 3 3 5" xfId="37166"/>
    <cellStyle name="표준 11 4 3 4" xfId="37167"/>
    <cellStyle name="표준 11 4 3 4 2" xfId="37168"/>
    <cellStyle name="표준 11 4 3 4 2 2" xfId="37169"/>
    <cellStyle name="표준 11 4 3 4 2 3" xfId="37170"/>
    <cellStyle name="표준 11 4 3 4 3" xfId="37171"/>
    <cellStyle name="표준 11 4 3 4 4" xfId="37172"/>
    <cellStyle name="표준 11 4 3 5" xfId="37173"/>
    <cellStyle name="표준 11 4 3 5 2" xfId="37174"/>
    <cellStyle name="표준 11 4 3 5 3" xfId="37175"/>
    <cellStyle name="표준 11 4 3 6" xfId="37176"/>
    <cellStyle name="표준 11 4 3 7" xfId="37177"/>
    <cellStyle name="표준 11 4 4" xfId="37178"/>
    <cellStyle name="표준 11 4 4 2" xfId="37179"/>
    <cellStyle name="표준 11 4 4 2 2" xfId="37180"/>
    <cellStyle name="표준 11 4 4 2 2 2" xfId="37181"/>
    <cellStyle name="표준 11 4 4 2 2 3" xfId="37182"/>
    <cellStyle name="표준 11 4 4 2 3" xfId="37183"/>
    <cellStyle name="표준 11 4 4 2 4" xfId="37184"/>
    <cellStyle name="표준 11 4 4 3" xfId="37185"/>
    <cellStyle name="표준 11 4 4 3 2" xfId="37186"/>
    <cellStyle name="표준 11 4 4 3 3" xfId="37187"/>
    <cellStyle name="표준 11 4 4 4" xfId="37188"/>
    <cellStyle name="표준 11 4 4 5" xfId="37189"/>
    <cellStyle name="표준 11 4 5" xfId="37190"/>
    <cellStyle name="표준 11 4 5 2" xfId="37191"/>
    <cellStyle name="표준 11 4 5 2 2" xfId="37192"/>
    <cellStyle name="표준 11 4 5 2 2 2" xfId="37193"/>
    <cellStyle name="표준 11 4 5 2 2 3" xfId="37194"/>
    <cellStyle name="표준 11 4 5 2 3" xfId="37195"/>
    <cellStyle name="표준 11 4 5 2 4" xfId="37196"/>
    <cellStyle name="표준 11 4 5 3" xfId="37197"/>
    <cellStyle name="표준 11 4 5 3 2" xfId="37198"/>
    <cellStyle name="표준 11 4 5 3 3" xfId="37199"/>
    <cellStyle name="표준 11 4 5 4" xfId="37200"/>
    <cellStyle name="표준 11 4 5 5" xfId="37201"/>
    <cellStyle name="표준 11 4 6" xfId="37202"/>
    <cellStyle name="표준 11 4 6 2" xfId="37203"/>
    <cellStyle name="표준 11 4 6 2 2" xfId="37204"/>
    <cellStyle name="표준 11 4 6 2 2 2" xfId="37205"/>
    <cellStyle name="표준 11 4 6 2 2 3" xfId="37206"/>
    <cellStyle name="표준 11 4 6 2 3" xfId="37207"/>
    <cellStyle name="표준 11 4 6 2 4" xfId="37208"/>
    <cellStyle name="표준 11 4 6 3" xfId="37209"/>
    <cellStyle name="표준 11 4 6 3 2" xfId="37210"/>
    <cellStyle name="표준 11 4 6 3 3" xfId="37211"/>
    <cellStyle name="표준 11 4 6 4" xfId="37212"/>
    <cellStyle name="표준 11 4 6 5" xfId="37213"/>
    <cellStyle name="표준 11 4 7" xfId="37214"/>
    <cellStyle name="표준 11 4 7 2" xfId="37215"/>
    <cellStyle name="표준 11 4 7 2 2" xfId="37216"/>
    <cellStyle name="표준 11 4 7 2 3" xfId="37217"/>
    <cellStyle name="표준 11 4 7 3" xfId="37218"/>
    <cellStyle name="표준 11 4 7 4" xfId="37219"/>
    <cellStyle name="표준 11 4 8" xfId="37220"/>
    <cellStyle name="표준 11 4 8 2" xfId="37221"/>
    <cellStyle name="표준 11 4 8 3" xfId="37222"/>
    <cellStyle name="표준 11 4 9" xfId="37223"/>
    <cellStyle name="표준 11 5" xfId="37224"/>
    <cellStyle name="표준 11 5 10" xfId="37225"/>
    <cellStyle name="표준 11 5 2" xfId="37226"/>
    <cellStyle name="표준 11 5 2 2" xfId="37227"/>
    <cellStyle name="표준 11 5 2 2 2" xfId="37228"/>
    <cellStyle name="표준 11 5 2 2 2 2" xfId="37229"/>
    <cellStyle name="표준 11 5 2 2 2 2 2" xfId="37230"/>
    <cellStyle name="표준 11 5 2 2 2 2 3" xfId="37231"/>
    <cellStyle name="표준 11 5 2 2 2 3" xfId="37232"/>
    <cellStyle name="표준 11 5 2 2 2 4" xfId="37233"/>
    <cellStyle name="표준 11 5 2 2 3" xfId="37234"/>
    <cellStyle name="표준 11 5 2 2 3 2" xfId="37235"/>
    <cellStyle name="표준 11 5 2 2 3 3" xfId="37236"/>
    <cellStyle name="표준 11 5 2 2 4" xfId="37237"/>
    <cellStyle name="표준 11 5 2 2 5" xfId="37238"/>
    <cellStyle name="표준 11 5 2 3" xfId="37239"/>
    <cellStyle name="표준 11 5 2 3 2" xfId="37240"/>
    <cellStyle name="표준 11 5 2 3 2 2" xfId="37241"/>
    <cellStyle name="표준 11 5 2 3 2 2 2" xfId="37242"/>
    <cellStyle name="표준 11 5 2 3 2 2 3" xfId="37243"/>
    <cellStyle name="표준 11 5 2 3 2 3" xfId="37244"/>
    <cellStyle name="표준 11 5 2 3 2 4" xfId="37245"/>
    <cellStyle name="표준 11 5 2 3 3" xfId="37246"/>
    <cellStyle name="표준 11 5 2 3 3 2" xfId="37247"/>
    <cellStyle name="표준 11 5 2 3 3 3" xfId="37248"/>
    <cellStyle name="표준 11 5 2 3 4" xfId="37249"/>
    <cellStyle name="표준 11 5 2 3 5" xfId="37250"/>
    <cellStyle name="표준 11 5 2 4" xfId="37251"/>
    <cellStyle name="표준 11 5 2 4 2" xfId="37252"/>
    <cellStyle name="표준 11 5 2 4 2 2" xfId="37253"/>
    <cellStyle name="표준 11 5 2 4 2 3" xfId="37254"/>
    <cellStyle name="표준 11 5 2 4 3" xfId="37255"/>
    <cellStyle name="표준 11 5 2 4 4" xfId="37256"/>
    <cellStyle name="표준 11 5 2 5" xfId="37257"/>
    <cellStyle name="표준 11 5 2 5 2" xfId="37258"/>
    <cellStyle name="표준 11 5 2 5 3" xfId="37259"/>
    <cellStyle name="표준 11 5 2 6" xfId="37260"/>
    <cellStyle name="표준 11 5 2 7" xfId="37261"/>
    <cellStyle name="표준 11 5 3" xfId="37262"/>
    <cellStyle name="표준 11 5 3 2" xfId="37263"/>
    <cellStyle name="표준 11 5 3 2 2" xfId="37264"/>
    <cellStyle name="표준 11 5 3 2 2 2" xfId="37265"/>
    <cellStyle name="표준 11 5 3 2 2 2 2" xfId="37266"/>
    <cellStyle name="표준 11 5 3 2 2 2 3" xfId="37267"/>
    <cellStyle name="표준 11 5 3 2 2 3" xfId="37268"/>
    <cellStyle name="표준 11 5 3 2 2 4" xfId="37269"/>
    <cellStyle name="표준 11 5 3 2 3" xfId="37270"/>
    <cellStyle name="표준 11 5 3 2 3 2" xfId="37271"/>
    <cellStyle name="표준 11 5 3 2 3 3" xfId="37272"/>
    <cellStyle name="표준 11 5 3 2 4" xfId="37273"/>
    <cellStyle name="표준 11 5 3 2 5" xfId="37274"/>
    <cellStyle name="표준 11 5 3 3" xfId="37275"/>
    <cellStyle name="표준 11 5 3 3 2" xfId="37276"/>
    <cellStyle name="표준 11 5 3 3 2 2" xfId="37277"/>
    <cellStyle name="표준 11 5 3 3 2 2 2" xfId="37278"/>
    <cellStyle name="표준 11 5 3 3 2 2 3" xfId="37279"/>
    <cellStyle name="표준 11 5 3 3 2 3" xfId="37280"/>
    <cellStyle name="표준 11 5 3 3 2 4" xfId="37281"/>
    <cellStyle name="표준 11 5 3 3 3" xfId="37282"/>
    <cellStyle name="표준 11 5 3 3 3 2" xfId="37283"/>
    <cellStyle name="표준 11 5 3 3 3 3" xfId="37284"/>
    <cellStyle name="표준 11 5 3 3 4" xfId="37285"/>
    <cellStyle name="표준 11 5 3 3 5" xfId="37286"/>
    <cellStyle name="표준 11 5 3 4" xfId="37287"/>
    <cellStyle name="표준 11 5 3 4 2" xfId="37288"/>
    <cellStyle name="표준 11 5 3 4 2 2" xfId="37289"/>
    <cellStyle name="표준 11 5 3 4 2 3" xfId="37290"/>
    <cellStyle name="표준 11 5 3 4 3" xfId="37291"/>
    <cellStyle name="표준 11 5 3 4 4" xfId="37292"/>
    <cellStyle name="표준 11 5 3 5" xfId="37293"/>
    <cellStyle name="표준 11 5 3 5 2" xfId="37294"/>
    <cellStyle name="표준 11 5 3 5 3" xfId="37295"/>
    <cellStyle name="표준 11 5 3 6" xfId="37296"/>
    <cellStyle name="표준 11 5 3 7" xfId="37297"/>
    <cellStyle name="표준 11 5 4" xfId="37298"/>
    <cellStyle name="표준 11 5 4 2" xfId="37299"/>
    <cellStyle name="표준 11 5 4 2 2" xfId="37300"/>
    <cellStyle name="표준 11 5 4 2 2 2" xfId="37301"/>
    <cellStyle name="표준 11 5 4 2 2 3" xfId="37302"/>
    <cellStyle name="표준 11 5 4 2 3" xfId="37303"/>
    <cellStyle name="표준 11 5 4 2 4" xfId="37304"/>
    <cellStyle name="표준 11 5 4 3" xfId="37305"/>
    <cellStyle name="표준 11 5 4 3 2" xfId="37306"/>
    <cellStyle name="표준 11 5 4 3 3" xfId="37307"/>
    <cellStyle name="표준 11 5 4 4" xfId="37308"/>
    <cellStyle name="표준 11 5 4 5" xfId="37309"/>
    <cellStyle name="표준 11 5 5" xfId="37310"/>
    <cellStyle name="표준 11 5 5 2" xfId="37311"/>
    <cellStyle name="표준 11 5 5 2 2" xfId="37312"/>
    <cellStyle name="표준 11 5 5 2 2 2" xfId="37313"/>
    <cellStyle name="표준 11 5 5 2 2 3" xfId="37314"/>
    <cellStyle name="표준 11 5 5 2 3" xfId="37315"/>
    <cellStyle name="표준 11 5 5 2 4" xfId="37316"/>
    <cellStyle name="표준 11 5 5 3" xfId="37317"/>
    <cellStyle name="표준 11 5 5 3 2" xfId="37318"/>
    <cellStyle name="표준 11 5 5 3 3" xfId="37319"/>
    <cellStyle name="표준 11 5 5 4" xfId="37320"/>
    <cellStyle name="표준 11 5 5 5" xfId="37321"/>
    <cellStyle name="표준 11 5 6" xfId="37322"/>
    <cellStyle name="표준 11 5 6 2" xfId="37323"/>
    <cellStyle name="표준 11 5 6 2 2" xfId="37324"/>
    <cellStyle name="표준 11 5 6 2 2 2" xfId="37325"/>
    <cellStyle name="표준 11 5 6 2 2 3" xfId="37326"/>
    <cellStyle name="표준 11 5 6 2 3" xfId="37327"/>
    <cellStyle name="표준 11 5 6 2 4" xfId="37328"/>
    <cellStyle name="표준 11 5 6 3" xfId="37329"/>
    <cellStyle name="표준 11 5 6 3 2" xfId="37330"/>
    <cellStyle name="표준 11 5 6 3 3" xfId="37331"/>
    <cellStyle name="표준 11 5 6 4" xfId="37332"/>
    <cellStyle name="표준 11 5 6 5" xfId="37333"/>
    <cellStyle name="표준 11 5 7" xfId="37334"/>
    <cellStyle name="표준 11 5 7 2" xfId="37335"/>
    <cellStyle name="표준 11 5 7 2 2" xfId="37336"/>
    <cellStyle name="표준 11 5 7 2 3" xfId="37337"/>
    <cellStyle name="표준 11 5 7 3" xfId="37338"/>
    <cellStyle name="표준 11 5 7 4" xfId="37339"/>
    <cellStyle name="표준 11 5 8" xfId="37340"/>
    <cellStyle name="표준 11 5 8 2" xfId="37341"/>
    <cellStyle name="표준 11 5 8 3" xfId="37342"/>
    <cellStyle name="표준 11 5 9" xfId="37343"/>
    <cellStyle name="표준 11 6" xfId="37344"/>
    <cellStyle name="표준 11 6 2" xfId="37345"/>
    <cellStyle name="표준 11 6 2 2" xfId="37346"/>
    <cellStyle name="표준 11 6 2 2 2" xfId="37347"/>
    <cellStyle name="표준 11 6 2 2 2 2" xfId="37348"/>
    <cellStyle name="표준 11 6 2 2 2 3" xfId="37349"/>
    <cellStyle name="표준 11 6 2 2 3" xfId="37350"/>
    <cellStyle name="표준 11 6 2 2 4" xfId="37351"/>
    <cellStyle name="표준 11 6 2 3" xfId="37352"/>
    <cellStyle name="표준 11 6 2 3 2" xfId="37353"/>
    <cellStyle name="표준 11 6 2 3 3" xfId="37354"/>
    <cellStyle name="표준 11 6 2 4" xfId="37355"/>
    <cellStyle name="표준 11 6 2 5" xfId="37356"/>
    <cellStyle name="표준 11 6 3" xfId="37357"/>
    <cellStyle name="표준 11 6 3 2" xfId="37358"/>
    <cellStyle name="표준 11 6 3 2 2" xfId="37359"/>
    <cellStyle name="표준 11 6 3 2 2 2" xfId="37360"/>
    <cellStyle name="표준 11 6 3 2 2 3" xfId="37361"/>
    <cellStyle name="표준 11 6 3 2 3" xfId="37362"/>
    <cellStyle name="표준 11 6 3 2 4" xfId="37363"/>
    <cellStyle name="표준 11 6 3 3" xfId="37364"/>
    <cellStyle name="표준 11 6 3 3 2" xfId="37365"/>
    <cellStyle name="표준 11 6 3 3 3" xfId="37366"/>
    <cellStyle name="표준 11 6 3 4" xfId="37367"/>
    <cellStyle name="표준 11 6 3 5" xfId="37368"/>
    <cellStyle name="표준 11 6 4" xfId="37369"/>
    <cellStyle name="표준 11 6 4 2" xfId="37370"/>
    <cellStyle name="표준 11 6 4 2 2" xfId="37371"/>
    <cellStyle name="표준 11 6 4 2 3" xfId="37372"/>
    <cellStyle name="표준 11 6 4 3" xfId="37373"/>
    <cellStyle name="표준 11 6 4 4" xfId="37374"/>
    <cellStyle name="표준 11 6 5" xfId="37375"/>
    <cellStyle name="표준 11 6 5 2" xfId="37376"/>
    <cellStyle name="표준 11 6 5 3" xfId="37377"/>
    <cellStyle name="표준 11 6 6" xfId="37378"/>
    <cellStyle name="표준 11 6 7" xfId="37379"/>
    <cellStyle name="표준 11 7" xfId="37380"/>
    <cellStyle name="표준 11 7 2" xfId="37381"/>
    <cellStyle name="표준 11 7 2 2" xfId="37382"/>
    <cellStyle name="표준 11 7 2 2 2" xfId="37383"/>
    <cellStyle name="표준 11 7 2 2 2 2" xfId="37384"/>
    <cellStyle name="표준 11 7 2 2 2 3" xfId="37385"/>
    <cellStyle name="표준 11 7 2 2 3" xfId="37386"/>
    <cellStyle name="표준 11 7 2 2 4" xfId="37387"/>
    <cellStyle name="표준 11 7 2 3" xfId="37388"/>
    <cellStyle name="표준 11 7 2 3 2" xfId="37389"/>
    <cellStyle name="표준 11 7 2 3 3" xfId="37390"/>
    <cellStyle name="표준 11 7 2 4" xfId="37391"/>
    <cellStyle name="표준 11 7 2 5" xfId="37392"/>
    <cellStyle name="표준 11 7 3" xfId="37393"/>
    <cellStyle name="표준 11 7 3 2" xfId="37394"/>
    <cellStyle name="표준 11 7 3 2 2" xfId="37395"/>
    <cellStyle name="표준 11 7 3 2 2 2" xfId="37396"/>
    <cellStyle name="표준 11 7 3 2 2 3" xfId="37397"/>
    <cellStyle name="표준 11 7 3 2 3" xfId="37398"/>
    <cellStyle name="표준 11 7 3 2 4" xfId="37399"/>
    <cellStyle name="표준 11 7 3 3" xfId="37400"/>
    <cellStyle name="표준 11 7 3 3 2" xfId="37401"/>
    <cellStyle name="표준 11 7 3 3 3" xfId="37402"/>
    <cellStyle name="표준 11 7 3 4" xfId="37403"/>
    <cellStyle name="표준 11 7 3 5" xfId="37404"/>
    <cellStyle name="표준 11 7 4" xfId="37405"/>
    <cellStyle name="표준 11 7 4 2" xfId="37406"/>
    <cellStyle name="표준 11 7 4 2 2" xfId="37407"/>
    <cellStyle name="표준 11 7 4 2 3" xfId="37408"/>
    <cellStyle name="표준 11 7 4 3" xfId="37409"/>
    <cellStyle name="표준 11 7 4 4" xfId="37410"/>
    <cellStyle name="표준 11 7 5" xfId="37411"/>
    <cellStyle name="표준 11 7 5 2" xfId="37412"/>
    <cellStyle name="표준 11 7 5 3" xfId="37413"/>
    <cellStyle name="표준 11 7 6" xfId="37414"/>
    <cellStyle name="표준 11 7 7" xfId="37415"/>
    <cellStyle name="표준 11 8" xfId="37416"/>
    <cellStyle name="표준 11 8 2" xfId="37417"/>
    <cellStyle name="표준 11 8 2 2" xfId="37418"/>
    <cellStyle name="표준 11 8 2 2 2" xfId="37419"/>
    <cellStyle name="표준 11 8 2 2 3" xfId="37420"/>
    <cellStyle name="표준 11 8 2 3" xfId="37421"/>
    <cellStyle name="표준 11 8 2 4" xfId="37422"/>
    <cellStyle name="표준 11 8 3" xfId="37423"/>
    <cellStyle name="표준 11 8 3 2" xfId="37424"/>
    <cellStyle name="표준 11 8 3 3" xfId="37425"/>
    <cellStyle name="표준 11 8 4" xfId="37426"/>
    <cellStyle name="표준 11 8 5" xfId="37427"/>
    <cellStyle name="표준 11 9" xfId="37428"/>
    <cellStyle name="표준 11 9 2" xfId="37429"/>
    <cellStyle name="표준 11 9 2 2" xfId="37430"/>
    <cellStyle name="표준 11 9 2 2 2" xfId="37431"/>
    <cellStyle name="표준 11 9 2 2 3" xfId="37432"/>
    <cellStyle name="표준 11 9 2 3" xfId="37433"/>
    <cellStyle name="표준 11 9 2 4" xfId="37434"/>
    <cellStyle name="표준 11 9 3" xfId="37435"/>
    <cellStyle name="표준 11 9 3 2" xfId="37436"/>
    <cellStyle name="표준 11 9 3 3" xfId="37437"/>
    <cellStyle name="표준 11 9 4" xfId="37438"/>
    <cellStyle name="표준 11 9 5" xfId="37439"/>
    <cellStyle name="표준 110" xfId="37440"/>
    <cellStyle name="표준 111" xfId="37441"/>
    <cellStyle name="표준 112" xfId="37442"/>
    <cellStyle name="표준 113" xfId="37443"/>
    <cellStyle name="표준 114" xfId="37444"/>
    <cellStyle name="표준 115" xfId="37445"/>
    <cellStyle name="표준 116" xfId="37446"/>
    <cellStyle name="표준 117" xfId="37447"/>
    <cellStyle name="표준 118" xfId="37448"/>
    <cellStyle name="표준 119" xfId="37449"/>
    <cellStyle name="표준 12" xfId="37450"/>
    <cellStyle name="표준 12 10" xfId="37451"/>
    <cellStyle name="표준 12 10 2" xfId="37452"/>
    <cellStyle name="표준 12 10 2 2" xfId="37453"/>
    <cellStyle name="표준 12 10 2 3" xfId="37454"/>
    <cellStyle name="표준 12 10 3" xfId="37455"/>
    <cellStyle name="표준 12 10 4" xfId="37456"/>
    <cellStyle name="표준 12 11" xfId="37457"/>
    <cellStyle name="표준 12 11 2" xfId="37458"/>
    <cellStyle name="표준 12 11 3" xfId="37459"/>
    <cellStyle name="표준 12 12" xfId="37460"/>
    <cellStyle name="표준 12 13" xfId="37461"/>
    <cellStyle name="표준 12 14" xfId="37462"/>
    <cellStyle name="표준 12 2" xfId="37463"/>
    <cellStyle name="표준 12 2 10" xfId="37464"/>
    <cellStyle name="표준 12 2 11" xfId="37465"/>
    <cellStyle name="표준 12 2 2" xfId="37466"/>
    <cellStyle name="표준 12 2 2 2" xfId="37467"/>
    <cellStyle name="표준 12 2 2 2 2" xfId="37468"/>
    <cellStyle name="표준 12 2 2 2 2 2" xfId="37469"/>
    <cellStyle name="표준 12 2 2 2 2 2 2" xfId="37470"/>
    <cellStyle name="표준 12 2 2 2 2 2 3" xfId="37471"/>
    <cellStyle name="표준 12 2 2 2 2 3" xfId="37472"/>
    <cellStyle name="표준 12 2 2 2 2 4" xfId="37473"/>
    <cellStyle name="표준 12 2 2 2 3" xfId="37474"/>
    <cellStyle name="표준 12 2 2 2 3 2" xfId="37475"/>
    <cellStyle name="표준 12 2 2 2 3 3" xfId="37476"/>
    <cellStyle name="표준 12 2 2 2 4" xfId="37477"/>
    <cellStyle name="표준 12 2 2 2 5" xfId="37478"/>
    <cellStyle name="표준 12 2 2 3" xfId="37479"/>
    <cellStyle name="표준 12 2 2 3 2" xfId="37480"/>
    <cellStyle name="표준 12 2 2 3 2 2" xfId="37481"/>
    <cellStyle name="표준 12 2 2 3 2 2 2" xfId="37482"/>
    <cellStyle name="표준 12 2 2 3 2 2 3" xfId="37483"/>
    <cellStyle name="표준 12 2 2 3 2 3" xfId="37484"/>
    <cellStyle name="표준 12 2 2 3 2 4" xfId="37485"/>
    <cellStyle name="표준 12 2 2 3 3" xfId="37486"/>
    <cellStyle name="표준 12 2 2 3 3 2" xfId="37487"/>
    <cellStyle name="표준 12 2 2 3 3 3" xfId="37488"/>
    <cellStyle name="표준 12 2 2 3 4" xfId="37489"/>
    <cellStyle name="표준 12 2 2 3 5" xfId="37490"/>
    <cellStyle name="표준 12 2 2 4" xfId="37491"/>
    <cellStyle name="표준 12 2 2 4 2" xfId="37492"/>
    <cellStyle name="표준 12 2 2 4 2 2" xfId="37493"/>
    <cellStyle name="표준 12 2 2 4 2 3" xfId="37494"/>
    <cellStyle name="표준 12 2 2 4 3" xfId="37495"/>
    <cellStyle name="표준 12 2 2 4 4" xfId="37496"/>
    <cellStyle name="표준 12 2 2 5" xfId="37497"/>
    <cellStyle name="표준 12 2 2 5 2" xfId="37498"/>
    <cellStyle name="표준 12 2 2 5 3" xfId="37499"/>
    <cellStyle name="표준 12 2 2 6" xfId="37500"/>
    <cellStyle name="표준 12 2 2 7" xfId="37501"/>
    <cellStyle name="표준 12 2 2 8" xfId="37502"/>
    <cellStyle name="표준 12 2 3" xfId="37503"/>
    <cellStyle name="표준 12 2 3 2" xfId="37504"/>
    <cellStyle name="표준 12 2 3 2 2" xfId="37505"/>
    <cellStyle name="표준 12 2 3 2 2 2" xfId="37506"/>
    <cellStyle name="표준 12 2 3 2 2 2 2" xfId="37507"/>
    <cellStyle name="표준 12 2 3 2 2 2 3" xfId="37508"/>
    <cellStyle name="표준 12 2 3 2 2 3" xfId="37509"/>
    <cellStyle name="표준 12 2 3 2 2 4" xfId="37510"/>
    <cellStyle name="표준 12 2 3 2 3" xfId="37511"/>
    <cellStyle name="표준 12 2 3 2 3 2" xfId="37512"/>
    <cellStyle name="표준 12 2 3 2 3 3" xfId="37513"/>
    <cellStyle name="표준 12 2 3 2 4" xfId="37514"/>
    <cellStyle name="표준 12 2 3 2 5" xfId="37515"/>
    <cellStyle name="표준 12 2 3 3" xfId="37516"/>
    <cellStyle name="표준 12 2 3 3 2" xfId="37517"/>
    <cellStyle name="표준 12 2 3 3 2 2" xfId="37518"/>
    <cellStyle name="표준 12 2 3 3 2 2 2" xfId="37519"/>
    <cellStyle name="표준 12 2 3 3 2 2 3" xfId="37520"/>
    <cellStyle name="표준 12 2 3 3 2 3" xfId="37521"/>
    <cellStyle name="표준 12 2 3 3 2 4" xfId="37522"/>
    <cellStyle name="표준 12 2 3 3 3" xfId="37523"/>
    <cellStyle name="표준 12 2 3 3 3 2" xfId="37524"/>
    <cellStyle name="표준 12 2 3 3 3 3" xfId="37525"/>
    <cellStyle name="표준 12 2 3 3 4" xfId="37526"/>
    <cellStyle name="표준 12 2 3 3 5" xfId="37527"/>
    <cellStyle name="표준 12 2 3 4" xfId="37528"/>
    <cellStyle name="표준 12 2 3 4 2" xfId="37529"/>
    <cellStyle name="표준 12 2 3 4 2 2" xfId="37530"/>
    <cellStyle name="표준 12 2 3 4 2 3" xfId="37531"/>
    <cellStyle name="표준 12 2 3 4 3" xfId="37532"/>
    <cellStyle name="표준 12 2 3 4 4" xfId="37533"/>
    <cellStyle name="표준 12 2 3 5" xfId="37534"/>
    <cellStyle name="표준 12 2 3 5 2" xfId="37535"/>
    <cellStyle name="표준 12 2 3 5 3" xfId="37536"/>
    <cellStyle name="표준 12 2 3 6" xfId="37537"/>
    <cellStyle name="표준 12 2 3 7" xfId="37538"/>
    <cellStyle name="표준 12 2 4" xfId="37539"/>
    <cellStyle name="표준 12 2 4 2" xfId="37540"/>
    <cellStyle name="표준 12 2 4 2 2" xfId="37541"/>
    <cellStyle name="표준 12 2 4 2 2 2" xfId="37542"/>
    <cellStyle name="표준 12 2 4 2 2 3" xfId="37543"/>
    <cellStyle name="표준 12 2 4 2 3" xfId="37544"/>
    <cellStyle name="표준 12 2 4 2 4" xfId="37545"/>
    <cellStyle name="표준 12 2 4 3" xfId="37546"/>
    <cellStyle name="표준 12 2 4 3 2" xfId="37547"/>
    <cellStyle name="표준 12 2 4 3 3" xfId="37548"/>
    <cellStyle name="표준 12 2 4 4" xfId="37549"/>
    <cellStyle name="표준 12 2 4 5" xfId="37550"/>
    <cellStyle name="표준 12 2 5" xfId="37551"/>
    <cellStyle name="표준 12 2 5 2" xfId="37552"/>
    <cellStyle name="표준 12 2 5 2 2" xfId="37553"/>
    <cellStyle name="표준 12 2 5 2 2 2" xfId="37554"/>
    <cellStyle name="표준 12 2 5 2 2 3" xfId="37555"/>
    <cellStyle name="표준 12 2 5 2 3" xfId="37556"/>
    <cellStyle name="표준 12 2 5 2 4" xfId="37557"/>
    <cellStyle name="표준 12 2 5 3" xfId="37558"/>
    <cellStyle name="표준 12 2 5 3 2" xfId="37559"/>
    <cellStyle name="표준 12 2 5 3 3" xfId="37560"/>
    <cellStyle name="표준 12 2 5 4" xfId="37561"/>
    <cellStyle name="표준 12 2 5 5" xfId="37562"/>
    <cellStyle name="표준 12 2 6" xfId="37563"/>
    <cellStyle name="표준 12 2 6 2" xfId="37564"/>
    <cellStyle name="표준 12 2 6 2 2" xfId="37565"/>
    <cellStyle name="표준 12 2 6 2 2 2" xfId="37566"/>
    <cellStyle name="표준 12 2 6 2 2 3" xfId="37567"/>
    <cellStyle name="표준 12 2 6 2 3" xfId="37568"/>
    <cellStyle name="표준 12 2 6 2 4" xfId="37569"/>
    <cellStyle name="표준 12 2 6 3" xfId="37570"/>
    <cellStyle name="표준 12 2 6 3 2" xfId="37571"/>
    <cellStyle name="표준 12 2 6 3 3" xfId="37572"/>
    <cellStyle name="표준 12 2 6 4" xfId="37573"/>
    <cellStyle name="표준 12 2 6 5" xfId="37574"/>
    <cellStyle name="표준 12 2 7" xfId="37575"/>
    <cellStyle name="표준 12 2 7 2" xfId="37576"/>
    <cellStyle name="표준 12 2 7 2 2" xfId="37577"/>
    <cellStyle name="표준 12 2 7 2 3" xfId="37578"/>
    <cellStyle name="표준 12 2 7 3" xfId="37579"/>
    <cellStyle name="표준 12 2 7 4" xfId="37580"/>
    <cellStyle name="표준 12 2 8" xfId="37581"/>
    <cellStyle name="표준 12 2 8 2" xfId="37582"/>
    <cellStyle name="표준 12 2 8 3" xfId="37583"/>
    <cellStyle name="표준 12 2 9" xfId="37584"/>
    <cellStyle name="표준 12 3" xfId="37585"/>
    <cellStyle name="표준 12 3 10" xfId="37586"/>
    <cellStyle name="표준 12 3 11" xfId="37587"/>
    <cellStyle name="표준 12 3 2" xfId="37588"/>
    <cellStyle name="표준 12 3 2 2" xfId="37589"/>
    <cellStyle name="표준 12 3 2 2 2" xfId="37590"/>
    <cellStyle name="표준 12 3 2 2 2 2" xfId="37591"/>
    <cellStyle name="표준 12 3 2 2 2 2 2" xfId="37592"/>
    <cellStyle name="표준 12 3 2 2 2 2 3" xfId="37593"/>
    <cellStyle name="표준 12 3 2 2 2 3" xfId="37594"/>
    <cellStyle name="표준 12 3 2 2 2 4" xfId="37595"/>
    <cellStyle name="표준 12 3 2 2 3" xfId="37596"/>
    <cellStyle name="표준 12 3 2 2 3 2" xfId="37597"/>
    <cellStyle name="표준 12 3 2 2 3 3" xfId="37598"/>
    <cellStyle name="표준 12 3 2 2 4" xfId="37599"/>
    <cellStyle name="표준 12 3 2 2 5" xfId="37600"/>
    <cellStyle name="표준 12 3 2 3" xfId="37601"/>
    <cellStyle name="표준 12 3 2 3 2" xfId="37602"/>
    <cellStyle name="표준 12 3 2 3 2 2" xfId="37603"/>
    <cellStyle name="표준 12 3 2 3 2 2 2" xfId="37604"/>
    <cellStyle name="표준 12 3 2 3 2 2 3" xfId="37605"/>
    <cellStyle name="표준 12 3 2 3 2 3" xfId="37606"/>
    <cellStyle name="표준 12 3 2 3 2 4" xfId="37607"/>
    <cellStyle name="표준 12 3 2 3 3" xfId="37608"/>
    <cellStyle name="표준 12 3 2 3 3 2" xfId="37609"/>
    <cellStyle name="표준 12 3 2 3 3 3" xfId="37610"/>
    <cellStyle name="표준 12 3 2 3 4" xfId="37611"/>
    <cellStyle name="표준 12 3 2 3 5" xfId="37612"/>
    <cellStyle name="표준 12 3 2 4" xfId="37613"/>
    <cellStyle name="표준 12 3 2 4 2" xfId="37614"/>
    <cellStyle name="표준 12 3 2 4 2 2" xfId="37615"/>
    <cellStyle name="표준 12 3 2 4 2 3" xfId="37616"/>
    <cellStyle name="표준 12 3 2 4 3" xfId="37617"/>
    <cellStyle name="표준 12 3 2 4 4" xfId="37618"/>
    <cellStyle name="표준 12 3 2 5" xfId="37619"/>
    <cellStyle name="표준 12 3 2 5 2" xfId="37620"/>
    <cellStyle name="표준 12 3 2 5 3" xfId="37621"/>
    <cellStyle name="표준 12 3 2 6" xfId="37622"/>
    <cellStyle name="표준 12 3 2 7" xfId="37623"/>
    <cellStyle name="표준 12 3 3" xfId="37624"/>
    <cellStyle name="표준 12 3 3 2" xfId="37625"/>
    <cellStyle name="표준 12 3 3 2 2" xfId="37626"/>
    <cellStyle name="표준 12 3 3 2 2 2" xfId="37627"/>
    <cellStyle name="표준 12 3 3 2 2 2 2" xfId="37628"/>
    <cellStyle name="표준 12 3 3 2 2 2 3" xfId="37629"/>
    <cellStyle name="표준 12 3 3 2 2 3" xfId="37630"/>
    <cellStyle name="표준 12 3 3 2 2 4" xfId="37631"/>
    <cellStyle name="표준 12 3 3 2 3" xfId="37632"/>
    <cellStyle name="표준 12 3 3 2 3 2" xfId="37633"/>
    <cellStyle name="표준 12 3 3 2 3 3" xfId="37634"/>
    <cellStyle name="표준 12 3 3 2 4" xfId="37635"/>
    <cellStyle name="표준 12 3 3 2 5" xfId="37636"/>
    <cellStyle name="표준 12 3 3 3" xfId="37637"/>
    <cellStyle name="표준 12 3 3 3 2" xfId="37638"/>
    <cellStyle name="표준 12 3 3 3 2 2" xfId="37639"/>
    <cellStyle name="표준 12 3 3 3 2 2 2" xfId="37640"/>
    <cellStyle name="표준 12 3 3 3 2 2 3" xfId="37641"/>
    <cellStyle name="표준 12 3 3 3 2 3" xfId="37642"/>
    <cellStyle name="표준 12 3 3 3 2 4" xfId="37643"/>
    <cellStyle name="표준 12 3 3 3 3" xfId="37644"/>
    <cellStyle name="표준 12 3 3 3 3 2" xfId="37645"/>
    <cellStyle name="표준 12 3 3 3 3 3" xfId="37646"/>
    <cellStyle name="표준 12 3 3 3 4" xfId="37647"/>
    <cellStyle name="표준 12 3 3 3 5" xfId="37648"/>
    <cellStyle name="표준 12 3 3 4" xfId="37649"/>
    <cellStyle name="표준 12 3 3 4 2" xfId="37650"/>
    <cellStyle name="표준 12 3 3 4 2 2" xfId="37651"/>
    <cellStyle name="표준 12 3 3 4 2 3" xfId="37652"/>
    <cellStyle name="표준 12 3 3 4 3" xfId="37653"/>
    <cellStyle name="표준 12 3 3 4 4" xfId="37654"/>
    <cellStyle name="표준 12 3 3 5" xfId="37655"/>
    <cellStyle name="표준 12 3 3 5 2" xfId="37656"/>
    <cellStyle name="표준 12 3 3 5 3" xfId="37657"/>
    <cellStyle name="표준 12 3 3 6" xfId="37658"/>
    <cellStyle name="표준 12 3 3 7" xfId="37659"/>
    <cellStyle name="표준 12 3 4" xfId="37660"/>
    <cellStyle name="표준 12 3 4 2" xfId="37661"/>
    <cellStyle name="표준 12 3 4 2 2" xfId="37662"/>
    <cellStyle name="표준 12 3 4 2 2 2" xfId="37663"/>
    <cellStyle name="표준 12 3 4 2 2 3" xfId="37664"/>
    <cellStyle name="표준 12 3 4 2 3" xfId="37665"/>
    <cellStyle name="표준 12 3 4 2 4" xfId="37666"/>
    <cellStyle name="표준 12 3 4 3" xfId="37667"/>
    <cellStyle name="표준 12 3 4 3 2" xfId="37668"/>
    <cellStyle name="표준 12 3 4 3 3" xfId="37669"/>
    <cellStyle name="표준 12 3 4 4" xfId="37670"/>
    <cellStyle name="표준 12 3 4 5" xfId="37671"/>
    <cellStyle name="표준 12 3 5" xfId="37672"/>
    <cellStyle name="표준 12 3 5 2" xfId="37673"/>
    <cellStyle name="표준 12 3 5 2 2" xfId="37674"/>
    <cellStyle name="표준 12 3 5 2 2 2" xfId="37675"/>
    <cellStyle name="표준 12 3 5 2 2 3" xfId="37676"/>
    <cellStyle name="표준 12 3 5 2 3" xfId="37677"/>
    <cellStyle name="표준 12 3 5 2 4" xfId="37678"/>
    <cellStyle name="표준 12 3 5 3" xfId="37679"/>
    <cellStyle name="표준 12 3 5 3 2" xfId="37680"/>
    <cellStyle name="표준 12 3 5 3 3" xfId="37681"/>
    <cellStyle name="표준 12 3 5 4" xfId="37682"/>
    <cellStyle name="표준 12 3 5 5" xfId="37683"/>
    <cellStyle name="표준 12 3 6" xfId="37684"/>
    <cellStyle name="표준 12 3 6 2" xfId="37685"/>
    <cellStyle name="표준 12 3 6 2 2" xfId="37686"/>
    <cellStyle name="표준 12 3 6 2 2 2" xfId="37687"/>
    <cellStyle name="표준 12 3 6 2 2 3" xfId="37688"/>
    <cellStyle name="표준 12 3 6 2 3" xfId="37689"/>
    <cellStyle name="표준 12 3 6 2 4" xfId="37690"/>
    <cellStyle name="표준 12 3 6 3" xfId="37691"/>
    <cellStyle name="표준 12 3 6 3 2" xfId="37692"/>
    <cellStyle name="표준 12 3 6 3 3" xfId="37693"/>
    <cellStyle name="표준 12 3 6 4" xfId="37694"/>
    <cellStyle name="표준 12 3 6 5" xfId="37695"/>
    <cellStyle name="표준 12 3 7" xfId="37696"/>
    <cellStyle name="표준 12 3 7 2" xfId="37697"/>
    <cellStyle name="표준 12 3 7 2 2" xfId="37698"/>
    <cellStyle name="표준 12 3 7 2 3" xfId="37699"/>
    <cellStyle name="표준 12 3 7 3" xfId="37700"/>
    <cellStyle name="표준 12 3 7 4" xfId="37701"/>
    <cellStyle name="표준 12 3 8" xfId="37702"/>
    <cellStyle name="표준 12 3 8 2" xfId="37703"/>
    <cellStyle name="표준 12 3 8 3" xfId="37704"/>
    <cellStyle name="표준 12 3 9" xfId="37705"/>
    <cellStyle name="표준 12 4" xfId="37706"/>
    <cellStyle name="표준 12 4 10" xfId="37707"/>
    <cellStyle name="표준 12 4 11" xfId="37708"/>
    <cellStyle name="표준 12 4 2" xfId="37709"/>
    <cellStyle name="표준 12 4 2 2" xfId="37710"/>
    <cellStyle name="표준 12 4 2 2 2" xfId="37711"/>
    <cellStyle name="표준 12 4 2 2 2 2" xfId="37712"/>
    <cellStyle name="표준 12 4 2 2 2 2 2" xfId="37713"/>
    <cellStyle name="표준 12 4 2 2 2 2 3" xfId="37714"/>
    <cellStyle name="표준 12 4 2 2 2 3" xfId="37715"/>
    <cellStyle name="표준 12 4 2 2 2 4" xfId="37716"/>
    <cellStyle name="표준 12 4 2 2 3" xfId="37717"/>
    <cellStyle name="표준 12 4 2 2 3 2" xfId="37718"/>
    <cellStyle name="표준 12 4 2 2 3 3" xfId="37719"/>
    <cellStyle name="표준 12 4 2 2 4" xfId="37720"/>
    <cellStyle name="표준 12 4 2 2 5" xfId="37721"/>
    <cellStyle name="표준 12 4 2 3" xfId="37722"/>
    <cellStyle name="표준 12 4 2 3 2" xfId="37723"/>
    <cellStyle name="표준 12 4 2 3 2 2" xfId="37724"/>
    <cellStyle name="표준 12 4 2 3 2 2 2" xfId="37725"/>
    <cellStyle name="표준 12 4 2 3 2 2 3" xfId="37726"/>
    <cellStyle name="표준 12 4 2 3 2 3" xfId="37727"/>
    <cellStyle name="표준 12 4 2 3 2 4" xfId="37728"/>
    <cellStyle name="표준 12 4 2 3 3" xfId="37729"/>
    <cellStyle name="표준 12 4 2 3 3 2" xfId="37730"/>
    <cellStyle name="표준 12 4 2 3 3 3" xfId="37731"/>
    <cellStyle name="표준 12 4 2 3 4" xfId="37732"/>
    <cellStyle name="표준 12 4 2 3 5" xfId="37733"/>
    <cellStyle name="표준 12 4 2 4" xfId="37734"/>
    <cellStyle name="표준 12 4 2 4 2" xfId="37735"/>
    <cellStyle name="표준 12 4 2 4 2 2" xfId="37736"/>
    <cellStyle name="표준 12 4 2 4 2 3" xfId="37737"/>
    <cellStyle name="표준 12 4 2 4 3" xfId="37738"/>
    <cellStyle name="표준 12 4 2 4 4" xfId="37739"/>
    <cellStyle name="표준 12 4 2 5" xfId="37740"/>
    <cellStyle name="표준 12 4 2 5 2" xfId="37741"/>
    <cellStyle name="표준 12 4 2 5 3" xfId="37742"/>
    <cellStyle name="표준 12 4 2 6" xfId="37743"/>
    <cellStyle name="표준 12 4 2 7" xfId="37744"/>
    <cellStyle name="표준 12 4 3" xfId="37745"/>
    <cellStyle name="표준 12 4 3 2" xfId="37746"/>
    <cellStyle name="표준 12 4 3 2 2" xfId="37747"/>
    <cellStyle name="표준 12 4 3 2 2 2" xfId="37748"/>
    <cellStyle name="표준 12 4 3 2 2 2 2" xfId="37749"/>
    <cellStyle name="표준 12 4 3 2 2 2 3" xfId="37750"/>
    <cellStyle name="표준 12 4 3 2 2 3" xfId="37751"/>
    <cellStyle name="표준 12 4 3 2 2 4" xfId="37752"/>
    <cellStyle name="표준 12 4 3 2 3" xfId="37753"/>
    <cellStyle name="표준 12 4 3 2 3 2" xfId="37754"/>
    <cellStyle name="표준 12 4 3 2 3 3" xfId="37755"/>
    <cellStyle name="표준 12 4 3 2 4" xfId="37756"/>
    <cellStyle name="표준 12 4 3 2 5" xfId="37757"/>
    <cellStyle name="표준 12 4 3 3" xfId="37758"/>
    <cellStyle name="표준 12 4 3 3 2" xfId="37759"/>
    <cellStyle name="표준 12 4 3 3 2 2" xfId="37760"/>
    <cellStyle name="표준 12 4 3 3 2 2 2" xfId="37761"/>
    <cellStyle name="표준 12 4 3 3 2 2 3" xfId="37762"/>
    <cellStyle name="표준 12 4 3 3 2 3" xfId="37763"/>
    <cellStyle name="표준 12 4 3 3 2 4" xfId="37764"/>
    <cellStyle name="표준 12 4 3 3 3" xfId="37765"/>
    <cellStyle name="표준 12 4 3 3 3 2" xfId="37766"/>
    <cellStyle name="표준 12 4 3 3 3 3" xfId="37767"/>
    <cellStyle name="표준 12 4 3 3 4" xfId="37768"/>
    <cellStyle name="표준 12 4 3 3 5" xfId="37769"/>
    <cellStyle name="표준 12 4 3 4" xfId="37770"/>
    <cellStyle name="표준 12 4 3 4 2" xfId="37771"/>
    <cellStyle name="표준 12 4 3 4 2 2" xfId="37772"/>
    <cellStyle name="표준 12 4 3 4 2 3" xfId="37773"/>
    <cellStyle name="표준 12 4 3 4 3" xfId="37774"/>
    <cellStyle name="표준 12 4 3 4 4" xfId="37775"/>
    <cellStyle name="표준 12 4 3 5" xfId="37776"/>
    <cellStyle name="표준 12 4 3 5 2" xfId="37777"/>
    <cellStyle name="표준 12 4 3 5 3" xfId="37778"/>
    <cellStyle name="표준 12 4 3 6" xfId="37779"/>
    <cellStyle name="표준 12 4 3 7" xfId="37780"/>
    <cellStyle name="표준 12 4 4" xfId="37781"/>
    <cellStyle name="표준 12 4 4 2" xfId="37782"/>
    <cellStyle name="표준 12 4 4 2 2" xfId="37783"/>
    <cellStyle name="표준 12 4 4 2 2 2" xfId="37784"/>
    <cellStyle name="표준 12 4 4 2 2 3" xfId="37785"/>
    <cellStyle name="표준 12 4 4 2 3" xfId="37786"/>
    <cellStyle name="표준 12 4 4 2 4" xfId="37787"/>
    <cellStyle name="표준 12 4 4 3" xfId="37788"/>
    <cellStyle name="표준 12 4 4 3 2" xfId="37789"/>
    <cellStyle name="표준 12 4 4 3 3" xfId="37790"/>
    <cellStyle name="표준 12 4 4 4" xfId="37791"/>
    <cellStyle name="표준 12 4 4 5" xfId="37792"/>
    <cellStyle name="표준 12 4 5" xfId="37793"/>
    <cellStyle name="표준 12 4 5 2" xfId="37794"/>
    <cellStyle name="표준 12 4 5 2 2" xfId="37795"/>
    <cellStyle name="표준 12 4 5 2 2 2" xfId="37796"/>
    <cellStyle name="표준 12 4 5 2 2 3" xfId="37797"/>
    <cellStyle name="표준 12 4 5 2 3" xfId="37798"/>
    <cellStyle name="표준 12 4 5 2 4" xfId="37799"/>
    <cellStyle name="표준 12 4 5 3" xfId="37800"/>
    <cellStyle name="표준 12 4 5 3 2" xfId="37801"/>
    <cellStyle name="표준 12 4 5 3 3" xfId="37802"/>
    <cellStyle name="표준 12 4 5 4" xfId="37803"/>
    <cellStyle name="표준 12 4 5 5" xfId="37804"/>
    <cellStyle name="표준 12 4 6" xfId="37805"/>
    <cellStyle name="표준 12 4 6 2" xfId="37806"/>
    <cellStyle name="표준 12 4 6 2 2" xfId="37807"/>
    <cellStyle name="표준 12 4 6 2 2 2" xfId="37808"/>
    <cellStyle name="표준 12 4 6 2 2 3" xfId="37809"/>
    <cellStyle name="표준 12 4 6 2 3" xfId="37810"/>
    <cellStyle name="표준 12 4 6 2 4" xfId="37811"/>
    <cellStyle name="표준 12 4 6 3" xfId="37812"/>
    <cellStyle name="표준 12 4 6 3 2" xfId="37813"/>
    <cellStyle name="표준 12 4 6 3 3" xfId="37814"/>
    <cellStyle name="표준 12 4 6 4" xfId="37815"/>
    <cellStyle name="표준 12 4 6 5" xfId="37816"/>
    <cellStyle name="표준 12 4 7" xfId="37817"/>
    <cellStyle name="표준 12 4 7 2" xfId="37818"/>
    <cellStyle name="표준 12 4 7 2 2" xfId="37819"/>
    <cellStyle name="표준 12 4 7 2 3" xfId="37820"/>
    <cellStyle name="표준 12 4 7 3" xfId="37821"/>
    <cellStyle name="표준 12 4 7 4" xfId="37822"/>
    <cellStyle name="표준 12 4 8" xfId="37823"/>
    <cellStyle name="표준 12 4 8 2" xfId="37824"/>
    <cellStyle name="표준 12 4 8 3" xfId="37825"/>
    <cellStyle name="표준 12 4 9" xfId="37826"/>
    <cellStyle name="표준 12 5" xfId="37827"/>
    <cellStyle name="표준 12 5 2" xfId="37828"/>
    <cellStyle name="표준 12 5 2 2" xfId="37829"/>
    <cellStyle name="표준 12 5 2 2 2" xfId="37830"/>
    <cellStyle name="표준 12 5 2 2 2 2" xfId="37831"/>
    <cellStyle name="표준 12 5 2 2 2 3" xfId="37832"/>
    <cellStyle name="표준 12 5 2 2 3" xfId="37833"/>
    <cellStyle name="표준 12 5 2 2 4" xfId="37834"/>
    <cellStyle name="표준 12 5 2 3" xfId="37835"/>
    <cellStyle name="표준 12 5 2 3 2" xfId="37836"/>
    <cellStyle name="표준 12 5 2 3 3" xfId="37837"/>
    <cellStyle name="표준 12 5 2 4" xfId="37838"/>
    <cellStyle name="표준 12 5 2 5" xfId="37839"/>
    <cellStyle name="표준 12 5 3" xfId="37840"/>
    <cellStyle name="표준 12 5 3 2" xfId="37841"/>
    <cellStyle name="표준 12 5 3 2 2" xfId="37842"/>
    <cellStyle name="표준 12 5 3 2 2 2" xfId="37843"/>
    <cellStyle name="표준 12 5 3 2 2 3" xfId="37844"/>
    <cellStyle name="표준 12 5 3 2 3" xfId="37845"/>
    <cellStyle name="표준 12 5 3 2 4" xfId="37846"/>
    <cellStyle name="표준 12 5 3 3" xfId="37847"/>
    <cellStyle name="표준 12 5 3 3 2" xfId="37848"/>
    <cellStyle name="표준 12 5 3 3 3" xfId="37849"/>
    <cellStyle name="표준 12 5 3 4" xfId="37850"/>
    <cellStyle name="표준 12 5 3 5" xfId="37851"/>
    <cellStyle name="표준 12 5 4" xfId="37852"/>
    <cellStyle name="표준 12 5 4 2" xfId="37853"/>
    <cellStyle name="표준 12 5 4 2 2" xfId="37854"/>
    <cellStyle name="표준 12 5 4 2 3" xfId="37855"/>
    <cellStyle name="표준 12 5 4 3" xfId="37856"/>
    <cellStyle name="표준 12 5 4 4" xfId="37857"/>
    <cellStyle name="표준 12 5 5" xfId="37858"/>
    <cellStyle name="표준 12 5 5 2" xfId="37859"/>
    <cellStyle name="표준 12 5 5 3" xfId="37860"/>
    <cellStyle name="표준 12 5 6" xfId="37861"/>
    <cellStyle name="표준 12 5 7" xfId="37862"/>
    <cellStyle name="표준 12 5 8" xfId="37863"/>
    <cellStyle name="표준 12 6" xfId="37864"/>
    <cellStyle name="표준 12 6 2" xfId="37865"/>
    <cellStyle name="표준 12 6 2 2" xfId="37866"/>
    <cellStyle name="표준 12 6 2 2 2" xfId="37867"/>
    <cellStyle name="표준 12 6 2 2 2 2" xfId="37868"/>
    <cellStyle name="표준 12 6 2 2 2 3" xfId="37869"/>
    <cellStyle name="표준 12 6 2 2 3" xfId="37870"/>
    <cellStyle name="표준 12 6 2 2 4" xfId="37871"/>
    <cellStyle name="표준 12 6 2 3" xfId="37872"/>
    <cellStyle name="표준 12 6 2 3 2" xfId="37873"/>
    <cellStyle name="표준 12 6 2 3 3" xfId="37874"/>
    <cellStyle name="표준 12 6 2 4" xfId="37875"/>
    <cellStyle name="표준 12 6 2 5" xfId="37876"/>
    <cellStyle name="표준 12 6 3" xfId="37877"/>
    <cellStyle name="표준 12 6 3 2" xfId="37878"/>
    <cellStyle name="표준 12 6 3 2 2" xfId="37879"/>
    <cellStyle name="표준 12 6 3 2 2 2" xfId="37880"/>
    <cellStyle name="표준 12 6 3 2 2 3" xfId="37881"/>
    <cellStyle name="표준 12 6 3 2 3" xfId="37882"/>
    <cellStyle name="표준 12 6 3 2 4" xfId="37883"/>
    <cellStyle name="표준 12 6 3 3" xfId="37884"/>
    <cellStyle name="표준 12 6 3 3 2" xfId="37885"/>
    <cellStyle name="표준 12 6 3 3 3" xfId="37886"/>
    <cellStyle name="표준 12 6 3 4" xfId="37887"/>
    <cellStyle name="표준 12 6 3 5" xfId="37888"/>
    <cellStyle name="표준 12 6 4" xfId="37889"/>
    <cellStyle name="표준 12 6 4 2" xfId="37890"/>
    <cellStyle name="표준 12 6 4 2 2" xfId="37891"/>
    <cellStyle name="표준 12 6 4 2 3" xfId="37892"/>
    <cellStyle name="표준 12 6 4 3" xfId="37893"/>
    <cellStyle name="표준 12 6 4 4" xfId="37894"/>
    <cellStyle name="표준 12 6 5" xfId="37895"/>
    <cellStyle name="표준 12 6 5 2" xfId="37896"/>
    <cellStyle name="표준 12 6 5 3" xfId="37897"/>
    <cellStyle name="표준 12 6 6" xfId="37898"/>
    <cellStyle name="표준 12 6 7" xfId="37899"/>
    <cellStyle name="표준 12 6 8" xfId="37900"/>
    <cellStyle name="표준 12 7" xfId="37901"/>
    <cellStyle name="표준 12 7 2" xfId="37902"/>
    <cellStyle name="표준 12 7 2 2" xfId="37903"/>
    <cellStyle name="표준 12 7 2 2 2" xfId="37904"/>
    <cellStyle name="표준 12 7 2 2 3" xfId="37905"/>
    <cellStyle name="표준 12 7 2 3" xfId="37906"/>
    <cellStyle name="표준 12 7 2 4" xfId="37907"/>
    <cellStyle name="표준 12 7 3" xfId="37908"/>
    <cellStyle name="표준 12 7 3 2" xfId="37909"/>
    <cellStyle name="표준 12 7 3 3" xfId="37910"/>
    <cellStyle name="표준 12 7 4" xfId="37911"/>
    <cellStyle name="표준 12 7 5" xfId="37912"/>
    <cellStyle name="표준 12 7 6" xfId="37913"/>
    <cellStyle name="표준 12 8" xfId="37914"/>
    <cellStyle name="표준 12 8 2" xfId="37915"/>
    <cellStyle name="표준 12 8 2 2" xfId="37916"/>
    <cellStyle name="표준 12 8 2 2 2" xfId="37917"/>
    <cellStyle name="표준 12 8 2 2 3" xfId="37918"/>
    <cellStyle name="표준 12 8 2 3" xfId="37919"/>
    <cellStyle name="표준 12 8 2 4" xfId="37920"/>
    <cellStyle name="표준 12 8 3" xfId="37921"/>
    <cellStyle name="표준 12 8 3 2" xfId="37922"/>
    <cellStyle name="표준 12 8 3 3" xfId="37923"/>
    <cellStyle name="표준 12 8 4" xfId="37924"/>
    <cellStyle name="표준 12 8 5" xfId="37925"/>
    <cellStyle name="표준 12 9" xfId="37926"/>
    <cellStyle name="표준 12 9 2" xfId="37927"/>
    <cellStyle name="표준 12 9 2 2" xfId="37928"/>
    <cellStyle name="표준 12 9 2 2 2" xfId="37929"/>
    <cellStyle name="표준 12 9 2 2 3" xfId="37930"/>
    <cellStyle name="표준 12 9 2 3" xfId="37931"/>
    <cellStyle name="표준 12 9 2 4" xfId="37932"/>
    <cellStyle name="표준 12 9 3" xfId="37933"/>
    <cellStyle name="표준 12 9 3 2" xfId="37934"/>
    <cellStyle name="표준 12 9 3 3" xfId="37935"/>
    <cellStyle name="표준 12 9 4" xfId="37936"/>
    <cellStyle name="표준 12 9 5" xfId="37937"/>
    <cellStyle name="표준 120" xfId="37938"/>
    <cellStyle name="표준 121" xfId="37939"/>
    <cellStyle name="표준 122" xfId="37940"/>
    <cellStyle name="표준 123" xfId="37941"/>
    <cellStyle name="표준 124" xfId="37942"/>
    <cellStyle name="표준 125" xfId="37943"/>
    <cellStyle name="표준 126" xfId="37944"/>
    <cellStyle name="표준 127" xfId="37945"/>
    <cellStyle name="표준 128" xfId="37946"/>
    <cellStyle name="표준 129" xfId="37947"/>
    <cellStyle name="표준 13" xfId="37948"/>
    <cellStyle name="표준 13 2" xfId="37949"/>
    <cellStyle name="표준 13 2 2" xfId="37950"/>
    <cellStyle name="표준 13 2 2 2" xfId="37951"/>
    <cellStyle name="표준 13 2 2 2 2" xfId="37952"/>
    <cellStyle name="표준 13 2 2 2 3" xfId="37953"/>
    <cellStyle name="표준 13 2 2 3" xfId="37954"/>
    <cellStyle name="표준 13 2 2 4" xfId="37955"/>
    <cellStyle name="표준 13 2 3" xfId="37956"/>
    <cellStyle name="표준 13 2 3 2" xfId="37957"/>
    <cellStyle name="표준 13 2 3 3" xfId="37958"/>
    <cellStyle name="표준 13 2 4" xfId="37959"/>
    <cellStyle name="표준 13 2 5" xfId="37960"/>
    <cellStyle name="표준 13 3" xfId="37961"/>
    <cellStyle name="표준 13 3 2" xfId="37962"/>
    <cellStyle name="표준 13 3 2 2" xfId="37963"/>
    <cellStyle name="표준 13 3 2 2 2" xfId="37964"/>
    <cellStyle name="표준 13 3 2 2 3" xfId="37965"/>
    <cellStyle name="표준 13 3 2 3" xfId="37966"/>
    <cellStyle name="표준 13 3 2 4" xfId="37967"/>
    <cellStyle name="표준 13 3 3" xfId="37968"/>
    <cellStyle name="표준 13 3 3 2" xfId="37969"/>
    <cellStyle name="표준 13 3 3 3" xfId="37970"/>
    <cellStyle name="표준 13 3 4" xfId="37971"/>
    <cellStyle name="표준 13 3 5" xfId="37972"/>
    <cellStyle name="표준 13 4" xfId="37973"/>
    <cellStyle name="표준 13 4 2" xfId="37974"/>
    <cellStyle name="표준 13 4 2 2" xfId="37975"/>
    <cellStyle name="표준 13 4 2 3" xfId="37976"/>
    <cellStyle name="표준 13 4 3" xfId="37977"/>
    <cellStyle name="표준 13 4 4" xfId="37978"/>
    <cellStyle name="표준 13 5" xfId="37979"/>
    <cellStyle name="표준 13 5 2" xfId="37980"/>
    <cellStyle name="표준 13 5 3" xfId="37981"/>
    <cellStyle name="표준 13 6" xfId="37982"/>
    <cellStyle name="표준 13 7" xfId="37983"/>
    <cellStyle name="표준 13 8" xfId="37984"/>
    <cellStyle name="표준 130" xfId="37985"/>
    <cellStyle name="표준 131" xfId="37986"/>
    <cellStyle name="표준 132" xfId="37987"/>
    <cellStyle name="표준 133" xfId="37988"/>
    <cellStyle name="표준 134" xfId="37989"/>
    <cellStyle name="표준 135" xfId="37990"/>
    <cellStyle name="표준 136" xfId="37991"/>
    <cellStyle name="표준 137" xfId="37992"/>
    <cellStyle name="표준 138" xfId="37993"/>
    <cellStyle name="표준 139" xfId="37994"/>
    <cellStyle name="표준 14" xfId="37995"/>
    <cellStyle name="표준 14 2" xfId="37996"/>
    <cellStyle name="표준 14 2 2" xfId="37997"/>
    <cellStyle name="표준 14 2 3" xfId="37998"/>
    <cellStyle name="표준 14 3" xfId="37999"/>
    <cellStyle name="표준 14 4" xfId="38000"/>
    <cellStyle name="표준 14 5" xfId="38001"/>
    <cellStyle name="표준 140" xfId="38002"/>
    <cellStyle name="표준 141" xfId="38003"/>
    <cellStyle name="표준 142" xfId="38004"/>
    <cellStyle name="표준 143" xfId="38005"/>
    <cellStyle name="표준 144" xfId="38006"/>
    <cellStyle name="표준 15" xfId="38007"/>
    <cellStyle name="표준 15 10" xfId="38008"/>
    <cellStyle name="표준 15 11" xfId="38009"/>
    <cellStyle name="표준 15 12" xfId="38010"/>
    <cellStyle name="표준 15 13" xfId="38011"/>
    <cellStyle name="표준 15 14" xfId="38012"/>
    <cellStyle name="표준 15 15" xfId="38013"/>
    <cellStyle name="표준 15 16" xfId="38014"/>
    <cellStyle name="표준 15 17" xfId="38015"/>
    <cellStyle name="표준 15 18" xfId="38016"/>
    <cellStyle name="표준 15 19" xfId="38017"/>
    <cellStyle name="표준 15 2" xfId="38018"/>
    <cellStyle name="표준 15 20" xfId="38019"/>
    <cellStyle name="표준 15 21" xfId="38020"/>
    <cellStyle name="표준 15 22" xfId="38021"/>
    <cellStyle name="표준 15 23" xfId="38022"/>
    <cellStyle name="표준 15 24" xfId="38023"/>
    <cellStyle name="표준 15 25" xfId="38024"/>
    <cellStyle name="표준 15 26" xfId="38025"/>
    <cellStyle name="표준 15 27" xfId="38026"/>
    <cellStyle name="표준 15 28" xfId="38027"/>
    <cellStyle name="표준 15 29" xfId="38028"/>
    <cellStyle name="표준 15 3" xfId="38029"/>
    <cellStyle name="표준 15 30" xfId="38030"/>
    <cellStyle name="표준 15 31" xfId="38031"/>
    <cellStyle name="표준 15 32" xfId="38032"/>
    <cellStyle name="표준 15 33" xfId="38033"/>
    <cellStyle name="표준 15 34" xfId="38034"/>
    <cellStyle name="표준 15 35" xfId="38035"/>
    <cellStyle name="표준 15 36" xfId="38036"/>
    <cellStyle name="표준 15 37" xfId="38037"/>
    <cellStyle name="표준 15 38" xfId="38038"/>
    <cellStyle name="표준 15 39" xfId="38039"/>
    <cellStyle name="표준 15 4" xfId="38040"/>
    <cellStyle name="표준 15 40" xfId="38041"/>
    <cellStyle name="표준 15 5" xfId="38042"/>
    <cellStyle name="표준 15 6" xfId="38043"/>
    <cellStyle name="표준 15 7" xfId="38044"/>
    <cellStyle name="표준 15 8" xfId="38045"/>
    <cellStyle name="표준 15 9" xfId="38046"/>
    <cellStyle name="표준 152" xfId="38047"/>
    <cellStyle name="표준 153" xfId="38048"/>
    <cellStyle name="표준 16" xfId="38049"/>
    <cellStyle name="표준 16 2" xfId="38050"/>
    <cellStyle name="표준 16 3" xfId="38051"/>
    <cellStyle name="표준 17" xfId="38052"/>
    <cellStyle name="표준 17 2" xfId="38053"/>
    <cellStyle name="표준 17 3" xfId="38054"/>
    <cellStyle name="표준 17 4" xfId="38055"/>
    <cellStyle name="표준 18" xfId="38056"/>
    <cellStyle name="표준 18 2" xfId="38057"/>
    <cellStyle name="표준 18 3" xfId="38058"/>
    <cellStyle name="표준 19" xfId="38059"/>
    <cellStyle name="표준 19 2" xfId="38060"/>
    <cellStyle name="표준 19 3" xfId="38061"/>
    <cellStyle name="표준 2" xfId="38062"/>
    <cellStyle name="표준 2 10" xfId="38063"/>
    <cellStyle name="표준 2 10 2" xfId="38064"/>
    <cellStyle name="표준 2 10 3" xfId="38065"/>
    <cellStyle name="표준 2 11" xfId="38066"/>
    <cellStyle name="표준 2 11 2" xfId="38067"/>
    <cellStyle name="표준 2 11 3" xfId="38068"/>
    <cellStyle name="표준 2 12" xfId="38069"/>
    <cellStyle name="표준 2 12 2" xfId="38070"/>
    <cellStyle name="표준 2 13" xfId="38071"/>
    <cellStyle name="표준 2 13 2" xfId="38072"/>
    <cellStyle name="표준 2 14" xfId="38073"/>
    <cellStyle name="표준 2 14 2" xfId="38074"/>
    <cellStyle name="표준 2 15" xfId="38075"/>
    <cellStyle name="표준 2 15 2" xfId="38076"/>
    <cellStyle name="표준 2 16" xfId="38077"/>
    <cellStyle name="표준 2 16 2" xfId="38078"/>
    <cellStyle name="표준 2 17" xfId="38079"/>
    <cellStyle name="표준 2 17 2" xfId="38080"/>
    <cellStyle name="표준 2 18" xfId="38081"/>
    <cellStyle name="표준 2 18 2" xfId="38082"/>
    <cellStyle name="표준 2 19" xfId="38083"/>
    <cellStyle name="표준 2 19 2" xfId="38084"/>
    <cellStyle name="표준 2 2" xfId="38085"/>
    <cellStyle name="표준 2 2 10" xfId="38086"/>
    <cellStyle name="표준 2 2 10 2" xfId="38087"/>
    <cellStyle name="표준 2 2 11" xfId="38088"/>
    <cellStyle name="표준 2 2 11 2" xfId="38089"/>
    <cellStyle name="표준 2 2 12" xfId="38090"/>
    <cellStyle name="표준 2 2 12 2" xfId="38091"/>
    <cellStyle name="표준 2 2 13" xfId="38092"/>
    <cellStyle name="표준 2 2 14" xfId="38093"/>
    <cellStyle name="표준 2 2 15" xfId="38094"/>
    <cellStyle name="표준 2 2 16" xfId="38095"/>
    <cellStyle name="표준 2 2 17" xfId="38096"/>
    <cellStyle name="표준 2 2 18" xfId="38097"/>
    <cellStyle name="표준 2 2 19" xfId="38098"/>
    <cellStyle name="표준 2 2 2" xfId="38099"/>
    <cellStyle name="표준 2 2 2 2" xfId="38100"/>
    <cellStyle name="표준 2 2 2 2 2" xfId="38101"/>
    <cellStyle name="표준 2 2 2 2 2 2" xfId="38102"/>
    <cellStyle name="표준 2 2 2 2 2 2 2" xfId="38103"/>
    <cellStyle name="표준 2 2 2 2 2 2 2 2" xfId="38104"/>
    <cellStyle name="표준 2 2 2 2 2 2 3" xfId="38105"/>
    <cellStyle name="표준 2 2 2 2 2 2 3 2" xfId="38106"/>
    <cellStyle name="표준 2 2 2 2 2 2 4" xfId="38107"/>
    <cellStyle name="표준 2 2 2 2 2 2 4 2" xfId="38108"/>
    <cellStyle name="표준 2 2 2 2 2 2 5" xfId="38109"/>
    <cellStyle name="표준 2 2 2 2 2 3" xfId="38110"/>
    <cellStyle name="표준 2 2 2 2 2 3 2" xfId="38111"/>
    <cellStyle name="표준 2 2 2 2 2 4" xfId="38112"/>
    <cellStyle name="표준 2 2 2 2 3" xfId="38113"/>
    <cellStyle name="표준 2 2 2 2 3 2" xfId="38114"/>
    <cellStyle name="표준 2 2 2 2 4" xfId="38115"/>
    <cellStyle name="표준 2 2 2 2 4 2" xfId="38116"/>
    <cellStyle name="표준 2 2 2 2 5" xfId="38117"/>
    <cellStyle name="표준 2 2 2 2 5 2" xfId="38118"/>
    <cellStyle name="표준 2 2 2 2 6" xfId="38119"/>
    <cellStyle name="표준 2 2 2 2 7" xfId="38120"/>
    <cellStyle name="표준 2 2 2 3" xfId="38121"/>
    <cellStyle name="표준 2 2 2 3 2" xfId="38122"/>
    <cellStyle name="표준 2 2 2 4" xfId="38123"/>
    <cellStyle name="표준 2 2 2 4 2" xfId="38124"/>
    <cellStyle name="표준 2 2 2 4 2 2" xfId="38125"/>
    <cellStyle name="표준 2 2 2 4 3" xfId="38126"/>
    <cellStyle name="표준 2 2 2 4 3 2" xfId="38127"/>
    <cellStyle name="표준 2 2 2 4 4" xfId="38128"/>
    <cellStyle name="표준 2 2 2 4 4 2" xfId="38129"/>
    <cellStyle name="표준 2 2 2 4 5" xfId="38130"/>
    <cellStyle name="표준 2 2 2 5" xfId="38131"/>
    <cellStyle name="표준 2 2 2 5 2" xfId="38132"/>
    <cellStyle name="표준 2 2 2 6" xfId="38133"/>
    <cellStyle name="표준 2 2 2 6 2" xfId="38134"/>
    <cellStyle name="표준 2 2 2 7" xfId="38135"/>
    <cellStyle name="표준 2 2 2 8" xfId="38136"/>
    <cellStyle name="표준 2 2 2 9" xfId="38137"/>
    <cellStyle name="표준 2 2 20" xfId="38138"/>
    <cellStyle name="표준 2 2 21" xfId="38139"/>
    <cellStyle name="표준 2 2 22" xfId="38140"/>
    <cellStyle name="표준 2 2 23" xfId="38141"/>
    <cellStyle name="표준 2 2 24" xfId="38142"/>
    <cellStyle name="표준 2 2 25" xfId="38143"/>
    <cellStyle name="표준 2 2 26" xfId="38144"/>
    <cellStyle name="표준 2 2 27" xfId="38145"/>
    <cellStyle name="표준 2 2 28" xfId="38146"/>
    <cellStyle name="표준 2 2 29" xfId="38147"/>
    <cellStyle name="표준 2 2 3" xfId="38148"/>
    <cellStyle name="표준 2 2 3 2" xfId="38149"/>
    <cellStyle name="표준 2 2 30" xfId="38150"/>
    <cellStyle name="표준 2 2 31" xfId="38151"/>
    <cellStyle name="표준 2 2 32" xfId="38152"/>
    <cellStyle name="표준 2 2 33" xfId="38153"/>
    <cellStyle name="표준 2 2 34" xfId="38154"/>
    <cellStyle name="표준 2 2 35" xfId="38155"/>
    <cellStyle name="표준 2 2 36" xfId="38156"/>
    <cellStyle name="표준 2 2 37" xfId="38157"/>
    <cellStyle name="표준 2 2 38" xfId="38158"/>
    <cellStyle name="표준 2 2 39" xfId="38159"/>
    <cellStyle name="표준 2 2 4" xfId="38160"/>
    <cellStyle name="표준 2 2 4 2" xfId="38161"/>
    <cellStyle name="표준 2 2 40" xfId="38162"/>
    <cellStyle name="표준 2 2 41" xfId="38163"/>
    <cellStyle name="표준 2 2 42" xfId="38164"/>
    <cellStyle name="표준 2 2 5" xfId="38165"/>
    <cellStyle name="표준 2 2 5 2" xfId="38166"/>
    <cellStyle name="표준 2 2 6" xfId="38167"/>
    <cellStyle name="표준 2 2 6 2" xfId="38168"/>
    <cellStyle name="표준 2 2 7" xfId="38169"/>
    <cellStyle name="표준 2 2 7 2" xfId="38170"/>
    <cellStyle name="표준 2 2 8" xfId="38171"/>
    <cellStyle name="표준 2 2 8 2" xfId="38172"/>
    <cellStyle name="표준 2 2 8 2 2" xfId="38173"/>
    <cellStyle name="표준 2 2 8 2 2 2" xfId="38174"/>
    <cellStyle name="표준 2 2 8 2 2 2 2" xfId="38175"/>
    <cellStyle name="표준 2 2 8 2 2 3" xfId="38176"/>
    <cellStyle name="표준 2 2 8 2 2 3 2" xfId="38177"/>
    <cellStyle name="표준 2 2 8 2 2 4" xfId="38178"/>
    <cellStyle name="표준 2 2 8 2 2 4 2" xfId="38179"/>
    <cellStyle name="표준 2 2 8 2 2 5" xfId="38180"/>
    <cellStyle name="표준 2 2 8 2 3" xfId="38181"/>
    <cellStyle name="표준 2 2 8 2 3 2" xfId="38182"/>
    <cellStyle name="표준 2 2 8 2 4" xfId="38183"/>
    <cellStyle name="표준 2 2 8 3" xfId="38184"/>
    <cellStyle name="표준 2 2 8 3 2" xfId="38185"/>
    <cellStyle name="표준 2 2 8 4" xfId="38186"/>
    <cellStyle name="표준 2 2 8 4 2" xfId="38187"/>
    <cellStyle name="표준 2 2 8 5" xfId="38188"/>
    <cellStyle name="표준 2 2 9" xfId="38189"/>
    <cellStyle name="표준 2 2 9 2" xfId="38190"/>
    <cellStyle name="표준 2 2 9 2 2" xfId="38191"/>
    <cellStyle name="표준 2 2 9 3" xfId="38192"/>
    <cellStyle name="표준 2 2 9 3 2" xfId="38193"/>
    <cellStyle name="표준 2 2 9 4" xfId="38194"/>
    <cellStyle name="표준 2 2 9 4 2" xfId="38195"/>
    <cellStyle name="표준 2 2 9 5" xfId="38196"/>
    <cellStyle name="표준 2 20" xfId="38197"/>
    <cellStyle name="표준 2 20 2" xfId="38198"/>
    <cellStyle name="표준 2 21" xfId="38199"/>
    <cellStyle name="표준 2 21 2" xfId="38200"/>
    <cellStyle name="표준 2 22" xfId="38201"/>
    <cellStyle name="표준 2 23" xfId="38202"/>
    <cellStyle name="표준 2 24" xfId="38203"/>
    <cellStyle name="표준 2 25" xfId="38204"/>
    <cellStyle name="표준 2 26" xfId="38205"/>
    <cellStyle name="표준 2 27" xfId="38206"/>
    <cellStyle name="표준 2 28" xfId="38207"/>
    <cellStyle name="표준 2 29" xfId="38208"/>
    <cellStyle name="표준 2 3" xfId="38209"/>
    <cellStyle name="표준 2 3 2" xfId="38210"/>
    <cellStyle name="표준 2 3 2 2" xfId="38211"/>
    <cellStyle name="표준 2 3 2 2 2" xfId="38212"/>
    <cellStyle name="표준 2 3 2 2 2 2" xfId="38213"/>
    <cellStyle name="표준 2 3 2 2 2 2 2" xfId="38214"/>
    <cellStyle name="표준 2 3 2 2 2 3" xfId="38215"/>
    <cellStyle name="표준 2 3 2 2 2 3 2" xfId="38216"/>
    <cellStyle name="표준 2 3 2 2 2 4" xfId="38217"/>
    <cellStyle name="표준 2 3 2 2 2 4 2" xfId="38218"/>
    <cellStyle name="표준 2 3 2 2 2 5" xfId="38219"/>
    <cellStyle name="표준 2 3 2 2 3" xfId="38220"/>
    <cellStyle name="표준 2 3 2 2 3 2" xfId="38221"/>
    <cellStyle name="표준 2 3 2 2 4" xfId="38222"/>
    <cellStyle name="표준 2 3 2 3" xfId="38223"/>
    <cellStyle name="표준 2 3 2 3 2" xfId="38224"/>
    <cellStyle name="표준 2 3 2 4" xfId="38225"/>
    <cellStyle name="표준 2 3 2 4 2" xfId="38226"/>
    <cellStyle name="표준 2 3 2 5" xfId="38227"/>
    <cellStyle name="표준 2 3 2 5 2" xfId="38228"/>
    <cellStyle name="표준 2 3 2 6" xfId="38229"/>
    <cellStyle name="표준 2 3 3" xfId="38230"/>
    <cellStyle name="표준 2 3 3 2" xfId="38231"/>
    <cellStyle name="표준 2 3 4" xfId="38232"/>
    <cellStyle name="표준 2 3 4 2" xfId="38233"/>
    <cellStyle name="표준 2 3 4 2 2" xfId="38234"/>
    <cellStyle name="표준 2 3 4 3" xfId="38235"/>
    <cellStyle name="표준 2 3 4 3 2" xfId="38236"/>
    <cellStyle name="표준 2 3 4 4" xfId="38237"/>
    <cellStyle name="표준 2 3 4 4 2" xfId="38238"/>
    <cellStyle name="표준 2 3 4 5" xfId="38239"/>
    <cellStyle name="표준 2 3 5" xfId="38240"/>
    <cellStyle name="표준 2 3 5 2" xfId="38241"/>
    <cellStyle name="표준 2 3 6" xfId="38242"/>
    <cellStyle name="표준 2 3 6 2" xfId="38243"/>
    <cellStyle name="표준 2 3 7" xfId="38244"/>
    <cellStyle name="표준 2 3 8" xfId="38245"/>
    <cellStyle name="표준 2 3 9" xfId="38246"/>
    <cellStyle name="표준 2 30" xfId="38247"/>
    <cellStyle name="표준 2 31" xfId="38248"/>
    <cellStyle name="표준 2 32" xfId="38249"/>
    <cellStyle name="표준 2 33" xfId="38250"/>
    <cellStyle name="표준 2 34" xfId="38251"/>
    <cellStyle name="표준 2 35" xfId="38252"/>
    <cellStyle name="표준 2 36" xfId="38253"/>
    <cellStyle name="표준 2 37" xfId="38254"/>
    <cellStyle name="표준 2 38" xfId="38255"/>
    <cellStyle name="표준 2 39" xfId="38256"/>
    <cellStyle name="표준 2 4" xfId="38257"/>
    <cellStyle name="표준 2 4 2" xfId="38258"/>
    <cellStyle name="표준 2 4 2 2" xfId="38259"/>
    <cellStyle name="표준 2 4 2 3" xfId="38260"/>
    <cellStyle name="표준 2 4 3" xfId="38261"/>
    <cellStyle name="표준 2 4 4" xfId="38262"/>
    <cellStyle name="표준 2 4 5" xfId="38263"/>
    <cellStyle name="표준 2 40" xfId="38264"/>
    <cellStyle name="표준 2 41" xfId="38265"/>
    <cellStyle name="표준 2 42" xfId="38266"/>
    <cellStyle name="표준 2 43" xfId="38267"/>
    <cellStyle name="표준 2 44" xfId="38268"/>
    <cellStyle name="표준 2 45" xfId="38269"/>
    <cellStyle name="표준 2 46" xfId="38270"/>
    <cellStyle name="표준 2 47" xfId="38271"/>
    <cellStyle name="표준 2 48" xfId="51131"/>
    <cellStyle name="표준 2 5" xfId="38272"/>
    <cellStyle name="표준 2 5 2" xfId="38273"/>
    <cellStyle name="표준 2 5 2 2" xfId="38274"/>
    <cellStyle name="표준 2 5 2 3" xfId="38275"/>
    <cellStyle name="표준 2 5 3" xfId="38276"/>
    <cellStyle name="표준 2 5 4" xfId="38277"/>
    <cellStyle name="표준 2 5 5" xfId="38278"/>
    <cellStyle name="표준 2 6" xfId="38279"/>
    <cellStyle name="표준 2 6 2" xfId="38280"/>
    <cellStyle name="표준 2 6 2 2" xfId="38281"/>
    <cellStyle name="표준 2 6 3" xfId="38282"/>
    <cellStyle name="표준 2 6 4" xfId="38283"/>
    <cellStyle name="표준 2 7" xfId="38284"/>
    <cellStyle name="표준 2 7 2" xfId="38285"/>
    <cellStyle name="표준 2 7 3" xfId="38286"/>
    <cellStyle name="표준 2 8" xfId="38287"/>
    <cellStyle name="표준 2 8 2" xfId="38288"/>
    <cellStyle name="표준 2 8 2 2" xfId="38289"/>
    <cellStyle name="표준 2 8 2 2 2" xfId="38290"/>
    <cellStyle name="표준 2 8 2 2 2 2" xfId="38291"/>
    <cellStyle name="표준 2 8 2 2 3" xfId="38292"/>
    <cellStyle name="표준 2 8 2 2 3 2" xfId="38293"/>
    <cellStyle name="표준 2 8 2 2 4" xfId="38294"/>
    <cellStyle name="표준 2 8 2 2 4 2" xfId="38295"/>
    <cellStyle name="표준 2 8 2 2 5" xfId="38296"/>
    <cellStyle name="표준 2 8 2 3" xfId="38297"/>
    <cellStyle name="표준 2 8 2 3 2" xfId="38298"/>
    <cellStyle name="표준 2 8 2 4" xfId="38299"/>
    <cellStyle name="표준 2 8 3" xfId="38300"/>
    <cellStyle name="표준 2 8 3 2" xfId="38301"/>
    <cellStyle name="표준 2 8 4" xfId="38302"/>
    <cellStyle name="표준 2 8 4 2" xfId="38303"/>
    <cellStyle name="표준 2 8 5" xfId="38304"/>
    <cellStyle name="표준 2 8 6" xfId="38305"/>
    <cellStyle name="표준 2 9" xfId="38306"/>
    <cellStyle name="표준 2 9 2" xfId="38307"/>
    <cellStyle name="표준 2 9 2 2" xfId="38308"/>
    <cellStyle name="표준 2 9 3" xfId="38309"/>
    <cellStyle name="표준 2 9 3 2" xfId="38310"/>
    <cellStyle name="표준 2 9 4" xfId="38311"/>
    <cellStyle name="표준 2 9 4 2" xfId="38312"/>
    <cellStyle name="표준 2 9 5" xfId="38313"/>
    <cellStyle name="표준 2 9 6" xfId="38314"/>
    <cellStyle name="표준 2_(파워시스템)품질운영_조직인력(110221)_rev1_8845" xfId="38315"/>
    <cellStyle name="표준 20" xfId="38316"/>
    <cellStyle name="표준 20 2" xfId="38317"/>
    <cellStyle name="표준 20 3" xfId="38318"/>
    <cellStyle name="표준 21" xfId="38319"/>
    <cellStyle name="표준 21 2" xfId="38320"/>
    <cellStyle name="표준 21 3" xfId="38321"/>
    <cellStyle name="표준 22" xfId="38322"/>
    <cellStyle name="표준 22 2" xfId="38323"/>
    <cellStyle name="표준 22 3" xfId="38324"/>
    <cellStyle name="표준 23" xfId="38325"/>
    <cellStyle name="표준 23 2" xfId="38326"/>
    <cellStyle name="표준 23 3" xfId="38327"/>
    <cellStyle name="표준 24" xfId="38328"/>
    <cellStyle name="표준 24 2" xfId="38329"/>
    <cellStyle name="표준 24 3" xfId="38330"/>
    <cellStyle name="표준 25" xfId="38331"/>
    <cellStyle name="표준 25 2" xfId="38332"/>
    <cellStyle name="표준 25 2 2" xfId="38333"/>
    <cellStyle name="표준 25 3" xfId="38334"/>
    <cellStyle name="표준 26" xfId="38335"/>
    <cellStyle name="표준 26 2" xfId="38336"/>
    <cellStyle name="표준 26 3" xfId="38337"/>
    <cellStyle name="표준 27" xfId="38338"/>
    <cellStyle name="표준 27 2" xfId="38339"/>
    <cellStyle name="표준 28" xfId="38340"/>
    <cellStyle name="표준 28 2" xfId="38341"/>
    <cellStyle name="표준 29" xfId="38342"/>
    <cellStyle name="표준 29 2" xfId="38343"/>
    <cellStyle name="표준 3" xfId="38344"/>
    <cellStyle name="표준 3 10" xfId="38345"/>
    <cellStyle name="표준 3 10 2" xfId="38346"/>
    <cellStyle name="표준 3 10 2 2" xfId="38347"/>
    <cellStyle name="표준 3 10 2 2 2" xfId="38348"/>
    <cellStyle name="표준 3 10 2 2 2 2" xfId="38349"/>
    <cellStyle name="표준 3 10 2 2 2 3" xfId="38350"/>
    <cellStyle name="표준 3 10 2 2 3" xfId="38351"/>
    <cellStyle name="표준 3 10 2 2 4" xfId="38352"/>
    <cellStyle name="표준 3 10 2 3" xfId="38353"/>
    <cellStyle name="표준 3 10 2 3 2" xfId="38354"/>
    <cellStyle name="표준 3 10 2 3 3" xfId="38355"/>
    <cellStyle name="표준 3 10 2 4" xfId="38356"/>
    <cellStyle name="표준 3 10 2 5" xfId="38357"/>
    <cellStyle name="표준 3 10 3" xfId="38358"/>
    <cellStyle name="표준 3 10 3 2" xfId="38359"/>
    <cellStyle name="표준 3 10 3 2 2" xfId="38360"/>
    <cellStyle name="표준 3 10 3 2 2 2" xfId="38361"/>
    <cellStyle name="표준 3 10 3 2 2 3" xfId="38362"/>
    <cellStyle name="표준 3 10 3 2 3" xfId="38363"/>
    <cellStyle name="표준 3 10 3 2 4" xfId="38364"/>
    <cellStyle name="표준 3 10 3 3" xfId="38365"/>
    <cellStyle name="표준 3 10 3 3 2" xfId="38366"/>
    <cellStyle name="표준 3 10 3 3 3" xfId="38367"/>
    <cellStyle name="표준 3 10 3 4" xfId="38368"/>
    <cellStyle name="표준 3 10 3 5" xfId="38369"/>
    <cellStyle name="표준 3 10 4" xfId="38370"/>
    <cellStyle name="표준 3 10 4 2" xfId="38371"/>
    <cellStyle name="표준 3 10 4 2 2" xfId="38372"/>
    <cellStyle name="표준 3 10 4 2 3" xfId="38373"/>
    <cellStyle name="표준 3 10 4 3" xfId="38374"/>
    <cellStyle name="표준 3 10 4 4" xfId="38375"/>
    <cellStyle name="표준 3 10 5" xfId="38376"/>
    <cellStyle name="표준 3 10 5 2" xfId="38377"/>
    <cellStyle name="표준 3 10 5 3" xfId="38378"/>
    <cellStyle name="표준 3 10 6" xfId="38379"/>
    <cellStyle name="표준 3 10 7" xfId="38380"/>
    <cellStyle name="표준 3 10 8" xfId="38381"/>
    <cellStyle name="표준 3 11" xfId="38382"/>
    <cellStyle name="표준 3 11 2" xfId="38383"/>
    <cellStyle name="표준 3 11 2 2" xfId="38384"/>
    <cellStyle name="표준 3 11 2 2 2" xfId="38385"/>
    <cellStyle name="표준 3 11 2 2 2 2" xfId="38386"/>
    <cellStyle name="표준 3 11 2 2 2 3" xfId="38387"/>
    <cellStyle name="표준 3 11 2 2 3" xfId="38388"/>
    <cellStyle name="표준 3 11 2 2 4" xfId="38389"/>
    <cellStyle name="표준 3 11 2 3" xfId="38390"/>
    <cellStyle name="표준 3 11 2 3 2" xfId="38391"/>
    <cellStyle name="표준 3 11 2 3 3" xfId="38392"/>
    <cellStyle name="표준 3 11 2 4" xfId="38393"/>
    <cellStyle name="표준 3 11 2 5" xfId="38394"/>
    <cellStyle name="표준 3 11 3" xfId="38395"/>
    <cellStyle name="표준 3 11 3 2" xfId="38396"/>
    <cellStyle name="표준 3 11 3 2 2" xfId="38397"/>
    <cellStyle name="표준 3 11 3 2 2 2" xfId="38398"/>
    <cellStyle name="표준 3 11 3 2 2 3" xfId="38399"/>
    <cellStyle name="표준 3 11 3 2 3" xfId="38400"/>
    <cellStyle name="표준 3 11 3 2 4" xfId="38401"/>
    <cellStyle name="표준 3 11 3 3" xfId="38402"/>
    <cellStyle name="표준 3 11 3 3 2" xfId="38403"/>
    <cellStyle name="표준 3 11 3 3 3" xfId="38404"/>
    <cellStyle name="표준 3 11 3 4" xfId="38405"/>
    <cellStyle name="표준 3 11 3 5" xfId="38406"/>
    <cellStyle name="표준 3 11 4" xfId="38407"/>
    <cellStyle name="표준 3 11 4 2" xfId="38408"/>
    <cellStyle name="표준 3 11 4 2 2" xfId="38409"/>
    <cellStyle name="표준 3 11 4 2 3" xfId="38410"/>
    <cellStyle name="표준 3 11 4 3" xfId="38411"/>
    <cellStyle name="표준 3 11 4 4" xfId="38412"/>
    <cellStyle name="표준 3 11 5" xfId="38413"/>
    <cellStyle name="표준 3 11 5 2" xfId="38414"/>
    <cellStyle name="표준 3 11 5 3" xfId="38415"/>
    <cellStyle name="표준 3 11 6" xfId="38416"/>
    <cellStyle name="표준 3 11 7" xfId="38417"/>
    <cellStyle name="표준 3 12" xfId="38418"/>
    <cellStyle name="표준 3 12 2" xfId="38419"/>
    <cellStyle name="표준 3 12 2 2" xfId="38420"/>
    <cellStyle name="표준 3 12 2 2 2" xfId="38421"/>
    <cellStyle name="표준 3 12 2 2 3" xfId="38422"/>
    <cellStyle name="표준 3 12 2 3" xfId="38423"/>
    <cellStyle name="표준 3 12 2 4" xfId="38424"/>
    <cellStyle name="표준 3 12 3" xfId="38425"/>
    <cellStyle name="표준 3 12 3 2" xfId="38426"/>
    <cellStyle name="표준 3 12 3 3" xfId="38427"/>
    <cellStyle name="표준 3 12 4" xfId="38428"/>
    <cellStyle name="표준 3 12 5" xfId="38429"/>
    <cellStyle name="표준 3 13" xfId="38430"/>
    <cellStyle name="표준 3 13 2" xfId="38431"/>
    <cellStyle name="표준 3 13 2 2" xfId="38432"/>
    <cellStyle name="표준 3 13 2 2 2" xfId="38433"/>
    <cellStyle name="표준 3 13 2 2 3" xfId="38434"/>
    <cellStyle name="표준 3 13 2 3" xfId="38435"/>
    <cellStyle name="표준 3 13 2 4" xfId="38436"/>
    <cellStyle name="표준 3 13 3" xfId="38437"/>
    <cellStyle name="표준 3 13 3 2" xfId="38438"/>
    <cellStyle name="표준 3 13 3 3" xfId="38439"/>
    <cellStyle name="표준 3 13 4" xfId="38440"/>
    <cellStyle name="표준 3 13 5" xfId="38441"/>
    <cellStyle name="표준 3 14" xfId="38442"/>
    <cellStyle name="표준 3 14 2" xfId="38443"/>
    <cellStyle name="표준 3 14 2 2" xfId="38444"/>
    <cellStyle name="표준 3 14 2 2 2" xfId="38445"/>
    <cellStyle name="표준 3 14 2 2 3" xfId="38446"/>
    <cellStyle name="표준 3 14 2 3" xfId="38447"/>
    <cellStyle name="표준 3 14 2 4" xfId="38448"/>
    <cellStyle name="표준 3 14 3" xfId="38449"/>
    <cellStyle name="표준 3 14 3 2" xfId="38450"/>
    <cellStyle name="표준 3 14 3 3" xfId="38451"/>
    <cellStyle name="표준 3 14 4" xfId="38452"/>
    <cellStyle name="표준 3 14 5" xfId="38453"/>
    <cellStyle name="표준 3 15" xfId="38454"/>
    <cellStyle name="표준 3 15 2" xfId="38455"/>
    <cellStyle name="표준 3 15 2 2" xfId="38456"/>
    <cellStyle name="표준 3 15 2 3" xfId="38457"/>
    <cellStyle name="표준 3 15 3" xfId="38458"/>
    <cellStyle name="표준 3 15 4" xfId="38459"/>
    <cellStyle name="표준 3 16" xfId="38460"/>
    <cellStyle name="표준 3 16 2" xfId="38461"/>
    <cellStyle name="표준 3 16 3" xfId="38462"/>
    <cellStyle name="표준 3 17" xfId="38463"/>
    <cellStyle name="표준 3 17 2" xfId="38464"/>
    <cellStyle name="표준 3 17 3" xfId="38465"/>
    <cellStyle name="표준 3 18" xfId="38466"/>
    <cellStyle name="표준 3 18 2" xfId="38467"/>
    <cellStyle name="표준 3 18 3" xfId="38468"/>
    <cellStyle name="표준 3 19" xfId="38469"/>
    <cellStyle name="표준 3 2" xfId="38470"/>
    <cellStyle name="표준 3 2 2" xfId="38471"/>
    <cellStyle name="표준 3 2 2 2" xfId="38472"/>
    <cellStyle name="표준 3 2 2 3" xfId="38473"/>
    <cellStyle name="표준 3 2 3" xfId="38474"/>
    <cellStyle name="표준 3 2 4" xfId="38475"/>
    <cellStyle name="표준 3 20" xfId="38476"/>
    <cellStyle name="표준 3 21" xfId="38477"/>
    <cellStyle name="표준 3 22" xfId="38478"/>
    <cellStyle name="표준 3 23" xfId="38479"/>
    <cellStyle name="표준 3 3" xfId="38480"/>
    <cellStyle name="표준 3 3 10" xfId="38481"/>
    <cellStyle name="표준 3 3 10 2" xfId="38482"/>
    <cellStyle name="표준 3 3 10 2 2" xfId="38483"/>
    <cellStyle name="표준 3 3 10 2 2 2" xfId="38484"/>
    <cellStyle name="표준 3 3 10 2 2 3" xfId="38485"/>
    <cellStyle name="표준 3 3 10 2 3" xfId="38486"/>
    <cellStyle name="표준 3 3 10 2 4" xfId="38487"/>
    <cellStyle name="표준 3 3 10 3" xfId="38488"/>
    <cellStyle name="표준 3 3 10 3 2" xfId="38489"/>
    <cellStyle name="표준 3 3 10 3 3" xfId="38490"/>
    <cellStyle name="표준 3 3 10 4" xfId="38491"/>
    <cellStyle name="표준 3 3 10 5" xfId="38492"/>
    <cellStyle name="표준 3 3 11" xfId="38493"/>
    <cellStyle name="표준 3 3 11 2" xfId="38494"/>
    <cellStyle name="표준 3 3 11 2 2" xfId="38495"/>
    <cellStyle name="표준 3 3 11 2 3" xfId="38496"/>
    <cellStyle name="표준 3 3 11 3" xfId="38497"/>
    <cellStyle name="표준 3 3 11 4" xfId="38498"/>
    <cellStyle name="표준 3 3 12" xfId="38499"/>
    <cellStyle name="표준 3 3 12 2" xfId="38500"/>
    <cellStyle name="표준 3 3 12 3" xfId="38501"/>
    <cellStyle name="표준 3 3 13" xfId="38502"/>
    <cellStyle name="표준 3 3 14" xfId="38503"/>
    <cellStyle name="표준 3 3 15" xfId="38504"/>
    <cellStyle name="표준 3 3 16" xfId="38505"/>
    <cellStyle name="표준 3 3 2" xfId="38506"/>
    <cellStyle name="표준 3 3 2 10" xfId="38507"/>
    <cellStyle name="표준 3 3 2 10 2" xfId="38508"/>
    <cellStyle name="표준 3 3 2 10 2 2" xfId="38509"/>
    <cellStyle name="표준 3 3 2 10 2 3" xfId="38510"/>
    <cellStyle name="표준 3 3 2 10 3" xfId="38511"/>
    <cellStyle name="표준 3 3 2 10 4" xfId="38512"/>
    <cellStyle name="표준 3 3 2 11" xfId="38513"/>
    <cellStyle name="표준 3 3 2 11 2" xfId="38514"/>
    <cellStyle name="표준 3 3 2 11 3" xfId="38515"/>
    <cellStyle name="표준 3 3 2 12" xfId="38516"/>
    <cellStyle name="표준 3 3 2 13" xfId="38517"/>
    <cellStyle name="표준 3 3 2 14" xfId="38518"/>
    <cellStyle name="표준 3 3 2 15" xfId="38519"/>
    <cellStyle name="표준 3 3 2 2" xfId="38520"/>
    <cellStyle name="표준 3 3 2 2 10" xfId="38521"/>
    <cellStyle name="표준 3 3 2 2 2" xfId="38522"/>
    <cellStyle name="표준 3 3 2 2 2 2" xfId="38523"/>
    <cellStyle name="표준 3 3 2 2 2 2 2" xfId="38524"/>
    <cellStyle name="표준 3 3 2 2 2 2 2 2" xfId="38525"/>
    <cellStyle name="표준 3 3 2 2 2 2 2 2 2" xfId="38526"/>
    <cellStyle name="표준 3 3 2 2 2 2 2 2 3" xfId="38527"/>
    <cellStyle name="표준 3 3 2 2 2 2 2 3" xfId="38528"/>
    <cellStyle name="표준 3 3 2 2 2 2 2 4" xfId="38529"/>
    <cellStyle name="표준 3 3 2 2 2 2 3" xfId="38530"/>
    <cellStyle name="표준 3 3 2 2 2 2 3 2" xfId="38531"/>
    <cellStyle name="표준 3 3 2 2 2 2 3 3" xfId="38532"/>
    <cellStyle name="표준 3 3 2 2 2 2 4" xfId="38533"/>
    <cellStyle name="표준 3 3 2 2 2 2 5" xfId="38534"/>
    <cellStyle name="표준 3 3 2 2 2 3" xfId="38535"/>
    <cellStyle name="표준 3 3 2 2 2 3 2" xfId="38536"/>
    <cellStyle name="표준 3 3 2 2 2 3 2 2" xfId="38537"/>
    <cellStyle name="표준 3 3 2 2 2 3 2 2 2" xfId="38538"/>
    <cellStyle name="표준 3 3 2 2 2 3 2 2 3" xfId="38539"/>
    <cellStyle name="표준 3 3 2 2 2 3 2 3" xfId="38540"/>
    <cellStyle name="표준 3 3 2 2 2 3 2 4" xfId="38541"/>
    <cellStyle name="표준 3 3 2 2 2 3 3" xfId="38542"/>
    <cellStyle name="표준 3 3 2 2 2 3 3 2" xfId="38543"/>
    <cellStyle name="표준 3 3 2 2 2 3 3 3" xfId="38544"/>
    <cellStyle name="표준 3 3 2 2 2 3 4" xfId="38545"/>
    <cellStyle name="표준 3 3 2 2 2 3 5" xfId="38546"/>
    <cellStyle name="표준 3 3 2 2 2 4" xfId="38547"/>
    <cellStyle name="표준 3 3 2 2 2 4 2" xfId="38548"/>
    <cellStyle name="표준 3 3 2 2 2 4 2 2" xfId="38549"/>
    <cellStyle name="표준 3 3 2 2 2 4 2 3" xfId="38550"/>
    <cellStyle name="표준 3 3 2 2 2 4 3" xfId="38551"/>
    <cellStyle name="표준 3 3 2 2 2 4 4" xfId="38552"/>
    <cellStyle name="표준 3 3 2 2 2 5" xfId="38553"/>
    <cellStyle name="표준 3 3 2 2 2 5 2" xfId="38554"/>
    <cellStyle name="표준 3 3 2 2 2 5 3" xfId="38555"/>
    <cellStyle name="표준 3 3 2 2 2 6" xfId="38556"/>
    <cellStyle name="표준 3 3 2 2 2 7" xfId="38557"/>
    <cellStyle name="표준 3 3 2 2 3" xfId="38558"/>
    <cellStyle name="표준 3 3 2 2 3 2" xfId="38559"/>
    <cellStyle name="표준 3 3 2 2 3 2 2" xfId="38560"/>
    <cellStyle name="표준 3 3 2 2 3 2 2 2" xfId="38561"/>
    <cellStyle name="표준 3 3 2 2 3 2 2 2 2" xfId="38562"/>
    <cellStyle name="표준 3 3 2 2 3 2 2 2 3" xfId="38563"/>
    <cellStyle name="표준 3 3 2 2 3 2 2 3" xfId="38564"/>
    <cellStyle name="표준 3 3 2 2 3 2 2 4" xfId="38565"/>
    <cellStyle name="표준 3 3 2 2 3 2 3" xfId="38566"/>
    <cellStyle name="표준 3 3 2 2 3 2 3 2" xfId="38567"/>
    <cellStyle name="표준 3 3 2 2 3 2 3 3" xfId="38568"/>
    <cellStyle name="표준 3 3 2 2 3 2 4" xfId="38569"/>
    <cellStyle name="표준 3 3 2 2 3 2 5" xfId="38570"/>
    <cellStyle name="표준 3 3 2 2 3 3" xfId="38571"/>
    <cellStyle name="표준 3 3 2 2 3 3 2" xfId="38572"/>
    <cellStyle name="표준 3 3 2 2 3 3 2 2" xfId="38573"/>
    <cellStyle name="표준 3 3 2 2 3 3 2 2 2" xfId="38574"/>
    <cellStyle name="표준 3 3 2 2 3 3 2 2 3" xfId="38575"/>
    <cellStyle name="표준 3 3 2 2 3 3 2 3" xfId="38576"/>
    <cellStyle name="표준 3 3 2 2 3 3 2 4" xfId="38577"/>
    <cellStyle name="표준 3 3 2 2 3 3 3" xfId="38578"/>
    <cellStyle name="표준 3 3 2 2 3 3 3 2" xfId="38579"/>
    <cellStyle name="표준 3 3 2 2 3 3 3 3" xfId="38580"/>
    <cellStyle name="표준 3 3 2 2 3 3 4" xfId="38581"/>
    <cellStyle name="표준 3 3 2 2 3 3 5" xfId="38582"/>
    <cellStyle name="표준 3 3 2 2 3 4" xfId="38583"/>
    <cellStyle name="표준 3 3 2 2 3 4 2" xfId="38584"/>
    <cellStyle name="표준 3 3 2 2 3 4 2 2" xfId="38585"/>
    <cellStyle name="표준 3 3 2 2 3 4 2 3" xfId="38586"/>
    <cellStyle name="표준 3 3 2 2 3 4 3" xfId="38587"/>
    <cellStyle name="표준 3 3 2 2 3 4 4" xfId="38588"/>
    <cellStyle name="표준 3 3 2 2 3 5" xfId="38589"/>
    <cellStyle name="표준 3 3 2 2 3 5 2" xfId="38590"/>
    <cellStyle name="표준 3 3 2 2 3 5 3" xfId="38591"/>
    <cellStyle name="표준 3 3 2 2 3 6" xfId="38592"/>
    <cellStyle name="표준 3 3 2 2 3 7" xfId="38593"/>
    <cellStyle name="표준 3 3 2 2 4" xfId="38594"/>
    <cellStyle name="표준 3 3 2 2 4 2" xfId="38595"/>
    <cellStyle name="표준 3 3 2 2 4 2 2" xfId="38596"/>
    <cellStyle name="표준 3 3 2 2 4 2 2 2" xfId="38597"/>
    <cellStyle name="표준 3 3 2 2 4 2 2 3" xfId="38598"/>
    <cellStyle name="표준 3 3 2 2 4 2 3" xfId="38599"/>
    <cellStyle name="표준 3 3 2 2 4 2 4" xfId="38600"/>
    <cellStyle name="표준 3 3 2 2 4 3" xfId="38601"/>
    <cellStyle name="표준 3 3 2 2 4 3 2" xfId="38602"/>
    <cellStyle name="표준 3 3 2 2 4 3 3" xfId="38603"/>
    <cellStyle name="표준 3 3 2 2 4 4" xfId="38604"/>
    <cellStyle name="표준 3 3 2 2 4 5" xfId="38605"/>
    <cellStyle name="표준 3 3 2 2 5" xfId="38606"/>
    <cellStyle name="표준 3 3 2 2 5 2" xfId="38607"/>
    <cellStyle name="표준 3 3 2 2 5 2 2" xfId="38608"/>
    <cellStyle name="표준 3 3 2 2 5 2 2 2" xfId="38609"/>
    <cellStyle name="표준 3 3 2 2 5 2 2 3" xfId="38610"/>
    <cellStyle name="표준 3 3 2 2 5 2 3" xfId="38611"/>
    <cellStyle name="표준 3 3 2 2 5 2 4" xfId="38612"/>
    <cellStyle name="표준 3 3 2 2 5 3" xfId="38613"/>
    <cellStyle name="표준 3 3 2 2 5 3 2" xfId="38614"/>
    <cellStyle name="표준 3 3 2 2 5 3 3" xfId="38615"/>
    <cellStyle name="표준 3 3 2 2 5 4" xfId="38616"/>
    <cellStyle name="표준 3 3 2 2 5 5" xfId="38617"/>
    <cellStyle name="표준 3 3 2 2 6" xfId="38618"/>
    <cellStyle name="표준 3 3 2 2 6 2" xfId="38619"/>
    <cellStyle name="표준 3 3 2 2 6 2 2" xfId="38620"/>
    <cellStyle name="표준 3 3 2 2 6 2 2 2" xfId="38621"/>
    <cellStyle name="표준 3 3 2 2 6 2 2 3" xfId="38622"/>
    <cellStyle name="표준 3 3 2 2 6 2 3" xfId="38623"/>
    <cellStyle name="표준 3 3 2 2 6 2 4" xfId="38624"/>
    <cellStyle name="표준 3 3 2 2 6 3" xfId="38625"/>
    <cellStyle name="표준 3 3 2 2 6 3 2" xfId="38626"/>
    <cellStyle name="표준 3 3 2 2 6 3 3" xfId="38627"/>
    <cellStyle name="표준 3 3 2 2 6 4" xfId="38628"/>
    <cellStyle name="표준 3 3 2 2 6 5" xfId="38629"/>
    <cellStyle name="표준 3 3 2 2 7" xfId="38630"/>
    <cellStyle name="표준 3 3 2 2 7 2" xfId="38631"/>
    <cellStyle name="표준 3 3 2 2 7 2 2" xfId="38632"/>
    <cellStyle name="표준 3 3 2 2 7 2 3" xfId="38633"/>
    <cellStyle name="표준 3 3 2 2 7 3" xfId="38634"/>
    <cellStyle name="표준 3 3 2 2 7 4" xfId="38635"/>
    <cellStyle name="표준 3 3 2 2 8" xfId="38636"/>
    <cellStyle name="표준 3 3 2 2 8 2" xfId="38637"/>
    <cellStyle name="표준 3 3 2 2 8 3" xfId="38638"/>
    <cellStyle name="표준 3 3 2 2 9" xfId="38639"/>
    <cellStyle name="표준 3 3 2 3" xfId="38640"/>
    <cellStyle name="표준 3 3 2 3 10" xfId="38641"/>
    <cellStyle name="표준 3 3 2 3 2" xfId="38642"/>
    <cellStyle name="표준 3 3 2 3 2 2" xfId="38643"/>
    <cellStyle name="표준 3 3 2 3 2 2 2" xfId="38644"/>
    <cellStyle name="표준 3 3 2 3 2 2 2 2" xfId="38645"/>
    <cellStyle name="표준 3 3 2 3 2 2 2 2 2" xfId="38646"/>
    <cellStyle name="표준 3 3 2 3 2 2 2 2 3" xfId="38647"/>
    <cellStyle name="표준 3 3 2 3 2 2 2 3" xfId="38648"/>
    <cellStyle name="표준 3 3 2 3 2 2 2 4" xfId="38649"/>
    <cellStyle name="표준 3 3 2 3 2 2 3" xfId="38650"/>
    <cellStyle name="표준 3 3 2 3 2 2 3 2" xfId="38651"/>
    <cellStyle name="표준 3 3 2 3 2 2 3 3" xfId="38652"/>
    <cellStyle name="표준 3 3 2 3 2 2 4" xfId="38653"/>
    <cellStyle name="표준 3 3 2 3 2 2 5" xfId="38654"/>
    <cellStyle name="표준 3 3 2 3 2 3" xfId="38655"/>
    <cellStyle name="표준 3 3 2 3 2 3 2" xfId="38656"/>
    <cellStyle name="표준 3 3 2 3 2 3 2 2" xfId="38657"/>
    <cellStyle name="표준 3 3 2 3 2 3 2 2 2" xfId="38658"/>
    <cellStyle name="표준 3 3 2 3 2 3 2 2 3" xfId="38659"/>
    <cellStyle name="표준 3 3 2 3 2 3 2 3" xfId="38660"/>
    <cellStyle name="표준 3 3 2 3 2 3 2 4" xfId="38661"/>
    <cellStyle name="표준 3 3 2 3 2 3 3" xfId="38662"/>
    <cellStyle name="표준 3 3 2 3 2 3 3 2" xfId="38663"/>
    <cellStyle name="표준 3 3 2 3 2 3 3 3" xfId="38664"/>
    <cellStyle name="표준 3 3 2 3 2 3 4" xfId="38665"/>
    <cellStyle name="표준 3 3 2 3 2 3 5" xfId="38666"/>
    <cellStyle name="표준 3 3 2 3 2 4" xfId="38667"/>
    <cellStyle name="표준 3 3 2 3 2 4 2" xfId="38668"/>
    <cellStyle name="표준 3 3 2 3 2 4 2 2" xfId="38669"/>
    <cellStyle name="표준 3 3 2 3 2 4 2 3" xfId="38670"/>
    <cellStyle name="표준 3 3 2 3 2 4 3" xfId="38671"/>
    <cellStyle name="표준 3 3 2 3 2 4 4" xfId="38672"/>
    <cellStyle name="표준 3 3 2 3 2 5" xfId="38673"/>
    <cellStyle name="표준 3 3 2 3 2 5 2" xfId="38674"/>
    <cellStyle name="표준 3 3 2 3 2 5 3" xfId="38675"/>
    <cellStyle name="표준 3 3 2 3 2 6" xfId="38676"/>
    <cellStyle name="표준 3 3 2 3 2 7" xfId="38677"/>
    <cellStyle name="표준 3 3 2 3 3" xfId="38678"/>
    <cellStyle name="표준 3 3 2 3 3 2" xfId="38679"/>
    <cellStyle name="표준 3 3 2 3 3 2 2" xfId="38680"/>
    <cellStyle name="표준 3 3 2 3 3 2 2 2" xfId="38681"/>
    <cellStyle name="표준 3 3 2 3 3 2 2 2 2" xfId="38682"/>
    <cellStyle name="표준 3 3 2 3 3 2 2 2 3" xfId="38683"/>
    <cellStyle name="표준 3 3 2 3 3 2 2 3" xfId="38684"/>
    <cellStyle name="표준 3 3 2 3 3 2 2 4" xfId="38685"/>
    <cellStyle name="표준 3 3 2 3 3 2 3" xfId="38686"/>
    <cellStyle name="표준 3 3 2 3 3 2 3 2" xfId="38687"/>
    <cellStyle name="표준 3 3 2 3 3 2 3 3" xfId="38688"/>
    <cellStyle name="표준 3 3 2 3 3 2 4" xfId="38689"/>
    <cellStyle name="표준 3 3 2 3 3 2 5" xfId="38690"/>
    <cellStyle name="표준 3 3 2 3 3 3" xfId="38691"/>
    <cellStyle name="표준 3 3 2 3 3 3 2" xfId="38692"/>
    <cellStyle name="표준 3 3 2 3 3 3 2 2" xfId="38693"/>
    <cellStyle name="표준 3 3 2 3 3 3 2 2 2" xfId="38694"/>
    <cellStyle name="표준 3 3 2 3 3 3 2 2 3" xfId="38695"/>
    <cellStyle name="표준 3 3 2 3 3 3 2 3" xfId="38696"/>
    <cellStyle name="표준 3 3 2 3 3 3 2 4" xfId="38697"/>
    <cellStyle name="표준 3 3 2 3 3 3 3" xfId="38698"/>
    <cellStyle name="표준 3 3 2 3 3 3 3 2" xfId="38699"/>
    <cellStyle name="표준 3 3 2 3 3 3 3 3" xfId="38700"/>
    <cellStyle name="표준 3 3 2 3 3 3 4" xfId="38701"/>
    <cellStyle name="표준 3 3 2 3 3 3 5" xfId="38702"/>
    <cellStyle name="표준 3 3 2 3 3 4" xfId="38703"/>
    <cellStyle name="표준 3 3 2 3 3 4 2" xfId="38704"/>
    <cellStyle name="표준 3 3 2 3 3 4 2 2" xfId="38705"/>
    <cellStyle name="표준 3 3 2 3 3 4 2 3" xfId="38706"/>
    <cellStyle name="표준 3 3 2 3 3 4 3" xfId="38707"/>
    <cellStyle name="표준 3 3 2 3 3 4 4" xfId="38708"/>
    <cellStyle name="표준 3 3 2 3 3 5" xfId="38709"/>
    <cellStyle name="표준 3 3 2 3 3 5 2" xfId="38710"/>
    <cellStyle name="표준 3 3 2 3 3 5 3" xfId="38711"/>
    <cellStyle name="표준 3 3 2 3 3 6" xfId="38712"/>
    <cellStyle name="표준 3 3 2 3 3 7" xfId="38713"/>
    <cellStyle name="표준 3 3 2 3 4" xfId="38714"/>
    <cellStyle name="표준 3 3 2 3 4 2" xfId="38715"/>
    <cellStyle name="표준 3 3 2 3 4 2 2" xfId="38716"/>
    <cellStyle name="표준 3 3 2 3 4 2 2 2" xfId="38717"/>
    <cellStyle name="표준 3 3 2 3 4 2 2 3" xfId="38718"/>
    <cellStyle name="표준 3 3 2 3 4 2 3" xfId="38719"/>
    <cellStyle name="표준 3 3 2 3 4 2 4" xfId="38720"/>
    <cellStyle name="표준 3 3 2 3 4 3" xfId="38721"/>
    <cellStyle name="표준 3 3 2 3 4 3 2" xfId="38722"/>
    <cellStyle name="표준 3 3 2 3 4 3 3" xfId="38723"/>
    <cellStyle name="표준 3 3 2 3 4 4" xfId="38724"/>
    <cellStyle name="표준 3 3 2 3 4 5" xfId="38725"/>
    <cellStyle name="표준 3 3 2 3 5" xfId="38726"/>
    <cellStyle name="표준 3 3 2 3 5 2" xfId="38727"/>
    <cellStyle name="표준 3 3 2 3 5 2 2" xfId="38728"/>
    <cellStyle name="표준 3 3 2 3 5 2 2 2" xfId="38729"/>
    <cellStyle name="표준 3 3 2 3 5 2 2 3" xfId="38730"/>
    <cellStyle name="표준 3 3 2 3 5 2 3" xfId="38731"/>
    <cellStyle name="표준 3 3 2 3 5 2 4" xfId="38732"/>
    <cellStyle name="표준 3 3 2 3 5 3" xfId="38733"/>
    <cellStyle name="표준 3 3 2 3 5 3 2" xfId="38734"/>
    <cellStyle name="표준 3 3 2 3 5 3 3" xfId="38735"/>
    <cellStyle name="표준 3 3 2 3 5 4" xfId="38736"/>
    <cellStyle name="표준 3 3 2 3 5 5" xfId="38737"/>
    <cellStyle name="표준 3 3 2 3 6" xfId="38738"/>
    <cellStyle name="표준 3 3 2 3 6 2" xfId="38739"/>
    <cellStyle name="표준 3 3 2 3 6 2 2" xfId="38740"/>
    <cellStyle name="표준 3 3 2 3 6 2 2 2" xfId="38741"/>
    <cellStyle name="표준 3 3 2 3 6 2 2 3" xfId="38742"/>
    <cellStyle name="표준 3 3 2 3 6 2 3" xfId="38743"/>
    <cellStyle name="표준 3 3 2 3 6 2 4" xfId="38744"/>
    <cellStyle name="표준 3 3 2 3 6 3" xfId="38745"/>
    <cellStyle name="표준 3 3 2 3 6 3 2" xfId="38746"/>
    <cellStyle name="표준 3 3 2 3 6 3 3" xfId="38747"/>
    <cellStyle name="표준 3 3 2 3 6 4" xfId="38748"/>
    <cellStyle name="표준 3 3 2 3 6 5" xfId="38749"/>
    <cellStyle name="표준 3 3 2 3 7" xfId="38750"/>
    <cellStyle name="표준 3 3 2 3 7 2" xfId="38751"/>
    <cellStyle name="표준 3 3 2 3 7 2 2" xfId="38752"/>
    <cellStyle name="표준 3 3 2 3 7 2 3" xfId="38753"/>
    <cellStyle name="표준 3 3 2 3 7 3" xfId="38754"/>
    <cellStyle name="표준 3 3 2 3 7 4" xfId="38755"/>
    <cellStyle name="표준 3 3 2 3 8" xfId="38756"/>
    <cellStyle name="표준 3 3 2 3 8 2" xfId="38757"/>
    <cellStyle name="표준 3 3 2 3 8 3" xfId="38758"/>
    <cellStyle name="표준 3 3 2 3 9" xfId="38759"/>
    <cellStyle name="표준 3 3 2 4" xfId="38760"/>
    <cellStyle name="표준 3 3 2 4 10" xfId="38761"/>
    <cellStyle name="표준 3 3 2 4 2" xfId="38762"/>
    <cellStyle name="표준 3 3 2 4 2 2" xfId="38763"/>
    <cellStyle name="표준 3 3 2 4 2 2 2" xfId="38764"/>
    <cellStyle name="표준 3 3 2 4 2 2 2 2" xfId="38765"/>
    <cellStyle name="표준 3 3 2 4 2 2 2 2 2" xfId="38766"/>
    <cellStyle name="표준 3 3 2 4 2 2 2 2 3" xfId="38767"/>
    <cellStyle name="표준 3 3 2 4 2 2 2 3" xfId="38768"/>
    <cellStyle name="표준 3 3 2 4 2 2 2 4" xfId="38769"/>
    <cellStyle name="표준 3 3 2 4 2 2 3" xfId="38770"/>
    <cellStyle name="표준 3 3 2 4 2 2 3 2" xfId="38771"/>
    <cellStyle name="표준 3 3 2 4 2 2 3 3" xfId="38772"/>
    <cellStyle name="표준 3 3 2 4 2 2 4" xfId="38773"/>
    <cellStyle name="표준 3 3 2 4 2 2 5" xfId="38774"/>
    <cellStyle name="표준 3 3 2 4 2 3" xfId="38775"/>
    <cellStyle name="표준 3 3 2 4 2 3 2" xfId="38776"/>
    <cellStyle name="표준 3 3 2 4 2 3 2 2" xfId="38777"/>
    <cellStyle name="표준 3 3 2 4 2 3 2 2 2" xfId="38778"/>
    <cellStyle name="표준 3 3 2 4 2 3 2 2 3" xfId="38779"/>
    <cellStyle name="표준 3 3 2 4 2 3 2 3" xfId="38780"/>
    <cellStyle name="표준 3 3 2 4 2 3 2 4" xfId="38781"/>
    <cellStyle name="표준 3 3 2 4 2 3 3" xfId="38782"/>
    <cellStyle name="표준 3 3 2 4 2 3 3 2" xfId="38783"/>
    <cellStyle name="표준 3 3 2 4 2 3 3 3" xfId="38784"/>
    <cellStyle name="표준 3 3 2 4 2 3 4" xfId="38785"/>
    <cellStyle name="표준 3 3 2 4 2 3 5" xfId="38786"/>
    <cellStyle name="표준 3 3 2 4 2 4" xfId="38787"/>
    <cellStyle name="표준 3 3 2 4 2 4 2" xfId="38788"/>
    <cellStyle name="표준 3 3 2 4 2 4 2 2" xfId="38789"/>
    <cellStyle name="표준 3 3 2 4 2 4 2 3" xfId="38790"/>
    <cellStyle name="표준 3 3 2 4 2 4 3" xfId="38791"/>
    <cellStyle name="표준 3 3 2 4 2 4 4" xfId="38792"/>
    <cellStyle name="표준 3 3 2 4 2 5" xfId="38793"/>
    <cellStyle name="표준 3 3 2 4 2 5 2" xfId="38794"/>
    <cellStyle name="표준 3 3 2 4 2 5 3" xfId="38795"/>
    <cellStyle name="표준 3 3 2 4 2 6" xfId="38796"/>
    <cellStyle name="표준 3 3 2 4 2 7" xfId="38797"/>
    <cellStyle name="표준 3 3 2 4 3" xfId="38798"/>
    <cellStyle name="표준 3 3 2 4 3 2" xfId="38799"/>
    <cellStyle name="표준 3 3 2 4 3 2 2" xfId="38800"/>
    <cellStyle name="표준 3 3 2 4 3 2 2 2" xfId="38801"/>
    <cellStyle name="표준 3 3 2 4 3 2 2 2 2" xfId="38802"/>
    <cellStyle name="표준 3 3 2 4 3 2 2 2 3" xfId="38803"/>
    <cellStyle name="표준 3 3 2 4 3 2 2 3" xfId="38804"/>
    <cellStyle name="표준 3 3 2 4 3 2 2 4" xfId="38805"/>
    <cellStyle name="표준 3 3 2 4 3 2 3" xfId="38806"/>
    <cellStyle name="표준 3 3 2 4 3 2 3 2" xfId="38807"/>
    <cellStyle name="표준 3 3 2 4 3 2 3 3" xfId="38808"/>
    <cellStyle name="표준 3 3 2 4 3 2 4" xfId="38809"/>
    <cellStyle name="표준 3 3 2 4 3 2 5" xfId="38810"/>
    <cellStyle name="표준 3 3 2 4 3 3" xfId="38811"/>
    <cellStyle name="표준 3 3 2 4 3 3 2" xfId="38812"/>
    <cellStyle name="표준 3 3 2 4 3 3 2 2" xfId="38813"/>
    <cellStyle name="표준 3 3 2 4 3 3 2 2 2" xfId="38814"/>
    <cellStyle name="표준 3 3 2 4 3 3 2 2 3" xfId="38815"/>
    <cellStyle name="표준 3 3 2 4 3 3 2 3" xfId="38816"/>
    <cellStyle name="표준 3 3 2 4 3 3 2 4" xfId="38817"/>
    <cellStyle name="표준 3 3 2 4 3 3 3" xfId="38818"/>
    <cellStyle name="표준 3 3 2 4 3 3 3 2" xfId="38819"/>
    <cellStyle name="표준 3 3 2 4 3 3 3 3" xfId="38820"/>
    <cellStyle name="표준 3 3 2 4 3 3 4" xfId="38821"/>
    <cellStyle name="표준 3 3 2 4 3 3 5" xfId="38822"/>
    <cellStyle name="표준 3 3 2 4 3 4" xfId="38823"/>
    <cellStyle name="표준 3 3 2 4 3 4 2" xfId="38824"/>
    <cellStyle name="표준 3 3 2 4 3 4 2 2" xfId="38825"/>
    <cellStyle name="표준 3 3 2 4 3 4 2 3" xfId="38826"/>
    <cellStyle name="표준 3 3 2 4 3 4 3" xfId="38827"/>
    <cellStyle name="표준 3 3 2 4 3 4 4" xfId="38828"/>
    <cellStyle name="표준 3 3 2 4 3 5" xfId="38829"/>
    <cellStyle name="표준 3 3 2 4 3 5 2" xfId="38830"/>
    <cellStyle name="표준 3 3 2 4 3 5 3" xfId="38831"/>
    <cellStyle name="표준 3 3 2 4 3 6" xfId="38832"/>
    <cellStyle name="표준 3 3 2 4 3 7" xfId="38833"/>
    <cellStyle name="표준 3 3 2 4 4" xfId="38834"/>
    <cellStyle name="표준 3 3 2 4 4 2" xfId="38835"/>
    <cellStyle name="표준 3 3 2 4 4 2 2" xfId="38836"/>
    <cellStyle name="표준 3 3 2 4 4 2 2 2" xfId="38837"/>
    <cellStyle name="표준 3 3 2 4 4 2 2 3" xfId="38838"/>
    <cellStyle name="표준 3 3 2 4 4 2 3" xfId="38839"/>
    <cellStyle name="표준 3 3 2 4 4 2 4" xfId="38840"/>
    <cellStyle name="표준 3 3 2 4 4 3" xfId="38841"/>
    <cellStyle name="표준 3 3 2 4 4 3 2" xfId="38842"/>
    <cellStyle name="표준 3 3 2 4 4 3 3" xfId="38843"/>
    <cellStyle name="표준 3 3 2 4 4 4" xfId="38844"/>
    <cellStyle name="표준 3 3 2 4 4 5" xfId="38845"/>
    <cellStyle name="표준 3 3 2 4 5" xfId="38846"/>
    <cellStyle name="표준 3 3 2 4 5 2" xfId="38847"/>
    <cellStyle name="표준 3 3 2 4 5 2 2" xfId="38848"/>
    <cellStyle name="표준 3 3 2 4 5 2 2 2" xfId="38849"/>
    <cellStyle name="표준 3 3 2 4 5 2 2 3" xfId="38850"/>
    <cellStyle name="표준 3 3 2 4 5 2 3" xfId="38851"/>
    <cellStyle name="표준 3 3 2 4 5 2 4" xfId="38852"/>
    <cellStyle name="표준 3 3 2 4 5 3" xfId="38853"/>
    <cellStyle name="표준 3 3 2 4 5 3 2" xfId="38854"/>
    <cellStyle name="표준 3 3 2 4 5 3 3" xfId="38855"/>
    <cellStyle name="표준 3 3 2 4 5 4" xfId="38856"/>
    <cellStyle name="표준 3 3 2 4 5 5" xfId="38857"/>
    <cellStyle name="표준 3 3 2 4 6" xfId="38858"/>
    <cellStyle name="표준 3 3 2 4 6 2" xfId="38859"/>
    <cellStyle name="표준 3 3 2 4 6 2 2" xfId="38860"/>
    <cellStyle name="표준 3 3 2 4 6 2 2 2" xfId="38861"/>
    <cellStyle name="표준 3 3 2 4 6 2 2 3" xfId="38862"/>
    <cellStyle name="표준 3 3 2 4 6 2 3" xfId="38863"/>
    <cellStyle name="표준 3 3 2 4 6 2 4" xfId="38864"/>
    <cellStyle name="표준 3 3 2 4 6 3" xfId="38865"/>
    <cellStyle name="표준 3 3 2 4 6 3 2" xfId="38866"/>
    <cellStyle name="표준 3 3 2 4 6 3 3" xfId="38867"/>
    <cellStyle name="표준 3 3 2 4 6 4" xfId="38868"/>
    <cellStyle name="표준 3 3 2 4 6 5" xfId="38869"/>
    <cellStyle name="표준 3 3 2 4 7" xfId="38870"/>
    <cellStyle name="표준 3 3 2 4 7 2" xfId="38871"/>
    <cellStyle name="표준 3 3 2 4 7 2 2" xfId="38872"/>
    <cellStyle name="표준 3 3 2 4 7 2 3" xfId="38873"/>
    <cellStyle name="표준 3 3 2 4 7 3" xfId="38874"/>
    <cellStyle name="표준 3 3 2 4 7 4" xfId="38875"/>
    <cellStyle name="표준 3 3 2 4 8" xfId="38876"/>
    <cellStyle name="표준 3 3 2 4 8 2" xfId="38877"/>
    <cellStyle name="표준 3 3 2 4 8 3" xfId="38878"/>
    <cellStyle name="표준 3 3 2 4 9" xfId="38879"/>
    <cellStyle name="표준 3 3 2 5" xfId="38880"/>
    <cellStyle name="표준 3 3 2 5 2" xfId="38881"/>
    <cellStyle name="표준 3 3 2 5 2 2" xfId="38882"/>
    <cellStyle name="표준 3 3 2 5 2 2 2" xfId="38883"/>
    <cellStyle name="표준 3 3 2 5 2 2 2 2" xfId="38884"/>
    <cellStyle name="표준 3 3 2 5 2 2 2 3" xfId="38885"/>
    <cellStyle name="표준 3 3 2 5 2 2 3" xfId="38886"/>
    <cellStyle name="표준 3 3 2 5 2 2 4" xfId="38887"/>
    <cellStyle name="표준 3 3 2 5 2 3" xfId="38888"/>
    <cellStyle name="표준 3 3 2 5 2 3 2" xfId="38889"/>
    <cellStyle name="표준 3 3 2 5 2 3 3" xfId="38890"/>
    <cellStyle name="표준 3 3 2 5 2 4" xfId="38891"/>
    <cellStyle name="표준 3 3 2 5 2 5" xfId="38892"/>
    <cellStyle name="표준 3 3 2 5 3" xfId="38893"/>
    <cellStyle name="표준 3 3 2 5 3 2" xfId="38894"/>
    <cellStyle name="표준 3 3 2 5 3 2 2" xfId="38895"/>
    <cellStyle name="표준 3 3 2 5 3 2 2 2" xfId="38896"/>
    <cellStyle name="표준 3 3 2 5 3 2 2 3" xfId="38897"/>
    <cellStyle name="표준 3 3 2 5 3 2 3" xfId="38898"/>
    <cellStyle name="표준 3 3 2 5 3 2 4" xfId="38899"/>
    <cellStyle name="표준 3 3 2 5 3 3" xfId="38900"/>
    <cellStyle name="표준 3 3 2 5 3 3 2" xfId="38901"/>
    <cellStyle name="표준 3 3 2 5 3 3 3" xfId="38902"/>
    <cellStyle name="표준 3 3 2 5 3 4" xfId="38903"/>
    <cellStyle name="표준 3 3 2 5 3 5" xfId="38904"/>
    <cellStyle name="표준 3 3 2 5 4" xfId="38905"/>
    <cellStyle name="표준 3 3 2 5 4 2" xfId="38906"/>
    <cellStyle name="표준 3 3 2 5 4 2 2" xfId="38907"/>
    <cellStyle name="표준 3 3 2 5 4 2 3" xfId="38908"/>
    <cellStyle name="표준 3 3 2 5 4 3" xfId="38909"/>
    <cellStyle name="표준 3 3 2 5 4 4" xfId="38910"/>
    <cellStyle name="표준 3 3 2 5 5" xfId="38911"/>
    <cellStyle name="표준 3 3 2 5 5 2" xfId="38912"/>
    <cellStyle name="표준 3 3 2 5 5 3" xfId="38913"/>
    <cellStyle name="표준 3 3 2 5 6" xfId="38914"/>
    <cellStyle name="표준 3 3 2 5 7" xfId="38915"/>
    <cellStyle name="표준 3 3 2 6" xfId="38916"/>
    <cellStyle name="표준 3 3 2 6 2" xfId="38917"/>
    <cellStyle name="표준 3 3 2 6 2 2" xfId="38918"/>
    <cellStyle name="표준 3 3 2 6 2 2 2" xfId="38919"/>
    <cellStyle name="표준 3 3 2 6 2 2 2 2" xfId="38920"/>
    <cellStyle name="표준 3 3 2 6 2 2 2 3" xfId="38921"/>
    <cellStyle name="표준 3 3 2 6 2 2 3" xfId="38922"/>
    <cellStyle name="표준 3 3 2 6 2 2 4" xfId="38923"/>
    <cellStyle name="표준 3 3 2 6 2 3" xfId="38924"/>
    <cellStyle name="표준 3 3 2 6 2 3 2" xfId="38925"/>
    <cellStyle name="표준 3 3 2 6 2 3 3" xfId="38926"/>
    <cellStyle name="표준 3 3 2 6 2 4" xfId="38927"/>
    <cellStyle name="표준 3 3 2 6 2 5" xfId="38928"/>
    <cellStyle name="표준 3 3 2 6 3" xfId="38929"/>
    <cellStyle name="표준 3 3 2 6 3 2" xfId="38930"/>
    <cellStyle name="표준 3 3 2 6 3 2 2" xfId="38931"/>
    <cellStyle name="표준 3 3 2 6 3 2 2 2" xfId="38932"/>
    <cellStyle name="표준 3 3 2 6 3 2 2 3" xfId="38933"/>
    <cellStyle name="표준 3 3 2 6 3 2 3" xfId="38934"/>
    <cellStyle name="표준 3 3 2 6 3 2 4" xfId="38935"/>
    <cellStyle name="표준 3 3 2 6 3 3" xfId="38936"/>
    <cellStyle name="표준 3 3 2 6 3 3 2" xfId="38937"/>
    <cellStyle name="표준 3 3 2 6 3 3 3" xfId="38938"/>
    <cellStyle name="표준 3 3 2 6 3 4" xfId="38939"/>
    <cellStyle name="표준 3 3 2 6 3 5" xfId="38940"/>
    <cellStyle name="표준 3 3 2 6 4" xfId="38941"/>
    <cellStyle name="표준 3 3 2 6 4 2" xfId="38942"/>
    <cellStyle name="표준 3 3 2 6 4 2 2" xfId="38943"/>
    <cellStyle name="표준 3 3 2 6 4 2 3" xfId="38944"/>
    <cellStyle name="표준 3 3 2 6 4 3" xfId="38945"/>
    <cellStyle name="표준 3 3 2 6 4 4" xfId="38946"/>
    <cellStyle name="표준 3 3 2 6 5" xfId="38947"/>
    <cellStyle name="표준 3 3 2 6 5 2" xfId="38948"/>
    <cellStyle name="표준 3 3 2 6 5 3" xfId="38949"/>
    <cellStyle name="표준 3 3 2 6 6" xfId="38950"/>
    <cellStyle name="표준 3 3 2 6 7" xfId="38951"/>
    <cellStyle name="표준 3 3 2 7" xfId="38952"/>
    <cellStyle name="표준 3 3 2 7 2" xfId="38953"/>
    <cellStyle name="표준 3 3 2 7 2 2" xfId="38954"/>
    <cellStyle name="표준 3 3 2 7 2 2 2" xfId="38955"/>
    <cellStyle name="표준 3 3 2 7 2 2 3" xfId="38956"/>
    <cellStyle name="표준 3 3 2 7 2 3" xfId="38957"/>
    <cellStyle name="표준 3 3 2 7 2 4" xfId="38958"/>
    <cellStyle name="표준 3 3 2 7 3" xfId="38959"/>
    <cellStyle name="표준 3 3 2 7 3 2" xfId="38960"/>
    <cellStyle name="표준 3 3 2 7 3 3" xfId="38961"/>
    <cellStyle name="표준 3 3 2 7 4" xfId="38962"/>
    <cellStyle name="표준 3 3 2 7 5" xfId="38963"/>
    <cellStyle name="표준 3 3 2 8" xfId="38964"/>
    <cellStyle name="표준 3 3 2 8 2" xfId="38965"/>
    <cellStyle name="표준 3 3 2 8 2 2" xfId="38966"/>
    <cellStyle name="표준 3 3 2 8 2 2 2" xfId="38967"/>
    <cellStyle name="표준 3 3 2 8 2 2 3" xfId="38968"/>
    <cellStyle name="표준 3 3 2 8 2 3" xfId="38969"/>
    <cellStyle name="표준 3 3 2 8 2 4" xfId="38970"/>
    <cellStyle name="표준 3 3 2 8 3" xfId="38971"/>
    <cellStyle name="표준 3 3 2 8 3 2" xfId="38972"/>
    <cellStyle name="표준 3 3 2 8 3 3" xfId="38973"/>
    <cellStyle name="표준 3 3 2 8 4" xfId="38974"/>
    <cellStyle name="표준 3 3 2 8 5" xfId="38975"/>
    <cellStyle name="표준 3 3 2 9" xfId="38976"/>
    <cellStyle name="표준 3 3 2 9 2" xfId="38977"/>
    <cellStyle name="표준 3 3 2 9 2 2" xfId="38978"/>
    <cellStyle name="표준 3 3 2 9 2 2 2" xfId="38979"/>
    <cellStyle name="표준 3 3 2 9 2 2 3" xfId="38980"/>
    <cellStyle name="표준 3 3 2 9 2 3" xfId="38981"/>
    <cellStyle name="표준 3 3 2 9 2 4" xfId="38982"/>
    <cellStyle name="표준 3 3 2 9 3" xfId="38983"/>
    <cellStyle name="표준 3 3 2 9 3 2" xfId="38984"/>
    <cellStyle name="표준 3 3 2 9 3 3" xfId="38985"/>
    <cellStyle name="표준 3 3 2 9 4" xfId="38986"/>
    <cellStyle name="표준 3 3 2 9 5" xfId="38987"/>
    <cellStyle name="표준 3 3 3" xfId="38988"/>
    <cellStyle name="표준 3 3 3 10" xfId="38989"/>
    <cellStyle name="표준 3 3 3 2" xfId="38990"/>
    <cellStyle name="표준 3 3 3 2 2" xfId="38991"/>
    <cellStyle name="표준 3 3 3 2 2 2" xfId="38992"/>
    <cellStyle name="표준 3 3 3 2 2 2 2" xfId="38993"/>
    <cellStyle name="표준 3 3 3 2 2 2 2 2" xfId="38994"/>
    <cellStyle name="표준 3 3 3 2 2 2 2 3" xfId="38995"/>
    <cellStyle name="표준 3 3 3 2 2 2 3" xfId="38996"/>
    <cellStyle name="표준 3 3 3 2 2 2 4" xfId="38997"/>
    <cellStyle name="표준 3 3 3 2 2 3" xfId="38998"/>
    <cellStyle name="표준 3 3 3 2 2 3 2" xfId="38999"/>
    <cellStyle name="표준 3 3 3 2 2 3 3" xfId="39000"/>
    <cellStyle name="표준 3 3 3 2 2 4" xfId="39001"/>
    <cellStyle name="표준 3 3 3 2 2 5" xfId="39002"/>
    <cellStyle name="표준 3 3 3 2 3" xfId="39003"/>
    <cellStyle name="표준 3 3 3 2 3 2" xfId="39004"/>
    <cellStyle name="표준 3 3 3 2 3 2 2" xfId="39005"/>
    <cellStyle name="표준 3 3 3 2 3 2 2 2" xfId="39006"/>
    <cellStyle name="표준 3 3 3 2 3 2 2 3" xfId="39007"/>
    <cellStyle name="표준 3 3 3 2 3 2 3" xfId="39008"/>
    <cellStyle name="표준 3 3 3 2 3 2 4" xfId="39009"/>
    <cellStyle name="표준 3 3 3 2 3 3" xfId="39010"/>
    <cellStyle name="표준 3 3 3 2 3 3 2" xfId="39011"/>
    <cellStyle name="표준 3 3 3 2 3 3 3" xfId="39012"/>
    <cellStyle name="표준 3 3 3 2 3 4" xfId="39013"/>
    <cellStyle name="표준 3 3 3 2 3 5" xfId="39014"/>
    <cellStyle name="표준 3 3 3 2 4" xfId="39015"/>
    <cellStyle name="표준 3 3 3 2 4 2" xfId="39016"/>
    <cellStyle name="표준 3 3 3 2 4 2 2" xfId="39017"/>
    <cellStyle name="표준 3 3 3 2 4 2 3" xfId="39018"/>
    <cellStyle name="표준 3 3 3 2 4 3" xfId="39019"/>
    <cellStyle name="표준 3 3 3 2 4 4" xfId="39020"/>
    <cellStyle name="표준 3 3 3 2 5" xfId="39021"/>
    <cellStyle name="표준 3 3 3 2 5 2" xfId="39022"/>
    <cellStyle name="표준 3 3 3 2 5 3" xfId="39023"/>
    <cellStyle name="표준 3 3 3 2 6" xfId="39024"/>
    <cellStyle name="표준 3 3 3 2 7" xfId="39025"/>
    <cellStyle name="표준 3 3 3 3" xfId="39026"/>
    <cellStyle name="표준 3 3 3 3 2" xfId="39027"/>
    <cellStyle name="표준 3 3 3 3 2 2" xfId="39028"/>
    <cellStyle name="표준 3 3 3 3 2 2 2" xfId="39029"/>
    <cellStyle name="표준 3 3 3 3 2 2 2 2" xfId="39030"/>
    <cellStyle name="표준 3 3 3 3 2 2 2 3" xfId="39031"/>
    <cellStyle name="표준 3 3 3 3 2 2 3" xfId="39032"/>
    <cellStyle name="표준 3 3 3 3 2 2 4" xfId="39033"/>
    <cellStyle name="표준 3 3 3 3 2 3" xfId="39034"/>
    <cellStyle name="표준 3 3 3 3 2 3 2" xfId="39035"/>
    <cellStyle name="표준 3 3 3 3 2 3 3" xfId="39036"/>
    <cellStyle name="표준 3 3 3 3 2 4" xfId="39037"/>
    <cellStyle name="표준 3 3 3 3 2 5" xfId="39038"/>
    <cellStyle name="표준 3 3 3 3 3" xfId="39039"/>
    <cellStyle name="표준 3 3 3 3 3 2" xfId="39040"/>
    <cellStyle name="표준 3 3 3 3 3 2 2" xfId="39041"/>
    <cellStyle name="표준 3 3 3 3 3 2 2 2" xfId="39042"/>
    <cellStyle name="표준 3 3 3 3 3 2 2 3" xfId="39043"/>
    <cellStyle name="표준 3 3 3 3 3 2 3" xfId="39044"/>
    <cellStyle name="표준 3 3 3 3 3 2 4" xfId="39045"/>
    <cellStyle name="표준 3 3 3 3 3 3" xfId="39046"/>
    <cellStyle name="표준 3 3 3 3 3 3 2" xfId="39047"/>
    <cellStyle name="표준 3 3 3 3 3 3 3" xfId="39048"/>
    <cellStyle name="표준 3 3 3 3 3 4" xfId="39049"/>
    <cellStyle name="표준 3 3 3 3 3 5" xfId="39050"/>
    <cellStyle name="표준 3 3 3 3 4" xfId="39051"/>
    <cellStyle name="표준 3 3 3 3 4 2" xfId="39052"/>
    <cellStyle name="표준 3 3 3 3 4 2 2" xfId="39053"/>
    <cellStyle name="표준 3 3 3 3 4 2 3" xfId="39054"/>
    <cellStyle name="표준 3 3 3 3 4 3" xfId="39055"/>
    <cellStyle name="표준 3 3 3 3 4 4" xfId="39056"/>
    <cellStyle name="표준 3 3 3 3 5" xfId="39057"/>
    <cellStyle name="표준 3 3 3 3 5 2" xfId="39058"/>
    <cellStyle name="표준 3 3 3 3 5 3" xfId="39059"/>
    <cellStyle name="표준 3 3 3 3 6" xfId="39060"/>
    <cellStyle name="표준 3 3 3 3 7" xfId="39061"/>
    <cellStyle name="표준 3 3 3 4" xfId="39062"/>
    <cellStyle name="표준 3 3 3 4 2" xfId="39063"/>
    <cellStyle name="표준 3 3 3 4 2 2" xfId="39064"/>
    <cellStyle name="표준 3 3 3 4 2 2 2" xfId="39065"/>
    <cellStyle name="표준 3 3 3 4 2 2 3" xfId="39066"/>
    <cellStyle name="표준 3 3 3 4 2 3" xfId="39067"/>
    <cellStyle name="표준 3 3 3 4 2 4" xfId="39068"/>
    <cellStyle name="표준 3 3 3 4 3" xfId="39069"/>
    <cellStyle name="표준 3 3 3 4 3 2" xfId="39070"/>
    <cellStyle name="표준 3 3 3 4 3 3" xfId="39071"/>
    <cellStyle name="표준 3 3 3 4 4" xfId="39072"/>
    <cellStyle name="표준 3 3 3 4 5" xfId="39073"/>
    <cellStyle name="표준 3 3 3 5" xfId="39074"/>
    <cellStyle name="표준 3 3 3 5 2" xfId="39075"/>
    <cellStyle name="표준 3 3 3 5 2 2" xfId="39076"/>
    <cellStyle name="표준 3 3 3 5 2 2 2" xfId="39077"/>
    <cellStyle name="표준 3 3 3 5 2 2 3" xfId="39078"/>
    <cellStyle name="표준 3 3 3 5 2 3" xfId="39079"/>
    <cellStyle name="표준 3 3 3 5 2 4" xfId="39080"/>
    <cellStyle name="표준 3 3 3 5 3" xfId="39081"/>
    <cellStyle name="표준 3 3 3 5 3 2" xfId="39082"/>
    <cellStyle name="표준 3 3 3 5 3 3" xfId="39083"/>
    <cellStyle name="표준 3 3 3 5 4" xfId="39084"/>
    <cellStyle name="표준 3 3 3 5 5" xfId="39085"/>
    <cellStyle name="표준 3 3 3 6" xfId="39086"/>
    <cellStyle name="표준 3 3 3 6 2" xfId="39087"/>
    <cellStyle name="표준 3 3 3 6 2 2" xfId="39088"/>
    <cellStyle name="표준 3 3 3 6 2 2 2" xfId="39089"/>
    <cellStyle name="표준 3 3 3 6 2 2 3" xfId="39090"/>
    <cellStyle name="표준 3 3 3 6 2 3" xfId="39091"/>
    <cellStyle name="표준 3 3 3 6 2 4" xfId="39092"/>
    <cellStyle name="표준 3 3 3 6 3" xfId="39093"/>
    <cellStyle name="표준 3 3 3 6 3 2" xfId="39094"/>
    <cellStyle name="표준 3 3 3 6 3 3" xfId="39095"/>
    <cellStyle name="표준 3 3 3 6 4" xfId="39096"/>
    <cellStyle name="표준 3 3 3 6 5" xfId="39097"/>
    <cellStyle name="표준 3 3 3 7" xfId="39098"/>
    <cellStyle name="표준 3 3 3 7 2" xfId="39099"/>
    <cellStyle name="표준 3 3 3 7 2 2" xfId="39100"/>
    <cellStyle name="표준 3 3 3 7 2 3" xfId="39101"/>
    <cellStyle name="표준 3 3 3 7 3" xfId="39102"/>
    <cellStyle name="표준 3 3 3 7 4" xfId="39103"/>
    <cellStyle name="표준 3 3 3 8" xfId="39104"/>
    <cellStyle name="표준 3 3 3 8 2" xfId="39105"/>
    <cellStyle name="표준 3 3 3 8 3" xfId="39106"/>
    <cellStyle name="표준 3 3 3 9" xfId="39107"/>
    <cellStyle name="표준 3 3 4" xfId="39108"/>
    <cellStyle name="표준 3 3 4 10" xfId="39109"/>
    <cellStyle name="표준 3 3 4 2" xfId="39110"/>
    <cellStyle name="표준 3 3 4 2 2" xfId="39111"/>
    <cellStyle name="표준 3 3 4 2 2 2" xfId="39112"/>
    <cellStyle name="표준 3 3 4 2 2 2 2" xfId="39113"/>
    <cellStyle name="표준 3 3 4 2 2 2 2 2" xfId="39114"/>
    <cellStyle name="표준 3 3 4 2 2 2 2 3" xfId="39115"/>
    <cellStyle name="표준 3 3 4 2 2 2 3" xfId="39116"/>
    <cellStyle name="표준 3 3 4 2 2 2 4" xfId="39117"/>
    <cellStyle name="표준 3 3 4 2 2 3" xfId="39118"/>
    <cellStyle name="표준 3 3 4 2 2 3 2" xfId="39119"/>
    <cellStyle name="표준 3 3 4 2 2 3 3" xfId="39120"/>
    <cellStyle name="표준 3 3 4 2 2 4" xfId="39121"/>
    <cellStyle name="표준 3 3 4 2 2 5" xfId="39122"/>
    <cellStyle name="표준 3 3 4 2 3" xfId="39123"/>
    <cellStyle name="표준 3 3 4 2 3 2" xfId="39124"/>
    <cellStyle name="표준 3 3 4 2 3 2 2" xfId="39125"/>
    <cellStyle name="표준 3 3 4 2 3 2 2 2" xfId="39126"/>
    <cellStyle name="표준 3 3 4 2 3 2 2 3" xfId="39127"/>
    <cellStyle name="표준 3 3 4 2 3 2 3" xfId="39128"/>
    <cellStyle name="표준 3 3 4 2 3 2 4" xfId="39129"/>
    <cellStyle name="표준 3 3 4 2 3 3" xfId="39130"/>
    <cellStyle name="표준 3 3 4 2 3 3 2" xfId="39131"/>
    <cellStyle name="표준 3 3 4 2 3 3 3" xfId="39132"/>
    <cellStyle name="표준 3 3 4 2 3 4" xfId="39133"/>
    <cellStyle name="표준 3 3 4 2 3 5" xfId="39134"/>
    <cellStyle name="표준 3 3 4 2 4" xfId="39135"/>
    <cellStyle name="표준 3 3 4 2 4 2" xfId="39136"/>
    <cellStyle name="표준 3 3 4 2 4 2 2" xfId="39137"/>
    <cellStyle name="표준 3 3 4 2 4 2 3" xfId="39138"/>
    <cellStyle name="표준 3 3 4 2 4 3" xfId="39139"/>
    <cellStyle name="표준 3 3 4 2 4 4" xfId="39140"/>
    <cellStyle name="표준 3 3 4 2 5" xfId="39141"/>
    <cellStyle name="표준 3 3 4 2 5 2" xfId="39142"/>
    <cellStyle name="표준 3 3 4 2 5 3" xfId="39143"/>
    <cellStyle name="표준 3 3 4 2 6" xfId="39144"/>
    <cellStyle name="표준 3 3 4 2 7" xfId="39145"/>
    <cellStyle name="표준 3 3 4 3" xfId="39146"/>
    <cellStyle name="표준 3 3 4 3 2" xfId="39147"/>
    <cellStyle name="표준 3 3 4 3 2 2" xfId="39148"/>
    <cellStyle name="표준 3 3 4 3 2 2 2" xfId="39149"/>
    <cellStyle name="표준 3 3 4 3 2 2 2 2" xfId="39150"/>
    <cellStyle name="표준 3 3 4 3 2 2 2 3" xfId="39151"/>
    <cellStyle name="표준 3 3 4 3 2 2 3" xfId="39152"/>
    <cellStyle name="표준 3 3 4 3 2 2 4" xfId="39153"/>
    <cellStyle name="표준 3 3 4 3 2 3" xfId="39154"/>
    <cellStyle name="표준 3 3 4 3 2 3 2" xfId="39155"/>
    <cellStyle name="표준 3 3 4 3 2 3 3" xfId="39156"/>
    <cellStyle name="표준 3 3 4 3 2 4" xfId="39157"/>
    <cellStyle name="표준 3 3 4 3 2 5" xfId="39158"/>
    <cellStyle name="표준 3 3 4 3 3" xfId="39159"/>
    <cellStyle name="표준 3 3 4 3 3 2" xfId="39160"/>
    <cellStyle name="표준 3 3 4 3 3 2 2" xfId="39161"/>
    <cellStyle name="표준 3 3 4 3 3 2 2 2" xfId="39162"/>
    <cellStyle name="표준 3 3 4 3 3 2 2 3" xfId="39163"/>
    <cellStyle name="표준 3 3 4 3 3 2 3" xfId="39164"/>
    <cellStyle name="표준 3 3 4 3 3 2 4" xfId="39165"/>
    <cellStyle name="표준 3 3 4 3 3 3" xfId="39166"/>
    <cellStyle name="표준 3 3 4 3 3 3 2" xfId="39167"/>
    <cellStyle name="표준 3 3 4 3 3 3 3" xfId="39168"/>
    <cellStyle name="표준 3 3 4 3 3 4" xfId="39169"/>
    <cellStyle name="표준 3 3 4 3 3 5" xfId="39170"/>
    <cellStyle name="표준 3 3 4 3 4" xfId="39171"/>
    <cellStyle name="표준 3 3 4 3 4 2" xfId="39172"/>
    <cellStyle name="표준 3 3 4 3 4 2 2" xfId="39173"/>
    <cellStyle name="표준 3 3 4 3 4 2 3" xfId="39174"/>
    <cellStyle name="표준 3 3 4 3 4 3" xfId="39175"/>
    <cellStyle name="표준 3 3 4 3 4 4" xfId="39176"/>
    <cellStyle name="표준 3 3 4 3 5" xfId="39177"/>
    <cellStyle name="표준 3 3 4 3 5 2" xfId="39178"/>
    <cellStyle name="표준 3 3 4 3 5 3" xfId="39179"/>
    <cellStyle name="표준 3 3 4 3 6" xfId="39180"/>
    <cellStyle name="표준 3 3 4 3 7" xfId="39181"/>
    <cellStyle name="표준 3 3 4 4" xfId="39182"/>
    <cellStyle name="표준 3 3 4 4 2" xfId="39183"/>
    <cellStyle name="표준 3 3 4 4 2 2" xfId="39184"/>
    <cellStyle name="표준 3 3 4 4 2 2 2" xfId="39185"/>
    <cellStyle name="표준 3 3 4 4 2 2 3" xfId="39186"/>
    <cellStyle name="표준 3 3 4 4 2 3" xfId="39187"/>
    <cellStyle name="표준 3 3 4 4 2 4" xfId="39188"/>
    <cellStyle name="표준 3 3 4 4 3" xfId="39189"/>
    <cellStyle name="표준 3 3 4 4 3 2" xfId="39190"/>
    <cellStyle name="표준 3 3 4 4 3 3" xfId="39191"/>
    <cellStyle name="표준 3 3 4 4 4" xfId="39192"/>
    <cellStyle name="표준 3 3 4 4 5" xfId="39193"/>
    <cellStyle name="표준 3 3 4 5" xfId="39194"/>
    <cellStyle name="표준 3 3 4 5 2" xfId="39195"/>
    <cellStyle name="표준 3 3 4 5 2 2" xfId="39196"/>
    <cellStyle name="표준 3 3 4 5 2 2 2" xfId="39197"/>
    <cellStyle name="표준 3 3 4 5 2 2 3" xfId="39198"/>
    <cellStyle name="표준 3 3 4 5 2 3" xfId="39199"/>
    <cellStyle name="표준 3 3 4 5 2 4" xfId="39200"/>
    <cellStyle name="표준 3 3 4 5 3" xfId="39201"/>
    <cellStyle name="표준 3 3 4 5 3 2" xfId="39202"/>
    <cellStyle name="표준 3 3 4 5 3 3" xfId="39203"/>
    <cellStyle name="표준 3 3 4 5 4" xfId="39204"/>
    <cellStyle name="표준 3 3 4 5 5" xfId="39205"/>
    <cellStyle name="표준 3 3 4 6" xfId="39206"/>
    <cellStyle name="표준 3 3 4 6 2" xfId="39207"/>
    <cellStyle name="표준 3 3 4 6 2 2" xfId="39208"/>
    <cellStyle name="표준 3 3 4 6 2 2 2" xfId="39209"/>
    <cellStyle name="표준 3 3 4 6 2 2 3" xfId="39210"/>
    <cellStyle name="표준 3 3 4 6 2 3" xfId="39211"/>
    <cellStyle name="표준 3 3 4 6 2 4" xfId="39212"/>
    <cellStyle name="표준 3 3 4 6 3" xfId="39213"/>
    <cellStyle name="표준 3 3 4 6 3 2" xfId="39214"/>
    <cellStyle name="표준 3 3 4 6 3 3" xfId="39215"/>
    <cellStyle name="표준 3 3 4 6 4" xfId="39216"/>
    <cellStyle name="표준 3 3 4 6 5" xfId="39217"/>
    <cellStyle name="표준 3 3 4 7" xfId="39218"/>
    <cellStyle name="표준 3 3 4 7 2" xfId="39219"/>
    <cellStyle name="표준 3 3 4 7 2 2" xfId="39220"/>
    <cellStyle name="표준 3 3 4 7 2 3" xfId="39221"/>
    <cellStyle name="표준 3 3 4 7 3" xfId="39222"/>
    <cellStyle name="표준 3 3 4 7 4" xfId="39223"/>
    <cellStyle name="표준 3 3 4 8" xfId="39224"/>
    <cellStyle name="표준 3 3 4 8 2" xfId="39225"/>
    <cellStyle name="표준 3 3 4 8 3" xfId="39226"/>
    <cellStyle name="표준 3 3 4 9" xfId="39227"/>
    <cellStyle name="표준 3 3 5" xfId="39228"/>
    <cellStyle name="표준 3 3 5 10" xfId="39229"/>
    <cellStyle name="표준 3 3 5 2" xfId="39230"/>
    <cellStyle name="표준 3 3 5 2 2" xfId="39231"/>
    <cellStyle name="표준 3 3 5 2 2 2" xfId="39232"/>
    <cellStyle name="표준 3 3 5 2 2 2 2" xfId="39233"/>
    <cellStyle name="표준 3 3 5 2 2 2 2 2" xfId="39234"/>
    <cellStyle name="표준 3 3 5 2 2 2 2 3" xfId="39235"/>
    <cellStyle name="표준 3 3 5 2 2 2 3" xfId="39236"/>
    <cellStyle name="표준 3 3 5 2 2 2 4" xfId="39237"/>
    <cellStyle name="표준 3 3 5 2 2 3" xfId="39238"/>
    <cellStyle name="표준 3 3 5 2 2 3 2" xfId="39239"/>
    <cellStyle name="표준 3 3 5 2 2 3 3" xfId="39240"/>
    <cellStyle name="표준 3 3 5 2 2 4" xfId="39241"/>
    <cellStyle name="표준 3 3 5 2 2 5" xfId="39242"/>
    <cellStyle name="표준 3 3 5 2 3" xfId="39243"/>
    <cellStyle name="표준 3 3 5 2 3 2" xfId="39244"/>
    <cellStyle name="표준 3 3 5 2 3 2 2" xfId="39245"/>
    <cellStyle name="표준 3 3 5 2 3 2 2 2" xfId="39246"/>
    <cellStyle name="표준 3 3 5 2 3 2 2 3" xfId="39247"/>
    <cellStyle name="표준 3 3 5 2 3 2 3" xfId="39248"/>
    <cellStyle name="표준 3 3 5 2 3 2 4" xfId="39249"/>
    <cellStyle name="표준 3 3 5 2 3 3" xfId="39250"/>
    <cellStyle name="표준 3 3 5 2 3 3 2" xfId="39251"/>
    <cellStyle name="표준 3 3 5 2 3 3 3" xfId="39252"/>
    <cellStyle name="표준 3 3 5 2 3 4" xfId="39253"/>
    <cellStyle name="표준 3 3 5 2 3 5" xfId="39254"/>
    <cellStyle name="표준 3 3 5 2 4" xfId="39255"/>
    <cellStyle name="표준 3 3 5 2 4 2" xfId="39256"/>
    <cellStyle name="표준 3 3 5 2 4 2 2" xfId="39257"/>
    <cellStyle name="표준 3 3 5 2 4 2 3" xfId="39258"/>
    <cellStyle name="표준 3 3 5 2 4 3" xfId="39259"/>
    <cellStyle name="표준 3 3 5 2 4 4" xfId="39260"/>
    <cellStyle name="표준 3 3 5 2 5" xfId="39261"/>
    <cellStyle name="표준 3 3 5 2 5 2" xfId="39262"/>
    <cellStyle name="표준 3 3 5 2 5 3" xfId="39263"/>
    <cellStyle name="표준 3 3 5 2 6" xfId="39264"/>
    <cellStyle name="표준 3 3 5 2 7" xfId="39265"/>
    <cellStyle name="표준 3 3 5 3" xfId="39266"/>
    <cellStyle name="표준 3 3 5 3 2" xfId="39267"/>
    <cellStyle name="표준 3 3 5 3 2 2" xfId="39268"/>
    <cellStyle name="표준 3 3 5 3 2 2 2" xfId="39269"/>
    <cellStyle name="표준 3 3 5 3 2 2 2 2" xfId="39270"/>
    <cellStyle name="표준 3 3 5 3 2 2 2 3" xfId="39271"/>
    <cellStyle name="표준 3 3 5 3 2 2 3" xfId="39272"/>
    <cellStyle name="표준 3 3 5 3 2 2 4" xfId="39273"/>
    <cellStyle name="표준 3 3 5 3 2 3" xfId="39274"/>
    <cellStyle name="표준 3 3 5 3 2 3 2" xfId="39275"/>
    <cellStyle name="표준 3 3 5 3 2 3 3" xfId="39276"/>
    <cellStyle name="표준 3 3 5 3 2 4" xfId="39277"/>
    <cellStyle name="표준 3 3 5 3 2 5" xfId="39278"/>
    <cellStyle name="표준 3 3 5 3 3" xfId="39279"/>
    <cellStyle name="표준 3 3 5 3 3 2" xfId="39280"/>
    <cellStyle name="표준 3 3 5 3 3 2 2" xfId="39281"/>
    <cellStyle name="표준 3 3 5 3 3 2 2 2" xfId="39282"/>
    <cellStyle name="표준 3 3 5 3 3 2 2 3" xfId="39283"/>
    <cellStyle name="표준 3 3 5 3 3 2 3" xfId="39284"/>
    <cellStyle name="표준 3 3 5 3 3 2 4" xfId="39285"/>
    <cellStyle name="표준 3 3 5 3 3 3" xfId="39286"/>
    <cellStyle name="표준 3 3 5 3 3 3 2" xfId="39287"/>
    <cellStyle name="표준 3 3 5 3 3 3 3" xfId="39288"/>
    <cellStyle name="표준 3 3 5 3 3 4" xfId="39289"/>
    <cellStyle name="표준 3 3 5 3 3 5" xfId="39290"/>
    <cellStyle name="표준 3 3 5 3 4" xfId="39291"/>
    <cellStyle name="표준 3 3 5 3 4 2" xfId="39292"/>
    <cellStyle name="표준 3 3 5 3 4 2 2" xfId="39293"/>
    <cellStyle name="표준 3 3 5 3 4 2 3" xfId="39294"/>
    <cellStyle name="표준 3 3 5 3 4 3" xfId="39295"/>
    <cellStyle name="표준 3 3 5 3 4 4" xfId="39296"/>
    <cellStyle name="표준 3 3 5 3 5" xfId="39297"/>
    <cellStyle name="표준 3 3 5 3 5 2" xfId="39298"/>
    <cellStyle name="표준 3 3 5 3 5 3" xfId="39299"/>
    <cellStyle name="표준 3 3 5 3 6" xfId="39300"/>
    <cellStyle name="표준 3 3 5 3 7" xfId="39301"/>
    <cellStyle name="표준 3 3 5 4" xfId="39302"/>
    <cellStyle name="표준 3 3 5 4 2" xfId="39303"/>
    <cellStyle name="표준 3 3 5 4 2 2" xfId="39304"/>
    <cellStyle name="표준 3 3 5 4 2 2 2" xfId="39305"/>
    <cellStyle name="표준 3 3 5 4 2 2 3" xfId="39306"/>
    <cellStyle name="표준 3 3 5 4 2 3" xfId="39307"/>
    <cellStyle name="표준 3 3 5 4 2 4" xfId="39308"/>
    <cellStyle name="표준 3 3 5 4 3" xfId="39309"/>
    <cellStyle name="표준 3 3 5 4 3 2" xfId="39310"/>
    <cellStyle name="표준 3 3 5 4 3 3" xfId="39311"/>
    <cellStyle name="표준 3 3 5 4 4" xfId="39312"/>
    <cellStyle name="표준 3 3 5 4 5" xfId="39313"/>
    <cellStyle name="표준 3 3 5 5" xfId="39314"/>
    <cellStyle name="표준 3 3 5 5 2" xfId="39315"/>
    <cellStyle name="표준 3 3 5 5 2 2" xfId="39316"/>
    <cellStyle name="표준 3 3 5 5 2 2 2" xfId="39317"/>
    <cellStyle name="표준 3 3 5 5 2 2 3" xfId="39318"/>
    <cellStyle name="표준 3 3 5 5 2 3" xfId="39319"/>
    <cellStyle name="표준 3 3 5 5 2 4" xfId="39320"/>
    <cellStyle name="표준 3 3 5 5 3" xfId="39321"/>
    <cellStyle name="표준 3 3 5 5 3 2" xfId="39322"/>
    <cellStyle name="표준 3 3 5 5 3 3" xfId="39323"/>
    <cellStyle name="표준 3 3 5 5 4" xfId="39324"/>
    <cellStyle name="표준 3 3 5 5 5" xfId="39325"/>
    <cellStyle name="표준 3 3 5 6" xfId="39326"/>
    <cellStyle name="표준 3 3 5 6 2" xfId="39327"/>
    <cellStyle name="표준 3 3 5 6 2 2" xfId="39328"/>
    <cellStyle name="표준 3 3 5 6 2 2 2" xfId="39329"/>
    <cellStyle name="표준 3 3 5 6 2 2 3" xfId="39330"/>
    <cellStyle name="표준 3 3 5 6 2 3" xfId="39331"/>
    <cellStyle name="표준 3 3 5 6 2 4" xfId="39332"/>
    <cellStyle name="표준 3 3 5 6 3" xfId="39333"/>
    <cellStyle name="표준 3 3 5 6 3 2" xfId="39334"/>
    <cellStyle name="표준 3 3 5 6 3 3" xfId="39335"/>
    <cellStyle name="표준 3 3 5 6 4" xfId="39336"/>
    <cellStyle name="표준 3 3 5 6 5" xfId="39337"/>
    <cellStyle name="표준 3 3 5 7" xfId="39338"/>
    <cellStyle name="표준 3 3 5 7 2" xfId="39339"/>
    <cellStyle name="표준 3 3 5 7 2 2" xfId="39340"/>
    <cellStyle name="표준 3 3 5 7 2 3" xfId="39341"/>
    <cellStyle name="표준 3 3 5 7 3" xfId="39342"/>
    <cellStyle name="표준 3 3 5 7 4" xfId="39343"/>
    <cellStyle name="표준 3 3 5 8" xfId="39344"/>
    <cellStyle name="표준 3 3 5 8 2" xfId="39345"/>
    <cellStyle name="표준 3 3 5 8 3" xfId="39346"/>
    <cellStyle name="표준 3 3 5 9" xfId="39347"/>
    <cellStyle name="표준 3 3 6" xfId="39348"/>
    <cellStyle name="표준 3 3 6 2" xfId="39349"/>
    <cellStyle name="표준 3 3 6 2 2" xfId="39350"/>
    <cellStyle name="표준 3 3 6 2 2 2" xfId="39351"/>
    <cellStyle name="표준 3 3 6 2 2 2 2" xfId="39352"/>
    <cellStyle name="표준 3 3 6 2 2 2 3" xfId="39353"/>
    <cellStyle name="표준 3 3 6 2 2 3" xfId="39354"/>
    <cellStyle name="표준 3 3 6 2 2 4" xfId="39355"/>
    <cellStyle name="표준 3 3 6 2 3" xfId="39356"/>
    <cellStyle name="표준 3 3 6 2 3 2" xfId="39357"/>
    <cellStyle name="표준 3 3 6 2 3 3" xfId="39358"/>
    <cellStyle name="표준 3 3 6 2 4" xfId="39359"/>
    <cellStyle name="표준 3 3 6 2 5" xfId="39360"/>
    <cellStyle name="표준 3 3 6 3" xfId="39361"/>
    <cellStyle name="표준 3 3 6 3 2" xfId="39362"/>
    <cellStyle name="표준 3 3 6 3 2 2" xfId="39363"/>
    <cellStyle name="표준 3 3 6 3 2 2 2" xfId="39364"/>
    <cellStyle name="표준 3 3 6 3 2 2 3" xfId="39365"/>
    <cellStyle name="표준 3 3 6 3 2 3" xfId="39366"/>
    <cellStyle name="표준 3 3 6 3 2 4" xfId="39367"/>
    <cellStyle name="표준 3 3 6 3 3" xfId="39368"/>
    <cellStyle name="표준 3 3 6 3 3 2" xfId="39369"/>
    <cellStyle name="표준 3 3 6 3 3 3" xfId="39370"/>
    <cellStyle name="표준 3 3 6 3 4" xfId="39371"/>
    <cellStyle name="표준 3 3 6 3 5" xfId="39372"/>
    <cellStyle name="표준 3 3 6 4" xfId="39373"/>
    <cellStyle name="표준 3 3 6 4 2" xfId="39374"/>
    <cellStyle name="표준 3 3 6 4 2 2" xfId="39375"/>
    <cellStyle name="표준 3 3 6 4 2 3" xfId="39376"/>
    <cellStyle name="표준 3 3 6 4 3" xfId="39377"/>
    <cellStyle name="표준 3 3 6 4 4" xfId="39378"/>
    <cellStyle name="표준 3 3 6 5" xfId="39379"/>
    <cellStyle name="표준 3 3 6 5 2" xfId="39380"/>
    <cellStyle name="표준 3 3 6 5 3" xfId="39381"/>
    <cellStyle name="표준 3 3 6 6" xfId="39382"/>
    <cellStyle name="표준 3 3 6 7" xfId="39383"/>
    <cellStyle name="표준 3 3 7" xfId="39384"/>
    <cellStyle name="표준 3 3 7 2" xfId="39385"/>
    <cellStyle name="표준 3 3 7 2 2" xfId="39386"/>
    <cellStyle name="표준 3 3 7 2 2 2" xfId="39387"/>
    <cellStyle name="표준 3 3 7 2 2 2 2" xfId="39388"/>
    <cellStyle name="표준 3 3 7 2 2 2 3" xfId="39389"/>
    <cellStyle name="표준 3 3 7 2 2 3" xfId="39390"/>
    <cellStyle name="표준 3 3 7 2 2 4" xfId="39391"/>
    <cellStyle name="표준 3 3 7 2 3" xfId="39392"/>
    <cellStyle name="표준 3 3 7 2 3 2" xfId="39393"/>
    <cellStyle name="표준 3 3 7 2 3 3" xfId="39394"/>
    <cellStyle name="표준 3 3 7 2 4" xfId="39395"/>
    <cellStyle name="표준 3 3 7 2 5" xfId="39396"/>
    <cellStyle name="표준 3 3 7 3" xfId="39397"/>
    <cellStyle name="표준 3 3 7 3 2" xfId="39398"/>
    <cellStyle name="표준 3 3 7 3 2 2" xfId="39399"/>
    <cellStyle name="표준 3 3 7 3 2 2 2" xfId="39400"/>
    <cellStyle name="표준 3 3 7 3 2 2 3" xfId="39401"/>
    <cellStyle name="표준 3 3 7 3 2 3" xfId="39402"/>
    <cellStyle name="표준 3 3 7 3 2 4" xfId="39403"/>
    <cellStyle name="표준 3 3 7 3 3" xfId="39404"/>
    <cellStyle name="표준 3 3 7 3 3 2" xfId="39405"/>
    <cellStyle name="표준 3 3 7 3 3 3" xfId="39406"/>
    <cellStyle name="표준 3 3 7 3 4" xfId="39407"/>
    <cellStyle name="표준 3 3 7 3 5" xfId="39408"/>
    <cellStyle name="표준 3 3 7 4" xfId="39409"/>
    <cellStyle name="표준 3 3 7 4 2" xfId="39410"/>
    <cellStyle name="표준 3 3 7 4 2 2" xfId="39411"/>
    <cellStyle name="표준 3 3 7 4 2 3" xfId="39412"/>
    <cellStyle name="표준 3 3 7 4 3" xfId="39413"/>
    <cellStyle name="표준 3 3 7 4 4" xfId="39414"/>
    <cellStyle name="표준 3 3 7 5" xfId="39415"/>
    <cellStyle name="표준 3 3 7 5 2" xfId="39416"/>
    <cellStyle name="표준 3 3 7 5 3" xfId="39417"/>
    <cellStyle name="표준 3 3 7 6" xfId="39418"/>
    <cellStyle name="표준 3 3 7 7" xfId="39419"/>
    <cellStyle name="표준 3 3 8" xfId="39420"/>
    <cellStyle name="표준 3 3 8 2" xfId="39421"/>
    <cellStyle name="표준 3 3 8 2 2" xfId="39422"/>
    <cellStyle name="표준 3 3 8 2 2 2" xfId="39423"/>
    <cellStyle name="표준 3 3 8 2 2 3" xfId="39424"/>
    <cellStyle name="표준 3 3 8 2 3" xfId="39425"/>
    <cellStyle name="표준 3 3 8 2 4" xfId="39426"/>
    <cellStyle name="표준 3 3 8 3" xfId="39427"/>
    <cellStyle name="표준 3 3 8 3 2" xfId="39428"/>
    <cellStyle name="표준 3 3 8 3 3" xfId="39429"/>
    <cellStyle name="표준 3 3 8 4" xfId="39430"/>
    <cellStyle name="표준 3 3 8 5" xfId="39431"/>
    <cellStyle name="표준 3 3 9" xfId="39432"/>
    <cellStyle name="표준 3 3 9 2" xfId="39433"/>
    <cellStyle name="표준 3 3 9 2 2" xfId="39434"/>
    <cellStyle name="표준 3 3 9 2 2 2" xfId="39435"/>
    <cellStyle name="표준 3 3 9 2 2 3" xfId="39436"/>
    <cellStyle name="표준 3 3 9 2 3" xfId="39437"/>
    <cellStyle name="표준 3 3 9 2 4" xfId="39438"/>
    <cellStyle name="표준 3 3 9 3" xfId="39439"/>
    <cellStyle name="표준 3 3 9 3 2" xfId="39440"/>
    <cellStyle name="표준 3 3 9 3 3" xfId="39441"/>
    <cellStyle name="표준 3 3 9 4" xfId="39442"/>
    <cellStyle name="표준 3 3 9 5" xfId="39443"/>
    <cellStyle name="표준 3 4" xfId="39444"/>
    <cellStyle name="표준 3 4 10" xfId="39445"/>
    <cellStyle name="표준 3 4 10 2" xfId="39446"/>
    <cellStyle name="표준 3 4 10 2 2" xfId="39447"/>
    <cellStyle name="표준 3 4 10 2 2 2" xfId="39448"/>
    <cellStyle name="표준 3 4 10 2 2 3" xfId="39449"/>
    <cellStyle name="표준 3 4 10 2 3" xfId="39450"/>
    <cellStyle name="표준 3 4 10 2 4" xfId="39451"/>
    <cellStyle name="표준 3 4 10 3" xfId="39452"/>
    <cellStyle name="표준 3 4 10 3 2" xfId="39453"/>
    <cellStyle name="표준 3 4 10 3 3" xfId="39454"/>
    <cellStyle name="표준 3 4 10 4" xfId="39455"/>
    <cellStyle name="표준 3 4 10 5" xfId="39456"/>
    <cellStyle name="표준 3 4 11" xfId="39457"/>
    <cellStyle name="표준 3 4 11 2" xfId="39458"/>
    <cellStyle name="표준 3 4 11 2 2" xfId="39459"/>
    <cellStyle name="표준 3 4 11 2 3" xfId="39460"/>
    <cellStyle name="표준 3 4 11 3" xfId="39461"/>
    <cellStyle name="표준 3 4 11 4" xfId="39462"/>
    <cellStyle name="표준 3 4 12" xfId="39463"/>
    <cellStyle name="표준 3 4 12 2" xfId="39464"/>
    <cellStyle name="표준 3 4 12 3" xfId="39465"/>
    <cellStyle name="표준 3 4 13" xfId="39466"/>
    <cellStyle name="표준 3 4 14" xfId="39467"/>
    <cellStyle name="표준 3 4 15" xfId="39468"/>
    <cellStyle name="표준 3 4 16" xfId="39469"/>
    <cellStyle name="표준 3 4 2" xfId="39470"/>
    <cellStyle name="표준 3 4 2 10" xfId="39471"/>
    <cellStyle name="표준 3 4 2 10 2" xfId="39472"/>
    <cellStyle name="표준 3 4 2 10 2 2" xfId="39473"/>
    <cellStyle name="표준 3 4 2 10 2 3" xfId="39474"/>
    <cellStyle name="표준 3 4 2 10 3" xfId="39475"/>
    <cellStyle name="표준 3 4 2 10 4" xfId="39476"/>
    <cellStyle name="표준 3 4 2 11" xfId="39477"/>
    <cellStyle name="표준 3 4 2 11 2" xfId="39478"/>
    <cellStyle name="표준 3 4 2 11 3" xfId="39479"/>
    <cellStyle name="표준 3 4 2 12" xfId="39480"/>
    <cellStyle name="표준 3 4 2 13" xfId="39481"/>
    <cellStyle name="표준 3 4 2 14" xfId="39482"/>
    <cellStyle name="표준 3 4 2 15" xfId="39483"/>
    <cellStyle name="표준 3 4 2 2" xfId="39484"/>
    <cellStyle name="표준 3 4 2 2 10" xfId="39485"/>
    <cellStyle name="표준 3 4 2 2 2" xfId="39486"/>
    <cellStyle name="표준 3 4 2 2 2 2" xfId="39487"/>
    <cellStyle name="표준 3 4 2 2 2 2 2" xfId="39488"/>
    <cellStyle name="표준 3 4 2 2 2 2 2 2" xfId="39489"/>
    <cellStyle name="표준 3 4 2 2 2 2 2 2 2" xfId="39490"/>
    <cellStyle name="표준 3 4 2 2 2 2 2 2 3" xfId="39491"/>
    <cellStyle name="표준 3 4 2 2 2 2 2 3" xfId="39492"/>
    <cellStyle name="표준 3 4 2 2 2 2 2 4" xfId="39493"/>
    <cellStyle name="표준 3 4 2 2 2 2 3" xfId="39494"/>
    <cellStyle name="표준 3 4 2 2 2 2 3 2" xfId="39495"/>
    <cellStyle name="표준 3 4 2 2 2 2 3 3" xfId="39496"/>
    <cellStyle name="표준 3 4 2 2 2 2 4" xfId="39497"/>
    <cellStyle name="표준 3 4 2 2 2 2 5" xfId="39498"/>
    <cellStyle name="표준 3 4 2 2 2 3" xfId="39499"/>
    <cellStyle name="표준 3 4 2 2 2 3 2" xfId="39500"/>
    <cellStyle name="표준 3 4 2 2 2 3 2 2" xfId="39501"/>
    <cellStyle name="표준 3 4 2 2 2 3 2 2 2" xfId="39502"/>
    <cellStyle name="표준 3 4 2 2 2 3 2 2 3" xfId="39503"/>
    <cellStyle name="표준 3 4 2 2 2 3 2 3" xfId="39504"/>
    <cellStyle name="표준 3 4 2 2 2 3 2 4" xfId="39505"/>
    <cellStyle name="표준 3 4 2 2 2 3 3" xfId="39506"/>
    <cellStyle name="표준 3 4 2 2 2 3 3 2" xfId="39507"/>
    <cellStyle name="표준 3 4 2 2 2 3 3 3" xfId="39508"/>
    <cellStyle name="표준 3 4 2 2 2 3 4" xfId="39509"/>
    <cellStyle name="표준 3 4 2 2 2 3 5" xfId="39510"/>
    <cellStyle name="표준 3 4 2 2 2 4" xfId="39511"/>
    <cellStyle name="표준 3 4 2 2 2 4 2" xfId="39512"/>
    <cellStyle name="표준 3 4 2 2 2 4 2 2" xfId="39513"/>
    <cellStyle name="표준 3 4 2 2 2 4 2 3" xfId="39514"/>
    <cellStyle name="표준 3 4 2 2 2 4 3" xfId="39515"/>
    <cellStyle name="표준 3 4 2 2 2 4 4" xfId="39516"/>
    <cellStyle name="표준 3 4 2 2 2 5" xfId="39517"/>
    <cellStyle name="표준 3 4 2 2 2 5 2" xfId="39518"/>
    <cellStyle name="표준 3 4 2 2 2 5 3" xfId="39519"/>
    <cellStyle name="표준 3 4 2 2 2 6" xfId="39520"/>
    <cellStyle name="표준 3 4 2 2 2 7" xfId="39521"/>
    <cellStyle name="표준 3 4 2 2 3" xfId="39522"/>
    <cellStyle name="표준 3 4 2 2 3 2" xfId="39523"/>
    <cellStyle name="표준 3 4 2 2 3 2 2" xfId="39524"/>
    <cellStyle name="표준 3 4 2 2 3 2 2 2" xfId="39525"/>
    <cellStyle name="표준 3 4 2 2 3 2 2 2 2" xfId="39526"/>
    <cellStyle name="표준 3 4 2 2 3 2 2 2 3" xfId="39527"/>
    <cellStyle name="표준 3 4 2 2 3 2 2 3" xfId="39528"/>
    <cellStyle name="표준 3 4 2 2 3 2 2 4" xfId="39529"/>
    <cellStyle name="표준 3 4 2 2 3 2 3" xfId="39530"/>
    <cellStyle name="표준 3 4 2 2 3 2 3 2" xfId="39531"/>
    <cellStyle name="표준 3 4 2 2 3 2 3 3" xfId="39532"/>
    <cellStyle name="표준 3 4 2 2 3 2 4" xfId="39533"/>
    <cellStyle name="표준 3 4 2 2 3 2 5" xfId="39534"/>
    <cellStyle name="표준 3 4 2 2 3 3" xfId="39535"/>
    <cellStyle name="표준 3 4 2 2 3 3 2" xfId="39536"/>
    <cellStyle name="표준 3 4 2 2 3 3 2 2" xfId="39537"/>
    <cellStyle name="표준 3 4 2 2 3 3 2 2 2" xfId="39538"/>
    <cellStyle name="표준 3 4 2 2 3 3 2 2 3" xfId="39539"/>
    <cellStyle name="표준 3 4 2 2 3 3 2 3" xfId="39540"/>
    <cellStyle name="표준 3 4 2 2 3 3 2 4" xfId="39541"/>
    <cellStyle name="표준 3 4 2 2 3 3 3" xfId="39542"/>
    <cellStyle name="표준 3 4 2 2 3 3 3 2" xfId="39543"/>
    <cellStyle name="표준 3 4 2 2 3 3 3 3" xfId="39544"/>
    <cellStyle name="표준 3 4 2 2 3 3 4" xfId="39545"/>
    <cellStyle name="표준 3 4 2 2 3 3 5" xfId="39546"/>
    <cellStyle name="표준 3 4 2 2 3 4" xfId="39547"/>
    <cellStyle name="표준 3 4 2 2 3 4 2" xfId="39548"/>
    <cellStyle name="표준 3 4 2 2 3 4 2 2" xfId="39549"/>
    <cellStyle name="표준 3 4 2 2 3 4 2 3" xfId="39550"/>
    <cellStyle name="표준 3 4 2 2 3 4 3" xfId="39551"/>
    <cellStyle name="표준 3 4 2 2 3 4 4" xfId="39552"/>
    <cellStyle name="표준 3 4 2 2 3 5" xfId="39553"/>
    <cellStyle name="표준 3 4 2 2 3 5 2" xfId="39554"/>
    <cellStyle name="표준 3 4 2 2 3 5 3" xfId="39555"/>
    <cellStyle name="표준 3 4 2 2 3 6" xfId="39556"/>
    <cellStyle name="표준 3 4 2 2 3 7" xfId="39557"/>
    <cellStyle name="표준 3 4 2 2 4" xfId="39558"/>
    <cellStyle name="표준 3 4 2 2 4 2" xfId="39559"/>
    <cellStyle name="표준 3 4 2 2 4 2 2" xfId="39560"/>
    <cellStyle name="표준 3 4 2 2 4 2 2 2" xfId="39561"/>
    <cellStyle name="표준 3 4 2 2 4 2 2 3" xfId="39562"/>
    <cellStyle name="표준 3 4 2 2 4 2 3" xfId="39563"/>
    <cellStyle name="표준 3 4 2 2 4 2 4" xfId="39564"/>
    <cellStyle name="표준 3 4 2 2 4 3" xfId="39565"/>
    <cellStyle name="표준 3 4 2 2 4 3 2" xfId="39566"/>
    <cellStyle name="표준 3 4 2 2 4 3 3" xfId="39567"/>
    <cellStyle name="표준 3 4 2 2 4 4" xfId="39568"/>
    <cellStyle name="표준 3 4 2 2 4 5" xfId="39569"/>
    <cellStyle name="표준 3 4 2 2 5" xfId="39570"/>
    <cellStyle name="표준 3 4 2 2 5 2" xfId="39571"/>
    <cellStyle name="표준 3 4 2 2 5 2 2" xfId="39572"/>
    <cellStyle name="표준 3 4 2 2 5 2 2 2" xfId="39573"/>
    <cellStyle name="표준 3 4 2 2 5 2 2 3" xfId="39574"/>
    <cellStyle name="표준 3 4 2 2 5 2 3" xfId="39575"/>
    <cellStyle name="표준 3 4 2 2 5 2 4" xfId="39576"/>
    <cellStyle name="표준 3 4 2 2 5 3" xfId="39577"/>
    <cellStyle name="표준 3 4 2 2 5 3 2" xfId="39578"/>
    <cellStyle name="표준 3 4 2 2 5 3 3" xfId="39579"/>
    <cellStyle name="표준 3 4 2 2 5 4" xfId="39580"/>
    <cellStyle name="표준 3 4 2 2 5 5" xfId="39581"/>
    <cellStyle name="표준 3 4 2 2 6" xfId="39582"/>
    <cellStyle name="표준 3 4 2 2 6 2" xfId="39583"/>
    <cellStyle name="표준 3 4 2 2 6 2 2" xfId="39584"/>
    <cellStyle name="표준 3 4 2 2 6 2 2 2" xfId="39585"/>
    <cellStyle name="표준 3 4 2 2 6 2 2 3" xfId="39586"/>
    <cellStyle name="표준 3 4 2 2 6 2 3" xfId="39587"/>
    <cellStyle name="표준 3 4 2 2 6 2 4" xfId="39588"/>
    <cellStyle name="표준 3 4 2 2 6 3" xfId="39589"/>
    <cellStyle name="표준 3 4 2 2 6 3 2" xfId="39590"/>
    <cellStyle name="표준 3 4 2 2 6 3 3" xfId="39591"/>
    <cellStyle name="표준 3 4 2 2 6 4" xfId="39592"/>
    <cellStyle name="표준 3 4 2 2 6 5" xfId="39593"/>
    <cellStyle name="표준 3 4 2 2 7" xfId="39594"/>
    <cellStyle name="표준 3 4 2 2 7 2" xfId="39595"/>
    <cellStyle name="표준 3 4 2 2 7 2 2" xfId="39596"/>
    <cellStyle name="표준 3 4 2 2 7 2 3" xfId="39597"/>
    <cellStyle name="표준 3 4 2 2 7 3" xfId="39598"/>
    <cellStyle name="표준 3 4 2 2 7 4" xfId="39599"/>
    <cellStyle name="표준 3 4 2 2 8" xfId="39600"/>
    <cellStyle name="표준 3 4 2 2 8 2" xfId="39601"/>
    <cellStyle name="표준 3 4 2 2 8 3" xfId="39602"/>
    <cellStyle name="표준 3 4 2 2 9" xfId="39603"/>
    <cellStyle name="표준 3 4 2 3" xfId="39604"/>
    <cellStyle name="표준 3 4 2 3 10" xfId="39605"/>
    <cellStyle name="표준 3 4 2 3 2" xfId="39606"/>
    <cellStyle name="표준 3 4 2 3 2 2" xfId="39607"/>
    <cellStyle name="표준 3 4 2 3 2 2 2" xfId="39608"/>
    <cellStyle name="표준 3 4 2 3 2 2 2 2" xfId="39609"/>
    <cellStyle name="표준 3 4 2 3 2 2 2 2 2" xfId="39610"/>
    <cellStyle name="표준 3 4 2 3 2 2 2 2 3" xfId="39611"/>
    <cellStyle name="표준 3 4 2 3 2 2 2 3" xfId="39612"/>
    <cellStyle name="표준 3 4 2 3 2 2 2 4" xfId="39613"/>
    <cellStyle name="표준 3 4 2 3 2 2 3" xfId="39614"/>
    <cellStyle name="표준 3 4 2 3 2 2 3 2" xfId="39615"/>
    <cellStyle name="표준 3 4 2 3 2 2 3 3" xfId="39616"/>
    <cellStyle name="표준 3 4 2 3 2 2 4" xfId="39617"/>
    <cellStyle name="표준 3 4 2 3 2 2 5" xfId="39618"/>
    <cellStyle name="표준 3 4 2 3 2 3" xfId="39619"/>
    <cellStyle name="표준 3 4 2 3 2 3 2" xfId="39620"/>
    <cellStyle name="표준 3 4 2 3 2 3 2 2" xfId="39621"/>
    <cellStyle name="표준 3 4 2 3 2 3 2 2 2" xfId="39622"/>
    <cellStyle name="표준 3 4 2 3 2 3 2 2 3" xfId="39623"/>
    <cellStyle name="표준 3 4 2 3 2 3 2 3" xfId="39624"/>
    <cellStyle name="표준 3 4 2 3 2 3 2 4" xfId="39625"/>
    <cellStyle name="표준 3 4 2 3 2 3 3" xfId="39626"/>
    <cellStyle name="표준 3 4 2 3 2 3 3 2" xfId="39627"/>
    <cellStyle name="표준 3 4 2 3 2 3 3 3" xfId="39628"/>
    <cellStyle name="표준 3 4 2 3 2 3 4" xfId="39629"/>
    <cellStyle name="표준 3 4 2 3 2 3 5" xfId="39630"/>
    <cellStyle name="표준 3 4 2 3 2 4" xfId="39631"/>
    <cellStyle name="표준 3 4 2 3 2 4 2" xfId="39632"/>
    <cellStyle name="표준 3 4 2 3 2 4 2 2" xfId="39633"/>
    <cellStyle name="표준 3 4 2 3 2 4 2 3" xfId="39634"/>
    <cellStyle name="표준 3 4 2 3 2 4 3" xfId="39635"/>
    <cellStyle name="표준 3 4 2 3 2 4 4" xfId="39636"/>
    <cellStyle name="표준 3 4 2 3 2 5" xfId="39637"/>
    <cellStyle name="표준 3 4 2 3 2 5 2" xfId="39638"/>
    <cellStyle name="표준 3 4 2 3 2 5 3" xfId="39639"/>
    <cellStyle name="표준 3 4 2 3 2 6" xfId="39640"/>
    <cellStyle name="표준 3 4 2 3 2 7" xfId="39641"/>
    <cellStyle name="표준 3 4 2 3 3" xfId="39642"/>
    <cellStyle name="표준 3 4 2 3 3 2" xfId="39643"/>
    <cellStyle name="표준 3 4 2 3 3 2 2" xfId="39644"/>
    <cellStyle name="표준 3 4 2 3 3 2 2 2" xfId="39645"/>
    <cellStyle name="표준 3 4 2 3 3 2 2 2 2" xfId="39646"/>
    <cellStyle name="표준 3 4 2 3 3 2 2 2 3" xfId="39647"/>
    <cellStyle name="표준 3 4 2 3 3 2 2 3" xfId="39648"/>
    <cellStyle name="표준 3 4 2 3 3 2 2 4" xfId="39649"/>
    <cellStyle name="표준 3 4 2 3 3 2 3" xfId="39650"/>
    <cellStyle name="표준 3 4 2 3 3 2 3 2" xfId="39651"/>
    <cellStyle name="표준 3 4 2 3 3 2 3 3" xfId="39652"/>
    <cellStyle name="표준 3 4 2 3 3 2 4" xfId="39653"/>
    <cellStyle name="표준 3 4 2 3 3 2 5" xfId="39654"/>
    <cellStyle name="표준 3 4 2 3 3 3" xfId="39655"/>
    <cellStyle name="표준 3 4 2 3 3 3 2" xfId="39656"/>
    <cellStyle name="표준 3 4 2 3 3 3 2 2" xfId="39657"/>
    <cellStyle name="표준 3 4 2 3 3 3 2 2 2" xfId="39658"/>
    <cellStyle name="표준 3 4 2 3 3 3 2 2 3" xfId="39659"/>
    <cellStyle name="표준 3 4 2 3 3 3 2 3" xfId="39660"/>
    <cellStyle name="표준 3 4 2 3 3 3 2 4" xfId="39661"/>
    <cellStyle name="표준 3 4 2 3 3 3 3" xfId="39662"/>
    <cellStyle name="표준 3 4 2 3 3 3 3 2" xfId="39663"/>
    <cellStyle name="표준 3 4 2 3 3 3 3 3" xfId="39664"/>
    <cellStyle name="표준 3 4 2 3 3 3 4" xfId="39665"/>
    <cellStyle name="표준 3 4 2 3 3 3 5" xfId="39666"/>
    <cellStyle name="표준 3 4 2 3 3 4" xfId="39667"/>
    <cellStyle name="표준 3 4 2 3 3 4 2" xfId="39668"/>
    <cellStyle name="표준 3 4 2 3 3 4 2 2" xfId="39669"/>
    <cellStyle name="표준 3 4 2 3 3 4 2 3" xfId="39670"/>
    <cellStyle name="표준 3 4 2 3 3 4 3" xfId="39671"/>
    <cellStyle name="표준 3 4 2 3 3 4 4" xfId="39672"/>
    <cellStyle name="표준 3 4 2 3 3 5" xfId="39673"/>
    <cellStyle name="표준 3 4 2 3 3 5 2" xfId="39674"/>
    <cellStyle name="표준 3 4 2 3 3 5 3" xfId="39675"/>
    <cellStyle name="표준 3 4 2 3 3 6" xfId="39676"/>
    <cellStyle name="표준 3 4 2 3 3 7" xfId="39677"/>
    <cellStyle name="표준 3 4 2 3 4" xfId="39678"/>
    <cellStyle name="표준 3 4 2 3 4 2" xfId="39679"/>
    <cellStyle name="표준 3 4 2 3 4 2 2" xfId="39680"/>
    <cellStyle name="표준 3 4 2 3 4 2 2 2" xfId="39681"/>
    <cellStyle name="표준 3 4 2 3 4 2 2 3" xfId="39682"/>
    <cellStyle name="표준 3 4 2 3 4 2 3" xfId="39683"/>
    <cellStyle name="표준 3 4 2 3 4 2 4" xfId="39684"/>
    <cellStyle name="표준 3 4 2 3 4 3" xfId="39685"/>
    <cellStyle name="표준 3 4 2 3 4 3 2" xfId="39686"/>
    <cellStyle name="표준 3 4 2 3 4 3 3" xfId="39687"/>
    <cellStyle name="표준 3 4 2 3 4 4" xfId="39688"/>
    <cellStyle name="표준 3 4 2 3 4 5" xfId="39689"/>
    <cellStyle name="표준 3 4 2 3 5" xfId="39690"/>
    <cellStyle name="표준 3 4 2 3 5 2" xfId="39691"/>
    <cellStyle name="표준 3 4 2 3 5 2 2" xfId="39692"/>
    <cellStyle name="표준 3 4 2 3 5 2 2 2" xfId="39693"/>
    <cellStyle name="표준 3 4 2 3 5 2 2 3" xfId="39694"/>
    <cellStyle name="표준 3 4 2 3 5 2 3" xfId="39695"/>
    <cellStyle name="표준 3 4 2 3 5 2 4" xfId="39696"/>
    <cellStyle name="표준 3 4 2 3 5 3" xfId="39697"/>
    <cellStyle name="표준 3 4 2 3 5 3 2" xfId="39698"/>
    <cellStyle name="표준 3 4 2 3 5 3 3" xfId="39699"/>
    <cellStyle name="표준 3 4 2 3 5 4" xfId="39700"/>
    <cellStyle name="표준 3 4 2 3 5 5" xfId="39701"/>
    <cellStyle name="표준 3 4 2 3 6" xfId="39702"/>
    <cellStyle name="표준 3 4 2 3 6 2" xfId="39703"/>
    <cellStyle name="표준 3 4 2 3 6 2 2" xfId="39704"/>
    <cellStyle name="표준 3 4 2 3 6 2 2 2" xfId="39705"/>
    <cellStyle name="표준 3 4 2 3 6 2 2 3" xfId="39706"/>
    <cellStyle name="표준 3 4 2 3 6 2 3" xfId="39707"/>
    <cellStyle name="표준 3 4 2 3 6 2 4" xfId="39708"/>
    <cellStyle name="표준 3 4 2 3 6 3" xfId="39709"/>
    <cellStyle name="표준 3 4 2 3 6 3 2" xfId="39710"/>
    <cellStyle name="표준 3 4 2 3 6 3 3" xfId="39711"/>
    <cellStyle name="표준 3 4 2 3 6 4" xfId="39712"/>
    <cellStyle name="표준 3 4 2 3 6 5" xfId="39713"/>
    <cellStyle name="표준 3 4 2 3 7" xfId="39714"/>
    <cellStyle name="표준 3 4 2 3 7 2" xfId="39715"/>
    <cellStyle name="표준 3 4 2 3 7 2 2" xfId="39716"/>
    <cellStyle name="표준 3 4 2 3 7 2 3" xfId="39717"/>
    <cellStyle name="표준 3 4 2 3 7 3" xfId="39718"/>
    <cellStyle name="표준 3 4 2 3 7 4" xfId="39719"/>
    <cellStyle name="표준 3 4 2 3 8" xfId="39720"/>
    <cellStyle name="표준 3 4 2 3 8 2" xfId="39721"/>
    <cellStyle name="표준 3 4 2 3 8 3" xfId="39722"/>
    <cellStyle name="표준 3 4 2 3 9" xfId="39723"/>
    <cellStyle name="표준 3 4 2 4" xfId="39724"/>
    <cellStyle name="표준 3 4 2 4 10" xfId="39725"/>
    <cellStyle name="표준 3 4 2 4 2" xfId="39726"/>
    <cellStyle name="표준 3 4 2 4 2 2" xfId="39727"/>
    <cellStyle name="표준 3 4 2 4 2 2 2" xfId="39728"/>
    <cellStyle name="표준 3 4 2 4 2 2 2 2" xfId="39729"/>
    <cellStyle name="표준 3 4 2 4 2 2 2 2 2" xfId="39730"/>
    <cellStyle name="표준 3 4 2 4 2 2 2 2 3" xfId="39731"/>
    <cellStyle name="표준 3 4 2 4 2 2 2 3" xfId="39732"/>
    <cellStyle name="표준 3 4 2 4 2 2 2 4" xfId="39733"/>
    <cellStyle name="표준 3 4 2 4 2 2 3" xfId="39734"/>
    <cellStyle name="표준 3 4 2 4 2 2 3 2" xfId="39735"/>
    <cellStyle name="표준 3 4 2 4 2 2 3 3" xfId="39736"/>
    <cellStyle name="표준 3 4 2 4 2 2 4" xfId="39737"/>
    <cellStyle name="표준 3 4 2 4 2 2 5" xfId="39738"/>
    <cellStyle name="표준 3 4 2 4 2 3" xfId="39739"/>
    <cellStyle name="표준 3 4 2 4 2 3 2" xfId="39740"/>
    <cellStyle name="표준 3 4 2 4 2 3 2 2" xfId="39741"/>
    <cellStyle name="표준 3 4 2 4 2 3 2 2 2" xfId="39742"/>
    <cellStyle name="표준 3 4 2 4 2 3 2 2 3" xfId="39743"/>
    <cellStyle name="표준 3 4 2 4 2 3 2 3" xfId="39744"/>
    <cellStyle name="표준 3 4 2 4 2 3 2 4" xfId="39745"/>
    <cellStyle name="표준 3 4 2 4 2 3 3" xfId="39746"/>
    <cellStyle name="표준 3 4 2 4 2 3 3 2" xfId="39747"/>
    <cellStyle name="표준 3 4 2 4 2 3 3 3" xfId="39748"/>
    <cellStyle name="표준 3 4 2 4 2 3 4" xfId="39749"/>
    <cellStyle name="표준 3 4 2 4 2 3 5" xfId="39750"/>
    <cellStyle name="표준 3 4 2 4 2 4" xfId="39751"/>
    <cellStyle name="표준 3 4 2 4 2 4 2" xfId="39752"/>
    <cellStyle name="표준 3 4 2 4 2 4 2 2" xfId="39753"/>
    <cellStyle name="표준 3 4 2 4 2 4 2 3" xfId="39754"/>
    <cellStyle name="표준 3 4 2 4 2 4 3" xfId="39755"/>
    <cellStyle name="표준 3 4 2 4 2 4 4" xfId="39756"/>
    <cellStyle name="표준 3 4 2 4 2 5" xfId="39757"/>
    <cellStyle name="표준 3 4 2 4 2 5 2" xfId="39758"/>
    <cellStyle name="표준 3 4 2 4 2 5 3" xfId="39759"/>
    <cellStyle name="표준 3 4 2 4 2 6" xfId="39760"/>
    <cellStyle name="표준 3 4 2 4 2 7" xfId="39761"/>
    <cellStyle name="표준 3 4 2 4 3" xfId="39762"/>
    <cellStyle name="표준 3 4 2 4 3 2" xfId="39763"/>
    <cellStyle name="표준 3 4 2 4 3 2 2" xfId="39764"/>
    <cellStyle name="표준 3 4 2 4 3 2 2 2" xfId="39765"/>
    <cellStyle name="표준 3 4 2 4 3 2 2 2 2" xfId="39766"/>
    <cellStyle name="표준 3 4 2 4 3 2 2 2 3" xfId="39767"/>
    <cellStyle name="표준 3 4 2 4 3 2 2 3" xfId="39768"/>
    <cellStyle name="표준 3 4 2 4 3 2 2 4" xfId="39769"/>
    <cellStyle name="표준 3 4 2 4 3 2 3" xfId="39770"/>
    <cellStyle name="표준 3 4 2 4 3 2 3 2" xfId="39771"/>
    <cellStyle name="표준 3 4 2 4 3 2 3 3" xfId="39772"/>
    <cellStyle name="표준 3 4 2 4 3 2 4" xfId="39773"/>
    <cellStyle name="표준 3 4 2 4 3 2 5" xfId="39774"/>
    <cellStyle name="표준 3 4 2 4 3 3" xfId="39775"/>
    <cellStyle name="표준 3 4 2 4 3 3 2" xfId="39776"/>
    <cellStyle name="표준 3 4 2 4 3 3 2 2" xfId="39777"/>
    <cellStyle name="표준 3 4 2 4 3 3 2 2 2" xfId="39778"/>
    <cellStyle name="표준 3 4 2 4 3 3 2 2 3" xfId="39779"/>
    <cellStyle name="표준 3 4 2 4 3 3 2 3" xfId="39780"/>
    <cellStyle name="표준 3 4 2 4 3 3 2 4" xfId="39781"/>
    <cellStyle name="표준 3 4 2 4 3 3 3" xfId="39782"/>
    <cellStyle name="표준 3 4 2 4 3 3 3 2" xfId="39783"/>
    <cellStyle name="표준 3 4 2 4 3 3 3 3" xfId="39784"/>
    <cellStyle name="표준 3 4 2 4 3 3 4" xfId="39785"/>
    <cellStyle name="표준 3 4 2 4 3 3 5" xfId="39786"/>
    <cellStyle name="표준 3 4 2 4 3 4" xfId="39787"/>
    <cellStyle name="표준 3 4 2 4 3 4 2" xfId="39788"/>
    <cellStyle name="표준 3 4 2 4 3 4 2 2" xfId="39789"/>
    <cellStyle name="표준 3 4 2 4 3 4 2 3" xfId="39790"/>
    <cellStyle name="표준 3 4 2 4 3 4 3" xfId="39791"/>
    <cellStyle name="표준 3 4 2 4 3 4 4" xfId="39792"/>
    <cellStyle name="표준 3 4 2 4 3 5" xfId="39793"/>
    <cellStyle name="표준 3 4 2 4 3 5 2" xfId="39794"/>
    <cellStyle name="표준 3 4 2 4 3 5 3" xfId="39795"/>
    <cellStyle name="표준 3 4 2 4 3 6" xfId="39796"/>
    <cellStyle name="표준 3 4 2 4 3 7" xfId="39797"/>
    <cellStyle name="표준 3 4 2 4 4" xfId="39798"/>
    <cellStyle name="표준 3 4 2 4 4 2" xfId="39799"/>
    <cellStyle name="표준 3 4 2 4 4 2 2" xfId="39800"/>
    <cellStyle name="표준 3 4 2 4 4 2 2 2" xfId="39801"/>
    <cellStyle name="표준 3 4 2 4 4 2 2 3" xfId="39802"/>
    <cellStyle name="표준 3 4 2 4 4 2 3" xfId="39803"/>
    <cellStyle name="표준 3 4 2 4 4 2 4" xfId="39804"/>
    <cellStyle name="표준 3 4 2 4 4 3" xfId="39805"/>
    <cellStyle name="표준 3 4 2 4 4 3 2" xfId="39806"/>
    <cellStyle name="표준 3 4 2 4 4 3 3" xfId="39807"/>
    <cellStyle name="표준 3 4 2 4 4 4" xfId="39808"/>
    <cellStyle name="표준 3 4 2 4 4 5" xfId="39809"/>
    <cellStyle name="표준 3 4 2 4 5" xfId="39810"/>
    <cellStyle name="표준 3 4 2 4 5 2" xfId="39811"/>
    <cellStyle name="표준 3 4 2 4 5 2 2" xfId="39812"/>
    <cellStyle name="표준 3 4 2 4 5 2 2 2" xfId="39813"/>
    <cellStyle name="표준 3 4 2 4 5 2 2 3" xfId="39814"/>
    <cellStyle name="표준 3 4 2 4 5 2 3" xfId="39815"/>
    <cellStyle name="표준 3 4 2 4 5 2 4" xfId="39816"/>
    <cellStyle name="표준 3 4 2 4 5 3" xfId="39817"/>
    <cellStyle name="표준 3 4 2 4 5 3 2" xfId="39818"/>
    <cellStyle name="표준 3 4 2 4 5 3 3" xfId="39819"/>
    <cellStyle name="표준 3 4 2 4 5 4" xfId="39820"/>
    <cellStyle name="표준 3 4 2 4 5 5" xfId="39821"/>
    <cellStyle name="표준 3 4 2 4 6" xfId="39822"/>
    <cellStyle name="표준 3 4 2 4 6 2" xfId="39823"/>
    <cellStyle name="표준 3 4 2 4 6 2 2" xfId="39824"/>
    <cellStyle name="표준 3 4 2 4 6 2 2 2" xfId="39825"/>
    <cellStyle name="표준 3 4 2 4 6 2 2 3" xfId="39826"/>
    <cellStyle name="표준 3 4 2 4 6 2 3" xfId="39827"/>
    <cellStyle name="표준 3 4 2 4 6 2 4" xfId="39828"/>
    <cellStyle name="표준 3 4 2 4 6 3" xfId="39829"/>
    <cellStyle name="표준 3 4 2 4 6 3 2" xfId="39830"/>
    <cellStyle name="표준 3 4 2 4 6 3 3" xfId="39831"/>
    <cellStyle name="표준 3 4 2 4 6 4" xfId="39832"/>
    <cellStyle name="표준 3 4 2 4 6 5" xfId="39833"/>
    <cellStyle name="표준 3 4 2 4 7" xfId="39834"/>
    <cellStyle name="표준 3 4 2 4 7 2" xfId="39835"/>
    <cellStyle name="표준 3 4 2 4 7 2 2" xfId="39836"/>
    <cellStyle name="표준 3 4 2 4 7 2 3" xfId="39837"/>
    <cellStyle name="표준 3 4 2 4 7 3" xfId="39838"/>
    <cellStyle name="표준 3 4 2 4 7 4" xfId="39839"/>
    <cellStyle name="표준 3 4 2 4 8" xfId="39840"/>
    <cellStyle name="표준 3 4 2 4 8 2" xfId="39841"/>
    <cellStyle name="표준 3 4 2 4 8 3" xfId="39842"/>
    <cellStyle name="표준 3 4 2 4 9" xfId="39843"/>
    <cellStyle name="표준 3 4 2 5" xfId="39844"/>
    <cellStyle name="표준 3 4 2 5 2" xfId="39845"/>
    <cellStyle name="표준 3 4 2 5 2 2" xfId="39846"/>
    <cellStyle name="표준 3 4 2 5 2 2 2" xfId="39847"/>
    <cellStyle name="표준 3 4 2 5 2 2 2 2" xfId="39848"/>
    <cellStyle name="표준 3 4 2 5 2 2 2 3" xfId="39849"/>
    <cellStyle name="표준 3 4 2 5 2 2 3" xfId="39850"/>
    <cellStyle name="표준 3 4 2 5 2 2 4" xfId="39851"/>
    <cellStyle name="표준 3 4 2 5 2 3" xfId="39852"/>
    <cellStyle name="표준 3 4 2 5 2 3 2" xfId="39853"/>
    <cellStyle name="표준 3 4 2 5 2 3 3" xfId="39854"/>
    <cellStyle name="표준 3 4 2 5 2 4" xfId="39855"/>
    <cellStyle name="표준 3 4 2 5 2 5" xfId="39856"/>
    <cellStyle name="표준 3 4 2 5 3" xfId="39857"/>
    <cellStyle name="표준 3 4 2 5 3 2" xfId="39858"/>
    <cellStyle name="표준 3 4 2 5 3 2 2" xfId="39859"/>
    <cellStyle name="표준 3 4 2 5 3 2 2 2" xfId="39860"/>
    <cellStyle name="표준 3 4 2 5 3 2 2 3" xfId="39861"/>
    <cellStyle name="표준 3 4 2 5 3 2 3" xfId="39862"/>
    <cellStyle name="표준 3 4 2 5 3 2 4" xfId="39863"/>
    <cellStyle name="표준 3 4 2 5 3 3" xfId="39864"/>
    <cellStyle name="표준 3 4 2 5 3 3 2" xfId="39865"/>
    <cellStyle name="표준 3 4 2 5 3 3 3" xfId="39866"/>
    <cellStyle name="표준 3 4 2 5 3 4" xfId="39867"/>
    <cellStyle name="표준 3 4 2 5 3 5" xfId="39868"/>
    <cellStyle name="표준 3 4 2 5 4" xfId="39869"/>
    <cellStyle name="표준 3 4 2 5 4 2" xfId="39870"/>
    <cellStyle name="표준 3 4 2 5 4 2 2" xfId="39871"/>
    <cellStyle name="표준 3 4 2 5 4 2 3" xfId="39872"/>
    <cellStyle name="표준 3 4 2 5 4 3" xfId="39873"/>
    <cellStyle name="표준 3 4 2 5 4 4" xfId="39874"/>
    <cellStyle name="표준 3 4 2 5 5" xfId="39875"/>
    <cellStyle name="표준 3 4 2 5 5 2" xfId="39876"/>
    <cellStyle name="표준 3 4 2 5 5 3" xfId="39877"/>
    <cellStyle name="표준 3 4 2 5 6" xfId="39878"/>
    <cellStyle name="표준 3 4 2 5 7" xfId="39879"/>
    <cellStyle name="표준 3 4 2 6" xfId="39880"/>
    <cellStyle name="표준 3 4 2 6 2" xfId="39881"/>
    <cellStyle name="표준 3 4 2 6 2 2" xfId="39882"/>
    <cellStyle name="표준 3 4 2 6 2 2 2" xfId="39883"/>
    <cellStyle name="표준 3 4 2 6 2 2 2 2" xfId="39884"/>
    <cellStyle name="표준 3 4 2 6 2 2 2 3" xfId="39885"/>
    <cellStyle name="표준 3 4 2 6 2 2 3" xfId="39886"/>
    <cellStyle name="표준 3 4 2 6 2 2 4" xfId="39887"/>
    <cellStyle name="표준 3 4 2 6 2 3" xfId="39888"/>
    <cellStyle name="표준 3 4 2 6 2 3 2" xfId="39889"/>
    <cellStyle name="표준 3 4 2 6 2 3 3" xfId="39890"/>
    <cellStyle name="표준 3 4 2 6 2 4" xfId="39891"/>
    <cellStyle name="표준 3 4 2 6 2 5" xfId="39892"/>
    <cellStyle name="표준 3 4 2 6 3" xfId="39893"/>
    <cellStyle name="표준 3 4 2 6 3 2" xfId="39894"/>
    <cellStyle name="표준 3 4 2 6 3 2 2" xfId="39895"/>
    <cellStyle name="표준 3 4 2 6 3 2 2 2" xfId="39896"/>
    <cellStyle name="표준 3 4 2 6 3 2 2 3" xfId="39897"/>
    <cellStyle name="표준 3 4 2 6 3 2 3" xfId="39898"/>
    <cellStyle name="표준 3 4 2 6 3 2 4" xfId="39899"/>
    <cellStyle name="표준 3 4 2 6 3 3" xfId="39900"/>
    <cellStyle name="표준 3 4 2 6 3 3 2" xfId="39901"/>
    <cellStyle name="표준 3 4 2 6 3 3 3" xfId="39902"/>
    <cellStyle name="표준 3 4 2 6 3 4" xfId="39903"/>
    <cellStyle name="표준 3 4 2 6 3 5" xfId="39904"/>
    <cellStyle name="표준 3 4 2 6 4" xfId="39905"/>
    <cellStyle name="표준 3 4 2 6 4 2" xfId="39906"/>
    <cellStyle name="표준 3 4 2 6 4 2 2" xfId="39907"/>
    <cellStyle name="표준 3 4 2 6 4 2 3" xfId="39908"/>
    <cellStyle name="표준 3 4 2 6 4 3" xfId="39909"/>
    <cellStyle name="표준 3 4 2 6 4 4" xfId="39910"/>
    <cellStyle name="표준 3 4 2 6 5" xfId="39911"/>
    <cellStyle name="표준 3 4 2 6 5 2" xfId="39912"/>
    <cellStyle name="표준 3 4 2 6 5 3" xfId="39913"/>
    <cellStyle name="표준 3 4 2 6 6" xfId="39914"/>
    <cellStyle name="표준 3 4 2 6 7" xfId="39915"/>
    <cellStyle name="표준 3 4 2 7" xfId="39916"/>
    <cellStyle name="표준 3 4 2 7 2" xfId="39917"/>
    <cellStyle name="표준 3 4 2 7 2 2" xfId="39918"/>
    <cellStyle name="표준 3 4 2 7 2 2 2" xfId="39919"/>
    <cellStyle name="표준 3 4 2 7 2 2 3" xfId="39920"/>
    <cellStyle name="표준 3 4 2 7 2 3" xfId="39921"/>
    <cellStyle name="표준 3 4 2 7 2 4" xfId="39922"/>
    <cellStyle name="표준 3 4 2 7 3" xfId="39923"/>
    <cellStyle name="표준 3 4 2 7 3 2" xfId="39924"/>
    <cellStyle name="표준 3 4 2 7 3 3" xfId="39925"/>
    <cellStyle name="표준 3 4 2 7 4" xfId="39926"/>
    <cellStyle name="표준 3 4 2 7 5" xfId="39927"/>
    <cellStyle name="표준 3 4 2 8" xfId="39928"/>
    <cellStyle name="표준 3 4 2 8 2" xfId="39929"/>
    <cellStyle name="표준 3 4 2 8 2 2" xfId="39930"/>
    <cellStyle name="표준 3 4 2 8 2 2 2" xfId="39931"/>
    <cellStyle name="표준 3 4 2 8 2 2 3" xfId="39932"/>
    <cellStyle name="표준 3 4 2 8 2 3" xfId="39933"/>
    <cellStyle name="표준 3 4 2 8 2 4" xfId="39934"/>
    <cellStyle name="표준 3 4 2 8 3" xfId="39935"/>
    <cellStyle name="표준 3 4 2 8 3 2" xfId="39936"/>
    <cellStyle name="표준 3 4 2 8 3 3" xfId="39937"/>
    <cellStyle name="표준 3 4 2 8 4" xfId="39938"/>
    <cellStyle name="표준 3 4 2 8 5" xfId="39939"/>
    <cellStyle name="표준 3 4 2 9" xfId="39940"/>
    <cellStyle name="표준 3 4 2 9 2" xfId="39941"/>
    <cellStyle name="표준 3 4 2 9 2 2" xfId="39942"/>
    <cellStyle name="표준 3 4 2 9 2 2 2" xfId="39943"/>
    <cellStyle name="표준 3 4 2 9 2 2 3" xfId="39944"/>
    <cellStyle name="표준 3 4 2 9 2 3" xfId="39945"/>
    <cellStyle name="표준 3 4 2 9 2 4" xfId="39946"/>
    <cellStyle name="표준 3 4 2 9 3" xfId="39947"/>
    <cellStyle name="표준 3 4 2 9 3 2" xfId="39948"/>
    <cellStyle name="표준 3 4 2 9 3 3" xfId="39949"/>
    <cellStyle name="표준 3 4 2 9 4" xfId="39950"/>
    <cellStyle name="표준 3 4 2 9 5" xfId="39951"/>
    <cellStyle name="표준 3 4 3" xfId="39952"/>
    <cellStyle name="표준 3 4 3 10" xfId="39953"/>
    <cellStyle name="표준 3 4 3 2" xfId="39954"/>
    <cellStyle name="표준 3 4 3 2 2" xfId="39955"/>
    <cellStyle name="표준 3 4 3 2 2 2" xfId="39956"/>
    <cellStyle name="표준 3 4 3 2 2 2 2" xfId="39957"/>
    <cellStyle name="표준 3 4 3 2 2 2 2 2" xfId="39958"/>
    <cellStyle name="표준 3 4 3 2 2 2 2 3" xfId="39959"/>
    <cellStyle name="표준 3 4 3 2 2 2 3" xfId="39960"/>
    <cellStyle name="표준 3 4 3 2 2 2 4" xfId="39961"/>
    <cellStyle name="표준 3 4 3 2 2 3" xfId="39962"/>
    <cellStyle name="표준 3 4 3 2 2 3 2" xfId="39963"/>
    <cellStyle name="표준 3 4 3 2 2 3 3" xfId="39964"/>
    <cellStyle name="표준 3 4 3 2 2 4" xfId="39965"/>
    <cellStyle name="표준 3 4 3 2 2 5" xfId="39966"/>
    <cellStyle name="표준 3 4 3 2 3" xfId="39967"/>
    <cellStyle name="표준 3 4 3 2 3 2" xfId="39968"/>
    <cellStyle name="표준 3 4 3 2 3 2 2" xfId="39969"/>
    <cellStyle name="표준 3 4 3 2 3 2 2 2" xfId="39970"/>
    <cellStyle name="표준 3 4 3 2 3 2 2 3" xfId="39971"/>
    <cellStyle name="표준 3 4 3 2 3 2 3" xfId="39972"/>
    <cellStyle name="표준 3 4 3 2 3 2 4" xfId="39973"/>
    <cellStyle name="표준 3 4 3 2 3 3" xfId="39974"/>
    <cellStyle name="표준 3 4 3 2 3 3 2" xfId="39975"/>
    <cellStyle name="표준 3 4 3 2 3 3 3" xfId="39976"/>
    <cellStyle name="표준 3 4 3 2 3 4" xfId="39977"/>
    <cellStyle name="표준 3 4 3 2 3 5" xfId="39978"/>
    <cellStyle name="표준 3 4 3 2 4" xfId="39979"/>
    <cellStyle name="표준 3 4 3 2 4 2" xfId="39980"/>
    <cellStyle name="표준 3 4 3 2 4 2 2" xfId="39981"/>
    <cellStyle name="표준 3 4 3 2 4 2 3" xfId="39982"/>
    <cellStyle name="표준 3 4 3 2 4 3" xfId="39983"/>
    <cellStyle name="표준 3 4 3 2 4 4" xfId="39984"/>
    <cellStyle name="표준 3 4 3 2 5" xfId="39985"/>
    <cellStyle name="표준 3 4 3 2 5 2" xfId="39986"/>
    <cellStyle name="표준 3 4 3 2 5 3" xfId="39987"/>
    <cellStyle name="표준 3 4 3 2 6" xfId="39988"/>
    <cellStyle name="표준 3 4 3 2 7" xfId="39989"/>
    <cellStyle name="표준 3 4 3 3" xfId="39990"/>
    <cellStyle name="표준 3 4 3 3 2" xfId="39991"/>
    <cellStyle name="표준 3 4 3 3 2 2" xfId="39992"/>
    <cellStyle name="표준 3 4 3 3 2 2 2" xfId="39993"/>
    <cellStyle name="표준 3 4 3 3 2 2 2 2" xfId="39994"/>
    <cellStyle name="표준 3 4 3 3 2 2 2 3" xfId="39995"/>
    <cellStyle name="표준 3 4 3 3 2 2 3" xfId="39996"/>
    <cellStyle name="표준 3 4 3 3 2 2 4" xfId="39997"/>
    <cellStyle name="표준 3 4 3 3 2 3" xfId="39998"/>
    <cellStyle name="표준 3 4 3 3 2 3 2" xfId="39999"/>
    <cellStyle name="표준 3 4 3 3 2 3 3" xfId="40000"/>
    <cellStyle name="표준 3 4 3 3 2 4" xfId="40001"/>
    <cellStyle name="표준 3 4 3 3 2 5" xfId="40002"/>
    <cellStyle name="표준 3 4 3 3 3" xfId="40003"/>
    <cellStyle name="표준 3 4 3 3 3 2" xfId="40004"/>
    <cellStyle name="표준 3 4 3 3 3 2 2" xfId="40005"/>
    <cellStyle name="표준 3 4 3 3 3 2 2 2" xfId="40006"/>
    <cellStyle name="표준 3 4 3 3 3 2 2 3" xfId="40007"/>
    <cellStyle name="표준 3 4 3 3 3 2 3" xfId="40008"/>
    <cellStyle name="표준 3 4 3 3 3 2 4" xfId="40009"/>
    <cellStyle name="표준 3 4 3 3 3 3" xfId="40010"/>
    <cellStyle name="표준 3 4 3 3 3 3 2" xfId="40011"/>
    <cellStyle name="표준 3 4 3 3 3 3 3" xfId="40012"/>
    <cellStyle name="표준 3 4 3 3 3 4" xfId="40013"/>
    <cellStyle name="표준 3 4 3 3 3 5" xfId="40014"/>
    <cellStyle name="표준 3 4 3 3 4" xfId="40015"/>
    <cellStyle name="표준 3 4 3 3 4 2" xfId="40016"/>
    <cellStyle name="표준 3 4 3 3 4 2 2" xfId="40017"/>
    <cellStyle name="표준 3 4 3 3 4 2 3" xfId="40018"/>
    <cellStyle name="표준 3 4 3 3 4 3" xfId="40019"/>
    <cellStyle name="표준 3 4 3 3 4 4" xfId="40020"/>
    <cellStyle name="표준 3 4 3 3 5" xfId="40021"/>
    <cellStyle name="표준 3 4 3 3 5 2" xfId="40022"/>
    <cellStyle name="표준 3 4 3 3 5 3" xfId="40023"/>
    <cellStyle name="표준 3 4 3 3 6" xfId="40024"/>
    <cellStyle name="표준 3 4 3 3 7" xfId="40025"/>
    <cellStyle name="표준 3 4 3 4" xfId="40026"/>
    <cellStyle name="표준 3 4 3 4 2" xfId="40027"/>
    <cellStyle name="표준 3 4 3 4 2 2" xfId="40028"/>
    <cellStyle name="표준 3 4 3 4 2 2 2" xfId="40029"/>
    <cellStyle name="표준 3 4 3 4 2 2 3" xfId="40030"/>
    <cellStyle name="표준 3 4 3 4 2 3" xfId="40031"/>
    <cellStyle name="표준 3 4 3 4 2 4" xfId="40032"/>
    <cellStyle name="표준 3 4 3 4 3" xfId="40033"/>
    <cellStyle name="표준 3 4 3 4 3 2" xfId="40034"/>
    <cellStyle name="표준 3 4 3 4 3 3" xfId="40035"/>
    <cellStyle name="표준 3 4 3 4 4" xfId="40036"/>
    <cellStyle name="표준 3 4 3 4 5" xfId="40037"/>
    <cellStyle name="표준 3 4 3 5" xfId="40038"/>
    <cellStyle name="표준 3 4 3 5 2" xfId="40039"/>
    <cellStyle name="표준 3 4 3 5 2 2" xfId="40040"/>
    <cellStyle name="표준 3 4 3 5 2 2 2" xfId="40041"/>
    <cellStyle name="표준 3 4 3 5 2 2 3" xfId="40042"/>
    <cellStyle name="표준 3 4 3 5 2 3" xfId="40043"/>
    <cellStyle name="표준 3 4 3 5 2 4" xfId="40044"/>
    <cellStyle name="표준 3 4 3 5 3" xfId="40045"/>
    <cellStyle name="표준 3 4 3 5 3 2" xfId="40046"/>
    <cellStyle name="표준 3 4 3 5 3 3" xfId="40047"/>
    <cellStyle name="표준 3 4 3 5 4" xfId="40048"/>
    <cellStyle name="표준 3 4 3 5 5" xfId="40049"/>
    <cellStyle name="표준 3 4 3 6" xfId="40050"/>
    <cellStyle name="표준 3 4 3 6 2" xfId="40051"/>
    <cellStyle name="표준 3 4 3 6 2 2" xfId="40052"/>
    <cellStyle name="표준 3 4 3 6 2 2 2" xfId="40053"/>
    <cellStyle name="표준 3 4 3 6 2 2 3" xfId="40054"/>
    <cellStyle name="표준 3 4 3 6 2 3" xfId="40055"/>
    <cellStyle name="표준 3 4 3 6 2 4" xfId="40056"/>
    <cellStyle name="표준 3 4 3 6 3" xfId="40057"/>
    <cellStyle name="표준 3 4 3 6 3 2" xfId="40058"/>
    <cellStyle name="표준 3 4 3 6 3 3" xfId="40059"/>
    <cellStyle name="표준 3 4 3 6 4" xfId="40060"/>
    <cellStyle name="표준 3 4 3 6 5" xfId="40061"/>
    <cellStyle name="표준 3 4 3 7" xfId="40062"/>
    <cellStyle name="표준 3 4 3 7 2" xfId="40063"/>
    <cellStyle name="표준 3 4 3 7 2 2" xfId="40064"/>
    <cellStyle name="표준 3 4 3 7 2 3" xfId="40065"/>
    <cellStyle name="표준 3 4 3 7 3" xfId="40066"/>
    <cellStyle name="표준 3 4 3 7 4" xfId="40067"/>
    <cellStyle name="표준 3 4 3 8" xfId="40068"/>
    <cellStyle name="표준 3 4 3 8 2" xfId="40069"/>
    <cellStyle name="표준 3 4 3 8 3" xfId="40070"/>
    <cellStyle name="표준 3 4 3 9" xfId="40071"/>
    <cellStyle name="표준 3 4 4" xfId="40072"/>
    <cellStyle name="표준 3 4 4 10" xfId="40073"/>
    <cellStyle name="표준 3 4 4 2" xfId="40074"/>
    <cellStyle name="표준 3 4 4 2 2" xfId="40075"/>
    <cellStyle name="표준 3 4 4 2 2 2" xfId="40076"/>
    <cellStyle name="표준 3 4 4 2 2 2 2" xfId="40077"/>
    <cellStyle name="표준 3 4 4 2 2 2 2 2" xfId="40078"/>
    <cellStyle name="표준 3 4 4 2 2 2 2 3" xfId="40079"/>
    <cellStyle name="표준 3 4 4 2 2 2 3" xfId="40080"/>
    <cellStyle name="표준 3 4 4 2 2 2 4" xfId="40081"/>
    <cellStyle name="표준 3 4 4 2 2 3" xfId="40082"/>
    <cellStyle name="표준 3 4 4 2 2 3 2" xfId="40083"/>
    <cellStyle name="표준 3 4 4 2 2 3 3" xfId="40084"/>
    <cellStyle name="표준 3 4 4 2 2 4" xfId="40085"/>
    <cellStyle name="표준 3 4 4 2 2 5" xfId="40086"/>
    <cellStyle name="표준 3 4 4 2 3" xfId="40087"/>
    <cellStyle name="표준 3 4 4 2 3 2" xfId="40088"/>
    <cellStyle name="표준 3 4 4 2 3 2 2" xfId="40089"/>
    <cellStyle name="표준 3 4 4 2 3 2 2 2" xfId="40090"/>
    <cellStyle name="표준 3 4 4 2 3 2 2 3" xfId="40091"/>
    <cellStyle name="표준 3 4 4 2 3 2 3" xfId="40092"/>
    <cellStyle name="표준 3 4 4 2 3 2 4" xfId="40093"/>
    <cellStyle name="표준 3 4 4 2 3 3" xfId="40094"/>
    <cellStyle name="표준 3 4 4 2 3 3 2" xfId="40095"/>
    <cellStyle name="표준 3 4 4 2 3 3 3" xfId="40096"/>
    <cellStyle name="표준 3 4 4 2 3 4" xfId="40097"/>
    <cellStyle name="표준 3 4 4 2 3 5" xfId="40098"/>
    <cellStyle name="표준 3 4 4 2 4" xfId="40099"/>
    <cellStyle name="표준 3 4 4 2 4 2" xfId="40100"/>
    <cellStyle name="표준 3 4 4 2 4 2 2" xfId="40101"/>
    <cellStyle name="표준 3 4 4 2 4 2 3" xfId="40102"/>
    <cellStyle name="표준 3 4 4 2 4 3" xfId="40103"/>
    <cellStyle name="표준 3 4 4 2 4 4" xfId="40104"/>
    <cellStyle name="표준 3 4 4 2 5" xfId="40105"/>
    <cellStyle name="표준 3 4 4 2 5 2" xfId="40106"/>
    <cellStyle name="표준 3 4 4 2 5 3" xfId="40107"/>
    <cellStyle name="표준 3 4 4 2 6" xfId="40108"/>
    <cellStyle name="표준 3 4 4 2 7" xfId="40109"/>
    <cellStyle name="표준 3 4 4 3" xfId="40110"/>
    <cellStyle name="표준 3 4 4 3 2" xfId="40111"/>
    <cellStyle name="표준 3 4 4 3 2 2" xfId="40112"/>
    <cellStyle name="표준 3 4 4 3 2 2 2" xfId="40113"/>
    <cellStyle name="표준 3 4 4 3 2 2 2 2" xfId="40114"/>
    <cellStyle name="표준 3 4 4 3 2 2 2 3" xfId="40115"/>
    <cellStyle name="표준 3 4 4 3 2 2 3" xfId="40116"/>
    <cellStyle name="표준 3 4 4 3 2 2 4" xfId="40117"/>
    <cellStyle name="표준 3 4 4 3 2 3" xfId="40118"/>
    <cellStyle name="표준 3 4 4 3 2 3 2" xfId="40119"/>
    <cellStyle name="표준 3 4 4 3 2 3 3" xfId="40120"/>
    <cellStyle name="표준 3 4 4 3 2 4" xfId="40121"/>
    <cellStyle name="표준 3 4 4 3 2 5" xfId="40122"/>
    <cellStyle name="표준 3 4 4 3 3" xfId="40123"/>
    <cellStyle name="표준 3 4 4 3 3 2" xfId="40124"/>
    <cellStyle name="표준 3 4 4 3 3 2 2" xfId="40125"/>
    <cellStyle name="표준 3 4 4 3 3 2 2 2" xfId="40126"/>
    <cellStyle name="표준 3 4 4 3 3 2 2 3" xfId="40127"/>
    <cellStyle name="표준 3 4 4 3 3 2 3" xfId="40128"/>
    <cellStyle name="표준 3 4 4 3 3 2 4" xfId="40129"/>
    <cellStyle name="표준 3 4 4 3 3 3" xfId="40130"/>
    <cellStyle name="표준 3 4 4 3 3 3 2" xfId="40131"/>
    <cellStyle name="표준 3 4 4 3 3 3 3" xfId="40132"/>
    <cellStyle name="표준 3 4 4 3 3 4" xfId="40133"/>
    <cellStyle name="표준 3 4 4 3 3 5" xfId="40134"/>
    <cellStyle name="표준 3 4 4 3 4" xfId="40135"/>
    <cellStyle name="표준 3 4 4 3 4 2" xfId="40136"/>
    <cellStyle name="표준 3 4 4 3 4 2 2" xfId="40137"/>
    <cellStyle name="표준 3 4 4 3 4 2 3" xfId="40138"/>
    <cellStyle name="표준 3 4 4 3 4 3" xfId="40139"/>
    <cellStyle name="표준 3 4 4 3 4 4" xfId="40140"/>
    <cellStyle name="표준 3 4 4 3 5" xfId="40141"/>
    <cellStyle name="표준 3 4 4 3 5 2" xfId="40142"/>
    <cellStyle name="표준 3 4 4 3 5 3" xfId="40143"/>
    <cellStyle name="표준 3 4 4 3 6" xfId="40144"/>
    <cellStyle name="표준 3 4 4 3 7" xfId="40145"/>
    <cellStyle name="표준 3 4 4 4" xfId="40146"/>
    <cellStyle name="표준 3 4 4 4 2" xfId="40147"/>
    <cellStyle name="표준 3 4 4 4 2 2" xfId="40148"/>
    <cellStyle name="표준 3 4 4 4 2 2 2" xfId="40149"/>
    <cellStyle name="표준 3 4 4 4 2 2 3" xfId="40150"/>
    <cellStyle name="표준 3 4 4 4 2 3" xfId="40151"/>
    <cellStyle name="표준 3 4 4 4 2 4" xfId="40152"/>
    <cellStyle name="표준 3 4 4 4 3" xfId="40153"/>
    <cellStyle name="표준 3 4 4 4 3 2" xfId="40154"/>
    <cellStyle name="표준 3 4 4 4 3 3" xfId="40155"/>
    <cellStyle name="표준 3 4 4 4 4" xfId="40156"/>
    <cellStyle name="표준 3 4 4 4 5" xfId="40157"/>
    <cellStyle name="표준 3 4 4 5" xfId="40158"/>
    <cellStyle name="표준 3 4 4 5 2" xfId="40159"/>
    <cellStyle name="표준 3 4 4 5 2 2" xfId="40160"/>
    <cellStyle name="표준 3 4 4 5 2 2 2" xfId="40161"/>
    <cellStyle name="표준 3 4 4 5 2 2 3" xfId="40162"/>
    <cellStyle name="표준 3 4 4 5 2 3" xfId="40163"/>
    <cellStyle name="표준 3 4 4 5 2 4" xfId="40164"/>
    <cellStyle name="표준 3 4 4 5 3" xfId="40165"/>
    <cellStyle name="표준 3 4 4 5 3 2" xfId="40166"/>
    <cellStyle name="표준 3 4 4 5 3 3" xfId="40167"/>
    <cellStyle name="표준 3 4 4 5 4" xfId="40168"/>
    <cellStyle name="표준 3 4 4 5 5" xfId="40169"/>
    <cellStyle name="표준 3 4 4 6" xfId="40170"/>
    <cellStyle name="표준 3 4 4 6 2" xfId="40171"/>
    <cellStyle name="표준 3 4 4 6 2 2" xfId="40172"/>
    <cellStyle name="표준 3 4 4 6 2 2 2" xfId="40173"/>
    <cellStyle name="표준 3 4 4 6 2 2 3" xfId="40174"/>
    <cellStyle name="표준 3 4 4 6 2 3" xfId="40175"/>
    <cellStyle name="표준 3 4 4 6 2 4" xfId="40176"/>
    <cellStyle name="표준 3 4 4 6 3" xfId="40177"/>
    <cellStyle name="표준 3 4 4 6 3 2" xfId="40178"/>
    <cellStyle name="표준 3 4 4 6 3 3" xfId="40179"/>
    <cellStyle name="표준 3 4 4 6 4" xfId="40180"/>
    <cellStyle name="표준 3 4 4 6 5" xfId="40181"/>
    <cellStyle name="표준 3 4 4 7" xfId="40182"/>
    <cellStyle name="표준 3 4 4 7 2" xfId="40183"/>
    <cellStyle name="표준 3 4 4 7 2 2" xfId="40184"/>
    <cellStyle name="표준 3 4 4 7 2 3" xfId="40185"/>
    <cellStyle name="표준 3 4 4 7 3" xfId="40186"/>
    <cellStyle name="표준 3 4 4 7 4" xfId="40187"/>
    <cellStyle name="표준 3 4 4 8" xfId="40188"/>
    <cellStyle name="표준 3 4 4 8 2" xfId="40189"/>
    <cellStyle name="표준 3 4 4 8 3" xfId="40190"/>
    <cellStyle name="표준 3 4 4 9" xfId="40191"/>
    <cellStyle name="표준 3 4 5" xfId="40192"/>
    <cellStyle name="표준 3 4 5 10" xfId="40193"/>
    <cellStyle name="표준 3 4 5 2" xfId="40194"/>
    <cellStyle name="표준 3 4 5 2 2" xfId="40195"/>
    <cellStyle name="표준 3 4 5 2 2 2" xfId="40196"/>
    <cellStyle name="표준 3 4 5 2 2 2 2" xfId="40197"/>
    <cellStyle name="표준 3 4 5 2 2 2 2 2" xfId="40198"/>
    <cellStyle name="표준 3 4 5 2 2 2 2 3" xfId="40199"/>
    <cellStyle name="표준 3 4 5 2 2 2 3" xfId="40200"/>
    <cellStyle name="표준 3 4 5 2 2 2 4" xfId="40201"/>
    <cellStyle name="표준 3 4 5 2 2 3" xfId="40202"/>
    <cellStyle name="표준 3 4 5 2 2 3 2" xfId="40203"/>
    <cellStyle name="표준 3 4 5 2 2 3 3" xfId="40204"/>
    <cellStyle name="표준 3 4 5 2 2 4" xfId="40205"/>
    <cellStyle name="표준 3 4 5 2 2 5" xfId="40206"/>
    <cellStyle name="표준 3 4 5 2 3" xfId="40207"/>
    <cellStyle name="표준 3 4 5 2 3 2" xfId="40208"/>
    <cellStyle name="표준 3 4 5 2 3 2 2" xfId="40209"/>
    <cellStyle name="표준 3 4 5 2 3 2 2 2" xfId="40210"/>
    <cellStyle name="표준 3 4 5 2 3 2 2 3" xfId="40211"/>
    <cellStyle name="표준 3 4 5 2 3 2 3" xfId="40212"/>
    <cellStyle name="표준 3 4 5 2 3 2 4" xfId="40213"/>
    <cellStyle name="표준 3 4 5 2 3 3" xfId="40214"/>
    <cellStyle name="표준 3 4 5 2 3 3 2" xfId="40215"/>
    <cellStyle name="표준 3 4 5 2 3 3 3" xfId="40216"/>
    <cellStyle name="표준 3 4 5 2 3 4" xfId="40217"/>
    <cellStyle name="표준 3 4 5 2 3 5" xfId="40218"/>
    <cellStyle name="표준 3 4 5 2 4" xfId="40219"/>
    <cellStyle name="표준 3 4 5 2 4 2" xfId="40220"/>
    <cellStyle name="표준 3 4 5 2 4 2 2" xfId="40221"/>
    <cellStyle name="표준 3 4 5 2 4 2 3" xfId="40222"/>
    <cellStyle name="표준 3 4 5 2 4 3" xfId="40223"/>
    <cellStyle name="표준 3 4 5 2 4 4" xfId="40224"/>
    <cellStyle name="표준 3 4 5 2 5" xfId="40225"/>
    <cellStyle name="표준 3 4 5 2 5 2" xfId="40226"/>
    <cellStyle name="표준 3 4 5 2 5 3" xfId="40227"/>
    <cellStyle name="표준 3 4 5 2 6" xfId="40228"/>
    <cellStyle name="표준 3 4 5 2 7" xfId="40229"/>
    <cellStyle name="표준 3 4 5 3" xfId="40230"/>
    <cellStyle name="표준 3 4 5 3 2" xfId="40231"/>
    <cellStyle name="표준 3 4 5 3 2 2" xfId="40232"/>
    <cellStyle name="표준 3 4 5 3 2 2 2" xfId="40233"/>
    <cellStyle name="표준 3 4 5 3 2 2 2 2" xfId="40234"/>
    <cellStyle name="표준 3 4 5 3 2 2 2 3" xfId="40235"/>
    <cellStyle name="표준 3 4 5 3 2 2 3" xfId="40236"/>
    <cellStyle name="표준 3 4 5 3 2 2 4" xfId="40237"/>
    <cellStyle name="표준 3 4 5 3 2 3" xfId="40238"/>
    <cellStyle name="표준 3 4 5 3 2 3 2" xfId="40239"/>
    <cellStyle name="표준 3 4 5 3 2 3 3" xfId="40240"/>
    <cellStyle name="표준 3 4 5 3 2 4" xfId="40241"/>
    <cellStyle name="표준 3 4 5 3 2 5" xfId="40242"/>
    <cellStyle name="표준 3 4 5 3 3" xfId="40243"/>
    <cellStyle name="표준 3 4 5 3 3 2" xfId="40244"/>
    <cellStyle name="표준 3 4 5 3 3 2 2" xfId="40245"/>
    <cellStyle name="표준 3 4 5 3 3 2 2 2" xfId="40246"/>
    <cellStyle name="표준 3 4 5 3 3 2 2 3" xfId="40247"/>
    <cellStyle name="표준 3 4 5 3 3 2 3" xfId="40248"/>
    <cellStyle name="표준 3 4 5 3 3 2 4" xfId="40249"/>
    <cellStyle name="표준 3 4 5 3 3 3" xfId="40250"/>
    <cellStyle name="표준 3 4 5 3 3 3 2" xfId="40251"/>
    <cellStyle name="표준 3 4 5 3 3 3 3" xfId="40252"/>
    <cellStyle name="표준 3 4 5 3 3 4" xfId="40253"/>
    <cellStyle name="표준 3 4 5 3 3 5" xfId="40254"/>
    <cellStyle name="표준 3 4 5 3 4" xfId="40255"/>
    <cellStyle name="표준 3 4 5 3 4 2" xfId="40256"/>
    <cellStyle name="표준 3 4 5 3 4 2 2" xfId="40257"/>
    <cellStyle name="표준 3 4 5 3 4 2 3" xfId="40258"/>
    <cellStyle name="표준 3 4 5 3 4 3" xfId="40259"/>
    <cellStyle name="표준 3 4 5 3 4 4" xfId="40260"/>
    <cellStyle name="표준 3 4 5 3 5" xfId="40261"/>
    <cellStyle name="표준 3 4 5 3 5 2" xfId="40262"/>
    <cellStyle name="표준 3 4 5 3 5 3" xfId="40263"/>
    <cellStyle name="표준 3 4 5 3 6" xfId="40264"/>
    <cellStyle name="표준 3 4 5 3 7" xfId="40265"/>
    <cellStyle name="표준 3 4 5 4" xfId="40266"/>
    <cellStyle name="표준 3 4 5 4 2" xfId="40267"/>
    <cellStyle name="표준 3 4 5 4 2 2" xfId="40268"/>
    <cellStyle name="표준 3 4 5 4 2 2 2" xfId="40269"/>
    <cellStyle name="표준 3 4 5 4 2 2 3" xfId="40270"/>
    <cellStyle name="표준 3 4 5 4 2 3" xfId="40271"/>
    <cellStyle name="표준 3 4 5 4 2 4" xfId="40272"/>
    <cellStyle name="표준 3 4 5 4 3" xfId="40273"/>
    <cellStyle name="표준 3 4 5 4 3 2" xfId="40274"/>
    <cellStyle name="표준 3 4 5 4 3 3" xfId="40275"/>
    <cellStyle name="표준 3 4 5 4 4" xfId="40276"/>
    <cellStyle name="표준 3 4 5 4 5" xfId="40277"/>
    <cellStyle name="표준 3 4 5 5" xfId="40278"/>
    <cellStyle name="표준 3 4 5 5 2" xfId="40279"/>
    <cellStyle name="표준 3 4 5 5 2 2" xfId="40280"/>
    <cellStyle name="표준 3 4 5 5 2 2 2" xfId="40281"/>
    <cellStyle name="표준 3 4 5 5 2 2 3" xfId="40282"/>
    <cellStyle name="표준 3 4 5 5 2 3" xfId="40283"/>
    <cellStyle name="표준 3 4 5 5 2 4" xfId="40284"/>
    <cellStyle name="표준 3 4 5 5 3" xfId="40285"/>
    <cellStyle name="표준 3 4 5 5 3 2" xfId="40286"/>
    <cellStyle name="표준 3 4 5 5 3 3" xfId="40287"/>
    <cellStyle name="표준 3 4 5 5 4" xfId="40288"/>
    <cellStyle name="표준 3 4 5 5 5" xfId="40289"/>
    <cellStyle name="표준 3 4 5 6" xfId="40290"/>
    <cellStyle name="표준 3 4 5 6 2" xfId="40291"/>
    <cellStyle name="표준 3 4 5 6 2 2" xfId="40292"/>
    <cellStyle name="표준 3 4 5 6 2 2 2" xfId="40293"/>
    <cellStyle name="표준 3 4 5 6 2 2 3" xfId="40294"/>
    <cellStyle name="표준 3 4 5 6 2 3" xfId="40295"/>
    <cellStyle name="표준 3 4 5 6 2 4" xfId="40296"/>
    <cellStyle name="표준 3 4 5 6 3" xfId="40297"/>
    <cellStyle name="표준 3 4 5 6 3 2" xfId="40298"/>
    <cellStyle name="표준 3 4 5 6 3 3" xfId="40299"/>
    <cellStyle name="표준 3 4 5 6 4" xfId="40300"/>
    <cellStyle name="표준 3 4 5 6 5" xfId="40301"/>
    <cellStyle name="표준 3 4 5 7" xfId="40302"/>
    <cellStyle name="표준 3 4 5 7 2" xfId="40303"/>
    <cellStyle name="표준 3 4 5 7 2 2" xfId="40304"/>
    <cellStyle name="표준 3 4 5 7 2 3" xfId="40305"/>
    <cellStyle name="표준 3 4 5 7 3" xfId="40306"/>
    <cellStyle name="표준 3 4 5 7 4" xfId="40307"/>
    <cellStyle name="표준 3 4 5 8" xfId="40308"/>
    <cellStyle name="표준 3 4 5 8 2" xfId="40309"/>
    <cellStyle name="표준 3 4 5 8 3" xfId="40310"/>
    <cellStyle name="표준 3 4 5 9" xfId="40311"/>
    <cellStyle name="표준 3 4 6" xfId="40312"/>
    <cellStyle name="표준 3 4 6 2" xfId="40313"/>
    <cellStyle name="표준 3 4 6 2 2" xfId="40314"/>
    <cellStyle name="표준 3 4 6 2 2 2" xfId="40315"/>
    <cellStyle name="표준 3 4 6 2 2 2 2" xfId="40316"/>
    <cellStyle name="표준 3 4 6 2 2 2 3" xfId="40317"/>
    <cellStyle name="표준 3 4 6 2 2 3" xfId="40318"/>
    <cellStyle name="표준 3 4 6 2 2 4" xfId="40319"/>
    <cellStyle name="표준 3 4 6 2 3" xfId="40320"/>
    <cellStyle name="표준 3 4 6 2 3 2" xfId="40321"/>
    <cellStyle name="표준 3 4 6 2 3 3" xfId="40322"/>
    <cellStyle name="표준 3 4 6 2 4" xfId="40323"/>
    <cellStyle name="표준 3 4 6 2 5" xfId="40324"/>
    <cellStyle name="표준 3 4 6 3" xfId="40325"/>
    <cellStyle name="표준 3 4 6 3 2" xfId="40326"/>
    <cellStyle name="표준 3 4 6 3 2 2" xfId="40327"/>
    <cellStyle name="표준 3 4 6 3 2 2 2" xfId="40328"/>
    <cellStyle name="표준 3 4 6 3 2 2 3" xfId="40329"/>
    <cellStyle name="표준 3 4 6 3 2 3" xfId="40330"/>
    <cellStyle name="표준 3 4 6 3 2 4" xfId="40331"/>
    <cellStyle name="표준 3 4 6 3 3" xfId="40332"/>
    <cellStyle name="표준 3 4 6 3 3 2" xfId="40333"/>
    <cellStyle name="표준 3 4 6 3 3 3" xfId="40334"/>
    <cellStyle name="표준 3 4 6 3 4" xfId="40335"/>
    <cellStyle name="표준 3 4 6 3 5" xfId="40336"/>
    <cellStyle name="표준 3 4 6 4" xfId="40337"/>
    <cellStyle name="표준 3 4 6 4 2" xfId="40338"/>
    <cellStyle name="표준 3 4 6 4 2 2" xfId="40339"/>
    <cellStyle name="표준 3 4 6 4 2 3" xfId="40340"/>
    <cellStyle name="표준 3 4 6 4 3" xfId="40341"/>
    <cellStyle name="표준 3 4 6 4 4" xfId="40342"/>
    <cellStyle name="표준 3 4 6 5" xfId="40343"/>
    <cellStyle name="표준 3 4 6 5 2" xfId="40344"/>
    <cellStyle name="표준 3 4 6 5 3" xfId="40345"/>
    <cellStyle name="표준 3 4 6 6" xfId="40346"/>
    <cellStyle name="표준 3 4 6 7" xfId="40347"/>
    <cellStyle name="표준 3 4 7" xfId="40348"/>
    <cellStyle name="표준 3 4 7 2" xfId="40349"/>
    <cellStyle name="표준 3 4 7 2 2" xfId="40350"/>
    <cellStyle name="표준 3 4 7 2 2 2" xfId="40351"/>
    <cellStyle name="표준 3 4 7 2 2 2 2" xfId="40352"/>
    <cellStyle name="표준 3 4 7 2 2 2 3" xfId="40353"/>
    <cellStyle name="표준 3 4 7 2 2 3" xfId="40354"/>
    <cellStyle name="표준 3 4 7 2 2 4" xfId="40355"/>
    <cellStyle name="표준 3 4 7 2 3" xfId="40356"/>
    <cellStyle name="표준 3 4 7 2 3 2" xfId="40357"/>
    <cellStyle name="표준 3 4 7 2 3 3" xfId="40358"/>
    <cellStyle name="표준 3 4 7 2 4" xfId="40359"/>
    <cellStyle name="표준 3 4 7 2 5" xfId="40360"/>
    <cellStyle name="표준 3 4 7 3" xfId="40361"/>
    <cellStyle name="표준 3 4 7 3 2" xfId="40362"/>
    <cellStyle name="표준 3 4 7 3 2 2" xfId="40363"/>
    <cellStyle name="표준 3 4 7 3 2 2 2" xfId="40364"/>
    <cellStyle name="표준 3 4 7 3 2 2 3" xfId="40365"/>
    <cellStyle name="표준 3 4 7 3 2 3" xfId="40366"/>
    <cellStyle name="표준 3 4 7 3 2 4" xfId="40367"/>
    <cellStyle name="표준 3 4 7 3 3" xfId="40368"/>
    <cellStyle name="표준 3 4 7 3 3 2" xfId="40369"/>
    <cellStyle name="표준 3 4 7 3 3 3" xfId="40370"/>
    <cellStyle name="표준 3 4 7 3 4" xfId="40371"/>
    <cellStyle name="표준 3 4 7 3 5" xfId="40372"/>
    <cellStyle name="표준 3 4 7 4" xfId="40373"/>
    <cellStyle name="표준 3 4 7 4 2" xfId="40374"/>
    <cellStyle name="표준 3 4 7 4 2 2" xfId="40375"/>
    <cellStyle name="표준 3 4 7 4 2 3" xfId="40376"/>
    <cellStyle name="표준 3 4 7 4 3" xfId="40377"/>
    <cellStyle name="표준 3 4 7 4 4" xfId="40378"/>
    <cellStyle name="표준 3 4 7 5" xfId="40379"/>
    <cellStyle name="표준 3 4 7 5 2" xfId="40380"/>
    <cellStyle name="표준 3 4 7 5 3" xfId="40381"/>
    <cellStyle name="표준 3 4 7 6" xfId="40382"/>
    <cellStyle name="표준 3 4 7 7" xfId="40383"/>
    <cellStyle name="표준 3 4 8" xfId="40384"/>
    <cellStyle name="표준 3 4 8 2" xfId="40385"/>
    <cellStyle name="표준 3 4 8 2 2" xfId="40386"/>
    <cellStyle name="표준 3 4 8 2 2 2" xfId="40387"/>
    <cellStyle name="표준 3 4 8 2 2 3" xfId="40388"/>
    <cellStyle name="표준 3 4 8 2 3" xfId="40389"/>
    <cellStyle name="표준 3 4 8 2 4" xfId="40390"/>
    <cellStyle name="표준 3 4 8 3" xfId="40391"/>
    <cellStyle name="표준 3 4 8 3 2" xfId="40392"/>
    <cellStyle name="표준 3 4 8 3 3" xfId="40393"/>
    <cellStyle name="표준 3 4 8 4" xfId="40394"/>
    <cellStyle name="표준 3 4 8 5" xfId="40395"/>
    <cellStyle name="표준 3 4 9" xfId="40396"/>
    <cellStyle name="표준 3 4 9 2" xfId="40397"/>
    <cellStyle name="표준 3 4 9 2 2" xfId="40398"/>
    <cellStyle name="표준 3 4 9 2 2 2" xfId="40399"/>
    <cellStyle name="표준 3 4 9 2 2 3" xfId="40400"/>
    <cellStyle name="표준 3 4 9 2 3" xfId="40401"/>
    <cellStyle name="표준 3 4 9 2 4" xfId="40402"/>
    <cellStyle name="표준 3 4 9 3" xfId="40403"/>
    <cellStyle name="표준 3 4 9 3 2" xfId="40404"/>
    <cellStyle name="표준 3 4 9 3 3" xfId="40405"/>
    <cellStyle name="표준 3 4 9 4" xfId="40406"/>
    <cellStyle name="표준 3 4 9 5" xfId="40407"/>
    <cellStyle name="표준 3 5" xfId="40408"/>
    <cellStyle name="표준 3 5 10" xfId="40409"/>
    <cellStyle name="표준 3 5 10 2" xfId="40410"/>
    <cellStyle name="표준 3 5 10 2 2" xfId="40411"/>
    <cellStyle name="표준 3 5 10 2 2 2" xfId="40412"/>
    <cellStyle name="표준 3 5 10 2 2 3" xfId="40413"/>
    <cellStyle name="표준 3 5 10 2 3" xfId="40414"/>
    <cellStyle name="표준 3 5 10 2 4" xfId="40415"/>
    <cellStyle name="표준 3 5 10 3" xfId="40416"/>
    <cellStyle name="표준 3 5 10 3 2" xfId="40417"/>
    <cellStyle name="표준 3 5 10 3 3" xfId="40418"/>
    <cellStyle name="표준 3 5 10 4" xfId="40419"/>
    <cellStyle name="표준 3 5 10 5" xfId="40420"/>
    <cellStyle name="표준 3 5 11" xfId="40421"/>
    <cellStyle name="표준 3 5 11 2" xfId="40422"/>
    <cellStyle name="표준 3 5 11 2 2" xfId="40423"/>
    <cellStyle name="표준 3 5 11 2 3" xfId="40424"/>
    <cellStyle name="표준 3 5 11 3" xfId="40425"/>
    <cellStyle name="표준 3 5 11 4" xfId="40426"/>
    <cellStyle name="표준 3 5 12" xfId="40427"/>
    <cellStyle name="표준 3 5 12 2" xfId="40428"/>
    <cellStyle name="표준 3 5 12 3" xfId="40429"/>
    <cellStyle name="표준 3 5 13" xfId="40430"/>
    <cellStyle name="표준 3 5 14" xfId="40431"/>
    <cellStyle name="표준 3 5 15" xfId="40432"/>
    <cellStyle name="표준 3 5 2" xfId="40433"/>
    <cellStyle name="표준 3 5 2 10" xfId="40434"/>
    <cellStyle name="표준 3 5 2 10 2" xfId="40435"/>
    <cellStyle name="표준 3 5 2 10 2 2" xfId="40436"/>
    <cellStyle name="표준 3 5 2 10 2 3" xfId="40437"/>
    <cellStyle name="표준 3 5 2 10 3" xfId="40438"/>
    <cellStyle name="표준 3 5 2 10 4" xfId="40439"/>
    <cellStyle name="표준 3 5 2 11" xfId="40440"/>
    <cellStyle name="표준 3 5 2 11 2" xfId="40441"/>
    <cellStyle name="표준 3 5 2 11 3" xfId="40442"/>
    <cellStyle name="표준 3 5 2 12" xfId="40443"/>
    <cellStyle name="표준 3 5 2 13" xfId="40444"/>
    <cellStyle name="표준 3 5 2 14" xfId="40445"/>
    <cellStyle name="표준 3 5 2 2" xfId="40446"/>
    <cellStyle name="표준 3 5 2 2 10" xfId="40447"/>
    <cellStyle name="표준 3 5 2 2 2" xfId="40448"/>
    <cellStyle name="표준 3 5 2 2 2 2" xfId="40449"/>
    <cellStyle name="표준 3 5 2 2 2 2 2" xfId="40450"/>
    <cellStyle name="표준 3 5 2 2 2 2 2 2" xfId="40451"/>
    <cellStyle name="표준 3 5 2 2 2 2 2 2 2" xfId="40452"/>
    <cellStyle name="표준 3 5 2 2 2 2 2 2 3" xfId="40453"/>
    <cellStyle name="표준 3 5 2 2 2 2 2 3" xfId="40454"/>
    <cellStyle name="표준 3 5 2 2 2 2 2 4" xfId="40455"/>
    <cellStyle name="표준 3 5 2 2 2 2 3" xfId="40456"/>
    <cellStyle name="표준 3 5 2 2 2 2 3 2" xfId="40457"/>
    <cellStyle name="표준 3 5 2 2 2 2 3 3" xfId="40458"/>
    <cellStyle name="표준 3 5 2 2 2 2 4" xfId="40459"/>
    <cellStyle name="표준 3 5 2 2 2 2 5" xfId="40460"/>
    <cellStyle name="표준 3 5 2 2 2 3" xfId="40461"/>
    <cellStyle name="표준 3 5 2 2 2 3 2" xfId="40462"/>
    <cellStyle name="표준 3 5 2 2 2 3 2 2" xfId="40463"/>
    <cellStyle name="표준 3 5 2 2 2 3 2 2 2" xfId="40464"/>
    <cellStyle name="표준 3 5 2 2 2 3 2 2 3" xfId="40465"/>
    <cellStyle name="표준 3 5 2 2 2 3 2 3" xfId="40466"/>
    <cellStyle name="표준 3 5 2 2 2 3 2 4" xfId="40467"/>
    <cellStyle name="표준 3 5 2 2 2 3 3" xfId="40468"/>
    <cellStyle name="표준 3 5 2 2 2 3 3 2" xfId="40469"/>
    <cellStyle name="표준 3 5 2 2 2 3 3 3" xfId="40470"/>
    <cellStyle name="표준 3 5 2 2 2 3 4" xfId="40471"/>
    <cellStyle name="표준 3 5 2 2 2 3 5" xfId="40472"/>
    <cellStyle name="표준 3 5 2 2 2 4" xfId="40473"/>
    <cellStyle name="표준 3 5 2 2 2 4 2" xfId="40474"/>
    <cellStyle name="표준 3 5 2 2 2 4 2 2" xfId="40475"/>
    <cellStyle name="표준 3 5 2 2 2 4 2 3" xfId="40476"/>
    <cellStyle name="표준 3 5 2 2 2 4 3" xfId="40477"/>
    <cellStyle name="표준 3 5 2 2 2 4 4" xfId="40478"/>
    <cellStyle name="표준 3 5 2 2 2 5" xfId="40479"/>
    <cellStyle name="표준 3 5 2 2 2 5 2" xfId="40480"/>
    <cellStyle name="표준 3 5 2 2 2 5 3" xfId="40481"/>
    <cellStyle name="표준 3 5 2 2 2 6" xfId="40482"/>
    <cellStyle name="표준 3 5 2 2 2 7" xfId="40483"/>
    <cellStyle name="표준 3 5 2 2 3" xfId="40484"/>
    <cellStyle name="표준 3 5 2 2 3 2" xfId="40485"/>
    <cellStyle name="표준 3 5 2 2 3 2 2" xfId="40486"/>
    <cellStyle name="표준 3 5 2 2 3 2 2 2" xfId="40487"/>
    <cellStyle name="표준 3 5 2 2 3 2 2 2 2" xfId="40488"/>
    <cellStyle name="표준 3 5 2 2 3 2 2 2 3" xfId="40489"/>
    <cellStyle name="표준 3 5 2 2 3 2 2 3" xfId="40490"/>
    <cellStyle name="표준 3 5 2 2 3 2 2 4" xfId="40491"/>
    <cellStyle name="표준 3 5 2 2 3 2 3" xfId="40492"/>
    <cellStyle name="표준 3 5 2 2 3 2 3 2" xfId="40493"/>
    <cellStyle name="표준 3 5 2 2 3 2 3 3" xfId="40494"/>
    <cellStyle name="표준 3 5 2 2 3 2 4" xfId="40495"/>
    <cellStyle name="표준 3 5 2 2 3 2 5" xfId="40496"/>
    <cellStyle name="표준 3 5 2 2 3 3" xfId="40497"/>
    <cellStyle name="표준 3 5 2 2 3 3 2" xfId="40498"/>
    <cellStyle name="표준 3 5 2 2 3 3 2 2" xfId="40499"/>
    <cellStyle name="표준 3 5 2 2 3 3 2 2 2" xfId="40500"/>
    <cellStyle name="표준 3 5 2 2 3 3 2 2 3" xfId="40501"/>
    <cellStyle name="표준 3 5 2 2 3 3 2 3" xfId="40502"/>
    <cellStyle name="표준 3 5 2 2 3 3 2 4" xfId="40503"/>
    <cellStyle name="표준 3 5 2 2 3 3 3" xfId="40504"/>
    <cellStyle name="표준 3 5 2 2 3 3 3 2" xfId="40505"/>
    <cellStyle name="표준 3 5 2 2 3 3 3 3" xfId="40506"/>
    <cellStyle name="표준 3 5 2 2 3 3 4" xfId="40507"/>
    <cellStyle name="표준 3 5 2 2 3 3 5" xfId="40508"/>
    <cellStyle name="표준 3 5 2 2 3 4" xfId="40509"/>
    <cellStyle name="표준 3 5 2 2 3 4 2" xfId="40510"/>
    <cellStyle name="표준 3 5 2 2 3 4 2 2" xfId="40511"/>
    <cellStyle name="표준 3 5 2 2 3 4 2 3" xfId="40512"/>
    <cellStyle name="표준 3 5 2 2 3 4 3" xfId="40513"/>
    <cellStyle name="표준 3 5 2 2 3 4 4" xfId="40514"/>
    <cellStyle name="표준 3 5 2 2 3 5" xfId="40515"/>
    <cellStyle name="표준 3 5 2 2 3 5 2" xfId="40516"/>
    <cellStyle name="표준 3 5 2 2 3 5 3" xfId="40517"/>
    <cellStyle name="표준 3 5 2 2 3 6" xfId="40518"/>
    <cellStyle name="표준 3 5 2 2 3 7" xfId="40519"/>
    <cellStyle name="표준 3 5 2 2 4" xfId="40520"/>
    <cellStyle name="표준 3 5 2 2 4 2" xfId="40521"/>
    <cellStyle name="표준 3 5 2 2 4 2 2" xfId="40522"/>
    <cellStyle name="표준 3 5 2 2 4 2 2 2" xfId="40523"/>
    <cellStyle name="표준 3 5 2 2 4 2 2 3" xfId="40524"/>
    <cellStyle name="표준 3 5 2 2 4 2 3" xfId="40525"/>
    <cellStyle name="표준 3 5 2 2 4 2 4" xfId="40526"/>
    <cellStyle name="표준 3 5 2 2 4 3" xfId="40527"/>
    <cellStyle name="표준 3 5 2 2 4 3 2" xfId="40528"/>
    <cellStyle name="표준 3 5 2 2 4 3 3" xfId="40529"/>
    <cellStyle name="표준 3 5 2 2 4 4" xfId="40530"/>
    <cellStyle name="표준 3 5 2 2 4 5" xfId="40531"/>
    <cellStyle name="표준 3 5 2 2 5" xfId="40532"/>
    <cellStyle name="표준 3 5 2 2 5 2" xfId="40533"/>
    <cellStyle name="표준 3 5 2 2 5 2 2" xfId="40534"/>
    <cellStyle name="표준 3 5 2 2 5 2 2 2" xfId="40535"/>
    <cellStyle name="표준 3 5 2 2 5 2 2 3" xfId="40536"/>
    <cellStyle name="표준 3 5 2 2 5 2 3" xfId="40537"/>
    <cellStyle name="표준 3 5 2 2 5 2 4" xfId="40538"/>
    <cellStyle name="표준 3 5 2 2 5 3" xfId="40539"/>
    <cellStyle name="표준 3 5 2 2 5 3 2" xfId="40540"/>
    <cellStyle name="표준 3 5 2 2 5 3 3" xfId="40541"/>
    <cellStyle name="표준 3 5 2 2 5 4" xfId="40542"/>
    <cellStyle name="표준 3 5 2 2 5 5" xfId="40543"/>
    <cellStyle name="표준 3 5 2 2 6" xfId="40544"/>
    <cellStyle name="표준 3 5 2 2 6 2" xfId="40545"/>
    <cellStyle name="표준 3 5 2 2 6 2 2" xfId="40546"/>
    <cellStyle name="표준 3 5 2 2 6 2 2 2" xfId="40547"/>
    <cellStyle name="표준 3 5 2 2 6 2 2 3" xfId="40548"/>
    <cellStyle name="표준 3 5 2 2 6 2 3" xfId="40549"/>
    <cellStyle name="표준 3 5 2 2 6 2 4" xfId="40550"/>
    <cellStyle name="표준 3 5 2 2 6 3" xfId="40551"/>
    <cellStyle name="표준 3 5 2 2 6 3 2" xfId="40552"/>
    <cellStyle name="표준 3 5 2 2 6 3 3" xfId="40553"/>
    <cellStyle name="표준 3 5 2 2 6 4" xfId="40554"/>
    <cellStyle name="표준 3 5 2 2 6 5" xfId="40555"/>
    <cellStyle name="표준 3 5 2 2 7" xfId="40556"/>
    <cellStyle name="표준 3 5 2 2 7 2" xfId="40557"/>
    <cellStyle name="표준 3 5 2 2 7 2 2" xfId="40558"/>
    <cellStyle name="표준 3 5 2 2 7 2 3" xfId="40559"/>
    <cellStyle name="표준 3 5 2 2 7 3" xfId="40560"/>
    <cellStyle name="표준 3 5 2 2 7 4" xfId="40561"/>
    <cellStyle name="표준 3 5 2 2 8" xfId="40562"/>
    <cellStyle name="표준 3 5 2 2 8 2" xfId="40563"/>
    <cellStyle name="표준 3 5 2 2 8 3" xfId="40564"/>
    <cellStyle name="표준 3 5 2 2 9" xfId="40565"/>
    <cellStyle name="표준 3 5 2 3" xfId="40566"/>
    <cellStyle name="표준 3 5 2 3 10" xfId="40567"/>
    <cellStyle name="표준 3 5 2 3 2" xfId="40568"/>
    <cellStyle name="표준 3 5 2 3 2 2" xfId="40569"/>
    <cellStyle name="표준 3 5 2 3 2 2 2" xfId="40570"/>
    <cellStyle name="표준 3 5 2 3 2 2 2 2" xfId="40571"/>
    <cellStyle name="표준 3 5 2 3 2 2 2 2 2" xfId="40572"/>
    <cellStyle name="표준 3 5 2 3 2 2 2 2 3" xfId="40573"/>
    <cellStyle name="표준 3 5 2 3 2 2 2 3" xfId="40574"/>
    <cellStyle name="표준 3 5 2 3 2 2 2 4" xfId="40575"/>
    <cellStyle name="표준 3 5 2 3 2 2 3" xfId="40576"/>
    <cellStyle name="표준 3 5 2 3 2 2 3 2" xfId="40577"/>
    <cellStyle name="표준 3 5 2 3 2 2 3 3" xfId="40578"/>
    <cellStyle name="표준 3 5 2 3 2 2 4" xfId="40579"/>
    <cellStyle name="표준 3 5 2 3 2 2 5" xfId="40580"/>
    <cellStyle name="표준 3 5 2 3 2 3" xfId="40581"/>
    <cellStyle name="표준 3 5 2 3 2 3 2" xfId="40582"/>
    <cellStyle name="표준 3 5 2 3 2 3 2 2" xfId="40583"/>
    <cellStyle name="표준 3 5 2 3 2 3 2 2 2" xfId="40584"/>
    <cellStyle name="표준 3 5 2 3 2 3 2 2 3" xfId="40585"/>
    <cellStyle name="표준 3 5 2 3 2 3 2 3" xfId="40586"/>
    <cellStyle name="표준 3 5 2 3 2 3 2 4" xfId="40587"/>
    <cellStyle name="표준 3 5 2 3 2 3 3" xfId="40588"/>
    <cellStyle name="표준 3 5 2 3 2 3 3 2" xfId="40589"/>
    <cellStyle name="표준 3 5 2 3 2 3 3 3" xfId="40590"/>
    <cellStyle name="표준 3 5 2 3 2 3 4" xfId="40591"/>
    <cellStyle name="표준 3 5 2 3 2 3 5" xfId="40592"/>
    <cellStyle name="표준 3 5 2 3 2 4" xfId="40593"/>
    <cellStyle name="표준 3 5 2 3 2 4 2" xfId="40594"/>
    <cellStyle name="표준 3 5 2 3 2 4 2 2" xfId="40595"/>
    <cellStyle name="표준 3 5 2 3 2 4 2 3" xfId="40596"/>
    <cellStyle name="표준 3 5 2 3 2 4 3" xfId="40597"/>
    <cellStyle name="표준 3 5 2 3 2 4 4" xfId="40598"/>
    <cellStyle name="표준 3 5 2 3 2 5" xfId="40599"/>
    <cellStyle name="표준 3 5 2 3 2 5 2" xfId="40600"/>
    <cellStyle name="표준 3 5 2 3 2 5 3" xfId="40601"/>
    <cellStyle name="표준 3 5 2 3 2 6" xfId="40602"/>
    <cellStyle name="표준 3 5 2 3 2 7" xfId="40603"/>
    <cellStyle name="표준 3 5 2 3 3" xfId="40604"/>
    <cellStyle name="표준 3 5 2 3 3 2" xfId="40605"/>
    <cellStyle name="표준 3 5 2 3 3 2 2" xfId="40606"/>
    <cellStyle name="표준 3 5 2 3 3 2 2 2" xfId="40607"/>
    <cellStyle name="표준 3 5 2 3 3 2 2 2 2" xfId="40608"/>
    <cellStyle name="표준 3 5 2 3 3 2 2 2 3" xfId="40609"/>
    <cellStyle name="표준 3 5 2 3 3 2 2 3" xfId="40610"/>
    <cellStyle name="표준 3 5 2 3 3 2 2 4" xfId="40611"/>
    <cellStyle name="표준 3 5 2 3 3 2 3" xfId="40612"/>
    <cellStyle name="표준 3 5 2 3 3 2 3 2" xfId="40613"/>
    <cellStyle name="표준 3 5 2 3 3 2 3 3" xfId="40614"/>
    <cellStyle name="표준 3 5 2 3 3 2 4" xfId="40615"/>
    <cellStyle name="표준 3 5 2 3 3 2 5" xfId="40616"/>
    <cellStyle name="표준 3 5 2 3 3 3" xfId="40617"/>
    <cellStyle name="표준 3 5 2 3 3 3 2" xfId="40618"/>
    <cellStyle name="표준 3 5 2 3 3 3 2 2" xfId="40619"/>
    <cellStyle name="표준 3 5 2 3 3 3 2 2 2" xfId="40620"/>
    <cellStyle name="표준 3 5 2 3 3 3 2 2 3" xfId="40621"/>
    <cellStyle name="표준 3 5 2 3 3 3 2 3" xfId="40622"/>
    <cellStyle name="표준 3 5 2 3 3 3 2 4" xfId="40623"/>
    <cellStyle name="표준 3 5 2 3 3 3 3" xfId="40624"/>
    <cellStyle name="표준 3 5 2 3 3 3 3 2" xfId="40625"/>
    <cellStyle name="표준 3 5 2 3 3 3 3 3" xfId="40626"/>
    <cellStyle name="표준 3 5 2 3 3 3 4" xfId="40627"/>
    <cellStyle name="표준 3 5 2 3 3 3 5" xfId="40628"/>
    <cellStyle name="표준 3 5 2 3 3 4" xfId="40629"/>
    <cellStyle name="표준 3 5 2 3 3 4 2" xfId="40630"/>
    <cellStyle name="표준 3 5 2 3 3 4 2 2" xfId="40631"/>
    <cellStyle name="표준 3 5 2 3 3 4 2 3" xfId="40632"/>
    <cellStyle name="표준 3 5 2 3 3 4 3" xfId="40633"/>
    <cellStyle name="표준 3 5 2 3 3 4 4" xfId="40634"/>
    <cellStyle name="표준 3 5 2 3 3 5" xfId="40635"/>
    <cellStyle name="표준 3 5 2 3 3 5 2" xfId="40636"/>
    <cellStyle name="표준 3 5 2 3 3 5 3" xfId="40637"/>
    <cellStyle name="표준 3 5 2 3 3 6" xfId="40638"/>
    <cellStyle name="표준 3 5 2 3 3 7" xfId="40639"/>
    <cellStyle name="표준 3 5 2 3 4" xfId="40640"/>
    <cellStyle name="표준 3 5 2 3 4 2" xfId="40641"/>
    <cellStyle name="표준 3 5 2 3 4 2 2" xfId="40642"/>
    <cellStyle name="표준 3 5 2 3 4 2 2 2" xfId="40643"/>
    <cellStyle name="표준 3 5 2 3 4 2 2 3" xfId="40644"/>
    <cellStyle name="표준 3 5 2 3 4 2 3" xfId="40645"/>
    <cellStyle name="표준 3 5 2 3 4 2 4" xfId="40646"/>
    <cellStyle name="표준 3 5 2 3 4 3" xfId="40647"/>
    <cellStyle name="표준 3 5 2 3 4 3 2" xfId="40648"/>
    <cellStyle name="표준 3 5 2 3 4 3 3" xfId="40649"/>
    <cellStyle name="표준 3 5 2 3 4 4" xfId="40650"/>
    <cellStyle name="표준 3 5 2 3 4 5" xfId="40651"/>
    <cellStyle name="표준 3 5 2 3 5" xfId="40652"/>
    <cellStyle name="표준 3 5 2 3 5 2" xfId="40653"/>
    <cellStyle name="표준 3 5 2 3 5 2 2" xfId="40654"/>
    <cellStyle name="표준 3 5 2 3 5 2 2 2" xfId="40655"/>
    <cellStyle name="표준 3 5 2 3 5 2 2 3" xfId="40656"/>
    <cellStyle name="표준 3 5 2 3 5 2 3" xfId="40657"/>
    <cellStyle name="표준 3 5 2 3 5 2 4" xfId="40658"/>
    <cellStyle name="표준 3 5 2 3 5 3" xfId="40659"/>
    <cellStyle name="표준 3 5 2 3 5 3 2" xfId="40660"/>
    <cellStyle name="표준 3 5 2 3 5 3 3" xfId="40661"/>
    <cellStyle name="표준 3 5 2 3 5 4" xfId="40662"/>
    <cellStyle name="표준 3 5 2 3 5 5" xfId="40663"/>
    <cellStyle name="표준 3 5 2 3 6" xfId="40664"/>
    <cellStyle name="표준 3 5 2 3 6 2" xfId="40665"/>
    <cellStyle name="표준 3 5 2 3 6 2 2" xfId="40666"/>
    <cellStyle name="표준 3 5 2 3 6 2 2 2" xfId="40667"/>
    <cellStyle name="표준 3 5 2 3 6 2 2 3" xfId="40668"/>
    <cellStyle name="표준 3 5 2 3 6 2 3" xfId="40669"/>
    <cellStyle name="표준 3 5 2 3 6 2 4" xfId="40670"/>
    <cellStyle name="표준 3 5 2 3 6 3" xfId="40671"/>
    <cellStyle name="표준 3 5 2 3 6 3 2" xfId="40672"/>
    <cellStyle name="표준 3 5 2 3 6 3 3" xfId="40673"/>
    <cellStyle name="표준 3 5 2 3 6 4" xfId="40674"/>
    <cellStyle name="표준 3 5 2 3 6 5" xfId="40675"/>
    <cellStyle name="표준 3 5 2 3 7" xfId="40676"/>
    <cellStyle name="표준 3 5 2 3 7 2" xfId="40677"/>
    <cellStyle name="표준 3 5 2 3 7 2 2" xfId="40678"/>
    <cellStyle name="표준 3 5 2 3 7 2 3" xfId="40679"/>
    <cellStyle name="표준 3 5 2 3 7 3" xfId="40680"/>
    <cellStyle name="표준 3 5 2 3 7 4" xfId="40681"/>
    <cellStyle name="표준 3 5 2 3 8" xfId="40682"/>
    <cellStyle name="표준 3 5 2 3 8 2" xfId="40683"/>
    <cellStyle name="표준 3 5 2 3 8 3" xfId="40684"/>
    <cellStyle name="표준 3 5 2 3 9" xfId="40685"/>
    <cellStyle name="표준 3 5 2 4" xfId="40686"/>
    <cellStyle name="표준 3 5 2 4 10" xfId="40687"/>
    <cellStyle name="표준 3 5 2 4 2" xfId="40688"/>
    <cellStyle name="표준 3 5 2 4 2 2" xfId="40689"/>
    <cellStyle name="표준 3 5 2 4 2 2 2" xfId="40690"/>
    <cellStyle name="표준 3 5 2 4 2 2 2 2" xfId="40691"/>
    <cellStyle name="표준 3 5 2 4 2 2 2 2 2" xfId="40692"/>
    <cellStyle name="표준 3 5 2 4 2 2 2 2 3" xfId="40693"/>
    <cellStyle name="표준 3 5 2 4 2 2 2 3" xfId="40694"/>
    <cellStyle name="표준 3 5 2 4 2 2 2 4" xfId="40695"/>
    <cellStyle name="표준 3 5 2 4 2 2 3" xfId="40696"/>
    <cellStyle name="표준 3 5 2 4 2 2 3 2" xfId="40697"/>
    <cellStyle name="표준 3 5 2 4 2 2 3 3" xfId="40698"/>
    <cellStyle name="표준 3 5 2 4 2 2 4" xfId="40699"/>
    <cellStyle name="표준 3 5 2 4 2 2 5" xfId="40700"/>
    <cellStyle name="표준 3 5 2 4 2 3" xfId="40701"/>
    <cellStyle name="표준 3 5 2 4 2 3 2" xfId="40702"/>
    <cellStyle name="표준 3 5 2 4 2 3 2 2" xfId="40703"/>
    <cellStyle name="표준 3 5 2 4 2 3 2 2 2" xfId="40704"/>
    <cellStyle name="표준 3 5 2 4 2 3 2 2 3" xfId="40705"/>
    <cellStyle name="표준 3 5 2 4 2 3 2 3" xfId="40706"/>
    <cellStyle name="표준 3 5 2 4 2 3 2 4" xfId="40707"/>
    <cellStyle name="표준 3 5 2 4 2 3 3" xfId="40708"/>
    <cellStyle name="표준 3 5 2 4 2 3 3 2" xfId="40709"/>
    <cellStyle name="표준 3 5 2 4 2 3 3 3" xfId="40710"/>
    <cellStyle name="표준 3 5 2 4 2 3 4" xfId="40711"/>
    <cellStyle name="표준 3 5 2 4 2 3 5" xfId="40712"/>
    <cellStyle name="표준 3 5 2 4 2 4" xfId="40713"/>
    <cellStyle name="표준 3 5 2 4 2 4 2" xfId="40714"/>
    <cellStyle name="표준 3 5 2 4 2 4 2 2" xfId="40715"/>
    <cellStyle name="표준 3 5 2 4 2 4 2 3" xfId="40716"/>
    <cellStyle name="표준 3 5 2 4 2 4 3" xfId="40717"/>
    <cellStyle name="표준 3 5 2 4 2 4 4" xfId="40718"/>
    <cellStyle name="표준 3 5 2 4 2 5" xfId="40719"/>
    <cellStyle name="표준 3 5 2 4 2 5 2" xfId="40720"/>
    <cellStyle name="표준 3 5 2 4 2 5 3" xfId="40721"/>
    <cellStyle name="표준 3 5 2 4 2 6" xfId="40722"/>
    <cellStyle name="표준 3 5 2 4 2 7" xfId="40723"/>
    <cellStyle name="표준 3 5 2 4 3" xfId="40724"/>
    <cellStyle name="표준 3 5 2 4 3 2" xfId="40725"/>
    <cellStyle name="표준 3 5 2 4 3 2 2" xfId="40726"/>
    <cellStyle name="표준 3 5 2 4 3 2 2 2" xfId="40727"/>
    <cellStyle name="표준 3 5 2 4 3 2 2 2 2" xfId="40728"/>
    <cellStyle name="표준 3 5 2 4 3 2 2 2 3" xfId="40729"/>
    <cellStyle name="표준 3 5 2 4 3 2 2 3" xfId="40730"/>
    <cellStyle name="표준 3 5 2 4 3 2 2 4" xfId="40731"/>
    <cellStyle name="표준 3 5 2 4 3 2 3" xfId="40732"/>
    <cellStyle name="표준 3 5 2 4 3 2 3 2" xfId="40733"/>
    <cellStyle name="표준 3 5 2 4 3 2 3 3" xfId="40734"/>
    <cellStyle name="표준 3 5 2 4 3 2 4" xfId="40735"/>
    <cellStyle name="표준 3 5 2 4 3 2 5" xfId="40736"/>
    <cellStyle name="표준 3 5 2 4 3 3" xfId="40737"/>
    <cellStyle name="표준 3 5 2 4 3 3 2" xfId="40738"/>
    <cellStyle name="표준 3 5 2 4 3 3 2 2" xfId="40739"/>
    <cellStyle name="표준 3 5 2 4 3 3 2 2 2" xfId="40740"/>
    <cellStyle name="표준 3 5 2 4 3 3 2 2 3" xfId="40741"/>
    <cellStyle name="표준 3 5 2 4 3 3 2 3" xfId="40742"/>
    <cellStyle name="표준 3 5 2 4 3 3 2 4" xfId="40743"/>
    <cellStyle name="표준 3 5 2 4 3 3 3" xfId="40744"/>
    <cellStyle name="표준 3 5 2 4 3 3 3 2" xfId="40745"/>
    <cellStyle name="표준 3 5 2 4 3 3 3 3" xfId="40746"/>
    <cellStyle name="표준 3 5 2 4 3 3 4" xfId="40747"/>
    <cellStyle name="표준 3 5 2 4 3 3 5" xfId="40748"/>
    <cellStyle name="표준 3 5 2 4 3 4" xfId="40749"/>
    <cellStyle name="표준 3 5 2 4 3 4 2" xfId="40750"/>
    <cellStyle name="표준 3 5 2 4 3 4 2 2" xfId="40751"/>
    <cellStyle name="표준 3 5 2 4 3 4 2 3" xfId="40752"/>
    <cellStyle name="표준 3 5 2 4 3 4 3" xfId="40753"/>
    <cellStyle name="표준 3 5 2 4 3 4 4" xfId="40754"/>
    <cellStyle name="표준 3 5 2 4 3 5" xfId="40755"/>
    <cellStyle name="표준 3 5 2 4 3 5 2" xfId="40756"/>
    <cellStyle name="표준 3 5 2 4 3 5 3" xfId="40757"/>
    <cellStyle name="표준 3 5 2 4 3 6" xfId="40758"/>
    <cellStyle name="표준 3 5 2 4 3 7" xfId="40759"/>
    <cellStyle name="표준 3 5 2 4 4" xfId="40760"/>
    <cellStyle name="표준 3 5 2 4 4 2" xfId="40761"/>
    <cellStyle name="표준 3 5 2 4 4 2 2" xfId="40762"/>
    <cellStyle name="표준 3 5 2 4 4 2 2 2" xfId="40763"/>
    <cellStyle name="표준 3 5 2 4 4 2 2 3" xfId="40764"/>
    <cellStyle name="표준 3 5 2 4 4 2 3" xfId="40765"/>
    <cellStyle name="표준 3 5 2 4 4 2 4" xfId="40766"/>
    <cellStyle name="표준 3 5 2 4 4 3" xfId="40767"/>
    <cellStyle name="표준 3 5 2 4 4 3 2" xfId="40768"/>
    <cellStyle name="표준 3 5 2 4 4 3 3" xfId="40769"/>
    <cellStyle name="표준 3 5 2 4 4 4" xfId="40770"/>
    <cellStyle name="표준 3 5 2 4 4 5" xfId="40771"/>
    <cellStyle name="표준 3 5 2 4 5" xfId="40772"/>
    <cellStyle name="표준 3 5 2 4 5 2" xfId="40773"/>
    <cellStyle name="표준 3 5 2 4 5 2 2" xfId="40774"/>
    <cellStyle name="표준 3 5 2 4 5 2 2 2" xfId="40775"/>
    <cellStyle name="표준 3 5 2 4 5 2 2 3" xfId="40776"/>
    <cellStyle name="표준 3 5 2 4 5 2 3" xfId="40777"/>
    <cellStyle name="표준 3 5 2 4 5 2 4" xfId="40778"/>
    <cellStyle name="표준 3 5 2 4 5 3" xfId="40779"/>
    <cellStyle name="표준 3 5 2 4 5 3 2" xfId="40780"/>
    <cellStyle name="표준 3 5 2 4 5 3 3" xfId="40781"/>
    <cellStyle name="표준 3 5 2 4 5 4" xfId="40782"/>
    <cellStyle name="표준 3 5 2 4 5 5" xfId="40783"/>
    <cellStyle name="표준 3 5 2 4 6" xfId="40784"/>
    <cellStyle name="표준 3 5 2 4 6 2" xfId="40785"/>
    <cellStyle name="표준 3 5 2 4 6 2 2" xfId="40786"/>
    <cellStyle name="표준 3 5 2 4 6 2 2 2" xfId="40787"/>
    <cellStyle name="표준 3 5 2 4 6 2 2 3" xfId="40788"/>
    <cellStyle name="표준 3 5 2 4 6 2 3" xfId="40789"/>
    <cellStyle name="표준 3 5 2 4 6 2 4" xfId="40790"/>
    <cellStyle name="표준 3 5 2 4 6 3" xfId="40791"/>
    <cellStyle name="표준 3 5 2 4 6 3 2" xfId="40792"/>
    <cellStyle name="표준 3 5 2 4 6 3 3" xfId="40793"/>
    <cellStyle name="표준 3 5 2 4 6 4" xfId="40794"/>
    <cellStyle name="표준 3 5 2 4 6 5" xfId="40795"/>
    <cellStyle name="표준 3 5 2 4 7" xfId="40796"/>
    <cellStyle name="표준 3 5 2 4 7 2" xfId="40797"/>
    <cellStyle name="표준 3 5 2 4 7 2 2" xfId="40798"/>
    <cellStyle name="표준 3 5 2 4 7 2 3" xfId="40799"/>
    <cellStyle name="표준 3 5 2 4 7 3" xfId="40800"/>
    <cellStyle name="표준 3 5 2 4 7 4" xfId="40801"/>
    <cellStyle name="표준 3 5 2 4 8" xfId="40802"/>
    <cellStyle name="표준 3 5 2 4 8 2" xfId="40803"/>
    <cellStyle name="표준 3 5 2 4 8 3" xfId="40804"/>
    <cellStyle name="표준 3 5 2 4 9" xfId="40805"/>
    <cellStyle name="표준 3 5 2 5" xfId="40806"/>
    <cellStyle name="표준 3 5 2 5 2" xfId="40807"/>
    <cellStyle name="표준 3 5 2 5 2 2" xfId="40808"/>
    <cellStyle name="표준 3 5 2 5 2 2 2" xfId="40809"/>
    <cellStyle name="표준 3 5 2 5 2 2 2 2" xfId="40810"/>
    <cellStyle name="표준 3 5 2 5 2 2 2 3" xfId="40811"/>
    <cellStyle name="표준 3 5 2 5 2 2 3" xfId="40812"/>
    <cellStyle name="표준 3 5 2 5 2 2 4" xfId="40813"/>
    <cellStyle name="표준 3 5 2 5 2 3" xfId="40814"/>
    <cellStyle name="표준 3 5 2 5 2 3 2" xfId="40815"/>
    <cellStyle name="표준 3 5 2 5 2 3 3" xfId="40816"/>
    <cellStyle name="표준 3 5 2 5 2 4" xfId="40817"/>
    <cellStyle name="표준 3 5 2 5 2 5" xfId="40818"/>
    <cellStyle name="표준 3 5 2 5 3" xfId="40819"/>
    <cellStyle name="표준 3 5 2 5 3 2" xfId="40820"/>
    <cellStyle name="표준 3 5 2 5 3 2 2" xfId="40821"/>
    <cellStyle name="표준 3 5 2 5 3 2 2 2" xfId="40822"/>
    <cellStyle name="표준 3 5 2 5 3 2 2 3" xfId="40823"/>
    <cellStyle name="표준 3 5 2 5 3 2 3" xfId="40824"/>
    <cellStyle name="표준 3 5 2 5 3 2 4" xfId="40825"/>
    <cellStyle name="표준 3 5 2 5 3 3" xfId="40826"/>
    <cellStyle name="표준 3 5 2 5 3 3 2" xfId="40827"/>
    <cellStyle name="표준 3 5 2 5 3 3 3" xfId="40828"/>
    <cellStyle name="표준 3 5 2 5 3 4" xfId="40829"/>
    <cellStyle name="표준 3 5 2 5 3 5" xfId="40830"/>
    <cellStyle name="표준 3 5 2 5 4" xfId="40831"/>
    <cellStyle name="표준 3 5 2 5 4 2" xfId="40832"/>
    <cellStyle name="표준 3 5 2 5 4 2 2" xfId="40833"/>
    <cellStyle name="표준 3 5 2 5 4 2 3" xfId="40834"/>
    <cellStyle name="표준 3 5 2 5 4 3" xfId="40835"/>
    <cellStyle name="표준 3 5 2 5 4 4" xfId="40836"/>
    <cellStyle name="표준 3 5 2 5 5" xfId="40837"/>
    <cellStyle name="표준 3 5 2 5 5 2" xfId="40838"/>
    <cellStyle name="표준 3 5 2 5 5 3" xfId="40839"/>
    <cellStyle name="표준 3 5 2 5 6" xfId="40840"/>
    <cellStyle name="표준 3 5 2 5 7" xfId="40841"/>
    <cellStyle name="표준 3 5 2 6" xfId="40842"/>
    <cellStyle name="표준 3 5 2 6 2" xfId="40843"/>
    <cellStyle name="표준 3 5 2 6 2 2" xfId="40844"/>
    <cellStyle name="표준 3 5 2 6 2 2 2" xfId="40845"/>
    <cellStyle name="표준 3 5 2 6 2 2 2 2" xfId="40846"/>
    <cellStyle name="표준 3 5 2 6 2 2 2 3" xfId="40847"/>
    <cellStyle name="표준 3 5 2 6 2 2 3" xfId="40848"/>
    <cellStyle name="표준 3 5 2 6 2 2 4" xfId="40849"/>
    <cellStyle name="표준 3 5 2 6 2 3" xfId="40850"/>
    <cellStyle name="표준 3 5 2 6 2 3 2" xfId="40851"/>
    <cellStyle name="표준 3 5 2 6 2 3 3" xfId="40852"/>
    <cellStyle name="표준 3 5 2 6 2 4" xfId="40853"/>
    <cellStyle name="표준 3 5 2 6 2 5" xfId="40854"/>
    <cellStyle name="표준 3 5 2 6 3" xfId="40855"/>
    <cellStyle name="표준 3 5 2 6 3 2" xfId="40856"/>
    <cellStyle name="표준 3 5 2 6 3 2 2" xfId="40857"/>
    <cellStyle name="표준 3 5 2 6 3 2 2 2" xfId="40858"/>
    <cellStyle name="표준 3 5 2 6 3 2 2 3" xfId="40859"/>
    <cellStyle name="표준 3 5 2 6 3 2 3" xfId="40860"/>
    <cellStyle name="표준 3 5 2 6 3 2 4" xfId="40861"/>
    <cellStyle name="표준 3 5 2 6 3 3" xfId="40862"/>
    <cellStyle name="표준 3 5 2 6 3 3 2" xfId="40863"/>
    <cellStyle name="표준 3 5 2 6 3 3 3" xfId="40864"/>
    <cellStyle name="표준 3 5 2 6 3 4" xfId="40865"/>
    <cellStyle name="표준 3 5 2 6 3 5" xfId="40866"/>
    <cellStyle name="표준 3 5 2 6 4" xfId="40867"/>
    <cellStyle name="표준 3 5 2 6 4 2" xfId="40868"/>
    <cellStyle name="표준 3 5 2 6 4 2 2" xfId="40869"/>
    <cellStyle name="표준 3 5 2 6 4 2 3" xfId="40870"/>
    <cellStyle name="표준 3 5 2 6 4 3" xfId="40871"/>
    <cellStyle name="표준 3 5 2 6 4 4" xfId="40872"/>
    <cellStyle name="표준 3 5 2 6 5" xfId="40873"/>
    <cellStyle name="표준 3 5 2 6 5 2" xfId="40874"/>
    <cellStyle name="표준 3 5 2 6 5 3" xfId="40875"/>
    <cellStyle name="표준 3 5 2 6 6" xfId="40876"/>
    <cellStyle name="표준 3 5 2 6 7" xfId="40877"/>
    <cellStyle name="표준 3 5 2 7" xfId="40878"/>
    <cellStyle name="표준 3 5 2 7 2" xfId="40879"/>
    <cellStyle name="표준 3 5 2 7 2 2" xfId="40880"/>
    <cellStyle name="표준 3 5 2 7 2 2 2" xfId="40881"/>
    <cellStyle name="표준 3 5 2 7 2 2 3" xfId="40882"/>
    <cellStyle name="표준 3 5 2 7 2 3" xfId="40883"/>
    <cellStyle name="표준 3 5 2 7 2 4" xfId="40884"/>
    <cellStyle name="표준 3 5 2 7 3" xfId="40885"/>
    <cellStyle name="표준 3 5 2 7 3 2" xfId="40886"/>
    <cellStyle name="표준 3 5 2 7 3 3" xfId="40887"/>
    <cellStyle name="표준 3 5 2 7 4" xfId="40888"/>
    <cellStyle name="표준 3 5 2 7 5" xfId="40889"/>
    <cellStyle name="표준 3 5 2 8" xfId="40890"/>
    <cellStyle name="표준 3 5 2 8 2" xfId="40891"/>
    <cellStyle name="표준 3 5 2 8 2 2" xfId="40892"/>
    <cellStyle name="표준 3 5 2 8 2 2 2" xfId="40893"/>
    <cellStyle name="표준 3 5 2 8 2 2 3" xfId="40894"/>
    <cellStyle name="표준 3 5 2 8 2 3" xfId="40895"/>
    <cellStyle name="표준 3 5 2 8 2 4" xfId="40896"/>
    <cellStyle name="표준 3 5 2 8 3" xfId="40897"/>
    <cellStyle name="표준 3 5 2 8 3 2" xfId="40898"/>
    <cellStyle name="표준 3 5 2 8 3 3" xfId="40899"/>
    <cellStyle name="표준 3 5 2 8 4" xfId="40900"/>
    <cellStyle name="표준 3 5 2 8 5" xfId="40901"/>
    <cellStyle name="표준 3 5 2 9" xfId="40902"/>
    <cellStyle name="표준 3 5 2 9 2" xfId="40903"/>
    <cellStyle name="표준 3 5 2 9 2 2" xfId="40904"/>
    <cellStyle name="표준 3 5 2 9 2 2 2" xfId="40905"/>
    <cellStyle name="표준 3 5 2 9 2 2 3" xfId="40906"/>
    <cellStyle name="표준 3 5 2 9 2 3" xfId="40907"/>
    <cellStyle name="표준 3 5 2 9 2 4" xfId="40908"/>
    <cellStyle name="표준 3 5 2 9 3" xfId="40909"/>
    <cellStyle name="표준 3 5 2 9 3 2" xfId="40910"/>
    <cellStyle name="표준 3 5 2 9 3 3" xfId="40911"/>
    <cellStyle name="표준 3 5 2 9 4" xfId="40912"/>
    <cellStyle name="표준 3 5 2 9 5" xfId="40913"/>
    <cellStyle name="표준 3 5 3" xfId="40914"/>
    <cellStyle name="표준 3 5 3 10" xfId="40915"/>
    <cellStyle name="표준 3 5 3 2" xfId="40916"/>
    <cellStyle name="표준 3 5 3 2 2" xfId="40917"/>
    <cellStyle name="표준 3 5 3 2 2 2" xfId="40918"/>
    <cellStyle name="표준 3 5 3 2 2 2 2" xfId="40919"/>
    <cellStyle name="표준 3 5 3 2 2 2 2 2" xfId="40920"/>
    <cellStyle name="표준 3 5 3 2 2 2 2 3" xfId="40921"/>
    <cellStyle name="표준 3 5 3 2 2 2 3" xfId="40922"/>
    <cellStyle name="표준 3 5 3 2 2 2 4" xfId="40923"/>
    <cellStyle name="표준 3 5 3 2 2 3" xfId="40924"/>
    <cellStyle name="표준 3 5 3 2 2 3 2" xfId="40925"/>
    <cellStyle name="표준 3 5 3 2 2 3 3" xfId="40926"/>
    <cellStyle name="표준 3 5 3 2 2 4" xfId="40927"/>
    <cellStyle name="표준 3 5 3 2 2 5" xfId="40928"/>
    <cellStyle name="표준 3 5 3 2 3" xfId="40929"/>
    <cellStyle name="표준 3 5 3 2 3 2" xfId="40930"/>
    <cellStyle name="표준 3 5 3 2 3 2 2" xfId="40931"/>
    <cellStyle name="표준 3 5 3 2 3 2 2 2" xfId="40932"/>
    <cellStyle name="표준 3 5 3 2 3 2 2 3" xfId="40933"/>
    <cellStyle name="표준 3 5 3 2 3 2 3" xfId="40934"/>
    <cellStyle name="표준 3 5 3 2 3 2 4" xfId="40935"/>
    <cellStyle name="표준 3 5 3 2 3 3" xfId="40936"/>
    <cellStyle name="표준 3 5 3 2 3 3 2" xfId="40937"/>
    <cellStyle name="표준 3 5 3 2 3 3 3" xfId="40938"/>
    <cellStyle name="표준 3 5 3 2 3 4" xfId="40939"/>
    <cellStyle name="표준 3 5 3 2 3 5" xfId="40940"/>
    <cellStyle name="표준 3 5 3 2 4" xfId="40941"/>
    <cellStyle name="표준 3 5 3 2 4 2" xfId="40942"/>
    <cellStyle name="표준 3 5 3 2 4 2 2" xfId="40943"/>
    <cellStyle name="표준 3 5 3 2 4 2 3" xfId="40944"/>
    <cellStyle name="표준 3 5 3 2 4 3" xfId="40945"/>
    <cellStyle name="표준 3 5 3 2 4 4" xfId="40946"/>
    <cellStyle name="표준 3 5 3 2 5" xfId="40947"/>
    <cellStyle name="표준 3 5 3 2 5 2" xfId="40948"/>
    <cellStyle name="표준 3 5 3 2 5 3" xfId="40949"/>
    <cellStyle name="표준 3 5 3 2 6" xfId="40950"/>
    <cellStyle name="표준 3 5 3 2 7" xfId="40951"/>
    <cellStyle name="표준 3 5 3 3" xfId="40952"/>
    <cellStyle name="표준 3 5 3 3 2" xfId="40953"/>
    <cellStyle name="표준 3 5 3 3 2 2" xfId="40954"/>
    <cellStyle name="표준 3 5 3 3 2 2 2" xfId="40955"/>
    <cellStyle name="표준 3 5 3 3 2 2 2 2" xfId="40956"/>
    <cellStyle name="표준 3 5 3 3 2 2 2 3" xfId="40957"/>
    <cellStyle name="표준 3 5 3 3 2 2 3" xfId="40958"/>
    <cellStyle name="표준 3 5 3 3 2 2 4" xfId="40959"/>
    <cellStyle name="표준 3 5 3 3 2 3" xfId="40960"/>
    <cellStyle name="표준 3 5 3 3 2 3 2" xfId="40961"/>
    <cellStyle name="표준 3 5 3 3 2 3 3" xfId="40962"/>
    <cellStyle name="표준 3 5 3 3 2 4" xfId="40963"/>
    <cellStyle name="표준 3 5 3 3 2 5" xfId="40964"/>
    <cellStyle name="표준 3 5 3 3 3" xfId="40965"/>
    <cellStyle name="표준 3 5 3 3 3 2" xfId="40966"/>
    <cellStyle name="표준 3 5 3 3 3 2 2" xfId="40967"/>
    <cellStyle name="표준 3 5 3 3 3 2 2 2" xfId="40968"/>
    <cellStyle name="표준 3 5 3 3 3 2 2 3" xfId="40969"/>
    <cellStyle name="표준 3 5 3 3 3 2 3" xfId="40970"/>
    <cellStyle name="표준 3 5 3 3 3 2 4" xfId="40971"/>
    <cellStyle name="표준 3 5 3 3 3 3" xfId="40972"/>
    <cellStyle name="표준 3 5 3 3 3 3 2" xfId="40973"/>
    <cellStyle name="표준 3 5 3 3 3 3 3" xfId="40974"/>
    <cellStyle name="표준 3 5 3 3 3 4" xfId="40975"/>
    <cellStyle name="표준 3 5 3 3 3 5" xfId="40976"/>
    <cellStyle name="표준 3 5 3 3 4" xfId="40977"/>
    <cellStyle name="표준 3 5 3 3 4 2" xfId="40978"/>
    <cellStyle name="표준 3 5 3 3 4 2 2" xfId="40979"/>
    <cellStyle name="표준 3 5 3 3 4 2 3" xfId="40980"/>
    <cellStyle name="표준 3 5 3 3 4 3" xfId="40981"/>
    <cellStyle name="표준 3 5 3 3 4 4" xfId="40982"/>
    <cellStyle name="표준 3 5 3 3 5" xfId="40983"/>
    <cellStyle name="표준 3 5 3 3 5 2" xfId="40984"/>
    <cellStyle name="표준 3 5 3 3 5 3" xfId="40985"/>
    <cellStyle name="표준 3 5 3 3 6" xfId="40986"/>
    <cellStyle name="표준 3 5 3 3 7" xfId="40987"/>
    <cellStyle name="표준 3 5 3 4" xfId="40988"/>
    <cellStyle name="표준 3 5 3 4 2" xfId="40989"/>
    <cellStyle name="표준 3 5 3 4 2 2" xfId="40990"/>
    <cellStyle name="표준 3 5 3 4 2 2 2" xfId="40991"/>
    <cellStyle name="표준 3 5 3 4 2 2 3" xfId="40992"/>
    <cellStyle name="표준 3 5 3 4 2 3" xfId="40993"/>
    <cellStyle name="표준 3 5 3 4 2 4" xfId="40994"/>
    <cellStyle name="표준 3 5 3 4 3" xfId="40995"/>
    <cellStyle name="표준 3 5 3 4 3 2" xfId="40996"/>
    <cellStyle name="표준 3 5 3 4 3 3" xfId="40997"/>
    <cellStyle name="표준 3 5 3 4 4" xfId="40998"/>
    <cellStyle name="표준 3 5 3 4 5" xfId="40999"/>
    <cellStyle name="표준 3 5 3 5" xfId="41000"/>
    <cellStyle name="표준 3 5 3 5 2" xfId="41001"/>
    <cellStyle name="표준 3 5 3 5 2 2" xfId="41002"/>
    <cellStyle name="표준 3 5 3 5 2 2 2" xfId="41003"/>
    <cellStyle name="표준 3 5 3 5 2 2 3" xfId="41004"/>
    <cellStyle name="표준 3 5 3 5 2 3" xfId="41005"/>
    <cellStyle name="표준 3 5 3 5 2 4" xfId="41006"/>
    <cellStyle name="표준 3 5 3 5 3" xfId="41007"/>
    <cellStyle name="표준 3 5 3 5 3 2" xfId="41008"/>
    <cellStyle name="표준 3 5 3 5 3 3" xfId="41009"/>
    <cellStyle name="표준 3 5 3 5 4" xfId="41010"/>
    <cellStyle name="표준 3 5 3 5 5" xfId="41011"/>
    <cellStyle name="표준 3 5 3 6" xfId="41012"/>
    <cellStyle name="표준 3 5 3 6 2" xfId="41013"/>
    <cellStyle name="표준 3 5 3 6 2 2" xfId="41014"/>
    <cellStyle name="표준 3 5 3 6 2 2 2" xfId="41015"/>
    <cellStyle name="표준 3 5 3 6 2 2 3" xfId="41016"/>
    <cellStyle name="표준 3 5 3 6 2 3" xfId="41017"/>
    <cellStyle name="표준 3 5 3 6 2 4" xfId="41018"/>
    <cellStyle name="표준 3 5 3 6 3" xfId="41019"/>
    <cellStyle name="표준 3 5 3 6 3 2" xfId="41020"/>
    <cellStyle name="표준 3 5 3 6 3 3" xfId="41021"/>
    <cellStyle name="표준 3 5 3 6 4" xfId="41022"/>
    <cellStyle name="표준 3 5 3 6 5" xfId="41023"/>
    <cellStyle name="표준 3 5 3 7" xfId="41024"/>
    <cellStyle name="표준 3 5 3 7 2" xfId="41025"/>
    <cellStyle name="표준 3 5 3 7 2 2" xfId="41026"/>
    <cellStyle name="표준 3 5 3 7 2 3" xfId="41027"/>
    <cellStyle name="표준 3 5 3 7 3" xfId="41028"/>
    <cellStyle name="표준 3 5 3 7 4" xfId="41029"/>
    <cellStyle name="표준 3 5 3 8" xfId="41030"/>
    <cellStyle name="표준 3 5 3 8 2" xfId="41031"/>
    <cellStyle name="표준 3 5 3 8 3" xfId="41032"/>
    <cellStyle name="표준 3 5 3 9" xfId="41033"/>
    <cellStyle name="표준 3 5 4" xfId="41034"/>
    <cellStyle name="표준 3 5 4 10" xfId="41035"/>
    <cellStyle name="표준 3 5 4 2" xfId="41036"/>
    <cellStyle name="표준 3 5 4 2 2" xfId="41037"/>
    <cellStyle name="표준 3 5 4 2 2 2" xfId="41038"/>
    <cellStyle name="표준 3 5 4 2 2 2 2" xfId="41039"/>
    <cellStyle name="표준 3 5 4 2 2 2 2 2" xfId="41040"/>
    <cellStyle name="표준 3 5 4 2 2 2 2 3" xfId="41041"/>
    <cellStyle name="표준 3 5 4 2 2 2 3" xfId="41042"/>
    <cellStyle name="표준 3 5 4 2 2 2 4" xfId="41043"/>
    <cellStyle name="표준 3 5 4 2 2 3" xfId="41044"/>
    <cellStyle name="표준 3 5 4 2 2 3 2" xfId="41045"/>
    <cellStyle name="표준 3 5 4 2 2 3 3" xfId="41046"/>
    <cellStyle name="표준 3 5 4 2 2 4" xfId="41047"/>
    <cellStyle name="표준 3 5 4 2 2 5" xfId="41048"/>
    <cellStyle name="표준 3 5 4 2 3" xfId="41049"/>
    <cellStyle name="표준 3 5 4 2 3 2" xfId="41050"/>
    <cellStyle name="표준 3 5 4 2 3 2 2" xfId="41051"/>
    <cellStyle name="표준 3 5 4 2 3 2 2 2" xfId="41052"/>
    <cellStyle name="표준 3 5 4 2 3 2 2 3" xfId="41053"/>
    <cellStyle name="표준 3 5 4 2 3 2 3" xfId="41054"/>
    <cellStyle name="표준 3 5 4 2 3 2 4" xfId="41055"/>
    <cellStyle name="표준 3 5 4 2 3 3" xfId="41056"/>
    <cellStyle name="표준 3 5 4 2 3 3 2" xfId="41057"/>
    <cellStyle name="표준 3 5 4 2 3 3 3" xfId="41058"/>
    <cellStyle name="표준 3 5 4 2 3 4" xfId="41059"/>
    <cellStyle name="표준 3 5 4 2 3 5" xfId="41060"/>
    <cellStyle name="표준 3 5 4 2 4" xfId="41061"/>
    <cellStyle name="표준 3 5 4 2 4 2" xfId="41062"/>
    <cellStyle name="표준 3 5 4 2 4 2 2" xfId="41063"/>
    <cellStyle name="표준 3 5 4 2 4 2 3" xfId="41064"/>
    <cellStyle name="표준 3 5 4 2 4 3" xfId="41065"/>
    <cellStyle name="표준 3 5 4 2 4 4" xfId="41066"/>
    <cellStyle name="표준 3 5 4 2 5" xfId="41067"/>
    <cellStyle name="표준 3 5 4 2 5 2" xfId="41068"/>
    <cellStyle name="표준 3 5 4 2 5 3" xfId="41069"/>
    <cellStyle name="표준 3 5 4 2 6" xfId="41070"/>
    <cellStyle name="표준 3 5 4 2 7" xfId="41071"/>
    <cellStyle name="표준 3 5 4 3" xfId="41072"/>
    <cellStyle name="표준 3 5 4 3 2" xfId="41073"/>
    <cellStyle name="표준 3 5 4 3 2 2" xfId="41074"/>
    <cellStyle name="표준 3 5 4 3 2 2 2" xfId="41075"/>
    <cellStyle name="표준 3 5 4 3 2 2 2 2" xfId="41076"/>
    <cellStyle name="표준 3 5 4 3 2 2 2 3" xfId="41077"/>
    <cellStyle name="표준 3 5 4 3 2 2 3" xfId="41078"/>
    <cellStyle name="표준 3 5 4 3 2 2 4" xfId="41079"/>
    <cellStyle name="표준 3 5 4 3 2 3" xfId="41080"/>
    <cellStyle name="표준 3 5 4 3 2 3 2" xfId="41081"/>
    <cellStyle name="표준 3 5 4 3 2 3 3" xfId="41082"/>
    <cellStyle name="표준 3 5 4 3 2 4" xfId="41083"/>
    <cellStyle name="표준 3 5 4 3 2 5" xfId="41084"/>
    <cellStyle name="표준 3 5 4 3 3" xfId="41085"/>
    <cellStyle name="표준 3 5 4 3 3 2" xfId="41086"/>
    <cellStyle name="표준 3 5 4 3 3 2 2" xfId="41087"/>
    <cellStyle name="표준 3 5 4 3 3 2 2 2" xfId="41088"/>
    <cellStyle name="표준 3 5 4 3 3 2 2 3" xfId="41089"/>
    <cellStyle name="표준 3 5 4 3 3 2 3" xfId="41090"/>
    <cellStyle name="표준 3 5 4 3 3 2 4" xfId="41091"/>
    <cellStyle name="표준 3 5 4 3 3 3" xfId="41092"/>
    <cellStyle name="표준 3 5 4 3 3 3 2" xfId="41093"/>
    <cellStyle name="표준 3 5 4 3 3 3 3" xfId="41094"/>
    <cellStyle name="표준 3 5 4 3 3 4" xfId="41095"/>
    <cellStyle name="표준 3 5 4 3 3 5" xfId="41096"/>
    <cellStyle name="표준 3 5 4 3 4" xfId="41097"/>
    <cellStyle name="표준 3 5 4 3 4 2" xfId="41098"/>
    <cellStyle name="표준 3 5 4 3 4 2 2" xfId="41099"/>
    <cellStyle name="표준 3 5 4 3 4 2 3" xfId="41100"/>
    <cellStyle name="표준 3 5 4 3 4 3" xfId="41101"/>
    <cellStyle name="표준 3 5 4 3 4 4" xfId="41102"/>
    <cellStyle name="표준 3 5 4 3 5" xfId="41103"/>
    <cellStyle name="표준 3 5 4 3 5 2" xfId="41104"/>
    <cellStyle name="표준 3 5 4 3 5 3" xfId="41105"/>
    <cellStyle name="표준 3 5 4 3 6" xfId="41106"/>
    <cellStyle name="표준 3 5 4 3 7" xfId="41107"/>
    <cellStyle name="표준 3 5 4 4" xfId="41108"/>
    <cellStyle name="표준 3 5 4 4 2" xfId="41109"/>
    <cellStyle name="표준 3 5 4 4 2 2" xfId="41110"/>
    <cellStyle name="표준 3 5 4 4 2 2 2" xfId="41111"/>
    <cellStyle name="표준 3 5 4 4 2 2 3" xfId="41112"/>
    <cellStyle name="표준 3 5 4 4 2 3" xfId="41113"/>
    <cellStyle name="표준 3 5 4 4 2 4" xfId="41114"/>
    <cellStyle name="표준 3 5 4 4 3" xfId="41115"/>
    <cellStyle name="표준 3 5 4 4 3 2" xfId="41116"/>
    <cellStyle name="표준 3 5 4 4 3 3" xfId="41117"/>
    <cellStyle name="표준 3 5 4 4 4" xfId="41118"/>
    <cellStyle name="표준 3 5 4 4 5" xfId="41119"/>
    <cellStyle name="표준 3 5 4 5" xfId="41120"/>
    <cellStyle name="표준 3 5 4 5 2" xfId="41121"/>
    <cellStyle name="표준 3 5 4 5 2 2" xfId="41122"/>
    <cellStyle name="표준 3 5 4 5 2 2 2" xfId="41123"/>
    <cellStyle name="표준 3 5 4 5 2 2 3" xfId="41124"/>
    <cellStyle name="표준 3 5 4 5 2 3" xfId="41125"/>
    <cellStyle name="표준 3 5 4 5 2 4" xfId="41126"/>
    <cellStyle name="표준 3 5 4 5 3" xfId="41127"/>
    <cellStyle name="표준 3 5 4 5 3 2" xfId="41128"/>
    <cellStyle name="표준 3 5 4 5 3 3" xfId="41129"/>
    <cellStyle name="표준 3 5 4 5 4" xfId="41130"/>
    <cellStyle name="표준 3 5 4 5 5" xfId="41131"/>
    <cellStyle name="표준 3 5 4 6" xfId="41132"/>
    <cellStyle name="표준 3 5 4 6 2" xfId="41133"/>
    <cellStyle name="표준 3 5 4 6 2 2" xfId="41134"/>
    <cellStyle name="표준 3 5 4 6 2 2 2" xfId="41135"/>
    <cellStyle name="표준 3 5 4 6 2 2 3" xfId="41136"/>
    <cellStyle name="표준 3 5 4 6 2 3" xfId="41137"/>
    <cellStyle name="표준 3 5 4 6 2 4" xfId="41138"/>
    <cellStyle name="표준 3 5 4 6 3" xfId="41139"/>
    <cellStyle name="표준 3 5 4 6 3 2" xfId="41140"/>
    <cellStyle name="표준 3 5 4 6 3 3" xfId="41141"/>
    <cellStyle name="표준 3 5 4 6 4" xfId="41142"/>
    <cellStyle name="표준 3 5 4 6 5" xfId="41143"/>
    <cellStyle name="표준 3 5 4 7" xfId="41144"/>
    <cellStyle name="표준 3 5 4 7 2" xfId="41145"/>
    <cellStyle name="표준 3 5 4 7 2 2" xfId="41146"/>
    <cellStyle name="표준 3 5 4 7 2 3" xfId="41147"/>
    <cellStyle name="표준 3 5 4 7 3" xfId="41148"/>
    <cellStyle name="표준 3 5 4 7 4" xfId="41149"/>
    <cellStyle name="표준 3 5 4 8" xfId="41150"/>
    <cellStyle name="표준 3 5 4 8 2" xfId="41151"/>
    <cellStyle name="표준 3 5 4 8 3" xfId="41152"/>
    <cellStyle name="표준 3 5 4 9" xfId="41153"/>
    <cellStyle name="표준 3 5 5" xfId="41154"/>
    <cellStyle name="표준 3 5 5 10" xfId="41155"/>
    <cellStyle name="표준 3 5 5 2" xfId="41156"/>
    <cellStyle name="표준 3 5 5 2 2" xfId="41157"/>
    <cellStyle name="표준 3 5 5 2 2 2" xfId="41158"/>
    <cellStyle name="표준 3 5 5 2 2 2 2" xfId="41159"/>
    <cellStyle name="표준 3 5 5 2 2 2 2 2" xfId="41160"/>
    <cellStyle name="표준 3 5 5 2 2 2 2 3" xfId="41161"/>
    <cellStyle name="표준 3 5 5 2 2 2 3" xfId="41162"/>
    <cellStyle name="표준 3 5 5 2 2 2 4" xfId="41163"/>
    <cellStyle name="표준 3 5 5 2 2 3" xfId="41164"/>
    <cellStyle name="표준 3 5 5 2 2 3 2" xfId="41165"/>
    <cellStyle name="표준 3 5 5 2 2 3 3" xfId="41166"/>
    <cellStyle name="표준 3 5 5 2 2 4" xfId="41167"/>
    <cellStyle name="표준 3 5 5 2 2 5" xfId="41168"/>
    <cellStyle name="표준 3 5 5 2 3" xfId="41169"/>
    <cellStyle name="표준 3 5 5 2 3 2" xfId="41170"/>
    <cellStyle name="표준 3 5 5 2 3 2 2" xfId="41171"/>
    <cellStyle name="표준 3 5 5 2 3 2 2 2" xfId="41172"/>
    <cellStyle name="표준 3 5 5 2 3 2 2 3" xfId="41173"/>
    <cellStyle name="표준 3 5 5 2 3 2 3" xfId="41174"/>
    <cellStyle name="표준 3 5 5 2 3 2 4" xfId="41175"/>
    <cellStyle name="표준 3 5 5 2 3 3" xfId="41176"/>
    <cellStyle name="표준 3 5 5 2 3 3 2" xfId="41177"/>
    <cellStyle name="표준 3 5 5 2 3 3 3" xfId="41178"/>
    <cellStyle name="표준 3 5 5 2 3 4" xfId="41179"/>
    <cellStyle name="표준 3 5 5 2 3 5" xfId="41180"/>
    <cellStyle name="표준 3 5 5 2 4" xfId="41181"/>
    <cellStyle name="표준 3 5 5 2 4 2" xfId="41182"/>
    <cellStyle name="표준 3 5 5 2 4 2 2" xfId="41183"/>
    <cellStyle name="표준 3 5 5 2 4 2 3" xfId="41184"/>
    <cellStyle name="표준 3 5 5 2 4 3" xfId="41185"/>
    <cellStyle name="표준 3 5 5 2 4 4" xfId="41186"/>
    <cellStyle name="표준 3 5 5 2 5" xfId="41187"/>
    <cellStyle name="표준 3 5 5 2 5 2" xfId="41188"/>
    <cellStyle name="표준 3 5 5 2 5 3" xfId="41189"/>
    <cellStyle name="표준 3 5 5 2 6" xfId="41190"/>
    <cellStyle name="표준 3 5 5 2 7" xfId="41191"/>
    <cellStyle name="표준 3 5 5 3" xfId="41192"/>
    <cellStyle name="표준 3 5 5 3 2" xfId="41193"/>
    <cellStyle name="표준 3 5 5 3 2 2" xfId="41194"/>
    <cellStyle name="표준 3 5 5 3 2 2 2" xfId="41195"/>
    <cellStyle name="표준 3 5 5 3 2 2 2 2" xfId="41196"/>
    <cellStyle name="표준 3 5 5 3 2 2 2 3" xfId="41197"/>
    <cellStyle name="표준 3 5 5 3 2 2 3" xfId="41198"/>
    <cellStyle name="표준 3 5 5 3 2 2 4" xfId="41199"/>
    <cellStyle name="표준 3 5 5 3 2 3" xfId="41200"/>
    <cellStyle name="표준 3 5 5 3 2 3 2" xfId="41201"/>
    <cellStyle name="표준 3 5 5 3 2 3 3" xfId="41202"/>
    <cellStyle name="표준 3 5 5 3 2 4" xfId="41203"/>
    <cellStyle name="표준 3 5 5 3 2 5" xfId="41204"/>
    <cellStyle name="표준 3 5 5 3 3" xfId="41205"/>
    <cellStyle name="표준 3 5 5 3 3 2" xfId="41206"/>
    <cellStyle name="표준 3 5 5 3 3 2 2" xfId="41207"/>
    <cellStyle name="표준 3 5 5 3 3 2 2 2" xfId="41208"/>
    <cellStyle name="표준 3 5 5 3 3 2 2 3" xfId="41209"/>
    <cellStyle name="표준 3 5 5 3 3 2 3" xfId="41210"/>
    <cellStyle name="표준 3 5 5 3 3 2 4" xfId="41211"/>
    <cellStyle name="표준 3 5 5 3 3 3" xfId="41212"/>
    <cellStyle name="표준 3 5 5 3 3 3 2" xfId="41213"/>
    <cellStyle name="표준 3 5 5 3 3 3 3" xfId="41214"/>
    <cellStyle name="표준 3 5 5 3 3 4" xfId="41215"/>
    <cellStyle name="표준 3 5 5 3 3 5" xfId="41216"/>
    <cellStyle name="표준 3 5 5 3 4" xfId="41217"/>
    <cellStyle name="표준 3 5 5 3 4 2" xfId="41218"/>
    <cellStyle name="표준 3 5 5 3 4 2 2" xfId="41219"/>
    <cellStyle name="표준 3 5 5 3 4 2 3" xfId="41220"/>
    <cellStyle name="표준 3 5 5 3 4 3" xfId="41221"/>
    <cellStyle name="표준 3 5 5 3 4 4" xfId="41222"/>
    <cellStyle name="표준 3 5 5 3 5" xfId="41223"/>
    <cellStyle name="표준 3 5 5 3 5 2" xfId="41224"/>
    <cellStyle name="표준 3 5 5 3 5 3" xfId="41225"/>
    <cellStyle name="표준 3 5 5 3 6" xfId="41226"/>
    <cellStyle name="표준 3 5 5 3 7" xfId="41227"/>
    <cellStyle name="표준 3 5 5 4" xfId="41228"/>
    <cellStyle name="표준 3 5 5 4 2" xfId="41229"/>
    <cellStyle name="표준 3 5 5 4 2 2" xfId="41230"/>
    <cellStyle name="표준 3 5 5 4 2 2 2" xfId="41231"/>
    <cellStyle name="표준 3 5 5 4 2 2 3" xfId="41232"/>
    <cellStyle name="표준 3 5 5 4 2 3" xfId="41233"/>
    <cellStyle name="표준 3 5 5 4 2 4" xfId="41234"/>
    <cellStyle name="표준 3 5 5 4 3" xfId="41235"/>
    <cellStyle name="표준 3 5 5 4 3 2" xfId="41236"/>
    <cellStyle name="표준 3 5 5 4 3 3" xfId="41237"/>
    <cellStyle name="표준 3 5 5 4 4" xfId="41238"/>
    <cellStyle name="표준 3 5 5 4 5" xfId="41239"/>
    <cellStyle name="표준 3 5 5 5" xfId="41240"/>
    <cellStyle name="표준 3 5 5 5 2" xfId="41241"/>
    <cellStyle name="표준 3 5 5 5 2 2" xfId="41242"/>
    <cellStyle name="표준 3 5 5 5 2 2 2" xfId="41243"/>
    <cellStyle name="표준 3 5 5 5 2 2 3" xfId="41244"/>
    <cellStyle name="표준 3 5 5 5 2 3" xfId="41245"/>
    <cellStyle name="표준 3 5 5 5 2 4" xfId="41246"/>
    <cellStyle name="표준 3 5 5 5 3" xfId="41247"/>
    <cellStyle name="표준 3 5 5 5 3 2" xfId="41248"/>
    <cellStyle name="표준 3 5 5 5 3 3" xfId="41249"/>
    <cellStyle name="표준 3 5 5 5 4" xfId="41250"/>
    <cellStyle name="표준 3 5 5 5 5" xfId="41251"/>
    <cellStyle name="표준 3 5 5 6" xfId="41252"/>
    <cellStyle name="표준 3 5 5 6 2" xfId="41253"/>
    <cellStyle name="표준 3 5 5 6 2 2" xfId="41254"/>
    <cellStyle name="표준 3 5 5 6 2 2 2" xfId="41255"/>
    <cellStyle name="표준 3 5 5 6 2 2 3" xfId="41256"/>
    <cellStyle name="표준 3 5 5 6 2 3" xfId="41257"/>
    <cellStyle name="표준 3 5 5 6 2 4" xfId="41258"/>
    <cellStyle name="표준 3 5 5 6 3" xfId="41259"/>
    <cellStyle name="표준 3 5 5 6 3 2" xfId="41260"/>
    <cellStyle name="표준 3 5 5 6 3 3" xfId="41261"/>
    <cellStyle name="표준 3 5 5 6 4" xfId="41262"/>
    <cellStyle name="표준 3 5 5 6 5" xfId="41263"/>
    <cellStyle name="표준 3 5 5 7" xfId="41264"/>
    <cellStyle name="표준 3 5 5 7 2" xfId="41265"/>
    <cellStyle name="표준 3 5 5 7 2 2" xfId="41266"/>
    <cellStyle name="표준 3 5 5 7 2 3" xfId="41267"/>
    <cellStyle name="표준 3 5 5 7 3" xfId="41268"/>
    <cellStyle name="표준 3 5 5 7 4" xfId="41269"/>
    <cellStyle name="표준 3 5 5 8" xfId="41270"/>
    <cellStyle name="표준 3 5 5 8 2" xfId="41271"/>
    <cellStyle name="표준 3 5 5 8 3" xfId="41272"/>
    <cellStyle name="표준 3 5 5 9" xfId="41273"/>
    <cellStyle name="표준 3 5 6" xfId="41274"/>
    <cellStyle name="표준 3 5 6 2" xfId="41275"/>
    <cellStyle name="표준 3 5 6 2 2" xfId="41276"/>
    <cellStyle name="표준 3 5 6 2 2 2" xfId="41277"/>
    <cellStyle name="표준 3 5 6 2 2 2 2" xfId="41278"/>
    <cellStyle name="표준 3 5 6 2 2 2 3" xfId="41279"/>
    <cellStyle name="표준 3 5 6 2 2 3" xfId="41280"/>
    <cellStyle name="표준 3 5 6 2 2 4" xfId="41281"/>
    <cellStyle name="표준 3 5 6 2 3" xfId="41282"/>
    <cellStyle name="표준 3 5 6 2 3 2" xfId="41283"/>
    <cellStyle name="표준 3 5 6 2 3 3" xfId="41284"/>
    <cellStyle name="표준 3 5 6 2 4" xfId="41285"/>
    <cellStyle name="표준 3 5 6 2 5" xfId="41286"/>
    <cellStyle name="표준 3 5 6 3" xfId="41287"/>
    <cellStyle name="표준 3 5 6 3 2" xfId="41288"/>
    <cellStyle name="표준 3 5 6 3 2 2" xfId="41289"/>
    <cellStyle name="표준 3 5 6 3 2 2 2" xfId="41290"/>
    <cellStyle name="표준 3 5 6 3 2 2 3" xfId="41291"/>
    <cellStyle name="표준 3 5 6 3 2 3" xfId="41292"/>
    <cellStyle name="표준 3 5 6 3 2 4" xfId="41293"/>
    <cellStyle name="표준 3 5 6 3 3" xfId="41294"/>
    <cellStyle name="표준 3 5 6 3 3 2" xfId="41295"/>
    <cellStyle name="표준 3 5 6 3 3 3" xfId="41296"/>
    <cellStyle name="표준 3 5 6 3 4" xfId="41297"/>
    <cellStyle name="표준 3 5 6 3 5" xfId="41298"/>
    <cellStyle name="표준 3 5 6 4" xfId="41299"/>
    <cellStyle name="표준 3 5 6 4 2" xfId="41300"/>
    <cellStyle name="표준 3 5 6 4 2 2" xfId="41301"/>
    <cellStyle name="표준 3 5 6 4 2 3" xfId="41302"/>
    <cellStyle name="표준 3 5 6 4 3" xfId="41303"/>
    <cellStyle name="표준 3 5 6 4 4" xfId="41304"/>
    <cellStyle name="표준 3 5 6 5" xfId="41305"/>
    <cellStyle name="표준 3 5 6 5 2" xfId="41306"/>
    <cellStyle name="표준 3 5 6 5 3" xfId="41307"/>
    <cellStyle name="표준 3 5 6 6" xfId="41308"/>
    <cellStyle name="표준 3 5 6 7" xfId="41309"/>
    <cellStyle name="표준 3 5 7" xfId="41310"/>
    <cellStyle name="표준 3 5 7 2" xfId="41311"/>
    <cellStyle name="표준 3 5 7 2 2" xfId="41312"/>
    <cellStyle name="표준 3 5 7 2 2 2" xfId="41313"/>
    <cellStyle name="표준 3 5 7 2 2 2 2" xfId="41314"/>
    <cellStyle name="표준 3 5 7 2 2 2 3" xfId="41315"/>
    <cellStyle name="표준 3 5 7 2 2 3" xfId="41316"/>
    <cellStyle name="표준 3 5 7 2 2 4" xfId="41317"/>
    <cellStyle name="표준 3 5 7 2 3" xfId="41318"/>
    <cellStyle name="표준 3 5 7 2 3 2" xfId="41319"/>
    <cellStyle name="표준 3 5 7 2 3 3" xfId="41320"/>
    <cellStyle name="표준 3 5 7 2 4" xfId="41321"/>
    <cellStyle name="표준 3 5 7 2 5" xfId="41322"/>
    <cellStyle name="표준 3 5 7 3" xfId="41323"/>
    <cellStyle name="표준 3 5 7 3 2" xfId="41324"/>
    <cellStyle name="표준 3 5 7 3 2 2" xfId="41325"/>
    <cellStyle name="표준 3 5 7 3 2 2 2" xfId="41326"/>
    <cellStyle name="표준 3 5 7 3 2 2 3" xfId="41327"/>
    <cellStyle name="표준 3 5 7 3 2 3" xfId="41328"/>
    <cellStyle name="표준 3 5 7 3 2 4" xfId="41329"/>
    <cellStyle name="표준 3 5 7 3 3" xfId="41330"/>
    <cellStyle name="표준 3 5 7 3 3 2" xfId="41331"/>
    <cellStyle name="표준 3 5 7 3 3 3" xfId="41332"/>
    <cellStyle name="표준 3 5 7 3 4" xfId="41333"/>
    <cellStyle name="표준 3 5 7 3 5" xfId="41334"/>
    <cellStyle name="표준 3 5 7 4" xfId="41335"/>
    <cellStyle name="표준 3 5 7 4 2" xfId="41336"/>
    <cellStyle name="표준 3 5 7 4 2 2" xfId="41337"/>
    <cellStyle name="표준 3 5 7 4 2 3" xfId="41338"/>
    <cellStyle name="표준 3 5 7 4 3" xfId="41339"/>
    <cellStyle name="표준 3 5 7 4 4" xfId="41340"/>
    <cellStyle name="표준 3 5 7 5" xfId="41341"/>
    <cellStyle name="표준 3 5 7 5 2" xfId="41342"/>
    <cellStyle name="표준 3 5 7 5 3" xfId="41343"/>
    <cellStyle name="표준 3 5 7 6" xfId="41344"/>
    <cellStyle name="표준 3 5 7 7" xfId="41345"/>
    <cellStyle name="표준 3 5 8" xfId="41346"/>
    <cellStyle name="표준 3 5 8 2" xfId="41347"/>
    <cellStyle name="표준 3 5 8 2 2" xfId="41348"/>
    <cellStyle name="표준 3 5 8 2 2 2" xfId="41349"/>
    <cellStyle name="표준 3 5 8 2 2 3" xfId="41350"/>
    <cellStyle name="표준 3 5 8 2 3" xfId="41351"/>
    <cellStyle name="표준 3 5 8 2 4" xfId="41352"/>
    <cellStyle name="표준 3 5 8 3" xfId="41353"/>
    <cellStyle name="표준 3 5 8 3 2" xfId="41354"/>
    <cellStyle name="표준 3 5 8 3 3" xfId="41355"/>
    <cellStyle name="표준 3 5 8 4" xfId="41356"/>
    <cellStyle name="표준 3 5 8 5" xfId="41357"/>
    <cellStyle name="표준 3 5 9" xfId="41358"/>
    <cellStyle name="표준 3 5 9 2" xfId="41359"/>
    <cellStyle name="표준 3 5 9 2 2" xfId="41360"/>
    <cellStyle name="표준 3 5 9 2 2 2" xfId="41361"/>
    <cellStyle name="표준 3 5 9 2 2 3" xfId="41362"/>
    <cellStyle name="표준 3 5 9 2 3" xfId="41363"/>
    <cellStyle name="표준 3 5 9 2 4" xfId="41364"/>
    <cellStyle name="표준 3 5 9 3" xfId="41365"/>
    <cellStyle name="표준 3 5 9 3 2" xfId="41366"/>
    <cellStyle name="표준 3 5 9 3 3" xfId="41367"/>
    <cellStyle name="표준 3 5 9 4" xfId="41368"/>
    <cellStyle name="표준 3 5 9 5" xfId="41369"/>
    <cellStyle name="표준 3 6" xfId="41370"/>
    <cellStyle name="표준 3 6 10" xfId="41371"/>
    <cellStyle name="표준 3 6 10 2" xfId="41372"/>
    <cellStyle name="표준 3 6 10 2 2" xfId="41373"/>
    <cellStyle name="표준 3 6 10 2 3" xfId="41374"/>
    <cellStyle name="표준 3 6 10 3" xfId="41375"/>
    <cellStyle name="표준 3 6 10 4" xfId="41376"/>
    <cellStyle name="표준 3 6 11" xfId="41377"/>
    <cellStyle name="표준 3 6 11 2" xfId="41378"/>
    <cellStyle name="표준 3 6 11 3" xfId="41379"/>
    <cellStyle name="표준 3 6 12" xfId="41380"/>
    <cellStyle name="표준 3 6 13" xfId="41381"/>
    <cellStyle name="표준 3 6 14" xfId="41382"/>
    <cellStyle name="표준 3 6 2" xfId="41383"/>
    <cellStyle name="표준 3 6 2 10" xfId="41384"/>
    <cellStyle name="표준 3 6 2 2" xfId="41385"/>
    <cellStyle name="표준 3 6 2 2 2" xfId="41386"/>
    <cellStyle name="표준 3 6 2 2 2 2" xfId="41387"/>
    <cellStyle name="표준 3 6 2 2 2 2 2" xfId="41388"/>
    <cellStyle name="표준 3 6 2 2 2 2 2 2" xfId="41389"/>
    <cellStyle name="표준 3 6 2 2 2 2 2 3" xfId="41390"/>
    <cellStyle name="표준 3 6 2 2 2 2 3" xfId="41391"/>
    <cellStyle name="표준 3 6 2 2 2 2 4" xfId="41392"/>
    <cellStyle name="표준 3 6 2 2 2 3" xfId="41393"/>
    <cellStyle name="표준 3 6 2 2 2 3 2" xfId="41394"/>
    <cellStyle name="표준 3 6 2 2 2 3 3" xfId="41395"/>
    <cellStyle name="표준 3 6 2 2 2 4" xfId="41396"/>
    <cellStyle name="표준 3 6 2 2 2 5" xfId="41397"/>
    <cellStyle name="표준 3 6 2 2 3" xfId="41398"/>
    <cellStyle name="표준 3 6 2 2 3 2" xfId="41399"/>
    <cellStyle name="표준 3 6 2 2 3 2 2" xfId="41400"/>
    <cellStyle name="표준 3 6 2 2 3 2 2 2" xfId="41401"/>
    <cellStyle name="표준 3 6 2 2 3 2 2 3" xfId="41402"/>
    <cellStyle name="표준 3 6 2 2 3 2 3" xfId="41403"/>
    <cellStyle name="표준 3 6 2 2 3 2 4" xfId="41404"/>
    <cellStyle name="표준 3 6 2 2 3 3" xfId="41405"/>
    <cellStyle name="표준 3 6 2 2 3 3 2" xfId="41406"/>
    <cellStyle name="표준 3 6 2 2 3 3 3" xfId="41407"/>
    <cellStyle name="표준 3 6 2 2 3 4" xfId="41408"/>
    <cellStyle name="표준 3 6 2 2 3 5" xfId="41409"/>
    <cellStyle name="표준 3 6 2 2 4" xfId="41410"/>
    <cellStyle name="표준 3 6 2 2 4 2" xfId="41411"/>
    <cellStyle name="표준 3 6 2 2 4 2 2" xfId="41412"/>
    <cellStyle name="표준 3 6 2 2 4 2 3" xfId="41413"/>
    <cellStyle name="표준 3 6 2 2 4 3" xfId="41414"/>
    <cellStyle name="표준 3 6 2 2 4 4" xfId="41415"/>
    <cellStyle name="표준 3 6 2 2 5" xfId="41416"/>
    <cellStyle name="표준 3 6 2 2 5 2" xfId="41417"/>
    <cellStyle name="표준 3 6 2 2 5 3" xfId="41418"/>
    <cellStyle name="표준 3 6 2 2 6" xfId="41419"/>
    <cellStyle name="표준 3 6 2 2 7" xfId="41420"/>
    <cellStyle name="표준 3 6 2 3" xfId="41421"/>
    <cellStyle name="표준 3 6 2 3 2" xfId="41422"/>
    <cellStyle name="표준 3 6 2 3 2 2" xfId="41423"/>
    <cellStyle name="표준 3 6 2 3 2 2 2" xfId="41424"/>
    <cellStyle name="표준 3 6 2 3 2 2 2 2" xfId="41425"/>
    <cellStyle name="표준 3 6 2 3 2 2 2 3" xfId="41426"/>
    <cellStyle name="표준 3 6 2 3 2 2 3" xfId="41427"/>
    <cellStyle name="표준 3 6 2 3 2 2 4" xfId="41428"/>
    <cellStyle name="표준 3 6 2 3 2 3" xfId="41429"/>
    <cellStyle name="표준 3 6 2 3 2 3 2" xfId="41430"/>
    <cellStyle name="표준 3 6 2 3 2 3 3" xfId="41431"/>
    <cellStyle name="표준 3 6 2 3 2 4" xfId="41432"/>
    <cellStyle name="표준 3 6 2 3 2 5" xfId="41433"/>
    <cellStyle name="표준 3 6 2 3 3" xfId="41434"/>
    <cellStyle name="표준 3 6 2 3 3 2" xfId="41435"/>
    <cellStyle name="표준 3 6 2 3 3 2 2" xfId="41436"/>
    <cellStyle name="표준 3 6 2 3 3 2 2 2" xfId="41437"/>
    <cellStyle name="표준 3 6 2 3 3 2 2 3" xfId="41438"/>
    <cellStyle name="표준 3 6 2 3 3 2 3" xfId="41439"/>
    <cellStyle name="표준 3 6 2 3 3 2 4" xfId="41440"/>
    <cellStyle name="표준 3 6 2 3 3 3" xfId="41441"/>
    <cellStyle name="표준 3 6 2 3 3 3 2" xfId="41442"/>
    <cellStyle name="표준 3 6 2 3 3 3 3" xfId="41443"/>
    <cellStyle name="표준 3 6 2 3 3 4" xfId="41444"/>
    <cellStyle name="표준 3 6 2 3 3 5" xfId="41445"/>
    <cellStyle name="표준 3 6 2 3 4" xfId="41446"/>
    <cellStyle name="표준 3 6 2 3 4 2" xfId="41447"/>
    <cellStyle name="표준 3 6 2 3 4 2 2" xfId="41448"/>
    <cellStyle name="표준 3 6 2 3 4 2 3" xfId="41449"/>
    <cellStyle name="표준 3 6 2 3 4 3" xfId="41450"/>
    <cellStyle name="표준 3 6 2 3 4 4" xfId="41451"/>
    <cellStyle name="표준 3 6 2 3 5" xfId="41452"/>
    <cellStyle name="표준 3 6 2 3 5 2" xfId="41453"/>
    <cellStyle name="표준 3 6 2 3 5 3" xfId="41454"/>
    <cellStyle name="표준 3 6 2 3 6" xfId="41455"/>
    <cellStyle name="표준 3 6 2 3 7" xfId="41456"/>
    <cellStyle name="표준 3 6 2 4" xfId="41457"/>
    <cellStyle name="표준 3 6 2 4 2" xfId="41458"/>
    <cellStyle name="표준 3 6 2 4 2 2" xfId="41459"/>
    <cellStyle name="표준 3 6 2 4 2 2 2" xfId="41460"/>
    <cellStyle name="표준 3 6 2 4 2 2 3" xfId="41461"/>
    <cellStyle name="표준 3 6 2 4 2 3" xfId="41462"/>
    <cellStyle name="표준 3 6 2 4 2 4" xfId="41463"/>
    <cellStyle name="표준 3 6 2 4 3" xfId="41464"/>
    <cellStyle name="표준 3 6 2 4 3 2" xfId="41465"/>
    <cellStyle name="표준 3 6 2 4 3 3" xfId="41466"/>
    <cellStyle name="표준 3 6 2 4 4" xfId="41467"/>
    <cellStyle name="표준 3 6 2 4 5" xfId="41468"/>
    <cellStyle name="표준 3 6 2 5" xfId="41469"/>
    <cellStyle name="표준 3 6 2 5 2" xfId="41470"/>
    <cellStyle name="표준 3 6 2 5 2 2" xfId="41471"/>
    <cellStyle name="표준 3 6 2 5 2 2 2" xfId="41472"/>
    <cellStyle name="표준 3 6 2 5 2 2 3" xfId="41473"/>
    <cellStyle name="표준 3 6 2 5 2 3" xfId="41474"/>
    <cellStyle name="표준 3 6 2 5 2 4" xfId="41475"/>
    <cellStyle name="표준 3 6 2 5 3" xfId="41476"/>
    <cellStyle name="표준 3 6 2 5 3 2" xfId="41477"/>
    <cellStyle name="표준 3 6 2 5 3 3" xfId="41478"/>
    <cellStyle name="표준 3 6 2 5 4" xfId="41479"/>
    <cellStyle name="표준 3 6 2 5 5" xfId="41480"/>
    <cellStyle name="표준 3 6 2 6" xfId="41481"/>
    <cellStyle name="표준 3 6 2 6 2" xfId="41482"/>
    <cellStyle name="표준 3 6 2 6 2 2" xfId="41483"/>
    <cellStyle name="표준 3 6 2 6 2 2 2" xfId="41484"/>
    <cellStyle name="표준 3 6 2 6 2 2 3" xfId="41485"/>
    <cellStyle name="표준 3 6 2 6 2 3" xfId="41486"/>
    <cellStyle name="표준 3 6 2 6 2 4" xfId="41487"/>
    <cellStyle name="표준 3 6 2 6 3" xfId="41488"/>
    <cellStyle name="표준 3 6 2 6 3 2" xfId="41489"/>
    <cellStyle name="표준 3 6 2 6 3 3" xfId="41490"/>
    <cellStyle name="표준 3 6 2 6 4" xfId="41491"/>
    <cellStyle name="표준 3 6 2 6 5" xfId="41492"/>
    <cellStyle name="표준 3 6 2 7" xfId="41493"/>
    <cellStyle name="표준 3 6 2 7 2" xfId="41494"/>
    <cellStyle name="표준 3 6 2 7 2 2" xfId="41495"/>
    <cellStyle name="표준 3 6 2 7 2 3" xfId="41496"/>
    <cellStyle name="표준 3 6 2 7 3" xfId="41497"/>
    <cellStyle name="표준 3 6 2 7 4" xfId="41498"/>
    <cellStyle name="표준 3 6 2 8" xfId="41499"/>
    <cellStyle name="표준 3 6 2 8 2" xfId="41500"/>
    <cellStyle name="표준 3 6 2 8 3" xfId="41501"/>
    <cellStyle name="표준 3 6 2 9" xfId="41502"/>
    <cellStyle name="표준 3 6 3" xfId="41503"/>
    <cellStyle name="표준 3 6 3 10" xfId="41504"/>
    <cellStyle name="표준 3 6 3 2" xfId="41505"/>
    <cellStyle name="표준 3 6 3 2 2" xfId="41506"/>
    <cellStyle name="표준 3 6 3 2 2 2" xfId="41507"/>
    <cellStyle name="표준 3 6 3 2 2 2 2" xfId="41508"/>
    <cellStyle name="표준 3 6 3 2 2 2 2 2" xfId="41509"/>
    <cellStyle name="표준 3 6 3 2 2 2 2 3" xfId="41510"/>
    <cellStyle name="표준 3 6 3 2 2 2 3" xfId="41511"/>
    <cellStyle name="표준 3 6 3 2 2 2 4" xfId="41512"/>
    <cellStyle name="표준 3 6 3 2 2 3" xfId="41513"/>
    <cellStyle name="표준 3 6 3 2 2 3 2" xfId="41514"/>
    <cellStyle name="표준 3 6 3 2 2 3 3" xfId="41515"/>
    <cellStyle name="표준 3 6 3 2 2 4" xfId="41516"/>
    <cellStyle name="표준 3 6 3 2 2 5" xfId="41517"/>
    <cellStyle name="표준 3 6 3 2 3" xfId="41518"/>
    <cellStyle name="표준 3 6 3 2 3 2" xfId="41519"/>
    <cellStyle name="표준 3 6 3 2 3 2 2" xfId="41520"/>
    <cellStyle name="표준 3 6 3 2 3 2 2 2" xfId="41521"/>
    <cellStyle name="표준 3 6 3 2 3 2 2 3" xfId="41522"/>
    <cellStyle name="표준 3 6 3 2 3 2 3" xfId="41523"/>
    <cellStyle name="표준 3 6 3 2 3 2 4" xfId="41524"/>
    <cellStyle name="표준 3 6 3 2 3 3" xfId="41525"/>
    <cellStyle name="표준 3 6 3 2 3 3 2" xfId="41526"/>
    <cellStyle name="표준 3 6 3 2 3 3 3" xfId="41527"/>
    <cellStyle name="표준 3 6 3 2 3 4" xfId="41528"/>
    <cellStyle name="표준 3 6 3 2 3 5" xfId="41529"/>
    <cellStyle name="표준 3 6 3 2 4" xfId="41530"/>
    <cellStyle name="표준 3 6 3 2 4 2" xfId="41531"/>
    <cellStyle name="표준 3 6 3 2 4 2 2" xfId="41532"/>
    <cellStyle name="표준 3 6 3 2 4 2 3" xfId="41533"/>
    <cellStyle name="표준 3 6 3 2 4 3" xfId="41534"/>
    <cellStyle name="표준 3 6 3 2 4 4" xfId="41535"/>
    <cellStyle name="표준 3 6 3 2 5" xfId="41536"/>
    <cellStyle name="표준 3 6 3 2 5 2" xfId="41537"/>
    <cellStyle name="표준 3 6 3 2 5 3" xfId="41538"/>
    <cellStyle name="표준 3 6 3 2 6" xfId="41539"/>
    <cellStyle name="표준 3 6 3 2 7" xfId="41540"/>
    <cellStyle name="표준 3 6 3 3" xfId="41541"/>
    <cellStyle name="표준 3 6 3 3 2" xfId="41542"/>
    <cellStyle name="표준 3 6 3 3 2 2" xfId="41543"/>
    <cellStyle name="표준 3 6 3 3 2 2 2" xfId="41544"/>
    <cellStyle name="표준 3 6 3 3 2 2 2 2" xfId="41545"/>
    <cellStyle name="표준 3 6 3 3 2 2 2 3" xfId="41546"/>
    <cellStyle name="표준 3 6 3 3 2 2 3" xfId="41547"/>
    <cellStyle name="표준 3 6 3 3 2 2 4" xfId="41548"/>
    <cellStyle name="표준 3 6 3 3 2 3" xfId="41549"/>
    <cellStyle name="표준 3 6 3 3 2 3 2" xfId="41550"/>
    <cellStyle name="표준 3 6 3 3 2 3 3" xfId="41551"/>
    <cellStyle name="표준 3 6 3 3 2 4" xfId="41552"/>
    <cellStyle name="표준 3 6 3 3 2 5" xfId="41553"/>
    <cellStyle name="표준 3 6 3 3 3" xfId="41554"/>
    <cellStyle name="표준 3 6 3 3 3 2" xfId="41555"/>
    <cellStyle name="표준 3 6 3 3 3 2 2" xfId="41556"/>
    <cellStyle name="표준 3 6 3 3 3 2 2 2" xfId="41557"/>
    <cellStyle name="표준 3 6 3 3 3 2 2 3" xfId="41558"/>
    <cellStyle name="표준 3 6 3 3 3 2 3" xfId="41559"/>
    <cellStyle name="표준 3 6 3 3 3 2 4" xfId="41560"/>
    <cellStyle name="표준 3 6 3 3 3 3" xfId="41561"/>
    <cellStyle name="표준 3 6 3 3 3 3 2" xfId="41562"/>
    <cellStyle name="표준 3 6 3 3 3 3 3" xfId="41563"/>
    <cellStyle name="표준 3 6 3 3 3 4" xfId="41564"/>
    <cellStyle name="표준 3 6 3 3 3 5" xfId="41565"/>
    <cellStyle name="표준 3 6 3 3 4" xfId="41566"/>
    <cellStyle name="표준 3 6 3 3 4 2" xfId="41567"/>
    <cellStyle name="표준 3 6 3 3 4 2 2" xfId="41568"/>
    <cellStyle name="표준 3 6 3 3 4 2 3" xfId="41569"/>
    <cellStyle name="표준 3 6 3 3 4 3" xfId="41570"/>
    <cellStyle name="표준 3 6 3 3 4 4" xfId="41571"/>
    <cellStyle name="표준 3 6 3 3 5" xfId="41572"/>
    <cellStyle name="표준 3 6 3 3 5 2" xfId="41573"/>
    <cellStyle name="표준 3 6 3 3 5 3" xfId="41574"/>
    <cellStyle name="표준 3 6 3 3 6" xfId="41575"/>
    <cellStyle name="표준 3 6 3 3 7" xfId="41576"/>
    <cellStyle name="표준 3 6 3 4" xfId="41577"/>
    <cellStyle name="표준 3 6 3 4 2" xfId="41578"/>
    <cellStyle name="표준 3 6 3 4 2 2" xfId="41579"/>
    <cellStyle name="표준 3 6 3 4 2 2 2" xfId="41580"/>
    <cellStyle name="표준 3 6 3 4 2 2 3" xfId="41581"/>
    <cellStyle name="표준 3 6 3 4 2 3" xfId="41582"/>
    <cellStyle name="표준 3 6 3 4 2 4" xfId="41583"/>
    <cellStyle name="표준 3 6 3 4 3" xfId="41584"/>
    <cellStyle name="표준 3 6 3 4 3 2" xfId="41585"/>
    <cellStyle name="표준 3 6 3 4 3 3" xfId="41586"/>
    <cellStyle name="표준 3 6 3 4 4" xfId="41587"/>
    <cellStyle name="표준 3 6 3 4 5" xfId="41588"/>
    <cellStyle name="표준 3 6 3 5" xfId="41589"/>
    <cellStyle name="표준 3 6 3 5 2" xfId="41590"/>
    <cellStyle name="표준 3 6 3 5 2 2" xfId="41591"/>
    <cellStyle name="표준 3 6 3 5 2 2 2" xfId="41592"/>
    <cellStyle name="표준 3 6 3 5 2 2 3" xfId="41593"/>
    <cellStyle name="표준 3 6 3 5 2 3" xfId="41594"/>
    <cellStyle name="표준 3 6 3 5 2 4" xfId="41595"/>
    <cellStyle name="표준 3 6 3 5 3" xfId="41596"/>
    <cellStyle name="표준 3 6 3 5 3 2" xfId="41597"/>
    <cellStyle name="표준 3 6 3 5 3 3" xfId="41598"/>
    <cellStyle name="표준 3 6 3 5 4" xfId="41599"/>
    <cellStyle name="표준 3 6 3 5 5" xfId="41600"/>
    <cellStyle name="표준 3 6 3 6" xfId="41601"/>
    <cellStyle name="표준 3 6 3 6 2" xfId="41602"/>
    <cellStyle name="표준 3 6 3 6 2 2" xfId="41603"/>
    <cellStyle name="표준 3 6 3 6 2 2 2" xfId="41604"/>
    <cellStyle name="표준 3 6 3 6 2 2 3" xfId="41605"/>
    <cellStyle name="표준 3 6 3 6 2 3" xfId="41606"/>
    <cellStyle name="표준 3 6 3 6 2 4" xfId="41607"/>
    <cellStyle name="표준 3 6 3 6 3" xfId="41608"/>
    <cellStyle name="표준 3 6 3 6 3 2" xfId="41609"/>
    <cellStyle name="표준 3 6 3 6 3 3" xfId="41610"/>
    <cellStyle name="표준 3 6 3 6 4" xfId="41611"/>
    <cellStyle name="표준 3 6 3 6 5" xfId="41612"/>
    <cellStyle name="표준 3 6 3 7" xfId="41613"/>
    <cellStyle name="표준 3 6 3 7 2" xfId="41614"/>
    <cellStyle name="표준 3 6 3 7 2 2" xfId="41615"/>
    <cellStyle name="표준 3 6 3 7 2 3" xfId="41616"/>
    <cellStyle name="표준 3 6 3 7 3" xfId="41617"/>
    <cellStyle name="표준 3 6 3 7 4" xfId="41618"/>
    <cellStyle name="표준 3 6 3 8" xfId="41619"/>
    <cellStyle name="표준 3 6 3 8 2" xfId="41620"/>
    <cellStyle name="표준 3 6 3 8 3" xfId="41621"/>
    <cellStyle name="표준 3 6 3 9" xfId="41622"/>
    <cellStyle name="표준 3 6 4" xfId="41623"/>
    <cellStyle name="표준 3 6 4 10" xfId="41624"/>
    <cellStyle name="표준 3 6 4 2" xfId="41625"/>
    <cellStyle name="표준 3 6 4 2 2" xfId="41626"/>
    <cellStyle name="표준 3 6 4 2 2 2" xfId="41627"/>
    <cellStyle name="표준 3 6 4 2 2 2 2" xfId="41628"/>
    <cellStyle name="표준 3 6 4 2 2 2 2 2" xfId="41629"/>
    <cellStyle name="표준 3 6 4 2 2 2 2 3" xfId="41630"/>
    <cellStyle name="표준 3 6 4 2 2 2 3" xfId="41631"/>
    <cellStyle name="표준 3 6 4 2 2 2 4" xfId="41632"/>
    <cellStyle name="표준 3 6 4 2 2 3" xfId="41633"/>
    <cellStyle name="표준 3 6 4 2 2 3 2" xfId="41634"/>
    <cellStyle name="표준 3 6 4 2 2 3 3" xfId="41635"/>
    <cellStyle name="표준 3 6 4 2 2 4" xfId="41636"/>
    <cellStyle name="표준 3 6 4 2 2 5" xfId="41637"/>
    <cellStyle name="표준 3 6 4 2 3" xfId="41638"/>
    <cellStyle name="표준 3 6 4 2 3 2" xfId="41639"/>
    <cellStyle name="표준 3 6 4 2 3 2 2" xfId="41640"/>
    <cellStyle name="표준 3 6 4 2 3 2 2 2" xfId="41641"/>
    <cellStyle name="표준 3 6 4 2 3 2 2 3" xfId="41642"/>
    <cellStyle name="표준 3 6 4 2 3 2 3" xfId="41643"/>
    <cellStyle name="표준 3 6 4 2 3 2 4" xfId="41644"/>
    <cellStyle name="표준 3 6 4 2 3 3" xfId="41645"/>
    <cellStyle name="표준 3 6 4 2 3 3 2" xfId="41646"/>
    <cellStyle name="표준 3 6 4 2 3 3 3" xfId="41647"/>
    <cellStyle name="표준 3 6 4 2 3 4" xfId="41648"/>
    <cellStyle name="표준 3 6 4 2 3 5" xfId="41649"/>
    <cellStyle name="표준 3 6 4 2 4" xfId="41650"/>
    <cellStyle name="표준 3 6 4 2 4 2" xfId="41651"/>
    <cellStyle name="표준 3 6 4 2 4 2 2" xfId="41652"/>
    <cellStyle name="표준 3 6 4 2 4 2 3" xfId="41653"/>
    <cellStyle name="표준 3 6 4 2 4 3" xfId="41654"/>
    <cellStyle name="표준 3 6 4 2 4 4" xfId="41655"/>
    <cellStyle name="표준 3 6 4 2 5" xfId="41656"/>
    <cellStyle name="표준 3 6 4 2 5 2" xfId="41657"/>
    <cellStyle name="표준 3 6 4 2 5 3" xfId="41658"/>
    <cellStyle name="표준 3 6 4 2 6" xfId="41659"/>
    <cellStyle name="표준 3 6 4 2 7" xfId="41660"/>
    <cellStyle name="표준 3 6 4 3" xfId="41661"/>
    <cellStyle name="표준 3 6 4 3 2" xfId="41662"/>
    <cellStyle name="표준 3 6 4 3 2 2" xfId="41663"/>
    <cellStyle name="표준 3 6 4 3 2 2 2" xfId="41664"/>
    <cellStyle name="표준 3 6 4 3 2 2 2 2" xfId="41665"/>
    <cellStyle name="표준 3 6 4 3 2 2 2 3" xfId="41666"/>
    <cellStyle name="표준 3 6 4 3 2 2 3" xfId="41667"/>
    <cellStyle name="표준 3 6 4 3 2 2 4" xfId="41668"/>
    <cellStyle name="표준 3 6 4 3 2 3" xfId="41669"/>
    <cellStyle name="표준 3 6 4 3 2 3 2" xfId="41670"/>
    <cellStyle name="표준 3 6 4 3 2 3 3" xfId="41671"/>
    <cellStyle name="표준 3 6 4 3 2 4" xfId="41672"/>
    <cellStyle name="표준 3 6 4 3 2 5" xfId="41673"/>
    <cellStyle name="표준 3 6 4 3 3" xfId="41674"/>
    <cellStyle name="표준 3 6 4 3 3 2" xfId="41675"/>
    <cellStyle name="표준 3 6 4 3 3 2 2" xfId="41676"/>
    <cellStyle name="표준 3 6 4 3 3 2 2 2" xfId="41677"/>
    <cellStyle name="표준 3 6 4 3 3 2 2 3" xfId="41678"/>
    <cellStyle name="표준 3 6 4 3 3 2 3" xfId="41679"/>
    <cellStyle name="표준 3 6 4 3 3 2 4" xfId="41680"/>
    <cellStyle name="표준 3 6 4 3 3 3" xfId="41681"/>
    <cellStyle name="표준 3 6 4 3 3 3 2" xfId="41682"/>
    <cellStyle name="표준 3 6 4 3 3 3 3" xfId="41683"/>
    <cellStyle name="표준 3 6 4 3 3 4" xfId="41684"/>
    <cellStyle name="표준 3 6 4 3 3 5" xfId="41685"/>
    <cellStyle name="표준 3 6 4 3 4" xfId="41686"/>
    <cellStyle name="표준 3 6 4 3 4 2" xfId="41687"/>
    <cellStyle name="표준 3 6 4 3 4 2 2" xfId="41688"/>
    <cellStyle name="표준 3 6 4 3 4 2 3" xfId="41689"/>
    <cellStyle name="표준 3 6 4 3 4 3" xfId="41690"/>
    <cellStyle name="표준 3 6 4 3 4 4" xfId="41691"/>
    <cellStyle name="표준 3 6 4 3 5" xfId="41692"/>
    <cellStyle name="표준 3 6 4 3 5 2" xfId="41693"/>
    <cellStyle name="표준 3 6 4 3 5 3" xfId="41694"/>
    <cellStyle name="표준 3 6 4 3 6" xfId="41695"/>
    <cellStyle name="표준 3 6 4 3 7" xfId="41696"/>
    <cellStyle name="표준 3 6 4 4" xfId="41697"/>
    <cellStyle name="표준 3 6 4 4 2" xfId="41698"/>
    <cellStyle name="표준 3 6 4 4 2 2" xfId="41699"/>
    <cellStyle name="표준 3 6 4 4 2 2 2" xfId="41700"/>
    <cellStyle name="표준 3 6 4 4 2 2 3" xfId="41701"/>
    <cellStyle name="표준 3 6 4 4 2 3" xfId="41702"/>
    <cellStyle name="표준 3 6 4 4 2 4" xfId="41703"/>
    <cellStyle name="표준 3 6 4 4 3" xfId="41704"/>
    <cellStyle name="표준 3 6 4 4 3 2" xfId="41705"/>
    <cellStyle name="표준 3 6 4 4 3 3" xfId="41706"/>
    <cellStyle name="표준 3 6 4 4 4" xfId="41707"/>
    <cellStyle name="표준 3 6 4 4 5" xfId="41708"/>
    <cellStyle name="표준 3 6 4 5" xfId="41709"/>
    <cellStyle name="표준 3 6 4 5 2" xfId="41710"/>
    <cellStyle name="표준 3 6 4 5 2 2" xfId="41711"/>
    <cellStyle name="표준 3 6 4 5 2 2 2" xfId="41712"/>
    <cellStyle name="표준 3 6 4 5 2 2 3" xfId="41713"/>
    <cellStyle name="표준 3 6 4 5 2 3" xfId="41714"/>
    <cellStyle name="표준 3 6 4 5 2 4" xfId="41715"/>
    <cellStyle name="표준 3 6 4 5 3" xfId="41716"/>
    <cellStyle name="표준 3 6 4 5 3 2" xfId="41717"/>
    <cellStyle name="표준 3 6 4 5 3 3" xfId="41718"/>
    <cellStyle name="표준 3 6 4 5 4" xfId="41719"/>
    <cellStyle name="표준 3 6 4 5 5" xfId="41720"/>
    <cellStyle name="표준 3 6 4 6" xfId="41721"/>
    <cellStyle name="표준 3 6 4 6 2" xfId="41722"/>
    <cellStyle name="표준 3 6 4 6 2 2" xfId="41723"/>
    <cellStyle name="표준 3 6 4 6 2 2 2" xfId="41724"/>
    <cellStyle name="표준 3 6 4 6 2 2 3" xfId="41725"/>
    <cellStyle name="표준 3 6 4 6 2 3" xfId="41726"/>
    <cellStyle name="표준 3 6 4 6 2 4" xfId="41727"/>
    <cellStyle name="표준 3 6 4 6 3" xfId="41728"/>
    <cellStyle name="표준 3 6 4 6 3 2" xfId="41729"/>
    <cellStyle name="표준 3 6 4 6 3 3" xfId="41730"/>
    <cellStyle name="표준 3 6 4 6 4" xfId="41731"/>
    <cellStyle name="표준 3 6 4 6 5" xfId="41732"/>
    <cellStyle name="표준 3 6 4 7" xfId="41733"/>
    <cellStyle name="표준 3 6 4 7 2" xfId="41734"/>
    <cellStyle name="표준 3 6 4 7 2 2" xfId="41735"/>
    <cellStyle name="표준 3 6 4 7 2 3" xfId="41736"/>
    <cellStyle name="표준 3 6 4 7 3" xfId="41737"/>
    <cellStyle name="표준 3 6 4 7 4" xfId="41738"/>
    <cellStyle name="표준 3 6 4 8" xfId="41739"/>
    <cellStyle name="표준 3 6 4 8 2" xfId="41740"/>
    <cellStyle name="표준 3 6 4 8 3" xfId="41741"/>
    <cellStyle name="표준 3 6 4 9" xfId="41742"/>
    <cellStyle name="표준 3 6 5" xfId="41743"/>
    <cellStyle name="표준 3 6 5 2" xfId="41744"/>
    <cellStyle name="표준 3 6 5 2 2" xfId="41745"/>
    <cellStyle name="표준 3 6 5 2 2 2" xfId="41746"/>
    <cellStyle name="표준 3 6 5 2 2 2 2" xfId="41747"/>
    <cellStyle name="표준 3 6 5 2 2 2 3" xfId="41748"/>
    <cellStyle name="표준 3 6 5 2 2 3" xfId="41749"/>
    <cellStyle name="표준 3 6 5 2 2 4" xfId="41750"/>
    <cellStyle name="표준 3 6 5 2 3" xfId="41751"/>
    <cellStyle name="표준 3 6 5 2 3 2" xfId="41752"/>
    <cellStyle name="표준 3 6 5 2 3 3" xfId="41753"/>
    <cellStyle name="표준 3 6 5 2 4" xfId="41754"/>
    <cellStyle name="표준 3 6 5 2 5" xfId="41755"/>
    <cellStyle name="표준 3 6 5 3" xfId="41756"/>
    <cellStyle name="표준 3 6 5 3 2" xfId="41757"/>
    <cellStyle name="표준 3 6 5 3 2 2" xfId="41758"/>
    <cellStyle name="표준 3 6 5 3 2 2 2" xfId="41759"/>
    <cellStyle name="표준 3 6 5 3 2 2 3" xfId="41760"/>
    <cellStyle name="표준 3 6 5 3 2 3" xfId="41761"/>
    <cellStyle name="표준 3 6 5 3 2 4" xfId="41762"/>
    <cellStyle name="표준 3 6 5 3 3" xfId="41763"/>
    <cellStyle name="표준 3 6 5 3 3 2" xfId="41764"/>
    <cellStyle name="표준 3 6 5 3 3 3" xfId="41765"/>
    <cellStyle name="표준 3 6 5 3 4" xfId="41766"/>
    <cellStyle name="표준 3 6 5 3 5" xfId="41767"/>
    <cellStyle name="표준 3 6 5 4" xfId="41768"/>
    <cellStyle name="표준 3 6 5 4 2" xfId="41769"/>
    <cellStyle name="표준 3 6 5 4 2 2" xfId="41770"/>
    <cellStyle name="표준 3 6 5 4 2 3" xfId="41771"/>
    <cellStyle name="표준 3 6 5 4 3" xfId="41772"/>
    <cellStyle name="표준 3 6 5 4 4" xfId="41773"/>
    <cellStyle name="표준 3 6 5 5" xfId="41774"/>
    <cellStyle name="표준 3 6 5 5 2" xfId="41775"/>
    <cellStyle name="표준 3 6 5 5 3" xfId="41776"/>
    <cellStyle name="표준 3 6 5 6" xfId="41777"/>
    <cellStyle name="표준 3 6 5 7" xfId="41778"/>
    <cellStyle name="표준 3 6 6" xfId="41779"/>
    <cellStyle name="표준 3 6 6 2" xfId="41780"/>
    <cellStyle name="표준 3 6 6 2 2" xfId="41781"/>
    <cellStyle name="표준 3 6 6 2 2 2" xfId="41782"/>
    <cellStyle name="표준 3 6 6 2 2 2 2" xfId="41783"/>
    <cellStyle name="표준 3 6 6 2 2 2 3" xfId="41784"/>
    <cellStyle name="표준 3 6 6 2 2 3" xfId="41785"/>
    <cellStyle name="표준 3 6 6 2 2 4" xfId="41786"/>
    <cellStyle name="표준 3 6 6 2 3" xfId="41787"/>
    <cellStyle name="표준 3 6 6 2 3 2" xfId="41788"/>
    <cellStyle name="표준 3 6 6 2 3 3" xfId="41789"/>
    <cellStyle name="표준 3 6 6 2 4" xfId="41790"/>
    <cellStyle name="표준 3 6 6 2 5" xfId="41791"/>
    <cellStyle name="표준 3 6 6 3" xfId="41792"/>
    <cellStyle name="표준 3 6 6 3 2" xfId="41793"/>
    <cellStyle name="표준 3 6 6 3 2 2" xfId="41794"/>
    <cellStyle name="표준 3 6 6 3 2 2 2" xfId="41795"/>
    <cellStyle name="표준 3 6 6 3 2 2 3" xfId="41796"/>
    <cellStyle name="표준 3 6 6 3 2 3" xfId="41797"/>
    <cellStyle name="표준 3 6 6 3 2 4" xfId="41798"/>
    <cellStyle name="표준 3 6 6 3 3" xfId="41799"/>
    <cellStyle name="표준 3 6 6 3 3 2" xfId="41800"/>
    <cellStyle name="표준 3 6 6 3 3 3" xfId="41801"/>
    <cellStyle name="표준 3 6 6 3 4" xfId="41802"/>
    <cellStyle name="표준 3 6 6 3 5" xfId="41803"/>
    <cellStyle name="표준 3 6 6 4" xfId="41804"/>
    <cellStyle name="표준 3 6 6 4 2" xfId="41805"/>
    <cellStyle name="표준 3 6 6 4 2 2" xfId="41806"/>
    <cellStyle name="표준 3 6 6 4 2 3" xfId="41807"/>
    <cellStyle name="표준 3 6 6 4 3" xfId="41808"/>
    <cellStyle name="표준 3 6 6 4 4" xfId="41809"/>
    <cellStyle name="표준 3 6 6 5" xfId="41810"/>
    <cellStyle name="표준 3 6 6 5 2" xfId="41811"/>
    <cellStyle name="표준 3 6 6 5 3" xfId="41812"/>
    <cellStyle name="표준 3 6 6 6" xfId="41813"/>
    <cellStyle name="표준 3 6 6 7" xfId="41814"/>
    <cellStyle name="표준 3 6 7" xfId="41815"/>
    <cellStyle name="표준 3 6 7 2" xfId="41816"/>
    <cellStyle name="표준 3 6 7 2 2" xfId="41817"/>
    <cellStyle name="표준 3 6 7 2 2 2" xfId="41818"/>
    <cellStyle name="표준 3 6 7 2 2 3" xfId="41819"/>
    <cellStyle name="표준 3 6 7 2 3" xfId="41820"/>
    <cellStyle name="표준 3 6 7 2 4" xfId="41821"/>
    <cellStyle name="표준 3 6 7 3" xfId="41822"/>
    <cellStyle name="표준 3 6 7 3 2" xfId="41823"/>
    <cellStyle name="표준 3 6 7 3 3" xfId="41824"/>
    <cellStyle name="표준 3 6 7 4" xfId="41825"/>
    <cellStyle name="표준 3 6 7 5" xfId="41826"/>
    <cellStyle name="표준 3 6 8" xfId="41827"/>
    <cellStyle name="표준 3 6 8 2" xfId="41828"/>
    <cellStyle name="표준 3 6 8 2 2" xfId="41829"/>
    <cellStyle name="표준 3 6 8 2 2 2" xfId="41830"/>
    <cellStyle name="표준 3 6 8 2 2 3" xfId="41831"/>
    <cellStyle name="표준 3 6 8 2 3" xfId="41832"/>
    <cellStyle name="표준 3 6 8 2 4" xfId="41833"/>
    <cellStyle name="표준 3 6 8 3" xfId="41834"/>
    <cellStyle name="표준 3 6 8 3 2" xfId="41835"/>
    <cellStyle name="표준 3 6 8 3 3" xfId="41836"/>
    <cellStyle name="표준 3 6 8 4" xfId="41837"/>
    <cellStyle name="표준 3 6 8 5" xfId="41838"/>
    <cellStyle name="표준 3 6 9" xfId="41839"/>
    <cellStyle name="표준 3 6 9 2" xfId="41840"/>
    <cellStyle name="표준 3 6 9 2 2" xfId="41841"/>
    <cellStyle name="표준 3 6 9 2 2 2" xfId="41842"/>
    <cellStyle name="표준 3 6 9 2 2 3" xfId="41843"/>
    <cellStyle name="표준 3 6 9 2 3" xfId="41844"/>
    <cellStyle name="표준 3 6 9 2 4" xfId="41845"/>
    <cellStyle name="표준 3 6 9 3" xfId="41846"/>
    <cellStyle name="표준 3 6 9 3 2" xfId="41847"/>
    <cellStyle name="표준 3 6 9 3 3" xfId="41848"/>
    <cellStyle name="표준 3 6 9 4" xfId="41849"/>
    <cellStyle name="표준 3 6 9 5" xfId="41850"/>
    <cellStyle name="표준 3 7" xfId="41851"/>
    <cellStyle name="표준 3 7 10" xfId="41852"/>
    <cellStyle name="표준 3 7 11" xfId="41853"/>
    <cellStyle name="표준 3 7 2" xfId="41854"/>
    <cellStyle name="표준 3 7 2 2" xfId="41855"/>
    <cellStyle name="표준 3 7 2 2 2" xfId="41856"/>
    <cellStyle name="표준 3 7 2 2 2 2" xfId="41857"/>
    <cellStyle name="표준 3 7 2 2 2 2 2" xfId="41858"/>
    <cellStyle name="표준 3 7 2 2 2 2 3" xfId="41859"/>
    <cellStyle name="표준 3 7 2 2 2 3" xfId="41860"/>
    <cellStyle name="표준 3 7 2 2 2 4" xfId="41861"/>
    <cellStyle name="표준 3 7 2 2 3" xfId="41862"/>
    <cellStyle name="표준 3 7 2 2 3 2" xfId="41863"/>
    <cellStyle name="표준 3 7 2 2 3 3" xfId="41864"/>
    <cellStyle name="표준 3 7 2 2 4" xfId="41865"/>
    <cellStyle name="표준 3 7 2 2 5" xfId="41866"/>
    <cellStyle name="표준 3 7 2 3" xfId="41867"/>
    <cellStyle name="표준 3 7 2 3 2" xfId="41868"/>
    <cellStyle name="표준 3 7 2 3 2 2" xfId="41869"/>
    <cellStyle name="표준 3 7 2 3 2 2 2" xfId="41870"/>
    <cellStyle name="표준 3 7 2 3 2 2 3" xfId="41871"/>
    <cellStyle name="표준 3 7 2 3 2 3" xfId="41872"/>
    <cellStyle name="표준 3 7 2 3 2 4" xfId="41873"/>
    <cellStyle name="표준 3 7 2 3 3" xfId="41874"/>
    <cellStyle name="표준 3 7 2 3 3 2" xfId="41875"/>
    <cellStyle name="표준 3 7 2 3 3 3" xfId="41876"/>
    <cellStyle name="표준 3 7 2 3 4" xfId="41877"/>
    <cellStyle name="표준 3 7 2 3 5" xfId="41878"/>
    <cellStyle name="표준 3 7 2 4" xfId="41879"/>
    <cellStyle name="표준 3 7 2 4 2" xfId="41880"/>
    <cellStyle name="표준 3 7 2 4 2 2" xfId="41881"/>
    <cellStyle name="표준 3 7 2 4 2 3" xfId="41882"/>
    <cellStyle name="표준 3 7 2 4 3" xfId="41883"/>
    <cellStyle name="표준 3 7 2 4 4" xfId="41884"/>
    <cellStyle name="표준 3 7 2 5" xfId="41885"/>
    <cellStyle name="표준 3 7 2 5 2" xfId="41886"/>
    <cellStyle name="표준 3 7 2 5 3" xfId="41887"/>
    <cellStyle name="표준 3 7 2 6" xfId="41888"/>
    <cellStyle name="표준 3 7 2 7" xfId="41889"/>
    <cellStyle name="표준 3 7 3" xfId="41890"/>
    <cellStyle name="표준 3 7 3 2" xfId="41891"/>
    <cellStyle name="표준 3 7 3 2 2" xfId="41892"/>
    <cellStyle name="표준 3 7 3 2 2 2" xfId="41893"/>
    <cellStyle name="표준 3 7 3 2 2 2 2" xfId="41894"/>
    <cellStyle name="표준 3 7 3 2 2 2 3" xfId="41895"/>
    <cellStyle name="표준 3 7 3 2 2 3" xfId="41896"/>
    <cellStyle name="표준 3 7 3 2 2 4" xfId="41897"/>
    <cellStyle name="표준 3 7 3 2 3" xfId="41898"/>
    <cellStyle name="표준 3 7 3 2 3 2" xfId="41899"/>
    <cellStyle name="표준 3 7 3 2 3 3" xfId="41900"/>
    <cellStyle name="표준 3 7 3 2 4" xfId="41901"/>
    <cellStyle name="표준 3 7 3 2 5" xfId="41902"/>
    <cellStyle name="표준 3 7 3 3" xfId="41903"/>
    <cellStyle name="표준 3 7 3 3 2" xfId="41904"/>
    <cellStyle name="표준 3 7 3 3 2 2" xfId="41905"/>
    <cellStyle name="표준 3 7 3 3 2 2 2" xfId="41906"/>
    <cellStyle name="표준 3 7 3 3 2 2 3" xfId="41907"/>
    <cellStyle name="표준 3 7 3 3 2 3" xfId="41908"/>
    <cellStyle name="표준 3 7 3 3 2 4" xfId="41909"/>
    <cellStyle name="표준 3 7 3 3 3" xfId="41910"/>
    <cellStyle name="표준 3 7 3 3 3 2" xfId="41911"/>
    <cellStyle name="표준 3 7 3 3 3 3" xfId="41912"/>
    <cellStyle name="표준 3 7 3 3 4" xfId="41913"/>
    <cellStyle name="표준 3 7 3 3 5" xfId="41914"/>
    <cellStyle name="표준 3 7 3 4" xfId="41915"/>
    <cellStyle name="표준 3 7 3 4 2" xfId="41916"/>
    <cellStyle name="표준 3 7 3 4 2 2" xfId="41917"/>
    <cellStyle name="표준 3 7 3 4 2 3" xfId="41918"/>
    <cellStyle name="표준 3 7 3 4 3" xfId="41919"/>
    <cellStyle name="표준 3 7 3 4 4" xfId="41920"/>
    <cellStyle name="표준 3 7 3 5" xfId="41921"/>
    <cellStyle name="표준 3 7 3 5 2" xfId="41922"/>
    <cellStyle name="표준 3 7 3 5 3" xfId="41923"/>
    <cellStyle name="표준 3 7 3 6" xfId="41924"/>
    <cellStyle name="표준 3 7 3 7" xfId="41925"/>
    <cellStyle name="표준 3 7 4" xfId="41926"/>
    <cellStyle name="표준 3 7 4 2" xfId="41927"/>
    <cellStyle name="표준 3 7 4 2 2" xfId="41928"/>
    <cellStyle name="표준 3 7 4 2 2 2" xfId="41929"/>
    <cellStyle name="표준 3 7 4 2 2 3" xfId="41930"/>
    <cellStyle name="표준 3 7 4 2 3" xfId="41931"/>
    <cellStyle name="표준 3 7 4 2 4" xfId="41932"/>
    <cellStyle name="표준 3 7 4 3" xfId="41933"/>
    <cellStyle name="표준 3 7 4 3 2" xfId="41934"/>
    <cellStyle name="표준 3 7 4 3 3" xfId="41935"/>
    <cellStyle name="표준 3 7 4 4" xfId="41936"/>
    <cellStyle name="표준 3 7 4 5" xfId="41937"/>
    <cellStyle name="표준 3 7 5" xfId="41938"/>
    <cellStyle name="표준 3 7 5 2" xfId="41939"/>
    <cellStyle name="표준 3 7 5 2 2" xfId="41940"/>
    <cellStyle name="표준 3 7 5 2 2 2" xfId="41941"/>
    <cellStyle name="표준 3 7 5 2 2 3" xfId="41942"/>
    <cellStyle name="표준 3 7 5 2 3" xfId="41943"/>
    <cellStyle name="표준 3 7 5 2 4" xfId="41944"/>
    <cellStyle name="표준 3 7 5 3" xfId="41945"/>
    <cellStyle name="표준 3 7 5 3 2" xfId="41946"/>
    <cellStyle name="표준 3 7 5 3 3" xfId="41947"/>
    <cellStyle name="표준 3 7 5 4" xfId="41948"/>
    <cellStyle name="표준 3 7 5 5" xfId="41949"/>
    <cellStyle name="표준 3 7 6" xfId="41950"/>
    <cellStyle name="표준 3 7 6 2" xfId="41951"/>
    <cellStyle name="표준 3 7 6 2 2" xfId="41952"/>
    <cellStyle name="표준 3 7 6 2 2 2" xfId="41953"/>
    <cellStyle name="표준 3 7 6 2 2 3" xfId="41954"/>
    <cellStyle name="표준 3 7 6 2 3" xfId="41955"/>
    <cellStyle name="표준 3 7 6 2 4" xfId="41956"/>
    <cellStyle name="표준 3 7 6 3" xfId="41957"/>
    <cellStyle name="표준 3 7 6 3 2" xfId="41958"/>
    <cellStyle name="표준 3 7 6 3 3" xfId="41959"/>
    <cellStyle name="표준 3 7 6 4" xfId="41960"/>
    <cellStyle name="표준 3 7 6 5" xfId="41961"/>
    <cellStyle name="표준 3 7 7" xfId="41962"/>
    <cellStyle name="표준 3 7 7 2" xfId="41963"/>
    <cellStyle name="표준 3 7 7 2 2" xfId="41964"/>
    <cellStyle name="표준 3 7 7 2 3" xfId="41965"/>
    <cellStyle name="표준 3 7 7 3" xfId="41966"/>
    <cellStyle name="표준 3 7 7 4" xfId="41967"/>
    <cellStyle name="표준 3 7 8" xfId="41968"/>
    <cellStyle name="표준 3 7 8 2" xfId="41969"/>
    <cellStyle name="표준 3 7 8 3" xfId="41970"/>
    <cellStyle name="표준 3 7 9" xfId="41971"/>
    <cellStyle name="표준 3 8" xfId="41972"/>
    <cellStyle name="표준 3 8 10" xfId="41973"/>
    <cellStyle name="표준 3 8 11" xfId="41974"/>
    <cellStyle name="표준 3 8 2" xfId="41975"/>
    <cellStyle name="표준 3 8 2 2" xfId="41976"/>
    <cellStyle name="표준 3 8 2 2 2" xfId="41977"/>
    <cellStyle name="표준 3 8 2 2 2 2" xfId="41978"/>
    <cellStyle name="표준 3 8 2 2 2 2 2" xfId="41979"/>
    <cellStyle name="표준 3 8 2 2 2 2 3" xfId="41980"/>
    <cellStyle name="표준 3 8 2 2 2 3" xfId="41981"/>
    <cellStyle name="표준 3 8 2 2 2 4" xfId="41982"/>
    <cellStyle name="표준 3 8 2 2 3" xfId="41983"/>
    <cellStyle name="표준 3 8 2 2 3 2" xfId="41984"/>
    <cellStyle name="표준 3 8 2 2 3 3" xfId="41985"/>
    <cellStyle name="표준 3 8 2 2 4" xfId="41986"/>
    <cellStyle name="표준 3 8 2 2 5" xfId="41987"/>
    <cellStyle name="표준 3 8 2 3" xfId="41988"/>
    <cellStyle name="표준 3 8 2 3 2" xfId="41989"/>
    <cellStyle name="표준 3 8 2 3 2 2" xfId="41990"/>
    <cellStyle name="표준 3 8 2 3 2 2 2" xfId="41991"/>
    <cellStyle name="표준 3 8 2 3 2 2 3" xfId="41992"/>
    <cellStyle name="표준 3 8 2 3 2 3" xfId="41993"/>
    <cellStyle name="표준 3 8 2 3 2 4" xfId="41994"/>
    <cellStyle name="표준 3 8 2 3 3" xfId="41995"/>
    <cellStyle name="표준 3 8 2 3 3 2" xfId="41996"/>
    <cellStyle name="표준 3 8 2 3 3 3" xfId="41997"/>
    <cellStyle name="표준 3 8 2 3 4" xfId="41998"/>
    <cellStyle name="표준 3 8 2 3 5" xfId="41999"/>
    <cellStyle name="표준 3 8 2 4" xfId="42000"/>
    <cellStyle name="표준 3 8 2 4 2" xfId="42001"/>
    <cellStyle name="표준 3 8 2 4 2 2" xfId="42002"/>
    <cellStyle name="표준 3 8 2 4 2 3" xfId="42003"/>
    <cellStyle name="표준 3 8 2 4 3" xfId="42004"/>
    <cellStyle name="표준 3 8 2 4 4" xfId="42005"/>
    <cellStyle name="표준 3 8 2 5" xfId="42006"/>
    <cellStyle name="표준 3 8 2 5 2" xfId="42007"/>
    <cellStyle name="표준 3 8 2 5 3" xfId="42008"/>
    <cellStyle name="표준 3 8 2 6" xfId="42009"/>
    <cellStyle name="표준 3 8 2 7" xfId="42010"/>
    <cellStyle name="표준 3 8 3" xfId="42011"/>
    <cellStyle name="표준 3 8 3 2" xfId="42012"/>
    <cellStyle name="표준 3 8 3 2 2" xfId="42013"/>
    <cellStyle name="표준 3 8 3 2 2 2" xfId="42014"/>
    <cellStyle name="표준 3 8 3 2 2 2 2" xfId="42015"/>
    <cellStyle name="표준 3 8 3 2 2 2 3" xfId="42016"/>
    <cellStyle name="표준 3 8 3 2 2 3" xfId="42017"/>
    <cellStyle name="표준 3 8 3 2 2 4" xfId="42018"/>
    <cellStyle name="표준 3 8 3 2 3" xfId="42019"/>
    <cellStyle name="표준 3 8 3 2 3 2" xfId="42020"/>
    <cellStyle name="표준 3 8 3 2 3 3" xfId="42021"/>
    <cellStyle name="표준 3 8 3 2 4" xfId="42022"/>
    <cellStyle name="표준 3 8 3 2 5" xfId="42023"/>
    <cellStyle name="표준 3 8 3 3" xfId="42024"/>
    <cellStyle name="표준 3 8 3 3 2" xfId="42025"/>
    <cellStyle name="표준 3 8 3 3 2 2" xfId="42026"/>
    <cellStyle name="표준 3 8 3 3 2 2 2" xfId="42027"/>
    <cellStyle name="표준 3 8 3 3 2 2 3" xfId="42028"/>
    <cellStyle name="표준 3 8 3 3 2 3" xfId="42029"/>
    <cellStyle name="표준 3 8 3 3 2 4" xfId="42030"/>
    <cellStyle name="표준 3 8 3 3 3" xfId="42031"/>
    <cellStyle name="표준 3 8 3 3 3 2" xfId="42032"/>
    <cellStyle name="표준 3 8 3 3 3 3" xfId="42033"/>
    <cellStyle name="표준 3 8 3 3 4" xfId="42034"/>
    <cellStyle name="표준 3 8 3 3 5" xfId="42035"/>
    <cellStyle name="표준 3 8 3 4" xfId="42036"/>
    <cellStyle name="표준 3 8 3 4 2" xfId="42037"/>
    <cellStyle name="표준 3 8 3 4 2 2" xfId="42038"/>
    <cellStyle name="표준 3 8 3 4 2 3" xfId="42039"/>
    <cellStyle name="표준 3 8 3 4 3" xfId="42040"/>
    <cellStyle name="표준 3 8 3 4 4" xfId="42041"/>
    <cellStyle name="표준 3 8 3 5" xfId="42042"/>
    <cellStyle name="표준 3 8 3 5 2" xfId="42043"/>
    <cellStyle name="표준 3 8 3 5 3" xfId="42044"/>
    <cellStyle name="표준 3 8 3 6" xfId="42045"/>
    <cellStyle name="표준 3 8 3 7" xfId="42046"/>
    <cellStyle name="표준 3 8 4" xfId="42047"/>
    <cellStyle name="표준 3 8 4 2" xfId="42048"/>
    <cellStyle name="표준 3 8 4 2 2" xfId="42049"/>
    <cellStyle name="표준 3 8 4 2 2 2" xfId="42050"/>
    <cellStyle name="표준 3 8 4 2 2 3" xfId="42051"/>
    <cellStyle name="표준 3 8 4 2 3" xfId="42052"/>
    <cellStyle name="표준 3 8 4 2 4" xfId="42053"/>
    <cellStyle name="표준 3 8 4 3" xfId="42054"/>
    <cellStyle name="표준 3 8 4 3 2" xfId="42055"/>
    <cellStyle name="표준 3 8 4 3 3" xfId="42056"/>
    <cellStyle name="표준 3 8 4 4" xfId="42057"/>
    <cellStyle name="표준 3 8 4 5" xfId="42058"/>
    <cellStyle name="표준 3 8 5" xfId="42059"/>
    <cellStyle name="표준 3 8 5 2" xfId="42060"/>
    <cellStyle name="표준 3 8 5 2 2" xfId="42061"/>
    <cellStyle name="표준 3 8 5 2 2 2" xfId="42062"/>
    <cellStyle name="표준 3 8 5 2 2 3" xfId="42063"/>
    <cellStyle name="표준 3 8 5 2 3" xfId="42064"/>
    <cellStyle name="표준 3 8 5 2 4" xfId="42065"/>
    <cellStyle name="표준 3 8 5 3" xfId="42066"/>
    <cellStyle name="표준 3 8 5 3 2" xfId="42067"/>
    <cellStyle name="표준 3 8 5 3 3" xfId="42068"/>
    <cellStyle name="표준 3 8 5 4" xfId="42069"/>
    <cellStyle name="표준 3 8 5 5" xfId="42070"/>
    <cellStyle name="표준 3 8 6" xfId="42071"/>
    <cellStyle name="표준 3 8 6 2" xfId="42072"/>
    <cellStyle name="표준 3 8 6 2 2" xfId="42073"/>
    <cellStyle name="표준 3 8 6 2 2 2" xfId="42074"/>
    <cellStyle name="표준 3 8 6 2 2 3" xfId="42075"/>
    <cellStyle name="표준 3 8 6 2 3" xfId="42076"/>
    <cellStyle name="표준 3 8 6 2 4" xfId="42077"/>
    <cellStyle name="표준 3 8 6 3" xfId="42078"/>
    <cellStyle name="표준 3 8 6 3 2" xfId="42079"/>
    <cellStyle name="표준 3 8 6 3 3" xfId="42080"/>
    <cellStyle name="표준 3 8 6 4" xfId="42081"/>
    <cellStyle name="표준 3 8 6 5" xfId="42082"/>
    <cellStyle name="표준 3 8 7" xfId="42083"/>
    <cellStyle name="표준 3 8 7 2" xfId="42084"/>
    <cellStyle name="표준 3 8 7 2 2" xfId="42085"/>
    <cellStyle name="표준 3 8 7 2 3" xfId="42086"/>
    <cellStyle name="표준 3 8 7 3" xfId="42087"/>
    <cellStyle name="표준 3 8 7 4" xfId="42088"/>
    <cellStyle name="표준 3 8 8" xfId="42089"/>
    <cellStyle name="표준 3 8 8 2" xfId="42090"/>
    <cellStyle name="표준 3 8 8 3" xfId="42091"/>
    <cellStyle name="표준 3 8 9" xfId="42092"/>
    <cellStyle name="표준 3 9" xfId="42093"/>
    <cellStyle name="표준 3 9 10" xfId="42094"/>
    <cellStyle name="표준 3 9 11" xfId="42095"/>
    <cellStyle name="표준 3 9 2" xfId="42096"/>
    <cellStyle name="표준 3 9 2 2" xfId="42097"/>
    <cellStyle name="표준 3 9 2 2 2" xfId="42098"/>
    <cellStyle name="표준 3 9 2 2 2 2" xfId="42099"/>
    <cellStyle name="표준 3 9 2 2 2 2 2" xfId="42100"/>
    <cellStyle name="표준 3 9 2 2 2 2 3" xfId="42101"/>
    <cellStyle name="표준 3 9 2 2 2 3" xfId="42102"/>
    <cellStyle name="표준 3 9 2 2 2 4" xfId="42103"/>
    <cellStyle name="표준 3 9 2 2 3" xfId="42104"/>
    <cellStyle name="표준 3 9 2 2 3 2" xfId="42105"/>
    <cellStyle name="표준 3 9 2 2 3 3" xfId="42106"/>
    <cellStyle name="표준 3 9 2 2 4" xfId="42107"/>
    <cellStyle name="표준 3 9 2 2 5" xfId="42108"/>
    <cellStyle name="표준 3 9 2 3" xfId="42109"/>
    <cellStyle name="표준 3 9 2 3 2" xfId="42110"/>
    <cellStyle name="표준 3 9 2 3 2 2" xfId="42111"/>
    <cellStyle name="표준 3 9 2 3 2 2 2" xfId="42112"/>
    <cellStyle name="표준 3 9 2 3 2 2 3" xfId="42113"/>
    <cellStyle name="표준 3 9 2 3 2 3" xfId="42114"/>
    <cellStyle name="표준 3 9 2 3 2 4" xfId="42115"/>
    <cellStyle name="표준 3 9 2 3 3" xfId="42116"/>
    <cellStyle name="표준 3 9 2 3 3 2" xfId="42117"/>
    <cellStyle name="표준 3 9 2 3 3 3" xfId="42118"/>
    <cellStyle name="표준 3 9 2 3 4" xfId="42119"/>
    <cellStyle name="표준 3 9 2 3 5" xfId="42120"/>
    <cellStyle name="표준 3 9 2 4" xfId="42121"/>
    <cellStyle name="표준 3 9 2 4 2" xfId="42122"/>
    <cellStyle name="표준 3 9 2 4 2 2" xfId="42123"/>
    <cellStyle name="표준 3 9 2 4 2 3" xfId="42124"/>
    <cellStyle name="표준 3 9 2 4 3" xfId="42125"/>
    <cellStyle name="표준 3 9 2 4 4" xfId="42126"/>
    <cellStyle name="표준 3 9 2 5" xfId="42127"/>
    <cellStyle name="표준 3 9 2 5 2" xfId="42128"/>
    <cellStyle name="표준 3 9 2 5 3" xfId="42129"/>
    <cellStyle name="표준 3 9 2 6" xfId="42130"/>
    <cellStyle name="표준 3 9 2 7" xfId="42131"/>
    <cellStyle name="표준 3 9 3" xfId="42132"/>
    <cellStyle name="표준 3 9 3 2" xfId="42133"/>
    <cellStyle name="표준 3 9 3 2 2" xfId="42134"/>
    <cellStyle name="표준 3 9 3 2 2 2" xfId="42135"/>
    <cellStyle name="표준 3 9 3 2 2 2 2" xfId="42136"/>
    <cellStyle name="표준 3 9 3 2 2 2 3" xfId="42137"/>
    <cellStyle name="표준 3 9 3 2 2 3" xfId="42138"/>
    <cellStyle name="표준 3 9 3 2 2 4" xfId="42139"/>
    <cellStyle name="표준 3 9 3 2 3" xfId="42140"/>
    <cellStyle name="표준 3 9 3 2 3 2" xfId="42141"/>
    <cellStyle name="표준 3 9 3 2 3 3" xfId="42142"/>
    <cellStyle name="표준 3 9 3 2 4" xfId="42143"/>
    <cellStyle name="표준 3 9 3 2 5" xfId="42144"/>
    <cellStyle name="표준 3 9 3 3" xfId="42145"/>
    <cellStyle name="표준 3 9 3 3 2" xfId="42146"/>
    <cellStyle name="표준 3 9 3 3 2 2" xfId="42147"/>
    <cellStyle name="표준 3 9 3 3 2 2 2" xfId="42148"/>
    <cellStyle name="표준 3 9 3 3 2 2 3" xfId="42149"/>
    <cellStyle name="표준 3 9 3 3 2 3" xfId="42150"/>
    <cellStyle name="표준 3 9 3 3 2 4" xfId="42151"/>
    <cellStyle name="표준 3 9 3 3 3" xfId="42152"/>
    <cellStyle name="표준 3 9 3 3 3 2" xfId="42153"/>
    <cellStyle name="표준 3 9 3 3 3 3" xfId="42154"/>
    <cellStyle name="표준 3 9 3 3 4" xfId="42155"/>
    <cellStyle name="표준 3 9 3 3 5" xfId="42156"/>
    <cellStyle name="표준 3 9 3 4" xfId="42157"/>
    <cellStyle name="표준 3 9 3 4 2" xfId="42158"/>
    <cellStyle name="표준 3 9 3 4 2 2" xfId="42159"/>
    <cellStyle name="표준 3 9 3 4 2 3" xfId="42160"/>
    <cellStyle name="표준 3 9 3 4 3" xfId="42161"/>
    <cellStyle name="표준 3 9 3 4 4" xfId="42162"/>
    <cellStyle name="표준 3 9 3 5" xfId="42163"/>
    <cellStyle name="표준 3 9 3 5 2" xfId="42164"/>
    <cellStyle name="표준 3 9 3 5 3" xfId="42165"/>
    <cellStyle name="표준 3 9 3 6" xfId="42166"/>
    <cellStyle name="표준 3 9 3 7" xfId="42167"/>
    <cellStyle name="표준 3 9 4" xfId="42168"/>
    <cellStyle name="표준 3 9 4 2" xfId="42169"/>
    <cellStyle name="표준 3 9 4 2 2" xfId="42170"/>
    <cellStyle name="표준 3 9 4 2 2 2" xfId="42171"/>
    <cellStyle name="표준 3 9 4 2 2 3" xfId="42172"/>
    <cellStyle name="표준 3 9 4 2 3" xfId="42173"/>
    <cellStyle name="표준 3 9 4 2 4" xfId="42174"/>
    <cellStyle name="표준 3 9 4 3" xfId="42175"/>
    <cellStyle name="표준 3 9 4 3 2" xfId="42176"/>
    <cellStyle name="표준 3 9 4 3 3" xfId="42177"/>
    <cellStyle name="표준 3 9 4 4" xfId="42178"/>
    <cellStyle name="표준 3 9 4 5" xfId="42179"/>
    <cellStyle name="표준 3 9 5" xfId="42180"/>
    <cellStyle name="표준 3 9 5 2" xfId="42181"/>
    <cellStyle name="표준 3 9 5 2 2" xfId="42182"/>
    <cellStyle name="표준 3 9 5 2 2 2" xfId="42183"/>
    <cellStyle name="표준 3 9 5 2 2 3" xfId="42184"/>
    <cellStyle name="표준 3 9 5 2 3" xfId="42185"/>
    <cellStyle name="표준 3 9 5 2 4" xfId="42186"/>
    <cellStyle name="표준 3 9 5 3" xfId="42187"/>
    <cellStyle name="표준 3 9 5 3 2" xfId="42188"/>
    <cellStyle name="표준 3 9 5 3 3" xfId="42189"/>
    <cellStyle name="표준 3 9 5 4" xfId="42190"/>
    <cellStyle name="표준 3 9 5 5" xfId="42191"/>
    <cellStyle name="표준 3 9 6" xfId="42192"/>
    <cellStyle name="표준 3 9 6 2" xfId="42193"/>
    <cellStyle name="표준 3 9 6 2 2" xfId="42194"/>
    <cellStyle name="표준 3 9 6 2 2 2" xfId="42195"/>
    <cellStyle name="표준 3 9 6 2 2 3" xfId="42196"/>
    <cellStyle name="표준 3 9 6 2 3" xfId="42197"/>
    <cellStyle name="표준 3 9 6 2 4" xfId="42198"/>
    <cellStyle name="표준 3 9 6 3" xfId="42199"/>
    <cellStyle name="표준 3 9 6 3 2" xfId="42200"/>
    <cellStyle name="표준 3 9 6 3 3" xfId="42201"/>
    <cellStyle name="표준 3 9 6 4" xfId="42202"/>
    <cellStyle name="표준 3 9 6 5" xfId="42203"/>
    <cellStyle name="표준 3 9 7" xfId="42204"/>
    <cellStyle name="표준 3 9 7 2" xfId="42205"/>
    <cellStyle name="표준 3 9 7 2 2" xfId="42206"/>
    <cellStyle name="표준 3 9 7 2 3" xfId="42207"/>
    <cellStyle name="표준 3 9 7 3" xfId="42208"/>
    <cellStyle name="표준 3 9 7 4" xfId="42209"/>
    <cellStyle name="표준 3 9 8" xfId="42210"/>
    <cellStyle name="표준 3 9 8 2" xfId="42211"/>
    <cellStyle name="표준 3 9 8 3" xfId="42212"/>
    <cellStyle name="표준 3 9 9" xfId="42213"/>
    <cellStyle name="표준 3_Sheet3" xfId="42214"/>
    <cellStyle name="표준 30" xfId="42215"/>
    <cellStyle name="표준 30 2" xfId="42216"/>
    <cellStyle name="표준 31" xfId="42217"/>
    <cellStyle name="표준 31 2" xfId="42218"/>
    <cellStyle name="표준 32" xfId="42219"/>
    <cellStyle name="표준 32 2" xfId="42220"/>
    <cellStyle name="표준 32 2 2" xfId="42221"/>
    <cellStyle name="표준 32 2 3" xfId="42222"/>
    <cellStyle name="표준 32 2 3 2" xfId="42223"/>
    <cellStyle name="표준 32 2 3 2 2" xfId="42224"/>
    <cellStyle name="표준 32 2 3 2 3" xfId="42225"/>
    <cellStyle name="표준 32 2 3 3" xfId="42226"/>
    <cellStyle name="표준 32 2 3 4" xfId="42227"/>
    <cellStyle name="표준 32 2 3 5" xfId="42228"/>
    <cellStyle name="표준 32 3" xfId="42229"/>
    <cellStyle name="표준 32 3 2" xfId="42230"/>
    <cellStyle name="표준 32 3 2 2" xfId="42231"/>
    <cellStyle name="표준 32 3 2 3" xfId="42232"/>
    <cellStyle name="표준 32 3 3" xfId="42233"/>
    <cellStyle name="표준 32 3 4" xfId="42234"/>
    <cellStyle name="표준 32 3 5" xfId="42235"/>
    <cellStyle name="표준 33" xfId="42236"/>
    <cellStyle name="표준 33 2" xfId="42237"/>
    <cellStyle name="표준 34" xfId="42238"/>
    <cellStyle name="표준 34 2" xfId="42239"/>
    <cellStyle name="표준 34 2 2" xfId="42240"/>
    <cellStyle name="표준 34 2 2 2" xfId="42241"/>
    <cellStyle name="표준 34 2 2 3" xfId="42242"/>
    <cellStyle name="표준 34 2 3" xfId="42243"/>
    <cellStyle name="표준 34 2 4" xfId="42244"/>
    <cellStyle name="표준 34 2 5" xfId="42245"/>
    <cellStyle name="표준 35" xfId="42246"/>
    <cellStyle name="표준 35 2" xfId="42247"/>
    <cellStyle name="표준 35 2 2" xfId="42248"/>
    <cellStyle name="표준 35 2 3" xfId="42249"/>
    <cellStyle name="표준 35 3" xfId="42250"/>
    <cellStyle name="표준 35 4" xfId="42251"/>
    <cellStyle name="표준 35 5" xfId="42252"/>
    <cellStyle name="표준 36" xfId="42253"/>
    <cellStyle name="표준 36 2" xfId="42254"/>
    <cellStyle name="표준 36 3" xfId="42255"/>
    <cellStyle name="표준 36 3 2" xfId="42256"/>
    <cellStyle name="표준 37" xfId="42257"/>
    <cellStyle name="표준 37 2" xfId="42258"/>
    <cellStyle name="표준 38" xfId="42259"/>
    <cellStyle name="표준 38 2" xfId="42260"/>
    <cellStyle name="표준 39" xfId="42261"/>
    <cellStyle name="표준 39 2" xfId="42262"/>
    <cellStyle name="표준 4" xfId="42263"/>
    <cellStyle name="표준 4 10" xfId="42264"/>
    <cellStyle name="표준 4 10 2" xfId="42265"/>
    <cellStyle name="표준 4 10 3" xfId="42266"/>
    <cellStyle name="표준 4 11" xfId="42267"/>
    <cellStyle name="표준 4 11 2" xfId="42268"/>
    <cellStyle name="표준 4 12" xfId="42269"/>
    <cellStyle name="표준 4 12 2" xfId="42270"/>
    <cellStyle name="표준 4 13" xfId="42271"/>
    <cellStyle name="표준 4 13 2" xfId="42272"/>
    <cellStyle name="표준 4 14" xfId="42273"/>
    <cellStyle name="표준 4 14 2" xfId="42274"/>
    <cellStyle name="표준 4 15" xfId="42275"/>
    <cellStyle name="표준 4 15 2" xfId="42276"/>
    <cellStyle name="표준 4 16" xfId="42277"/>
    <cellStyle name="표준 4 16 2" xfId="42278"/>
    <cellStyle name="표준 4 17" xfId="42279"/>
    <cellStyle name="표준 4 17 2" xfId="42280"/>
    <cellStyle name="표준 4 18" xfId="42281"/>
    <cellStyle name="표준 4 18 2" xfId="42282"/>
    <cellStyle name="표준 4 19" xfId="42283"/>
    <cellStyle name="표준 4 19 2" xfId="42284"/>
    <cellStyle name="표준 4 2" xfId="42285"/>
    <cellStyle name="표준 4 2 10" xfId="42286"/>
    <cellStyle name="표준 4 2 10 2" xfId="42287"/>
    <cellStyle name="표준 4 2 10 2 2" xfId="42288"/>
    <cellStyle name="표준 4 2 10 2 2 2" xfId="42289"/>
    <cellStyle name="표준 4 2 10 2 2 3" xfId="42290"/>
    <cellStyle name="표준 4 2 10 2 3" xfId="42291"/>
    <cellStyle name="표준 4 2 10 2 4" xfId="42292"/>
    <cellStyle name="표준 4 2 10 2 5" xfId="42293"/>
    <cellStyle name="표준 4 2 10 3" xfId="42294"/>
    <cellStyle name="표준 4 2 11" xfId="42295"/>
    <cellStyle name="표준 4 2 12" xfId="42296"/>
    <cellStyle name="표준 4 2 13" xfId="42297"/>
    <cellStyle name="표준 4 2 14" xfId="42298"/>
    <cellStyle name="표준 4 2 15" xfId="42299"/>
    <cellStyle name="표준 4 2 16" xfId="42300"/>
    <cellStyle name="표준 4 2 17" xfId="42301"/>
    <cellStyle name="표준 4 2 18" xfId="42302"/>
    <cellStyle name="표준 4 2 19" xfId="42303"/>
    <cellStyle name="표준 4 2 2" xfId="42304"/>
    <cellStyle name="표준 4 2 2 10" xfId="42305"/>
    <cellStyle name="표준 4 2 2 11" xfId="42306"/>
    <cellStyle name="표준 4 2 2 12" xfId="42307"/>
    <cellStyle name="표준 4 2 2 13" xfId="42308"/>
    <cellStyle name="표준 4 2 2 14" xfId="42309"/>
    <cellStyle name="표준 4 2 2 15" xfId="42310"/>
    <cellStyle name="표준 4 2 2 16" xfId="42311"/>
    <cellStyle name="표준 4 2 2 17" xfId="42312"/>
    <cellStyle name="표준 4 2 2 18" xfId="42313"/>
    <cellStyle name="표준 4 2 2 19" xfId="42314"/>
    <cellStyle name="표준 4 2 2 2" xfId="42315"/>
    <cellStyle name="표준 4 2 2 2 10" xfId="42316"/>
    <cellStyle name="표준 4 2 2 2 11" xfId="42317"/>
    <cellStyle name="표준 4 2 2 2 12" xfId="42318"/>
    <cellStyle name="표준 4 2 2 2 13" xfId="42319"/>
    <cellStyle name="표준 4 2 2 2 14" xfId="42320"/>
    <cellStyle name="표준 4 2 2 2 15" xfId="42321"/>
    <cellStyle name="표준 4 2 2 2 16" xfId="42322"/>
    <cellStyle name="표준 4 2 2 2 17" xfId="42323"/>
    <cellStyle name="표준 4 2 2 2 18" xfId="42324"/>
    <cellStyle name="표준 4 2 2 2 19" xfId="42325"/>
    <cellStyle name="표준 4 2 2 2 2" xfId="42326"/>
    <cellStyle name="표준 4 2 2 2 2 10" xfId="42327"/>
    <cellStyle name="표준 4 2 2 2 2 11" xfId="42328"/>
    <cellStyle name="표준 4 2 2 2 2 12" xfId="42329"/>
    <cellStyle name="표준 4 2 2 2 2 13" xfId="42330"/>
    <cellStyle name="표준 4 2 2 2 2 14" xfId="42331"/>
    <cellStyle name="표준 4 2 2 2 2 15" xfId="42332"/>
    <cellStyle name="표준 4 2 2 2 2 16" xfId="42333"/>
    <cellStyle name="표준 4 2 2 2 2 17" xfId="42334"/>
    <cellStyle name="표준 4 2 2 2 2 18" xfId="42335"/>
    <cellStyle name="표준 4 2 2 2 2 19" xfId="42336"/>
    <cellStyle name="표준 4 2 2 2 2 19 2" xfId="42337"/>
    <cellStyle name="표준 4 2 2 2 2 19 3" xfId="42338"/>
    <cellStyle name="표준 4 2 2 2 2 2" xfId="42339"/>
    <cellStyle name="표준 4 2 2 2 2 2 10" xfId="42340"/>
    <cellStyle name="표준 4 2 2 2 2 2 11" xfId="42341"/>
    <cellStyle name="표준 4 2 2 2 2 2 12" xfId="42342"/>
    <cellStyle name="표준 4 2 2 2 2 2 13" xfId="42343"/>
    <cellStyle name="표준 4 2 2 2 2 2 14" xfId="42344"/>
    <cellStyle name="표준 4 2 2 2 2 2 15" xfId="42345"/>
    <cellStyle name="표준 4 2 2 2 2 2 16" xfId="42346"/>
    <cellStyle name="표준 4 2 2 2 2 2 17" xfId="42347"/>
    <cellStyle name="표준 4 2 2 2 2 2 17 2" xfId="42348"/>
    <cellStyle name="표준 4 2 2 2 2 2 17 3" xfId="42349"/>
    <cellStyle name="표준 4 2 2 2 2 2 18" xfId="42350"/>
    <cellStyle name="표준 4 2 2 2 2 2 19" xfId="42351"/>
    <cellStyle name="표준 4 2 2 2 2 2 2" xfId="42352"/>
    <cellStyle name="표준 4 2 2 2 2 2 2 10" xfId="42353"/>
    <cellStyle name="표준 4 2 2 2 2 2 2 11" xfId="42354"/>
    <cellStyle name="표준 4 2 2 2 2 2 2 12" xfId="42355"/>
    <cellStyle name="표준 4 2 2 2 2 2 2 13" xfId="42356"/>
    <cellStyle name="표준 4 2 2 2 2 2 2 14" xfId="42357"/>
    <cellStyle name="표준 4 2 2 2 2 2 2 15" xfId="42358"/>
    <cellStyle name="표준 4 2 2 2 2 2 2 16" xfId="42359"/>
    <cellStyle name="표준 4 2 2 2 2 2 2 16 2" xfId="42360"/>
    <cellStyle name="표준 4 2 2 2 2 2 2 16 3" xfId="42361"/>
    <cellStyle name="표준 4 2 2 2 2 2 2 17" xfId="42362"/>
    <cellStyle name="표준 4 2 2 2 2 2 2 18" xfId="42363"/>
    <cellStyle name="표준 4 2 2 2 2 2 2 19" xfId="42364"/>
    <cellStyle name="표준 4 2 2 2 2 2 2 2" xfId="42365"/>
    <cellStyle name="표준 4 2 2 2 2 2 2 2 2" xfId="42366"/>
    <cellStyle name="표준 4 2 2 2 2 2 2 2 2 2" xfId="42367"/>
    <cellStyle name="표준 4 2 2 2 2 2 2 2 2 2 2" xfId="42368"/>
    <cellStyle name="표준 4 2 2 2 2 2 2 2 2 2 3" xfId="42369"/>
    <cellStyle name="표준 4 2 2 2 2 2 2 2 2 3" xfId="42370"/>
    <cellStyle name="표준 4 2 2 2 2 2 2 2 2 4" xfId="42371"/>
    <cellStyle name="표준 4 2 2 2 2 2 2 2 2 5" xfId="42372"/>
    <cellStyle name="표준 4 2 2 2 2 2 2 2 3" xfId="42373"/>
    <cellStyle name="표준 4 2 2 2 2 2 2 2 3 2" xfId="42374"/>
    <cellStyle name="표준 4 2 2 2 2 2 2 2 3 3" xfId="42375"/>
    <cellStyle name="표준 4 2 2 2 2 2 2 2 4" xfId="42376"/>
    <cellStyle name="표준 4 2 2 2 2 2 2 2 5" xfId="42377"/>
    <cellStyle name="표준 4 2 2 2 2 2 2 2 6" xfId="42378"/>
    <cellStyle name="표준 4 2 2 2 2 2 2 3" xfId="42379"/>
    <cellStyle name="표준 4 2 2 2 2 2 2 3 2" xfId="42380"/>
    <cellStyle name="표준 4 2 2 2 2 2 2 3 2 2" xfId="42381"/>
    <cellStyle name="표준 4 2 2 2 2 2 2 3 2 2 2" xfId="42382"/>
    <cellStyle name="표준 4 2 2 2 2 2 2 3 2 2 3" xfId="42383"/>
    <cellStyle name="표준 4 2 2 2 2 2 2 3 2 3" xfId="42384"/>
    <cellStyle name="표준 4 2 2 2 2 2 2 3 2 4" xfId="42385"/>
    <cellStyle name="표준 4 2 2 2 2 2 2 3 2 5" xfId="42386"/>
    <cellStyle name="표준 4 2 2 2 2 2 2 3 3" xfId="42387"/>
    <cellStyle name="표준 4 2 2 2 2 2 2 4" xfId="42388"/>
    <cellStyle name="표준 4 2 2 2 2 2 2 4 2" xfId="42389"/>
    <cellStyle name="표준 4 2 2 2 2 2 2 4 2 2" xfId="42390"/>
    <cellStyle name="표준 4 2 2 2 2 2 2 4 2 2 2" xfId="42391"/>
    <cellStyle name="표준 4 2 2 2 2 2 2 4 2 2 3" xfId="42392"/>
    <cellStyle name="표준 4 2 2 2 2 2 2 4 2 3" xfId="42393"/>
    <cellStyle name="표준 4 2 2 2 2 2 2 4 2 4" xfId="42394"/>
    <cellStyle name="표준 4 2 2 2 2 2 2 4 2 5" xfId="42395"/>
    <cellStyle name="표준 4 2 2 2 2 2 2 4 3" xfId="42396"/>
    <cellStyle name="표준 4 2 2 2 2 2 2 5" xfId="42397"/>
    <cellStyle name="표준 4 2 2 2 2 2 2 6" xfId="42398"/>
    <cellStyle name="표준 4 2 2 2 2 2 2 7" xfId="42399"/>
    <cellStyle name="표준 4 2 2 2 2 2 2 8" xfId="42400"/>
    <cellStyle name="표준 4 2 2 2 2 2 2 9" xfId="42401"/>
    <cellStyle name="표준 4 2 2 2 2 2 20" xfId="42402"/>
    <cellStyle name="표준 4 2 2 2 2 2 3" xfId="42403"/>
    <cellStyle name="표준 4 2 2 2 2 2 3 2" xfId="42404"/>
    <cellStyle name="표준 4 2 2 2 2 2 3 2 2" xfId="42405"/>
    <cellStyle name="표준 4 2 2 2 2 2 3 2 2 2" xfId="42406"/>
    <cellStyle name="표준 4 2 2 2 2 2 3 2 2 3" xfId="42407"/>
    <cellStyle name="표준 4 2 2 2 2 2 3 2 3" xfId="42408"/>
    <cellStyle name="표준 4 2 2 2 2 2 3 2 4" xfId="42409"/>
    <cellStyle name="표준 4 2 2 2 2 2 3 2 5" xfId="42410"/>
    <cellStyle name="표준 4 2 2 2 2 2 3 3" xfId="42411"/>
    <cellStyle name="표준 4 2 2 2 2 2 3 3 2" xfId="42412"/>
    <cellStyle name="표준 4 2 2 2 2 2 3 3 3" xfId="42413"/>
    <cellStyle name="표준 4 2 2 2 2 2 3 4" xfId="42414"/>
    <cellStyle name="표준 4 2 2 2 2 2 3 5" xfId="42415"/>
    <cellStyle name="표준 4 2 2 2 2 2 3 6" xfId="42416"/>
    <cellStyle name="표준 4 2 2 2 2 2 4" xfId="42417"/>
    <cellStyle name="표준 4 2 2 2 2 2 4 2" xfId="42418"/>
    <cellStyle name="표준 4 2 2 2 2 2 4 2 2" xfId="42419"/>
    <cellStyle name="표준 4 2 2 2 2 2 4 2 2 2" xfId="42420"/>
    <cellStyle name="표준 4 2 2 2 2 2 4 2 2 3" xfId="42421"/>
    <cellStyle name="표준 4 2 2 2 2 2 4 2 3" xfId="42422"/>
    <cellStyle name="표준 4 2 2 2 2 2 4 2 4" xfId="42423"/>
    <cellStyle name="표준 4 2 2 2 2 2 4 2 5" xfId="42424"/>
    <cellStyle name="표준 4 2 2 2 2 2 4 3" xfId="42425"/>
    <cellStyle name="표준 4 2 2 2 2 2 5" xfId="42426"/>
    <cellStyle name="표준 4 2 2 2 2 2 5 2" xfId="42427"/>
    <cellStyle name="표준 4 2 2 2 2 2 5 2 2" xfId="42428"/>
    <cellStyle name="표준 4 2 2 2 2 2 5 2 2 2" xfId="42429"/>
    <cellStyle name="표준 4 2 2 2 2 2 5 2 2 3" xfId="42430"/>
    <cellStyle name="표준 4 2 2 2 2 2 5 2 3" xfId="42431"/>
    <cellStyle name="표준 4 2 2 2 2 2 5 2 4" xfId="42432"/>
    <cellStyle name="표준 4 2 2 2 2 2 5 2 5" xfId="42433"/>
    <cellStyle name="표준 4 2 2 2 2 2 5 3" xfId="42434"/>
    <cellStyle name="표준 4 2 2 2 2 2 6" xfId="42435"/>
    <cellStyle name="표준 4 2 2 2 2 2 7" xfId="42436"/>
    <cellStyle name="표준 4 2 2 2 2 2 8" xfId="42437"/>
    <cellStyle name="표준 4 2 2 2 2 2 9" xfId="42438"/>
    <cellStyle name="표준 4 2 2 2 2 20" xfId="42439"/>
    <cellStyle name="표준 4 2 2 2 2 21" xfId="42440"/>
    <cellStyle name="표준 4 2 2 2 2 22" xfId="42441"/>
    <cellStyle name="표준 4 2 2 2 2 3" xfId="42442"/>
    <cellStyle name="표준 4 2 2 2 2 3 10" xfId="42443"/>
    <cellStyle name="표준 4 2 2 2 2 3 11" xfId="42444"/>
    <cellStyle name="표준 4 2 2 2 2 3 12" xfId="42445"/>
    <cellStyle name="표준 4 2 2 2 2 3 13" xfId="42446"/>
    <cellStyle name="표준 4 2 2 2 2 3 14" xfId="42447"/>
    <cellStyle name="표준 4 2 2 2 2 3 15" xfId="42448"/>
    <cellStyle name="표준 4 2 2 2 2 3 16" xfId="42449"/>
    <cellStyle name="표준 4 2 2 2 2 3 17" xfId="42450"/>
    <cellStyle name="표준 4 2 2 2 2 3 17 2" xfId="42451"/>
    <cellStyle name="표준 4 2 2 2 2 3 17 3" xfId="42452"/>
    <cellStyle name="표준 4 2 2 2 2 3 18" xfId="42453"/>
    <cellStyle name="표준 4 2 2 2 2 3 19" xfId="42454"/>
    <cellStyle name="표준 4 2 2 2 2 3 2" xfId="42455"/>
    <cellStyle name="표준 4 2 2 2 2 3 2 10" xfId="42456"/>
    <cellStyle name="표준 4 2 2 2 2 3 2 11" xfId="42457"/>
    <cellStyle name="표준 4 2 2 2 2 3 2 12" xfId="42458"/>
    <cellStyle name="표준 4 2 2 2 2 3 2 13" xfId="42459"/>
    <cellStyle name="표준 4 2 2 2 2 3 2 14" xfId="42460"/>
    <cellStyle name="표준 4 2 2 2 2 3 2 15" xfId="42461"/>
    <cellStyle name="표준 4 2 2 2 2 3 2 16" xfId="42462"/>
    <cellStyle name="표준 4 2 2 2 2 3 2 16 2" xfId="42463"/>
    <cellStyle name="표준 4 2 2 2 2 3 2 16 3" xfId="42464"/>
    <cellStyle name="표준 4 2 2 2 2 3 2 17" xfId="42465"/>
    <cellStyle name="표준 4 2 2 2 2 3 2 18" xfId="42466"/>
    <cellStyle name="표준 4 2 2 2 2 3 2 19" xfId="42467"/>
    <cellStyle name="표준 4 2 2 2 2 3 2 2" xfId="42468"/>
    <cellStyle name="표준 4 2 2 2 2 3 2 2 2" xfId="42469"/>
    <cellStyle name="표준 4 2 2 2 2 3 2 2 2 2" xfId="42470"/>
    <cellStyle name="표준 4 2 2 2 2 3 2 2 2 2 2" xfId="42471"/>
    <cellStyle name="표준 4 2 2 2 2 3 2 2 2 2 3" xfId="42472"/>
    <cellStyle name="표준 4 2 2 2 2 3 2 2 2 3" xfId="42473"/>
    <cellStyle name="표준 4 2 2 2 2 3 2 2 2 4" xfId="42474"/>
    <cellStyle name="표준 4 2 2 2 2 3 2 2 2 5" xfId="42475"/>
    <cellStyle name="표준 4 2 2 2 2 3 2 2 3" xfId="42476"/>
    <cellStyle name="표준 4 2 2 2 2 3 2 2 3 2" xfId="42477"/>
    <cellStyle name="표준 4 2 2 2 2 3 2 2 3 3" xfId="42478"/>
    <cellStyle name="표준 4 2 2 2 2 3 2 2 4" xfId="42479"/>
    <cellStyle name="표준 4 2 2 2 2 3 2 2 5" xfId="42480"/>
    <cellStyle name="표준 4 2 2 2 2 3 2 2 6" xfId="42481"/>
    <cellStyle name="표준 4 2 2 2 2 3 2 3" xfId="42482"/>
    <cellStyle name="표준 4 2 2 2 2 3 2 3 2" xfId="42483"/>
    <cellStyle name="표준 4 2 2 2 2 3 2 3 2 2" xfId="42484"/>
    <cellStyle name="표준 4 2 2 2 2 3 2 3 2 2 2" xfId="42485"/>
    <cellStyle name="표준 4 2 2 2 2 3 2 3 2 2 3" xfId="42486"/>
    <cellStyle name="표준 4 2 2 2 2 3 2 3 2 3" xfId="42487"/>
    <cellStyle name="표준 4 2 2 2 2 3 2 3 2 4" xfId="42488"/>
    <cellStyle name="표준 4 2 2 2 2 3 2 3 2 5" xfId="42489"/>
    <cellStyle name="표준 4 2 2 2 2 3 2 3 3" xfId="42490"/>
    <cellStyle name="표준 4 2 2 2 2 3 2 4" xfId="42491"/>
    <cellStyle name="표준 4 2 2 2 2 3 2 4 2" xfId="42492"/>
    <cellStyle name="표준 4 2 2 2 2 3 2 4 2 2" xfId="42493"/>
    <cellStyle name="표준 4 2 2 2 2 3 2 4 2 2 2" xfId="42494"/>
    <cellStyle name="표준 4 2 2 2 2 3 2 4 2 2 3" xfId="42495"/>
    <cellStyle name="표준 4 2 2 2 2 3 2 4 2 3" xfId="42496"/>
    <cellStyle name="표준 4 2 2 2 2 3 2 4 2 4" xfId="42497"/>
    <cellStyle name="표준 4 2 2 2 2 3 2 4 2 5" xfId="42498"/>
    <cellStyle name="표준 4 2 2 2 2 3 2 4 3" xfId="42499"/>
    <cellStyle name="표준 4 2 2 2 2 3 2 5" xfId="42500"/>
    <cellStyle name="표준 4 2 2 2 2 3 2 6" xfId="42501"/>
    <cellStyle name="표준 4 2 2 2 2 3 2 7" xfId="42502"/>
    <cellStyle name="표준 4 2 2 2 2 3 2 8" xfId="42503"/>
    <cellStyle name="표준 4 2 2 2 2 3 2 9" xfId="42504"/>
    <cellStyle name="표준 4 2 2 2 2 3 20" xfId="42505"/>
    <cellStyle name="표준 4 2 2 2 2 3 3" xfId="42506"/>
    <cellStyle name="표준 4 2 2 2 2 3 3 2" xfId="42507"/>
    <cellStyle name="표준 4 2 2 2 2 3 3 2 2" xfId="42508"/>
    <cellStyle name="표준 4 2 2 2 2 3 3 2 2 2" xfId="42509"/>
    <cellStyle name="표준 4 2 2 2 2 3 3 2 2 3" xfId="42510"/>
    <cellStyle name="표준 4 2 2 2 2 3 3 2 3" xfId="42511"/>
    <cellStyle name="표준 4 2 2 2 2 3 3 2 4" xfId="42512"/>
    <cellStyle name="표준 4 2 2 2 2 3 3 2 5" xfId="42513"/>
    <cellStyle name="표준 4 2 2 2 2 3 3 3" xfId="42514"/>
    <cellStyle name="표준 4 2 2 2 2 3 3 3 2" xfId="42515"/>
    <cellStyle name="표준 4 2 2 2 2 3 3 3 3" xfId="42516"/>
    <cellStyle name="표준 4 2 2 2 2 3 3 4" xfId="42517"/>
    <cellStyle name="표준 4 2 2 2 2 3 3 5" xfId="42518"/>
    <cellStyle name="표준 4 2 2 2 2 3 3 6" xfId="42519"/>
    <cellStyle name="표준 4 2 2 2 2 3 4" xfId="42520"/>
    <cellStyle name="표준 4 2 2 2 2 3 4 2" xfId="42521"/>
    <cellStyle name="표준 4 2 2 2 2 3 4 2 2" xfId="42522"/>
    <cellStyle name="표준 4 2 2 2 2 3 4 2 2 2" xfId="42523"/>
    <cellStyle name="표준 4 2 2 2 2 3 4 2 2 3" xfId="42524"/>
    <cellStyle name="표준 4 2 2 2 2 3 4 2 3" xfId="42525"/>
    <cellStyle name="표준 4 2 2 2 2 3 4 2 4" xfId="42526"/>
    <cellStyle name="표준 4 2 2 2 2 3 4 2 5" xfId="42527"/>
    <cellStyle name="표준 4 2 2 2 2 3 4 3" xfId="42528"/>
    <cellStyle name="표준 4 2 2 2 2 3 5" xfId="42529"/>
    <cellStyle name="표준 4 2 2 2 2 3 5 2" xfId="42530"/>
    <cellStyle name="표준 4 2 2 2 2 3 5 2 2" xfId="42531"/>
    <cellStyle name="표준 4 2 2 2 2 3 5 2 2 2" xfId="42532"/>
    <cellStyle name="표준 4 2 2 2 2 3 5 2 2 3" xfId="42533"/>
    <cellStyle name="표준 4 2 2 2 2 3 5 2 3" xfId="42534"/>
    <cellStyle name="표준 4 2 2 2 2 3 5 2 4" xfId="42535"/>
    <cellStyle name="표준 4 2 2 2 2 3 5 2 5" xfId="42536"/>
    <cellStyle name="표준 4 2 2 2 2 3 5 3" xfId="42537"/>
    <cellStyle name="표준 4 2 2 2 2 3 6" xfId="42538"/>
    <cellStyle name="표준 4 2 2 2 2 3 7" xfId="42539"/>
    <cellStyle name="표준 4 2 2 2 2 3 8" xfId="42540"/>
    <cellStyle name="표준 4 2 2 2 2 3 9" xfId="42541"/>
    <cellStyle name="표준 4 2 2 2 2 4" xfId="42542"/>
    <cellStyle name="표준 4 2 2 2 2 4 10" xfId="42543"/>
    <cellStyle name="표준 4 2 2 2 2 4 11" xfId="42544"/>
    <cellStyle name="표준 4 2 2 2 2 4 12" xfId="42545"/>
    <cellStyle name="표준 4 2 2 2 2 4 13" xfId="42546"/>
    <cellStyle name="표준 4 2 2 2 2 4 14" xfId="42547"/>
    <cellStyle name="표준 4 2 2 2 2 4 15" xfId="42548"/>
    <cellStyle name="표준 4 2 2 2 2 4 16" xfId="42549"/>
    <cellStyle name="표준 4 2 2 2 2 4 16 2" xfId="42550"/>
    <cellStyle name="표준 4 2 2 2 2 4 16 3" xfId="42551"/>
    <cellStyle name="표준 4 2 2 2 2 4 17" xfId="42552"/>
    <cellStyle name="표준 4 2 2 2 2 4 18" xfId="42553"/>
    <cellStyle name="표준 4 2 2 2 2 4 19" xfId="42554"/>
    <cellStyle name="표준 4 2 2 2 2 4 2" xfId="42555"/>
    <cellStyle name="표준 4 2 2 2 2 4 2 2" xfId="42556"/>
    <cellStyle name="표준 4 2 2 2 2 4 2 2 2" xfId="42557"/>
    <cellStyle name="표준 4 2 2 2 2 4 2 2 2 2" xfId="42558"/>
    <cellStyle name="표준 4 2 2 2 2 4 2 2 2 3" xfId="42559"/>
    <cellStyle name="표준 4 2 2 2 2 4 2 2 3" xfId="42560"/>
    <cellStyle name="표준 4 2 2 2 2 4 2 2 4" xfId="42561"/>
    <cellStyle name="표준 4 2 2 2 2 4 2 2 5" xfId="42562"/>
    <cellStyle name="표준 4 2 2 2 2 4 2 3" xfId="42563"/>
    <cellStyle name="표준 4 2 2 2 2 4 2 3 2" xfId="42564"/>
    <cellStyle name="표준 4 2 2 2 2 4 2 3 3" xfId="42565"/>
    <cellStyle name="표준 4 2 2 2 2 4 2 4" xfId="42566"/>
    <cellStyle name="표준 4 2 2 2 2 4 2 5" xfId="42567"/>
    <cellStyle name="표준 4 2 2 2 2 4 2 6" xfId="42568"/>
    <cellStyle name="표준 4 2 2 2 2 4 3" xfId="42569"/>
    <cellStyle name="표준 4 2 2 2 2 4 3 2" xfId="42570"/>
    <cellStyle name="표준 4 2 2 2 2 4 3 2 2" xfId="42571"/>
    <cellStyle name="표준 4 2 2 2 2 4 3 2 2 2" xfId="42572"/>
    <cellStyle name="표준 4 2 2 2 2 4 3 2 2 3" xfId="42573"/>
    <cellStyle name="표준 4 2 2 2 2 4 3 2 3" xfId="42574"/>
    <cellStyle name="표준 4 2 2 2 2 4 3 2 4" xfId="42575"/>
    <cellStyle name="표준 4 2 2 2 2 4 3 2 5" xfId="42576"/>
    <cellStyle name="표준 4 2 2 2 2 4 3 3" xfId="42577"/>
    <cellStyle name="표준 4 2 2 2 2 4 4" xfId="42578"/>
    <cellStyle name="표준 4 2 2 2 2 4 4 2" xfId="42579"/>
    <cellStyle name="표준 4 2 2 2 2 4 4 2 2" xfId="42580"/>
    <cellStyle name="표준 4 2 2 2 2 4 4 2 2 2" xfId="42581"/>
    <cellStyle name="표준 4 2 2 2 2 4 4 2 2 3" xfId="42582"/>
    <cellStyle name="표준 4 2 2 2 2 4 4 2 3" xfId="42583"/>
    <cellStyle name="표준 4 2 2 2 2 4 4 2 4" xfId="42584"/>
    <cellStyle name="표준 4 2 2 2 2 4 4 2 5" xfId="42585"/>
    <cellStyle name="표준 4 2 2 2 2 4 4 3" xfId="42586"/>
    <cellStyle name="표준 4 2 2 2 2 4 5" xfId="42587"/>
    <cellStyle name="표준 4 2 2 2 2 4 6" xfId="42588"/>
    <cellStyle name="표준 4 2 2 2 2 4 7" xfId="42589"/>
    <cellStyle name="표준 4 2 2 2 2 4 8" xfId="42590"/>
    <cellStyle name="표준 4 2 2 2 2 4 9" xfId="42591"/>
    <cellStyle name="표준 4 2 2 2 2 5" xfId="42592"/>
    <cellStyle name="표준 4 2 2 2 2 5 2" xfId="42593"/>
    <cellStyle name="표준 4 2 2 2 2 5 2 2" xfId="42594"/>
    <cellStyle name="표준 4 2 2 2 2 5 2 2 2" xfId="42595"/>
    <cellStyle name="표준 4 2 2 2 2 5 2 2 3" xfId="42596"/>
    <cellStyle name="표준 4 2 2 2 2 5 2 3" xfId="42597"/>
    <cellStyle name="표준 4 2 2 2 2 5 2 4" xfId="42598"/>
    <cellStyle name="표준 4 2 2 2 2 5 2 5" xfId="42599"/>
    <cellStyle name="표준 4 2 2 2 2 5 3" xfId="42600"/>
    <cellStyle name="표준 4 2 2 2 2 5 3 2" xfId="42601"/>
    <cellStyle name="표준 4 2 2 2 2 5 3 3" xfId="42602"/>
    <cellStyle name="표준 4 2 2 2 2 5 4" xfId="42603"/>
    <cellStyle name="표준 4 2 2 2 2 5 5" xfId="42604"/>
    <cellStyle name="표준 4 2 2 2 2 5 6" xfId="42605"/>
    <cellStyle name="표준 4 2 2 2 2 6" xfId="42606"/>
    <cellStyle name="표준 4 2 2 2 2 6 2" xfId="42607"/>
    <cellStyle name="표준 4 2 2 2 2 6 2 2" xfId="42608"/>
    <cellStyle name="표준 4 2 2 2 2 6 2 2 2" xfId="42609"/>
    <cellStyle name="표준 4 2 2 2 2 6 2 2 3" xfId="42610"/>
    <cellStyle name="표준 4 2 2 2 2 6 2 3" xfId="42611"/>
    <cellStyle name="표준 4 2 2 2 2 6 2 4" xfId="42612"/>
    <cellStyle name="표준 4 2 2 2 2 6 2 5" xfId="42613"/>
    <cellStyle name="표준 4 2 2 2 2 6 3" xfId="42614"/>
    <cellStyle name="표준 4 2 2 2 2 7" xfId="42615"/>
    <cellStyle name="표준 4 2 2 2 2 7 2" xfId="42616"/>
    <cellStyle name="표준 4 2 2 2 2 7 2 2" xfId="42617"/>
    <cellStyle name="표준 4 2 2 2 2 7 2 2 2" xfId="42618"/>
    <cellStyle name="표준 4 2 2 2 2 7 2 2 3" xfId="42619"/>
    <cellStyle name="표준 4 2 2 2 2 7 2 3" xfId="42620"/>
    <cellStyle name="표준 4 2 2 2 2 7 2 4" xfId="42621"/>
    <cellStyle name="표준 4 2 2 2 2 7 2 5" xfId="42622"/>
    <cellStyle name="표준 4 2 2 2 2 7 3" xfId="42623"/>
    <cellStyle name="표준 4 2 2 2 2 8" xfId="42624"/>
    <cellStyle name="표준 4 2 2 2 2 9" xfId="42625"/>
    <cellStyle name="표준 4 2 2 2 20" xfId="42626"/>
    <cellStyle name="표준 4 2 2 2 20 2" xfId="42627"/>
    <cellStyle name="표준 4 2 2 2 20 3" xfId="42628"/>
    <cellStyle name="표준 4 2 2 2 21" xfId="42629"/>
    <cellStyle name="표준 4 2 2 2 22" xfId="42630"/>
    <cellStyle name="표준 4 2 2 2 23" xfId="42631"/>
    <cellStyle name="표준 4 2 2 2 3" xfId="42632"/>
    <cellStyle name="표준 4 2 2 2 3 10" xfId="42633"/>
    <cellStyle name="표준 4 2 2 2 3 11" xfId="42634"/>
    <cellStyle name="표준 4 2 2 2 3 12" xfId="42635"/>
    <cellStyle name="표준 4 2 2 2 3 13" xfId="42636"/>
    <cellStyle name="표준 4 2 2 2 3 14" xfId="42637"/>
    <cellStyle name="표준 4 2 2 2 3 15" xfId="42638"/>
    <cellStyle name="표준 4 2 2 2 3 16" xfId="42639"/>
    <cellStyle name="표준 4 2 2 2 3 17" xfId="42640"/>
    <cellStyle name="표준 4 2 2 2 3 17 2" xfId="42641"/>
    <cellStyle name="표준 4 2 2 2 3 17 3" xfId="42642"/>
    <cellStyle name="표준 4 2 2 2 3 18" xfId="42643"/>
    <cellStyle name="표준 4 2 2 2 3 19" xfId="42644"/>
    <cellStyle name="표준 4 2 2 2 3 2" xfId="42645"/>
    <cellStyle name="표준 4 2 2 2 3 2 10" xfId="42646"/>
    <cellStyle name="표준 4 2 2 2 3 2 11" xfId="42647"/>
    <cellStyle name="표준 4 2 2 2 3 2 12" xfId="42648"/>
    <cellStyle name="표준 4 2 2 2 3 2 13" xfId="42649"/>
    <cellStyle name="표준 4 2 2 2 3 2 14" xfId="42650"/>
    <cellStyle name="표준 4 2 2 2 3 2 15" xfId="42651"/>
    <cellStyle name="표준 4 2 2 2 3 2 16" xfId="42652"/>
    <cellStyle name="표준 4 2 2 2 3 2 16 2" xfId="42653"/>
    <cellStyle name="표준 4 2 2 2 3 2 16 3" xfId="42654"/>
    <cellStyle name="표준 4 2 2 2 3 2 17" xfId="42655"/>
    <cellStyle name="표준 4 2 2 2 3 2 18" xfId="42656"/>
    <cellStyle name="표준 4 2 2 2 3 2 19" xfId="42657"/>
    <cellStyle name="표준 4 2 2 2 3 2 2" xfId="42658"/>
    <cellStyle name="표준 4 2 2 2 3 2 2 2" xfId="42659"/>
    <cellStyle name="표준 4 2 2 2 3 2 2 2 2" xfId="42660"/>
    <cellStyle name="표준 4 2 2 2 3 2 2 2 2 2" xfId="42661"/>
    <cellStyle name="표준 4 2 2 2 3 2 2 2 2 3" xfId="42662"/>
    <cellStyle name="표준 4 2 2 2 3 2 2 2 3" xfId="42663"/>
    <cellStyle name="표준 4 2 2 2 3 2 2 2 4" xfId="42664"/>
    <cellStyle name="표준 4 2 2 2 3 2 2 2 5" xfId="42665"/>
    <cellStyle name="표준 4 2 2 2 3 2 2 3" xfId="42666"/>
    <cellStyle name="표준 4 2 2 2 3 2 2 3 2" xfId="42667"/>
    <cellStyle name="표준 4 2 2 2 3 2 2 3 3" xfId="42668"/>
    <cellStyle name="표준 4 2 2 2 3 2 2 4" xfId="42669"/>
    <cellStyle name="표준 4 2 2 2 3 2 2 5" xfId="42670"/>
    <cellStyle name="표준 4 2 2 2 3 2 2 6" xfId="42671"/>
    <cellStyle name="표준 4 2 2 2 3 2 3" xfId="42672"/>
    <cellStyle name="표준 4 2 2 2 3 2 3 2" xfId="42673"/>
    <cellStyle name="표준 4 2 2 2 3 2 3 2 2" xfId="42674"/>
    <cellStyle name="표준 4 2 2 2 3 2 3 2 2 2" xfId="42675"/>
    <cellStyle name="표준 4 2 2 2 3 2 3 2 2 3" xfId="42676"/>
    <cellStyle name="표준 4 2 2 2 3 2 3 2 3" xfId="42677"/>
    <cellStyle name="표준 4 2 2 2 3 2 3 2 4" xfId="42678"/>
    <cellStyle name="표준 4 2 2 2 3 2 3 2 5" xfId="42679"/>
    <cellStyle name="표준 4 2 2 2 3 2 3 3" xfId="42680"/>
    <cellStyle name="표준 4 2 2 2 3 2 4" xfId="42681"/>
    <cellStyle name="표준 4 2 2 2 3 2 4 2" xfId="42682"/>
    <cellStyle name="표준 4 2 2 2 3 2 4 2 2" xfId="42683"/>
    <cellStyle name="표준 4 2 2 2 3 2 4 2 2 2" xfId="42684"/>
    <cellStyle name="표준 4 2 2 2 3 2 4 2 2 3" xfId="42685"/>
    <cellStyle name="표준 4 2 2 2 3 2 4 2 3" xfId="42686"/>
    <cellStyle name="표준 4 2 2 2 3 2 4 2 4" xfId="42687"/>
    <cellStyle name="표준 4 2 2 2 3 2 4 2 5" xfId="42688"/>
    <cellStyle name="표준 4 2 2 2 3 2 4 3" xfId="42689"/>
    <cellStyle name="표준 4 2 2 2 3 2 5" xfId="42690"/>
    <cellStyle name="표준 4 2 2 2 3 2 6" xfId="42691"/>
    <cellStyle name="표준 4 2 2 2 3 2 7" xfId="42692"/>
    <cellStyle name="표준 4 2 2 2 3 2 8" xfId="42693"/>
    <cellStyle name="표준 4 2 2 2 3 2 9" xfId="42694"/>
    <cellStyle name="표준 4 2 2 2 3 20" xfId="42695"/>
    <cellStyle name="표준 4 2 2 2 3 3" xfId="42696"/>
    <cellStyle name="표준 4 2 2 2 3 3 2" xfId="42697"/>
    <cellStyle name="표준 4 2 2 2 3 3 2 2" xfId="42698"/>
    <cellStyle name="표준 4 2 2 2 3 3 2 2 2" xfId="42699"/>
    <cellStyle name="표준 4 2 2 2 3 3 2 2 3" xfId="42700"/>
    <cellStyle name="표준 4 2 2 2 3 3 2 3" xfId="42701"/>
    <cellStyle name="표준 4 2 2 2 3 3 2 4" xfId="42702"/>
    <cellStyle name="표준 4 2 2 2 3 3 2 5" xfId="42703"/>
    <cellStyle name="표준 4 2 2 2 3 3 3" xfId="42704"/>
    <cellStyle name="표준 4 2 2 2 3 3 3 2" xfId="42705"/>
    <cellStyle name="표준 4 2 2 2 3 3 3 3" xfId="42706"/>
    <cellStyle name="표준 4 2 2 2 3 3 4" xfId="42707"/>
    <cellStyle name="표준 4 2 2 2 3 3 5" xfId="42708"/>
    <cellStyle name="표준 4 2 2 2 3 3 6" xfId="42709"/>
    <cellStyle name="표준 4 2 2 2 3 4" xfId="42710"/>
    <cellStyle name="표준 4 2 2 2 3 4 2" xfId="42711"/>
    <cellStyle name="표준 4 2 2 2 3 4 2 2" xfId="42712"/>
    <cellStyle name="표준 4 2 2 2 3 4 2 2 2" xfId="42713"/>
    <cellStyle name="표준 4 2 2 2 3 4 2 2 3" xfId="42714"/>
    <cellStyle name="표준 4 2 2 2 3 4 2 3" xfId="42715"/>
    <cellStyle name="표준 4 2 2 2 3 4 2 4" xfId="42716"/>
    <cellStyle name="표준 4 2 2 2 3 4 2 5" xfId="42717"/>
    <cellStyle name="표준 4 2 2 2 3 4 3" xfId="42718"/>
    <cellStyle name="표준 4 2 2 2 3 5" xfId="42719"/>
    <cellStyle name="표준 4 2 2 2 3 5 2" xfId="42720"/>
    <cellStyle name="표준 4 2 2 2 3 5 2 2" xfId="42721"/>
    <cellStyle name="표준 4 2 2 2 3 5 2 2 2" xfId="42722"/>
    <cellStyle name="표준 4 2 2 2 3 5 2 2 3" xfId="42723"/>
    <cellStyle name="표준 4 2 2 2 3 5 2 3" xfId="42724"/>
    <cellStyle name="표준 4 2 2 2 3 5 2 4" xfId="42725"/>
    <cellStyle name="표준 4 2 2 2 3 5 2 5" xfId="42726"/>
    <cellStyle name="표준 4 2 2 2 3 5 3" xfId="42727"/>
    <cellStyle name="표준 4 2 2 2 3 6" xfId="42728"/>
    <cellStyle name="표준 4 2 2 2 3 7" xfId="42729"/>
    <cellStyle name="표준 4 2 2 2 3 8" xfId="42730"/>
    <cellStyle name="표준 4 2 2 2 3 9" xfId="42731"/>
    <cellStyle name="표준 4 2 2 2 4" xfId="42732"/>
    <cellStyle name="표준 4 2 2 2 4 10" xfId="42733"/>
    <cellStyle name="표준 4 2 2 2 4 11" xfId="42734"/>
    <cellStyle name="표준 4 2 2 2 4 12" xfId="42735"/>
    <cellStyle name="표준 4 2 2 2 4 13" xfId="42736"/>
    <cellStyle name="표준 4 2 2 2 4 14" xfId="42737"/>
    <cellStyle name="표준 4 2 2 2 4 15" xfId="42738"/>
    <cellStyle name="표준 4 2 2 2 4 16" xfId="42739"/>
    <cellStyle name="표준 4 2 2 2 4 17" xfId="42740"/>
    <cellStyle name="표준 4 2 2 2 4 17 2" xfId="42741"/>
    <cellStyle name="표준 4 2 2 2 4 17 3" xfId="42742"/>
    <cellStyle name="표준 4 2 2 2 4 18" xfId="42743"/>
    <cellStyle name="표준 4 2 2 2 4 19" xfId="42744"/>
    <cellStyle name="표준 4 2 2 2 4 2" xfId="42745"/>
    <cellStyle name="표준 4 2 2 2 4 2 10" xfId="42746"/>
    <cellStyle name="표준 4 2 2 2 4 2 11" xfId="42747"/>
    <cellStyle name="표준 4 2 2 2 4 2 12" xfId="42748"/>
    <cellStyle name="표준 4 2 2 2 4 2 13" xfId="42749"/>
    <cellStyle name="표준 4 2 2 2 4 2 14" xfId="42750"/>
    <cellStyle name="표준 4 2 2 2 4 2 15" xfId="42751"/>
    <cellStyle name="표준 4 2 2 2 4 2 16" xfId="42752"/>
    <cellStyle name="표준 4 2 2 2 4 2 16 2" xfId="42753"/>
    <cellStyle name="표준 4 2 2 2 4 2 16 3" xfId="42754"/>
    <cellStyle name="표준 4 2 2 2 4 2 17" xfId="42755"/>
    <cellStyle name="표준 4 2 2 2 4 2 18" xfId="42756"/>
    <cellStyle name="표준 4 2 2 2 4 2 19" xfId="42757"/>
    <cellStyle name="표준 4 2 2 2 4 2 2" xfId="42758"/>
    <cellStyle name="표준 4 2 2 2 4 2 2 2" xfId="42759"/>
    <cellStyle name="표준 4 2 2 2 4 2 2 2 2" xfId="42760"/>
    <cellStyle name="표준 4 2 2 2 4 2 2 2 2 2" xfId="42761"/>
    <cellStyle name="표준 4 2 2 2 4 2 2 2 2 3" xfId="42762"/>
    <cellStyle name="표준 4 2 2 2 4 2 2 2 3" xfId="42763"/>
    <cellStyle name="표준 4 2 2 2 4 2 2 2 4" xfId="42764"/>
    <cellStyle name="표준 4 2 2 2 4 2 2 2 5" xfId="42765"/>
    <cellStyle name="표준 4 2 2 2 4 2 2 3" xfId="42766"/>
    <cellStyle name="표준 4 2 2 2 4 2 2 3 2" xfId="42767"/>
    <cellStyle name="표준 4 2 2 2 4 2 2 3 3" xfId="42768"/>
    <cellStyle name="표준 4 2 2 2 4 2 2 4" xfId="42769"/>
    <cellStyle name="표준 4 2 2 2 4 2 2 5" xfId="42770"/>
    <cellStyle name="표준 4 2 2 2 4 2 2 6" xfId="42771"/>
    <cellStyle name="표준 4 2 2 2 4 2 3" xfId="42772"/>
    <cellStyle name="표준 4 2 2 2 4 2 3 2" xfId="42773"/>
    <cellStyle name="표준 4 2 2 2 4 2 3 2 2" xfId="42774"/>
    <cellStyle name="표준 4 2 2 2 4 2 3 2 2 2" xfId="42775"/>
    <cellStyle name="표준 4 2 2 2 4 2 3 2 2 3" xfId="42776"/>
    <cellStyle name="표준 4 2 2 2 4 2 3 2 3" xfId="42777"/>
    <cellStyle name="표준 4 2 2 2 4 2 3 2 4" xfId="42778"/>
    <cellStyle name="표준 4 2 2 2 4 2 3 2 5" xfId="42779"/>
    <cellStyle name="표준 4 2 2 2 4 2 3 3" xfId="42780"/>
    <cellStyle name="표준 4 2 2 2 4 2 4" xfId="42781"/>
    <cellStyle name="표준 4 2 2 2 4 2 4 2" xfId="42782"/>
    <cellStyle name="표준 4 2 2 2 4 2 4 2 2" xfId="42783"/>
    <cellStyle name="표준 4 2 2 2 4 2 4 2 2 2" xfId="42784"/>
    <cellStyle name="표준 4 2 2 2 4 2 4 2 2 3" xfId="42785"/>
    <cellStyle name="표준 4 2 2 2 4 2 4 2 3" xfId="42786"/>
    <cellStyle name="표준 4 2 2 2 4 2 4 2 4" xfId="42787"/>
    <cellStyle name="표준 4 2 2 2 4 2 4 2 5" xfId="42788"/>
    <cellStyle name="표준 4 2 2 2 4 2 4 3" xfId="42789"/>
    <cellStyle name="표준 4 2 2 2 4 2 5" xfId="42790"/>
    <cellStyle name="표준 4 2 2 2 4 2 6" xfId="42791"/>
    <cellStyle name="표준 4 2 2 2 4 2 7" xfId="42792"/>
    <cellStyle name="표준 4 2 2 2 4 2 8" xfId="42793"/>
    <cellStyle name="표준 4 2 2 2 4 2 9" xfId="42794"/>
    <cellStyle name="표준 4 2 2 2 4 20" xfId="42795"/>
    <cellStyle name="표준 4 2 2 2 4 3" xfId="42796"/>
    <cellStyle name="표준 4 2 2 2 4 3 2" xfId="42797"/>
    <cellStyle name="표준 4 2 2 2 4 3 2 2" xfId="42798"/>
    <cellStyle name="표준 4 2 2 2 4 3 2 2 2" xfId="42799"/>
    <cellStyle name="표준 4 2 2 2 4 3 2 2 3" xfId="42800"/>
    <cellStyle name="표준 4 2 2 2 4 3 2 3" xfId="42801"/>
    <cellStyle name="표준 4 2 2 2 4 3 2 4" xfId="42802"/>
    <cellStyle name="표준 4 2 2 2 4 3 2 5" xfId="42803"/>
    <cellStyle name="표준 4 2 2 2 4 3 3" xfId="42804"/>
    <cellStyle name="표준 4 2 2 2 4 3 3 2" xfId="42805"/>
    <cellStyle name="표준 4 2 2 2 4 3 3 3" xfId="42806"/>
    <cellStyle name="표준 4 2 2 2 4 3 4" xfId="42807"/>
    <cellStyle name="표준 4 2 2 2 4 3 5" xfId="42808"/>
    <cellStyle name="표준 4 2 2 2 4 3 6" xfId="42809"/>
    <cellStyle name="표준 4 2 2 2 4 4" xfId="42810"/>
    <cellStyle name="표준 4 2 2 2 4 4 2" xfId="42811"/>
    <cellStyle name="표준 4 2 2 2 4 4 2 2" xfId="42812"/>
    <cellStyle name="표준 4 2 2 2 4 4 2 2 2" xfId="42813"/>
    <cellStyle name="표준 4 2 2 2 4 4 2 2 3" xfId="42814"/>
    <cellStyle name="표준 4 2 2 2 4 4 2 3" xfId="42815"/>
    <cellStyle name="표준 4 2 2 2 4 4 2 4" xfId="42816"/>
    <cellStyle name="표준 4 2 2 2 4 4 2 5" xfId="42817"/>
    <cellStyle name="표준 4 2 2 2 4 4 3" xfId="42818"/>
    <cellStyle name="표준 4 2 2 2 4 5" xfId="42819"/>
    <cellStyle name="표준 4 2 2 2 4 5 2" xfId="42820"/>
    <cellStyle name="표준 4 2 2 2 4 5 2 2" xfId="42821"/>
    <cellStyle name="표준 4 2 2 2 4 5 2 2 2" xfId="42822"/>
    <cellStyle name="표준 4 2 2 2 4 5 2 2 3" xfId="42823"/>
    <cellStyle name="표준 4 2 2 2 4 5 2 3" xfId="42824"/>
    <cellStyle name="표준 4 2 2 2 4 5 2 4" xfId="42825"/>
    <cellStyle name="표준 4 2 2 2 4 5 2 5" xfId="42826"/>
    <cellStyle name="표준 4 2 2 2 4 5 3" xfId="42827"/>
    <cellStyle name="표준 4 2 2 2 4 6" xfId="42828"/>
    <cellStyle name="표준 4 2 2 2 4 7" xfId="42829"/>
    <cellStyle name="표준 4 2 2 2 4 8" xfId="42830"/>
    <cellStyle name="표준 4 2 2 2 4 9" xfId="42831"/>
    <cellStyle name="표준 4 2 2 2 5" xfId="42832"/>
    <cellStyle name="표준 4 2 2 2 5 10" xfId="42833"/>
    <cellStyle name="표준 4 2 2 2 5 11" xfId="42834"/>
    <cellStyle name="표준 4 2 2 2 5 12" xfId="42835"/>
    <cellStyle name="표준 4 2 2 2 5 13" xfId="42836"/>
    <cellStyle name="표준 4 2 2 2 5 14" xfId="42837"/>
    <cellStyle name="표준 4 2 2 2 5 15" xfId="42838"/>
    <cellStyle name="표준 4 2 2 2 5 16" xfId="42839"/>
    <cellStyle name="표준 4 2 2 2 5 16 2" xfId="42840"/>
    <cellStyle name="표준 4 2 2 2 5 16 3" xfId="42841"/>
    <cellStyle name="표준 4 2 2 2 5 17" xfId="42842"/>
    <cellStyle name="표준 4 2 2 2 5 18" xfId="42843"/>
    <cellStyle name="표준 4 2 2 2 5 19" xfId="42844"/>
    <cellStyle name="표준 4 2 2 2 5 2" xfId="42845"/>
    <cellStyle name="표준 4 2 2 2 5 2 2" xfId="42846"/>
    <cellStyle name="표준 4 2 2 2 5 2 2 2" xfId="42847"/>
    <cellStyle name="표준 4 2 2 2 5 2 2 2 2" xfId="42848"/>
    <cellStyle name="표준 4 2 2 2 5 2 2 2 3" xfId="42849"/>
    <cellStyle name="표준 4 2 2 2 5 2 2 3" xfId="42850"/>
    <cellStyle name="표준 4 2 2 2 5 2 2 4" xfId="42851"/>
    <cellStyle name="표준 4 2 2 2 5 2 2 5" xfId="42852"/>
    <cellStyle name="표준 4 2 2 2 5 2 3" xfId="42853"/>
    <cellStyle name="표준 4 2 2 2 5 2 3 2" xfId="42854"/>
    <cellStyle name="표준 4 2 2 2 5 2 3 3" xfId="42855"/>
    <cellStyle name="표준 4 2 2 2 5 2 4" xfId="42856"/>
    <cellStyle name="표준 4 2 2 2 5 2 5" xfId="42857"/>
    <cellStyle name="표준 4 2 2 2 5 2 6" xfId="42858"/>
    <cellStyle name="표준 4 2 2 2 5 3" xfId="42859"/>
    <cellStyle name="표준 4 2 2 2 5 3 2" xfId="42860"/>
    <cellStyle name="표준 4 2 2 2 5 3 2 2" xfId="42861"/>
    <cellStyle name="표준 4 2 2 2 5 3 2 2 2" xfId="42862"/>
    <cellStyle name="표준 4 2 2 2 5 3 2 2 3" xfId="42863"/>
    <cellStyle name="표준 4 2 2 2 5 3 2 3" xfId="42864"/>
    <cellStyle name="표준 4 2 2 2 5 3 2 4" xfId="42865"/>
    <cellStyle name="표준 4 2 2 2 5 3 2 5" xfId="42866"/>
    <cellStyle name="표준 4 2 2 2 5 3 3" xfId="42867"/>
    <cellStyle name="표준 4 2 2 2 5 4" xfId="42868"/>
    <cellStyle name="표준 4 2 2 2 5 4 2" xfId="42869"/>
    <cellStyle name="표준 4 2 2 2 5 4 2 2" xfId="42870"/>
    <cellStyle name="표준 4 2 2 2 5 4 2 2 2" xfId="42871"/>
    <cellStyle name="표준 4 2 2 2 5 4 2 2 3" xfId="42872"/>
    <cellStyle name="표준 4 2 2 2 5 4 2 3" xfId="42873"/>
    <cellStyle name="표준 4 2 2 2 5 4 2 4" xfId="42874"/>
    <cellStyle name="표준 4 2 2 2 5 4 2 5" xfId="42875"/>
    <cellStyle name="표준 4 2 2 2 5 4 3" xfId="42876"/>
    <cellStyle name="표준 4 2 2 2 5 5" xfId="42877"/>
    <cellStyle name="표준 4 2 2 2 5 6" xfId="42878"/>
    <cellStyle name="표준 4 2 2 2 5 7" xfId="42879"/>
    <cellStyle name="표준 4 2 2 2 5 8" xfId="42880"/>
    <cellStyle name="표준 4 2 2 2 5 9" xfId="42881"/>
    <cellStyle name="표준 4 2 2 2 6" xfId="42882"/>
    <cellStyle name="표준 4 2 2 2 6 2" xfId="42883"/>
    <cellStyle name="표준 4 2 2 2 6 2 2" xfId="42884"/>
    <cellStyle name="표준 4 2 2 2 6 2 2 2" xfId="42885"/>
    <cellStyle name="표준 4 2 2 2 6 2 2 3" xfId="42886"/>
    <cellStyle name="표준 4 2 2 2 6 2 3" xfId="42887"/>
    <cellStyle name="표준 4 2 2 2 6 2 4" xfId="42888"/>
    <cellStyle name="표준 4 2 2 2 6 2 5" xfId="42889"/>
    <cellStyle name="표준 4 2 2 2 6 3" xfId="42890"/>
    <cellStyle name="표준 4 2 2 2 6 3 2" xfId="42891"/>
    <cellStyle name="표준 4 2 2 2 6 3 3" xfId="42892"/>
    <cellStyle name="표준 4 2 2 2 6 4" xfId="42893"/>
    <cellStyle name="표준 4 2 2 2 6 5" xfId="42894"/>
    <cellStyle name="표준 4 2 2 2 6 6" xfId="42895"/>
    <cellStyle name="표준 4 2 2 2 7" xfId="42896"/>
    <cellStyle name="표준 4 2 2 2 7 2" xfId="42897"/>
    <cellStyle name="표준 4 2 2 2 7 2 2" xfId="42898"/>
    <cellStyle name="표준 4 2 2 2 7 2 2 2" xfId="42899"/>
    <cellStyle name="표준 4 2 2 2 7 2 2 3" xfId="42900"/>
    <cellStyle name="표준 4 2 2 2 7 2 3" xfId="42901"/>
    <cellStyle name="표준 4 2 2 2 7 2 4" xfId="42902"/>
    <cellStyle name="표준 4 2 2 2 7 2 5" xfId="42903"/>
    <cellStyle name="표준 4 2 2 2 7 3" xfId="42904"/>
    <cellStyle name="표준 4 2 2 2 8" xfId="42905"/>
    <cellStyle name="표준 4 2 2 2 8 2" xfId="42906"/>
    <cellStyle name="표준 4 2 2 2 8 2 2" xfId="42907"/>
    <cellStyle name="표준 4 2 2 2 8 2 2 2" xfId="42908"/>
    <cellStyle name="표준 4 2 2 2 8 2 2 3" xfId="42909"/>
    <cellStyle name="표준 4 2 2 2 8 2 3" xfId="42910"/>
    <cellStyle name="표준 4 2 2 2 8 2 4" xfId="42911"/>
    <cellStyle name="표준 4 2 2 2 8 2 5" xfId="42912"/>
    <cellStyle name="표준 4 2 2 2 8 3" xfId="42913"/>
    <cellStyle name="표준 4 2 2 2 9" xfId="42914"/>
    <cellStyle name="표준 4 2 2 20" xfId="42915"/>
    <cellStyle name="표준 4 2 2 21" xfId="42916"/>
    <cellStyle name="표준 4 2 2 21 2" xfId="42917"/>
    <cellStyle name="표준 4 2 2 21 3" xfId="42918"/>
    <cellStyle name="표준 4 2 2 22" xfId="42919"/>
    <cellStyle name="표준 4 2 2 23" xfId="42920"/>
    <cellStyle name="표준 4 2 2 24" xfId="42921"/>
    <cellStyle name="표준 4 2 2 3" xfId="42922"/>
    <cellStyle name="표준 4 2 2 3 10" xfId="42923"/>
    <cellStyle name="표준 4 2 2 3 11" xfId="42924"/>
    <cellStyle name="표준 4 2 2 3 12" xfId="42925"/>
    <cellStyle name="표준 4 2 2 3 13" xfId="42926"/>
    <cellStyle name="표준 4 2 2 3 14" xfId="42927"/>
    <cellStyle name="표준 4 2 2 3 15" xfId="42928"/>
    <cellStyle name="표준 4 2 2 3 16" xfId="42929"/>
    <cellStyle name="표준 4 2 2 3 17" xfId="42930"/>
    <cellStyle name="표준 4 2 2 3 18" xfId="42931"/>
    <cellStyle name="표준 4 2 2 3 19" xfId="42932"/>
    <cellStyle name="표준 4 2 2 3 19 2" xfId="42933"/>
    <cellStyle name="표준 4 2 2 3 19 3" xfId="42934"/>
    <cellStyle name="표준 4 2 2 3 2" xfId="42935"/>
    <cellStyle name="표준 4 2 2 3 2 10" xfId="42936"/>
    <cellStyle name="표준 4 2 2 3 2 11" xfId="42937"/>
    <cellStyle name="표준 4 2 2 3 2 12" xfId="42938"/>
    <cellStyle name="표준 4 2 2 3 2 13" xfId="42939"/>
    <cellStyle name="표준 4 2 2 3 2 14" xfId="42940"/>
    <cellStyle name="표준 4 2 2 3 2 15" xfId="42941"/>
    <cellStyle name="표준 4 2 2 3 2 16" xfId="42942"/>
    <cellStyle name="표준 4 2 2 3 2 17" xfId="42943"/>
    <cellStyle name="표준 4 2 2 3 2 17 2" xfId="42944"/>
    <cellStyle name="표준 4 2 2 3 2 17 3" xfId="42945"/>
    <cellStyle name="표준 4 2 2 3 2 18" xfId="42946"/>
    <cellStyle name="표준 4 2 2 3 2 19" xfId="42947"/>
    <cellStyle name="표준 4 2 2 3 2 2" xfId="42948"/>
    <cellStyle name="표준 4 2 2 3 2 2 10" xfId="42949"/>
    <cellStyle name="표준 4 2 2 3 2 2 11" xfId="42950"/>
    <cellStyle name="표준 4 2 2 3 2 2 12" xfId="42951"/>
    <cellStyle name="표준 4 2 2 3 2 2 13" xfId="42952"/>
    <cellStyle name="표준 4 2 2 3 2 2 14" xfId="42953"/>
    <cellStyle name="표준 4 2 2 3 2 2 15" xfId="42954"/>
    <cellStyle name="표준 4 2 2 3 2 2 16" xfId="42955"/>
    <cellStyle name="표준 4 2 2 3 2 2 16 2" xfId="42956"/>
    <cellStyle name="표준 4 2 2 3 2 2 16 3" xfId="42957"/>
    <cellStyle name="표준 4 2 2 3 2 2 17" xfId="42958"/>
    <cellStyle name="표준 4 2 2 3 2 2 18" xfId="42959"/>
    <cellStyle name="표준 4 2 2 3 2 2 19" xfId="42960"/>
    <cellStyle name="표준 4 2 2 3 2 2 2" xfId="42961"/>
    <cellStyle name="표준 4 2 2 3 2 2 2 2" xfId="42962"/>
    <cellStyle name="표준 4 2 2 3 2 2 2 2 2" xfId="42963"/>
    <cellStyle name="표준 4 2 2 3 2 2 2 2 2 2" xfId="42964"/>
    <cellStyle name="표준 4 2 2 3 2 2 2 2 2 3" xfId="42965"/>
    <cellStyle name="표준 4 2 2 3 2 2 2 2 3" xfId="42966"/>
    <cellStyle name="표준 4 2 2 3 2 2 2 2 4" xfId="42967"/>
    <cellStyle name="표준 4 2 2 3 2 2 2 2 5" xfId="42968"/>
    <cellStyle name="표준 4 2 2 3 2 2 2 3" xfId="42969"/>
    <cellStyle name="표준 4 2 2 3 2 2 2 3 2" xfId="42970"/>
    <cellStyle name="표준 4 2 2 3 2 2 2 3 3" xfId="42971"/>
    <cellStyle name="표준 4 2 2 3 2 2 2 4" xfId="42972"/>
    <cellStyle name="표준 4 2 2 3 2 2 2 5" xfId="42973"/>
    <cellStyle name="표준 4 2 2 3 2 2 2 6" xfId="42974"/>
    <cellStyle name="표준 4 2 2 3 2 2 3" xfId="42975"/>
    <cellStyle name="표준 4 2 2 3 2 2 3 2" xfId="42976"/>
    <cellStyle name="표준 4 2 2 3 2 2 3 2 2" xfId="42977"/>
    <cellStyle name="표준 4 2 2 3 2 2 3 2 2 2" xfId="42978"/>
    <cellStyle name="표준 4 2 2 3 2 2 3 2 2 3" xfId="42979"/>
    <cellStyle name="표준 4 2 2 3 2 2 3 2 3" xfId="42980"/>
    <cellStyle name="표준 4 2 2 3 2 2 3 2 4" xfId="42981"/>
    <cellStyle name="표준 4 2 2 3 2 2 3 2 5" xfId="42982"/>
    <cellStyle name="표준 4 2 2 3 2 2 3 3" xfId="42983"/>
    <cellStyle name="표준 4 2 2 3 2 2 4" xfId="42984"/>
    <cellStyle name="표준 4 2 2 3 2 2 4 2" xfId="42985"/>
    <cellStyle name="표준 4 2 2 3 2 2 4 2 2" xfId="42986"/>
    <cellStyle name="표준 4 2 2 3 2 2 4 2 2 2" xfId="42987"/>
    <cellStyle name="표준 4 2 2 3 2 2 4 2 2 3" xfId="42988"/>
    <cellStyle name="표준 4 2 2 3 2 2 4 2 3" xfId="42989"/>
    <cellStyle name="표준 4 2 2 3 2 2 4 2 4" xfId="42990"/>
    <cellStyle name="표준 4 2 2 3 2 2 4 2 5" xfId="42991"/>
    <cellStyle name="표준 4 2 2 3 2 2 4 3" xfId="42992"/>
    <cellStyle name="표준 4 2 2 3 2 2 5" xfId="42993"/>
    <cellStyle name="표준 4 2 2 3 2 2 6" xfId="42994"/>
    <cellStyle name="표준 4 2 2 3 2 2 7" xfId="42995"/>
    <cellStyle name="표준 4 2 2 3 2 2 8" xfId="42996"/>
    <cellStyle name="표준 4 2 2 3 2 2 9" xfId="42997"/>
    <cellStyle name="표준 4 2 2 3 2 20" xfId="42998"/>
    <cellStyle name="표준 4 2 2 3 2 3" xfId="42999"/>
    <cellStyle name="표준 4 2 2 3 2 3 2" xfId="43000"/>
    <cellStyle name="표준 4 2 2 3 2 3 2 2" xfId="43001"/>
    <cellStyle name="표준 4 2 2 3 2 3 2 2 2" xfId="43002"/>
    <cellStyle name="표준 4 2 2 3 2 3 2 2 3" xfId="43003"/>
    <cellStyle name="표준 4 2 2 3 2 3 2 3" xfId="43004"/>
    <cellStyle name="표준 4 2 2 3 2 3 2 4" xfId="43005"/>
    <cellStyle name="표준 4 2 2 3 2 3 2 5" xfId="43006"/>
    <cellStyle name="표준 4 2 2 3 2 3 3" xfId="43007"/>
    <cellStyle name="표준 4 2 2 3 2 3 3 2" xfId="43008"/>
    <cellStyle name="표준 4 2 2 3 2 3 3 3" xfId="43009"/>
    <cellStyle name="표준 4 2 2 3 2 3 4" xfId="43010"/>
    <cellStyle name="표준 4 2 2 3 2 3 5" xfId="43011"/>
    <cellStyle name="표준 4 2 2 3 2 3 6" xfId="43012"/>
    <cellStyle name="표준 4 2 2 3 2 4" xfId="43013"/>
    <cellStyle name="표준 4 2 2 3 2 4 2" xfId="43014"/>
    <cellStyle name="표준 4 2 2 3 2 4 2 2" xfId="43015"/>
    <cellStyle name="표준 4 2 2 3 2 4 2 2 2" xfId="43016"/>
    <cellStyle name="표준 4 2 2 3 2 4 2 2 3" xfId="43017"/>
    <cellStyle name="표준 4 2 2 3 2 4 2 3" xfId="43018"/>
    <cellStyle name="표준 4 2 2 3 2 4 2 4" xfId="43019"/>
    <cellStyle name="표준 4 2 2 3 2 4 2 5" xfId="43020"/>
    <cellStyle name="표준 4 2 2 3 2 4 3" xfId="43021"/>
    <cellStyle name="표준 4 2 2 3 2 5" xfId="43022"/>
    <cellStyle name="표준 4 2 2 3 2 5 2" xfId="43023"/>
    <cellStyle name="표준 4 2 2 3 2 5 2 2" xfId="43024"/>
    <cellStyle name="표준 4 2 2 3 2 5 2 2 2" xfId="43025"/>
    <cellStyle name="표준 4 2 2 3 2 5 2 2 3" xfId="43026"/>
    <cellStyle name="표준 4 2 2 3 2 5 2 3" xfId="43027"/>
    <cellStyle name="표준 4 2 2 3 2 5 2 4" xfId="43028"/>
    <cellStyle name="표준 4 2 2 3 2 5 2 5" xfId="43029"/>
    <cellStyle name="표준 4 2 2 3 2 5 3" xfId="43030"/>
    <cellStyle name="표준 4 2 2 3 2 6" xfId="43031"/>
    <cellStyle name="표준 4 2 2 3 2 7" xfId="43032"/>
    <cellStyle name="표준 4 2 2 3 2 8" xfId="43033"/>
    <cellStyle name="표준 4 2 2 3 2 9" xfId="43034"/>
    <cellStyle name="표준 4 2 2 3 20" xfId="43035"/>
    <cellStyle name="표준 4 2 2 3 21" xfId="43036"/>
    <cellStyle name="표준 4 2 2 3 22" xfId="43037"/>
    <cellStyle name="표준 4 2 2 3 3" xfId="43038"/>
    <cellStyle name="표준 4 2 2 3 3 10" xfId="43039"/>
    <cellStyle name="표준 4 2 2 3 3 11" xfId="43040"/>
    <cellStyle name="표준 4 2 2 3 3 12" xfId="43041"/>
    <cellStyle name="표준 4 2 2 3 3 13" xfId="43042"/>
    <cellStyle name="표준 4 2 2 3 3 14" xfId="43043"/>
    <cellStyle name="표준 4 2 2 3 3 15" xfId="43044"/>
    <cellStyle name="표준 4 2 2 3 3 16" xfId="43045"/>
    <cellStyle name="표준 4 2 2 3 3 17" xfId="43046"/>
    <cellStyle name="표준 4 2 2 3 3 17 2" xfId="43047"/>
    <cellStyle name="표준 4 2 2 3 3 17 3" xfId="43048"/>
    <cellStyle name="표준 4 2 2 3 3 18" xfId="43049"/>
    <cellStyle name="표준 4 2 2 3 3 19" xfId="43050"/>
    <cellStyle name="표준 4 2 2 3 3 2" xfId="43051"/>
    <cellStyle name="표준 4 2 2 3 3 2 10" xfId="43052"/>
    <cellStyle name="표준 4 2 2 3 3 2 11" xfId="43053"/>
    <cellStyle name="표준 4 2 2 3 3 2 12" xfId="43054"/>
    <cellStyle name="표준 4 2 2 3 3 2 13" xfId="43055"/>
    <cellStyle name="표준 4 2 2 3 3 2 14" xfId="43056"/>
    <cellStyle name="표준 4 2 2 3 3 2 15" xfId="43057"/>
    <cellStyle name="표준 4 2 2 3 3 2 16" xfId="43058"/>
    <cellStyle name="표준 4 2 2 3 3 2 16 2" xfId="43059"/>
    <cellStyle name="표준 4 2 2 3 3 2 16 3" xfId="43060"/>
    <cellStyle name="표준 4 2 2 3 3 2 17" xfId="43061"/>
    <cellStyle name="표준 4 2 2 3 3 2 18" xfId="43062"/>
    <cellStyle name="표준 4 2 2 3 3 2 19" xfId="43063"/>
    <cellStyle name="표준 4 2 2 3 3 2 2" xfId="43064"/>
    <cellStyle name="표준 4 2 2 3 3 2 2 2" xfId="43065"/>
    <cellStyle name="표준 4 2 2 3 3 2 2 2 2" xfId="43066"/>
    <cellStyle name="표준 4 2 2 3 3 2 2 2 2 2" xfId="43067"/>
    <cellStyle name="표준 4 2 2 3 3 2 2 2 2 3" xfId="43068"/>
    <cellStyle name="표준 4 2 2 3 3 2 2 2 3" xfId="43069"/>
    <cellStyle name="표준 4 2 2 3 3 2 2 2 4" xfId="43070"/>
    <cellStyle name="표준 4 2 2 3 3 2 2 2 5" xfId="43071"/>
    <cellStyle name="표준 4 2 2 3 3 2 2 3" xfId="43072"/>
    <cellStyle name="표준 4 2 2 3 3 2 2 3 2" xfId="43073"/>
    <cellStyle name="표준 4 2 2 3 3 2 2 3 3" xfId="43074"/>
    <cellStyle name="표준 4 2 2 3 3 2 2 4" xfId="43075"/>
    <cellStyle name="표준 4 2 2 3 3 2 2 5" xfId="43076"/>
    <cellStyle name="표준 4 2 2 3 3 2 2 6" xfId="43077"/>
    <cellStyle name="표준 4 2 2 3 3 2 3" xfId="43078"/>
    <cellStyle name="표준 4 2 2 3 3 2 3 2" xfId="43079"/>
    <cellStyle name="표준 4 2 2 3 3 2 3 2 2" xfId="43080"/>
    <cellStyle name="표준 4 2 2 3 3 2 3 2 2 2" xfId="43081"/>
    <cellStyle name="표준 4 2 2 3 3 2 3 2 2 3" xfId="43082"/>
    <cellStyle name="표준 4 2 2 3 3 2 3 2 3" xfId="43083"/>
    <cellStyle name="표준 4 2 2 3 3 2 3 2 4" xfId="43084"/>
    <cellStyle name="표준 4 2 2 3 3 2 3 2 5" xfId="43085"/>
    <cellStyle name="표준 4 2 2 3 3 2 3 3" xfId="43086"/>
    <cellStyle name="표준 4 2 2 3 3 2 4" xfId="43087"/>
    <cellStyle name="표준 4 2 2 3 3 2 4 2" xfId="43088"/>
    <cellStyle name="표준 4 2 2 3 3 2 4 2 2" xfId="43089"/>
    <cellStyle name="표준 4 2 2 3 3 2 4 2 2 2" xfId="43090"/>
    <cellStyle name="표준 4 2 2 3 3 2 4 2 2 3" xfId="43091"/>
    <cellStyle name="표준 4 2 2 3 3 2 4 2 3" xfId="43092"/>
    <cellStyle name="표준 4 2 2 3 3 2 4 2 4" xfId="43093"/>
    <cellStyle name="표준 4 2 2 3 3 2 4 2 5" xfId="43094"/>
    <cellStyle name="표준 4 2 2 3 3 2 4 3" xfId="43095"/>
    <cellStyle name="표준 4 2 2 3 3 2 5" xfId="43096"/>
    <cellStyle name="표준 4 2 2 3 3 2 6" xfId="43097"/>
    <cellStyle name="표준 4 2 2 3 3 2 7" xfId="43098"/>
    <cellStyle name="표준 4 2 2 3 3 2 8" xfId="43099"/>
    <cellStyle name="표준 4 2 2 3 3 2 9" xfId="43100"/>
    <cellStyle name="표준 4 2 2 3 3 20" xfId="43101"/>
    <cellStyle name="표준 4 2 2 3 3 3" xfId="43102"/>
    <cellStyle name="표준 4 2 2 3 3 3 2" xfId="43103"/>
    <cellStyle name="표준 4 2 2 3 3 3 2 2" xfId="43104"/>
    <cellStyle name="표준 4 2 2 3 3 3 2 2 2" xfId="43105"/>
    <cellStyle name="표준 4 2 2 3 3 3 2 2 3" xfId="43106"/>
    <cellStyle name="표준 4 2 2 3 3 3 2 3" xfId="43107"/>
    <cellStyle name="표준 4 2 2 3 3 3 2 4" xfId="43108"/>
    <cellStyle name="표준 4 2 2 3 3 3 2 5" xfId="43109"/>
    <cellStyle name="표준 4 2 2 3 3 3 3" xfId="43110"/>
    <cellStyle name="표준 4 2 2 3 3 3 3 2" xfId="43111"/>
    <cellStyle name="표준 4 2 2 3 3 3 3 3" xfId="43112"/>
    <cellStyle name="표준 4 2 2 3 3 3 4" xfId="43113"/>
    <cellStyle name="표준 4 2 2 3 3 3 5" xfId="43114"/>
    <cellStyle name="표준 4 2 2 3 3 3 6" xfId="43115"/>
    <cellStyle name="표준 4 2 2 3 3 4" xfId="43116"/>
    <cellStyle name="표준 4 2 2 3 3 4 2" xfId="43117"/>
    <cellStyle name="표준 4 2 2 3 3 4 2 2" xfId="43118"/>
    <cellStyle name="표준 4 2 2 3 3 4 2 2 2" xfId="43119"/>
    <cellStyle name="표준 4 2 2 3 3 4 2 2 3" xfId="43120"/>
    <cellStyle name="표준 4 2 2 3 3 4 2 3" xfId="43121"/>
    <cellStyle name="표준 4 2 2 3 3 4 2 4" xfId="43122"/>
    <cellStyle name="표준 4 2 2 3 3 4 2 5" xfId="43123"/>
    <cellStyle name="표준 4 2 2 3 3 4 3" xfId="43124"/>
    <cellStyle name="표준 4 2 2 3 3 5" xfId="43125"/>
    <cellStyle name="표준 4 2 2 3 3 5 2" xfId="43126"/>
    <cellStyle name="표준 4 2 2 3 3 5 2 2" xfId="43127"/>
    <cellStyle name="표준 4 2 2 3 3 5 2 2 2" xfId="43128"/>
    <cellStyle name="표준 4 2 2 3 3 5 2 2 3" xfId="43129"/>
    <cellStyle name="표준 4 2 2 3 3 5 2 3" xfId="43130"/>
    <cellStyle name="표준 4 2 2 3 3 5 2 4" xfId="43131"/>
    <cellStyle name="표준 4 2 2 3 3 5 2 5" xfId="43132"/>
    <cellStyle name="표준 4 2 2 3 3 5 3" xfId="43133"/>
    <cellStyle name="표준 4 2 2 3 3 6" xfId="43134"/>
    <cellStyle name="표준 4 2 2 3 3 7" xfId="43135"/>
    <cellStyle name="표준 4 2 2 3 3 8" xfId="43136"/>
    <cellStyle name="표준 4 2 2 3 3 9" xfId="43137"/>
    <cellStyle name="표준 4 2 2 3 4" xfId="43138"/>
    <cellStyle name="표준 4 2 2 3 4 10" xfId="43139"/>
    <cellStyle name="표준 4 2 2 3 4 11" xfId="43140"/>
    <cellStyle name="표준 4 2 2 3 4 12" xfId="43141"/>
    <cellStyle name="표준 4 2 2 3 4 13" xfId="43142"/>
    <cellStyle name="표준 4 2 2 3 4 14" xfId="43143"/>
    <cellStyle name="표준 4 2 2 3 4 15" xfId="43144"/>
    <cellStyle name="표준 4 2 2 3 4 16" xfId="43145"/>
    <cellStyle name="표준 4 2 2 3 4 16 2" xfId="43146"/>
    <cellStyle name="표준 4 2 2 3 4 16 3" xfId="43147"/>
    <cellStyle name="표준 4 2 2 3 4 17" xfId="43148"/>
    <cellStyle name="표준 4 2 2 3 4 18" xfId="43149"/>
    <cellStyle name="표준 4 2 2 3 4 19" xfId="43150"/>
    <cellStyle name="표준 4 2 2 3 4 2" xfId="43151"/>
    <cellStyle name="표준 4 2 2 3 4 2 2" xfId="43152"/>
    <cellStyle name="표준 4 2 2 3 4 2 2 2" xfId="43153"/>
    <cellStyle name="표준 4 2 2 3 4 2 2 2 2" xfId="43154"/>
    <cellStyle name="표준 4 2 2 3 4 2 2 2 3" xfId="43155"/>
    <cellStyle name="표준 4 2 2 3 4 2 2 3" xfId="43156"/>
    <cellStyle name="표준 4 2 2 3 4 2 2 4" xfId="43157"/>
    <cellStyle name="표준 4 2 2 3 4 2 2 5" xfId="43158"/>
    <cellStyle name="표준 4 2 2 3 4 2 3" xfId="43159"/>
    <cellStyle name="표준 4 2 2 3 4 2 3 2" xfId="43160"/>
    <cellStyle name="표준 4 2 2 3 4 2 3 3" xfId="43161"/>
    <cellStyle name="표준 4 2 2 3 4 2 4" xfId="43162"/>
    <cellStyle name="표준 4 2 2 3 4 2 5" xfId="43163"/>
    <cellStyle name="표준 4 2 2 3 4 2 6" xfId="43164"/>
    <cellStyle name="표준 4 2 2 3 4 3" xfId="43165"/>
    <cellStyle name="표준 4 2 2 3 4 3 2" xfId="43166"/>
    <cellStyle name="표준 4 2 2 3 4 3 2 2" xfId="43167"/>
    <cellStyle name="표준 4 2 2 3 4 3 2 2 2" xfId="43168"/>
    <cellStyle name="표준 4 2 2 3 4 3 2 2 3" xfId="43169"/>
    <cellStyle name="표준 4 2 2 3 4 3 2 3" xfId="43170"/>
    <cellStyle name="표준 4 2 2 3 4 3 2 4" xfId="43171"/>
    <cellStyle name="표준 4 2 2 3 4 3 2 5" xfId="43172"/>
    <cellStyle name="표준 4 2 2 3 4 3 3" xfId="43173"/>
    <cellStyle name="표준 4 2 2 3 4 4" xfId="43174"/>
    <cellStyle name="표준 4 2 2 3 4 4 2" xfId="43175"/>
    <cellStyle name="표준 4 2 2 3 4 4 2 2" xfId="43176"/>
    <cellStyle name="표준 4 2 2 3 4 4 2 2 2" xfId="43177"/>
    <cellStyle name="표준 4 2 2 3 4 4 2 2 3" xfId="43178"/>
    <cellStyle name="표준 4 2 2 3 4 4 2 3" xfId="43179"/>
    <cellStyle name="표준 4 2 2 3 4 4 2 4" xfId="43180"/>
    <cellStyle name="표준 4 2 2 3 4 4 2 5" xfId="43181"/>
    <cellStyle name="표준 4 2 2 3 4 4 3" xfId="43182"/>
    <cellStyle name="표준 4 2 2 3 4 5" xfId="43183"/>
    <cellStyle name="표준 4 2 2 3 4 6" xfId="43184"/>
    <cellStyle name="표준 4 2 2 3 4 7" xfId="43185"/>
    <cellStyle name="표준 4 2 2 3 4 8" xfId="43186"/>
    <cellStyle name="표준 4 2 2 3 4 9" xfId="43187"/>
    <cellStyle name="표준 4 2 2 3 5" xfId="43188"/>
    <cellStyle name="표준 4 2 2 3 5 2" xfId="43189"/>
    <cellStyle name="표준 4 2 2 3 5 2 2" xfId="43190"/>
    <cellStyle name="표준 4 2 2 3 5 2 2 2" xfId="43191"/>
    <cellStyle name="표준 4 2 2 3 5 2 2 3" xfId="43192"/>
    <cellStyle name="표준 4 2 2 3 5 2 3" xfId="43193"/>
    <cellStyle name="표준 4 2 2 3 5 2 4" xfId="43194"/>
    <cellStyle name="표준 4 2 2 3 5 2 5" xfId="43195"/>
    <cellStyle name="표준 4 2 2 3 5 3" xfId="43196"/>
    <cellStyle name="표준 4 2 2 3 5 3 2" xfId="43197"/>
    <cellStyle name="표준 4 2 2 3 5 3 3" xfId="43198"/>
    <cellStyle name="표준 4 2 2 3 5 4" xfId="43199"/>
    <cellStyle name="표준 4 2 2 3 5 5" xfId="43200"/>
    <cellStyle name="표준 4 2 2 3 5 6" xfId="43201"/>
    <cellStyle name="표준 4 2 2 3 6" xfId="43202"/>
    <cellStyle name="표준 4 2 2 3 6 2" xfId="43203"/>
    <cellStyle name="표준 4 2 2 3 6 2 2" xfId="43204"/>
    <cellStyle name="표준 4 2 2 3 6 2 2 2" xfId="43205"/>
    <cellStyle name="표준 4 2 2 3 6 2 2 3" xfId="43206"/>
    <cellStyle name="표준 4 2 2 3 6 2 3" xfId="43207"/>
    <cellStyle name="표준 4 2 2 3 6 2 4" xfId="43208"/>
    <cellStyle name="표준 4 2 2 3 6 2 5" xfId="43209"/>
    <cellStyle name="표준 4 2 2 3 6 3" xfId="43210"/>
    <cellStyle name="표준 4 2 2 3 7" xfId="43211"/>
    <cellStyle name="표준 4 2 2 3 7 2" xfId="43212"/>
    <cellStyle name="표준 4 2 2 3 7 2 2" xfId="43213"/>
    <cellStyle name="표준 4 2 2 3 7 2 2 2" xfId="43214"/>
    <cellStyle name="표준 4 2 2 3 7 2 2 3" xfId="43215"/>
    <cellStyle name="표준 4 2 2 3 7 2 3" xfId="43216"/>
    <cellStyle name="표준 4 2 2 3 7 2 4" xfId="43217"/>
    <cellStyle name="표준 4 2 2 3 7 2 5" xfId="43218"/>
    <cellStyle name="표준 4 2 2 3 7 3" xfId="43219"/>
    <cellStyle name="표준 4 2 2 3 8" xfId="43220"/>
    <cellStyle name="표준 4 2 2 3 9" xfId="43221"/>
    <cellStyle name="표준 4 2 2 4" xfId="43222"/>
    <cellStyle name="표준 4 2 2 4 10" xfId="43223"/>
    <cellStyle name="표준 4 2 2 4 11" xfId="43224"/>
    <cellStyle name="표준 4 2 2 4 12" xfId="43225"/>
    <cellStyle name="표준 4 2 2 4 13" xfId="43226"/>
    <cellStyle name="표준 4 2 2 4 14" xfId="43227"/>
    <cellStyle name="표준 4 2 2 4 15" xfId="43228"/>
    <cellStyle name="표준 4 2 2 4 16" xfId="43229"/>
    <cellStyle name="표준 4 2 2 4 17" xfId="43230"/>
    <cellStyle name="표준 4 2 2 4 17 2" xfId="43231"/>
    <cellStyle name="표준 4 2 2 4 17 3" xfId="43232"/>
    <cellStyle name="표준 4 2 2 4 18" xfId="43233"/>
    <cellStyle name="표준 4 2 2 4 19" xfId="43234"/>
    <cellStyle name="표준 4 2 2 4 2" xfId="43235"/>
    <cellStyle name="표준 4 2 2 4 2 10" xfId="43236"/>
    <cellStyle name="표준 4 2 2 4 2 11" xfId="43237"/>
    <cellStyle name="표준 4 2 2 4 2 12" xfId="43238"/>
    <cellStyle name="표준 4 2 2 4 2 13" xfId="43239"/>
    <cellStyle name="표준 4 2 2 4 2 14" xfId="43240"/>
    <cellStyle name="표준 4 2 2 4 2 15" xfId="43241"/>
    <cellStyle name="표준 4 2 2 4 2 16" xfId="43242"/>
    <cellStyle name="표준 4 2 2 4 2 16 2" xfId="43243"/>
    <cellStyle name="표준 4 2 2 4 2 16 3" xfId="43244"/>
    <cellStyle name="표준 4 2 2 4 2 17" xfId="43245"/>
    <cellStyle name="표준 4 2 2 4 2 18" xfId="43246"/>
    <cellStyle name="표준 4 2 2 4 2 19" xfId="43247"/>
    <cellStyle name="표준 4 2 2 4 2 2" xfId="43248"/>
    <cellStyle name="표준 4 2 2 4 2 2 2" xfId="43249"/>
    <cellStyle name="표준 4 2 2 4 2 2 2 2" xfId="43250"/>
    <cellStyle name="표준 4 2 2 4 2 2 2 2 2" xfId="43251"/>
    <cellStyle name="표준 4 2 2 4 2 2 2 2 3" xfId="43252"/>
    <cellStyle name="표준 4 2 2 4 2 2 2 3" xfId="43253"/>
    <cellStyle name="표준 4 2 2 4 2 2 2 4" xfId="43254"/>
    <cellStyle name="표준 4 2 2 4 2 2 2 5" xfId="43255"/>
    <cellStyle name="표준 4 2 2 4 2 2 3" xfId="43256"/>
    <cellStyle name="표준 4 2 2 4 2 2 3 2" xfId="43257"/>
    <cellStyle name="표준 4 2 2 4 2 2 3 3" xfId="43258"/>
    <cellStyle name="표준 4 2 2 4 2 2 4" xfId="43259"/>
    <cellStyle name="표준 4 2 2 4 2 2 5" xfId="43260"/>
    <cellStyle name="표준 4 2 2 4 2 2 6" xfId="43261"/>
    <cellStyle name="표준 4 2 2 4 2 3" xfId="43262"/>
    <cellStyle name="표준 4 2 2 4 2 3 2" xfId="43263"/>
    <cellStyle name="표준 4 2 2 4 2 3 2 2" xfId="43264"/>
    <cellStyle name="표준 4 2 2 4 2 3 2 2 2" xfId="43265"/>
    <cellStyle name="표준 4 2 2 4 2 3 2 2 3" xfId="43266"/>
    <cellStyle name="표준 4 2 2 4 2 3 2 3" xfId="43267"/>
    <cellStyle name="표준 4 2 2 4 2 3 2 4" xfId="43268"/>
    <cellStyle name="표준 4 2 2 4 2 3 2 5" xfId="43269"/>
    <cellStyle name="표준 4 2 2 4 2 3 3" xfId="43270"/>
    <cellStyle name="표준 4 2 2 4 2 4" xfId="43271"/>
    <cellStyle name="표준 4 2 2 4 2 4 2" xfId="43272"/>
    <cellStyle name="표준 4 2 2 4 2 4 2 2" xfId="43273"/>
    <cellStyle name="표준 4 2 2 4 2 4 2 2 2" xfId="43274"/>
    <cellStyle name="표준 4 2 2 4 2 4 2 2 3" xfId="43275"/>
    <cellStyle name="표준 4 2 2 4 2 4 2 3" xfId="43276"/>
    <cellStyle name="표준 4 2 2 4 2 4 2 4" xfId="43277"/>
    <cellStyle name="표준 4 2 2 4 2 4 2 5" xfId="43278"/>
    <cellStyle name="표준 4 2 2 4 2 4 3" xfId="43279"/>
    <cellStyle name="표준 4 2 2 4 2 5" xfId="43280"/>
    <cellStyle name="표준 4 2 2 4 2 6" xfId="43281"/>
    <cellStyle name="표준 4 2 2 4 2 7" xfId="43282"/>
    <cellStyle name="표준 4 2 2 4 2 8" xfId="43283"/>
    <cellStyle name="표준 4 2 2 4 2 9" xfId="43284"/>
    <cellStyle name="표준 4 2 2 4 20" xfId="43285"/>
    <cellStyle name="표준 4 2 2 4 3" xfId="43286"/>
    <cellStyle name="표준 4 2 2 4 3 2" xfId="43287"/>
    <cellStyle name="표준 4 2 2 4 3 2 2" xfId="43288"/>
    <cellStyle name="표준 4 2 2 4 3 2 2 2" xfId="43289"/>
    <cellStyle name="표준 4 2 2 4 3 2 2 3" xfId="43290"/>
    <cellStyle name="표준 4 2 2 4 3 2 3" xfId="43291"/>
    <cellStyle name="표준 4 2 2 4 3 2 4" xfId="43292"/>
    <cellStyle name="표준 4 2 2 4 3 2 5" xfId="43293"/>
    <cellStyle name="표준 4 2 2 4 3 3" xfId="43294"/>
    <cellStyle name="표준 4 2 2 4 3 3 2" xfId="43295"/>
    <cellStyle name="표준 4 2 2 4 3 3 3" xfId="43296"/>
    <cellStyle name="표준 4 2 2 4 3 4" xfId="43297"/>
    <cellStyle name="표준 4 2 2 4 3 5" xfId="43298"/>
    <cellStyle name="표준 4 2 2 4 3 6" xfId="43299"/>
    <cellStyle name="표준 4 2 2 4 4" xfId="43300"/>
    <cellStyle name="표준 4 2 2 4 4 2" xfId="43301"/>
    <cellStyle name="표준 4 2 2 4 4 2 2" xfId="43302"/>
    <cellStyle name="표준 4 2 2 4 4 2 2 2" xfId="43303"/>
    <cellStyle name="표준 4 2 2 4 4 2 2 3" xfId="43304"/>
    <cellStyle name="표준 4 2 2 4 4 2 3" xfId="43305"/>
    <cellStyle name="표준 4 2 2 4 4 2 4" xfId="43306"/>
    <cellStyle name="표준 4 2 2 4 4 2 5" xfId="43307"/>
    <cellStyle name="표준 4 2 2 4 4 3" xfId="43308"/>
    <cellStyle name="표준 4 2 2 4 5" xfId="43309"/>
    <cellStyle name="표준 4 2 2 4 5 2" xfId="43310"/>
    <cellStyle name="표준 4 2 2 4 5 2 2" xfId="43311"/>
    <cellStyle name="표준 4 2 2 4 5 2 2 2" xfId="43312"/>
    <cellStyle name="표준 4 2 2 4 5 2 2 3" xfId="43313"/>
    <cellStyle name="표준 4 2 2 4 5 2 3" xfId="43314"/>
    <cellStyle name="표준 4 2 2 4 5 2 4" xfId="43315"/>
    <cellStyle name="표준 4 2 2 4 5 2 5" xfId="43316"/>
    <cellStyle name="표준 4 2 2 4 5 3" xfId="43317"/>
    <cellStyle name="표준 4 2 2 4 6" xfId="43318"/>
    <cellStyle name="표준 4 2 2 4 7" xfId="43319"/>
    <cellStyle name="표준 4 2 2 4 8" xfId="43320"/>
    <cellStyle name="표준 4 2 2 4 9" xfId="43321"/>
    <cellStyle name="표준 4 2 2 5" xfId="43322"/>
    <cellStyle name="표준 4 2 2 5 10" xfId="43323"/>
    <cellStyle name="표준 4 2 2 5 11" xfId="43324"/>
    <cellStyle name="표준 4 2 2 5 12" xfId="43325"/>
    <cellStyle name="표준 4 2 2 5 13" xfId="43326"/>
    <cellStyle name="표준 4 2 2 5 14" xfId="43327"/>
    <cellStyle name="표준 4 2 2 5 15" xfId="43328"/>
    <cellStyle name="표준 4 2 2 5 16" xfId="43329"/>
    <cellStyle name="표준 4 2 2 5 17" xfId="43330"/>
    <cellStyle name="표준 4 2 2 5 17 2" xfId="43331"/>
    <cellStyle name="표준 4 2 2 5 17 3" xfId="43332"/>
    <cellStyle name="표준 4 2 2 5 18" xfId="43333"/>
    <cellStyle name="표준 4 2 2 5 19" xfId="43334"/>
    <cellStyle name="표준 4 2 2 5 2" xfId="43335"/>
    <cellStyle name="표준 4 2 2 5 2 10" xfId="43336"/>
    <cellStyle name="표준 4 2 2 5 2 11" xfId="43337"/>
    <cellStyle name="표준 4 2 2 5 2 12" xfId="43338"/>
    <cellStyle name="표준 4 2 2 5 2 13" xfId="43339"/>
    <cellStyle name="표준 4 2 2 5 2 14" xfId="43340"/>
    <cellStyle name="표준 4 2 2 5 2 15" xfId="43341"/>
    <cellStyle name="표준 4 2 2 5 2 16" xfId="43342"/>
    <cellStyle name="표준 4 2 2 5 2 16 2" xfId="43343"/>
    <cellStyle name="표준 4 2 2 5 2 16 3" xfId="43344"/>
    <cellStyle name="표준 4 2 2 5 2 17" xfId="43345"/>
    <cellStyle name="표준 4 2 2 5 2 18" xfId="43346"/>
    <cellStyle name="표준 4 2 2 5 2 19" xfId="43347"/>
    <cellStyle name="표준 4 2 2 5 2 2" xfId="43348"/>
    <cellStyle name="표준 4 2 2 5 2 2 2" xfId="43349"/>
    <cellStyle name="표준 4 2 2 5 2 2 2 2" xfId="43350"/>
    <cellStyle name="표준 4 2 2 5 2 2 2 2 2" xfId="43351"/>
    <cellStyle name="표준 4 2 2 5 2 2 2 2 3" xfId="43352"/>
    <cellStyle name="표준 4 2 2 5 2 2 2 3" xfId="43353"/>
    <cellStyle name="표준 4 2 2 5 2 2 2 4" xfId="43354"/>
    <cellStyle name="표준 4 2 2 5 2 2 2 5" xfId="43355"/>
    <cellStyle name="표준 4 2 2 5 2 2 3" xfId="43356"/>
    <cellStyle name="표준 4 2 2 5 2 2 3 2" xfId="43357"/>
    <cellStyle name="표준 4 2 2 5 2 2 3 3" xfId="43358"/>
    <cellStyle name="표준 4 2 2 5 2 2 4" xfId="43359"/>
    <cellStyle name="표준 4 2 2 5 2 2 5" xfId="43360"/>
    <cellStyle name="표준 4 2 2 5 2 2 6" xfId="43361"/>
    <cellStyle name="표준 4 2 2 5 2 3" xfId="43362"/>
    <cellStyle name="표준 4 2 2 5 2 3 2" xfId="43363"/>
    <cellStyle name="표준 4 2 2 5 2 3 2 2" xfId="43364"/>
    <cellStyle name="표준 4 2 2 5 2 3 2 2 2" xfId="43365"/>
    <cellStyle name="표준 4 2 2 5 2 3 2 2 3" xfId="43366"/>
    <cellStyle name="표준 4 2 2 5 2 3 2 3" xfId="43367"/>
    <cellStyle name="표준 4 2 2 5 2 3 2 4" xfId="43368"/>
    <cellStyle name="표준 4 2 2 5 2 3 2 5" xfId="43369"/>
    <cellStyle name="표준 4 2 2 5 2 3 3" xfId="43370"/>
    <cellStyle name="표준 4 2 2 5 2 4" xfId="43371"/>
    <cellStyle name="표준 4 2 2 5 2 4 2" xfId="43372"/>
    <cellStyle name="표준 4 2 2 5 2 4 2 2" xfId="43373"/>
    <cellStyle name="표준 4 2 2 5 2 4 2 2 2" xfId="43374"/>
    <cellStyle name="표준 4 2 2 5 2 4 2 2 3" xfId="43375"/>
    <cellStyle name="표준 4 2 2 5 2 4 2 3" xfId="43376"/>
    <cellStyle name="표준 4 2 2 5 2 4 2 4" xfId="43377"/>
    <cellStyle name="표준 4 2 2 5 2 4 2 5" xfId="43378"/>
    <cellStyle name="표준 4 2 2 5 2 4 3" xfId="43379"/>
    <cellStyle name="표준 4 2 2 5 2 5" xfId="43380"/>
    <cellStyle name="표준 4 2 2 5 2 6" xfId="43381"/>
    <cellStyle name="표준 4 2 2 5 2 7" xfId="43382"/>
    <cellStyle name="표준 4 2 2 5 2 8" xfId="43383"/>
    <cellStyle name="표준 4 2 2 5 2 9" xfId="43384"/>
    <cellStyle name="표준 4 2 2 5 20" xfId="43385"/>
    <cellStyle name="표준 4 2 2 5 3" xfId="43386"/>
    <cellStyle name="표준 4 2 2 5 3 2" xfId="43387"/>
    <cellStyle name="표준 4 2 2 5 3 2 2" xfId="43388"/>
    <cellStyle name="표준 4 2 2 5 3 2 2 2" xfId="43389"/>
    <cellStyle name="표준 4 2 2 5 3 2 2 3" xfId="43390"/>
    <cellStyle name="표준 4 2 2 5 3 2 3" xfId="43391"/>
    <cellStyle name="표준 4 2 2 5 3 2 4" xfId="43392"/>
    <cellStyle name="표준 4 2 2 5 3 2 5" xfId="43393"/>
    <cellStyle name="표준 4 2 2 5 3 3" xfId="43394"/>
    <cellStyle name="표준 4 2 2 5 3 3 2" xfId="43395"/>
    <cellStyle name="표준 4 2 2 5 3 3 3" xfId="43396"/>
    <cellStyle name="표준 4 2 2 5 3 4" xfId="43397"/>
    <cellStyle name="표준 4 2 2 5 3 5" xfId="43398"/>
    <cellStyle name="표준 4 2 2 5 3 6" xfId="43399"/>
    <cellStyle name="표준 4 2 2 5 4" xfId="43400"/>
    <cellStyle name="표준 4 2 2 5 4 2" xfId="43401"/>
    <cellStyle name="표준 4 2 2 5 4 2 2" xfId="43402"/>
    <cellStyle name="표준 4 2 2 5 4 2 2 2" xfId="43403"/>
    <cellStyle name="표준 4 2 2 5 4 2 2 3" xfId="43404"/>
    <cellStyle name="표준 4 2 2 5 4 2 3" xfId="43405"/>
    <cellStyle name="표준 4 2 2 5 4 2 4" xfId="43406"/>
    <cellStyle name="표준 4 2 2 5 4 2 5" xfId="43407"/>
    <cellStyle name="표준 4 2 2 5 4 3" xfId="43408"/>
    <cellStyle name="표준 4 2 2 5 5" xfId="43409"/>
    <cellStyle name="표준 4 2 2 5 5 2" xfId="43410"/>
    <cellStyle name="표준 4 2 2 5 5 2 2" xfId="43411"/>
    <cellStyle name="표준 4 2 2 5 5 2 2 2" xfId="43412"/>
    <cellStyle name="표준 4 2 2 5 5 2 2 3" xfId="43413"/>
    <cellStyle name="표준 4 2 2 5 5 2 3" xfId="43414"/>
    <cellStyle name="표준 4 2 2 5 5 2 4" xfId="43415"/>
    <cellStyle name="표준 4 2 2 5 5 2 5" xfId="43416"/>
    <cellStyle name="표준 4 2 2 5 5 3" xfId="43417"/>
    <cellStyle name="표준 4 2 2 5 6" xfId="43418"/>
    <cellStyle name="표준 4 2 2 5 7" xfId="43419"/>
    <cellStyle name="표준 4 2 2 5 8" xfId="43420"/>
    <cellStyle name="표준 4 2 2 5 9" xfId="43421"/>
    <cellStyle name="표준 4 2 2 6" xfId="43422"/>
    <cellStyle name="표준 4 2 2 6 10" xfId="43423"/>
    <cellStyle name="표준 4 2 2 6 11" xfId="43424"/>
    <cellStyle name="표준 4 2 2 6 12" xfId="43425"/>
    <cellStyle name="표준 4 2 2 6 13" xfId="43426"/>
    <cellStyle name="표준 4 2 2 6 14" xfId="43427"/>
    <cellStyle name="표준 4 2 2 6 15" xfId="43428"/>
    <cellStyle name="표준 4 2 2 6 16" xfId="43429"/>
    <cellStyle name="표준 4 2 2 6 16 2" xfId="43430"/>
    <cellStyle name="표준 4 2 2 6 16 3" xfId="43431"/>
    <cellStyle name="표준 4 2 2 6 17" xfId="43432"/>
    <cellStyle name="표준 4 2 2 6 18" xfId="43433"/>
    <cellStyle name="표준 4 2 2 6 19" xfId="43434"/>
    <cellStyle name="표준 4 2 2 6 2" xfId="43435"/>
    <cellStyle name="표준 4 2 2 6 2 2" xfId="43436"/>
    <cellStyle name="표준 4 2 2 6 2 2 2" xfId="43437"/>
    <cellStyle name="표준 4 2 2 6 2 2 2 2" xfId="43438"/>
    <cellStyle name="표준 4 2 2 6 2 2 2 3" xfId="43439"/>
    <cellStyle name="표준 4 2 2 6 2 2 3" xfId="43440"/>
    <cellStyle name="표준 4 2 2 6 2 2 4" xfId="43441"/>
    <cellStyle name="표준 4 2 2 6 2 2 5" xfId="43442"/>
    <cellStyle name="표준 4 2 2 6 2 3" xfId="43443"/>
    <cellStyle name="표준 4 2 2 6 2 3 2" xfId="43444"/>
    <cellStyle name="표준 4 2 2 6 2 3 3" xfId="43445"/>
    <cellStyle name="표준 4 2 2 6 2 4" xfId="43446"/>
    <cellStyle name="표준 4 2 2 6 2 5" xfId="43447"/>
    <cellStyle name="표준 4 2 2 6 2 6" xfId="43448"/>
    <cellStyle name="표준 4 2 2 6 3" xfId="43449"/>
    <cellStyle name="표준 4 2 2 6 3 2" xfId="43450"/>
    <cellStyle name="표준 4 2 2 6 3 2 2" xfId="43451"/>
    <cellStyle name="표준 4 2 2 6 3 2 2 2" xfId="43452"/>
    <cellStyle name="표준 4 2 2 6 3 2 2 3" xfId="43453"/>
    <cellStyle name="표준 4 2 2 6 3 2 3" xfId="43454"/>
    <cellStyle name="표준 4 2 2 6 3 2 4" xfId="43455"/>
    <cellStyle name="표준 4 2 2 6 3 2 5" xfId="43456"/>
    <cellStyle name="표준 4 2 2 6 3 3" xfId="43457"/>
    <cellStyle name="표준 4 2 2 6 4" xfId="43458"/>
    <cellStyle name="표준 4 2 2 6 4 2" xfId="43459"/>
    <cellStyle name="표준 4 2 2 6 4 2 2" xfId="43460"/>
    <cellStyle name="표준 4 2 2 6 4 2 2 2" xfId="43461"/>
    <cellStyle name="표준 4 2 2 6 4 2 2 3" xfId="43462"/>
    <cellStyle name="표준 4 2 2 6 4 2 3" xfId="43463"/>
    <cellStyle name="표준 4 2 2 6 4 2 4" xfId="43464"/>
    <cellStyle name="표준 4 2 2 6 4 2 5" xfId="43465"/>
    <cellStyle name="표준 4 2 2 6 4 3" xfId="43466"/>
    <cellStyle name="표준 4 2 2 6 5" xfId="43467"/>
    <cellStyle name="표준 4 2 2 6 6" xfId="43468"/>
    <cellStyle name="표준 4 2 2 6 7" xfId="43469"/>
    <cellStyle name="표준 4 2 2 6 8" xfId="43470"/>
    <cellStyle name="표준 4 2 2 6 9" xfId="43471"/>
    <cellStyle name="표준 4 2 2 7" xfId="43472"/>
    <cellStyle name="표준 4 2 2 7 2" xfId="43473"/>
    <cellStyle name="표준 4 2 2 7 2 2" xfId="43474"/>
    <cellStyle name="표준 4 2 2 7 2 2 2" xfId="43475"/>
    <cellStyle name="표준 4 2 2 7 2 2 3" xfId="43476"/>
    <cellStyle name="표준 4 2 2 7 2 3" xfId="43477"/>
    <cellStyle name="표준 4 2 2 7 2 4" xfId="43478"/>
    <cellStyle name="표준 4 2 2 7 2 5" xfId="43479"/>
    <cellStyle name="표준 4 2 2 7 3" xfId="43480"/>
    <cellStyle name="표준 4 2 2 7 3 2" xfId="43481"/>
    <cellStyle name="표준 4 2 2 7 3 3" xfId="43482"/>
    <cellStyle name="표준 4 2 2 7 4" xfId="43483"/>
    <cellStyle name="표준 4 2 2 7 5" xfId="43484"/>
    <cellStyle name="표준 4 2 2 7 6" xfId="43485"/>
    <cellStyle name="표준 4 2 2 8" xfId="43486"/>
    <cellStyle name="표준 4 2 2 8 2" xfId="43487"/>
    <cellStyle name="표준 4 2 2 8 2 2" xfId="43488"/>
    <cellStyle name="표준 4 2 2 8 2 2 2" xfId="43489"/>
    <cellStyle name="표준 4 2 2 8 2 2 3" xfId="43490"/>
    <cellStyle name="표준 4 2 2 8 2 3" xfId="43491"/>
    <cellStyle name="표준 4 2 2 8 2 4" xfId="43492"/>
    <cellStyle name="표준 4 2 2 8 2 5" xfId="43493"/>
    <cellStyle name="표준 4 2 2 8 3" xfId="43494"/>
    <cellStyle name="표준 4 2 2 9" xfId="43495"/>
    <cellStyle name="표준 4 2 2 9 2" xfId="43496"/>
    <cellStyle name="표준 4 2 2 9 2 2" xfId="43497"/>
    <cellStyle name="표준 4 2 2 9 2 2 2" xfId="43498"/>
    <cellStyle name="표준 4 2 2 9 2 2 3" xfId="43499"/>
    <cellStyle name="표준 4 2 2 9 2 3" xfId="43500"/>
    <cellStyle name="표준 4 2 2 9 2 4" xfId="43501"/>
    <cellStyle name="표준 4 2 2 9 2 5" xfId="43502"/>
    <cellStyle name="표준 4 2 2 9 3" xfId="43503"/>
    <cellStyle name="표준 4 2 20" xfId="43504"/>
    <cellStyle name="표준 4 2 21" xfId="43505"/>
    <cellStyle name="표준 4 2 22" xfId="43506"/>
    <cellStyle name="표준 4 2 22 2" xfId="43507"/>
    <cellStyle name="표준 4 2 22 3" xfId="43508"/>
    <cellStyle name="표준 4 2 23" xfId="43509"/>
    <cellStyle name="표준 4 2 24" xfId="43510"/>
    <cellStyle name="표준 4 2 25" xfId="43511"/>
    <cellStyle name="표준 4 2 3" xfId="43512"/>
    <cellStyle name="표준 4 2 3 10" xfId="43513"/>
    <cellStyle name="표준 4 2 3 11" xfId="43514"/>
    <cellStyle name="표준 4 2 3 12" xfId="43515"/>
    <cellStyle name="표준 4 2 3 13" xfId="43516"/>
    <cellStyle name="표준 4 2 3 14" xfId="43517"/>
    <cellStyle name="표준 4 2 3 15" xfId="43518"/>
    <cellStyle name="표준 4 2 3 16" xfId="43519"/>
    <cellStyle name="표준 4 2 3 17" xfId="43520"/>
    <cellStyle name="표준 4 2 3 18" xfId="43521"/>
    <cellStyle name="표준 4 2 3 19" xfId="43522"/>
    <cellStyle name="표준 4 2 3 2" xfId="43523"/>
    <cellStyle name="표준 4 2 3 2 10" xfId="43524"/>
    <cellStyle name="표준 4 2 3 2 11" xfId="43525"/>
    <cellStyle name="표준 4 2 3 2 12" xfId="43526"/>
    <cellStyle name="표준 4 2 3 2 13" xfId="43527"/>
    <cellStyle name="표준 4 2 3 2 14" xfId="43528"/>
    <cellStyle name="표준 4 2 3 2 15" xfId="43529"/>
    <cellStyle name="표준 4 2 3 2 16" xfId="43530"/>
    <cellStyle name="표준 4 2 3 2 17" xfId="43531"/>
    <cellStyle name="표준 4 2 3 2 18" xfId="43532"/>
    <cellStyle name="표준 4 2 3 2 19" xfId="43533"/>
    <cellStyle name="표준 4 2 3 2 19 2" xfId="43534"/>
    <cellStyle name="표준 4 2 3 2 19 3" xfId="43535"/>
    <cellStyle name="표준 4 2 3 2 2" xfId="43536"/>
    <cellStyle name="표준 4 2 3 2 2 10" xfId="43537"/>
    <cellStyle name="표준 4 2 3 2 2 11" xfId="43538"/>
    <cellStyle name="표준 4 2 3 2 2 12" xfId="43539"/>
    <cellStyle name="표준 4 2 3 2 2 13" xfId="43540"/>
    <cellStyle name="표준 4 2 3 2 2 14" xfId="43541"/>
    <cellStyle name="표준 4 2 3 2 2 15" xfId="43542"/>
    <cellStyle name="표준 4 2 3 2 2 16" xfId="43543"/>
    <cellStyle name="표준 4 2 3 2 2 17" xfId="43544"/>
    <cellStyle name="표준 4 2 3 2 2 17 2" xfId="43545"/>
    <cellStyle name="표준 4 2 3 2 2 17 3" xfId="43546"/>
    <cellStyle name="표준 4 2 3 2 2 18" xfId="43547"/>
    <cellStyle name="표준 4 2 3 2 2 19" xfId="43548"/>
    <cellStyle name="표준 4 2 3 2 2 2" xfId="43549"/>
    <cellStyle name="표준 4 2 3 2 2 2 10" xfId="43550"/>
    <cellStyle name="표준 4 2 3 2 2 2 11" xfId="43551"/>
    <cellStyle name="표준 4 2 3 2 2 2 12" xfId="43552"/>
    <cellStyle name="표준 4 2 3 2 2 2 13" xfId="43553"/>
    <cellStyle name="표준 4 2 3 2 2 2 14" xfId="43554"/>
    <cellStyle name="표준 4 2 3 2 2 2 15" xfId="43555"/>
    <cellStyle name="표준 4 2 3 2 2 2 16" xfId="43556"/>
    <cellStyle name="표준 4 2 3 2 2 2 16 2" xfId="43557"/>
    <cellStyle name="표준 4 2 3 2 2 2 16 3" xfId="43558"/>
    <cellStyle name="표준 4 2 3 2 2 2 17" xfId="43559"/>
    <cellStyle name="표준 4 2 3 2 2 2 18" xfId="43560"/>
    <cellStyle name="표준 4 2 3 2 2 2 19" xfId="43561"/>
    <cellStyle name="표준 4 2 3 2 2 2 2" xfId="43562"/>
    <cellStyle name="표준 4 2 3 2 2 2 2 2" xfId="43563"/>
    <cellStyle name="표준 4 2 3 2 2 2 2 2 2" xfId="43564"/>
    <cellStyle name="표준 4 2 3 2 2 2 2 2 2 2" xfId="43565"/>
    <cellStyle name="표준 4 2 3 2 2 2 2 2 2 3" xfId="43566"/>
    <cellStyle name="표준 4 2 3 2 2 2 2 2 3" xfId="43567"/>
    <cellStyle name="표준 4 2 3 2 2 2 2 2 4" xfId="43568"/>
    <cellStyle name="표준 4 2 3 2 2 2 2 2 5" xfId="43569"/>
    <cellStyle name="표준 4 2 3 2 2 2 2 3" xfId="43570"/>
    <cellStyle name="표준 4 2 3 2 2 2 2 3 2" xfId="43571"/>
    <cellStyle name="표준 4 2 3 2 2 2 2 3 3" xfId="43572"/>
    <cellStyle name="표준 4 2 3 2 2 2 2 4" xfId="43573"/>
    <cellStyle name="표준 4 2 3 2 2 2 2 5" xfId="43574"/>
    <cellStyle name="표준 4 2 3 2 2 2 2 6" xfId="43575"/>
    <cellStyle name="표준 4 2 3 2 2 2 3" xfId="43576"/>
    <cellStyle name="표준 4 2 3 2 2 2 3 2" xfId="43577"/>
    <cellStyle name="표준 4 2 3 2 2 2 3 2 2" xfId="43578"/>
    <cellStyle name="표준 4 2 3 2 2 2 3 2 2 2" xfId="43579"/>
    <cellStyle name="표준 4 2 3 2 2 2 3 2 2 3" xfId="43580"/>
    <cellStyle name="표준 4 2 3 2 2 2 3 2 3" xfId="43581"/>
    <cellStyle name="표준 4 2 3 2 2 2 3 2 4" xfId="43582"/>
    <cellStyle name="표준 4 2 3 2 2 2 3 2 5" xfId="43583"/>
    <cellStyle name="표준 4 2 3 2 2 2 3 3" xfId="43584"/>
    <cellStyle name="표준 4 2 3 2 2 2 4" xfId="43585"/>
    <cellStyle name="표준 4 2 3 2 2 2 4 2" xfId="43586"/>
    <cellStyle name="표준 4 2 3 2 2 2 4 2 2" xfId="43587"/>
    <cellStyle name="표준 4 2 3 2 2 2 4 2 2 2" xfId="43588"/>
    <cellStyle name="표준 4 2 3 2 2 2 4 2 2 3" xfId="43589"/>
    <cellStyle name="표준 4 2 3 2 2 2 4 2 3" xfId="43590"/>
    <cellStyle name="표준 4 2 3 2 2 2 4 2 4" xfId="43591"/>
    <cellStyle name="표준 4 2 3 2 2 2 4 2 5" xfId="43592"/>
    <cellStyle name="표준 4 2 3 2 2 2 4 3" xfId="43593"/>
    <cellStyle name="표준 4 2 3 2 2 2 5" xfId="43594"/>
    <cellStyle name="표준 4 2 3 2 2 2 6" xfId="43595"/>
    <cellStyle name="표준 4 2 3 2 2 2 7" xfId="43596"/>
    <cellStyle name="표준 4 2 3 2 2 2 8" xfId="43597"/>
    <cellStyle name="표준 4 2 3 2 2 2 9" xfId="43598"/>
    <cellStyle name="표준 4 2 3 2 2 20" xfId="43599"/>
    <cellStyle name="표준 4 2 3 2 2 3" xfId="43600"/>
    <cellStyle name="표준 4 2 3 2 2 3 2" xfId="43601"/>
    <cellStyle name="표준 4 2 3 2 2 3 2 2" xfId="43602"/>
    <cellStyle name="표준 4 2 3 2 2 3 2 2 2" xfId="43603"/>
    <cellStyle name="표준 4 2 3 2 2 3 2 2 3" xfId="43604"/>
    <cellStyle name="표준 4 2 3 2 2 3 2 3" xfId="43605"/>
    <cellStyle name="표준 4 2 3 2 2 3 2 4" xfId="43606"/>
    <cellStyle name="표준 4 2 3 2 2 3 2 5" xfId="43607"/>
    <cellStyle name="표준 4 2 3 2 2 3 3" xfId="43608"/>
    <cellStyle name="표준 4 2 3 2 2 3 3 2" xfId="43609"/>
    <cellStyle name="표준 4 2 3 2 2 3 3 3" xfId="43610"/>
    <cellStyle name="표준 4 2 3 2 2 3 4" xfId="43611"/>
    <cellStyle name="표준 4 2 3 2 2 3 5" xfId="43612"/>
    <cellStyle name="표준 4 2 3 2 2 3 6" xfId="43613"/>
    <cellStyle name="표준 4 2 3 2 2 4" xfId="43614"/>
    <cellStyle name="표준 4 2 3 2 2 4 2" xfId="43615"/>
    <cellStyle name="표준 4 2 3 2 2 4 2 2" xfId="43616"/>
    <cellStyle name="표준 4 2 3 2 2 4 2 2 2" xfId="43617"/>
    <cellStyle name="표준 4 2 3 2 2 4 2 2 3" xfId="43618"/>
    <cellStyle name="표준 4 2 3 2 2 4 2 3" xfId="43619"/>
    <cellStyle name="표준 4 2 3 2 2 4 2 4" xfId="43620"/>
    <cellStyle name="표준 4 2 3 2 2 4 2 5" xfId="43621"/>
    <cellStyle name="표준 4 2 3 2 2 4 3" xfId="43622"/>
    <cellStyle name="표준 4 2 3 2 2 5" xfId="43623"/>
    <cellStyle name="표준 4 2 3 2 2 5 2" xfId="43624"/>
    <cellStyle name="표준 4 2 3 2 2 5 2 2" xfId="43625"/>
    <cellStyle name="표준 4 2 3 2 2 5 2 2 2" xfId="43626"/>
    <cellStyle name="표준 4 2 3 2 2 5 2 2 3" xfId="43627"/>
    <cellStyle name="표준 4 2 3 2 2 5 2 3" xfId="43628"/>
    <cellStyle name="표준 4 2 3 2 2 5 2 4" xfId="43629"/>
    <cellStyle name="표준 4 2 3 2 2 5 2 5" xfId="43630"/>
    <cellStyle name="표준 4 2 3 2 2 5 3" xfId="43631"/>
    <cellStyle name="표준 4 2 3 2 2 6" xfId="43632"/>
    <cellStyle name="표준 4 2 3 2 2 7" xfId="43633"/>
    <cellStyle name="표준 4 2 3 2 2 8" xfId="43634"/>
    <cellStyle name="표준 4 2 3 2 2 9" xfId="43635"/>
    <cellStyle name="표준 4 2 3 2 20" xfId="43636"/>
    <cellStyle name="표준 4 2 3 2 21" xfId="43637"/>
    <cellStyle name="표준 4 2 3 2 22" xfId="43638"/>
    <cellStyle name="표준 4 2 3 2 3" xfId="43639"/>
    <cellStyle name="표준 4 2 3 2 3 10" xfId="43640"/>
    <cellStyle name="표준 4 2 3 2 3 11" xfId="43641"/>
    <cellStyle name="표준 4 2 3 2 3 12" xfId="43642"/>
    <cellStyle name="표준 4 2 3 2 3 13" xfId="43643"/>
    <cellStyle name="표준 4 2 3 2 3 14" xfId="43644"/>
    <cellStyle name="표준 4 2 3 2 3 15" xfId="43645"/>
    <cellStyle name="표준 4 2 3 2 3 16" xfId="43646"/>
    <cellStyle name="표준 4 2 3 2 3 17" xfId="43647"/>
    <cellStyle name="표준 4 2 3 2 3 17 2" xfId="43648"/>
    <cellStyle name="표준 4 2 3 2 3 17 3" xfId="43649"/>
    <cellStyle name="표준 4 2 3 2 3 18" xfId="43650"/>
    <cellStyle name="표준 4 2 3 2 3 19" xfId="43651"/>
    <cellStyle name="표준 4 2 3 2 3 2" xfId="43652"/>
    <cellStyle name="표준 4 2 3 2 3 2 10" xfId="43653"/>
    <cellStyle name="표준 4 2 3 2 3 2 11" xfId="43654"/>
    <cellStyle name="표준 4 2 3 2 3 2 12" xfId="43655"/>
    <cellStyle name="표준 4 2 3 2 3 2 13" xfId="43656"/>
    <cellStyle name="표준 4 2 3 2 3 2 14" xfId="43657"/>
    <cellStyle name="표준 4 2 3 2 3 2 15" xfId="43658"/>
    <cellStyle name="표준 4 2 3 2 3 2 16" xfId="43659"/>
    <cellStyle name="표준 4 2 3 2 3 2 16 2" xfId="43660"/>
    <cellStyle name="표준 4 2 3 2 3 2 16 3" xfId="43661"/>
    <cellStyle name="표준 4 2 3 2 3 2 17" xfId="43662"/>
    <cellStyle name="표준 4 2 3 2 3 2 18" xfId="43663"/>
    <cellStyle name="표준 4 2 3 2 3 2 19" xfId="43664"/>
    <cellStyle name="표준 4 2 3 2 3 2 2" xfId="43665"/>
    <cellStyle name="표준 4 2 3 2 3 2 2 2" xfId="43666"/>
    <cellStyle name="표준 4 2 3 2 3 2 2 2 2" xfId="43667"/>
    <cellStyle name="표준 4 2 3 2 3 2 2 2 2 2" xfId="43668"/>
    <cellStyle name="표준 4 2 3 2 3 2 2 2 2 3" xfId="43669"/>
    <cellStyle name="표준 4 2 3 2 3 2 2 2 3" xfId="43670"/>
    <cellStyle name="표준 4 2 3 2 3 2 2 2 4" xfId="43671"/>
    <cellStyle name="표준 4 2 3 2 3 2 2 2 5" xfId="43672"/>
    <cellStyle name="표준 4 2 3 2 3 2 2 3" xfId="43673"/>
    <cellStyle name="표준 4 2 3 2 3 2 2 3 2" xfId="43674"/>
    <cellStyle name="표준 4 2 3 2 3 2 2 3 3" xfId="43675"/>
    <cellStyle name="표준 4 2 3 2 3 2 2 4" xfId="43676"/>
    <cellStyle name="표준 4 2 3 2 3 2 2 5" xfId="43677"/>
    <cellStyle name="표준 4 2 3 2 3 2 2 6" xfId="43678"/>
    <cellStyle name="표준 4 2 3 2 3 2 3" xfId="43679"/>
    <cellStyle name="표준 4 2 3 2 3 2 3 2" xfId="43680"/>
    <cellStyle name="표준 4 2 3 2 3 2 3 2 2" xfId="43681"/>
    <cellStyle name="표준 4 2 3 2 3 2 3 2 2 2" xfId="43682"/>
    <cellStyle name="표준 4 2 3 2 3 2 3 2 2 3" xfId="43683"/>
    <cellStyle name="표준 4 2 3 2 3 2 3 2 3" xfId="43684"/>
    <cellStyle name="표준 4 2 3 2 3 2 3 2 4" xfId="43685"/>
    <cellStyle name="표준 4 2 3 2 3 2 3 2 5" xfId="43686"/>
    <cellStyle name="표준 4 2 3 2 3 2 3 3" xfId="43687"/>
    <cellStyle name="표준 4 2 3 2 3 2 4" xfId="43688"/>
    <cellStyle name="표준 4 2 3 2 3 2 4 2" xfId="43689"/>
    <cellStyle name="표준 4 2 3 2 3 2 4 2 2" xfId="43690"/>
    <cellStyle name="표준 4 2 3 2 3 2 4 2 2 2" xfId="43691"/>
    <cellStyle name="표준 4 2 3 2 3 2 4 2 2 3" xfId="43692"/>
    <cellStyle name="표준 4 2 3 2 3 2 4 2 3" xfId="43693"/>
    <cellStyle name="표준 4 2 3 2 3 2 4 2 4" xfId="43694"/>
    <cellStyle name="표준 4 2 3 2 3 2 4 2 5" xfId="43695"/>
    <cellStyle name="표준 4 2 3 2 3 2 4 3" xfId="43696"/>
    <cellStyle name="표준 4 2 3 2 3 2 5" xfId="43697"/>
    <cellStyle name="표준 4 2 3 2 3 2 6" xfId="43698"/>
    <cellStyle name="표준 4 2 3 2 3 2 7" xfId="43699"/>
    <cellStyle name="표준 4 2 3 2 3 2 8" xfId="43700"/>
    <cellStyle name="표준 4 2 3 2 3 2 9" xfId="43701"/>
    <cellStyle name="표준 4 2 3 2 3 20" xfId="43702"/>
    <cellStyle name="표준 4 2 3 2 3 3" xfId="43703"/>
    <cellStyle name="표준 4 2 3 2 3 3 2" xfId="43704"/>
    <cellStyle name="표준 4 2 3 2 3 3 2 2" xfId="43705"/>
    <cellStyle name="표준 4 2 3 2 3 3 2 2 2" xfId="43706"/>
    <cellStyle name="표준 4 2 3 2 3 3 2 2 3" xfId="43707"/>
    <cellStyle name="표준 4 2 3 2 3 3 2 3" xfId="43708"/>
    <cellStyle name="표준 4 2 3 2 3 3 2 4" xfId="43709"/>
    <cellStyle name="표준 4 2 3 2 3 3 2 5" xfId="43710"/>
    <cellStyle name="표준 4 2 3 2 3 3 3" xfId="43711"/>
    <cellStyle name="표준 4 2 3 2 3 3 3 2" xfId="43712"/>
    <cellStyle name="표준 4 2 3 2 3 3 3 3" xfId="43713"/>
    <cellStyle name="표준 4 2 3 2 3 3 4" xfId="43714"/>
    <cellStyle name="표준 4 2 3 2 3 3 5" xfId="43715"/>
    <cellStyle name="표준 4 2 3 2 3 3 6" xfId="43716"/>
    <cellStyle name="표준 4 2 3 2 3 4" xfId="43717"/>
    <cellStyle name="표준 4 2 3 2 3 4 2" xfId="43718"/>
    <cellStyle name="표준 4 2 3 2 3 4 2 2" xfId="43719"/>
    <cellStyle name="표준 4 2 3 2 3 4 2 2 2" xfId="43720"/>
    <cellStyle name="표준 4 2 3 2 3 4 2 2 3" xfId="43721"/>
    <cellStyle name="표준 4 2 3 2 3 4 2 3" xfId="43722"/>
    <cellStyle name="표준 4 2 3 2 3 4 2 4" xfId="43723"/>
    <cellStyle name="표준 4 2 3 2 3 4 2 5" xfId="43724"/>
    <cellStyle name="표준 4 2 3 2 3 4 3" xfId="43725"/>
    <cellStyle name="표준 4 2 3 2 3 5" xfId="43726"/>
    <cellStyle name="표준 4 2 3 2 3 5 2" xfId="43727"/>
    <cellStyle name="표준 4 2 3 2 3 5 2 2" xfId="43728"/>
    <cellStyle name="표준 4 2 3 2 3 5 2 2 2" xfId="43729"/>
    <cellStyle name="표준 4 2 3 2 3 5 2 2 3" xfId="43730"/>
    <cellStyle name="표준 4 2 3 2 3 5 2 3" xfId="43731"/>
    <cellStyle name="표준 4 2 3 2 3 5 2 4" xfId="43732"/>
    <cellStyle name="표준 4 2 3 2 3 5 2 5" xfId="43733"/>
    <cellStyle name="표준 4 2 3 2 3 5 3" xfId="43734"/>
    <cellStyle name="표준 4 2 3 2 3 6" xfId="43735"/>
    <cellStyle name="표준 4 2 3 2 3 7" xfId="43736"/>
    <cellStyle name="표준 4 2 3 2 3 8" xfId="43737"/>
    <cellStyle name="표준 4 2 3 2 3 9" xfId="43738"/>
    <cellStyle name="표준 4 2 3 2 4" xfId="43739"/>
    <cellStyle name="표준 4 2 3 2 4 10" xfId="43740"/>
    <cellStyle name="표준 4 2 3 2 4 11" xfId="43741"/>
    <cellStyle name="표준 4 2 3 2 4 12" xfId="43742"/>
    <cellStyle name="표준 4 2 3 2 4 13" xfId="43743"/>
    <cellStyle name="표준 4 2 3 2 4 14" xfId="43744"/>
    <cellStyle name="표준 4 2 3 2 4 15" xfId="43745"/>
    <cellStyle name="표준 4 2 3 2 4 16" xfId="43746"/>
    <cellStyle name="표준 4 2 3 2 4 16 2" xfId="43747"/>
    <cellStyle name="표준 4 2 3 2 4 16 3" xfId="43748"/>
    <cellStyle name="표준 4 2 3 2 4 17" xfId="43749"/>
    <cellStyle name="표준 4 2 3 2 4 18" xfId="43750"/>
    <cellStyle name="표준 4 2 3 2 4 19" xfId="43751"/>
    <cellStyle name="표준 4 2 3 2 4 2" xfId="43752"/>
    <cellStyle name="표준 4 2 3 2 4 2 2" xfId="43753"/>
    <cellStyle name="표준 4 2 3 2 4 2 2 2" xfId="43754"/>
    <cellStyle name="표준 4 2 3 2 4 2 2 2 2" xfId="43755"/>
    <cellStyle name="표준 4 2 3 2 4 2 2 2 3" xfId="43756"/>
    <cellStyle name="표준 4 2 3 2 4 2 2 3" xfId="43757"/>
    <cellStyle name="표준 4 2 3 2 4 2 2 4" xfId="43758"/>
    <cellStyle name="표준 4 2 3 2 4 2 2 5" xfId="43759"/>
    <cellStyle name="표준 4 2 3 2 4 2 3" xfId="43760"/>
    <cellStyle name="표준 4 2 3 2 4 2 3 2" xfId="43761"/>
    <cellStyle name="표준 4 2 3 2 4 2 3 3" xfId="43762"/>
    <cellStyle name="표준 4 2 3 2 4 2 4" xfId="43763"/>
    <cellStyle name="표준 4 2 3 2 4 2 5" xfId="43764"/>
    <cellStyle name="표준 4 2 3 2 4 2 6" xfId="43765"/>
    <cellStyle name="표준 4 2 3 2 4 3" xfId="43766"/>
    <cellStyle name="표준 4 2 3 2 4 3 2" xfId="43767"/>
    <cellStyle name="표준 4 2 3 2 4 3 2 2" xfId="43768"/>
    <cellStyle name="표준 4 2 3 2 4 3 2 2 2" xfId="43769"/>
    <cellStyle name="표준 4 2 3 2 4 3 2 2 3" xfId="43770"/>
    <cellStyle name="표준 4 2 3 2 4 3 2 3" xfId="43771"/>
    <cellStyle name="표준 4 2 3 2 4 3 2 4" xfId="43772"/>
    <cellStyle name="표준 4 2 3 2 4 3 2 5" xfId="43773"/>
    <cellStyle name="표준 4 2 3 2 4 3 3" xfId="43774"/>
    <cellStyle name="표준 4 2 3 2 4 4" xfId="43775"/>
    <cellStyle name="표준 4 2 3 2 4 4 2" xfId="43776"/>
    <cellStyle name="표준 4 2 3 2 4 4 2 2" xfId="43777"/>
    <cellStyle name="표준 4 2 3 2 4 4 2 2 2" xfId="43778"/>
    <cellStyle name="표준 4 2 3 2 4 4 2 2 3" xfId="43779"/>
    <cellStyle name="표준 4 2 3 2 4 4 2 3" xfId="43780"/>
    <cellStyle name="표준 4 2 3 2 4 4 2 4" xfId="43781"/>
    <cellStyle name="표준 4 2 3 2 4 4 2 5" xfId="43782"/>
    <cellStyle name="표준 4 2 3 2 4 4 3" xfId="43783"/>
    <cellStyle name="표준 4 2 3 2 4 5" xfId="43784"/>
    <cellStyle name="표준 4 2 3 2 4 6" xfId="43785"/>
    <cellStyle name="표준 4 2 3 2 4 7" xfId="43786"/>
    <cellStyle name="표준 4 2 3 2 4 8" xfId="43787"/>
    <cellStyle name="표준 4 2 3 2 4 9" xfId="43788"/>
    <cellStyle name="표준 4 2 3 2 5" xfId="43789"/>
    <cellStyle name="표준 4 2 3 2 5 2" xfId="43790"/>
    <cellStyle name="표준 4 2 3 2 5 2 2" xfId="43791"/>
    <cellStyle name="표준 4 2 3 2 5 2 2 2" xfId="43792"/>
    <cellStyle name="표준 4 2 3 2 5 2 2 3" xfId="43793"/>
    <cellStyle name="표준 4 2 3 2 5 2 3" xfId="43794"/>
    <cellStyle name="표준 4 2 3 2 5 2 4" xfId="43795"/>
    <cellStyle name="표준 4 2 3 2 5 2 5" xfId="43796"/>
    <cellStyle name="표준 4 2 3 2 5 3" xfId="43797"/>
    <cellStyle name="표준 4 2 3 2 5 3 2" xfId="43798"/>
    <cellStyle name="표준 4 2 3 2 5 3 3" xfId="43799"/>
    <cellStyle name="표준 4 2 3 2 5 4" xfId="43800"/>
    <cellStyle name="표준 4 2 3 2 5 5" xfId="43801"/>
    <cellStyle name="표준 4 2 3 2 5 6" xfId="43802"/>
    <cellStyle name="표준 4 2 3 2 6" xfId="43803"/>
    <cellStyle name="표준 4 2 3 2 6 2" xfId="43804"/>
    <cellStyle name="표준 4 2 3 2 6 2 2" xfId="43805"/>
    <cellStyle name="표준 4 2 3 2 6 2 2 2" xfId="43806"/>
    <cellStyle name="표준 4 2 3 2 6 2 2 3" xfId="43807"/>
    <cellStyle name="표준 4 2 3 2 6 2 3" xfId="43808"/>
    <cellStyle name="표준 4 2 3 2 6 2 4" xfId="43809"/>
    <cellStyle name="표준 4 2 3 2 6 2 5" xfId="43810"/>
    <cellStyle name="표준 4 2 3 2 6 3" xfId="43811"/>
    <cellStyle name="표준 4 2 3 2 7" xfId="43812"/>
    <cellStyle name="표준 4 2 3 2 7 2" xfId="43813"/>
    <cellStyle name="표준 4 2 3 2 7 2 2" xfId="43814"/>
    <cellStyle name="표준 4 2 3 2 7 2 2 2" xfId="43815"/>
    <cellStyle name="표준 4 2 3 2 7 2 2 3" xfId="43816"/>
    <cellStyle name="표준 4 2 3 2 7 2 3" xfId="43817"/>
    <cellStyle name="표준 4 2 3 2 7 2 4" xfId="43818"/>
    <cellStyle name="표준 4 2 3 2 7 2 5" xfId="43819"/>
    <cellStyle name="표준 4 2 3 2 7 3" xfId="43820"/>
    <cellStyle name="표준 4 2 3 2 8" xfId="43821"/>
    <cellStyle name="표준 4 2 3 2 9" xfId="43822"/>
    <cellStyle name="표준 4 2 3 20" xfId="43823"/>
    <cellStyle name="표준 4 2 3 20 2" xfId="43824"/>
    <cellStyle name="표준 4 2 3 20 3" xfId="43825"/>
    <cellStyle name="표준 4 2 3 21" xfId="43826"/>
    <cellStyle name="표준 4 2 3 22" xfId="43827"/>
    <cellStyle name="표준 4 2 3 23" xfId="43828"/>
    <cellStyle name="표준 4 2 3 3" xfId="43829"/>
    <cellStyle name="표준 4 2 3 3 10" xfId="43830"/>
    <cellStyle name="표준 4 2 3 3 11" xfId="43831"/>
    <cellStyle name="표준 4 2 3 3 12" xfId="43832"/>
    <cellStyle name="표준 4 2 3 3 13" xfId="43833"/>
    <cellStyle name="표준 4 2 3 3 14" xfId="43834"/>
    <cellStyle name="표준 4 2 3 3 15" xfId="43835"/>
    <cellStyle name="표준 4 2 3 3 16" xfId="43836"/>
    <cellStyle name="표준 4 2 3 3 17" xfId="43837"/>
    <cellStyle name="표준 4 2 3 3 17 2" xfId="43838"/>
    <cellStyle name="표준 4 2 3 3 17 3" xfId="43839"/>
    <cellStyle name="표준 4 2 3 3 18" xfId="43840"/>
    <cellStyle name="표준 4 2 3 3 19" xfId="43841"/>
    <cellStyle name="표준 4 2 3 3 2" xfId="43842"/>
    <cellStyle name="표준 4 2 3 3 2 10" xfId="43843"/>
    <cellStyle name="표준 4 2 3 3 2 11" xfId="43844"/>
    <cellStyle name="표준 4 2 3 3 2 12" xfId="43845"/>
    <cellStyle name="표준 4 2 3 3 2 13" xfId="43846"/>
    <cellStyle name="표준 4 2 3 3 2 14" xfId="43847"/>
    <cellStyle name="표준 4 2 3 3 2 15" xfId="43848"/>
    <cellStyle name="표준 4 2 3 3 2 16" xfId="43849"/>
    <cellStyle name="표준 4 2 3 3 2 16 2" xfId="43850"/>
    <cellStyle name="표준 4 2 3 3 2 16 3" xfId="43851"/>
    <cellStyle name="표준 4 2 3 3 2 17" xfId="43852"/>
    <cellStyle name="표준 4 2 3 3 2 18" xfId="43853"/>
    <cellStyle name="표준 4 2 3 3 2 19" xfId="43854"/>
    <cellStyle name="표준 4 2 3 3 2 2" xfId="43855"/>
    <cellStyle name="표준 4 2 3 3 2 2 2" xfId="43856"/>
    <cellStyle name="표준 4 2 3 3 2 2 2 2" xfId="43857"/>
    <cellStyle name="표준 4 2 3 3 2 2 2 2 2" xfId="43858"/>
    <cellStyle name="표준 4 2 3 3 2 2 2 2 3" xfId="43859"/>
    <cellStyle name="표준 4 2 3 3 2 2 2 3" xfId="43860"/>
    <cellStyle name="표준 4 2 3 3 2 2 2 4" xfId="43861"/>
    <cellStyle name="표준 4 2 3 3 2 2 2 5" xfId="43862"/>
    <cellStyle name="표준 4 2 3 3 2 2 3" xfId="43863"/>
    <cellStyle name="표준 4 2 3 3 2 2 3 2" xfId="43864"/>
    <cellStyle name="표준 4 2 3 3 2 2 3 3" xfId="43865"/>
    <cellStyle name="표준 4 2 3 3 2 2 4" xfId="43866"/>
    <cellStyle name="표준 4 2 3 3 2 2 5" xfId="43867"/>
    <cellStyle name="표준 4 2 3 3 2 2 6" xfId="43868"/>
    <cellStyle name="표준 4 2 3 3 2 3" xfId="43869"/>
    <cellStyle name="표준 4 2 3 3 2 3 2" xfId="43870"/>
    <cellStyle name="표준 4 2 3 3 2 3 2 2" xfId="43871"/>
    <cellStyle name="표준 4 2 3 3 2 3 2 2 2" xfId="43872"/>
    <cellStyle name="표준 4 2 3 3 2 3 2 2 3" xfId="43873"/>
    <cellStyle name="표준 4 2 3 3 2 3 2 3" xfId="43874"/>
    <cellStyle name="표준 4 2 3 3 2 3 2 4" xfId="43875"/>
    <cellStyle name="표준 4 2 3 3 2 3 2 5" xfId="43876"/>
    <cellStyle name="표준 4 2 3 3 2 3 3" xfId="43877"/>
    <cellStyle name="표준 4 2 3 3 2 4" xfId="43878"/>
    <cellStyle name="표준 4 2 3 3 2 4 2" xfId="43879"/>
    <cellStyle name="표준 4 2 3 3 2 4 2 2" xfId="43880"/>
    <cellStyle name="표준 4 2 3 3 2 4 2 2 2" xfId="43881"/>
    <cellStyle name="표준 4 2 3 3 2 4 2 2 3" xfId="43882"/>
    <cellStyle name="표준 4 2 3 3 2 4 2 3" xfId="43883"/>
    <cellStyle name="표준 4 2 3 3 2 4 2 4" xfId="43884"/>
    <cellStyle name="표준 4 2 3 3 2 4 2 5" xfId="43885"/>
    <cellStyle name="표준 4 2 3 3 2 4 3" xfId="43886"/>
    <cellStyle name="표준 4 2 3 3 2 5" xfId="43887"/>
    <cellStyle name="표준 4 2 3 3 2 6" xfId="43888"/>
    <cellStyle name="표준 4 2 3 3 2 7" xfId="43889"/>
    <cellStyle name="표준 4 2 3 3 2 8" xfId="43890"/>
    <cellStyle name="표준 4 2 3 3 2 9" xfId="43891"/>
    <cellStyle name="표준 4 2 3 3 20" xfId="43892"/>
    <cellStyle name="표준 4 2 3 3 3" xfId="43893"/>
    <cellStyle name="표준 4 2 3 3 3 2" xfId="43894"/>
    <cellStyle name="표준 4 2 3 3 3 2 2" xfId="43895"/>
    <cellStyle name="표준 4 2 3 3 3 2 2 2" xfId="43896"/>
    <cellStyle name="표준 4 2 3 3 3 2 2 3" xfId="43897"/>
    <cellStyle name="표준 4 2 3 3 3 2 3" xfId="43898"/>
    <cellStyle name="표준 4 2 3 3 3 2 4" xfId="43899"/>
    <cellStyle name="표준 4 2 3 3 3 2 5" xfId="43900"/>
    <cellStyle name="표준 4 2 3 3 3 3" xfId="43901"/>
    <cellStyle name="표준 4 2 3 3 3 3 2" xfId="43902"/>
    <cellStyle name="표준 4 2 3 3 3 3 3" xfId="43903"/>
    <cellStyle name="표준 4 2 3 3 3 4" xfId="43904"/>
    <cellStyle name="표준 4 2 3 3 3 5" xfId="43905"/>
    <cellStyle name="표준 4 2 3 3 3 6" xfId="43906"/>
    <cellStyle name="표준 4 2 3 3 4" xfId="43907"/>
    <cellStyle name="표준 4 2 3 3 4 2" xfId="43908"/>
    <cellStyle name="표준 4 2 3 3 4 2 2" xfId="43909"/>
    <cellStyle name="표준 4 2 3 3 4 2 2 2" xfId="43910"/>
    <cellStyle name="표준 4 2 3 3 4 2 2 3" xfId="43911"/>
    <cellStyle name="표준 4 2 3 3 4 2 3" xfId="43912"/>
    <cellStyle name="표준 4 2 3 3 4 2 4" xfId="43913"/>
    <cellStyle name="표준 4 2 3 3 4 2 5" xfId="43914"/>
    <cellStyle name="표준 4 2 3 3 4 3" xfId="43915"/>
    <cellStyle name="표준 4 2 3 3 5" xfId="43916"/>
    <cellStyle name="표준 4 2 3 3 5 2" xfId="43917"/>
    <cellStyle name="표준 4 2 3 3 5 2 2" xfId="43918"/>
    <cellStyle name="표준 4 2 3 3 5 2 2 2" xfId="43919"/>
    <cellStyle name="표준 4 2 3 3 5 2 2 3" xfId="43920"/>
    <cellStyle name="표준 4 2 3 3 5 2 3" xfId="43921"/>
    <cellStyle name="표준 4 2 3 3 5 2 4" xfId="43922"/>
    <cellStyle name="표준 4 2 3 3 5 2 5" xfId="43923"/>
    <cellStyle name="표준 4 2 3 3 5 3" xfId="43924"/>
    <cellStyle name="표준 4 2 3 3 6" xfId="43925"/>
    <cellStyle name="표준 4 2 3 3 7" xfId="43926"/>
    <cellStyle name="표준 4 2 3 3 8" xfId="43927"/>
    <cellStyle name="표준 4 2 3 3 9" xfId="43928"/>
    <cellStyle name="표준 4 2 3 4" xfId="43929"/>
    <cellStyle name="표준 4 2 3 4 10" xfId="43930"/>
    <cellStyle name="표준 4 2 3 4 11" xfId="43931"/>
    <cellStyle name="표준 4 2 3 4 12" xfId="43932"/>
    <cellStyle name="표준 4 2 3 4 13" xfId="43933"/>
    <cellStyle name="표준 4 2 3 4 14" xfId="43934"/>
    <cellStyle name="표준 4 2 3 4 15" xfId="43935"/>
    <cellStyle name="표준 4 2 3 4 16" xfId="43936"/>
    <cellStyle name="표준 4 2 3 4 17" xfId="43937"/>
    <cellStyle name="표준 4 2 3 4 17 2" xfId="43938"/>
    <cellStyle name="표준 4 2 3 4 17 3" xfId="43939"/>
    <cellStyle name="표준 4 2 3 4 18" xfId="43940"/>
    <cellStyle name="표준 4 2 3 4 19" xfId="43941"/>
    <cellStyle name="표준 4 2 3 4 2" xfId="43942"/>
    <cellStyle name="표준 4 2 3 4 2 10" xfId="43943"/>
    <cellStyle name="표준 4 2 3 4 2 11" xfId="43944"/>
    <cellStyle name="표준 4 2 3 4 2 12" xfId="43945"/>
    <cellStyle name="표준 4 2 3 4 2 13" xfId="43946"/>
    <cellStyle name="표준 4 2 3 4 2 14" xfId="43947"/>
    <cellStyle name="표준 4 2 3 4 2 15" xfId="43948"/>
    <cellStyle name="표준 4 2 3 4 2 16" xfId="43949"/>
    <cellStyle name="표준 4 2 3 4 2 16 2" xfId="43950"/>
    <cellStyle name="표준 4 2 3 4 2 16 3" xfId="43951"/>
    <cellStyle name="표준 4 2 3 4 2 17" xfId="43952"/>
    <cellStyle name="표준 4 2 3 4 2 18" xfId="43953"/>
    <cellStyle name="표준 4 2 3 4 2 19" xfId="43954"/>
    <cellStyle name="표준 4 2 3 4 2 2" xfId="43955"/>
    <cellStyle name="표준 4 2 3 4 2 2 2" xfId="43956"/>
    <cellStyle name="표준 4 2 3 4 2 2 2 2" xfId="43957"/>
    <cellStyle name="표준 4 2 3 4 2 2 2 2 2" xfId="43958"/>
    <cellStyle name="표준 4 2 3 4 2 2 2 2 3" xfId="43959"/>
    <cellStyle name="표준 4 2 3 4 2 2 2 3" xfId="43960"/>
    <cellStyle name="표준 4 2 3 4 2 2 2 4" xfId="43961"/>
    <cellStyle name="표준 4 2 3 4 2 2 2 5" xfId="43962"/>
    <cellStyle name="표준 4 2 3 4 2 2 3" xfId="43963"/>
    <cellStyle name="표준 4 2 3 4 2 2 3 2" xfId="43964"/>
    <cellStyle name="표준 4 2 3 4 2 2 3 3" xfId="43965"/>
    <cellStyle name="표준 4 2 3 4 2 2 4" xfId="43966"/>
    <cellStyle name="표준 4 2 3 4 2 2 5" xfId="43967"/>
    <cellStyle name="표준 4 2 3 4 2 2 6" xfId="43968"/>
    <cellStyle name="표준 4 2 3 4 2 3" xfId="43969"/>
    <cellStyle name="표준 4 2 3 4 2 3 2" xfId="43970"/>
    <cellStyle name="표준 4 2 3 4 2 3 2 2" xfId="43971"/>
    <cellStyle name="표준 4 2 3 4 2 3 2 2 2" xfId="43972"/>
    <cellStyle name="표준 4 2 3 4 2 3 2 2 3" xfId="43973"/>
    <cellStyle name="표준 4 2 3 4 2 3 2 3" xfId="43974"/>
    <cellStyle name="표준 4 2 3 4 2 3 2 4" xfId="43975"/>
    <cellStyle name="표준 4 2 3 4 2 3 2 5" xfId="43976"/>
    <cellStyle name="표준 4 2 3 4 2 3 3" xfId="43977"/>
    <cellStyle name="표준 4 2 3 4 2 4" xfId="43978"/>
    <cellStyle name="표준 4 2 3 4 2 4 2" xfId="43979"/>
    <cellStyle name="표준 4 2 3 4 2 4 2 2" xfId="43980"/>
    <cellStyle name="표준 4 2 3 4 2 4 2 2 2" xfId="43981"/>
    <cellStyle name="표준 4 2 3 4 2 4 2 2 3" xfId="43982"/>
    <cellStyle name="표준 4 2 3 4 2 4 2 3" xfId="43983"/>
    <cellStyle name="표준 4 2 3 4 2 4 2 4" xfId="43984"/>
    <cellStyle name="표준 4 2 3 4 2 4 2 5" xfId="43985"/>
    <cellStyle name="표준 4 2 3 4 2 4 3" xfId="43986"/>
    <cellStyle name="표준 4 2 3 4 2 5" xfId="43987"/>
    <cellStyle name="표준 4 2 3 4 2 6" xfId="43988"/>
    <cellStyle name="표준 4 2 3 4 2 7" xfId="43989"/>
    <cellStyle name="표준 4 2 3 4 2 8" xfId="43990"/>
    <cellStyle name="표준 4 2 3 4 2 9" xfId="43991"/>
    <cellStyle name="표준 4 2 3 4 20" xfId="43992"/>
    <cellStyle name="표준 4 2 3 4 3" xfId="43993"/>
    <cellStyle name="표준 4 2 3 4 3 2" xfId="43994"/>
    <cellStyle name="표준 4 2 3 4 3 2 2" xfId="43995"/>
    <cellStyle name="표준 4 2 3 4 3 2 2 2" xfId="43996"/>
    <cellStyle name="표준 4 2 3 4 3 2 2 3" xfId="43997"/>
    <cellStyle name="표준 4 2 3 4 3 2 3" xfId="43998"/>
    <cellStyle name="표준 4 2 3 4 3 2 4" xfId="43999"/>
    <cellStyle name="표준 4 2 3 4 3 2 5" xfId="44000"/>
    <cellStyle name="표준 4 2 3 4 3 3" xfId="44001"/>
    <cellStyle name="표준 4 2 3 4 3 3 2" xfId="44002"/>
    <cellStyle name="표준 4 2 3 4 3 3 3" xfId="44003"/>
    <cellStyle name="표준 4 2 3 4 3 4" xfId="44004"/>
    <cellStyle name="표준 4 2 3 4 3 5" xfId="44005"/>
    <cellStyle name="표준 4 2 3 4 3 6" xfId="44006"/>
    <cellStyle name="표준 4 2 3 4 4" xfId="44007"/>
    <cellStyle name="표준 4 2 3 4 4 2" xfId="44008"/>
    <cellStyle name="표준 4 2 3 4 4 2 2" xfId="44009"/>
    <cellStyle name="표준 4 2 3 4 4 2 2 2" xfId="44010"/>
    <cellStyle name="표준 4 2 3 4 4 2 2 3" xfId="44011"/>
    <cellStyle name="표준 4 2 3 4 4 2 3" xfId="44012"/>
    <cellStyle name="표준 4 2 3 4 4 2 4" xfId="44013"/>
    <cellStyle name="표준 4 2 3 4 4 2 5" xfId="44014"/>
    <cellStyle name="표준 4 2 3 4 4 3" xfId="44015"/>
    <cellStyle name="표준 4 2 3 4 5" xfId="44016"/>
    <cellStyle name="표준 4 2 3 4 5 2" xfId="44017"/>
    <cellStyle name="표준 4 2 3 4 5 2 2" xfId="44018"/>
    <cellStyle name="표준 4 2 3 4 5 2 2 2" xfId="44019"/>
    <cellStyle name="표준 4 2 3 4 5 2 2 3" xfId="44020"/>
    <cellStyle name="표준 4 2 3 4 5 2 3" xfId="44021"/>
    <cellStyle name="표준 4 2 3 4 5 2 4" xfId="44022"/>
    <cellStyle name="표준 4 2 3 4 5 2 5" xfId="44023"/>
    <cellStyle name="표준 4 2 3 4 5 3" xfId="44024"/>
    <cellStyle name="표준 4 2 3 4 6" xfId="44025"/>
    <cellStyle name="표준 4 2 3 4 7" xfId="44026"/>
    <cellStyle name="표준 4 2 3 4 8" xfId="44027"/>
    <cellStyle name="표준 4 2 3 4 9" xfId="44028"/>
    <cellStyle name="표준 4 2 3 5" xfId="44029"/>
    <cellStyle name="표준 4 2 3 5 10" xfId="44030"/>
    <cellStyle name="표준 4 2 3 5 11" xfId="44031"/>
    <cellStyle name="표준 4 2 3 5 12" xfId="44032"/>
    <cellStyle name="표준 4 2 3 5 13" xfId="44033"/>
    <cellStyle name="표준 4 2 3 5 14" xfId="44034"/>
    <cellStyle name="표준 4 2 3 5 15" xfId="44035"/>
    <cellStyle name="표준 4 2 3 5 16" xfId="44036"/>
    <cellStyle name="표준 4 2 3 5 16 2" xfId="44037"/>
    <cellStyle name="표준 4 2 3 5 16 3" xfId="44038"/>
    <cellStyle name="표준 4 2 3 5 17" xfId="44039"/>
    <cellStyle name="표준 4 2 3 5 18" xfId="44040"/>
    <cellStyle name="표준 4 2 3 5 19" xfId="44041"/>
    <cellStyle name="표준 4 2 3 5 2" xfId="44042"/>
    <cellStyle name="표준 4 2 3 5 2 2" xfId="44043"/>
    <cellStyle name="표준 4 2 3 5 2 2 2" xfId="44044"/>
    <cellStyle name="표준 4 2 3 5 2 2 2 2" xfId="44045"/>
    <cellStyle name="표준 4 2 3 5 2 2 2 3" xfId="44046"/>
    <cellStyle name="표준 4 2 3 5 2 2 3" xfId="44047"/>
    <cellStyle name="표준 4 2 3 5 2 2 4" xfId="44048"/>
    <cellStyle name="표준 4 2 3 5 2 2 5" xfId="44049"/>
    <cellStyle name="표준 4 2 3 5 2 3" xfId="44050"/>
    <cellStyle name="표준 4 2 3 5 2 3 2" xfId="44051"/>
    <cellStyle name="표준 4 2 3 5 2 3 3" xfId="44052"/>
    <cellStyle name="표준 4 2 3 5 2 4" xfId="44053"/>
    <cellStyle name="표준 4 2 3 5 2 5" xfId="44054"/>
    <cellStyle name="표준 4 2 3 5 2 6" xfId="44055"/>
    <cellStyle name="표준 4 2 3 5 3" xfId="44056"/>
    <cellStyle name="표준 4 2 3 5 3 2" xfId="44057"/>
    <cellStyle name="표준 4 2 3 5 3 2 2" xfId="44058"/>
    <cellStyle name="표준 4 2 3 5 3 2 2 2" xfId="44059"/>
    <cellStyle name="표준 4 2 3 5 3 2 2 3" xfId="44060"/>
    <cellStyle name="표준 4 2 3 5 3 2 3" xfId="44061"/>
    <cellStyle name="표준 4 2 3 5 3 2 4" xfId="44062"/>
    <cellStyle name="표준 4 2 3 5 3 2 5" xfId="44063"/>
    <cellStyle name="표준 4 2 3 5 3 3" xfId="44064"/>
    <cellStyle name="표준 4 2 3 5 4" xfId="44065"/>
    <cellStyle name="표준 4 2 3 5 4 2" xfId="44066"/>
    <cellStyle name="표준 4 2 3 5 4 2 2" xfId="44067"/>
    <cellStyle name="표준 4 2 3 5 4 2 2 2" xfId="44068"/>
    <cellStyle name="표준 4 2 3 5 4 2 2 3" xfId="44069"/>
    <cellStyle name="표준 4 2 3 5 4 2 3" xfId="44070"/>
    <cellStyle name="표준 4 2 3 5 4 2 4" xfId="44071"/>
    <cellStyle name="표준 4 2 3 5 4 2 5" xfId="44072"/>
    <cellStyle name="표준 4 2 3 5 4 3" xfId="44073"/>
    <cellStyle name="표준 4 2 3 5 5" xfId="44074"/>
    <cellStyle name="표준 4 2 3 5 6" xfId="44075"/>
    <cellStyle name="표준 4 2 3 5 7" xfId="44076"/>
    <cellStyle name="표준 4 2 3 5 8" xfId="44077"/>
    <cellStyle name="표준 4 2 3 5 9" xfId="44078"/>
    <cellStyle name="표준 4 2 3 6" xfId="44079"/>
    <cellStyle name="표준 4 2 3 6 2" xfId="44080"/>
    <cellStyle name="표준 4 2 3 6 2 2" xfId="44081"/>
    <cellStyle name="표준 4 2 3 6 2 2 2" xfId="44082"/>
    <cellStyle name="표준 4 2 3 6 2 2 3" xfId="44083"/>
    <cellStyle name="표준 4 2 3 6 2 3" xfId="44084"/>
    <cellStyle name="표준 4 2 3 6 2 4" xfId="44085"/>
    <cellStyle name="표준 4 2 3 6 2 5" xfId="44086"/>
    <cellStyle name="표준 4 2 3 6 3" xfId="44087"/>
    <cellStyle name="표준 4 2 3 6 3 2" xfId="44088"/>
    <cellStyle name="표준 4 2 3 6 3 3" xfId="44089"/>
    <cellStyle name="표준 4 2 3 6 4" xfId="44090"/>
    <cellStyle name="표준 4 2 3 6 5" xfId="44091"/>
    <cellStyle name="표준 4 2 3 6 6" xfId="44092"/>
    <cellStyle name="표준 4 2 3 7" xfId="44093"/>
    <cellStyle name="표준 4 2 3 7 2" xfId="44094"/>
    <cellStyle name="표준 4 2 3 7 2 2" xfId="44095"/>
    <cellStyle name="표준 4 2 3 7 2 2 2" xfId="44096"/>
    <cellStyle name="표준 4 2 3 7 2 2 3" xfId="44097"/>
    <cellStyle name="표준 4 2 3 7 2 3" xfId="44098"/>
    <cellStyle name="표준 4 2 3 7 2 4" xfId="44099"/>
    <cellStyle name="표준 4 2 3 7 2 5" xfId="44100"/>
    <cellStyle name="표준 4 2 3 7 3" xfId="44101"/>
    <cellStyle name="표준 4 2 3 8" xfId="44102"/>
    <cellStyle name="표준 4 2 3 8 2" xfId="44103"/>
    <cellStyle name="표준 4 2 3 8 2 2" xfId="44104"/>
    <cellStyle name="표준 4 2 3 8 2 2 2" xfId="44105"/>
    <cellStyle name="표준 4 2 3 8 2 2 3" xfId="44106"/>
    <cellStyle name="표준 4 2 3 8 2 3" xfId="44107"/>
    <cellStyle name="표준 4 2 3 8 2 4" xfId="44108"/>
    <cellStyle name="표준 4 2 3 8 2 5" xfId="44109"/>
    <cellStyle name="표준 4 2 3 8 3" xfId="44110"/>
    <cellStyle name="표준 4 2 3 9" xfId="44111"/>
    <cellStyle name="표준 4 2 4" xfId="44112"/>
    <cellStyle name="표준 4 2 4 10" xfId="44113"/>
    <cellStyle name="표준 4 2 4 11" xfId="44114"/>
    <cellStyle name="표준 4 2 4 12" xfId="44115"/>
    <cellStyle name="표준 4 2 4 13" xfId="44116"/>
    <cellStyle name="표준 4 2 4 14" xfId="44117"/>
    <cellStyle name="표준 4 2 4 15" xfId="44118"/>
    <cellStyle name="표준 4 2 4 16" xfId="44119"/>
    <cellStyle name="표준 4 2 4 17" xfId="44120"/>
    <cellStyle name="표준 4 2 4 18" xfId="44121"/>
    <cellStyle name="표준 4 2 4 19" xfId="44122"/>
    <cellStyle name="표준 4 2 4 19 2" xfId="44123"/>
    <cellStyle name="표준 4 2 4 19 3" xfId="44124"/>
    <cellStyle name="표준 4 2 4 2" xfId="44125"/>
    <cellStyle name="표준 4 2 4 2 10" xfId="44126"/>
    <cellStyle name="표준 4 2 4 2 11" xfId="44127"/>
    <cellStyle name="표준 4 2 4 2 12" xfId="44128"/>
    <cellStyle name="표준 4 2 4 2 13" xfId="44129"/>
    <cellStyle name="표준 4 2 4 2 14" xfId="44130"/>
    <cellStyle name="표준 4 2 4 2 15" xfId="44131"/>
    <cellStyle name="표준 4 2 4 2 16" xfId="44132"/>
    <cellStyle name="표준 4 2 4 2 17" xfId="44133"/>
    <cellStyle name="표준 4 2 4 2 17 2" xfId="44134"/>
    <cellStyle name="표준 4 2 4 2 17 3" xfId="44135"/>
    <cellStyle name="표준 4 2 4 2 18" xfId="44136"/>
    <cellStyle name="표준 4 2 4 2 19" xfId="44137"/>
    <cellStyle name="표준 4 2 4 2 2" xfId="44138"/>
    <cellStyle name="표준 4 2 4 2 2 10" xfId="44139"/>
    <cellStyle name="표준 4 2 4 2 2 11" xfId="44140"/>
    <cellStyle name="표준 4 2 4 2 2 12" xfId="44141"/>
    <cellStyle name="표준 4 2 4 2 2 13" xfId="44142"/>
    <cellStyle name="표준 4 2 4 2 2 14" xfId="44143"/>
    <cellStyle name="표준 4 2 4 2 2 15" xfId="44144"/>
    <cellStyle name="표준 4 2 4 2 2 16" xfId="44145"/>
    <cellStyle name="표준 4 2 4 2 2 16 2" xfId="44146"/>
    <cellStyle name="표준 4 2 4 2 2 16 3" xfId="44147"/>
    <cellStyle name="표준 4 2 4 2 2 17" xfId="44148"/>
    <cellStyle name="표준 4 2 4 2 2 18" xfId="44149"/>
    <cellStyle name="표준 4 2 4 2 2 19" xfId="44150"/>
    <cellStyle name="표준 4 2 4 2 2 2" xfId="44151"/>
    <cellStyle name="표준 4 2 4 2 2 2 2" xfId="44152"/>
    <cellStyle name="표준 4 2 4 2 2 2 2 2" xfId="44153"/>
    <cellStyle name="표준 4 2 4 2 2 2 2 2 2" xfId="44154"/>
    <cellStyle name="표준 4 2 4 2 2 2 2 2 3" xfId="44155"/>
    <cellStyle name="표준 4 2 4 2 2 2 2 3" xfId="44156"/>
    <cellStyle name="표준 4 2 4 2 2 2 2 4" xfId="44157"/>
    <cellStyle name="표준 4 2 4 2 2 2 2 5" xfId="44158"/>
    <cellStyle name="표준 4 2 4 2 2 2 3" xfId="44159"/>
    <cellStyle name="표준 4 2 4 2 2 2 3 2" xfId="44160"/>
    <cellStyle name="표준 4 2 4 2 2 2 3 3" xfId="44161"/>
    <cellStyle name="표준 4 2 4 2 2 2 4" xfId="44162"/>
    <cellStyle name="표준 4 2 4 2 2 2 5" xfId="44163"/>
    <cellStyle name="표준 4 2 4 2 2 2 6" xfId="44164"/>
    <cellStyle name="표준 4 2 4 2 2 3" xfId="44165"/>
    <cellStyle name="표준 4 2 4 2 2 3 2" xfId="44166"/>
    <cellStyle name="표준 4 2 4 2 2 3 2 2" xfId="44167"/>
    <cellStyle name="표준 4 2 4 2 2 3 2 2 2" xfId="44168"/>
    <cellStyle name="표준 4 2 4 2 2 3 2 2 3" xfId="44169"/>
    <cellStyle name="표준 4 2 4 2 2 3 2 3" xfId="44170"/>
    <cellStyle name="표준 4 2 4 2 2 3 2 4" xfId="44171"/>
    <cellStyle name="표준 4 2 4 2 2 3 2 5" xfId="44172"/>
    <cellStyle name="표준 4 2 4 2 2 3 3" xfId="44173"/>
    <cellStyle name="표준 4 2 4 2 2 4" xfId="44174"/>
    <cellStyle name="표준 4 2 4 2 2 4 2" xfId="44175"/>
    <cellStyle name="표준 4 2 4 2 2 4 2 2" xfId="44176"/>
    <cellStyle name="표준 4 2 4 2 2 4 2 2 2" xfId="44177"/>
    <cellStyle name="표준 4 2 4 2 2 4 2 2 3" xfId="44178"/>
    <cellStyle name="표준 4 2 4 2 2 4 2 3" xfId="44179"/>
    <cellStyle name="표준 4 2 4 2 2 4 2 4" xfId="44180"/>
    <cellStyle name="표준 4 2 4 2 2 4 2 5" xfId="44181"/>
    <cellStyle name="표준 4 2 4 2 2 4 3" xfId="44182"/>
    <cellStyle name="표준 4 2 4 2 2 5" xfId="44183"/>
    <cellStyle name="표준 4 2 4 2 2 6" xfId="44184"/>
    <cellStyle name="표준 4 2 4 2 2 7" xfId="44185"/>
    <cellStyle name="표준 4 2 4 2 2 8" xfId="44186"/>
    <cellStyle name="표준 4 2 4 2 2 9" xfId="44187"/>
    <cellStyle name="표준 4 2 4 2 20" xfId="44188"/>
    <cellStyle name="표준 4 2 4 2 3" xfId="44189"/>
    <cellStyle name="표준 4 2 4 2 3 2" xfId="44190"/>
    <cellStyle name="표준 4 2 4 2 3 2 2" xfId="44191"/>
    <cellStyle name="표준 4 2 4 2 3 2 2 2" xfId="44192"/>
    <cellStyle name="표준 4 2 4 2 3 2 2 3" xfId="44193"/>
    <cellStyle name="표준 4 2 4 2 3 2 3" xfId="44194"/>
    <cellStyle name="표준 4 2 4 2 3 2 4" xfId="44195"/>
    <cellStyle name="표준 4 2 4 2 3 2 5" xfId="44196"/>
    <cellStyle name="표준 4 2 4 2 3 3" xfId="44197"/>
    <cellStyle name="표준 4 2 4 2 3 3 2" xfId="44198"/>
    <cellStyle name="표준 4 2 4 2 3 3 3" xfId="44199"/>
    <cellStyle name="표준 4 2 4 2 3 4" xfId="44200"/>
    <cellStyle name="표준 4 2 4 2 3 5" xfId="44201"/>
    <cellStyle name="표준 4 2 4 2 3 6" xfId="44202"/>
    <cellStyle name="표준 4 2 4 2 4" xfId="44203"/>
    <cellStyle name="표준 4 2 4 2 4 2" xfId="44204"/>
    <cellStyle name="표준 4 2 4 2 4 2 2" xfId="44205"/>
    <cellStyle name="표준 4 2 4 2 4 2 2 2" xfId="44206"/>
    <cellStyle name="표준 4 2 4 2 4 2 2 3" xfId="44207"/>
    <cellStyle name="표준 4 2 4 2 4 2 3" xfId="44208"/>
    <cellStyle name="표준 4 2 4 2 4 2 4" xfId="44209"/>
    <cellStyle name="표준 4 2 4 2 4 2 5" xfId="44210"/>
    <cellStyle name="표준 4 2 4 2 4 3" xfId="44211"/>
    <cellStyle name="표준 4 2 4 2 5" xfId="44212"/>
    <cellStyle name="표준 4 2 4 2 5 2" xfId="44213"/>
    <cellStyle name="표준 4 2 4 2 5 2 2" xfId="44214"/>
    <cellStyle name="표준 4 2 4 2 5 2 2 2" xfId="44215"/>
    <cellStyle name="표준 4 2 4 2 5 2 2 3" xfId="44216"/>
    <cellStyle name="표준 4 2 4 2 5 2 3" xfId="44217"/>
    <cellStyle name="표준 4 2 4 2 5 2 4" xfId="44218"/>
    <cellStyle name="표준 4 2 4 2 5 2 5" xfId="44219"/>
    <cellStyle name="표준 4 2 4 2 5 3" xfId="44220"/>
    <cellStyle name="표준 4 2 4 2 6" xfId="44221"/>
    <cellStyle name="표준 4 2 4 2 7" xfId="44222"/>
    <cellStyle name="표준 4 2 4 2 8" xfId="44223"/>
    <cellStyle name="표준 4 2 4 2 9" xfId="44224"/>
    <cellStyle name="표준 4 2 4 20" xfId="44225"/>
    <cellStyle name="표준 4 2 4 21" xfId="44226"/>
    <cellStyle name="표준 4 2 4 22" xfId="44227"/>
    <cellStyle name="표준 4 2 4 3" xfId="44228"/>
    <cellStyle name="표준 4 2 4 3 10" xfId="44229"/>
    <cellStyle name="표준 4 2 4 3 11" xfId="44230"/>
    <cellStyle name="표준 4 2 4 3 12" xfId="44231"/>
    <cellStyle name="표준 4 2 4 3 13" xfId="44232"/>
    <cellStyle name="표준 4 2 4 3 14" xfId="44233"/>
    <cellStyle name="표준 4 2 4 3 15" xfId="44234"/>
    <cellStyle name="표준 4 2 4 3 16" xfId="44235"/>
    <cellStyle name="표준 4 2 4 3 17" xfId="44236"/>
    <cellStyle name="표준 4 2 4 3 17 2" xfId="44237"/>
    <cellStyle name="표준 4 2 4 3 17 3" xfId="44238"/>
    <cellStyle name="표준 4 2 4 3 18" xfId="44239"/>
    <cellStyle name="표준 4 2 4 3 19" xfId="44240"/>
    <cellStyle name="표준 4 2 4 3 2" xfId="44241"/>
    <cellStyle name="표준 4 2 4 3 2 10" xfId="44242"/>
    <cellStyle name="표준 4 2 4 3 2 11" xfId="44243"/>
    <cellStyle name="표준 4 2 4 3 2 12" xfId="44244"/>
    <cellStyle name="표준 4 2 4 3 2 13" xfId="44245"/>
    <cellStyle name="표준 4 2 4 3 2 14" xfId="44246"/>
    <cellStyle name="표준 4 2 4 3 2 15" xfId="44247"/>
    <cellStyle name="표준 4 2 4 3 2 16" xfId="44248"/>
    <cellStyle name="표준 4 2 4 3 2 16 2" xfId="44249"/>
    <cellStyle name="표준 4 2 4 3 2 16 3" xfId="44250"/>
    <cellStyle name="표준 4 2 4 3 2 17" xfId="44251"/>
    <cellStyle name="표준 4 2 4 3 2 18" xfId="44252"/>
    <cellStyle name="표준 4 2 4 3 2 19" xfId="44253"/>
    <cellStyle name="표준 4 2 4 3 2 2" xfId="44254"/>
    <cellStyle name="표준 4 2 4 3 2 2 2" xfId="44255"/>
    <cellStyle name="표준 4 2 4 3 2 2 2 2" xfId="44256"/>
    <cellStyle name="표준 4 2 4 3 2 2 2 2 2" xfId="44257"/>
    <cellStyle name="표준 4 2 4 3 2 2 2 2 3" xfId="44258"/>
    <cellStyle name="표준 4 2 4 3 2 2 2 3" xfId="44259"/>
    <cellStyle name="표준 4 2 4 3 2 2 2 4" xfId="44260"/>
    <cellStyle name="표준 4 2 4 3 2 2 2 5" xfId="44261"/>
    <cellStyle name="표준 4 2 4 3 2 2 3" xfId="44262"/>
    <cellStyle name="표준 4 2 4 3 2 2 3 2" xfId="44263"/>
    <cellStyle name="표준 4 2 4 3 2 2 3 3" xfId="44264"/>
    <cellStyle name="표준 4 2 4 3 2 2 4" xfId="44265"/>
    <cellStyle name="표준 4 2 4 3 2 2 5" xfId="44266"/>
    <cellStyle name="표준 4 2 4 3 2 2 6" xfId="44267"/>
    <cellStyle name="표준 4 2 4 3 2 3" xfId="44268"/>
    <cellStyle name="표준 4 2 4 3 2 3 2" xfId="44269"/>
    <cellStyle name="표준 4 2 4 3 2 3 2 2" xfId="44270"/>
    <cellStyle name="표준 4 2 4 3 2 3 2 2 2" xfId="44271"/>
    <cellStyle name="표준 4 2 4 3 2 3 2 2 3" xfId="44272"/>
    <cellStyle name="표준 4 2 4 3 2 3 2 3" xfId="44273"/>
    <cellStyle name="표준 4 2 4 3 2 3 2 4" xfId="44274"/>
    <cellStyle name="표준 4 2 4 3 2 3 2 5" xfId="44275"/>
    <cellStyle name="표준 4 2 4 3 2 3 3" xfId="44276"/>
    <cellStyle name="표준 4 2 4 3 2 4" xfId="44277"/>
    <cellStyle name="표준 4 2 4 3 2 4 2" xfId="44278"/>
    <cellStyle name="표준 4 2 4 3 2 4 2 2" xfId="44279"/>
    <cellStyle name="표준 4 2 4 3 2 4 2 2 2" xfId="44280"/>
    <cellStyle name="표준 4 2 4 3 2 4 2 2 3" xfId="44281"/>
    <cellStyle name="표준 4 2 4 3 2 4 2 3" xfId="44282"/>
    <cellStyle name="표준 4 2 4 3 2 4 2 4" xfId="44283"/>
    <cellStyle name="표준 4 2 4 3 2 4 2 5" xfId="44284"/>
    <cellStyle name="표준 4 2 4 3 2 4 3" xfId="44285"/>
    <cellStyle name="표준 4 2 4 3 2 5" xfId="44286"/>
    <cellStyle name="표준 4 2 4 3 2 6" xfId="44287"/>
    <cellStyle name="표준 4 2 4 3 2 7" xfId="44288"/>
    <cellStyle name="표준 4 2 4 3 2 8" xfId="44289"/>
    <cellStyle name="표준 4 2 4 3 2 9" xfId="44290"/>
    <cellStyle name="표준 4 2 4 3 20" xfId="44291"/>
    <cellStyle name="표준 4 2 4 3 3" xfId="44292"/>
    <cellStyle name="표준 4 2 4 3 3 2" xfId="44293"/>
    <cellStyle name="표준 4 2 4 3 3 2 2" xfId="44294"/>
    <cellStyle name="표준 4 2 4 3 3 2 2 2" xfId="44295"/>
    <cellStyle name="표준 4 2 4 3 3 2 2 3" xfId="44296"/>
    <cellStyle name="표준 4 2 4 3 3 2 3" xfId="44297"/>
    <cellStyle name="표준 4 2 4 3 3 2 4" xfId="44298"/>
    <cellStyle name="표준 4 2 4 3 3 2 5" xfId="44299"/>
    <cellStyle name="표준 4 2 4 3 3 3" xfId="44300"/>
    <cellStyle name="표준 4 2 4 3 3 3 2" xfId="44301"/>
    <cellStyle name="표준 4 2 4 3 3 3 3" xfId="44302"/>
    <cellStyle name="표준 4 2 4 3 3 4" xfId="44303"/>
    <cellStyle name="표준 4 2 4 3 3 5" xfId="44304"/>
    <cellStyle name="표준 4 2 4 3 3 6" xfId="44305"/>
    <cellStyle name="표준 4 2 4 3 4" xfId="44306"/>
    <cellStyle name="표준 4 2 4 3 4 2" xfId="44307"/>
    <cellStyle name="표준 4 2 4 3 4 2 2" xfId="44308"/>
    <cellStyle name="표준 4 2 4 3 4 2 2 2" xfId="44309"/>
    <cellStyle name="표준 4 2 4 3 4 2 2 3" xfId="44310"/>
    <cellStyle name="표준 4 2 4 3 4 2 3" xfId="44311"/>
    <cellStyle name="표준 4 2 4 3 4 2 4" xfId="44312"/>
    <cellStyle name="표준 4 2 4 3 4 2 5" xfId="44313"/>
    <cellStyle name="표준 4 2 4 3 4 3" xfId="44314"/>
    <cellStyle name="표준 4 2 4 3 5" xfId="44315"/>
    <cellStyle name="표준 4 2 4 3 5 2" xfId="44316"/>
    <cellStyle name="표준 4 2 4 3 5 2 2" xfId="44317"/>
    <cellStyle name="표준 4 2 4 3 5 2 2 2" xfId="44318"/>
    <cellStyle name="표준 4 2 4 3 5 2 2 3" xfId="44319"/>
    <cellStyle name="표준 4 2 4 3 5 2 3" xfId="44320"/>
    <cellStyle name="표준 4 2 4 3 5 2 4" xfId="44321"/>
    <cellStyle name="표준 4 2 4 3 5 2 5" xfId="44322"/>
    <cellStyle name="표준 4 2 4 3 5 3" xfId="44323"/>
    <cellStyle name="표준 4 2 4 3 6" xfId="44324"/>
    <cellStyle name="표준 4 2 4 3 7" xfId="44325"/>
    <cellStyle name="표준 4 2 4 3 8" xfId="44326"/>
    <cellStyle name="표준 4 2 4 3 9" xfId="44327"/>
    <cellStyle name="표준 4 2 4 4" xfId="44328"/>
    <cellStyle name="표준 4 2 4 4 10" xfId="44329"/>
    <cellStyle name="표준 4 2 4 4 11" xfId="44330"/>
    <cellStyle name="표준 4 2 4 4 12" xfId="44331"/>
    <cellStyle name="표준 4 2 4 4 13" xfId="44332"/>
    <cellStyle name="표준 4 2 4 4 14" xfId="44333"/>
    <cellStyle name="표준 4 2 4 4 15" xfId="44334"/>
    <cellStyle name="표준 4 2 4 4 16" xfId="44335"/>
    <cellStyle name="표준 4 2 4 4 16 2" xfId="44336"/>
    <cellStyle name="표준 4 2 4 4 16 3" xfId="44337"/>
    <cellStyle name="표준 4 2 4 4 17" xfId="44338"/>
    <cellStyle name="표준 4 2 4 4 18" xfId="44339"/>
    <cellStyle name="표준 4 2 4 4 19" xfId="44340"/>
    <cellStyle name="표준 4 2 4 4 2" xfId="44341"/>
    <cellStyle name="표준 4 2 4 4 2 2" xfId="44342"/>
    <cellStyle name="표준 4 2 4 4 2 2 2" xfId="44343"/>
    <cellStyle name="표준 4 2 4 4 2 2 2 2" xfId="44344"/>
    <cellStyle name="표준 4 2 4 4 2 2 2 3" xfId="44345"/>
    <cellStyle name="표준 4 2 4 4 2 2 3" xfId="44346"/>
    <cellStyle name="표준 4 2 4 4 2 2 4" xfId="44347"/>
    <cellStyle name="표준 4 2 4 4 2 2 5" xfId="44348"/>
    <cellStyle name="표준 4 2 4 4 2 3" xfId="44349"/>
    <cellStyle name="표준 4 2 4 4 2 3 2" xfId="44350"/>
    <cellStyle name="표준 4 2 4 4 2 3 3" xfId="44351"/>
    <cellStyle name="표준 4 2 4 4 2 4" xfId="44352"/>
    <cellStyle name="표준 4 2 4 4 2 5" xfId="44353"/>
    <cellStyle name="표준 4 2 4 4 2 6" xfId="44354"/>
    <cellStyle name="표준 4 2 4 4 3" xfId="44355"/>
    <cellStyle name="표준 4 2 4 4 3 2" xfId="44356"/>
    <cellStyle name="표준 4 2 4 4 3 2 2" xfId="44357"/>
    <cellStyle name="표준 4 2 4 4 3 2 2 2" xfId="44358"/>
    <cellStyle name="표준 4 2 4 4 3 2 2 3" xfId="44359"/>
    <cellStyle name="표준 4 2 4 4 3 2 3" xfId="44360"/>
    <cellStyle name="표준 4 2 4 4 3 2 4" xfId="44361"/>
    <cellStyle name="표준 4 2 4 4 3 2 5" xfId="44362"/>
    <cellStyle name="표준 4 2 4 4 3 3" xfId="44363"/>
    <cellStyle name="표준 4 2 4 4 4" xfId="44364"/>
    <cellStyle name="표준 4 2 4 4 4 2" xfId="44365"/>
    <cellStyle name="표준 4 2 4 4 4 2 2" xfId="44366"/>
    <cellStyle name="표준 4 2 4 4 4 2 2 2" xfId="44367"/>
    <cellStyle name="표준 4 2 4 4 4 2 2 3" xfId="44368"/>
    <cellStyle name="표준 4 2 4 4 4 2 3" xfId="44369"/>
    <cellStyle name="표준 4 2 4 4 4 2 4" xfId="44370"/>
    <cellStyle name="표준 4 2 4 4 4 2 5" xfId="44371"/>
    <cellStyle name="표준 4 2 4 4 4 3" xfId="44372"/>
    <cellStyle name="표준 4 2 4 4 5" xfId="44373"/>
    <cellStyle name="표준 4 2 4 4 6" xfId="44374"/>
    <cellStyle name="표준 4 2 4 4 7" xfId="44375"/>
    <cellStyle name="표준 4 2 4 4 8" xfId="44376"/>
    <cellStyle name="표준 4 2 4 4 9" xfId="44377"/>
    <cellStyle name="표준 4 2 4 5" xfId="44378"/>
    <cellStyle name="표준 4 2 4 5 2" xfId="44379"/>
    <cellStyle name="표준 4 2 4 5 2 2" xfId="44380"/>
    <cellStyle name="표준 4 2 4 5 2 2 2" xfId="44381"/>
    <cellStyle name="표준 4 2 4 5 2 2 3" xfId="44382"/>
    <cellStyle name="표준 4 2 4 5 2 3" xfId="44383"/>
    <cellStyle name="표준 4 2 4 5 2 4" xfId="44384"/>
    <cellStyle name="표준 4 2 4 5 2 5" xfId="44385"/>
    <cellStyle name="표준 4 2 4 5 3" xfId="44386"/>
    <cellStyle name="표준 4 2 4 5 3 2" xfId="44387"/>
    <cellStyle name="표준 4 2 4 5 3 3" xfId="44388"/>
    <cellStyle name="표준 4 2 4 5 4" xfId="44389"/>
    <cellStyle name="표준 4 2 4 5 5" xfId="44390"/>
    <cellStyle name="표준 4 2 4 5 6" xfId="44391"/>
    <cellStyle name="표준 4 2 4 6" xfId="44392"/>
    <cellStyle name="표준 4 2 4 6 2" xfId="44393"/>
    <cellStyle name="표준 4 2 4 6 2 2" xfId="44394"/>
    <cellStyle name="표준 4 2 4 6 2 2 2" xfId="44395"/>
    <cellStyle name="표준 4 2 4 6 2 2 3" xfId="44396"/>
    <cellStyle name="표준 4 2 4 6 2 3" xfId="44397"/>
    <cellStyle name="표준 4 2 4 6 2 4" xfId="44398"/>
    <cellStyle name="표준 4 2 4 6 2 5" xfId="44399"/>
    <cellStyle name="표준 4 2 4 6 3" xfId="44400"/>
    <cellStyle name="표준 4 2 4 7" xfId="44401"/>
    <cellStyle name="표준 4 2 4 7 2" xfId="44402"/>
    <cellStyle name="표준 4 2 4 7 2 2" xfId="44403"/>
    <cellStyle name="표준 4 2 4 7 2 2 2" xfId="44404"/>
    <cellStyle name="표준 4 2 4 7 2 2 3" xfId="44405"/>
    <cellStyle name="표준 4 2 4 7 2 3" xfId="44406"/>
    <cellStyle name="표준 4 2 4 7 2 4" xfId="44407"/>
    <cellStyle name="표준 4 2 4 7 2 5" xfId="44408"/>
    <cellStyle name="표준 4 2 4 7 3" xfId="44409"/>
    <cellStyle name="표준 4 2 4 8" xfId="44410"/>
    <cellStyle name="표준 4 2 4 9" xfId="44411"/>
    <cellStyle name="표준 4 2 5" xfId="44412"/>
    <cellStyle name="표준 4 2 5 10" xfId="44413"/>
    <cellStyle name="표준 4 2 5 11" xfId="44414"/>
    <cellStyle name="표준 4 2 5 12" xfId="44415"/>
    <cellStyle name="표준 4 2 5 13" xfId="44416"/>
    <cellStyle name="표준 4 2 5 14" xfId="44417"/>
    <cellStyle name="표준 4 2 5 15" xfId="44418"/>
    <cellStyle name="표준 4 2 5 16" xfId="44419"/>
    <cellStyle name="표준 4 2 5 17" xfId="44420"/>
    <cellStyle name="표준 4 2 5 17 2" xfId="44421"/>
    <cellStyle name="표준 4 2 5 17 3" xfId="44422"/>
    <cellStyle name="표준 4 2 5 18" xfId="44423"/>
    <cellStyle name="표준 4 2 5 19" xfId="44424"/>
    <cellStyle name="표준 4 2 5 2" xfId="44425"/>
    <cellStyle name="표준 4 2 5 2 10" xfId="44426"/>
    <cellStyle name="표준 4 2 5 2 11" xfId="44427"/>
    <cellStyle name="표준 4 2 5 2 12" xfId="44428"/>
    <cellStyle name="표준 4 2 5 2 13" xfId="44429"/>
    <cellStyle name="표준 4 2 5 2 14" xfId="44430"/>
    <cellStyle name="표준 4 2 5 2 15" xfId="44431"/>
    <cellStyle name="표준 4 2 5 2 16" xfId="44432"/>
    <cellStyle name="표준 4 2 5 2 16 2" xfId="44433"/>
    <cellStyle name="표준 4 2 5 2 16 3" xfId="44434"/>
    <cellStyle name="표준 4 2 5 2 17" xfId="44435"/>
    <cellStyle name="표준 4 2 5 2 18" xfId="44436"/>
    <cellStyle name="표준 4 2 5 2 19" xfId="44437"/>
    <cellStyle name="표준 4 2 5 2 2" xfId="44438"/>
    <cellStyle name="표준 4 2 5 2 2 2" xfId="44439"/>
    <cellStyle name="표준 4 2 5 2 2 2 2" xfId="44440"/>
    <cellStyle name="표준 4 2 5 2 2 2 2 2" xfId="44441"/>
    <cellStyle name="표준 4 2 5 2 2 2 2 3" xfId="44442"/>
    <cellStyle name="표준 4 2 5 2 2 2 3" xfId="44443"/>
    <cellStyle name="표준 4 2 5 2 2 2 4" xfId="44444"/>
    <cellStyle name="표준 4 2 5 2 2 2 5" xfId="44445"/>
    <cellStyle name="표준 4 2 5 2 2 3" xfId="44446"/>
    <cellStyle name="표준 4 2 5 2 2 3 2" xfId="44447"/>
    <cellStyle name="표준 4 2 5 2 2 3 3" xfId="44448"/>
    <cellStyle name="표준 4 2 5 2 2 4" xfId="44449"/>
    <cellStyle name="표준 4 2 5 2 2 5" xfId="44450"/>
    <cellStyle name="표준 4 2 5 2 2 6" xfId="44451"/>
    <cellStyle name="표준 4 2 5 2 3" xfId="44452"/>
    <cellStyle name="표준 4 2 5 2 3 2" xfId="44453"/>
    <cellStyle name="표준 4 2 5 2 3 2 2" xfId="44454"/>
    <cellStyle name="표준 4 2 5 2 3 2 2 2" xfId="44455"/>
    <cellStyle name="표준 4 2 5 2 3 2 2 3" xfId="44456"/>
    <cellStyle name="표준 4 2 5 2 3 2 3" xfId="44457"/>
    <cellStyle name="표준 4 2 5 2 3 2 4" xfId="44458"/>
    <cellStyle name="표준 4 2 5 2 3 2 5" xfId="44459"/>
    <cellStyle name="표준 4 2 5 2 3 3" xfId="44460"/>
    <cellStyle name="표준 4 2 5 2 4" xfId="44461"/>
    <cellStyle name="표준 4 2 5 2 4 2" xfId="44462"/>
    <cellStyle name="표준 4 2 5 2 4 2 2" xfId="44463"/>
    <cellStyle name="표준 4 2 5 2 4 2 2 2" xfId="44464"/>
    <cellStyle name="표준 4 2 5 2 4 2 2 3" xfId="44465"/>
    <cellStyle name="표준 4 2 5 2 4 2 3" xfId="44466"/>
    <cellStyle name="표준 4 2 5 2 4 2 4" xfId="44467"/>
    <cellStyle name="표준 4 2 5 2 4 2 5" xfId="44468"/>
    <cellStyle name="표준 4 2 5 2 4 3" xfId="44469"/>
    <cellStyle name="표준 4 2 5 2 5" xfId="44470"/>
    <cellStyle name="표준 4 2 5 2 6" xfId="44471"/>
    <cellStyle name="표준 4 2 5 2 7" xfId="44472"/>
    <cellStyle name="표준 4 2 5 2 8" xfId="44473"/>
    <cellStyle name="표준 4 2 5 2 9" xfId="44474"/>
    <cellStyle name="표준 4 2 5 20" xfId="44475"/>
    <cellStyle name="표준 4 2 5 3" xfId="44476"/>
    <cellStyle name="표준 4 2 5 3 2" xfId="44477"/>
    <cellStyle name="표준 4 2 5 3 2 2" xfId="44478"/>
    <cellStyle name="표준 4 2 5 3 2 2 2" xfId="44479"/>
    <cellStyle name="표준 4 2 5 3 2 2 3" xfId="44480"/>
    <cellStyle name="표준 4 2 5 3 2 3" xfId="44481"/>
    <cellStyle name="표준 4 2 5 3 2 4" xfId="44482"/>
    <cellStyle name="표준 4 2 5 3 2 5" xfId="44483"/>
    <cellStyle name="표준 4 2 5 3 3" xfId="44484"/>
    <cellStyle name="표준 4 2 5 3 3 2" xfId="44485"/>
    <cellStyle name="표준 4 2 5 3 3 3" xfId="44486"/>
    <cellStyle name="표준 4 2 5 3 4" xfId="44487"/>
    <cellStyle name="표준 4 2 5 3 5" xfId="44488"/>
    <cellStyle name="표준 4 2 5 3 6" xfId="44489"/>
    <cellStyle name="표준 4 2 5 4" xfId="44490"/>
    <cellStyle name="표준 4 2 5 4 2" xfId="44491"/>
    <cellStyle name="표준 4 2 5 4 2 2" xfId="44492"/>
    <cellStyle name="표준 4 2 5 4 2 2 2" xfId="44493"/>
    <cellStyle name="표준 4 2 5 4 2 2 3" xfId="44494"/>
    <cellStyle name="표준 4 2 5 4 2 3" xfId="44495"/>
    <cellStyle name="표준 4 2 5 4 2 4" xfId="44496"/>
    <cellStyle name="표준 4 2 5 4 2 5" xfId="44497"/>
    <cellStyle name="표준 4 2 5 4 3" xfId="44498"/>
    <cellStyle name="표준 4 2 5 5" xfId="44499"/>
    <cellStyle name="표준 4 2 5 5 2" xfId="44500"/>
    <cellStyle name="표준 4 2 5 5 2 2" xfId="44501"/>
    <cellStyle name="표준 4 2 5 5 2 2 2" xfId="44502"/>
    <cellStyle name="표준 4 2 5 5 2 2 3" xfId="44503"/>
    <cellStyle name="표준 4 2 5 5 2 3" xfId="44504"/>
    <cellStyle name="표준 4 2 5 5 2 4" xfId="44505"/>
    <cellStyle name="표준 4 2 5 5 2 5" xfId="44506"/>
    <cellStyle name="표준 4 2 5 5 3" xfId="44507"/>
    <cellStyle name="표준 4 2 5 6" xfId="44508"/>
    <cellStyle name="표준 4 2 5 7" xfId="44509"/>
    <cellStyle name="표준 4 2 5 8" xfId="44510"/>
    <cellStyle name="표준 4 2 5 9" xfId="44511"/>
    <cellStyle name="표준 4 2 6" xfId="44512"/>
    <cellStyle name="표준 4 2 6 10" xfId="44513"/>
    <cellStyle name="표준 4 2 6 11" xfId="44514"/>
    <cellStyle name="표준 4 2 6 12" xfId="44515"/>
    <cellStyle name="표준 4 2 6 13" xfId="44516"/>
    <cellStyle name="표준 4 2 6 14" xfId="44517"/>
    <cellStyle name="표준 4 2 6 15" xfId="44518"/>
    <cellStyle name="표준 4 2 6 16" xfId="44519"/>
    <cellStyle name="표준 4 2 6 17" xfId="44520"/>
    <cellStyle name="표준 4 2 6 17 2" xfId="44521"/>
    <cellStyle name="표준 4 2 6 17 3" xfId="44522"/>
    <cellStyle name="표준 4 2 6 18" xfId="44523"/>
    <cellStyle name="표준 4 2 6 19" xfId="44524"/>
    <cellStyle name="표준 4 2 6 2" xfId="44525"/>
    <cellStyle name="표준 4 2 6 2 10" xfId="44526"/>
    <cellStyle name="표준 4 2 6 2 11" xfId="44527"/>
    <cellStyle name="표준 4 2 6 2 12" xfId="44528"/>
    <cellStyle name="표준 4 2 6 2 13" xfId="44529"/>
    <cellStyle name="표준 4 2 6 2 14" xfId="44530"/>
    <cellStyle name="표준 4 2 6 2 15" xfId="44531"/>
    <cellStyle name="표준 4 2 6 2 16" xfId="44532"/>
    <cellStyle name="표준 4 2 6 2 16 2" xfId="44533"/>
    <cellStyle name="표준 4 2 6 2 16 3" xfId="44534"/>
    <cellStyle name="표준 4 2 6 2 17" xfId="44535"/>
    <cellStyle name="표준 4 2 6 2 18" xfId="44536"/>
    <cellStyle name="표준 4 2 6 2 19" xfId="44537"/>
    <cellStyle name="표준 4 2 6 2 2" xfId="44538"/>
    <cellStyle name="표준 4 2 6 2 2 2" xfId="44539"/>
    <cellStyle name="표준 4 2 6 2 2 2 2" xfId="44540"/>
    <cellStyle name="표준 4 2 6 2 2 2 2 2" xfId="44541"/>
    <cellStyle name="표준 4 2 6 2 2 2 2 3" xfId="44542"/>
    <cellStyle name="표준 4 2 6 2 2 2 3" xfId="44543"/>
    <cellStyle name="표준 4 2 6 2 2 2 4" xfId="44544"/>
    <cellStyle name="표준 4 2 6 2 2 2 5" xfId="44545"/>
    <cellStyle name="표준 4 2 6 2 2 3" xfId="44546"/>
    <cellStyle name="표준 4 2 6 2 2 3 2" xfId="44547"/>
    <cellStyle name="표준 4 2 6 2 2 3 3" xfId="44548"/>
    <cellStyle name="표준 4 2 6 2 2 4" xfId="44549"/>
    <cellStyle name="표준 4 2 6 2 2 5" xfId="44550"/>
    <cellStyle name="표준 4 2 6 2 2 6" xfId="44551"/>
    <cellStyle name="표준 4 2 6 2 3" xfId="44552"/>
    <cellStyle name="표준 4 2 6 2 3 2" xfId="44553"/>
    <cellStyle name="표준 4 2 6 2 3 2 2" xfId="44554"/>
    <cellStyle name="표준 4 2 6 2 3 2 2 2" xfId="44555"/>
    <cellStyle name="표준 4 2 6 2 3 2 2 3" xfId="44556"/>
    <cellStyle name="표준 4 2 6 2 3 2 3" xfId="44557"/>
    <cellStyle name="표준 4 2 6 2 3 2 4" xfId="44558"/>
    <cellStyle name="표준 4 2 6 2 3 2 5" xfId="44559"/>
    <cellStyle name="표준 4 2 6 2 3 3" xfId="44560"/>
    <cellStyle name="표준 4 2 6 2 4" xfId="44561"/>
    <cellStyle name="표준 4 2 6 2 4 2" xfId="44562"/>
    <cellStyle name="표준 4 2 6 2 4 2 2" xfId="44563"/>
    <cellStyle name="표준 4 2 6 2 4 2 2 2" xfId="44564"/>
    <cellStyle name="표준 4 2 6 2 4 2 2 3" xfId="44565"/>
    <cellStyle name="표준 4 2 6 2 4 2 3" xfId="44566"/>
    <cellStyle name="표준 4 2 6 2 4 2 4" xfId="44567"/>
    <cellStyle name="표준 4 2 6 2 4 2 5" xfId="44568"/>
    <cellStyle name="표준 4 2 6 2 4 3" xfId="44569"/>
    <cellStyle name="표준 4 2 6 2 5" xfId="44570"/>
    <cellStyle name="표준 4 2 6 2 6" xfId="44571"/>
    <cellStyle name="표준 4 2 6 2 7" xfId="44572"/>
    <cellStyle name="표준 4 2 6 2 8" xfId="44573"/>
    <cellStyle name="표준 4 2 6 2 9" xfId="44574"/>
    <cellStyle name="표준 4 2 6 20" xfId="44575"/>
    <cellStyle name="표준 4 2 6 3" xfId="44576"/>
    <cellStyle name="표준 4 2 6 3 2" xfId="44577"/>
    <cellStyle name="표준 4 2 6 3 2 2" xfId="44578"/>
    <cellStyle name="표준 4 2 6 3 2 2 2" xfId="44579"/>
    <cellStyle name="표준 4 2 6 3 2 2 3" xfId="44580"/>
    <cellStyle name="표준 4 2 6 3 2 3" xfId="44581"/>
    <cellStyle name="표준 4 2 6 3 2 4" xfId="44582"/>
    <cellStyle name="표준 4 2 6 3 2 5" xfId="44583"/>
    <cellStyle name="표준 4 2 6 3 3" xfId="44584"/>
    <cellStyle name="표준 4 2 6 3 3 2" xfId="44585"/>
    <cellStyle name="표준 4 2 6 3 3 3" xfId="44586"/>
    <cellStyle name="표준 4 2 6 3 4" xfId="44587"/>
    <cellStyle name="표준 4 2 6 3 5" xfId="44588"/>
    <cellStyle name="표준 4 2 6 3 6" xfId="44589"/>
    <cellStyle name="표준 4 2 6 4" xfId="44590"/>
    <cellStyle name="표준 4 2 6 4 2" xfId="44591"/>
    <cellStyle name="표준 4 2 6 4 2 2" xfId="44592"/>
    <cellStyle name="표준 4 2 6 4 2 2 2" xfId="44593"/>
    <cellStyle name="표준 4 2 6 4 2 2 3" xfId="44594"/>
    <cellStyle name="표준 4 2 6 4 2 3" xfId="44595"/>
    <cellStyle name="표준 4 2 6 4 2 4" xfId="44596"/>
    <cellStyle name="표준 4 2 6 4 2 5" xfId="44597"/>
    <cellStyle name="표준 4 2 6 4 3" xfId="44598"/>
    <cellStyle name="표준 4 2 6 5" xfId="44599"/>
    <cellStyle name="표준 4 2 6 5 2" xfId="44600"/>
    <cellStyle name="표준 4 2 6 5 2 2" xfId="44601"/>
    <cellStyle name="표준 4 2 6 5 2 2 2" xfId="44602"/>
    <cellStyle name="표준 4 2 6 5 2 2 3" xfId="44603"/>
    <cellStyle name="표준 4 2 6 5 2 3" xfId="44604"/>
    <cellStyle name="표준 4 2 6 5 2 4" xfId="44605"/>
    <cellStyle name="표준 4 2 6 5 2 5" xfId="44606"/>
    <cellStyle name="표준 4 2 6 5 3" xfId="44607"/>
    <cellStyle name="표준 4 2 6 6" xfId="44608"/>
    <cellStyle name="표준 4 2 6 7" xfId="44609"/>
    <cellStyle name="표준 4 2 6 8" xfId="44610"/>
    <cellStyle name="표준 4 2 6 9" xfId="44611"/>
    <cellStyle name="표준 4 2 7" xfId="44612"/>
    <cellStyle name="표준 4 2 7 10" xfId="44613"/>
    <cellStyle name="표준 4 2 7 11" xfId="44614"/>
    <cellStyle name="표준 4 2 7 12" xfId="44615"/>
    <cellStyle name="표준 4 2 7 13" xfId="44616"/>
    <cellStyle name="표준 4 2 7 14" xfId="44617"/>
    <cellStyle name="표준 4 2 7 15" xfId="44618"/>
    <cellStyle name="표준 4 2 7 16" xfId="44619"/>
    <cellStyle name="표준 4 2 7 16 2" xfId="44620"/>
    <cellStyle name="표준 4 2 7 16 3" xfId="44621"/>
    <cellStyle name="표준 4 2 7 17" xfId="44622"/>
    <cellStyle name="표준 4 2 7 18" xfId="44623"/>
    <cellStyle name="표준 4 2 7 19" xfId="44624"/>
    <cellStyle name="표준 4 2 7 2" xfId="44625"/>
    <cellStyle name="표준 4 2 7 2 2" xfId="44626"/>
    <cellStyle name="표준 4 2 7 2 3" xfId="44627"/>
    <cellStyle name="표준 4 2 7 2 3 2" xfId="44628"/>
    <cellStyle name="표준 4 2 7 2 3 3" xfId="44629"/>
    <cellStyle name="표준 4 2 7 2 4" xfId="44630"/>
    <cellStyle name="표준 4 2 7 2 5" xfId="44631"/>
    <cellStyle name="표준 4 2 7 2 6" xfId="44632"/>
    <cellStyle name="표준 4 2 7 3" xfId="44633"/>
    <cellStyle name="표준 4 2 7 3 2" xfId="44634"/>
    <cellStyle name="표준 4 2 7 3 2 2" xfId="44635"/>
    <cellStyle name="표준 4 2 7 3 2 2 2" xfId="44636"/>
    <cellStyle name="표준 4 2 7 3 2 2 3" xfId="44637"/>
    <cellStyle name="표준 4 2 7 3 2 3" xfId="44638"/>
    <cellStyle name="표준 4 2 7 3 2 4" xfId="44639"/>
    <cellStyle name="표준 4 2 7 3 2 5" xfId="44640"/>
    <cellStyle name="표준 4 2 7 3 3" xfId="44641"/>
    <cellStyle name="표준 4 2 7 4" xfId="44642"/>
    <cellStyle name="표준 4 2 7 4 2" xfId="44643"/>
    <cellStyle name="표준 4 2 7 4 2 2" xfId="44644"/>
    <cellStyle name="표준 4 2 7 4 2 2 2" xfId="44645"/>
    <cellStyle name="표준 4 2 7 4 2 2 3" xfId="44646"/>
    <cellStyle name="표준 4 2 7 4 2 3" xfId="44647"/>
    <cellStyle name="표준 4 2 7 4 2 4" xfId="44648"/>
    <cellStyle name="표준 4 2 7 4 2 5" xfId="44649"/>
    <cellStyle name="표준 4 2 7 4 3" xfId="44650"/>
    <cellStyle name="표준 4 2 7 5" xfId="44651"/>
    <cellStyle name="표준 4 2 7 6" xfId="44652"/>
    <cellStyle name="표준 4 2 7 7" xfId="44653"/>
    <cellStyle name="표준 4 2 7 8" xfId="44654"/>
    <cellStyle name="표준 4 2 7 9" xfId="44655"/>
    <cellStyle name="표준 4 2 8" xfId="44656"/>
    <cellStyle name="표준 4 2 8 2" xfId="44657"/>
    <cellStyle name="표준 4 2 8 3" xfId="44658"/>
    <cellStyle name="표준 4 2 8 3 2" xfId="44659"/>
    <cellStyle name="표준 4 2 8 3 3" xfId="44660"/>
    <cellStyle name="표준 4 2 8 4" xfId="44661"/>
    <cellStyle name="표준 4 2 8 5" xfId="44662"/>
    <cellStyle name="표준 4 2 8 6" xfId="44663"/>
    <cellStyle name="표준 4 2 9" xfId="44664"/>
    <cellStyle name="표준 4 2 9 2" xfId="44665"/>
    <cellStyle name="표준 4 2 9 2 2" xfId="44666"/>
    <cellStyle name="표준 4 2 9 2 2 2" xfId="44667"/>
    <cellStyle name="표준 4 2 9 2 2 3" xfId="44668"/>
    <cellStyle name="표준 4 2 9 2 3" xfId="44669"/>
    <cellStyle name="표준 4 2 9 2 4" xfId="44670"/>
    <cellStyle name="표준 4 2 9 2 5" xfId="44671"/>
    <cellStyle name="표준 4 2 9 3" xfId="44672"/>
    <cellStyle name="표준 4 20" xfId="44673"/>
    <cellStyle name="표준 4 20 2" xfId="44674"/>
    <cellStyle name="표준 4 21" xfId="44675"/>
    <cellStyle name="표준 4 21 2" xfId="44676"/>
    <cellStyle name="표준 4 22" xfId="44677"/>
    <cellStyle name="표준 4 22 2" xfId="44678"/>
    <cellStyle name="표준 4 23" xfId="44679"/>
    <cellStyle name="표준 4 23 2" xfId="44680"/>
    <cellStyle name="표준 4 24" xfId="44681"/>
    <cellStyle name="표준 4 25" xfId="44682"/>
    <cellStyle name="표준 4 3" xfId="44683"/>
    <cellStyle name="표준 4 3 10" xfId="44684"/>
    <cellStyle name="표준 4 3 11" xfId="44685"/>
    <cellStyle name="표준 4 3 12" xfId="44686"/>
    <cellStyle name="표준 4 3 13" xfId="44687"/>
    <cellStyle name="표준 4 3 14" xfId="44688"/>
    <cellStyle name="표준 4 3 15" xfId="44689"/>
    <cellStyle name="표준 4 3 16" xfId="44690"/>
    <cellStyle name="표준 4 3 17" xfId="44691"/>
    <cellStyle name="표준 4 3 18" xfId="44692"/>
    <cellStyle name="표준 4 3 19" xfId="44693"/>
    <cellStyle name="표준 4 3 2" xfId="44694"/>
    <cellStyle name="표준 4 3 2 10" xfId="44695"/>
    <cellStyle name="표준 4 3 2 11" xfId="44696"/>
    <cellStyle name="표준 4 3 2 12" xfId="44697"/>
    <cellStyle name="표준 4 3 2 13" xfId="44698"/>
    <cellStyle name="표준 4 3 2 14" xfId="44699"/>
    <cellStyle name="표준 4 3 2 15" xfId="44700"/>
    <cellStyle name="표준 4 3 2 16" xfId="44701"/>
    <cellStyle name="표준 4 3 2 17" xfId="44702"/>
    <cellStyle name="표준 4 3 2 18" xfId="44703"/>
    <cellStyle name="표준 4 3 2 19" xfId="44704"/>
    <cellStyle name="표준 4 3 2 2" xfId="44705"/>
    <cellStyle name="표준 4 3 2 2 10" xfId="44706"/>
    <cellStyle name="표준 4 3 2 2 11" xfId="44707"/>
    <cellStyle name="표준 4 3 2 2 12" xfId="44708"/>
    <cellStyle name="표준 4 3 2 2 13" xfId="44709"/>
    <cellStyle name="표준 4 3 2 2 14" xfId="44710"/>
    <cellStyle name="표준 4 3 2 2 15" xfId="44711"/>
    <cellStyle name="표준 4 3 2 2 16" xfId="44712"/>
    <cellStyle name="표준 4 3 2 2 17" xfId="44713"/>
    <cellStyle name="표준 4 3 2 2 18" xfId="44714"/>
    <cellStyle name="표준 4 3 2 2 19" xfId="44715"/>
    <cellStyle name="표준 4 3 2 2 19 2" xfId="44716"/>
    <cellStyle name="표준 4 3 2 2 19 3" xfId="44717"/>
    <cellStyle name="표준 4 3 2 2 2" xfId="44718"/>
    <cellStyle name="표준 4 3 2 2 2 10" xfId="44719"/>
    <cellStyle name="표준 4 3 2 2 2 11" xfId="44720"/>
    <cellStyle name="표준 4 3 2 2 2 12" xfId="44721"/>
    <cellStyle name="표준 4 3 2 2 2 13" xfId="44722"/>
    <cellStyle name="표준 4 3 2 2 2 14" xfId="44723"/>
    <cellStyle name="표준 4 3 2 2 2 15" xfId="44724"/>
    <cellStyle name="표준 4 3 2 2 2 16" xfId="44725"/>
    <cellStyle name="표준 4 3 2 2 2 17" xfId="44726"/>
    <cellStyle name="표준 4 3 2 2 2 17 2" xfId="44727"/>
    <cellStyle name="표준 4 3 2 2 2 17 3" xfId="44728"/>
    <cellStyle name="표준 4 3 2 2 2 18" xfId="44729"/>
    <cellStyle name="표준 4 3 2 2 2 19" xfId="44730"/>
    <cellStyle name="표준 4 3 2 2 2 2" xfId="44731"/>
    <cellStyle name="표준 4 3 2 2 2 2 10" xfId="44732"/>
    <cellStyle name="표준 4 3 2 2 2 2 11" xfId="44733"/>
    <cellStyle name="표준 4 3 2 2 2 2 12" xfId="44734"/>
    <cellStyle name="표준 4 3 2 2 2 2 13" xfId="44735"/>
    <cellStyle name="표준 4 3 2 2 2 2 14" xfId="44736"/>
    <cellStyle name="표준 4 3 2 2 2 2 15" xfId="44737"/>
    <cellStyle name="표준 4 3 2 2 2 2 16" xfId="44738"/>
    <cellStyle name="표준 4 3 2 2 2 2 16 2" xfId="44739"/>
    <cellStyle name="표준 4 3 2 2 2 2 16 3" xfId="44740"/>
    <cellStyle name="표준 4 3 2 2 2 2 17" xfId="44741"/>
    <cellStyle name="표준 4 3 2 2 2 2 18" xfId="44742"/>
    <cellStyle name="표준 4 3 2 2 2 2 19" xfId="44743"/>
    <cellStyle name="표준 4 3 2 2 2 2 2" xfId="44744"/>
    <cellStyle name="표준 4 3 2 2 2 2 2 2" xfId="44745"/>
    <cellStyle name="표준 4 3 2 2 2 2 2 2 2" xfId="44746"/>
    <cellStyle name="표준 4 3 2 2 2 2 2 2 2 2" xfId="44747"/>
    <cellStyle name="표준 4 3 2 2 2 2 2 2 2 3" xfId="44748"/>
    <cellStyle name="표준 4 3 2 2 2 2 2 2 3" xfId="44749"/>
    <cellStyle name="표준 4 3 2 2 2 2 2 2 4" xfId="44750"/>
    <cellStyle name="표준 4 3 2 2 2 2 2 2 5" xfId="44751"/>
    <cellStyle name="표준 4 3 2 2 2 2 2 3" xfId="44752"/>
    <cellStyle name="표준 4 3 2 2 2 2 2 3 2" xfId="44753"/>
    <cellStyle name="표준 4 3 2 2 2 2 2 3 3" xfId="44754"/>
    <cellStyle name="표준 4 3 2 2 2 2 2 4" xfId="44755"/>
    <cellStyle name="표준 4 3 2 2 2 2 2 5" xfId="44756"/>
    <cellStyle name="표준 4 3 2 2 2 2 2 6" xfId="44757"/>
    <cellStyle name="표준 4 3 2 2 2 2 3" xfId="44758"/>
    <cellStyle name="표준 4 3 2 2 2 2 3 2" xfId="44759"/>
    <cellStyle name="표준 4 3 2 2 2 2 3 2 2" xfId="44760"/>
    <cellStyle name="표준 4 3 2 2 2 2 3 2 2 2" xfId="44761"/>
    <cellStyle name="표준 4 3 2 2 2 2 3 2 2 3" xfId="44762"/>
    <cellStyle name="표준 4 3 2 2 2 2 3 2 3" xfId="44763"/>
    <cellStyle name="표준 4 3 2 2 2 2 3 2 4" xfId="44764"/>
    <cellStyle name="표준 4 3 2 2 2 2 3 2 5" xfId="44765"/>
    <cellStyle name="표준 4 3 2 2 2 2 3 3" xfId="44766"/>
    <cellStyle name="표준 4 3 2 2 2 2 4" xfId="44767"/>
    <cellStyle name="표준 4 3 2 2 2 2 4 2" xfId="44768"/>
    <cellStyle name="표준 4 3 2 2 2 2 4 2 2" xfId="44769"/>
    <cellStyle name="표준 4 3 2 2 2 2 4 2 2 2" xfId="44770"/>
    <cellStyle name="표준 4 3 2 2 2 2 4 2 2 3" xfId="44771"/>
    <cellStyle name="표준 4 3 2 2 2 2 4 2 3" xfId="44772"/>
    <cellStyle name="표준 4 3 2 2 2 2 4 2 4" xfId="44773"/>
    <cellStyle name="표준 4 3 2 2 2 2 4 2 5" xfId="44774"/>
    <cellStyle name="표준 4 3 2 2 2 2 4 3" xfId="44775"/>
    <cellStyle name="표준 4 3 2 2 2 2 5" xfId="44776"/>
    <cellStyle name="표준 4 3 2 2 2 2 6" xfId="44777"/>
    <cellStyle name="표준 4 3 2 2 2 2 7" xfId="44778"/>
    <cellStyle name="표준 4 3 2 2 2 2 8" xfId="44779"/>
    <cellStyle name="표준 4 3 2 2 2 2 9" xfId="44780"/>
    <cellStyle name="표준 4 3 2 2 2 20" xfId="44781"/>
    <cellStyle name="표준 4 3 2 2 2 3" xfId="44782"/>
    <cellStyle name="표준 4 3 2 2 2 3 2" xfId="44783"/>
    <cellStyle name="표준 4 3 2 2 2 3 2 2" xfId="44784"/>
    <cellStyle name="표준 4 3 2 2 2 3 2 2 2" xfId="44785"/>
    <cellStyle name="표준 4 3 2 2 2 3 2 2 3" xfId="44786"/>
    <cellStyle name="표준 4 3 2 2 2 3 2 3" xfId="44787"/>
    <cellStyle name="표준 4 3 2 2 2 3 2 4" xfId="44788"/>
    <cellStyle name="표준 4 3 2 2 2 3 2 5" xfId="44789"/>
    <cellStyle name="표준 4 3 2 2 2 3 3" xfId="44790"/>
    <cellStyle name="표준 4 3 2 2 2 3 3 2" xfId="44791"/>
    <cellStyle name="표준 4 3 2 2 2 3 3 3" xfId="44792"/>
    <cellStyle name="표준 4 3 2 2 2 3 4" xfId="44793"/>
    <cellStyle name="표준 4 3 2 2 2 3 5" xfId="44794"/>
    <cellStyle name="표준 4 3 2 2 2 3 6" xfId="44795"/>
    <cellStyle name="표준 4 3 2 2 2 4" xfId="44796"/>
    <cellStyle name="표준 4 3 2 2 2 4 2" xfId="44797"/>
    <cellStyle name="표준 4 3 2 2 2 4 2 2" xfId="44798"/>
    <cellStyle name="표준 4 3 2 2 2 4 2 2 2" xfId="44799"/>
    <cellStyle name="표준 4 3 2 2 2 4 2 2 3" xfId="44800"/>
    <cellStyle name="표준 4 3 2 2 2 4 2 3" xfId="44801"/>
    <cellStyle name="표준 4 3 2 2 2 4 2 4" xfId="44802"/>
    <cellStyle name="표준 4 3 2 2 2 4 2 5" xfId="44803"/>
    <cellStyle name="표준 4 3 2 2 2 4 3" xfId="44804"/>
    <cellStyle name="표준 4 3 2 2 2 5" xfId="44805"/>
    <cellStyle name="표준 4 3 2 2 2 5 2" xfId="44806"/>
    <cellStyle name="표준 4 3 2 2 2 5 2 2" xfId="44807"/>
    <cellStyle name="표준 4 3 2 2 2 5 2 2 2" xfId="44808"/>
    <cellStyle name="표준 4 3 2 2 2 5 2 2 3" xfId="44809"/>
    <cellStyle name="표준 4 3 2 2 2 5 2 3" xfId="44810"/>
    <cellStyle name="표준 4 3 2 2 2 5 2 4" xfId="44811"/>
    <cellStyle name="표준 4 3 2 2 2 5 2 5" xfId="44812"/>
    <cellStyle name="표준 4 3 2 2 2 5 3" xfId="44813"/>
    <cellStyle name="표준 4 3 2 2 2 6" xfId="44814"/>
    <cellStyle name="표준 4 3 2 2 2 7" xfId="44815"/>
    <cellStyle name="표준 4 3 2 2 2 8" xfId="44816"/>
    <cellStyle name="표준 4 3 2 2 2 9" xfId="44817"/>
    <cellStyle name="표준 4 3 2 2 20" xfId="44818"/>
    <cellStyle name="표준 4 3 2 2 21" xfId="44819"/>
    <cellStyle name="표준 4 3 2 2 22" xfId="44820"/>
    <cellStyle name="표준 4 3 2 2 3" xfId="44821"/>
    <cellStyle name="표준 4 3 2 2 3 10" xfId="44822"/>
    <cellStyle name="표준 4 3 2 2 3 11" xfId="44823"/>
    <cellStyle name="표준 4 3 2 2 3 12" xfId="44824"/>
    <cellStyle name="표준 4 3 2 2 3 13" xfId="44825"/>
    <cellStyle name="표준 4 3 2 2 3 14" xfId="44826"/>
    <cellStyle name="표준 4 3 2 2 3 15" xfId="44827"/>
    <cellStyle name="표준 4 3 2 2 3 16" xfId="44828"/>
    <cellStyle name="표준 4 3 2 2 3 17" xfId="44829"/>
    <cellStyle name="표준 4 3 2 2 3 17 2" xfId="44830"/>
    <cellStyle name="표준 4 3 2 2 3 17 3" xfId="44831"/>
    <cellStyle name="표준 4 3 2 2 3 18" xfId="44832"/>
    <cellStyle name="표준 4 3 2 2 3 19" xfId="44833"/>
    <cellStyle name="표준 4 3 2 2 3 2" xfId="44834"/>
    <cellStyle name="표준 4 3 2 2 3 2 10" xfId="44835"/>
    <cellStyle name="표준 4 3 2 2 3 2 11" xfId="44836"/>
    <cellStyle name="표준 4 3 2 2 3 2 12" xfId="44837"/>
    <cellStyle name="표준 4 3 2 2 3 2 13" xfId="44838"/>
    <cellStyle name="표준 4 3 2 2 3 2 14" xfId="44839"/>
    <cellStyle name="표준 4 3 2 2 3 2 15" xfId="44840"/>
    <cellStyle name="표준 4 3 2 2 3 2 16" xfId="44841"/>
    <cellStyle name="표준 4 3 2 2 3 2 16 2" xfId="44842"/>
    <cellStyle name="표준 4 3 2 2 3 2 16 3" xfId="44843"/>
    <cellStyle name="표준 4 3 2 2 3 2 17" xfId="44844"/>
    <cellStyle name="표준 4 3 2 2 3 2 18" xfId="44845"/>
    <cellStyle name="표준 4 3 2 2 3 2 19" xfId="44846"/>
    <cellStyle name="표준 4 3 2 2 3 2 2" xfId="44847"/>
    <cellStyle name="표준 4 3 2 2 3 2 2 2" xfId="44848"/>
    <cellStyle name="표준 4 3 2 2 3 2 2 2 2" xfId="44849"/>
    <cellStyle name="표준 4 3 2 2 3 2 2 2 2 2" xfId="44850"/>
    <cellStyle name="표준 4 3 2 2 3 2 2 2 2 3" xfId="44851"/>
    <cellStyle name="표준 4 3 2 2 3 2 2 2 3" xfId="44852"/>
    <cellStyle name="표준 4 3 2 2 3 2 2 2 4" xfId="44853"/>
    <cellStyle name="표준 4 3 2 2 3 2 2 2 5" xfId="44854"/>
    <cellStyle name="표준 4 3 2 2 3 2 2 3" xfId="44855"/>
    <cellStyle name="표준 4 3 2 2 3 2 2 3 2" xfId="44856"/>
    <cellStyle name="표준 4 3 2 2 3 2 2 3 3" xfId="44857"/>
    <cellStyle name="표준 4 3 2 2 3 2 2 4" xfId="44858"/>
    <cellStyle name="표준 4 3 2 2 3 2 2 5" xfId="44859"/>
    <cellStyle name="표준 4 3 2 2 3 2 2 6" xfId="44860"/>
    <cellStyle name="표준 4 3 2 2 3 2 3" xfId="44861"/>
    <cellStyle name="표준 4 3 2 2 3 2 3 2" xfId="44862"/>
    <cellStyle name="표준 4 3 2 2 3 2 3 2 2" xfId="44863"/>
    <cellStyle name="표준 4 3 2 2 3 2 3 2 2 2" xfId="44864"/>
    <cellStyle name="표준 4 3 2 2 3 2 3 2 2 3" xfId="44865"/>
    <cellStyle name="표준 4 3 2 2 3 2 3 2 3" xfId="44866"/>
    <cellStyle name="표준 4 3 2 2 3 2 3 2 4" xfId="44867"/>
    <cellStyle name="표준 4 3 2 2 3 2 3 2 5" xfId="44868"/>
    <cellStyle name="표준 4 3 2 2 3 2 3 3" xfId="44869"/>
    <cellStyle name="표준 4 3 2 2 3 2 4" xfId="44870"/>
    <cellStyle name="표준 4 3 2 2 3 2 4 2" xfId="44871"/>
    <cellStyle name="표준 4 3 2 2 3 2 4 2 2" xfId="44872"/>
    <cellStyle name="표준 4 3 2 2 3 2 4 2 2 2" xfId="44873"/>
    <cellStyle name="표준 4 3 2 2 3 2 4 2 2 3" xfId="44874"/>
    <cellStyle name="표준 4 3 2 2 3 2 4 2 3" xfId="44875"/>
    <cellStyle name="표준 4 3 2 2 3 2 4 2 4" xfId="44876"/>
    <cellStyle name="표준 4 3 2 2 3 2 4 2 5" xfId="44877"/>
    <cellStyle name="표준 4 3 2 2 3 2 4 3" xfId="44878"/>
    <cellStyle name="표준 4 3 2 2 3 2 5" xfId="44879"/>
    <cellStyle name="표준 4 3 2 2 3 2 6" xfId="44880"/>
    <cellStyle name="표준 4 3 2 2 3 2 7" xfId="44881"/>
    <cellStyle name="표준 4 3 2 2 3 2 8" xfId="44882"/>
    <cellStyle name="표준 4 3 2 2 3 2 9" xfId="44883"/>
    <cellStyle name="표준 4 3 2 2 3 20" xfId="44884"/>
    <cellStyle name="표준 4 3 2 2 3 3" xfId="44885"/>
    <cellStyle name="표준 4 3 2 2 3 3 2" xfId="44886"/>
    <cellStyle name="표준 4 3 2 2 3 3 2 2" xfId="44887"/>
    <cellStyle name="표준 4 3 2 2 3 3 2 2 2" xfId="44888"/>
    <cellStyle name="표준 4 3 2 2 3 3 2 2 3" xfId="44889"/>
    <cellStyle name="표준 4 3 2 2 3 3 2 3" xfId="44890"/>
    <cellStyle name="표준 4 3 2 2 3 3 2 4" xfId="44891"/>
    <cellStyle name="표준 4 3 2 2 3 3 2 5" xfId="44892"/>
    <cellStyle name="표준 4 3 2 2 3 3 3" xfId="44893"/>
    <cellStyle name="표준 4 3 2 2 3 3 3 2" xfId="44894"/>
    <cellStyle name="표준 4 3 2 2 3 3 3 3" xfId="44895"/>
    <cellStyle name="표준 4 3 2 2 3 3 4" xfId="44896"/>
    <cellStyle name="표준 4 3 2 2 3 3 5" xfId="44897"/>
    <cellStyle name="표준 4 3 2 2 3 3 6" xfId="44898"/>
    <cellStyle name="표준 4 3 2 2 3 4" xfId="44899"/>
    <cellStyle name="표준 4 3 2 2 3 4 2" xfId="44900"/>
    <cellStyle name="표준 4 3 2 2 3 4 2 2" xfId="44901"/>
    <cellStyle name="표준 4 3 2 2 3 4 2 2 2" xfId="44902"/>
    <cellStyle name="표준 4 3 2 2 3 4 2 2 3" xfId="44903"/>
    <cellStyle name="표준 4 3 2 2 3 4 2 3" xfId="44904"/>
    <cellStyle name="표준 4 3 2 2 3 4 2 4" xfId="44905"/>
    <cellStyle name="표준 4 3 2 2 3 4 2 5" xfId="44906"/>
    <cellStyle name="표준 4 3 2 2 3 4 3" xfId="44907"/>
    <cellStyle name="표준 4 3 2 2 3 5" xfId="44908"/>
    <cellStyle name="표준 4 3 2 2 3 5 2" xfId="44909"/>
    <cellStyle name="표준 4 3 2 2 3 5 2 2" xfId="44910"/>
    <cellStyle name="표준 4 3 2 2 3 5 2 2 2" xfId="44911"/>
    <cellStyle name="표준 4 3 2 2 3 5 2 2 3" xfId="44912"/>
    <cellStyle name="표준 4 3 2 2 3 5 2 3" xfId="44913"/>
    <cellStyle name="표준 4 3 2 2 3 5 2 4" xfId="44914"/>
    <cellStyle name="표준 4 3 2 2 3 5 2 5" xfId="44915"/>
    <cellStyle name="표준 4 3 2 2 3 5 3" xfId="44916"/>
    <cellStyle name="표준 4 3 2 2 3 6" xfId="44917"/>
    <cellStyle name="표준 4 3 2 2 3 7" xfId="44918"/>
    <cellStyle name="표준 4 3 2 2 3 8" xfId="44919"/>
    <cellStyle name="표준 4 3 2 2 3 9" xfId="44920"/>
    <cellStyle name="표준 4 3 2 2 4" xfId="44921"/>
    <cellStyle name="표준 4 3 2 2 4 10" xfId="44922"/>
    <cellStyle name="표준 4 3 2 2 4 11" xfId="44923"/>
    <cellStyle name="표준 4 3 2 2 4 12" xfId="44924"/>
    <cellStyle name="표준 4 3 2 2 4 13" xfId="44925"/>
    <cellStyle name="표준 4 3 2 2 4 14" xfId="44926"/>
    <cellStyle name="표준 4 3 2 2 4 15" xfId="44927"/>
    <cellStyle name="표준 4 3 2 2 4 16" xfId="44928"/>
    <cellStyle name="표준 4 3 2 2 4 16 2" xfId="44929"/>
    <cellStyle name="표준 4 3 2 2 4 16 3" xfId="44930"/>
    <cellStyle name="표준 4 3 2 2 4 17" xfId="44931"/>
    <cellStyle name="표준 4 3 2 2 4 18" xfId="44932"/>
    <cellStyle name="표준 4 3 2 2 4 19" xfId="44933"/>
    <cellStyle name="표준 4 3 2 2 4 2" xfId="44934"/>
    <cellStyle name="표준 4 3 2 2 4 2 2" xfId="44935"/>
    <cellStyle name="표준 4 3 2 2 4 2 2 2" xfId="44936"/>
    <cellStyle name="표준 4 3 2 2 4 2 2 2 2" xfId="44937"/>
    <cellStyle name="표준 4 3 2 2 4 2 2 2 3" xfId="44938"/>
    <cellStyle name="표준 4 3 2 2 4 2 2 3" xfId="44939"/>
    <cellStyle name="표준 4 3 2 2 4 2 2 4" xfId="44940"/>
    <cellStyle name="표준 4 3 2 2 4 2 2 5" xfId="44941"/>
    <cellStyle name="표준 4 3 2 2 4 2 3" xfId="44942"/>
    <cellStyle name="표준 4 3 2 2 4 2 3 2" xfId="44943"/>
    <cellStyle name="표준 4 3 2 2 4 2 3 3" xfId="44944"/>
    <cellStyle name="표준 4 3 2 2 4 2 4" xfId="44945"/>
    <cellStyle name="표준 4 3 2 2 4 2 5" xfId="44946"/>
    <cellStyle name="표준 4 3 2 2 4 2 6" xfId="44947"/>
    <cellStyle name="표준 4 3 2 2 4 3" xfId="44948"/>
    <cellStyle name="표준 4 3 2 2 4 3 2" xfId="44949"/>
    <cellStyle name="표준 4 3 2 2 4 3 2 2" xfId="44950"/>
    <cellStyle name="표준 4 3 2 2 4 3 2 2 2" xfId="44951"/>
    <cellStyle name="표준 4 3 2 2 4 3 2 2 3" xfId="44952"/>
    <cellStyle name="표준 4 3 2 2 4 3 2 3" xfId="44953"/>
    <cellStyle name="표준 4 3 2 2 4 3 2 4" xfId="44954"/>
    <cellStyle name="표준 4 3 2 2 4 3 2 5" xfId="44955"/>
    <cellStyle name="표준 4 3 2 2 4 3 3" xfId="44956"/>
    <cellStyle name="표준 4 3 2 2 4 4" xfId="44957"/>
    <cellStyle name="표준 4 3 2 2 4 4 2" xfId="44958"/>
    <cellStyle name="표준 4 3 2 2 4 4 2 2" xfId="44959"/>
    <cellStyle name="표준 4 3 2 2 4 4 2 2 2" xfId="44960"/>
    <cellStyle name="표준 4 3 2 2 4 4 2 2 3" xfId="44961"/>
    <cellStyle name="표준 4 3 2 2 4 4 2 3" xfId="44962"/>
    <cellStyle name="표준 4 3 2 2 4 4 2 4" xfId="44963"/>
    <cellStyle name="표준 4 3 2 2 4 4 2 5" xfId="44964"/>
    <cellStyle name="표준 4 3 2 2 4 4 3" xfId="44965"/>
    <cellStyle name="표준 4 3 2 2 4 5" xfId="44966"/>
    <cellStyle name="표준 4 3 2 2 4 6" xfId="44967"/>
    <cellStyle name="표준 4 3 2 2 4 7" xfId="44968"/>
    <cellStyle name="표준 4 3 2 2 4 8" xfId="44969"/>
    <cellStyle name="표준 4 3 2 2 4 9" xfId="44970"/>
    <cellStyle name="표준 4 3 2 2 5" xfId="44971"/>
    <cellStyle name="표준 4 3 2 2 5 2" xfId="44972"/>
    <cellStyle name="표준 4 3 2 2 5 2 2" xfId="44973"/>
    <cellStyle name="표준 4 3 2 2 5 2 2 2" xfId="44974"/>
    <cellStyle name="표준 4 3 2 2 5 2 2 3" xfId="44975"/>
    <cellStyle name="표준 4 3 2 2 5 2 3" xfId="44976"/>
    <cellStyle name="표준 4 3 2 2 5 2 4" xfId="44977"/>
    <cellStyle name="표준 4 3 2 2 5 2 5" xfId="44978"/>
    <cellStyle name="표준 4 3 2 2 5 3" xfId="44979"/>
    <cellStyle name="표준 4 3 2 2 5 3 2" xfId="44980"/>
    <cellStyle name="표준 4 3 2 2 5 3 3" xfId="44981"/>
    <cellStyle name="표준 4 3 2 2 5 4" xfId="44982"/>
    <cellStyle name="표준 4 3 2 2 5 5" xfId="44983"/>
    <cellStyle name="표준 4 3 2 2 5 6" xfId="44984"/>
    <cellStyle name="표준 4 3 2 2 6" xfId="44985"/>
    <cellStyle name="표준 4 3 2 2 6 2" xfId="44986"/>
    <cellStyle name="표준 4 3 2 2 6 2 2" xfId="44987"/>
    <cellStyle name="표준 4 3 2 2 6 2 2 2" xfId="44988"/>
    <cellStyle name="표준 4 3 2 2 6 2 2 3" xfId="44989"/>
    <cellStyle name="표준 4 3 2 2 6 2 3" xfId="44990"/>
    <cellStyle name="표준 4 3 2 2 6 2 4" xfId="44991"/>
    <cellStyle name="표준 4 3 2 2 6 2 5" xfId="44992"/>
    <cellStyle name="표준 4 3 2 2 6 3" xfId="44993"/>
    <cellStyle name="표준 4 3 2 2 7" xfId="44994"/>
    <cellStyle name="표준 4 3 2 2 7 2" xfId="44995"/>
    <cellStyle name="표준 4 3 2 2 7 2 2" xfId="44996"/>
    <cellStyle name="표준 4 3 2 2 7 2 2 2" xfId="44997"/>
    <cellStyle name="표준 4 3 2 2 7 2 2 3" xfId="44998"/>
    <cellStyle name="표준 4 3 2 2 7 2 3" xfId="44999"/>
    <cellStyle name="표준 4 3 2 2 7 2 4" xfId="45000"/>
    <cellStyle name="표준 4 3 2 2 7 2 5" xfId="45001"/>
    <cellStyle name="표준 4 3 2 2 7 3" xfId="45002"/>
    <cellStyle name="표준 4 3 2 2 8" xfId="45003"/>
    <cellStyle name="표준 4 3 2 2 9" xfId="45004"/>
    <cellStyle name="표준 4 3 2 20" xfId="45005"/>
    <cellStyle name="표준 4 3 2 20 2" xfId="45006"/>
    <cellStyle name="표준 4 3 2 20 3" xfId="45007"/>
    <cellStyle name="표준 4 3 2 21" xfId="45008"/>
    <cellStyle name="표준 4 3 2 22" xfId="45009"/>
    <cellStyle name="표준 4 3 2 23" xfId="45010"/>
    <cellStyle name="표준 4 3 2 3" xfId="45011"/>
    <cellStyle name="표준 4 3 2 3 10" xfId="45012"/>
    <cellStyle name="표준 4 3 2 3 11" xfId="45013"/>
    <cellStyle name="표준 4 3 2 3 12" xfId="45014"/>
    <cellStyle name="표준 4 3 2 3 13" xfId="45015"/>
    <cellStyle name="표준 4 3 2 3 14" xfId="45016"/>
    <cellStyle name="표준 4 3 2 3 15" xfId="45017"/>
    <cellStyle name="표준 4 3 2 3 16" xfId="45018"/>
    <cellStyle name="표준 4 3 2 3 17" xfId="45019"/>
    <cellStyle name="표준 4 3 2 3 17 2" xfId="45020"/>
    <cellStyle name="표준 4 3 2 3 17 3" xfId="45021"/>
    <cellStyle name="표준 4 3 2 3 18" xfId="45022"/>
    <cellStyle name="표준 4 3 2 3 19" xfId="45023"/>
    <cellStyle name="표준 4 3 2 3 2" xfId="45024"/>
    <cellStyle name="표준 4 3 2 3 2 10" xfId="45025"/>
    <cellStyle name="표준 4 3 2 3 2 11" xfId="45026"/>
    <cellStyle name="표준 4 3 2 3 2 12" xfId="45027"/>
    <cellStyle name="표준 4 3 2 3 2 13" xfId="45028"/>
    <cellStyle name="표준 4 3 2 3 2 14" xfId="45029"/>
    <cellStyle name="표준 4 3 2 3 2 15" xfId="45030"/>
    <cellStyle name="표준 4 3 2 3 2 16" xfId="45031"/>
    <cellStyle name="표준 4 3 2 3 2 16 2" xfId="45032"/>
    <cellStyle name="표준 4 3 2 3 2 16 3" xfId="45033"/>
    <cellStyle name="표준 4 3 2 3 2 17" xfId="45034"/>
    <cellStyle name="표준 4 3 2 3 2 18" xfId="45035"/>
    <cellStyle name="표준 4 3 2 3 2 19" xfId="45036"/>
    <cellStyle name="표준 4 3 2 3 2 2" xfId="45037"/>
    <cellStyle name="표준 4 3 2 3 2 2 2" xfId="45038"/>
    <cellStyle name="표준 4 3 2 3 2 2 2 2" xfId="45039"/>
    <cellStyle name="표준 4 3 2 3 2 2 2 2 2" xfId="45040"/>
    <cellStyle name="표준 4 3 2 3 2 2 2 2 3" xfId="45041"/>
    <cellStyle name="표준 4 3 2 3 2 2 2 3" xfId="45042"/>
    <cellStyle name="표준 4 3 2 3 2 2 2 4" xfId="45043"/>
    <cellStyle name="표준 4 3 2 3 2 2 2 5" xfId="45044"/>
    <cellStyle name="표준 4 3 2 3 2 2 3" xfId="45045"/>
    <cellStyle name="표준 4 3 2 3 2 2 3 2" xfId="45046"/>
    <cellStyle name="표준 4 3 2 3 2 2 3 3" xfId="45047"/>
    <cellStyle name="표준 4 3 2 3 2 2 4" xfId="45048"/>
    <cellStyle name="표준 4 3 2 3 2 2 5" xfId="45049"/>
    <cellStyle name="표준 4 3 2 3 2 2 6" xfId="45050"/>
    <cellStyle name="표준 4 3 2 3 2 3" xfId="45051"/>
    <cellStyle name="표준 4 3 2 3 2 3 2" xfId="45052"/>
    <cellStyle name="표준 4 3 2 3 2 3 2 2" xfId="45053"/>
    <cellStyle name="표준 4 3 2 3 2 3 2 2 2" xfId="45054"/>
    <cellStyle name="표준 4 3 2 3 2 3 2 2 3" xfId="45055"/>
    <cellStyle name="표준 4 3 2 3 2 3 2 3" xfId="45056"/>
    <cellStyle name="표준 4 3 2 3 2 3 2 4" xfId="45057"/>
    <cellStyle name="표준 4 3 2 3 2 3 2 5" xfId="45058"/>
    <cellStyle name="표준 4 3 2 3 2 3 3" xfId="45059"/>
    <cellStyle name="표준 4 3 2 3 2 4" xfId="45060"/>
    <cellStyle name="표준 4 3 2 3 2 4 2" xfId="45061"/>
    <cellStyle name="표준 4 3 2 3 2 4 2 2" xfId="45062"/>
    <cellStyle name="표준 4 3 2 3 2 4 2 2 2" xfId="45063"/>
    <cellStyle name="표준 4 3 2 3 2 4 2 2 3" xfId="45064"/>
    <cellStyle name="표준 4 3 2 3 2 4 2 3" xfId="45065"/>
    <cellStyle name="표준 4 3 2 3 2 4 2 4" xfId="45066"/>
    <cellStyle name="표준 4 3 2 3 2 4 2 5" xfId="45067"/>
    <cellStyle name="표준 4 3 2 3 2 4 3" xfId="45068"/>
    <cellStyle name="표준 4 3 2 3 2 5" xfId="45069"/>
    <cellStyle name="표준 4 3 2 3 2 6" xfId="45070"/>
    <cellStyle name="표준 4 3 2 3 2 7" xfId="45071"/>
    <cellStyle name="표준 4 3 2 3 2 8" xfId="45072"/>
    <cellStyle name="표준 4 3 2 3 2 9" xfId="45073"/>
    <cellStyle name="표준 4 3 2 3 20" xfId="45074"/>
    <cellStyle name="표준 4 3 2 3 3" xfId="45075"/>
    <cellStyle name="표준 4 3 2 3 3 2" xfId="45076"/>
    <cellStyle name="표준 4 3 2 3 3 2 2" xfId="45077"/>
    <cellStyle name="표준 4 3 2 3 3 2 2 2" xfId="45078"/>
    <cellStyle name="표준 4 3 2 3 3 2 2 3" xfId="45079"/>
    <cellStyle name="표준 4 3 2 3 3 2 3" xfId="45080"/>
    <cellStyle name="표준 4 3 2 3 3 2 4" xfId="45081"/>
    <cellStyle name="표준 4 3 2 3 3 2 5" xfId="45082"/>
    <cellStyle name="표준 4 3 2 3 3 3" xfId="45083"/>
    <cellStyle name="표준 4 3 2 3 3 3 2" xfId="45084"/>
    <cellStyle name="표준 4 3 2 3 3 3 3" xfId="45085"/>
    <cellStyle name="표준 4 3 2 3 3 4" xfId="45086"/>
    <cellStyle name="표준 4 3 2 3 3 5" xfId="45087"/>
    <cellStyle name="표준 4 3 2 3 3 6" xfId="45088"/>
    <cellStyle name="표준 4 3 2 3 4" xfId="45089"/>
    <cellStyle name="표준 4 3 2 3 4 2" xfId="45090"/>
    <cellStyle name="표준 4 3 2 3 4 2 2" xfId="45091"/>
    <cellStyle name="표준 4 3 2 3 4 2 2 2" xfId="45092"/>
    <cellStyle name="표준 4 3 2 3 4 2 2 3" xfId="45093"/>
    <cellStyle name="표준 4 3 2 3 4 2 3" xfId="45094"/>
    <cellStyle name="표준 4 3 2 3 4 2 4" xfId="45095"/>
    <cellStyle name="표준 4 3 2 3 4 2 5" xfId="45096"/>
    <cellStyle name="표준 4 3 2 3 4 3" xfId="45097"/>
    <cellStyle name="표준 4 3 2 3 5" xfId="45098"/>
    <cellStyle name="표준 4 3 2 3 5 2" xfId="45099"/>
    <cellStyle name="표준 4 3 2 3 5 2 2" xfId="45100"/>
    <cellStyle name="표준 4 3 2 3 5 2 2 2" xfId="45101"/>
    <cellStyle name="표준 4 3 2 3 5 2 2 3" xfId="45102"/>
    <cellStyle name="표준 4 3 2 3 5 2 3" xfId="45103"/>
    <cellStyle name="표준 4 3 2 3 5 2 4" xfId="45104"/>
    <cellStyle name="표준 4 3 2 3 5 2 5" xfId="45105"/>
    <cellStyle name="표준 4 3 2 3 5 3" xfId="45106"/>
    <cellStyle name="표준 4 3 2 3 6" xfId="45107"/>
    <cellStyle name="표준 4 3 2 3 7" xfId="45108"/>
    <cellStyle name="표준 4 3 2 3 8" xfId="45109"/>
    <cellStyle name="표준 4 3 2 3 9" xfId="45110"/>
    <cellStyle name="표준 4 3 2 4" xfId="45111"/>
    <cellStyle name="표준 4 3 2 4 10" xfId="45112"/>
    <cellStyle name="표준 4 3 2 4 11" xfId="45113"/>
    <cellStyle name="표준 4 3 2 4 12" xfId="45114"/>
    <cellStyle name="표준 4 3 2 4 13" xfId="45115"/>
    <cellStyle name="표준 4 3 2 4 14" xfId="45116"/>
    <cellStyle name="표준 4 3 2 4 15" xfId="45117"/>
    <cellStyle name="표준 4 3 2 4 16" xfId="45118"/>
    <cellStyle name="표준 4 3 2 4 17" xfId="45119"/>
    <cellStyle name="표준 4 3 2 4 17 2" xfId="45120"/>
    <cellStyle name="표준 4 3 2 4 17 3" xfId="45121"/>
    <cellStyle name="표준 4 3 2 4 18" xfId="45122"/>
    <cellStyle name="표준 4 3 2 4 19" xfId="45123"/>
    <cellStyle name="표준 4 3 2 4 2" xfId="45124"/>
    <cellStyle name="표준 4 3 2 4 2 10" xfId="45125"/>
    <cellStyle name="표준 4 3 2 4 2 11" xfId="45126"/>
    <cellStyle name="표준 4 3 2 4 2 12" xfId="45127"/>
    <cellStyle name="표준 4 3 2 4 2 13" xfId="45128"/>
    <cellStyle name="표준 4 3 2 4 2 14" xfId="45129"/>
    <cellStyle name="표준 4 3 2 4 2 15" xfId="45130"/>
    <cellStyle name="표준 4 3 2 4 2 16" xfId="45131"/>
    <cellStyle name="표준 4 3 2 4 2 16 2" xfId="45132"/>
    <cellStyle name="표준 4 3 2 4 2 16 3" xfId="45133"/>
    <cellStyle name="표준 4 3 2 4 2 17" xfId="45134"/>
    <cellStyle name="표준 4 3 2 4 2 18" xfId="45135"/>
    <cellStyle name="표준 4 3 2 4 2 19" xfId="45136"/>
    <cellStyle name="표준 4 3 2 4 2 2" xfId="45137"/>
    <cellStyle name="표준 4 3 2 4 2 2 2" xfId="45138"/>
    <cellStyle name="표준 4 3 2 4 2 2 2 2" xfId="45139"/>
    <cellStyle name="표준 4 3 2 4 2 2 2 2 2" xfId="45140"/>
    <cellStyle name="표준 4 3 2 4 2 2 2 2 3" xfId="45141"/>
    <cellStyle name="표준 4 3 2 4 2 2 2 3" xfId="45142"/>
    <cellStyle name="표준 4 3 2 4 2 2 2 4" xfId="45143"/>
    <cellStyle name="표준 4 3 2 4 2 2 2 5" xfId="45144"/>
    <cellStyle name="표준 4 3 2 4 2 2 3" xfId="45145"/>
    <cellStyle name="표준 4 3 2 4 2 2 3 2" xfId="45146"/>
    <cellStyle name="표준 4 3 2 4 2 2 3 3" xfId="45147"/>
    <cellStyle name="표준 4 3 2 4 2 2 4" xfId="45148"/>
    <cellStyle name="표준 4 3 2 4 2 2 5" xfId="45149"/>
    <cellStyle name="표준 4 3 2 4 2 2 6" xfId="45150"/>
    <cellStyle name="표준 4 3 2 4 2 3" xfId="45151"/>
    <cellStyle name="표준 4 3 2 4 2 3 2" xfId="45152"/>
    <cellStyle name="표준 4 3 2 4 2 3 2 2" xfId="45153"/>
    <cellStyle name="표준 4 3 2 4 2 3 2 2 2" xfId="45154"/>
    <cellStyle name="표준 4 3 2 4 2 3 2 2 3" xfId="45155"/>
    <cellStyle name="표준 4 3 2 4 2 3 2 3" xfId="45156"/>
    <cellStyle name="표준 4 3 2 4 2 3 2 4" xfId="45157"/>
    <cellStyle name="표준 4 3 2 4 2 3 2 5" xfId="45158"/>
    <cellStyle name="표준 4 3 2 4 2 3 3" xfId="45159"/>
    <cellStyle name="표준 4 3 2 4 2 4" xfId="45160"/>
    <cellStyle name="표준 4 3 2 4 2 4 2" xfId="45161"/>
    <cellStyle name="표준 4 3 2 4 2 4 2 2" xfId="45162"/>
    <cellStyle name="표준 4 3 2 4 2 4 2 2 2" xfId="45163"/>
    <cellStyle name="표준 4 3 2 4 2 4 2 2 3" xfId="45164"/>
    <cellStyle name="표준 4 3 2 4 2 4 2 3" xfId="45165"/>
    <cellStyle name="표준 4 3 2 4 2 4 2 4" xfId="45166"/>
    <cellStyle name="표준 4 3 2 4 2 4 2 5" xfId="45167"/>
    <cellStyle name="표준 4 3 2 4 2 4 3" xfId="45168"/>
    <cellStyle name="표준 4 3 2 4 2 5" xfId="45169"/>
    <cellStyle name="표준 4 3 2 4 2 6" xfId="45170"/>
    <cellStyle name="표준 4 3 2 4 2 7" xfId="45171"/>
    <cellStyle name="표준 4 3 2 4 2 8" xfId="45172"/>
    <cellStyle name="표준 4 3 2 4 2 9" xfId="45173"/>
    <cellStyle name="표준 4 3 2 4 20" xfId="45174"/>
    <cellStyle name="표준 4 3 2 4 3" xfId="45175"/>
    <cellStyle name="표준 4 3 2 4 3 2" xfId="45176"/>
    <cellStyle name="표준 4 3 2 4 3 2 2" xfId="45177"/>
    <cellStyle name="표준 4 3 2 4 3 2 2 2" xfId="45178"/>
    <cellStyle name="표준 4 3 2 4 3 2 2 3" xfId="45179"/>
    <cellStyle name="표준 4 3 2 4 3 2 3" xfId="45180"/>
    <cellStyle name="표준 4 3 2 4 3 2 4" xfId="45181"/>
    <cellStyle name="표준 4 3 2 4 3 2 5" xfId="45182"/>
    <cellStyle name="표준 4 3 2 4 3 3" xfId="45183"/>
    <cellStyle name="표준 4 3 2 4 3 3 2" xfId="45184"/>
    <cellStyle name="표준 4 3 2 4 3 3 3" xfId="45185"/>
    <cellStyle name="표준 4 3 2 4 3 4" xfId="45186"/>
    <cellStyle name="표준 4 3 2 4 3 5" xfId="45187"/>
    <cellStyle name="표준 4 3 2 4 3 6" xfId="45188"/>
    <cellStyle name="표준 4 3 2 4 4" xfId="45189"/>
    <cellStyle name="표준 4 3 2 4 4 2" xfId="45190"/>
    <cellStyle name="표준 4 3 2 4 4 2 2" xfId="45191"/>
    <cellStyle name="표준 4 3 2 4 4 2 2 2" xfId="45192"/>
    <cellStyle name="표준 4 3 2 4 4 2 2 3" xfId="45193"/>
    <cellStyle name="표준 4 3 2 4 4 2 3" xfId="45194"/>
    <cellStyle name="표준 4 3 2 4 4 2 4" xfId="45195"/>
    <cellStyle name="표준 4 3 2 4 4 2 5" xfId="45196"/>
    <cellStyle name="표준 4 3 2 4 4 3" xfId="45197"/>
    <cellStyle name="표준 4 3 2 4 5" xfId="45198"/>
    <cellStyle name="표준 4 3 2 4 5 2" xfId="45199"/>
    <cellStyle name="표준 4 3 2 4 5 2 2" xfId="45200"/>
    <cellStyle name="표준 4 3 2 4 5 2 2 2" xfId="45201"/>
    <cellStyle name="표준 4 3 2 4 5 2 2 3" xfId="45202"/>
    <cellStyle name="표준 4 3 2 4 5 2 3" xfId="45203"/>
    <cellStyle name="표준 4 3 2 4 5 2 4" xfId="45204"/>
    <cellStyle name="표준 4 3 2 4 5 2 5" xfId="45205"/>
    <cellStyle name="표준 4 3 2 4 5 3" xfId="45206"/>
    <cellStyle name="표준 4 3 2 4 6" xfId="45207"/>
    <cellStyle name="표준 4 3 2 4 7" xfId="45208"/>
    <cellStyle name="표준 4 3 2 4 8" xfId="45209"/>
    <cellStyle name="표준 4 3 2 4 9" xfId="45210"/>
    <cellStyle name="표준 4 3 2 5" xfId="45211"/>
    <cellStyle name="표준 4 3 2 5 10" xfId="45212"/>
    <cellStyle name="표준 4 3 2 5 11" xfId="45213"/>
    <cellStyle name="표준 4 3 2 5 12" xfId="45214"/>
    <cellStyle name="표준 4 3 2 5 13" xfId="45215"/>
    <cellStyle name="표준 4 3 2 5 14" xfId="45216"/>
    <cellStyle name="표준 4 3 2 5 15" xfId="45217"/>
    <cellStyle name="표준 4 3 2 5 16" xfId="45218"/>
    <cellStyle name="표준 4 3 2 5 16 2" xfId="45219"/>
    <cellStyle name="표준 4 3 2 5 16 3" xfId="45220"/>
    <cellStyle name="표준 4 3 2 5 17" xfId="45221"/>
    <cellStyle name="표준 4 3 2 5 18" xfId="45222"/>
    <cellStyle name="표준 4 3 2 5 19" xfId="45223"/>
    <cellStyle name="표준 4 3 2 5 2" xfId="45224"/>
    <cellStyle name="표준 4 3 2 5 2 2" xfId="45225"/>
    <cellStyle name="표준 4 3 2 5 2 2 2" xfId="45226"/>
    <cellStyle name="표준 4 3 2 5 2 2 2 2" xfId="45227"/>
    <cellStyle name="표준 4 3 2 5 2 2 2 3" xfId="45228"/>
    <cellStyle name="표준 4 3 2 5 2 2 3" xfId="45229"/>
    <cellStyle name="표준 4 3 2 5 2 2 4" xfId="45230"/>
    <cellStyle name="표준 4 3 2 5 2 2 5" xfId="45231"/>
    <cellStyle name="표준 4 3 2 5 2 3" xfId="45232"/>
    <cellStyle name="표준 4 3 2 5 2 3 2" xfId="45233"/>
    <cellStyle name="표준 4 3 2 5 2 3 3" xfId="45234"/>
    <cellStyle name="표준 4 3 2 5 2 4" xfId="45235"/>
    <cellStyle name="표준 4 3 2 5 2 5" xfId="45236"/>
    <cellStyle name="표준 4 3 2 5 2 6" xfId="45237"/>
    <cellStyle name="표준 4 3 2 5 3" xfId="45238"/>
    <cellStyle name="표준 4 3 2 5 3 2" xfId="45239"/>
    <cellStyle name="표준 4 3 2 5 3 2 2" xfId="45240"/>
    <cellStyle name="표준 4 3 2 5 3 2 2 2" xfId="45241"/>
    <cellStyle name="표준 4 3 2 5 3 2 2 3" xfId="45242"/>
    <cellStyle name="표준 4 3 2 5 3 2 3" xfId="45243"/>
    <cellStyle name="표준 4 3 2 5 3 2 4" xfId="45244"/>
    <cellStyle name="표준 4 3 2 5 3 2 5" xfId="45245"/>
    <cellStyle name="표준 4 3 2 5 3 3" xfId="45246"/>
    <cellStyle name="표준 4 3 2 5 4" xfId="45247"/>
    <cellStyle name="표준 4 3 2 5 4 2" xfId="45248"/>
    <cellStyle name="표준 4 3 2 5 4 2 2" xfId="45249"/>
    <cellStyle name="표준 4 3 2 5 4 2 2 2" xfId="45250"/>
    <cellStyle name="표준 4 3 2 5 4 2 2 3" xfId="45251"/>
    <cellStyle name="표준 4 3 2 5 4 2 3" xfId="45252"/>
    <cellStyle name="표준 4 3 2 5 4 2 4" xfId="45253"/>
    <cellStyle name="표준 4 3 2 5 4 2 5" xfId="45254"/>
    <cellStyle name="표준 4 3 2 5 4 3" xfId="45255"/>
    <cellStyle name="표준 4 3 2 5 5" xfId="45256"/>
    <cellStyle name="표준 4 3 2 5 6" xfId="45257"/>
    <cellStyle name="표준 4 3 2 5 7" xfId="45258"/>
    <cellStyle name="표준 4 3 2 5 8" xfId="45259"/>
    <cellStyle name="표준 4 3 2 5 9" xfId="45260"/>
    <cellStyle name="표준 4 3 2 6" xfId="45261"/>
    <cellStyle name="표준 4 3 2 6 2" xfId="45262"/>
    <cellStyle name="표준 4 3 2 6 2 2" xfId="45263"/>
    <cellStyle name="표준 4 3 2 6 2 2 2" xfId="45264"/>
    <cellStyle name="표준 4 3 2 6 2 2 3" xfId="45265"/>
    <cellStyle name="표준 4 3 2 6 2 3" xfId="45266"/>
    <cellStyle name="표준 4 3 2 6 2 4" xfId="45267"/>
    <cellStyle name="표준 4 3 2 6 2 5" xfId="45268"/>
    <cellStyle name="표준 4 3 2 6 3" xfId="45269"/>
    <cellStyle name="표준 4 3 2 6 3 2" xfId="45270"/>
    <cellStyle name="표준 4 3 2 6 3 3" xfId="45271"/>
    <cellStyle name="표준 4 3 2 6 4" xfId="45272"/>
    <cellStyle name="표준 4 3 2 6 5" xfId="45273"/>
    <cellStyle name="표준 4 3 2 6 6" xfId="45274"/>
    <cellStyle name="표준 4 3 2 7" xfId="45275"/>
    <cellStyle name="표준 4 3 2 7 2" xfId="45276"/>
    <cellStyle name="표준 4 3 2 7 2 2" xfId="45277"/>
    <cellStyle name="표준 4 3 2 7 2 2 2" xfId="45278"/>
    <cellStyle name="표준 4 3 2 7 2 2 3" xfId="45279"/>
    <cellStyle name="표준 4 3 2 7 2 3" xfId="45280"/>
    <cellStyle name="표준 4 3 2 7 2 4" xfId="45281"/>
    <cellStyle name="표준 4 3 2 7 2 5" xfId="45282"/>
    <cellStyle name="표준 4 3 2 7 3" xfId="45283"/>
    <cellStyle name="표준 4 3 2 8" xfId="45284"/>
    <cellStyle name="표준 4 3 2 8 2" xfId="45285"/>
    <cellStyle name="표준 4 3 2 8 2 2" xfId="45286"/>
    <cellStyle name="표준 4 3 2 8 2 2 2" xfId="45287"/>
    <cellStyle name="표준 4 3 2 8 2 2 3" xfId="45288"/>
    <cellStyle name="표준 4 3 2 8 2 3" xfId="45289"/>
    <cellStyle name="표준 4 3 2 8 2 4" xfId="45290"/>
    <cellStyle name="표준 4 3 2 8 2 5" xfId="45291"/>
    <cellStyle name="표준 4 3 2 8 3" xfId="45292"/>
    <cellStyle name="표준 4 3 2 9" xfId="45293"/>
    <cellStyle name="표준 4 3 20" xfId="45294"/>
    <cellStyle name="표준 4 3 21" xfId="45295"/>
    <cellStyle name="표준 4 3 21 2" xfId="45296"/>
    <cellStyle name="표준 4 3 21 3" xfId="45297"/>
    <cellStyle name="표준 4 3 22" xfId="45298"/>
    <cellStyle name="표준 4 3 23" xfId="45299"/>
    <cellStyle name="표준 4 3 24" xfId="45300"/>
    <cellStyle name="표준 4 3 3" xfId="45301"/>
    <cellStyle name="표준 4 3 3 10" xfId="45302"/>
    <cellStyle name="표준 4 3 3 11" xfId="45303"/>
    <cellStyle name="표준 4 3 3 12" xfId="45304"/>
    <cellStyle name="표준 4 3 3 13" xfId="45305"/>
    <cellStyle name="표준 4 3 3 14" xfId="45306"/>
    <cellStyle name="표준 4 3 3 15" xfId="45307"/>
    <cellStyle name="표준 4 3 3 16" xfId="45308"/>
    <cellStyle name="표준 4 3 3 17" xfId="45309"/>
    <cellStyle name="표준 4 3 3 18" xfId="45310"/>
    <cellStyle name="표준 4 3 3 19" xfId="45311"/>
    <cellStyle name="표준 4 3 3 19 2" xfId="45312"/>
    <cellStyle name="표준 4 3 3 19 3" xfId="45313"/>
    <cellStyle name="표준 4 3 3 2" xfId="45314"/>
    <cellStyle name="표준 4 3 3 2 10" xfId="45315"/>
    <cellStyle name="표준 4 3 3 2 11" xfId="45316"/>
    <cellStyle name="표준 4 3 3 2 12" xfId="45317"/>
    <cellStyle name="표준 4 3 3 2 13" xfId="45318"/>
    <cellStyle name="표준 4 3 3 2 14" xfId="45319"/>
    <cellStyle name="표준 4 3 3 2 15" xfId="45320"/>
    <cellStyle name="표준 4 3 3 2 16" xfId="45321"/>
    <cellStyle name="표준 4 3 3 2 17" xfId="45322"/>
    <cellStyle name="표준 4 3 3 2 17 2" xfId="45323"/>
    <cellStyle name="표준 4 3 3 2 17 3" xfId="45324"/>
    <cellStyle name="표준 4 3 3 2 18" xfId="45325"/>
    <cellStyle name="표준 4 3 3 2 19" xfId="45326"/>
    <cellStyle name="표준 4 3 3 2 2" xfId="45327"/>
    <cellStyle name="표준 4 3 3 2 2 10" xfId="45328"/>
    <cellStyle name="표준 4 3 3 2 2 11" xfId="45329"/>
    <cellStyle name="표준 4 3 3 2 2 12" xfId="45330"/>
    <cellStyle name="표준 4 3 3 2 2 13" xfId="45331"/>
    <cellStyle name="표준 4 3 3 2 2 14" xfId="45332"/>
    <cellStyle name="표준 4 3 3 2 2 15" xfId="45333"/>
    <cellStyle name="표준 4 3 3 2 2 16" xfId="45334"/>
    <cellStyle name="표준 4 3 3 2 2 16 2" xfId="45335"/>
    <cellStyle name="표준 4 3 3 2 2 16 3" xfId="45336"/>
    <cellStyle name="표준 4 3 3 2 2 17" xfId="45337"/>
    <cellStyle name="표준 4 3 3 2 2 18" xfId="45338"/>
    <cellStyle name="표준 4 3 3 2 2 19" xfId="45339"/>
    <cellStyle name="표준 4 3 3 2 2 2" xfId="45340"/>
    <cellStyle name="표준 4 3 3 2 2 2 2" xfId="45341"/>
    <cellStyle name="표준 4 3 3 2 2 2 2 2" xfId="45342"/>
    <cellStyle name="표준 4 3 3 2 2 2 2 2 2" xfId="45343"/>
    <cellStyle name="표준 4 3 3 2 2 2 2 2 3" xfId="45344"/>
    <cellStyle name="표준 4 3 3 2 2 2 2 3" xfId="45345"/>
    <cellStyle name="표준 4 3 3 2 2 2 2 4" xfId="45346"/>
    <cellStyle name="표준 4 3 3 2 2 2 2 5" xfId="45347"/>
    <cellStyle name="표준 4 3 3 2 2 2 3" xfId="45348"/>
    <cellStyle name="표준 4 3 3 2 2 2 3 2" xfId="45349"/>
    <cellStyle name="표준 4 3 3 2 2 2 3 3" xfId="45350"/>
    <cellStyle name="표준 4 3 3 2 2 2 4" xfId="45351"/>
    <cellStyle name="표준 4 3 3 2 2 2 5" xfId="45352"/>
    <cellStyle name="표준 4 3 3 2 2 2 6" xfId="45353"/>
    <cellStyle name="표준 4 3 3 2 2 3" xfId="45354"/>
    <cellStyle name="표준 4 3 3 2 2 3 2" xfId="45355"/>
    <cellStyle name="표준 4 3 3 2 2 3 2 2" xfId="45356"/>
    <cellStyle name="표준 4 3 3 2 2 3 2 2 2" xfId="45357"/>
    <cellStyle name="표준 4 3 3 2 2 3 2 2 3" xfId="45358"/>
    <cellStyle name="표준 4 3 3 2 2 3 2 3" xfId="45359"/>
    <cellStyle name="표준 4 3 3 2 2 3 2 4" xfId="45360"/>
    <cellStyle name="표준 4 3 3 2 2 3 2 5" xfId="45361"/>
    <cellStyle name="표준 4 3 3 2 2 3 3" xfId="45362"/>
    <cellStyle name="표준 4 3 3 2 2 4" xfId="45363"/>
    <cellStyle name="표준 4 3 3 2 2 4 2" xfId="45364"/>
    <cellStyle name="표준 4 3 3 2 2 4 2 2" xfId="45365"/>
    <cellStyle name="표준 4 3 3 2 2 4 2 2 2" xfId="45366"/>
    <cellStyle name="표준 4 3 3 2 2 4 2 2 3" xfId="45367"/>
    <cellStyle name="표준 4 3 3 2 2 4 2 3" xfId="45368"/>
    <cellStyle name="표준 4 3 3 2 2 4 2 4" xfId="45369"/>
    <cellStyle name="표준 4 3 3 2 2 4 2 5" xfId="45370"/>
    <cellStyle name="표준 4 3 3 2 2 4 3" xfId="45371"/>
    <cellStyle name="표준 4 3 3 2 2 5" xfId="45372"/>
    <cellStyle name="표준 4 3 3 2 2 6" xfId="45373"/>
    <cellStyle name="표준 4 3 3 2 2 7" xfId="45374"/>
    <cellStyle name="표준 4 3 3 2 2 8" xfId="45375"/>
    <cellStyle name="표준 4 3 3 2 2 9" xfId="45376"/>
    <cellStyle name="표준 4 3 3 2 20" xfId="45377"/>
    <cellStyle name="표준 4 3 3 2 3" xfId="45378"/>
    <cellStyle name="표준 4 3 3 2 3 2" xfId="45379"/>
    <cellStyle name="표준 4 3 3 2 3 2 2" xfId="45380"/>
    <cellStyle name="표준 4 3 3 2 3 2 2 2" xfId="45381"/>
    <cellStyle name="표준 4 3 3 2 3 2 2 3" xfId="45382"/>
    <cellStyle name="표준 4 3 3 2 3 2 3" xfId="45383"/>
    <cellStyle name="표준 4 3 3 2 3 2 4" xfId="45384"/>
    <cellStyle name="표준 4 3 3 2 3 2 5" xfId="45385"/>
    <cellStyle name="표준 4 3 3 2 3 3" xfId="45386"/>
    <cellStyle name="표준 4 3 3 2 3 3 2" xfId="45387"/>
    <cellStyle name="표준 4 3 3 2 3 3 3" xfId="45388"/>
    <cellStyle name="표준 4 3 3 2 3 4" xfId="45389"/>
    <cellStyle name="표준 4 3 3 2 3 5" xfId="45390"/>
    <cellStyle name="표준 4 3 3 2 3 6" xfId="45391"/>
    <cellStyle name="표준 4 3 3 2 4" xfId="45392"/>
    <cellStyle name="표준 4 3 3 2 4 2" xfId="45393"/>
    <cellStyle name="표준 4 3 3 2 4 2 2" xfId="45394"/>
    <cellStyle name="표준 4 3 3 2 4 2 2 2" xfId="45395"/>
    <cellStyle name="표준 4 3 3 2 4 2 2 3" xfId="45396"/>
    <cellStyle name="표준 4 3 3 2 4 2 3" xfId="45397"/>
    <cellStyle name="표준 4 3 3 2 4 2 4" xfId="45398"/>
    <cellStyle name="표준 4 3 3 2 4 2 5" xfId="45399"/>
    <cellStyle name="표준 4 3 3 2 4 3" xfId="45400"/>
    <cellStyle name="표준 4 3 3 2 5" xfId="45401"/>
    <cellStyle name="표준 4 3 3 2 5 2" xfId="45402"/>
    <cellStyle name="표준 4 3 3 2 5 2 2" xfId="45403"/>
    <cellStyle name="표준 4 3 3 2 5 2 2 2" xfId="45404"/>
    <cellStyle name="표준 4 3 3 2 5 2 2 3" xfId="45405"/>
    <cellStyle name="표준 4 3 3 2 5 2 3" xfId="45406"/>
    <cellStyle name="표준 4 3 3 2 5 2 4" xfId="45407"/>
    <cellStyle name="표준 4 3 3 2 5 2 5" xfId="45408"/>
    <cellStyle name="표준 4 3 3 2 5 3" xfId="45409"/>
    <cellStyle name="표준 4 3 3 2 6" xfId="45410"/>
    <cellStyle name="표준 4 3 3 2 7" xfId="45411"/>
    <cellStyle name="표준 4 3 3 2 8" xfId="45412"/>
    <cellStyle name="표준 4 3 3 2 9" xfId="45413"/>
    <cellStyle name="표준 4 3 3 20" xfId="45414"/>
    <cellStyle name="표준 4 3 3 21" xfId="45415"/>
    <cellStyle name="표준 4 3 3 22" xfId="45416"/>
    <cellStyle name="표준 4 3 3 3" xfId="45417"/>
    <cellStyle name="표준 4 3 3 3 10" xfId="45418"/>
    <cellStyle name="표준 4 3 3 3 11" xfId="45419"/>
    <cellStyle name="표준 4 3 3 3 12" xfId="45420"/>
    <cellStyle name="표준 4 3 3 3 13" xfId="45421"/>
    <cellStyle name="표준 4 3 3 3 14" xfId="45422"/>
    <cellStyle name="표준 4 3 3 3 15" xfId="45423"/>
    <cellStyle name="표준 4 3 3 3 16" xfId="45424"/>
    <cellStyle name="표준 4 3 3 3 17" xfId="45425"/>
    <cellStyle name="표준 4 3 3 3 17 2" xfId="45426"/>
    <cellStyle name="표준 4 3 3 3 17 3" xfId="45427"/>
    <cellStyle name="표준 4 3 3 3 18" xfId="45428"/>
    <cellStyle name="표준 4 3 3 3 19" xfId="45429"/>
    <cellStyle name="표준 4 3 3 3 2" xfId="45430"/>
    <cellStyle name="표준 4 3 3 3 2 10" xfId="45431"/>
    <cellStyle name="표준 4 3 3 3 2 11" xfId="45432"/>
    <cellStyle name="표준 4 3 3 3 2 12" xfId="45433"/>
    <cellStyle name="표준 4 3 3 3 2 13" xfId="45434"/>
    <cellStyle name="표준 4 3 3 3 2 14" xfId="45435"/>
    <cellStyle name="표준 4 3 3 3 2 15" xfId="45436"/>
    <cellStyle name="표준 4 3 3 3 2 16" xfId="45437"/>
    <cellStyle name="표준 4 3 3 3 2 16 2" xfId="45438"/>
    <cellStyle name="표준 4 3 3 3 2 16 3" xfId="45439"/>
    <cellStyle name="표준 4 3 3 3 2 17" xfId="45440"/>
    <cellStyle name="표준 4 3 3 3 2 18" xfId="45441"/>
    <cellStyle name="표준 4 3 3 3 2 19" xfId="45442"/>
    <cellStyle name="표준 4 3 3 3 2 2" xfId="45443"/>
    <cellStyle name="표준 4 3 3 3 2 2 2" xfId="45444"/>
    <cellStyle name="표준 4 3 3 3 2 2 2 2" xfId="45445"/>
    <cellStyle name="표준 4 3 3 3 2 2 2 2 2" xfId="45446"/>
    <cellStyle name="표준 4 3 3 3 2 2 2 2 3" xfId="45447"/>
    <cellStyle name="표준 4 3 3 3 2 2 2 3" xfId="45448"/>
    <cellStyle name="표준 4 3 3 3 2 2 2 4" xfId="45449"/>
    <cellStyle name="표준 4 3 3 3 2 2 2 5" xfId="45450"/>
    <cellStyle name="표준 4 3 3 3 2 2 3" xfId="45451"/>
    <cellStyle name="표준 4 3 3 3 2 2 3 2" xfId="45452"/>
    <cellStyle name="표준 4 3 3 3 2 2 3 3" xfId="45453"/>
    <cellStyle name="표준 4 3 3 3 2 2 4" xfId="45454"/>
    <cellStyle name="표준 4 3 3 3 2 2 5" xfId="45455"/>
    <cellStyle name="표준 4 3 3 3 2 2 6" xfId="45456"/>
    <cellStyle name="표준 4 3 3 3 2 3" xfId="45457"/>
    <cellStyle name="표준 4 3 3 3 2 3 2" xfId="45458"/>
    <cellStyle name="표준 4 3 3 3 2 3 2 2" xfId="45459"/>
    <cellStyle name="표준 4 3 3 3 2 3 2 2 2" xfId="45460"/>
    <cellStyle name="표준 4 3 3 3 2 3 2 2 3" xfId="45461"/>
    <cellStyle name="표준 4 3 3 3 2 3 2 3" xfId="45462"/>
    <cellStyle name="표준 4 3 3 3 2 3 2 4" xfId="45463"/>
    <cellStyle name="표준 4 3 3 3 2 3 2 5" xfId="45464"/>
    <cellStyle name="표준 4 3 3 3 2 3 3" xfId="45465"/>
    <cellStyle name="표준 4 3 3 3 2 4" xfId="45466"/>
    <cellStyle name="표준 4 3 3 3 2 4 2" xfId="45467"/>
    <cellStyle name="표준 4 3 3 3 2 4 2 2" xfId="45468"/>
    <cellStyle name="표준 4 3 3 3 2 4 2 2 2" xfId="45469"/>
    <cellStyle name="표준 4 3 3 3 2 4 2 2 3" xfId="45470"/>
    <cellStyle name="표준 4 3 3 3 2 4 2 3" xfId="45471"/>
    <cellStyle name="표준 4 3 3 3 2 4 2 4" xfId="45472"/>
    <cellStyle name="표준 4 3 3 3 2 4 2 5" xfId="45473"/>
    <cellStyle name="표준 4 3 3 3 2 4 3" xfId="45474"/>
    <cellStyle name="표준 4 3 3 3 2 5" xfId="45475"/>
    <cellStyle name="표준 4 3 3 3 2 6" xfId="45476"/>
    <cellStyle name="표준 4 3 3 3 2 7" xfId="45477"/>
    <cellStyle name="표준 4 3 3 3 2 8" xfId="45478"/>
    <cellStyle name="표준 4 3 3 3 2 9" xfId="45479"/>
    <cellStyle name="표준 4 3 3 3 20" xfId="45480"/>
    <cellStyle name="표준 4 3 3 3 3" xfId="45481"/>
    <cellStyle name="표준 4 3 3 3 3 2" xfId="45482"/>
    <cellStyle name="표준 4 3 3 3 3 2 2" xfId="45483"/>
    <cellStyle name="표준 4 3 3 3 3 2 2 2" xfId="45484"/>
    <cellStyle name="표준 4 3 3 3 3 2 2 3" xfId="45485"/>
    <cellStyle name="표준 4 3 3 3 3 2 3" xfId="45486"/>
    <cellStyle name="표준 4 3 3 3 3 2 4" xfId="45487"/>
    <cellStyle name="표준 4 3 3 3 3 2 5" xfId="45488"/>
    <cellStyle name="표준 4 3 3 3 3 3" xfId="45489"/>
    <cellStyle name="표준 4 3 3 3 3 3 2" xfId="45490"/>
    <cellStyle name="표준 4 3 3 3 3 3 3" xfId="45491"/>
    <cellStyle name="표준 4 3 3 3 3 4" xfId="45492"/>
    <cellStyle name="표준 4 3 3 3 3 5" xfId="45493"/>
    <cellStyle name="표준 4 3 3 3 3 6" xfId="45494"/>
    <cellStyle name="표준 4 3 3 3 4" xfId="45495"/>
    <cellStyle name="표준 4 3 3 3 4 2" xfId="45496"/>
    <cellStyle name="표준 4 3 3 3 4 2 2" xfId="45497"/>
    <cellStyle name="표준 4 3 3 3 4 2 2 2" xfId="45498"/>
    <cellStyle name="표준 4 3 3 3 4 2 2 3" xfId="45499"/>
    <cellStyle name="표준 4 3 3 3 4 2 3" xfId="45500"/>
    <cellStyle name="표준 4 3 3 3 4 2 4" xfId="45501"/>
    <cellStyle name="표준 4 3 3 3 4 2 5" xfId="45502"/>
    <cellStyle name="표준 4 3 3 3 4 3" xfId="45503"/>
    <cellStyle name="표준 4 3 3 3 5" xfId="45504"/>
    <cellStyle name="표준 4 3 3 3 5 2" xfId="45505"/>
    <cellStyle name="표준 4 3 3 3 5 2 2" xfId="45506"/>
    <cellStyle name="표준 4 3 3 3 5 2 2 2" xfId="45507"/>
    <cellStyle name="표준 4 3 3 3 5 2 2 3" xfId="45508"/>
    <cellStyle name="표준 4 3 3 3 5 2 3" xfId="45509"/>
    <cellStyle name="표준 4 3 3 3 5 2 4" xfId="45510"/>
    <cellStyle name="표준 4 3 3 3 5 2 5" xfId="45511"/>
    <cellStyle name="표준 4 3 3 3 5 3" xfId="45512"/>
    <cellStyle name="표준 4 3 3 3 6" xfId="45513"/>
    <cellStyle name="표준 4 3 3 3 7" xfId="45514"/>
    <cellStyle name="표준 4 3 3 3 8" xfId="45515"/>
    <cellStyle name="표준 4 3 3 3 9" xfId="45516"/>
    <cellStyle name="표준 4 3 3 4" xfId="45517"/>
    <cellStyle name="표준 4 3 3 4 10" xfId="45518"/>
    <cellStyle name="표준 4 3 3 4 11" xfId="45519"/>
    <cellStyle name="표준 4 3 3 4 12" xfId="45520"/>
    <cellStyle name="표준 4 3 3 4 13" xfId="45521"/>
    <cellStyle name="표준 4 3 3 4 14" xfId="45522"/>
    <cellStyle name="표준 4 3 3 4 15" xfId="45523"/>
    <cellStyle name="표준 4 3 3 4 16" xfId="45524"/>
    <cellStyle name="표준 4 3 3 4 16 2" xfId="45525"/>
    <cellStyle name="표준 4 3 3 4 16 3" xfId="45526"/>
    <cellStyle name="표준 4 3 3 4 17" xfId="45527"/>
    <cellStyle name="표준 4 3 3 4 18" xfId="45528"/>
    <cellStyle name="표준 4 3 3 4 19" xfId="45529"/>
    <cellStyle name="표준 4 3 3 4 2" xfId="45530"/>
    <cellStyle name="표준 4 3 3 4 2 2" xfId="45531"/>
    <cellStyle name="표준 4 3 3 4 2 2 2" xfId="45532"/>
    <cellStyle name="표준 4 3 3 4 2 2 2 2" xfId="45533"/>
    <cellStyle name="표준 4 3 3 4 2 2 2 3" xfId="45534"/>
    <cellStyle name="표준 4 3 3 4 2 2 3" xfId="45535"/>
    <cellStyle name="표준 4 3 3 4 2 2 4" xfId="45536"/>
    <cellStyle name="표준 4 3 3 4 2 2 5" xfId="45537"/>
    <cellStyle name="표준 4 3 3 4 2 3" xfId="45538"/>
    <cellStyle name="표준 4 3 3 4 2 3 2" xfId="45539"/>
    <cellStyle name="표준 4 3 3 4 2 3 3" xfId="45540"/>
    <cellStyle name="표준 4 3 3 4 2 4" xfId="45541"/>
    <cellStyle name="표준 4 3 3 4 2 5" xfId="45542"/>
    <cellStyle name="표준 4 3 3 4 2 6" xfId="45543"/>
    <cellStyle name="표준 4 3 3 4 3" xfId="45544"/>
    <cellStyle name="표준 4 3 3 4 3 2" xfId="45545"/>
    <cellStyle name="표준 4 3 3 4 3 2 2" xfId="45546"/>
    <cellStyle name="표준 4 3 3 4 3 2 2 2" xfId="45547"/>
    <cellStyle name="표준 4 3 3 4 3 2 2 3" xfId="45548"/>
    <cellStyle name="표준 4 3 3 4 3 2 3" xfId="45549"/>
    <cellStyle name="표준 4 3 3 4 3 2 4" xfId="45550"/>
    <cellStyle name="표준 4 3 3 4 3 2 5" xfId="45551"/>
    <cellStyle name="표준 4 3 3 4 3 3" xfId="45552"/>
    <cellStyle name="표준 4 3 3 4 4" xfId="45553"/>
    <cellStyle name="표준 4 3 3 4 4 2" xfId="45554"/>
    <cellStyle name="표준 4 3 3 4 4 2 2" xfId="45555"/>
    <cellStyle name="표준 4 3 3 4 4 2 2 2" xfId="45556"/>
    <cellStyle name="표준 4 3 3 4 4 2 2 3" xfId="45557"/>
    <cellStyle name="표준 4 3 3 4 4 2 3" xfId="45558"/>
    <cellStyle name="표준 4 3 3 4 4 2 4" xfId="45559"/>
    <cellStyle name="표준 4 3 3 4 4 2 5" xfId="45560"/>
    <cellStyle name="표준 4 3 3 4 4 3" xfId="45561"/>
    <cellStyle name="표준 4 3 3 4 5" xfId="45562"/>
    <cellStyle name="표준 4 3 3 4 6" xfId="45563"/>
    <cellStyle name="표준 4 3 3 4 7" xfId="45564"/>
    <cellStyle name="표준 4 3 3 4 8" xfId="45565"/>
    <cellStyle name="표준 4 3 3 4 9" xfId="45566"/>
    <cellStyle name="표준 4 3 3 5" xfId="45567"/>
    <cellStyle name="표준 4 3 3 5 2" xfId="45568"/>
    <cellStyle name="표준 4 3 3 5 2 2" xfId="45569"/>
    <cellStyle name="표준 4 3 3 5 2 2 2" xfId="45570"/>
    <cellStyle name="표준 4 3 3 5 2 2 3" xfId="45571"/>
    <cellStyle name="표준 4 3 3 5 2 3" xfId="45572"/>
    <cellStyle name="표준 4 3 3 5 2 4" xfId="45573"/>
    <cellStyle name="표준 4 3 3 5 2 5" xfId="45574"/>
    <cellStyle name="표준 4 3 3 5 3" xfId="45575"/>
    <cellStyle name="표준 4 3 3 5 3 2" xfId="45576"/>
    <cellStyle name="표준 4 3 3 5 3 3" xfId="45577"/>
    <cellStyle name="표준 4 3 3 5 4" xfId="45578"/>
    <cellStyle name="표준 4 3 3 5 5" xfId="45579"/>
    <cellStyle name="표준 4 3 3 5 6" xfId="45580"/>
    <cellStyle name="표준 4 3 3 6" xfId="45581"/>
    <cellStyle name="표준 4 3 3 6 2" xfId="45582"/>
    <cellStyle name="표준 4 3 3 6 2 2" xfId="45583"/>
    <cellStyle name="표준 4 3 3 6 2 2 2" xfId="45584"/>
    <cellStyle name="표준 4 3 3 6 2 2 3" xfId="45585"/>
    <cellStyle name="표준 4 3 3 6 2 3" xfId="45586"/>
    <cellStyle name="표준 4 3 3 6 2 4" xfId="45587"/>
    <cellStyle name="표준 4 3 3 6 2 5" xfId="45588"/>
    <cellStyle name="표준 4 3 3 6 3" xfId="45589"/>
    <cellStyle name="표준 4 3 3 7" xfId="45590"/>
    <cellStyle name="표준 4 3 3 7 2" xfId="45591"/>
    <cellStyle name="표준 4 3 3 7 2 2" xfId="45592"/>
    <cellStyle name="표준 4 3 3 7 2 2 2" xfId="45593"/>
    <cellStyle name="표준 4 3 3 7 2 2 3" xfId="45594"/>
    <cellStyle name="표준 4 3 3 7 2 3" xfId="45595"/>
    <cellStyle name="표준 4 3 3 7 2 4" xfId="45596"/>
    <cellStyle name="표준 4 3 3 7 2 5" xfId="45597"/>
    <cellStyle name="표준 4 3 3 7 3" xfId="45598"/>
    <cellStyle name="표준 4 3 3 8" xfId="45599"/>
    <cellStyle name="표준 4 3 3 9" xfId="45600"/>
    <cellStyle name="표준 4 3 4" xfId="45601"/>
    <cellStyle name="표준 4 3 4 10" xfId="45602"/>
    <cellStyle name="표준 4 3 4 11" xfId="45603"/>
    <cellStyle name="표준 4 3 4 12" xfId="45604"/>
    <cellStyle name="표준 4 3 4 13" xfId="45605"/>
    <cellStyle name="표준 4 3 4 14" xfId="45606"/>
    <cellStyle name="표준 4 3 4 15" xfId="45607"/>
    <cellStyle name="표준 4 3 4 16" xfId="45608"/>
    <cellStyle name="표준 4 3 4 17" xfId="45609"/>
    <cellStyle name="표준 4 3 4 17 2" xfId="45610"/>
    <cellStyle name="표준 4 3 4 17 3" xfId="45611"/>
    <cellStyle name="표준 4 3 4 18" xfId="45612"/>
    <cellStyle name="표준 4 3 4 19" xfId="45613"/>
    <cellStyle name="표준 4 3 4 2" xfId="45614"/>
    <cellStyle name="표준 4 3 4 2 10" xfId="45615"/>
    <cellStyle name="표준 4 3 4 2 11" xfId="45616"/>
    <cellStyle name="표준 4 3 4 2 12" xfId="45617"/>
    <cellStyle name="표준 4 3 4 2 13" xfId="45618"/>
    <cellStyle name="표준 4 3 4 2 14" xfId="45619"/>
    <cellStyle name="표준 4 3 4 2 15" xfId="45620"/>
    <cellStyle name="표준 4 3 4 2 16" xfId="45621"/>
    <cellStyle name="표준 4 3 4 2 16 2" xfId="45622"/>
    <cellStyle name="표준 4 3 4 2 16 3" xfId="45623"/>
    <cellStyle name="표준 4 3 4 2 17" xfId="45624"/>
    <cellStyle name="표준 4 3 4 2 18" xfId="45625"/>
    <cellStyle name="표준 4 3 4 2 19" xfId="45626"/>
    <cellStyle name="표준 4 3 4 2 2" xfId="45627"/>
    <cellStyle name="표준 4 3 4 2 2 2" xfId="45628"/>
    <cellStyle name="표준 4 3 4 2 2 2 2" xfId="45629"/>
    <cellStyle name="표준 4 3 4 2 2 2 2 2" xfId="45630"/>
    <cellStyle name="표준 4 3 4 2 2 2 2 3" xfId="45631"/>
    <cellStyle name="표준 4 3 4 2 2 2 3" xfId="45632"/>
    <cellStyle name="표준 4 3 4 2 2 2 4" xfId="45633"/>
    <cellStyle name="표준 4 3 4 2 2 2 5" xfId="45634"/>
    <cellStyle name="표준 4 3 4 2 2 3" xfId="45635"/>
    <cellStyle name="표준 4 3 4 2 2 3 2" xfId="45636"/>
    <cellStyle name="표준 4 3 4 2 2 3 3" xfId="45637"/>
    <cellStyle name="표준 4 3 4 2 2 4" xfId="45638"/>
    <cellStyle name="표준 4 3 4 2 2 5" xfId="45639"/>
    <cellStyle name="표준 4 3 4 2 2 6" xfId="45640"/>
    <cellStyle name="표준 4 3 4 2 3" xfId="45641"/>
    <cellStyle name="표준 4 3 4 2 3 2" xfId="45642"/>
    <cellStyle name="표준 4 3 4 2 3 2 2" xfId="45643"/>
    <cellStyle name="표준 4 3 4 2 3 2 2 2" xfId="45644"/>
    <cellStyle name="표준 4 3 4 2 3 2 2 3" xfId="45645"/>
    <cellStyle name="표준 4 3 4 2 3 2 3" xfId="45646"/>
    <cellStyle name="표준 4 3 4 2 3 2 4" xfId="45647"/>
    <cellStyle name="표준 4 3 4 2 3 2 5" xfId="45648"/>
    <cellStyle name="표준 4 3 4 2 3 3" xfId="45649"/>
    <cellStyle name="표준 4 3 4 2 4" xfId="45650"/>
    <cellStyle name="표준 4 3 4 2 4 2" xfId="45651"/>
    <cellStyle name="표준 4 3 4 2 4 2 2" xfId="45652"/>
    <cellStyle name="표준 4 3 4 2 4 2 2 2" xfId="45653"/>
    <cellStyle name="표준 4 3 4 2 4 2 2 3" xfId="45654"/>
    <cellStyle name="표준 4 3 4 2 4 2 3" xfId="45655"/>
    <cellStyle name="표준 4 3 4 2 4 2 4" xfId="45656"/>
    <cellStyle name="표준 4 3 4 2 4 2 5" xfId="45657"/>
    <cellStyle name="표준 4 3 4 2 4 3" xfId="45658"/>
    <cellStyle name="표준 4 3 4 2 5" xfId="45659"/>
    <cellStyle name="표준 4 3 4 2 6" xfId="45660"/>
    <cellStyle name="표준 4 3 4 2 7" xfId="45661"/>
    <cellStyle name="표준 4 3 4 2 8" xfId="45662"/>
    <cellStyle name="표준 4 3 4 2 9" xfId="45663"/>
    <cellStyle name="표준 4 3 4 20" xfId="45664"/>
    <cellStyle name="표준 4 3 4 3" xfId="45665"/>
    <cellStyle name="표준 4 3 4 3 2" xfId="45666"/>
    <cellStyle name="표준 4 3 4 3 2 2" xfId="45667"/>
    <cellStyle name="표준 4 3 4 3 2 2 2" xfId="45668"/>
    <cellStyle name="표준 4 3 4 3 2 2 3" xfId="45669"/>
    <cellStyle name="표준 4 3 4 3 2 3" xfId="45670"/>
    <cellStyle name="표준 4 3 4 3 2 4" xfId="45671"/>
    <cellStyle name="표준 4 3 4 3 2 5" xfId="45672"/>
    <cellStyle name="표준 4 3 4 3 3" xfId="45673"/>
    <cellStyle name="표준 4 3 4 3 3 2" xfId="45674"/>
    <cellStyle name="표준 4 3 4 3 3 3" xfId="45675"/>
    <cellStyle name="표준 4 3 4 3 4" xfId="45676"/>
    <cellStyle name="표준 4 3 4 3 5" xfId="45677"/>
    <cellStyle name="표준 4 3 4 3 6" xfId="45678"/>
    <cellStyle name="표준 4 3 4 4" xfId="45679"/>
    <cellStyle name="표준 4 3 4 4 2" xfId="45680"/>
    <cellStyle name="표준 4 3 4 4 2 2" xfId="45681"/>
    <cellStyle name="표준 4 3 4 4 2 2 2" xfId="45682"/>
    <cellStyle name="표준 4 3 4 4 2 2 3" xfId="45683"/>
    <cellStyle name="표준 4 3 4 4 2 3" xfId="45684"/>
    <cellStyle name="표준 4 3 4 4 2 4" xfId="45685"/>
    <cellStyle name="표준 4 3 4 4 2 5" xfId="45686"/>
    <cellStyle name="표준 4 3 4 4 3" xfId="45687"/>
    <cellStyle name="표준 4 3 4 5" xfId="45688"/>
    <cellStyle name="표준 4 3 4 5 2" xfId="45689"/>
    <cellStyle name="표준 4 3 4 5 2 2" xfId="45690"/>
    <cellStyle name="표준 4 3 4 5 2 2 2" xfId="45691"/>
    <cellStyle name="표준 4 3 4 5 2 2 3" xfId="45692"/>
    <cellStyle name="표준 4 3 4 5 2 3" xfId="45693"/>
    <cellStyle name="표준 4 3 4 5 2 4" xfId="45694"/>
    <cellStyle name="표준 4 3 4 5 2 5" xfId="45695"/>
    <cellStyle name="표준 4 3 4 5 3" xfId="45696"/>
    <cellStyle name="표준 4 3 4 6" xfId="45697"/>
    <cellStyle name="표준 4 3 4 7" xfId="45698"/>
    <cellStyle name="표준 4 3 4 8" xfId="45699"/>
    <cellStyle name="표준 4 3 4 9" xfId="45700"/>
    <cellStyle name="표준 4 3 5" xfId="45701"/>
    <cellStyle name="표준 4 3 5 10" xfId="45702"/>
    <cellStyle name="표준 4 3 5 11" xfId="45703"/>
    <cellStyle name="표준 4 3 5 12" xfId="45704"/>
    <cellStyle name="표준 4 3 5 13" xfId="45705"/>
    <cellStyle name="표준 4 3 5 14" xfId="45706"/>
    <cellStyle name="표준 4 3 5 15" xfId="45707"/>
    <cellStyle name="표준 4 3 5 16" xfId="45708"/>
    <cellStyle name="표준 4 3 5 17" xfId="45709"/>
    <cellStyle name="표준 4 3 5 17 2" xfId="45710"/>
    <cellStyle name="표준 4 3 5 17 3" xfId="45711"/>
    <cellStyle name="표준 4 3 5 18" xfId="45712"/>
    <cellStyle name="표준 4 3 5 19" xfId="45713"/>
    <cellStyle name="표준 4 3 5 2" xfId="45714"/>
    <cellStyle name="표준 4 3 5 2 10" xfId="45715"/>
    <cellStyle name="표준 4 3 5 2 11" xfId="45716"/>
    <cellStyle name="표준 4 3 5 2 12" xfId="45717"/>
    <cellStyle name="표준 4 3 5 2 13" xfId="45718"/>
    <cellStyle name="표준 4 3 5 2 14" xfId="45719"/>
    <cellStyle name="표준 4 3 5 2 15" xfId="45720"/>
    <cellStyle name="표준 4 3 5 2 16" xfId="45721"/>
    <cellStyle name="표준 4 3 5 2 16 2" xfId="45722"/>
    <cellStyle name="표준 4 3 5 2 16 3" xfId="45723"/>
    <cellStyle name="표준 4 3 5 2 17" xfId="45724"/>
    <cellStyle name="표준 4 3 5 2 18" xfId="45725"/>
    <cellStyle name="표준 4 3 5 2 19" xfId="45726"/>
    <cellStyle name="표준 4 3 5 2 2" xfId="45727"/>
    <cellStyle name="표준 4 3 5 2 2 2" xfId="45728"/>
    <cellStyle name="표준 4 3 5 2 2 2 2" xfId="45729"/>
    <cellStyle name="표준 4 3 5 2 2 2 2 2" xfId="45730"/>
    <cellStyle name="표준 4 3 5 2 2 2 2 3" xfId="45731"/>
    <cellStyle name="표준 4 3 5 2 2 2 3" xfId="45732"/>
    <cellStyle name="표준 4 3 5 2 2 2 4" xfId="45733"/>
    <cellStyle name="표준 4 3 5 2 2 2 5" xfId="45734"/>
    <cellStyle name="표준 4 3 5 2 2 3" xfId="45735"/>
    <cellStyle name="표준 4 3 5 2 2 3 2" xfId="45736"/>
    <cellStyle name="표준 4 3 5 2 2 3 3" xfId="45737"/>
    <cellStyle name="표준 4 3 5 2 2 4" xfId="45738"/>
    <cellStyle name="표준 4 3 5 2 2 5" xfId="45739"/>
    <cellStyle name="표준 4 3 5 2 2 6" xfId="45740"/>
    <cellStyle name="표준 4 3 5 2 3" xfId="45741"/>
    <cellStyle name="표준 4 3 5 2 3 2" xfId="45742"/>
    <cellStyle name="표준 4 3 5 2 3 2 2" xfId="45743"/>
    <cellStyle name="표준 4 3 5 2 3 2 2 2" xfId="45744"/>
    <cellStyle name="표준 4 3 5 2 3 2 2 3" xfId="45745"/>
    <cellStyle name="표준 4 3 5 2 3 2 3" xfId="45746"/>
    <cellStyle name="표준 4 3 5 2 3 2 4" xfId="45747"/>
    <cellStyle name="표준 4 3 5 2 3 2 5" xfId="45748"/>
    <cellStyle name="표준 4 3 5 2 3 3" xfId="45749"/>
    <cellStyle name="표준 4 3 5 2 4" xfId="45750"/>
    <cellStyle name="표준 4 3 5 2 4 2" xfId="45751"/>
    <cellStyle name="표준 4 3 5 2 4 2 2" xfId="45752"/>
    <cellStyle name="표준 4 3 5 2 4 2 2 2" xfId="45753"/>
    <cellStyle name="표준 4 3 5 2 4 2 2 3" xfId="45754"/>
    <cellStyle name="표준 4 3 5 2 4 2 3" xfId="45755"/>
    <cellStyle name="표준 4 3 5 2 4 2 4" xfId="45756"/>
    <cellStyle name="표준 4 3 5 2 4 2 5" xfId="45757"/>
    <cellStyle name="표준 4 3 5 2 4 3" xfId="45758"/>
    <cellStyle name="표준 4 3 5 2 5" xfId="45759"/>
    <cellStyle name="표준 4 3 5 2 6" xfId="45760"/>
    <cellStyle name="표준 4 3 5 2 7" xfId="45761"/>
    <cellStyle name="표준 4 3 5 2 8" xfId="45762"/>
    <cellStyle name="표준 4 3 5 2 9" xfId="45763"/>
    <cellStyle name="표준 4 3 5 20" xfId="45764"/>
    <cellStyle name="표준 4 3 5 3" xfId="45765"/>
    <cellStyle name="표준 4 3 5 3 2" xfId="45766"/>
    <cellStyle name="표준 4 3 5 3 2 2" xfId="45767"/>
    <cellStyle name="표준 4 3 5 3 2 2 2" xfId="45768"/>
    <cellStyle name="표준 4 3 5 3 2 2 3" xfId="45769"/>
    <cellStyle name="표준 4 3 5 3 2 3" xfId="45770"/>
    <cellStyle name="표준 4 3 5 3 2 4" xfId="45771"/>
    <cellStyle name="표준 4 3 5 3 2 5" xfId="45772"/>
    <cellStyle name="표준 4 3 5 3 3" xfId="45773"/>
    <cellStyle name="표준 4 3 5 3 3 2" xfId="45774"/>
    <cellStyle name="표준 4 3 5 3 3 3" xfId="45775"/>
    <cellStyle name="표준 4 3 5 3 4" xfId="45776"/>
    <cellStyle name="표준 4 3 5 3 5" xfId="45777"/>
    <cellStyle name="표준 4 3 5 3 6" xfId="45778"/>
    <cellStyle name="표준 4 3 5 4" xfId="45779"/>
    <cellStyle name="표준 4 3 5 4 2" xfId="45780"/>
    <cellStyle name="표준 4 3 5 4 2 2" xfId="45781"/>
    <cellStyle name="표준 4 3 5 4 2 2 2" xfId="45782"/>
    <cellStyle name="표준 4 3 5 4 2 2 3" xfId="45783"/>
    <cellStyle name="표준 4 3 5 4 2 3" xfId="45784"/>
    <cellStyle name="표준 4 3 5 4 2 4" xfId="45785"/>
    <cellStyle name="표준 4 3 5 4 2 5" xfId="45786"/>
    <cellStyle name="표준 4 3 5 4 3" xfId="45787"/>
    <cellStyle name="표준 4 3 5 5" xfId="45788"/>
    <cellStyle name="표준 4 3 5 5 2" xfId="45789"/>
    <cellStyle name="표준 4 3 5 5 2 2" xfId="45790"/>
    <cellStyle name="표준 4 3 5 5 2 2 2" xfId="45791"/>
    <cellStyle name="표준 4 3 5 5 2 2 3" xfId="45792"/>
    <cellStyle name="표준 4 3 5 5 2 3" xfId="45793"/>
    <cellStyle name="표준 4 3 5 5 2 4" xfId="45794"/>
    <cellStyle name="표준 4 3 5 5 2 5" xfId="45795"/>
    <cellStyle name="표준 4 3 5 5 3" xfId="45796"/>
    <cellStyle name="표준 4 3 5 6" xfId="45797"/>
    <cellStyle name="표준 4 3 5 7" xfId="45798"/>
    <cellStyle name="표준 4 3 5 8" xfId="45799"/>
    <cellStyle name="표준 4 3 5 9" xfId="45800"/>
    <cellStyle name="표준 4 3 6" xfId="45801"/>
    <cellStyle name="표준 4 3 6 10" xfId="45802"/>
    <cellStyle name="표준 4 3 6 11" xfId="45803"/>
    <cellStyle name="표준 4 3 6 12" xfId="45804"/>
    <cellStyle name="표준 4 3 6 13" xfId="45805"/>
    <cellStyle name="표준 4 3 6 14" xfId="45806"/>
    <cellStyle name="표준 4 3 6 15" xfId="45807"/>
    <cellStyle name="표준 4 3 6 16" xfId="45808"/>
    <cellStyle name="표준 4 3 6 16 2" xfId="45809"/>
    <cellStyle name="표준 4 3 6 16 3" xfId="45810"/>
    <cellStyle name="표준 4 3 6 17" xfId="45811"/>
    <cellStyle name="표준 4 3 6 18" xfId="45812"/>
    <cellStyle name="표준 4 3 6 19" xfId="45813"/>
    <cellStyle name="표준 4 3 6 2" xfId="45814"/>
    <cellStyle name="표준 4 3 6 2 2" xfId="45815"/>
    <cellStyle name="표준 4 3 6 2 2 2" xfId="45816"/>
    <cellStyle name="표준 4 3 6 2 2 2 2" xfId="45817"/>
    <cellStyle name="표준 4 3 6 2 2 2 3" xfId="45818"/>
    <cellStyle name="표준 4 3 6 2 2 3" xfId="45819"/>
    <cellStyle name="표준 4 3 6 2 2 4" xfId="45820"/>
    <cellStyle name="표준 4 3 6 2 2 5" xfId="45821"/>
    <cellStyle name="표준 4 3 6 2 3" xfId="45822"/>
    <cellStyle name="표준 4 3 6 2 3 2" xfId="45823"/>
    <cellStyle name="표준 4 3 6 2 3 3" xfId="45824"/>
    <cellStyle name="표준 4 3 6 2 4" xfId="45825"/>
    <cellStyle name="표준 4 3 6 2 5" xfId="45826"/>
    <cellStyle name="표준 4 3 6 2 6" xfId="45827"/>
    <cellStyle name="표준 4 3 6 3" xfId="45828"/>
    <cellStyle name="표준 4 3 6 3 2" xfId="45829"/>
    <cellStyle name="표준 4 3 6 3 2 2" xfId="45830"/>
    <cellStyle name="표준 4 3 6 3 2 2 2" xfId="45831"/>
    <cellStyle name="표준 4 3 6 3 2 2 3" xfId="45832"/>
    <cellStyle name="표준 4 3 6 3 2 3" xfId="45833"/>
    <cellStyle name="표준 4 3 6 3 2 4" xfId="45834"/>
    <cellStyle name="표준 4 3 6 3 2 5" xfId="45835"/>
    <cellStyle name="표준 4 3 6 3 3" xfId="45836"/>
    <cellStyle name="표준 4 3 6 4" xfId="45837"/>
    <cellStyle name="표준 4 3 6 4 2" xfId="45838"/>
    <cellStyle name="표준 4 3 6 4 2 2" xfId="45839"/>
    <cellStyle name="표준 4 3 6 4 2 2 2" xfId="45840"/>
    <cellStyle name="표준 4 3 6 4 2 2 3" xfId="45841"/>
    <cellStyle name="표준 4 3 6 4 2 3" xfId="45842"/>
    <cellStyle name="표준 4 3 6 4 2 4" xfId="45843"/>
    <cellStyle name="표준 4 3 6 4 2 5" xfId="45844"/>
    <cellStyle name="표준 4 3 6 4 3" xfId="45845"/>
    <cellStyle name="표준 4 3 6 5" xfId="45846"/>
    <cellStyle name="표준 4 3 6 6" xfId="45847"/>
    <cellStyle name="표준 4 3 6 7" xfId="45848"/>
    <cellStyle name="표준 4 3 6 8" xfId="45849"/>
    <cellStyle name="표준 4 3 6 9" xfId="45850"/>
    <cellStyle name="표준 4 3 7" xfId="45851"/>
    <cellStyle name="표준 4 3 7 2" xfId="45852"/>
    <cellStyle name="표준 4 3 7 2 2" xfId="45853"/>
    <cellStyle name="표준 4 3 7 2 2 2" xfId="45854"/>
    <cellStyle name="표준 4 3 7 2 2 3" xfId="45855"/>
    <cellStyle name="표준 4 3 7 2 3" xfId="45856"/>
    <cellStyle name="표준 4 3 7 2 4" xfId="45857"/>
    <cellStyle name="표준 4 3 7 2 5" xfId="45858"/>
    <cellStyle name="표준 4 3 7 3" xfId="45859"/>
    <cellStyle name="표준 4 3 7 3 2" xfId="45860"/>
    <cellStyle name="표준 4 3 7 3 3" xfId="45861"/>
    <cellStyle name="표준 4 3 7 4" xfId="45862"/>
    <cellStyle name="표준 4 3 7 5" xfId="45863"/>
    <cellStyle name="표준 4 3 7 6" xfId="45864"/>
    <cellStyle name="표준 4 3 8" xfId="45865"/>
    <cellStyle name="표준 4 3 8 2" xfId="45866"/>
    <cellStyle name="표준 4 3 8 2 2" xfId="45867"/>
    <cellStyle name="표준 4 3 8 2 2 2" xfId="45868"/>
    <cellStyle name="표준 4 3 8 2 2 3" xfId="45869"/>
    <cellStyle name="표준 4 3 8 2 3" xfId="45870"/>
    <cellStyle name="표준 4 3 8 2 4" xfId="45871"/>
    <cellStyle name="표준 4 3 8 2 5" xfId="45872"/>
    <cellStyle name="표준 4 3 8 3" xfId="45873"/>
    <cellStyle name="표준 4 3 9" xfId="45874"/>
    <cellStyle name="표준 4 3 9 2" xfId="45875"/>
    <cellStyle name="표준 4 3 9 2 2" xfId="45876"/>
    <cellStyle name="표준 4 3 9 2 2 2" xfId="45877"/>
    <cellStyle name="표준 4 3 9 2 2 3" xfId="45878"/>
    <cellStyle name="표준 4 3 9 2 3" xfId="45879"/>
    <cellStyle name="표준 4 3 9 2 4" xfId="45880"/>
    <cellStyle name="표준 4 3 9 2 5" xfId="45881"/>
    <cellStyle name="표준 4 3 9 3" xfId="45882"/>
    <cellStyle name="표준 4 4" xfId="45883"/>
    <cellStyle name="표준 4 4 10" xfId="45884"/>
    <cellStyle name="표준 4 4 11" xfId="45885"/>
    <cellStyle name="표준 4 4 12" xfId="45886"/>
    <cellStyle name="표준 4 4 13" xfId="45887"/>
    <cellStyle name="표준 4 4 14" xfId="45888"/>
    <cellStyle name="표준 4 4 15" xfId="45889"/>
    <cellStyle name="표준 4 4 16" xfId="45890"/>
    <cellStyle name="표준 4 4 17" xfId="45891"/>
    <cellStyle name="표준 4 4 18" xfId="45892"/>
    <cellStyle name="표준 4 4 19" xfId="45893"/>
    <cellStyle name="표준 4 4 2" xfId="45894"/>
    <cellStyle name="표준 4 4 2 10" xfId="45895"/>
    <cellStyle name="표준 4 4 2 11" xfId="45896"/>
    <cellStyle name="표준 4 4 2 12" xfId="45897"/>
    <cellStyle name="표준 4 4 2 13" xfId="45898"/>
    <cellStyle name="표준 4 4 2 14" xfId="45899"/>
    <cellStyle name="표준 4 4 2 15" xfId="45900"/>
    <cellStyle name="표준 4 4 2 16" xfId="45901"/>
    <cellStyle name="표준 4 4 2 17" xfId="45902"/>
    <cellStyle name="표준 4 4 2 18" xfId="45903"/>
    <cellStyle name="표준 4 4 2 19" xfId="45904"/>
    <cellStyle name="표준 4 4 2 19 2" xfId="45905"/>
    <cellStyle name="표준 4 4 2 19 3" xfId="45906"/>
    <cellStyle name="표준 4 4 2 2" xfId="45907"/>
    <cellStyle name="표준 4 4 2 2 10" xfId="45908"/>
    <cellStyle name="표준 4 4 2 2 11" xfId="45909"/>
    <cellStyle name="표준 4 4 2 2 12" xfId="45910"/>
    <cellStyle name="표준 4 4 2 2 13" xfId="45911"/>
    <cellStyle name="표준 4 4 2 2 14" xfId="45912"/>
    <cellStyle name="표준 4 4 2 2 15" xfId="45913"/>
    <cellStyle name="표준 4 4 2 2 16" xfId="45914"/>
    <cellStyle name="표준 4 4 2 2 17" xfId="45915"/>
    <cellStyle name="표준 4 4 2 2 17 2" xfId="45916"/>
    <cellStyle name="표준 4 4 2 2 17 3" xfId="45917"/>
    <cellStyle name="표준 4 4 2 2 18" xfId="45918"/>
    <cellStyle name="표준 4 4 2 2 19" xfId="45919"/>
    <cellStyle name="표준 4 4 2 2 2" xfId="45920"/>
    <cellStyle name="표준 4 4 2 2 2 10" xfId="45921"/>
    <cellStyle name="표준 4 4 2 2 2 11" xfId="45922"/>
    <cellStyle name="표준 4 4 2 2 2 12" xfId="45923"/>
    <cellStyle name="표준 4 4 2 2 2 13" xfId="45924"/>
    <cellStyle name="표준 4 4 2 2 2 14" xfId="45925"/>
    <cellStyle name="표준 4 4 2 2 2 15" xfId="45926"/>
    <cellStyle name="표준 4 4 2 2 2 16" xfId="45927"/>
    <cellStyle name="표준 4 4 2 2 2 16 2" xfId="45928"/>
    <cellStyle name="표준 4 4 2 2 2 16 3" xfId="45929"/>
    <cellStyle name="표준 4 4 2 2 2 17" xfId="45930"/>
    <cellStyle name="표준 4 4 2 2 2 18" xfId="45931"/>
    <cellStyle name="표준 4 4 2 2 2 19" xfId="45932"/>
    <cellStyle name="표준 4 4 2 2 2 2" xfId="45933"/>
    <cellStyle name="표준 4 4 2 2 2 2 2" xfId="45934"/>
    <cellStyle name="표준 4 4 2 2 2 2 2 2" xfId="45935"/>
    <cellStyle name="표준 4 4 2 2 2 2 2 2 2" xfId="45936"/>
    <cellStyle name="표준 4 4 2 2 2 2 2 2 3" xfId="45937"/>
    <cellStyle name="표준 4 4 2 2 2 2 2 3" xfId="45938"/>
    <cellStyle name="표준 4 4 2 2 2 2 2 4" xfId="45939"/>
    <cellStyle name="표준 4 4 2 2 2 2 2 5" xfId="45940"/>
    <cellStyle name="표준 4 4 2 2 2 2 3" xfId="45941"/>
    <cellStyle name="표준 4 4 2 2 2 2 3 2" xfId="45942"/>
    <cellStyle name="표준 4 4 2 2 2 2 3 3" xfId="45943"/>
    <cellStyle name="표준 4 4 2 2 2 2 4" xfId="45944"/>
    <cellStyle name="표준 4 4 2 2 2 2 5" xfId="45945"/>
    <cellStyle name="표준 4 4 2 2 2 2 6" xfId="45946"/>
    <cellStyle name="표준 4 4 2 2 2 3" xfId="45947"/>
    <cellStyle name="표준 4 4 2 2 2 3 2" xfId="45948"/>
    <cellStyle name="표준 4 4 2 2 2 3 2 2" xfId="45949"/>
    <cellStyle name="표준 4 4 2 2 2 3 2 2 2" xfId="45950"/>
    <cellStyle name="표준 4 4 2 2 2 3 2 2 3" xfId="45951"/>
    <cellStyle name="표준 4 4 2 2 2 3 2 3" xfId="45952"/>
    <cellStyle name="표준 4 4 2 2 2 3 2 4" xfId="45953"/>
    <cellStyle name="표준 4 4 2 2 2 3 2 5" xfId="45954"/>
    <cellStyle name="표준 4 4 2 2 2 3 3" xfId="45955"/>
    <cellStyle name="표준 4 4 2 2 2 4" xfId="45956"/>
    <cellStyle name="표준 4 4 2 2 2 4 2" xfId="45957"/>
    <cellStyle name="표준 4 4 2 2 2 4 2 2" xfId="45958"/>
    <cellStyle name="표준 4 4 2 2 2 4 2 2 2" xfId="45959"/>
    <cellStyle name="표준 4 4 2 2 2 4 2 2 3" xfId="45960"/>
    <cellStyle name="표준 4 4 2 2 2 4 2 3" xfId="45961"/>
    <cellStyle name="표준 4 4 2 2 2 4 2 4" xfId="45962"/>
    <cellStyle name="표준 4 4 2 2 2 4 2 5" xfId="45963"/>
    <cellStyle name="표준 4 4 2 2 2 4 3" xfId="45964"/>
    <cellStyle name="표준 4 4 2 2 2 5" xfId="45965"/>
    <cellStyle name="표준 4 4 2 2 2 6" xfId="45966"/>
    <cellStyle name="표준 4 4 2 2 2 7" xfId="45967"/>
    <cellStyle name="표준 4 4 2 2 2 8" xfId="45968"/>
    <cellStyle name="표준 4 4 2 2 2 9" xfId="45969"/>
    <cellStyle name="표준 4 4 2 2 20" xfId="45970"/>
    <cellStyle name="표준 4 4 2 2 3" xfId="45971"/>
    <cellStyle name="표준 4 4 2 2 3 2" xfId="45972"/>
    <cellStyle name="표준 4 4 2 2 3 2 2" xfId="45973"/>
    <cellStyle name="표준 4 4 2 2 3 2 2 2" xfId="45974"/>
    <cellStyle name="표준 4 4 2 2 3 2 2 3" xfId="45975"/>
    <cellStyle name="표준 4 4 2 2 3 2 3" xfId="45976"/>
    <cellStyle name="표준 4 4 2 2 3 2 4" xfId="45977"/>
    <cellStyle name="표준 4 4 2 2 3 2 5" xfId="45978"/>
    <cellStyle name="표준 4 4 2 2 3 3" xfId="45979"/>
    <cellStyle name="표준 4 4 2 2 3 3 2" xfId="45980"/>
    <cellStyle name="표준 4 4 2 2 3 3 3" xfId="45981"/>
    <cellStyle name="표준 4 4 2 2 3 4" xfId="45982"/>
    <cellStyle name="표준 4 4 2 2 3 5" xfId="45983"/>
    <cellStyle name="표준 4 4 2 2 3 6" xfId="45984"/>
    <cellStyle name="표준 4 4 2 2 4" xfId="45985"/>
    <cellStyle name="표준 4 4 2 2 4 2" xfId="45986"/>
    <cellStyle name="표준 4 4 2 2 4 2 2" xfId="45987"/>
    <cellStyle name="표준 4 4 2 2 4 2 2 2" xfId="45988"/>
    <cellStyle name="표준 4 4 2 2 4 2 2 3" xfId="45989"/>
    <cellStyle name="표준 4 4 2 2 4 2 3" xfId="45990"/>
    <cellStyle name="표준 4 4 2 2 4 2 4" xfId="45991"/>
    <cellStyle name="표준 4 4 2 2 4 2 5" xfId="45992"/>
    <cellStyle name="표준 4 4 2 2 4 3" xfId="45993"/>
    <cellStyle name="표준 4 4 2 2 5" xfId="45994"/>
    <cellStyle name="표준 4 4 2 2 5 2" xfId="45995"/>
    <cellStyle name="표준 4 4 2 2 5 2 2" xfId="45996"/>
    <cellStyle name="표준 4 4 2 2 5 2 2 2" xfId="45997"/>
    <cellStyle name="표준 4 4 2 2 5 2 2 3" xfId="45998"/>
    <cellStyle name="표준 4 4 2 2 5 2 3" xfId="45999"/>
    <cellStyle name="표준 4 4 2 2 5 2 4" xfId="46000"/>
    <cellStyle name="표준 4 4 2 2 5 2 5" xfId="46001"/>
    <cellStyle name="표준 4 4 2 2 5 3" xfId="46002"/>
    <cellStyle name="표준 4 4 2 2 6" xfId="46003"/>
    <cellStyle name="표준 4 4 2 2 7" xfId="46004"/>
    <cellStyle name="표준 4 4 2 2 8" xfId="46005"/>
    <cellStyle name="표준 4 4 2 2 9" xfId="46006"/>
    <cellStyle name="표준 4 4 2 20" xfId="46007"/>
    <cellStyle name="표준 4 4 2 21" xfId="46008"/>
    <cellStyle name="표준 4 4 2 22" xfId="46009"/>
    <cellStyle name="표준 4 4 2 3" xfId="46010"/>
    <cellStyle name="표준 4 4 2 3 10" xfId="46011"/>
    <cellStyle name="표준 4 4 2 3 11" xfId="46012"/>
    <cellStyle name="표준 4 4 2 3 12" xfId="46013"/>
    <cellStyle name="표준 4 4 2 3 13" xfId="46014"/>
    <cellStyle name="표준 4 4 2 3 14" xfId="46015"/>
    <cellStyle name="표준 4 4 2 3 15" xfId="46016"/>
    <cellStyle name="표준 4 4 2 3 16" xfId="46017"/>
    <cellStyle name="표준 4 4 2 3 17" xfId="46018"/>
    <cellStyle name="표준 4 4 2 3 17 2" xfId="46019"/>
    <cellStyle name="표준 4 4 2 3 17 3" xfId="46020"/>
    <cellStyle name="표준 4 4 2 3 18" xfId="46021"/>
    <cellStyle name="표준 4 4 2 3 19" xfId="46022"/>
    <cellStyle name="표준 4 4 2 3 2" xfId="46023"/>
    <cellStyle name="표준 4 4 2 3 2 10" xfId="46024"/>
    <cellStyle name="표준 4 4 2 3 2 11" xfId="46025"/>
    <cellStyle name="표준 4 4 2 3 2 12" xfId="46026"/>
    <cellStyle name="표준 4 4 2 3 2 13" xfId="46027"/>
    <cellStyle name="표준 4 4 2 3 2 14" xfId="46028"/>
    <cellStyle name="표준 4 4 2 3 2 15" xfId="46029"/>
    <cellStyle name="표준 4 4 2 3 2 16" xfId="46030"/>
    <cellStyle name="표준 4 4 2 3 2 16 2" xfId="46031"/>
    <cellStyle name="표준 4 4 2 3 2 16 3" xfId="46032"/>
    <cellStyle name="표준 4 4 2 3 2 17" xfId="46033"/>
    <cellStyle name="표준 4 4 2 3 2 18" xfId="46034"/>
    <cellStyle name="표준 4 4 2 3 2 19" xfId="46035"/>
    <cellStyle name="표준 4 4 2 3 2 2" xfId="46036"/>
    <cellStyle name="표준 4 4 2 3 2 2 2" xfId="46037"/>
    <cellStyle name="표준 4 4 2 3 2 2 2 2" xfId="46038"/>
    <cellStyle name="표준 4 4 2 3 2 2 2 2 2" xfId="46039"/>
    <cellStyle name="표준 4 4 2 3 2 2 2 2 3" xfId="46040"/>
    <cellStyle name="표준 4 4 2 3 2 2 2 3" xfId="46041"/>
    <cellStyle name="표준 4 4 2 3 2 2 2 4" xfId="46042"/>
    <cellStyle name="표준 4 4 2 3 2 2 2 5" xfId="46043"/>
    <cellStyle name="표준 4 4 2 3 2 2 3" xfId="46044"/>
    <cellStyle name="표준 4 4 2 3 2 2 3 2" xfId="46045"/>
    <cellStyle name="표준 4 4 2 3 2 2 3 3" xfId="46046"/>
    <cellStyle name="표준 4 4 2 3 2 2 4" xfId="46047"/>
    <cellStyle name="표준 4 4 2 3 2 2 5" xfId="46048"/>
    <cellStyle name="표준 4 4 2 3 2 2 6" xfId="46049"/>
    <cellStyle name="표준 4 4 2 3 2 3" xfId="46050"/>
    <cellStyle name="표준 4 4 2 3 2 3 2" xfId="46051"/>
    <cellStyle name="표준 4 4 2 3 2 3 2 2" xfId="46052"/>
    <cellStyle name="표준 4 4 2 3 2 3 2 2 2" xfId="46053"/>
    <cellStyle name="표준 4 4 2 3 2 3 2 2 3" xfId="46054"/>
    <cellStyle name="표준 4 4 2 3 2 3 2 3" xfId="46055"/>
    <cellStyle name="표준 4 4 2 3 2 3 2 4" xfId="46056"/>
    <cellStyle name="표준 4 4 2 3 2 3 2 5" xfId="46057"/>
    <cellStyle name="표준 4 4 2 3 2 3 3" xfId="46058"/>
    <cellStyle name="표준 4 4 2 3 2 4" xfId="46059"/>
    <cellStyle name="표준 4 4 2 3 2 4 2" xfId="46060"/>
    <cellStyle name="표준 4 4 2 3 2 4 2 2" xfId="46061"/>
    <cellStyle name="표준 4 4 2 3 2 4 2 2 2" xfId="46062"/>
    <cellStyle name="표준 4 4 2 3 2 4 2 2 3" xfId="46063"/>
    <cellStyle name="표준 4 4 2 3 2 4 2 3" xfId="46064"/>
    <cellStyle name="표준 4 4 2 3 2 4 2 4" xfId="46065"/>
    <cellStyle name="표준 4 4 2 3 2 4 2 5" xfId="46066"/>
    <cellStyle name="표준 4 4 2 3 2 4 3" xfId="46067"/>
    <cellStyle name="표준 4 4 2 3 2 5" xfId="46068"/>
    <cellStyle name="표준 4 4 2 3 2 6" xfId="46069"/>
    <cellStyle name="표준 4 4 2 3 2 7" xfId="46070"/>
    <cellStyle name="표준 4 4 2 3 2 8" xfId="46071"/>
    <cellStyle name="표준 4 4 2 3 2 9" xfId="46072"/>
    <cellStyle name="표준 4 4 2 3 20" xfId="46073"/>
    <cellStyle name="표준 4 4 2 3 3" xfId="46074"/>
    <cellStyle name="표준 4 4 2 3 3 2" xfId="46075"/>
    <cellStyle name="표준 4 4 2 3 3 2 2" xfId="46076"/>
    <cellStyle name="표준 4 4 2 3 3 2 2 2" xfId="46077"/>
    <cellStyle name="표준 4 4 2 3 3 2 2 3" xfId="46078"/>
    <cellStyle name="표준 4 4 2 3 3 2 3" xfId="46079"/>
    <cellStyle name="표준 4 4 2 3 3 2 4" xfId="46080"/>
    <cellStyle name="표준 4 4 2 3 3 2 5" xfId="46081"/>
    <cellStyle name="표준 4 4 2 3 3 3" xfId="46082"/>
    <cellStyle name="표준 4 4 2 3 3 3 2" xfId="46083"/>
    <cellStyle name="표준 4 4 2 3 3 3 3" xfId="46084"/>
    <cellStyle name="표준 4 4 2 3 3 4" xfId="46085"/>
    <cellStyle name="표준 4 4 2 3 3 5" xfId="46086"/>
    <cellStyle name="표준 4 4 2 3 3 6" xfId="46087"/>
    <cellStyle name="표준 4 4 2 3 4" xfId="46088"/>
    <cellStyle name="표준 4 4 2 3 4 2" xfId="46089"/>
    <cellStyle name="표준 4 4 2 3 4 2 2" xfId="46090"/>
    <cellStyle name="표준 4 4 2 3 4 2 2 2" xfId="46091"/>
    <cellStyle name="표준 4 4 2 3 4 2 2 3" xfId="46092"/>
    <cellStyle name="표준 4 4 2 3 4 2 3" xfId="46093"/>
    <cellStyle name="표준 4 4 2 3 4 2 4" xfId="46094"/>
    <cellStyle name="표준 4 4 2 3 4 2 5" xfId="46095"/>
    <cellStyle name="표준 4 4 2 3 4 3" xfId="46096"/>
    <cellStyle name="표준 4 4 2 3 5" xfId="46097"/>
    <cellStyle name="표준 4 4 2 3 5 2" xfId="46098"/>
    <cellStyle name="표준 4 4 2 3 5 2 2" xfId="46099"/>
    <cellStyle name="표준 4 4 2 3 5 2 2 2" xfId="46100"/>
    <cellStyle name="표준 4 4 2 3 5 2 2 3" xfId="46101"/>
    <cellStyle name="표준 4 4 2 3 5 2 3" xfId="46102"/>
    <cellStyle name="표준 4 4 2 3 5 2 4" xfId="46103"/>
    <cellStyle name="표준 4 4 2 3 5 2 5" xfId="46104"/>
    <cellStyle name="표준 4 4 2 3 5 3" xfId="46105"/>
    <cellStyle name="표준 4 4 2 3 6" xfId="46106"/>
    <cellStyle name="표준 4 4 2 3 7" xfId="46107"/>
    <cellStyle name="표준 4 4 2 3 8" xfId="46108"/>
    <cellStyle name="표준 4 4 2 3 9" xfId="46109"/>
    <cellStyle name="표준 4 4 2 4" xfId="46110"/>
    <cellStyle name="표준 4 4 2 4 10" xfId="46111"/>
    <cellStyle name="표준 4 4 2 4 11" xfId="46112"/>
    <cellStyle name="표준 4 4 2 4 12" xfId="46113"/>
    <cellStyle name="표준 4 4 2 4 13" xfId="46114"/>
    <cellStyle name="표준 4 4 2 4 14" xfId="46115"/>
    <cellStyle name="표준 4 4 2 4 15" xfId="46116"/>
    <cellStyle name="표준 4 4 2 4 16" xfId="46117"/>
    <cellStyle name="표준 4 4 2 4 16 2" xfId="46118"/>
    <cellStyle name="표준 4 4 2 4 16 3" xfId="46119"/>
    <cellStyle name="표준 4 4 2 4 17" xfId="46120"/>
    <cellStyle name="표준 4 4 2 4 18" xfId="46121"/>
    <cellStyle name="표준 4 4 2 4 19" xfId="46122"/>
    <cellStyle name="표준 4 4 2 4 2" xfId="46123"/>
    <cellStyle name="표준 4 4 2 4 2 2" xfId="46124"/>
    <cellStyle name="표준 4 4 2 4 2 2 2" xfId="46125"/>
    <cellStyle name="표준 4 4 2 4 2 2 2 2" xfId="46126"/>
    <cellStyle name="표준 4 4 2 4 2 2 2 3" xfId="46127"/>
    <cellStyle name="표준 4 4 2 4 2 2 3" xfId="46128"/>
    <cellStyle name="표준 4 4 2 4 2 2 4" xfId="46129"/>
    <cellStyle name="표준 4 4 2 4 2 2 5" xfId="46130"/>
    <cellStyle name="표준 4 4 2 4 2 3" xfId="46131"/>
    <cellStyle name="표준 4 4 2 4 2 3 2" xfId="46132"/>
    <cellStyle name="표준 4 4 2 4 2 3 3" xfId="46133"/>
    <cellStyle name="표준 4 4 2 4 2 4" xfId="46134"/>
    <cellStyle name="표준 4 4 2 4 2 5" xfId="46135"/>
    <cellStyle name="표준 4 4 2 4 2 6" xfId="46136"/>
    <cellStyle name="표준 4 4 2 4 3" xfId="46137"/>
    <cellStyle name="표준 4 4 2 4 3 2" xfId="46138"/>
    <cellStyle name="표준 4 4 2 4 3 2 2" xfId="46139"/>
    <cellStyle name="표준 4 4 2 4 3 2 2 2" xfId="46140"/>
    <cellStyle name="표준 4 4 2 4 3 2 2 3" xfId="46141"/>
    <cellStyle name="표준 4 4 2 4 3 2 3" xfId="46142"/>
    <cellStyle name="표준 4 4 2 4 3 2 4" xfId="46143"/>
    <cellStyle name="표준 4 4 2 4 3 2 5" xfId="46144"/>
    <cellStyle name="표준 4 4 2 4 3 3" xfId="46145"/>
    <cellStyle name="표준 4 4 2 4 4" xfId="46146"/>
    <cellStyle name="표준 4 4 2 4 4 2" xfId="46147"/>
    <cellStyle name="표준 4 4 2 4 4 2 2" xfId="46148"/>
    <cellStyle name="표준 4 4 2 4 4 2 2 2" xfId="46149"/>
    <cellStyle name="표준 4 4 2 4 4 2 2 3" xfId="46150"/>
    <cellStyle name="표준 4 4 2 4 4 2 3" xfId="46151"/>
    <cellStyle name="표준 4 4 2 4 4 2 4" xfId="46152"/>
    <cellStyle name="표준 4 4 2 4 4 2 5" xfId="46153"/>
    <cellStyle name="표준 4 4 2 4 4 3" xfId="46154"/>
    <cellStyle name="표준 4 4 2 4 5" xfId="46155"/>
    <cellStyle name="표준 4 4 2 4 6" xfId="46156"/>
    <cellStyle name="표준 4 4 2 4 7" xfId="46157"/>
    <cellStyle name="표준 4 4 2 4 8" xfId="46158"/>
    <cellStyle name="표준 4 4 2 4 9" xfId="46159"/>
    <cellStyle name="표준 4 4 2 5" xfId="46160"/>
    <cellStyle name="표준 4 4 2 5 2" xfId="46161"/>
    <cellStyle name="표준 4 4 2 5 2 2" xfId="46162"/>
    <cellStyle name="표준 4 4 2 5 2 2 2" xfId="46163"/>
    <cellStyle name="표준 4 4 2 5 2 2 3" xfId="46164"/>
    <cellStyle name="표준 4 4 2 5 2 3" xfId="46165"/>
    <cellStyle name="표준 4 4 2 5 2 4" xfId="46166"/>
    <cellStyle name="표준 4 4 2 5 2 5" xfId="46167"/>
    <cellStyle name="표준 4 4 2 5 3" xfId="46168"/>
    <cellStyle name="표준 4 4 2 5 3 2" xfId="46169"/>
    <cellStyle name="표준 4 4 2 5 3 3" xfId="46170"/>
    <cellStyle name="표준 4 4 2 5 4" xfId="46171"/>
    <cellStyle name="표준 4 4 2 5 5" xfId="46172"/>
    <cellStyle name="표준 4 4 2 5 6" xfId="46173"/>
    <cellStyle name="표준 4 4 2 6" xfId="46174"/>
    <cellStyle name="표준 4 4 2 6 2" xfId="46175"/>
    <cellStyle name="표준 4 4 2 6 2 2" xfId="46176"/>
    <cellStyle name="표준 4 4 2 6 2 2 2" xfId="46177"/>
    <cellStyle name="표준 4 4 2 6 2 2 3" xfId="46178"/>
    <cellStyle name="표준 4 4 2 6 2 3" xfId="46179"/>
    <cellStyle name="표준 4 4 2 6 2 4" xfId="46180"/>
    <cellStyle name="표준 4 4 2 6 2 5" xfId="46181"/>
    <cellStyle name="표준 4 4 2 6 3" xfId="46182"/>
    <cellStyle name="표준 4 4 2 7" xfId="46183"/>
    <cellStyle name="표준 4 4 2 7 2" xfId="46184"/>
    <cellStyle name="표준 4 4 2 7 2 2" xfId="46185"/>
    <cellStyle name="표준 4 4 2 7 2 2 2" xfId="46186"/>
    <cellStyle name="표준 4 4 2 7 2 2 3" xfId="46187"/>
    <cellStyle name="표준 4 4 2 7 2 3" xfId="46188"/>
    <cellStyle name="표준 4 4 2 7 2 4" xfId="46189"/>
    <cellStyle name="표준 4 4 2 7 2 5" xfId="46190"/>
    <cellStyle name="표준 4 4 2 7 3" xfId="46191"/>
    <cellStyle name="표준 4 4 2 8" xfId="46192"/>
    <cellStyle name="표준 4 4 2 9" xfId="46193"/>
    <cellStyle name="표준 4 4 20" xfId="46194"/>
    <cellStyle name="표준 4 4 20 2" xfId="46195"/>
    <cellStyle name="표준 4 4 20 3" xfId="46196"/>
    <cellStyle name="표준 4 4 21" xfId="46197"/>
    <cellStyle name="표준 4 4 22" xfId="46198"/>
    <cellStyle name="표준 4 4 23" xfId="46199"/>
    <cellStyle name="표준 4 4 3" xfId="46200"/>
    <cellStyle name="표준 4 4 3 10" xfId="46201"/>
    <cellStyle name="표준 4 4 3 11" xfId="46202"/>
    <cellStyle name="표준 4 4 3 12" xfId="46203"/>
    <cellStyle name="표준 4 4 3 13" xfId="46204"/>
    <cellStyle name="표준 4 4 3 14" xfId="46205"/>
    <cellStyle name="표준 4 4 3 15" xfId="46206"/>
    <cellStyle name="표준 4 4 3 16" xfId="46207"/>
    <cellStyle name="표준 4 4 3 17" xfId="46208"/>
    <cellStyle name="표준 4 4 3 17 2" xfId="46209"/>
    <cellStyle name="표준 4 4 3 17 3" xfId="46210"/>
    <cellStyle name="표준 4 4 3 18" xfId="46211"/>
    <cellStyle name="표준 4 4 3 19" xfId="46212"/>
    <cellStyle name="표준 4 4 3 2" xfId="46213"/>
    <cellStyle name="표준 4 4 3 2 10" xfId="46214"/>
    <cellStyle name="표준 4 4 3 2 11" xfId="46215"/>
    <cellStyle name="표준 4 4 3 2 12" xfId="46216"/>
    <cellStyle name="표준 4 4 3 2 13" xfId="46217"/>
    <cellStyle name="표준 4 4 3 2 14" xfId="46218"/>
    <cellStyle name="표준 4 4 3 2 15" xfId="46219"/>
    <cellStyle name="표준 4 4 3 2 16" xfId="46220"/>
    <cellStyle name="표준 4 4 3 2 16 2" xfId="46221"/>
    <cellStyle name="표준 4 4 3 2 16 3" xfId="46222"/>
    <cellStyle name="표준 4 4 3 2 17" xfId="46223"/>
    <cellStyle name="표준 4 4 3 2 18" xfId="46224"/>
    <cellStyle name="표준 4 4 3 2 19" xfId="46225"/>
    <cellStyle name="표준 4 4 3 2 2" xfId="46226"/>
    <cellStyle name="표준 4 4 3 2 2 2" xfId="46227"/>
    <cellStyle name="표준 4 4 3 2 2 2 2" xfId="46228"/>
    <cellStyle name="표준 4 4 3 2 2 2 2 2" xfId="46229"/>
    <cellStyle name="표준 4 4 3 2 2 2 2 3" xfId="46230"/>
    <cellStyle name="표준 4 4 3 2 2 2 3" xfId="46231"/>
    <cellStyle name="표준 4 4 3 2 2 2 4" xfId="46232"/>
    <cellStyle name="표준 4 4 3 2 2 2 5" xfId="46233"/>
    <cellStyle name="표준 4 4 3 2 2 3" xfId="46234"/>
    <cellStyle name="표준 4 4 3 2 2 3 2" xfId="46235"/>
    <cellStyle name="표준 4 4 3 2 2 3 3" xfId="46236"/>
    <cellStyle name="표준 4 4 3 2 2 4" xfId="46237"/>
    <cellStyle name="표준 4 4 3 2 2 5" xfId="46238"/>
    <cellStyle name="표준 4 4 3 2 2 6" xfId="46239"/>
    <cellStyle name="표준 4 4 3 2 3" xfId="46240"/>
    <cellStyle name="표준 4 4 3 2 3 2" xfId="46241"/>
    <cellStyle name="표준 4 4 3 2 3 2 2" xfId="46242"/>
    <cellStyle name="표준 4 4 3 2 3 2 2 2" xfId="46243"/>
    <cellStyle name="표준 4 4 3 2 3 2 2 3" xfId="46244"/>
    <cellStyle name="표준 4 4 3 2 3 2 3" xfId="46245"/>
    <cellStyle name="표준 4 4 3 2 3 2 4" xfId="46246"/>
    <cellStyle name="표준 4 4 3 2 3 2 5" xfId="46247"/>
    <cellStyle name="표준 4 4 3 2 3 3" xfId="46248"/>
    <cellStyle name="표준 4 4 3 2 4" xfId="46249"/>
    <cellStyle name="표준 4 4 3 2 4 2" xfId="46250"/>
    <cellStyle name="표준 4 4 3 2 4 2 2" xfId="46251"/>
    <cellStyle name="표준 4 4 3 2 4 2 2 2" xfId="46252"/>
    <cellStyle name="표준 4 4 3 2 4 2 2 3" xfId="46253"/>
    <cellStyle name="표준 4 4 3 2 4 2 3" xfId="46254"/>
    <cellStyle name="표준 4 4 3 2 4 2 4" xfId="46255"/>
    <cellStyle name="표준 4 4 3 2 4 2 5" xfId="46256"/>
    <cellStyle name="표준 4 4 3 2 4 3" xfId="46257"/>
    <cellStyle name="표준 4 4 3 2 5" xfId="46258"/>
    <cellStyle name="표준 4 4 3 2 6" xfId="46259"/>
    <cellStyle name="표준 4 4 3 2 7" xfId="46260"/>
    <cellStyle name="표준 4 4 3 2 8" xfId="46261"/>
    <cellStyle name="표준 4 4 3 2 9" xfId="46262"/>
    <cellStyle name="표준 4 4 3 20" xfId="46263"/>
    <cellStyle name="표준 4 4 3 3" xfId="46264"/>
    <cellStyle name="표준 4 4 3 3 2" xfId="46265"/>
    <cellStyle name="표준 4 4 3 3 2 2" xfId="46266"/>
    <cellStyle name="표준 4 4 3 3 2 2 2" xfId="46267"/>
    <cellStyle name="표준 4 4 3 3 2 2 3" xfId="46268"/>
    <cellStyle name="표준 4 4 3 3 2 3" xfId="46269"/>
    <cellStyle name="표준 4 4 3 3 2 4" xfId="46270"/>
    <cellStyle name="표준 4 4 3 3 2 5" xfId="46271"/>
    <cellStyle name="표준 4 4 3 3 3" xfId="46272"/>
    <cellStyle name="표준 4 4 3 3 3 2" xfId="46273"/>
    <cellStyle name="표준 4 4 3 3 3 3" xfId="46274"/>
    <cellStyle name="표준 4 4 3 3 4" xfId="46275"/>
    <cellStyle name="표준 4 4 3 3 5" xfId="46276"/>
    <cellStyle name="표준 4 4 3 3 6" xfId="46277"/>
    <cellStyle name="표준 4 4 3 4" xfId="46278"/>
    <cellStyle name="표준 4 4 3 4 2" xfId="46279"/>
    <cellStyle name="표준 4 4 3 4 2 2" xfId="46280"/>
    <cellStyle name="표준 4 4 3 4 2 2 2" xfId="46281"/>
    <cellStyle name="표준 4 4 3 4 2 2 3" xfId="46282"/>
    <cellStyle name="표준 4 4 3 4 2 3" xfId="46283"/>
    <cellStyle name="표준 4 4 3 4 2 4" xfId="46284"/>
    <cellStyle name="표준 4 4 3 4 2 5" xfId="46285"/>
    <cellStyle name="표준 4 4 3 4 3" xfId="46286"/>
    <cellStyle name="표준 4 4 3 5" xfId="46287"/>
    <cellStyle name="표준 4 4 3 5 2" xfId="46288"/>
    <cellStyle name="표준 4 4 3 5 2 2" xfId="46289"/>
    <cellStyle name="표준 4 4 3 5 2 2 2" xfId="46290"/>
    <cellStyle name="표준 4 4 3 5 2 2 3" xfId="46291"/>
    <cellStyle name="표준 4 4 3 5 2 3" xfId="46292"/>
    <cellStyle name="표준 4 4 3 5 2 4" xfId="46293"/>
    <cellStyle name="표준 4 4 3 5 2 5" xfId="46294"/>
    <cellStyle name="표준 4 4 3 5 3" xfId="46295"/>
    <cellStyle name="표준 4 4 3 6" xfId="46296"/>
    <cellStyle name="표준 4 4 3 7" xfId="46297"/>
    <cellStyle name="표준 4 4 3 8" xfId="46298"/>
    <cellStyle name="표준 4 4 3 9" xfId="46299"/>
    <cellStyle name="표준 4 4 4" xfId="46300"/>
    <cellStyle name="표준 4 4 4 10" xfId="46301"/>
    <cellStyle name="표준 4 4 4 11" xfId="46302"/>
    <cellStyle name="표준 4 4 4 12" xfId="46303"/>
    <cellStyle name="표준 4 4 4 13" xfId="46304"/>
    <cellStyle name="표준 4 4 4 14" xfId="46305"/>
    <cellStyle name="표준 4 4 4 15" xfId="46306"/>
    <cellStyle name="표준 4 4 4 16" xfId="46307"/>
    <cellStyle name="표준 4 4 4 17" xfId="46308"/>
    <cellStyle name="표준 4 4 4 17 2" xfId="46309"/>
    <cellStyle name="표준 4 4 4 17 3" xfId="46310"/>
    <cellStyle name="표준 4 4 4 18" xfId="46311"/>
    <cellStyle name="표준 4 4 4 19" xfId="46312"/>
    <cellStyle name="표준 4 4 4 2" xfId="46313"/>
    <cellStyle name="표준 4 4 4 2 10" xfId="46314"/>
    <cellStyle name="표준 4 4 4 2 11" xfId="46315"/>
    <cellStyle name="표준 4 4 4 2 12" xfId="46316"/>
    <cellStyle name="표준 4 4 4 2 13" xfId="46317"/>
    <cellStyle name="표준 4 4 4 2 14" xfId="46318"/>
    <cellStyle name="표준 4 4 4 2 15" xfId="46319"/>
    <cellStyle name="표준 4 4 4 2 16" xfId="46320"/>
    <cellStyle name="표준 4 4 4 2 16 2" xfId="46321"/>
    <cellStyle name="표준 4 4 4 2 16 3" xfId="46322"/>
    <cellStyle name="표준 4 4 4 2 17" xfId="46323"/>
    <cellStyle name="표준 4 4 4 2 18" xfId="46324"/>
    <cellStyle name="표준 4 4 4 2 19" xfId="46325"/>
    <cellStyle name="표준 4 4 4 2 2" xfId="46326"/>
    <cellStyle name="표준 4 4 4 2 2 2" xfId="46327"/>
    <cellStyle name="표준 4 4 4 2 2 2 2" xfId="46328"/>
    <cellStyle name="표준 4 4 4 2 2 2 2 2" xfId="46329"/>
    <cellStyle name="표준 4 4 4 2 2 2 2 3" xfId="46330"/>
    <cellStyle name="표준 4 4 4 2 2 2 3" xfId="46331"/>
    <cellStyle name="표준 4 4 4 2 2 2 4" xfId="46332"/>
    <cellStyle name="표준 4 4 4 2 2 2 5" xfId="46333"/>
    <cellStyle name="표준 4 4 4 2 2 3" xfId="46334"/>
    <cellStyle name="표준 4 4 4 2 2 3 2" xfId="46335"/>
    <cellStyle name="표준 4 4 4 2 2 3 3" xfId="46336"/>
    <cellStyle name="표준 4 4 4 2 2 4" xfId="46337"/>
    <cellStyle name="표준 4 4 4 2 2 5" xfId="46338"/>
    <cellStyle name="표준 4 4 4 2 2 6" xfId="46339"/>
    <cellStyle name="표준 4 4 4 2 3" xfId="46340"/>
    <cellStyle name="표준 4 4 4 2 3 2" xfId="46341"/>
    <cellStyle name="표준 4 4 4 2 3 2 2" xfId="46342"/>
    <cellStyle name="표준 4 4 4 2 3 2 2 2" xfId="46343"/>
    <cellStyle name="표준 4 4 4 2 3 2 2 3" xfId="46344"/>
    <cellStyle name="표준 4 4 4 2 3 2 3" xfId="46345"/>
    <cellStyle name="표준 4 4 4 2 3 2 4" xfId="46346"/>
    <cellStyle name="표준 4 4 4 2 3 2 5" xfId="46347"/>
    <cellStyle name="표준 4 4 4 2 3 3" xfId="46348"/>
    <cellStyle name="표준 4 4 4 2 4" xfId="46349"/>
    <cellStyle name="표준 4 4 4 2 4 2" xfId="46350"/>
    <cellStyle name="표준 4 4 4 2 4 2 2" xfId="46351"/>
    <cellStyle name="표준 4 4 4 2 4 2 2 2" xfId="46352"/>
    <cellStyle name="표준 4 4 4 2 4 2 2 3" xfId="46353"/>
    <cellStyle name="표준 4 4 4 2 4 2 3" xfId="46354"/>
    <cellStyle name="표준 4 4 4 2 4 2 4" xfId="46355"/>
    <cellStyle name="표준 4 4 4 2 4 2 5" xfId="46356"/>
    <cellStyle name="표준 4 4 4 2 4 3" xfId="46357"/>
    <cellStyle name="표준 4 4 4 2 5" xfId="46358"/>
    <cellStyle name="표준 4 4 4 2 6" xfId="46359"/>
    <cellStyle name="표준 4 4 4 2 7" xfId="46360"/>
    <cellStyle name="표준 4 4 4 2 8" xfId="46361"/>
    <cellStyle name="표준 4 4 4 2 9" xfId="46362"/>
    <cellStyle name="표준 4 4 4 20" xfId="46363"/>
    <cellStyle name="표준 4 4 4 3" xfId="46364"/>
    <cellStyle name="표준 4 4 4 3 2" xfId="46365"/>
    <cellStyle name="표준 4 4 4 3 2 2" xfId="46366"/>
    <cellStyle name="표준 4 4 4 3 2 2 2" xfId="46367"/>
    <cellStyle name="표준 4 4 4 3 2 2 3" xfId="46368"/>
    <cellStyle name="표준 4 4 4 3 2 3" xfId="46369"/>
    <cellStyle name="표준 4 4 4 3 2 4" xfId="46370"/>
    <cellStyle name="표준 4 4 4 3 2 5" xfId="46371"/>
    <cellStyle name="표준 4 4 4 3 3" xfId="46372"/>
    <cellStyle name="표준 4 4 4 3 3 2" xfId="46373"/>
    <cellStyle name="표준 4 4 4 3 3 3" xfId="46374"/>
    <cellStyle name="표준 4 4 4 3 4" xfId="46375"/>
    <cellStyle name="표준 4 4 4 3 5" xfId="46376"/>
    <cellStyle name="표준 4 4 4 3 6" xfId="46377"/>
    <cellStyle name="표준 4 4 4 4" xfId="46378"/>
    <cellStyle name="표준 4 4 4 4 2" xfId="46379"/>
    <cellStyle name="표준 4 4 4 4 2 2" xfId="46380"/>
    <cellStyle name="표준 4 4 4 4 2 2 2" xfId="46381"/>
    <cellStyle name="표준 4 4 4 4 2 2 3" xfId="46382"/>
    <cellStyle name="표준 4 4 4 4 2 3" xfId="46383"/>
    <cellStyle name="표준 4 4 4 4 2 4" xfId="46384"/>
    <cellStyle name="표준 4 4 4 4 2 5" xfId="46385"/>
    <cellStyle name="표준 4 4 4 4 3" xfId="46386"/>
    <cellStyle name="표준 4 4 4 5" xfId="46387"/>
    <cellStyle name="표준 4 4 4 5 2" xfId="46388"/>
    <cellStyle name="표준 4 4 4 5 2 2" xfId="46389"/>
    <cellStyle name="표준 4 4 4 5 2 2 2" xfId="46390"/>
    <cellStyle name="표준 4 4 4 5 2 2 3" xfId="46391"/>
    <cellStyle name="표준 4 4 4 5 2 3" xfId="46392"/>
    <cellStyle name="표준 4 4 4 5 2 4" xfId="46393"/>
    <cellStyle name="표준 4 4 4 5 2 5" xfId="46394"/>
    <cellStyle name="표준 4 4 4 5 3" xfId="46395"/>
    <cellStyle name="표준 4 4 4 6" xfId="46396"/>
    <cellStyle name="표준 4 4 4 7" xfId="46397"/>
    <cellStyle name="표준 4 4 4 8" xfId="46398"/>
    <cellStyle name="표준 4 4 4 9" xfId="46399"/>
    <cellStyle name="표준 4 4 5" xfId="46400"/>
    <cellStyle name="표준 4 4 5 10" xfId="46401"/>
    <cellStyle name="표준 4 4 5 11" xfId="46402"/>
    <cellStyle name="표준 4 4 5 12" xfId="46403"/>
    <cellStyle name="표준 4 4 5 13" xfId="46404"/>
    <cellStyle name="표준 4 4 5 14" xfId="46405"/>
    <cellStyle name="표준 4 4 5 15" xfId="46406"/>
    <cellStyle name="표준 4 4 5 16" xfId="46407"/>
    <cellStyle name="표준 4 4 5 16 2" xfId="46408"/>
    <cellStyle name="표준 4 4 5 16 3" xfId="46409"/>
    <cellStyle name="표준 4 4 5 17" xfId="46410"/>
    <cellStyle name="표준 4 4 5 18" xfId="46411"/>
    <cellStyle name="표준 4 4 5 19" xfId="46412"/>
    <cellStyle name="표준 4 4 5 2" xfId="46413"/>
    <cellStyle name="표준 4 4 5 2 2" xfId="46414"/>
    <cellStyle name="표준 4 4 5 2 2 2" xfId="46415"/>
    <cellStyle name="표준 4 4 5 2 2 2 2" xfId="46416"/>
    <cellStyle name="표준 4 4 5 2 2 2 3" xfId="46417"/>
    <cellStyle name="표준 4 4 5 2 2 3" xfId="46418"/>
    <cellStyle name="표준 4 4 5 2 2 4" xfId="46419"/>
    <cellStyle name="표준 4 4 5 2 2 5" xfId="46420"/>
    <cellStyle name="표준 4 4 5 2 3" xfId="46421"/>
    <cellStyle name="표준 4 4 5 2 3 2" xfId="46422"/>
    <cellStyle name="표준 4 4 5 2 3 3" xfId="46423"/>
    <cellStyle name="표준 4 4 5 2 4" xfId="46424"/>
    <cellStyle name="표준 4 4 5 2 5" xfId="46425"/>
    <cellStyle name="표준 4 4 5 2 6" xfId="46426"/>
    <cellStyle name="표준 4 4 5 3" xfId="46427"/>
    <cellStyle name="표준 4 4 5 3 2" xfId="46428"/>
    <cellStyle name="표준 4 4 5 3 2 2" xfId="46429"/>
    <cellStyle name="표준 4 4 5 3 2 2 2" xfId="46430"/>
    <cellStyle name="표준 4 4 5 3 2 2 3" xfId="46431"/>
    <cellStyle name="표준 4 4 5 3 2 3" xfId="46432"/>
    <cellStyle name="표준 4 4 5 3 2 4" xfId="46433"/>
    <cellStyle name="표준 4 4 5 3 2 5" xfId="46434"/>
    <cellStyle name="표준 4 4 5 3 3" xfId="46435"/>
    <cellStyle name="표준 4 4 5 4" xfId="46436"/>
    <cellStyle name="표준 4 4 5 4 2" xfId="46437"/>
    <cellStyle name="표준 4 4 5 4 2 2" xfId="46438"/>
    <cellStyle name="표준 4 4 5 4 2 2 2" xfId="46439"/>
    <cellStyle name="표준 4 4 5 4 2 2 3" xfId="46440"/>
    <cellStyle name="표준 4 4 5 4 2 3" xfId="46441"/>
    <cellStyle name="표준 4 4 5 4 2 4" xfId="46442"/>
    <cellStyle name="표준 4 4 5 4 2 5" xfId="46443"/>
    <cellStyle name="표준 4 4 5 4 3" xfId="46444"/>
    <cellStyle name="표준 4 4 5 5" xfId="46445"/>
    <cellStyle name="표준 4 4 5 6" xfId="46446"/>
    <cellStyle name="표준 4 4 5 7" xfId="46447"/>
    <cellStyle name="표준 4 4 5 8" xfId="46448"/>
    <cellStyle name="표준 4 4 5 9" xfId="46449"/>
    <cellStyle name="표준 4 4 6" xfId="46450"/>
    <cellStyle name="표준 4 4 6 2" xfId="46451"/>
    <cellStyle name="표준 4 4 6 2 2" xfId="46452"/>
    <cellStyle name="표준 4 4 6 2 2 2" xfId="46453"/>
    <cellStyle name="표준 4 4 6 2 2 3" xfId="46454"/>
    <cellStyle name="표준 4 4 6 2 3" xfId="46455"/>
    <cellStyle name="표준 4 4 6 2 4" xfId="46456"/>
    <cellStyle name="표준 4 4 6 2 5" xfId="46457"/>
    <cellStyle name="표준 4 4 6 3" xfId="46458"/>
    <cellStyle name="표준 4 4 6 3 2" xfId="46459"/>
    <cellStyle name="표준 4 4 6 3 3" xfId="46460"/>
    <cellStyle name="표준 4 4 6 4" xfId="46461"/>
    <cellStyle name="표준 4 4 6 5" xfId="46462"/>
    <cellStyle name="표준 4 4 6 6" xfId="46463"/>
    <cellStyle name="표준 4 4 7" xfId="46464"/>
    <cellStyle name="표준 4 4 7 2" xfId="46465"/>
    <cellStyle name="표준 4 4 7 2 2" xfId="46466"/>
    <cellStyle name="표준 4 4 7 2 2 2" xfId="46467"/>
    <cellStyle name="표준 4 4 7 2 2 3" xfId="46468"/>
    <cellStyle name="표준 4 4 7 2 3" xfId="46469"/>
    <cellStyle name="표준 4 4 7 2 4" xfId="46470"/>
    <cellStyle name="표준 4 4 7 2 5" xfId="46471"/>
    <cellStyle name="표준 4 4 7 3" xfId="46472"/>
    <cellStyle name="표준 4 4 8" xfId="46473"/>
    <cellStyle name="표준 4 4 8 2" xfId="46474"/>
    <cellStyle name="표준 4 4 8 2 2" xfId="46475"/>
    <cellStyle name="표준 4 4 8 2 2 2" xfId="46476"/>
    <cellStyle name="표준 4 4 8 2 2 3" xfId="46477"/>
    <cellStyle name="표준 4 4 8 2 3" xfId="46478"/>
    <cellStyle name="표준 4 4 8 2 4" xfId="46479"/>
    <cellStyle name="표준 4 4 8 2 5" xfId="46480"/>
    <cellStyle name="표준 4 4 8 3" xfId="46481"/>
    <cellStyle name="표준 4 4 9" xfId="46482"/>
    <cellStyle name="표준 4 5" xfId="46483"/>
    <cellStyle name="표준 4 5 10" xfId="46484"/>
    <cellStyle name="표준 4 5 11" xfId="46485"/>
    <cellStyle name="표준 4 5 12" xfId="46486"/>
    <cellStyle name="표준 4 5 13" xfId="46487"/>
    <cellStyle name="표준 4 5 14" xfId="46488"/>
    <cellStyle name="표준 4 5 15" xfId="46489"/>
    <cellStyle name="표준 4 5 16" xfId="46490"/>
    <cellStyle name="표준 4 5 17" xfId="46491"/>
    <cellStyle name="표준 4 5 18" xfId="46492"/>
    <cellStyle name="표준 4 5 19" xfId="46493"/>
    <cellStyle name="표준 4 5 19 2" xfId="46494"/>
    <cellStyle name="표준 4 5 19 3" xfId="46495"/>
    <cellStyle name="표준 4 5 2" xfId="46496"/>
    <cellStyle name="표준 4 5 2 10" xfId="46497"/>
    <cellStyle name="표준 4 5 2 11" xfId="46498"/>
    <cellStyle name="표준 4 5 2 12" xfId="46499"/>
    <cellStyle name="표준 4 5 2 13" xfId="46500"/>
    <cellStyle name="표준 4 5 2 14" xfId="46501"/>
    <cellStyle name="표준 4 5 2 15" xfId="46502"/>
    <cellStyle name="표준 4 5 2 16" xfId="46503"/>
    <cellStyle name="표준 4 5 2 17" xfId="46504"/>
    <cellStyle name="표준 4 5 2 17 2" xfId="46505"/>
    <cellStyle name="표준 4 5 2 17 3" xfId="46506"/>
    <cellStyle name="표준 4 5 2 18" xfId="46507"/>
    <cellStyle name="표준 4 5 2 19" xfId="46508"/>
    <cellStyle name="표준 4 5 2 2" xfId="46509"/>
    <cellStyle name="표준 4 5 2 2 10" xfId="46510"/>
    <cellStyle name="표준 4 5 2 2 11" xfId="46511"/>
    <cellStyle name="표준 4 5 2 2 12" xfId="46512"/>
    <cellStyle name="표준 4 5 2 2 13" xfId="46513"/>
    <cellStyle name="표준 4 5 2 2 14" xfId="46514"/>
    <cellStyle name="표준 4 5 2 2 15" xfId="46515"/>
    <cellStyle name="표준 4 5 2 2 16" xfId="46516"/>
    <cellStyle name="표준 4 5 2 2 16 2" xfId="46517"/>
    <cellStyle name="표준 4 5 2 2 16 3" xfId="46518"/>
    <cellStyle name="표준 4 5 2 2 17" xfId="46519"/>
    <cellStyle name="표준 4 5 2 2 18" xfId="46520"/>
    <cellStyle name="표준 4 5 2 2 19" xfId="46521"/>
    <cellStyle name="표준 4 5 2 2 2" xfId="46522"/>
    <cellStyle name="표준 4 5 2 2 2 2" xfId="46523"/>
    <cellStyle name="표준 4 5 2 2 2 2 2" xfId="46524"/>
    <cellStyle name="표준 4 5 2 2 2 2 2 2" xfId="46525"/>
    <cellStyle name="표준 4 5 2 2 2 2 2 3" xfId="46526"/>
    <cellStyle name="표준 4 5 2 2 2 2 3" xfId="46527"/>
    <cellStyle name="표준 4 5 2 2 2 2 4" xfId="46528"/>
    <cellStyle name="표준 4 5 2 2 2 2 5" xfId="46529"/>
    <cellStyle name="표준 4 5 2 2 2 3" xfId="46530"/>
    <cellStyle name="표준 4 5 2 2 2 3 2" xfId="46531"/>
    <cellStyle name="표준 4 5 2 2 2 3 3" xfId="46532"/>
    <cellStyle name="표준 4 5 2 2 2 4" xfId="46533"/>
    <cellStyle name="표준 4 5 2 2 2 5" xfId="46534"/>
    <cellStyle name="표준 4 5 2 2 2 6" xfId="46535"/>
    <cellStyle name="표준 4 5 2 2 3" xfId="46536"/>
    <cellStyle name="표준 4 5 2 2 3 2" xfId="46537"/>
    <cellStyle name="표준 4 5 2 2 3 2 2" xfId="46538"/>
    <cellStyle name="표준 4 5 2 2 3 2 2 2" xfId="46539"/>
    <cellStyle name="표준 4 5 2 2 3 2 2 3" xfId="46540"/>
    <cellStyle name="표준 4 5 2 2 3 2 3" xfId="46541"/>
    <cellStyle name="표준 4 5 2 2 3 2 4" xfId="46542"/>
    <cellStyle name="표준 4 5 2 2 3 2 5" xfId="46543"/>
    <cellStyle name="표준 4 5 2 2 3 3" xfId="46544"/>
    <cellStyle name="표준 4 5 2 2 4" xfId="46545"/>
    <cellStyle name="표준 4 5 2 2 4 2" xfId="46546"/>
    <cellStyle name="표준 4 5 2 2 4 2 2" xfId="46547"/>
    <cellStyle name="표준 4 5 2 2 4 2 2 2" xfId="46548"/>
    <cellStyle name="표준 4 5 2 2 4 2 2 3" xfId="46549"/>
    <cellStyle name="표준 4 5 2 2 4 2 3" xfId="46550"/>
    <cellStyle name="표준 4 5 2 2 4 2 4" xfId="46551"/>
    <cellStyle name="표준 4 5 2 2 4 2 5" xfId="46552"/>
    <cellStyle name="표준 4 5 2 2 4 3" xfId="46553"/>
    <cellStyle name="표준 4 5 2 2 5" xfId="46554"/>
    <cellStyle name="표준 4 5 2 2 6" xfId="46555"/>
    <cellStyle name="표준 4 5 2 2 7" xfId="46556"/>
    <cellStyle name="표준 4 5 2 2 8" xfId="46557"/>
    <cellStyle name="표준 4 5 2 2 9" xfId="46558"/>
    <cellStyle name="표준 4 5 2 20" xfId="46559"/>
    <cellStyle name="표준 4 5 2 3" xfId="46560"/>
    <cellStyle name="표준 4 5 2 3 2" xfId="46561"/>
    <cellStyle name="표준 4 5 2 3 2 2" xfId="46562"/>
    <cellStyle name="표준 4 5 2 3 2 2 2" xfId="46563"/>
    <cellStyle name="표준 4 5 2 3 2 2 3" xfId="46564"/>
    <cellStyle name="표준 4 5 2 3 2 3" xfId="46565"/>
    <cellStyle name="표준 4 5 2 3 2 4" xfId="46566"/>
    <cellStyle name="표준 4 5 2 3 2 5" xfId="46567"/>
    <cellStyle name="표준 4 5 2 3 3" xfId="46568"/>
    <cellStyle name="표준 4 5 2 3 3 2" xfId="46569"/>
    <cellStyle name="표준 4 5 2 3 3 3" xfId="46570"/>
    <cellStyle name="표준 4 5 2 3 4" xfId="46571"/>
    <cellStyle name="표준 4 5 2 3 5" xfId="46572"/>
    <cellStyle name="표준 4 5 2 3 6" xfId="46573"/>
    <cellStyle name="표준 4 5 2 4" xfId="46574"/>
    <cellStyle name="표준 4 5 2 4 2" xfId="46575"/>
    <cellStyle name="표준 4 5 2 4 2 2" xfId="46576"/>
    <cellStyle name="표준 4 5 2 4 2 2 2" xfId="46577"/>
    <cellStyle name="표준 4 5 2 4 2 2 3" xfId="46578"/>
    <cellStyle name="표준 4 5 2 4 2 3" xfId="46579"/>
    <cellStyle name="표준 4 5 2 4 2 4" xfId="46580"/>
    <cellStyle name="표준 4 5 2 4 2 5" xfId="46581"/>
    <cellStyle name="표준 4 5 2 4 3" xfId="46582"/>
    <cellStyle name="표준 4 5 2 5" xfId="46583"/>
    <cellStyle name="표준 4 5 2 5 2" xfId="46584"/>
    <cellStyle name="표준 4 5 2 5 2 2" xfId="46585"/>
    <cellStyle name="표준 4 5 2 5 2 2 2" xfId="46586"/>
    <cellStyle name="표준 4 5 2 5 2 2 3" xfId="46587"/>
    <cellStyle name="표준 4 5 2 5 2 3" xfId="46588"/>
    <cellStyle name="표준 4 5 2 5 2 4" xfId="46589"/>
    <cellStyle name="표준 4 5 2 5 2 5" xfId="46590"/>
    <cellStyle name="표준 4 5 2 5 3" xfId="46591"/>
    <cellStyle name="표준 4 5 2 6" xfId="46592"/>
    <cellStyle name="표준 4 5 2 7" xfId="46593"/>
    <cellStyle name="표준 4 5 2 8" xfId="46594"/>
    <cellStyle name="표준 4 5 2 9" xfId="46595"/>
    <cellStyle name="표준 4 5 20" xfId="46596"/>
    <cellStyle name="표준 4 5 21" xfId="46597"/>
    <cellStyle name="표준 4 5 22" xfId="46598"/>
    <cellStyle name="표준 4 5 3" xfId="46599"/>
    <cellStyle name="표준 4 5 3 10" xfId="46600"/>
    <cellStyle name="표준 4 5 3 11" xfId="46601"/>
    <cellStyle name="표준 4 5 3 12" xfId="46602"/>
    <cellStyle name="표준 4 5 3 13" xfId="46603"/>
    <cellStyle name="표준 4 5 3 14" xfId="46604"/>
    <cellStyle name="표준 4 5 3 15" xfId="46605"/>
    <cellStyle name="표준 4 5 3 16" xfId="46606"/>
    <cellStyle name="표준 4 5 3 17" xfId="46607"/>
    <cellStyle name="표준 4 5 3 17 2" xfId="46608"/>
    <cellStyle name="표준 4 5 3 17 3" xfId="46609"/>
    <cellStyle name="표준 4 5 3 18" xfId="46610"/>
    <cellStyle name="표준 4 5 3 19" xfId="46611"/>
    <cellStyle name="표준 4 5 3 2" xfId="46612"/>
    <cellStyle name="표준 4 5 3 2 10" xfId="46613"/>
    <cellStyle name="표준 4 5 3 2 11" xfId="46614"/>
    <cellStyle name="표준 4 5 3 2 12" xfId="46615"/>
    <cellStyle name="표준 4 5 3 2 13" xfId="46616"/>
    <cellStyle name="표준 4 5 3 2 14" xfId="46617"/>
    <cellStyle name="표준 4 5 3 2 15" xfId="46618"/>
    <cellStyle name="표준 4 5 3 2 16" xfId="46619"/>
    <cellStyle name="표준 4 5 3 2 16 2" xfId="46620"/>
    <cellStyle name="표준 4 5 3 2 16 3" xfId="46621"/>
    <cellStyle name="표준 4 5 3 2 17" xfId="46622"/>
    <cellStyle name="표준 4 5 3 2 18" xfId="46623"/>
    <cellStyle name="표준 4 5 3 2 19" xfId="46624"/>
    <cellStyle name="표준 4 5 3 2 2" xfId="46625"/>
    <cellStyle name="표준 4 5 3 2 2 2" xfId="46626"/>
    <cellStyle name="표준 4 5 3 2 2 2 2" xfId="46627"/>
    <cellStyle name="표준 4 5 3 2 2 2 2 2" xfId="46628"/>
    <cellStyle name="표준 4 5 3 2 2 2 2 3" xfId="46629"/>
    <cellStyle name="표준 4 5 3 2 2 2 3" xfId="46630"/>
    <cellStyle name="표준 4 5 3 2 2 2 4" xfId="46631"/>
    <cellStyle name="표준 4 5 3 2 2 2 5" xfId="46632"/>
    <cellStyle name="표준 4 5 3 2 2 3" xfId="46633"/>
    <cellStyle name="표준 4 5 3 2 2 3 2" xfId="46634"/>
    <cellStyle name="표준 4 5 3 2 2 3 3" xfId="46635"/>
    <cellStyle name="표준 4 5 3 2 2 4" xfId="46636"/>
    <cellStyle name="표준 4 5 3 2 2 5" xfId="46637"/>
    <cellStyle name="표준 4 5 3 2 2 6" xfId="46638"/>
    <cellStyle name="표준 4 5 3 2 3" xfId="46639"/>
    <cellStyle name="표준 4 5 3 2 3 2" xfId="46640"/>
    <cellStyle name="표준 4 5 3 2 3 2 2" xfId="46641"/>
    <cellStyle name="표준 4 5 3 2 3 2 2 2" xfId="46642"/>
    <cellStyle name="표준 4 5 3 2 3 2 2 3" xfId="46643"/>
    <cellStyle name="표준 4 5 3 2 3 2 3" xfId="46644"/>
    <cellStyle name="표준 4 5 3 2 3 2 4" xfId="46645"/>
    <cellStyle name="표준 4 5 3 2 3 2 5" xfId="46646"/>
    <cellStyle name="표준 4 5 3 2 3 3" xfId="46647"/>
    <cellStyle name="표준 4 5 3 2 4" xfId="46648"/>
    <cellStyle name="표준 4 5 3 2 4 2" xfId="46649"/>
    <cellStyle name="표준 4 5 3 2 4 2 2" xfId="46650"/>
    <cellStyle name="표준 4 5 3 2 4 2 2 2" xfId="46651"/>
    <cellStyle name="표준 4 5 3 2 4 2 2 3" xfId="46652"/>
    <cellStyle name="표준 4 5 3 2 4 2 3" xfId="46653"/>
    <cellStyle name="표준 4 5 3 2 4 2 4" xfId="46654"/>
    <cellStyle name="표준 4 5 3 2 4 2 5" xfId="46655"/>
    <cellStyle name="표준 4 5 3 2 4 3" xfId="46656"/>
    <cellStyle name="표준 4 5 3 2 5" xfId="46657"/>
    <cellStyle name="표준 4 5 3 2 6" xfId="46658"/>
    <cellStyle name="표준 4 5 3 2 7" xfId="46659"/>
    <cellStyle name="표준 4 5 3 2 8" xfId="46660"/>
    <cellStyle name="표준 4 5 3 2 9" xfId="46661"/>
    <cellStyle name="표준 4 5 3 20" xfId="46662"/>
    <cellStyle name="표준 4 5 3 3" xfId="46663"/>
    <cellStyle name="표준 4 5 3 3 2" xfId="46664"/>
    <cellStyle name="표준 4 5 3 3 2 2" xfId="46665"/>
    <cellStyle name="표준 4 5 3 3 2 2 2" xfId="46666"/>
    <cellStyle name="표준 4 5 3 3 2 2 3" xfId="46667"/>
    <cellStyle name="표준 4 5 3 3 2 3" xfId="46668"/>
    <cellStyle name="표준 4 5 3 3 2 4" xfId="46669"/>
    <cellStyle name="표준 4 5 3 3 2 5" xfId="46670"/>
    <cellStyle name="표준 4 5 3 3 3" xfId="46671"/>
    <cellStyle name="표준 4 5 3 3 3 2" xfId="46672"/>
    <cellStyle name="표준 4 5 3 3 3 3" xfId="46673"/>
    <cellStyle name="표준 4 5 3 3 4" xfId="46674"/>
    <cellStyle name="표준 4 5 3 3 5" xfId="46675"/>
    <cellStyle name="표준 4 5 3 3 6" xfId="46676"/>
    <cellStyle name="표준 4 5 3 4" xfId="46677"/>
    <cellStyle name="표준 4 5 3 4 2" xfId="46678"/>
    <cellStyle name="표준 4 5 3 4 2 2" xfId="46679"/>
    <cellStyle name="표준 4 5 3 4 2 2 2" xfId="46680"/>
    <cellStyle name="표준 4 5 3 4 2 2 3" xfId="46681"/>
    <cellStyle name="표준 4 5 3 4 2 3" xfId="46682"/>
    <cellStyle name="표준 4 5 3 4 2 4" xfId="46683"/>
    <cellStyle name="표준 4 5 3 4 2 5" xfId="46684"/>
    <cellStyle name="표준 4 5 3 4 3" xfId="46685"/>
    <cellStyle name="표준 4 5 3 5" xfId="46686"/>
    <cellStyle name="표준 4 5 3 5 2" xfId="46687"/>
    <cellStyle name="표준 4 5 3 5 2 2" xfId="46688"/>
    <cellStyle name="표준 4 5 3 5 2 2 2" xfId="46689"/>
    <cellStyle name="표준 4 5 3 5 2 2 3" xfId="46690"/>
    <cellStyle name="표준 4 5 3 5 2 3" xfId="46691"/>
    <cellStyle name="표준 4 5 3 5 2 4" xfId="46692"/>
    <cellStyle name="표준 4 5 3 5 2 5" xfId="46693"/>
    <cellStyle name="표준 4 5 3 5 3" xfId="46694"/>
    <cellStyle name="표준 4 5 3 6" xfId="46695"/>
    <cellStyle name="표준 4 5 3 7" xfId="46696"/>
    <cellStyle name="표준 4 5 3 8" xfId="46697"/>
    <cellStyle name="표준 4 5 3 9" xfId="46698"/>
    <cellStyle name="표준 4 5 4" xfId="46699"/>
    <cellStyle name="표준 4 5 4 10" xfId="46700"/>
    <cellStyle name="표준 4 5 4 11" xfId="46701"/>
    <cellStyle name="표준 4 5 4 12" xfId="46702"/>
    <cellStyle name="표준 4 5 4 13" xfId="46703"/>
    <cellStyle name="표준 4 5 4 14" xfId="46704"/>
    <cellStyle name="표준 4 5 4 15" xfId="46705"/>
    <cellStyle name="표준 4 5 4 16" xfId="46706"/>
    <cellStyle name="표준 4 5 4 16 2" xfId="46707"/>
    <cellStyle name="표준 4 5 4 16 3" xfId="46708"/>
    <cellStyle name="표준 4 5 4 17" xfId="46709"/>
    <cellStyle name="표준 4 5 4 18" xfId="46710"/>
    <cellStyle name="표준 4 5 4 19" xfId="46711"/>
    <cellStyle name="표준 4 5 4 2" xfId="46712"/>
    <cellStyle name="표준 4 5 4 2 2" xfId="46713"/>
    <cellStyle name="표준 4 5 4 2 2 2" xfId="46714"/>
    <cellStyle name="표준 4 5 4 2 2 2 2" xfId="46715"/>
    <cellStyle name="표준 4 5 4 2 2 2 3" xfId="46716"/>
    <cellStyle name="표준 4 5 4 2 2 3" xfId="46717"/>
    <cellStyle name="표준 4 5 4 2 2 4" xfId="46718"/>
    <cellStyle name="표준 4 5 4 2 2 5" xfId="46719"/>
    <cellStyle name="표준 4 5 4 2 3" xfId="46720"/>
    <cellStyle name="표준 4 5 4 2 3 2" xfId="46721"/>
    <cellStyle name="표준 4 5 4 2 3 3" xfId="46722"/>
    <cellStyle name="표준 4 5 4 2 4" xfId="46723"/>
    <cellStyle name="표준 4 5 4 2 5" xfId="46724"/>
    <cellStyle name="표준 4 5 4 2 6" xfId="46725"/>
    <cellStyle name="표준 4 5 4 3" xfId="46726"/>
    <cellStyle name="표준 4 5 4 3 2" xfId="46727"/>
    <cellStyle name="표준 4 5 4 3 2 2" xfId="46728"/>
    <cellStyle name="표준 4 5 4 3 2 2 2" xfId="46729"/>
    <cellStyle name="표준 4 5 4 3 2 2 3" xfId="46730"/>
    <cellStyle name="표준 4 5 4 3 2 3" xfId="46731"/>
    <cellStyle name="표준 4 5 4 3 2 4" xfId="46732"/>
    <cellStyle name="표준 4 5 4 3 2 5" xfId="46733"/>
    <cellStyle name="표준 4 5 4 3 3" xfId="46734"/>
    <cellStyle name="표준 4 5 4 4" xfId="46735"/>
    <cellStyle name="표준 4 5 4 4 2" xfId="46736"/>
    <cellStyle name="표준 4 5 4 4 2 2" xfId="46737"/>
    <cellStyle name="표준 4 5 4 4 2 2 2" xfId="46738"/>
    <cellStyle name="표준 4 5 4 4 2 2 3" xfId="46739"/>
    <cellStyle name="표준 4 5 4 4 2 3" xfId="46740"/>
    <cellStyle name="표준 4 5 4 4 2 4" xfId="46741"/>
    <cellStyle name="표준 4 5 4 4 2 5" xfId="46742"/>
    <cellStyle name="표준 4 5 4 4 3" xfId="46743"/>
    <cellStyle name="표준 4 5 4 5" xfId="46744"/>
    <cellStyle name="표준 4 5 4 6" xfId="46745"/>
    <cellStyle name="표준 4 5 4 7" xfId="46746"/>
    <cellStyle name="표준 4 5 4 8" xfId="46747"/>
    <cellStyle name="표준 4 5 4 9" xfId="46748"/>
    <cellStyle name="표준 4 5 5" xfId="46749"/>
    <cellStyle name="표준 4 5 5 2" xfId="46750"/>
    <cellStyle name="표준 4 5 5 2 2" xfId="46751"/>
    <cellStyle name="표준 4 5 5 2 2 2" xfId="46752"/>
    <cellStyle name="표준 4 5 5 2 2 3" xfId="46753"/>
    <cellStyle name="표준 4 5 5 2 3" xfId="46754"/>
    <cellStyle name="표준 4 5 5 2 4" xfId="46755"/>
    <cellStyle name="표준 4 5 5 2 5" xfId="46756"/>
    <cellStyle name="표준 4 5 5 3" xfId="46757"/>
    <cellStyle name="표준 4 5 5 3 2" xfId="46758"/>
    <cellStyle name="표준 4 5 5 3 3" xfId="46759"/>
    <cellStyle name="표준 4 5 5 4" xfId="46760"/>
    <cellStyle name="표준 4 5 5 5" xfId="46761"/>
    <cellStyle name="표준 4 5 5 6" xfId="46762"/>
    <cellStyle name="표준 4 5 6" xfId="46763"/>
    <cellStyle name="표준 4 5 6 2" xfId="46764"/>
    <cellStyle name="표준 4 5 6 2 2" xfId="46765"/>
    <cellStyle name="표준 4 5 6 2 2 2" xfId="46766"/>
    <cellStyle name="표준 4 5 6 2 2 3" xfId="46767"/>
    <cellStyle name="표준 4 5 6 2 3" xfId="46768"/>
    <cellStyle name="표준 4 5 6 2 4" xfId="46769"/>
    <cellStyle name="표준 4 5 6 2 5" xfId="46770"/>
    <cellStyle name="표준 4 5 6 3" xfId="46771"/>
    <cellStyle name="표준 4 5 7" xfId="46772"/>
    <cellStyle name="표준 4 5 7 2" xfId="46773"/>
    <cellStyle name="표준 4 5 7 2 2" xfId="46774"/>
    <cellStyle name="표준 4 5 7 2 2 2" xfId="46775"/>
    <cellStyle name="표준 4 5 7 2 2 3" xfId="46776"/>
    <cellStyle name="표준 4 5 7 2 3" xfId="46777"/>
    <cellStyle name="표준 4 5 7 2 4" xfId="46778"/>
    <cellStyle name="표준 4 5 7 2 5" xfId="46779"/>
    <cellStyle name="표준 4 5 7 3" xfId="46780"/>
    <cellStyle name="표준 4 5 8" xfId="46781"/>
    <cellStyle name="표준 4 5 9" xfId="46782"/>
    <cellStyle name="표준 4 6" xfId="46783"/>
    <cellStyle name="표준 4 6 10" xfId="46784"/>
    <cellStyle name="표준 4 6 11" xfId="46785"/>
    <cellStyle name="표준 4 6 12" xfId="46786"/>
    <cellStyle name="표준 4 6 13" xfId="46787"/>
    <cellStyle name="표준 4 6 14" xfId="46788"/>
    <cellStyle name="표준 4 6 15" xfId="46789"/>
    <cellStyle name="표준 4 6 16" xfId="46790"/>
    <cellStyle name="표준 4 6 17" xfId="46791"/>
    <cellStyle name="표준 4 6 17 2" xfId="46792"/>
    <cellStyle name="표준 4 6 17 3" xfId="46793"/>
    <cellStyle name="표준 4 6 18" xfId="46794"/>
    <cellStyle name="표준 4 6 19" xfId="46795"/>
    <cellStyle name="표준 4 6 2" xfId="46796"/>
    <cellStyle name="표준 4 6 2 10" xfId="46797"/>
    <cellStyle name="표준 4 6 2 11" xfId="46798"/>
    <cellStyle name="표준 4 6 2 12" xfId="46799"/>
    <cellStyle name="표준 4 6 2 13" xfId="46800"/>
    <cellStyle name="표준 4 6 2 14" xfId="46801"/>
    <cellStyle name="표준 4 6 2 15" xfId="46802"/>
    <cellStyle name="표준 4 6 2 16" xfId="46803"/>
    <cellStyle name="표준 4 6 2 16 2" xfId="46804"/>
    <cellStyle name="표준 4 6 2 16 3" xfId="46805"/>
    <cellStyle name="표준 4 6 2 17" xfId="46806"/>
    <cellStyle name="표준 4 6 2 18" xfId="46807"/>
    <cellStyle name="표준 4 6 2 19" xfId="46808"/>
    <cellStyle name="표준 4 6 2 2" xfId="46809"/>
    <cellStyle name="표준 4 6 2 2 2" xfId="46810"/>
    <cellStyle name="표준 4 6 2 2 2 2" xfId="46811"/>
    <cellStyle name="표준 4 6 2 2 2 2 2" xfId="46812"/>
    <cellStyle name="표준 4 6 2 2 2 2 3" xfId="46813"/>
    <cellStyle name="표준 4 6 2 2 2 3" xfId="46814"/>
    <cellStyle name="표준 4 6 2 2 2 4" xfId="46815"/>
    <cellStyle name="표준 4 6 2 2 2 5" xfId="46816"/>
    <cellStyle name="표준 4 6 2 2 3" xfId="46817"/>
    <cellStyle name="표준 4 6 2 2 3 2" xfId="46818"/>
    <cellStyle name="표준 4 6 2 2 3 3" xfId="46819"/>
    <cellStyle name="표준 4 6 2 2 4" xfId="46820"/>
    <cellStyle name="표준 4 6 2 2 5" xfId="46821"/>
    <cellStyle name="표준 4 6 2 2 6" xfId="46822"/>
    <cellStyle name="표준 4 6 2 3" xfId="46823"/>
    <cellStyle name="표준 4 6 2 3 2" xfId="46824"/>
    <cellStyle name="표준 4 6 2 3 2 2" xfId="46825"/>
    <cellStyle name="표준 4 6 2 3 2 2 2" xfId="46826"/>
    <cellStyle name="표준 4 6 2 3 2 2 3" xfId="46827"/>
    <cellStyle name="표준 4 6 2 3 2 3" xfId="46828"/>
    <cellStyle name="표준 4 6 2 3 2 4" xfId="46829"/>
    <cellStyle name="표준 4 6 2 3 2 5" xfId="46830"/>
    <cellStyle name="표준 4 6 2 3 3" xfId="46831"/>
    <cellStyle name="표준 4 6 2 4" xfId="46832"/>
    <cellStyle name="표준 4 6 2 4 2" xfId="46833"/>
    <cellStyle name="표준 4 6 2 4 2 2" xfId="46834"/>
    <cellStyle name="표준 4 6 2 4 2 2 2" xfId="46835"/>
    <cellStyle name="표준 4 6 2 4 2 2 3" xfId="46836"/>
    <cellStyle name="표준 4 6 2 4 2 3" xfId="46837"/>
    <cellStyle name="표준 4 6 2 4 2 4" xfId="46838"/>
    <cellStyle name="표준 4 6 2 4 2 5" xfId="46839"/>
    <cellStyle name="표준 4 6 2 4 3" xfId="46840"/>
    <cellStyle name="표준 4 6 2 5" xfId="46841"/>
    <cellStyle name="표준 4 6 2 6" xfId="46842"/>
    <cellStyle name="표준 4 6 2 7" xfId="46843"/>
    <cellStyle name="표준 4 6 2 8" xfId="46844"/>
    <cellStyle name="표준 4 6 2 9" xfId="46845"/>
    <cellStyle name="표준 4 6 20" xfId="46846"/>
    <cellStyle name="표준 4 6 3" xfId="46847"/>
    <cellStyle name="표준 4 6 3 2" xfId="46848"/>
    <cellStyle name="표준 4 6 3 2 2" xfId="46849"/>
    <cellStyle name="표준 4 6 3 2 2 2" xfId="46850"/>
    <cellStyle name="표준 4 6 3 2 2 3" xfId="46851"/>
    <cellStyle name="표준 4 6 3 2 3" xfId="46852"/>
    <cellStyle name="표준 4 6 3 2 4" xfId="46853"/>
    <cellStyle name="표준 4 6 3 2 5" xfId="46854"/>
    <cellStyle name="표준 4 6 3 3" xfId="46855"/>
    <cellStyle name="표준 4 6 3 3 2" xfId="46856"/>
    <cellStyle name="표준 4 6 3 3 3" xfId="46857"/>
    <cellStyle name="표준 4 6 3 4" xfId="46858"/>
    <cellStyle name="표준 4 6 3 5" xfId="46859"/>
    <cellStyle name="표준 4 6 3 6" xfId="46860"/>
    <cellStyle name="표준 4 6 4" xfId="46861"/>
    <cellStyle name="표준 4 6 4 2" xfId="46862"/>
    <cellStyle name="표준 4 6 4 2 2" xfId="46863"/>
    <cellStyle name="표준 4 6 4 2 2 2" xfId="46864"/>
    <cellStyle name="표준 4 6 4 2 2 3" xfId="46865"/>
    <cellStyle name="표준 4 6 4 2 3" xfId="46866"/>
    <cellStyle name="표준 4 6 4 2 4" xfId="46867"/>
    <cellStyle name="표준 4 6 4 2 5" xfId="46868"/>
    <cellStyle name="표준 4 6 4 3" xfId="46869"/>
    <cellStyle name="표준 4 6 5" xfId="46870"/>
    <cellStyle name="표준 4 6 5 2" xfId="46871"/>
    <cellStyle name="표준 4 6 5 2 2" xfId="46872"/>
    <cellStyle name="표준 4 6 5 2 2 2" xfId="46873"/>
    <cellStyle name="표준 4 6 5 2 2 3" xfId="46874"/>
    <cellStyle name="표준 4 6 5 2 3" xfId="46875"/>
    <cellStyle name="표준 4 6 5 2 4" xfId="46876"/>
    <cellStyle name="표준 4 6 5 2 5" xfId="46877"/>
    <cellStyle name="표준 4 6 5 3" xfId="46878"/>
    <cellStyle name="표준 4 6 6" xfId="46879"/>
    <cellStyle name="표준 4 6 7" xfId="46880"/>
    <cellStyle name="표준 4 6 8" xfId="46881"/>
    <cellStyle name="표준 4 6 9" xfId="46882"/>
    <cellStyle name="표준 4 7" xfId="46883"/>
    <cellStyle name="표준 4 7 10" xfId="46884"/>
    <cellStyle name="표준 4 7 11" xfId="46885"/>
    <cellStyle name="표준 4 7 12" xfId="46886"/>
    <cellStyle name="표준 4 7 13" xfId="46887"/>
    <cellStyle name="표준 4 7 14" xfId="46888"/>
    <cellStyle name="표준 4 7 15" xfId="46889"/>
    <cellStyle name="표준 4 7 16" xfId="46890"/>
    <cellStyle name="표준 4 7 17" xfId="46891"/>
    <cellStyle name="표준 4 7 17 2" xfId="46892"/>
    <cellStyle name="표준 4 7 17 3" xfId="46893"/>
    <cellStyle name="표준 4 7 18" xfId="46894"/>
    <cellStyle name="표준 4 7 19" xfId="46895"/>
    <cellStyle name="표준 4 7 2" xfId="46896"/>
    <cellStyle name="표준 4 7 2 10" xfId="46897"/>
    <cellStyle name="표준 4 7 2 11" xfId="46898"/>
    <cellStyle name="표준 4 7 2 12" xfId="46899"/>
    <cellStyle name="표준 4 7 2 13" xfId="46900"/>
    <cellStyle name="표준 4 7 2 14" xfId="46901"/>
    <cellStyle name="표준 4 7 2 15" xfId="46902"/>
    <cellStyle name="표준 4 7 2 16" xfId="46903"/>
    <cellStyle name="표준 4 7 2 16 2" xfId="46904"/>
    <cellStyle name="표준 4 7 2 16 3" xfId="46905"/>
    <cellStyle name="표준 4 7 2 17" xfId="46906"/>
    <cellStyle name="표준 4 7 2 18" xfId="46907"/>
    <cellStyle name="표준 4 7 2 19" xfId="46908"/>
    <cellStyle name="표준 4 7 2 2" xfId="46909"/>
    <cellStyle name="표준 4 7 2 2 2" xfId="46910"/>
    <cellStyle name="표준 4 7 2 2 2 2" xfId="46911"/>
    <cellStyle name="표준 4 7 2 2 2 2 2" xfId="46912"/>
    <cellStyle name="표준 4 7 2 2 2 2 3" xfId="46913"/>
    <cellStyle name="표준 4 7 2 2 2 3" xfId="46914"/>
    <cellStyle name="표준 4 7 2 2 2 4" xfId="46915"/>
    <cellStyle name="표준 4 7 2 2 2 5" xfId="46916"/>
    <cellStyle name="표준 4 7 2 2 3" xfId="46917"/>
    <cellStyle name="표준 4 7 2 2 3 2" xfId="46918"/>
    <cellStyle name="표준 4 7 2 2 3 3" xfId="46919"/>
    <cellStyle name="표준 4 7 2 2 4" xfId="46920"/>
    <cellStyle name="표준 4 7 2 2 5" xfId="46921"/>
    <cellStyle name="표준 4 7 2 2 6" xfId="46922"/>
    <cellStyle name="표준 4 7 2 3" xfId="46923"/>
    <cellStyle name="표준 4 7 2 3 2" xfId="46924"/>
    <cellStyle name="표준 4 7 2 3 2 2" xfId="46925"/>
    <cellStyle name="표준 4 7 2 3 2 2 2" xfId="46926"/>
    <cellStyle name="표준 4 7 2 3 2 2 3" xfId="46927"/>
    <cellStyle name="표준 4 7 2 3 2 3" xfId="46928"/>
    <cellStyle name="표준 4 7 2 3 2 4" xfId="46929"/>
    <cellStyle name="표준 4 7 2 3 2 5" xfId="46930"/>
    <cellStyle name="표준 4 7 2 3 3" xfId="46931"/>
    <cellStyle name="표준 4 7 2 4" xfId="46932"/>
    <cellStyle name="표준 4 7 2 4 2" xfId="46933"/>
    <cellStyle name="표준 4 7 2 4 2 2" xfId="46934"/>
    <cellStyle name="표준 4 7 2 4 2 2 2" xfId="46935"/>
    <cellStyle name="표준 4 7 2 4 2 2 3" xfId="46936"/>
    <cellStyle name="표준 4 7 2 4 2 3" xfId="46937"/>
    <cellStyle name="표준 4 7 2 4 2 4" xfId="46938"/>
    <cellStyle name="표준 4 7 2 4 2 5" xfId="46939"/>
    <cellStyle name="표준 4 7 2 4 3" xfId="46940"/>
    <cellStyle name="표준 4 7 2 5" xfId="46941"/>
    <cellStyle name="표준 4 7 2 6" xfId="46942"/>
    <cellStyle name="표준 4 7 2 7" xfId="46943"/>
    <cellStyle name="표준 4 7 2 8" xfId="46944"/>
    <cellStyle name="표준 4 7 2 9" xfId="46945"/>
    <cellStyle name="표준 4 7 20" xfId="46946"/>
    <cellStyle name="표준 4 7 3" xfId="46947"/>
    <cellStyle name="표준 4 7 3 2" xfId="46948"/>
    <cellStyle name="표준 4 7 3 2 2" xfId="46949"/>
    <cellStyle name="표준 4 7 3 2 2 2" xfId="46950"/>
    <cellStyle name="표준 4 7 3 2 2 3" xfId="46951"/>
    <cellStyle name="표준 4 7 3 2 3" xfId="46952"/>
    <cellStyle name="표준 4 7 3 2 4" xfId="46953"/>
    <cellStyle name="표준 4 7 3 2 5" xfId="46954"/>
    <cellStyle name="표준 4 7 3 3" xfId="46955"/>
    <cellStyle name="표준 4 7 3 3 2" xfId="46956"/>
    <cellStyle name="표준 4 7 3 3 3" xfId="46957"/>
    <cellStyle name="표준 4 7 3 4" xfId="46958"/>
    <cellStyle name="표준 4 7 3 5" xfId="46959"/>
    <cellStyle name="표준 4 7 3 6" xfId="46960"/>
    <cellStyle name="표준 4 7 4" xfId="46961"/>
    <cellStyle name="표준 4 7 4 2" xfId="46962"/>
    <cellStyle name="표준 4 7 4 2 2" xfId="46963"/>
    <cellStyle name="표준 4 7 4 2 2 2" xfId="46964"/>
    <cellStyle name="표준 4 7 4 2 2 3" xfId="46965"/>
    <cellStyle name="표준 4 7 4 2 3" xfId="46966"/>
    <cellStyle name="표준 4 7 4 2 4" xfId="46967"/>
    <cellStyle name="표준 4 7 4 2 5" xfId="46968"/>
    <cellStyle name="표준 4 7 4 3" xfId="46969"/>
    <cellStyle name="표준 4 7 5" xfId="46970"/>
    <cellStyle name="표준 4 7 5 2" xfId="46971"/>
    <cellStyle name="표준 4 7 5 2 2" xfId="46972"/>
    <cellStyle name="표준 4 7 5 2 2 2" xfId="46973"/>
    <cellStyle name="표준 4 7 5 2 2 3" xfId="46974"/>
    <cellStyle name="표준 4 7 5 2 3" xfId="46975"/>
    <cellStyle name="표준 4 7 5 2 4" xfId="46976"/>
    <cellStyle name="표준 4 7 5 2 5" xfId="46977"/>
    <cellStyle name="표준 4 7 5 3" xfId="46978"/>
    <cellStyle name="표준 4 7 6" xfId="46979"/>
    <cellStyle name="표준 4 7 7" xfId="46980"/>
    <cellStyle name="표준 4 7 8" xfId="46981"/>
    <cellStyle name="표준 4 7 9" xfId="46982"/>
    <cellStyle name="표준 4 8" xfId="46983"/>
    <cellStyle name="표준 4 8 10" xfId="46984"/>
    <cellStyle name="표준 4 8 11" xfId="46985"/>
    <cellStyle name="표준 4 8 12" xfId="46986"/>
    <cellStyle name="표준 4 8 13" xfId="46987"/>
    <cellStyle name="표준 4 8 14" xfId="46988"/>
    <cellStyle name="표준 4 8 15" xfId="46989"/>
    <cellStyle name="표준 4 8 16" xfId="46990"/>
    <cellStyle name="표준 4 8 16 2" xfId="46991"/>
    <cellStyle name="표준 4 8 16 3" xfId="46992"/>
    <cellStyle name="표준 4 8 17" xfId="46993"/>
    <cellStyle name="표준 4 8 18" xfId="46994"/>
    <cellStyle name="표준 4 8 19" xfId="46995"/>
    <cellStyle name="표준 4 8 2" xfId="46996"/>
    <cellStyle name="표준 4 8 2 2" xfId="46997"/>
    <cellStyle name="표준 4 8 2 3" xfId="46998"/>
    <cellStyle name="표준 4 8 2 3 2" xfId="46999"/>
    <cellStyle name="표준 4 8 2 3 3" xfId="47000"/>
    <cellStyle name="표준 4 8 2 4" xfId="47001"/>
    <cellStyle name="표준 4 8 2 5" xfId="47002"/>
    <cellStyle name="표준 4 8 2 6" xfId="47003"/>
    <cellStyle name="표준 4 8 3" xfId="47004"/>
    <cellStyle name="표준 4 8 3 2" xfId="47005"/>
    <cellStyle name="표준 4 8 3 2 2" xfId="47006"/>
    <cellStyle name="표준 4 8 3 2 2 2" xfId="47007"/>
    <cellStyle name="표준 4 8 3 2 2 3" xfId="47008"/>
    <cellStyle name="표준 4 8 3 2 3" xfId="47009"/>
    <cellStyle name="표준 4 8 3 2 4" xfId="47010"/>
    <cellStyle name="표준 4 8 3 2 5" xfId="47011"/>
    <cellStyle name="표준 4 8 3 3" xfId="47012"/>
    <cellStyle name="표준 4 8 4" xfId="47013"/>
    <cellStyle name="표준 4 8 4 2" xfId="47014"/>
    <cellStyle name="표준 4 8 4 2 2" xfId="47015"/>
    <cellStyle name="표준 4 8 4 2 2 2" xfId="47016"/>
    <cellStyle name="표준 4 8 4 2 2 3" xfId="47017"/>
    <cellStyle name="표준 4 8 4 2 3" xfId="47018"/>
    <cellStyle name="표준 4 8 4 2 4" xfId="47019"/>
    <cellStyle name="표준 4 8 4 2 5" xfId="47020"/>
    <cellStyle name="표준 4 8 4 3" xfId="47021"/>
    <cellStyle name="표준 4 8 5" xfId="47022"/>
    <cellStyle name="표준 4 8 6" xfId="47023"/>
    <cellStyle name="표준 4 8 7" xfId="47024"/>
    <cellStyle name="표준 4 8 8" xfId="47025"/>
    <cellStyle name="표준 4 8 9" xfId="47026"/>
    <cellStyle name="표준 4 9" xfId="47027"/>
    <cellStyle name="표준 4 9 10" xfId="47028"/>
    <cellStyle name="표준 4 9 11" xfId="47029"/>
    <cellStyle name="표준 4 9 12" xfId="47030"/>
    <cellStyle name="표준 4 9 13" xfId="47031"/>
    <cellStyle name="표준 4 9 14" xfId="47032"/>
    <cellStyle name="표준 4 9 15" xfId="47033"/>
    <cellStyle name="표준 4 9 16" xfId="47034"/>
    <cellStyle name="표준 4 9 16 2" xfId="47035"/>
    <cellStyle name="표준 4 9 16 3" xfId="47036"/>
    <cellStyle name="표준 4 9 17" xfId="47037"/>
    <cellStyle name="표준 4 9 18" xfId="47038"/>
    <cellStyle name="표준 4 9 19" xfId="47039"/>
    <cellStyle name="표준 4 9 2" xfId="47040"/>
    <cellStyle name="표준 4 9 2 2" xfId="47041"/>
    <cellStyle name="표준 4 9 2 2 2" xfId="47042"/>
    <cellStyle name="표준 4 9 2 2 2 2" xfId="47043"/>
    <cellStyle name="표준 4 9 2 2 2 3" xfId="47044"/>
    <cellStyle name="표준 4 9 2 2 3" xfId="47045"/>
    <cellStyle name="표준 4 9 2 2 4" xfId="47046"/>
    <cellStyle name="표준 4 9 2 2 5" xfId="47047"/>
    <cellStyle name="표준 4 9 2 3" xfId="47048"/>
    <cellStyle name="표준 4 9 2 3 2" xfId="47049"/>
    <cellStyle name="표준 4 9 2 3 3" xfId="47050"/>
    <cellStyle name="표준 4 9 2 4" xfId="47051"/>
    <cellStyle name="표준 4 9 2 5" xfId="47052"/>
    <cellStyle name="표준 4 9 2 6" xfId="47053"/>
    <cellStyle name="표준 4 9 3" xfId="47054"/>
    <cellStyle name="표준 4 9 3 2" xfId="47055"/>
    <cellStyle name="표준 4 9 3 2 2" xfId="47056"/>
    <cellStyle name="표준 4 9 3 2 2 2" xfId="47057"/>
    <cellStyle name="표준 4 9 3 2 2 3" xfId="47058"/>
    <cellStyle name="표준 4 9 3 2 3" xfId="47059"/>
    <cellStyle name="표준 4 9 3 2 4" xfId="47060"/>
    <cellStyle name="표준 4 9 3 2 5" xfId="47061"/>
    <cellStyle name="표준 4 9 3 3" xfId="47062"/>
    <cellStyle name="표준 4 9 4" xfId="47063"/>
    <cellStyle name="표준 4 9 4 2" xfId="47064"/>
    <cellStyle name="표준 4 9 4 2 2" xfId="47065"/>
    <cellStyle name="표준 4 9 4 2 2 2" xfId="47066"/>
    <cellStyle name="표준 4 9 4 2 2 3" xfId="47067"/>
    <cellStyle name="표준 4 9 4 2 3" xfId="47068"/>
    <cellStyle name="표준 4 9 4 2 4" xfId="47069"/>
    <cellStyle name="표준 4 9 4 2 5" xfId="47070"/>
    <cellStyle name="표준 4 9 4 3" xfId="47071"/>
    <cellStyle name="표준 4 9 5" xfId="47072"/>
    <cellStyle name="표준 4 9 6" xfId="47073"/>
    <cellStyle name="표준 4 9 7" xfId="47074"/>
    <cellStyle name="표준 4 9 8" xfId="47075"/>
    <cellStyle name="표준 4 9 9" xfId="47076"/>
    <cellStyle name="표준 4_Q25027470" xfId="47077"/>
    <cellStyle name="표준 40" xfId="47078"/>
    <cellStyle name="표준 40 2" xfId="47079"/>
    <cellStyle name="표준 41" xfId="47080"/>
    <cellStyle name="표준 42" xfId="47081"/>
    <cellStyle name="표준 43" xfId="47082"/>
    <cellStyle name="표준 44" xfId="47083"/>
    <cellStyle name="표준 45" xfId="47084"/>
    <cellStyle name="표준 46" xfId="47085"/>
    <cellStyle name="표준 46 2" xfId="47086"/>
    <cellStyle name="표준 46 3" xfId="47087"/>
    <cellStyle name="표준 47" xfId="47088"/>
    <cellStyle name="표준 48" xfId="47089"/>
    <cellStyle name="표준 49" xfId="47090"/>
    <cellStyle name="표준 49 2" xfId="47091"/>
    <cellStyle name="표준 5" xfId="47092"/>
    <cellStyle name="표준 5 10" xfId="47093"/>
    <cellStyle name="표준 5 11" xfId="47094"/>
    <cellStyle name="표준 5 12" xfId="47095"/>
    <cellStyle name="표준 5 13" xfId="47096"/>
    <cellStyle name="표준 5 14" xfId="47097"/>
    <cellStyle name="표준 5 15" xfId="47098"/>
    <cellStyle name="표준 5 16" xfId="47099"/>
    <cellStyle name="표준 5 17" xfId="47100"/>
    <cellStyle name="표준 5 18" xfId="47101"/>
    <cellStyle name="표준 5 19" xfId="47102"/>
    <cellStyle name="표준 5 2" xfId="47103"/>
    <cellStyle name="표준 5 2 2" xfId="47104"/>
    <cellStyle name="표준 5 20" xfId="47105"/>
    <cellStyle name="표준 5 21" xfId="47106"/>
    <cellStyle name="표준 5 22" xfId="47107"/>
    <cellStyle name="표준 5 3" xfId="47108"/>
    <cellStyle name="표준 5 3 2" xfId="47109"/>
    <cellStyle name="표준 5 4" xfId="47110"/>
    <cellStyle name="표준 5 5" xfId="47111"/>
    <cellStyle name="표준 5 6" xfId="47112"/>
    <cellStyle name="표준 5 7" xfId="47113"/>
    <cellStyle name="표준 5 8" xfId="47114"/>
    <cellStyle name="표준 5 9" xfId="47115"/>
    <cellStyle name="표준 50" xfId="47116"/>
    <cellStyle name="표준 51" xfId="47117"/>
    <cellStyle name="표준 52" xfId="47118"/>
    <cellStyle name="표준 53" xfId="47119"/>
    <cellStyle name="표준 54" xfId="47120"/>
    <cellStyle name="표준 55" xfId="47121"/>
    <cellStyle name="표준 56" xfId="47122"/>
    <cellStyle name="표준 57" xfId="47123"/>
    <cellStyle name="표준 58" xfId="47124"/>
    <cellStyle name="표준 59" xfId="47125"/>
    <cellStyle name="표준 59 2" xfId="47126"/>
    <cellStyle name="표준 6" xfId="47127"/>
    <cellStyle name="표준 6 2" xfId="47128"/>
    <cellStyle name="표준 6 2 2" xfId="47129"/>
    <cellStyle name="표준 6 2 2 2" xfId="47130"/>
    <cellStyle name="표준 6 2 3" xfId="47131"/>
    <cellStyle name="표준 6 2 4" xfId="47132"/>
    <cellStyle name="표준 6 3" xfId="47133"/>
    <cellStyle name="표준 6 3 2" xfId="47134"/>
    <cellStyle name="표준 6 3 2 2" xfId="47135"/>
    <cellStyle name="표준 6 3 3" xfId="47136"/>
    <cellStyle name="표준 6 4" xfId="47137"/>
    <cellStyle name="표준 6 4 2" xfId="47138"/>
    <cellStyle name="표준 6 5" xfId="47139"/>
    <cellStyle name="표준 6 5 2" xfId="47140"/>
    <cellStyle name="표준 6 6" xfId="47141"/>
    <cellStyle name="표준 6 7" xfId="47142"/>
    <cellStyle name="표준 60" xfId="47143"/>
    <cellStyle name="표준 61" xfId="47144"/>
    <cellStyle name="표준 62" xfId="47145"/>
    <cellStyle name="표준 62 2" xfId="47146"/>
    <cellStyle name="표준 63" xfId="47147"/>
    <cellStyle name="표준 64" xfId="47148"/>
    <cellStyle name="표준 65" xfId="47149"/>
    <cellStyle name="표준 66" xfId="47150"/>
    <cellStyle name="표준 67" xfId="47151"/>
    <cellStyle name="표준 67 2" xfId="47152"/>
    <cellStyle name="표준 68" xfId="47153"/>
    <cellStyle name="표준 69" xfId="47154"/>
    <cellStyle name="표준 7" xfId="47155"/>
    <cellStyle name="표준 7 2" xfId="47156"/>
    <cellStyle name="표준 7 2 2" xfId="47157"/>
    <cellStyle name="표준 7 2 2 2" xfId="47158"/>
    <cellStyle name="표준 7 2 3" xfId="47159"/>
    <cellStyle name="표준 7 2 4" xfId="47160"/>
    <cellStyle name="표준 7 3" xfId="47161"/>
    <cellStyle name="표준 7 3 2" xfId="47162"/>
    <cellStyle name="표준 7 3 2 2" xfId="47163"/>
    <cellStyle name="표준 7 3 3" xfId="47164"/>
    <cellStyle name="표준 7 4" xfId="47165"/>
    <cellStyle name="표준 7 4 2" xfId="47166"/>
    <cellStyle name="표준 7 5" xfId="47167"/>
    <cellStyle name="표준 7 5 2" xfId="47168"/>
    <cellStyle name="표준 7 6" xfId="47169"/>
    <cellStyle name="표준 70" xfId="47170"/>
    <cellStyle name="표준 71" xfId="47171"/>
    <cellStyle name="표준 72" xfId="47172"/>
    <cellStyle name="표준 73" xfId="47173"/>
    <cellStyle name="표준 74" xfId="47174"/>
    <cellStyle name="표준 74 2" xfId="47175"/>
    <cellStyle name="표준 75" xfId="47176"/>
    <cellStyle name="표준 76" xfId="47177"/>
    <cellStyle name="표준 77" xfId="47178"/>
    <cellStyle name="표준 78" xfId="47179"/>
    <cellStyle name="표준 79" xfId="47180"/>
    <cellStyle name="표준 8" xfId="47181"/>
    <cellStyle name="표준 8 2" xfId="47182"/>
    <cellStyle name="표준 8 2 2" xfId="47183"/>
    <cellStyle name="표준 8 2 3" xfId="47184"/>
    <cellStyle name="표준 8 3" xfId="47185"/>
    <cellStyle name="표준 8 3 2" xfId="47186"/>
    <cellStyle name="표준 8 3 3" xfId="47187"/>
    <cellStyle name="표준 8 4" xfId="47188"/>
    <cellStyle name="표준 8 5" xfId="47189"/>
    <cellStyle name="표준 8 6" xfId="47190"/>
    <cellStyle name="표준 8 7" xfId="47191"/>
    <cellStyle name="표준 80" xfId="47192"/>
    <cellStyle name="표준 81" xfId="47193"/>
    <cellStyle name="표준 82" xfId="47194"/>
    <cellStyle name="표준 83" xfId="47195"/>
    <cellStyle name="표준 84" xfId="47196"/>
    <cellStyle name="표준 85" xfId="47197"/>
    <cellStyle name="표준 86" xfId="47198"/>
    <cellStyle name="표준 87" xfId="47199"/>
    <cellStyle name="표준 88" xfId="47200"/>
    <cellStyle name="표준 89" xfId="47201"/>
    <cellStyle name="표준 9" xfId="47202"/>
    <cellStyle name="표준 9 10" xfId="47203"/>
    <cellStyle name="표준 9 10 2" xfId="47204"/>
    <cellStyle name="표준 9 10 2 2" xfId="47205"/>
    <cellStyle name="표준 9 10 2 2 2" xfId="47206"/>
    <cellStyle name="표준 9 10 2 2 2 2" xfId="47207"/>
    <cellStyle name="표준 9 10 2 2 2 3" xfId="47208"/>
    <cellStyle name="표준 9 10 2 2 3" xfId="47209"/>
    <cellStyle name="표준 9 10 2 2 4" xfId="47210"/>
    <cellStyle name="표준 9 10 2 3" xfId="47211"/>
    <cellStyle name="표준 9 10 2 3 2" xfId="47212"/>
    <cellStyle name="표준 9 10 2 3 3" xfId="47213"/>
    <cellStyle name="표준 9 10 2 4" xfId="47214"/>
    <cellStyle name="표준 9 10 2 5" xfId="47215"/>
    <cellStyle name="표준 9 10 3" xfId="47216"/>
    <cellStyle name="표준 9 10 3 2" xfId="47217"/>
    <cellStyle name="표준 9 10 3 2 2" xfId="47218"/>
    <cellStyle name="표준 9 10 3 2 2 2" xfId="47219"/>
    <cellStyle name="표준 9 10 3 2 2 3" xfId="47220"/>
    <cellStyle name="표준 9 10 3 2 3" xfId="47221"/>
    <cellStyle name="표준 9 10 3 2 4" xfId="47222"/>
    <cellStyle name="표준 9 10 3 3" xfId="47223"/>
    <cellStyle name="표준 9 10 3 3 2" xfId="47224"/>
    <cellStyle name="표준 9 10 3 3 3" xfId="47225"/>
    <cellStyle name="표준 9 10 3 4" xfId="47226"/>
    <cellStyle name="표준 9 10 3 5" xfId="47227"/>
    <cellStyle name="표준 9 10 4" xfId="47228"/>
    <cellStyle name="표준 9 10 4 2" xfId="47229"/>
    <cellStyle name="표준 9 10 4 2 2" xfId="47230"/>
    <cellStyle name="표준 9 10 4 2 3" xfId="47231"/>
    <cellStyle name="표준 9 10 4 3" xfId="47232"/>
    <cellStyle name="표준 9 10 4 4" xfId="47233"/>
    <cellStyle name="표준 9 10 5" xfId="47234"/>
    <cellStyle name="표준 9 10 5 2" xfId="47235"/>
    <cellStyle name="표준 9 10 5 3" xfId="47236"/>
    <cellStyle name="표준 9 10 6" xfId="47237"/>
    <cellStyle name="표준 9 10 7" xfId="47238"/>
    <cellStyle name="표준 9 11" xfId="47239"/>
    <cellStyle name="표준 9 11 2" xfId="47240"/>
    <cellStyle name="표준 9 11 2 2" xfId="47241"/>
    <cellStyle name="표준 9 11 2 2 2" xfId="47242"/>
    <cellStyle name="표준 9 11 2 2 3" xfId="47243"/>
    <cellStyle name="표준 9 11 2 3" xfId="47244"/>
    <cellStyle name="표준 9 11 2 4" xfId="47245"/>
    <cellStyle name="표준 9 11 3" xfId="47246"/>
    <cellStyle name="표준 9 11 3 2" xfId="47247"/>
    <cellStyle name="표준 9 11 3 3" xfId="47248"/>
    <cellStyle name="표준 9 11 4" xfId="47249"/>
    <cellStyle name="표준 9 11 5" xfId="47250"/>
    <cellStyle name="표준 9 12" xfId="47251"/>
    <cellStyle name="표준 9 12 2" xfId="47252"/>
    <cellStyle name="표준 9 12 2 2" xfId="47253"/>
    <cellStyle name="표준 9 12 2 2 2" xfId="47254"/>
    <cellStyle name="표준 9 12 2 2 3" xfId="47255"/>
    <cellStyle name="표준 9 12 2 3" xfId="47256"/>
    <cellStyle name="표준 9 12 2 4" xfId="47257"/>
    <cellStyle name="표준 9 12 3" xfId="47258"/>
    <cellStyle name="표준 9 12 3 2" xfId="47259"/>
    <cellStyle name="표준 9 12 3 3" xfId="47260"/>
    <cellStyle name="표준 9 12 4" xfId="47261"/>
    <cellStyle name="표준 9 12 5" xfId="47262"/>
    <cellStyle name="표준 9 13" xfId="47263"/>
    <cellStyle name="표준 9 13 2" xfId="47264"/>
    <cellStyle name="표준 9 13 2 2" xfId="47265"/>
    <cellStyle name="표준 9 13 2 2 2" xfId="47266"/>
    <cellStyle name="표준 9 13 2 2 3" xfId="47267"/>
    <cellStyle name="표준 9 13 2 3" xfId="47268"/>
    <cellStyle name="표준 9 13 2 4" xfId="47269"/>
    <cellStyle name="표준 9 13 3" xfId="47270"/>
    <cellStyle name="표준 9 13 3 2" xfId="47271"/>
    <cellStyle name="표준 9 13 3 3" xfId="47272"/>
    <cellStyle name="표준 9 13 4" xfId="47273"/>
    <cellStyle name="표준 9 13 5" xfId="47274"/>
    <cellStyle name="표준 9 14" xfId="47275"/>
    <cellStyle name="표준 9 14 2" xfId="47276"/>
    <cellStyle name="표준 9 14 2 2" xfId="47277"/>
    <cellStyle name="표준 9 14 2 3" xfId="47278"/>
    <cellStyle name="표준 9 14 3" xfId="47279"/>
    <cellStyle name="표준 9 14 4" xfId="47280"/>
    <cellStyle name="표준 9 15" xfId="47281"/>
    <cellStyle name="표준 9 15 2" xfId="47282"/>
    <cellStyle name="표준 9 15 3" xfId="47283"/>
    <cellStyle name="표준 9 16" xfId="47284"/>
    <cellStyle name="표준 9 16 2" xfId="47285"/>
    <cellStyle name="표준 9 16 3" xfId="47286"/>
    <cellStyle name="표준 9 17" xfId="47287"/>
    <cellStyle name="표준 9 17 2" xfId="47288"/>
    <cellStyle name="표준 9 17 3" xfId="47289"/>
    <cellStyle name="표준 9 18" xfId="47290"/>
    <cellStyle name="표준 9 19" xfId="47291"/>
    <cellStyle name="표준 9 2" xfId="47292"/>
    <cellStyle name="표준 9 2 10" xfId="47293"/>
    <cellStyle name="표준 9 2 10 2" xfId="47294"/>
    <cellStyle name="표준 9 2 10 2 2" xfId="47295"/>
    <cellStyle name="표준 9 2 10 2 2 2" xfId="47296"/>
    <cellStyle name="표준 9 2 10 2 2 3" xfId="47297"/>
    <cellStyle name="표준 9 2 10 2 3" xfId="47298"/>
    <cellStyle name="표준 9 2 10 2 4" xfId="47299"/>
    <cellStyle name="표준 9 2 10 3" xfId="47300"/>
    <cellStyle name="표준 9 2 10 3 2" xfId="47301"/>
    <cellStyle name="표준 9 2 10 3 3" xfId="47302"/>
    <cellStyle name="표준 9 2 10 4" xfId="47303"/>
    <cellStyle name="표준 9 2 10 5" xfId="47304"/>
    <cellStyle name="표준 9 2 11" xfId="47305"/>
    <cellStyle name="표준 9 2 11 2" xfId="47306"/>
    <cellStyle name="표준 9 2 11 2 2" xfId="47307"/>
    <cellStyle name="표준 9 2 11 2 3" xfId="47308"/>
    <cellStyle name="표준 9 2 11 3" xfId="47309"/>
    <cellStyle name="표준 9 2 11 4" xfId="47310"/>
    <cellStyle name="표준 9 2 12" xfId="47311"/>
    <cellStyle name="표준 9 2 12 2" xfId="47312"/>
    <cellStyle name="표준 9 2 12 3" xfId="47313"/>
    <cellStyle name="표준 9 2 13" xfId="47314"/>
    <cellStyle name="표준 9 2 14" xfId="47315"/>
    <cellStyle name="표준 9 2 15" xfId="47316"/>
    <cellStyle name="표준 9 2 2" xfId="47317"/>
    <cellStyle name="표준 9 2 2 10" xfId="47318"/>
    <cellStyle name="표준 9 2 2 10 2" xfId="47319"/>
    <cellStyle name="표준 9 2 2 10 2 2" xfId="47320"/>
    <cellStyle name="표준 9 2 2 10 2 3" xfId="47321"/>
    <cellStyle name="표준 9 2 2 10 3" xfId="47322"/>
    <cellStyle name="표준 9 2 2 10 4" xfId="47323"/>
    <cellStyle name="표준 9 2 2 11" xfId="47324"/>
    <cellStyle name="표준 9 2 2 11 2" xfId="47325"/>
    <cellStyle name="표준 9 2 2 11 3" xfId="47326"/>
    <cellStyle name="표준 9 2 2 12" xfId="47327"/>
    <cellStyle name="표준 9 2 2 13" xfId="47328"/>
    <cellStyle name="표준 9 2 2 2" xfId="47329"/>
    <cellStyle name="표준 9 2 2 2 10" xfId="47330"/>
    <cellStyle name="표준 9 2 2 2 11" xfId="47331"/>
    <cellStyle name="표준 9 2 2 2 2" xfId="47332"/>
    <cellStyle name="표준 9 2 2 2 2 2" xfId="47333"/>
    <cellStyle name="표준 9 2 2 2 2 2 2" xfId="47334"/>
    <cellStyle name="표준 9 2 2 2 2 2 2 2" xfId="47335"/>
    <cellStyle name="표준 9 2 2 2 2 2 2 2 2" xfId="47336"/>
    <cellStyle name="표준 9 2 2 2 2 2 2 2 3" xfId="47337"/>
    <cellStyle name="표준 9 2 2 2 2 2 2 3" xfId="47338"/>
    <cellStyle name="표준 9 2 2 2 2 2 2 4" xfId="47339"/>
    <cellStyle name="표준 9 2 2 2 2 2 3" xfId="47340"/>
    <cellStyle name="표준 9 2 2 2 2 2 3 2" xfId="47341"/>
    <cellStyle name="표준 9 2 2 2 2 2 3 3" xfId="47342"/>
    <cellStyle name="표준 9 2 2 2 2 2 4" xfId="47343"/>
    <cellStyle name="표준 9 2 2 2 2 2 5" xfId="47344"/>
    <cellStyle name="표준 9 2 2 2 2 3" xfId="47345"/>
    <cellStyle name="표준 9 2 2 2 2 3 2" xfId="47346"/>
    <cellStyle name="표준 9 2 2 2 2 3 2 2" xfId="47347"/>
    <cellStyle name="표준 9 2 2 2 2 3 2 2 2" xfId="47348"/>
    <cellStyle name="표준 9 2 2 2 2 3 2 2 3" xfId="47349"/>
    <cellStyle name="표준 9 2 2 2 2 3 2 3" xfId="47350"/>
    <cellStyle name="표준 9 2 2 2 2 3 2 4" xfId="47351"/>
    <cellStyle name="표준 9 2 2 2 2 3 3" xfId="47352"/>
    <cellStyle name="표준 9 2 2 2 2 3 3 2" xfId="47353"/>
    <cellStyle name="표준 9 2 2 2 2 3 3 3" xfId="47354"/>
    <cellStyle name="표준 9 2 2 2 2 3 4" xfId="47355"/>
    <cellStyle name="표준 9 2 2 2 2 3 5" xfId="47356"/>
    <cellStyle name="표준 9 2 2 2 2 4" xfId="47357"/>
    <cellStyle name="표준 9 2 2 2 2 4 2" xfId="47358"/>
    <cellStyle name="표준 9 2 2 2 2 4 2 2" xfId="47359"/>
    <cellStyle name="표준 9 2 2 2 2 4 2 3" xfId="47360"/>
    <cellStyle name="표준 9 2 2 2 2 4 3" xfId="47361"/>
    <cellStyle name="표준 9 2 2 2 2 4 4" xfId="47362"/>
    <cellStyle name="표준 9 2 2 2 2 5" xfId="47363"/>
    <cellStyle name="표준 9 2 2 2 2 5 2" xfId="47364"/>
    <cellStyle name="표준 9 2 2 2 2 5 3" xfId="47365"/>
    <cellStyle name="표준 9 2 2 2 2 6" xfId="47366"/>
    <cellStyle name="표준 9 2 2 2 2 7" xfId="47367"/>
    <cellStyle name="표준 9 2 2 2 3" xfId="47368"/>
    <cellStyle name="표준 9 2 2 2 3 2" xfId="47369"/>
    <cellStyle name="표준 9 2 2 2 3 2 2" xfId="47370"/>
    <cellStyle name="표준 9 2 2 2 3 2 2 2" xfId="47371"/>
    <cellStyle name="표준 9 2 2 2 3 2 2 2 2" xfId="47372"/>
    <cellStyle name="표준 9 2 2 2 3 2 2 2 3" xfId="47373"/>
    <cellStyle name="표준 9 2 2 2 3 2 2 3" xfId="47374"/>
    <cellStyle name="표준 9 2 2 2 3 2 2 4" xfId="47375"/>
    <cellStyle name="표준 9 2 2 2 3 2 3" xfId="47376"/>
    <cellStyle name="표준 9 2 2 2 3 2 3 2" xfId="47377"/>
    <cellStyle name="표준 9 2 2 2 3 2 3 3" xfId="47378"/>
    <cellStyle name="표준 9 2 2 2 3 2 4" xfId="47379"/>
    <cellStyle name="표준 9 2 2 2 3 2 5" xfId="47380"/>
    <cellStyle name="표준 9 2 2 2 3 3" xfId="47381"/>
    <cellStyle name="표준 9 2 2 2 3 3 2" xfId="47382"/>
    <cellStyle name="표준 9 2 2 2 3 3 2 2" xfId="47383"/>
    <cellStyle name="표준 9 2 2 2 3 3 2 2 2" xfId="47384"/>
    <cellStyle name="표준 9 2 2 2 3 3 2 2 3" xfId="47385"/>
    <cellStyle name="표준 9 2 2 2 3 3 2 3" xfId="47386"/>
    <cellStyle name="표준 9 2 2 2 3 3 2 4" xfId="47387"/>
    <cellStyle name="표준 9 2 2 2 3 3 3" xfId="47388"/>
    <cellStyle name="표준 9 2 2 2 3 3 3 2" xfId="47389"/>
    <cellStyle name="표준 9 2 2 2 3 3 3 3" xfId="47390"/>
    <cellStyle name="표준 9 2 2 2 3 3 4" xfId="47391"/>
    <cellStyle name="표준 9 2 2 2 3 3 5" xfId="47392"/>
    <cellStyle name="표준 9 2 2 2 3 4" xfId="47393"/>
    <cellStyle name="표준 9 2 2 2 3 4 2" xfId="47394"/>
    <cellStyle name="표준 9 2 2 2 3 4 2 2" xfId="47395"/>
    <cellStyle name="표준 9 2 2 2 3 4 2 3" xfId="47396"/>
    <cellStyle name="표준 9 2 2 2 3 4 3" xfId="47397"/>
    <cellStyle name="표준 9 2 2 2 3 4 4" xfId="47398"/>
    <cellStyle name="표준 9 2 2 2 3 5" xfId="47399"/>
    <cellStyle name="표준 9 2 2 2 3 5 2" xfId="47400"/>
    <cellStyle name="표준 9 2 2 2 3 5 3" xfId="47401"/>
    <cellStyle name="표준 9 2 2 2 3 6" xfId="47402"/>
    <cellStyle name="표준 9 2 2 2 3 7" xfId="47403"/>
    <cellStyle name="표준 9 2 2 2 4" xfId="47404"/>
    <cellStyle name="표준 9 2 2 2 4 2" xfId="47405"/>
    <cellStyle name="표준 9 2 2 2 4 2 2" xfId="47406"/>
    <cellStyle name="표준 9 2 2 2 4 2 2 2" xfId="47407"/>
    <cellStyle name="표준 9 2 2 2 4 2 2 3" xfId="47408"/>
    <cellStyle name="표준 9 2 2 2 4 2 3" xfId="47409"/>
    <cellStyle name="표준 9 2 2 2 4 2 4" xfId="47410"/>
    <cellStyle name="표준 9 2 2 2 4 3" xfId="47411"/>
    <cellStyle name="표준 9 2 2 2 4 3 2" xfId="47412"/>
    <cellStyle name="표준 9 2 2 2 4 3 3" xfId="47413"/>
    <cellStyle name="표준 9 2 2 2 4 4" xfId="47414"/>
    <cellStyle name="표준 9 2 2 2 4 5" xfId="47415"/>
    <cellStyle name="표준 9 2 2 2 5" xfId="47416"/>
    <cellStyle name="표준 9 2 2 2 5 2" xfId="47417"/>
    <cellStyle name="표준 9 2 2 2 5 2 2" xfId="47418"/>
    <cellStyle name="표준 9 2 2 2 5 2 2 2" xfId="47419"/>
    <cellStyle name="표준 9 2 2 2 5 2 2 3" xfId="47420"/>
    <cellStyle name="표준 9 2 2 2 5 2 3" xfId="47421"/>
    <cellStyle name="표준 9 2 2 2 5 2 4" xfId="47422"/>
    <cellStyle name="표준 9 2 2 2 5 3" xfId="47423"/>
    <cellStyle name="표준 9 2 2 2 5 3 2" xfId="47424"/>
    <cellStyle name="표준 9 2 2 2 5 3 3" xfId="47425"/>
    <cellStyle name="표준 9 2 2 2 5 4" xfId="47426"/>
    <cellStyle name="표준 9 2 2 2 5 5" xfId="47427"/>
    <cellStyle name="표준 9 2 2 2 6" xfId="47428"/>
    <cellStyle name="표준 9 2 2 2 6 2" xfId="47429"/>
    <cellStyle name="표준 9 2 2 2 6 2 2" xfId="47430"/>
    <cellStyle name="표준 9 2 2 2 6 2 2 2" xfId="47431"/>
    <cellStyle name="표준 9 2 2 2 6 2 2 3" xfId="47432"/>
    <cellStyle name="표준 9 2 2 2 6 2 3" xfId="47433"/>
    <cellStyle name="표준 9 2 2 2 6 2 4" xfId="47434"/>
    <cellStyle name="표준 9 2 2 2 6 3" xfId="47435"/>
    <cellStyle name="표준 9 2 2 2 6 3 2" xfId="47436"/>
    <cellStyle name="표준 9 2 2 2 6 3 3" xfId="47437"/>
    <cellStyle name="표준 9 2 2 2 6 4" xfId="47438"/>
    <cellStyle name="표준 9 2 2 2 6 5" xfId="47439"/>
    <cellStyle name="표준 9 2 2 2 7" xfId="47440"/>
    <cellStyle name="표준 9 2 2 2 7 2" xfId="47441"/>
    <cellStyle name="표준 9 2 2 2 7 2 2" xfId="47442"/>
    <cellStyle name="표준 9 2 2 2 7 2 3" xfId="47443"/>
    <cellStyle name="표준 9 2 2 2 7 3" xfId="47444"/>
    <cellStyle name="표준 9 2 2 2 7 4" xfId="47445"/>
    <cellStyle name="표준 9 2 2 2 8" xfId="47446"/>
    <cellStyle name="표준 9 2 2 2 8 2" xfId="47447"/>
    <cellStyle name="표준 9 2 2 2 8 2 2" xfId="47448"/>
    <cellStyle name="표준 9 2 2 2 8 3" xfId="47449"/>
    <cellStyle name="표준 9 2 2 2 8 4" xfId="47450"/>
    <cellStyle name="표준 9 2 2 2 8 5" xfId="47451"/>
    <cellStyle name="표준 9 2 2 2 9" xfId="47452"/>
    <cellStyle name="표준 9 2 2 3" xfId="47453"/>
    <cellStyle name="표준 9 2 2 3 10" xfId="47454"/>
    <cellStyle name="표준 9 2 2 3 2" xfId="47455"/>
    <cellStyle name="표준 9 2 2 3 2 2" xfId="47456"/>
    <cellStyle name="표준 9 2 2 3 2 2 2" xfId="47457"/>
    <cellStyle name="표준 9 2 2 3 2 2 2 2" xfId="47458"/>
    <cellStyle name="표준 9 2 2 3 2 2 2 2 2" xfId="47459"/>
    <cellStyle name="표준 9 2 2 3 2 2 2 2 3" xfId="47460"/>
    <cellStyle name="표준 9 2 2 3 2 2 2 3" xfId="47461"/>
    <cellStyle name="표준 9 2 2 3 2 2 2 4" xfId="47462"/>
    <cellStyle name="표준 9 2 2 3 2 2 3" xfId="47463"/>
    <cellStyle name="표준 9 2 2 3 2 2 3 2" xfId="47464"/>
    <cellStyle name="표준 9 2 2 3 2 2 3 3" xfId="47465"/>
    <cellStyle name="표준 9 2 2 3 2 2 4" xfId="47466"/>
    <cellStyle name="표준 9 2 2 3 2 2 5" xfId="47467"/>
    <cellStyle name="표준 9 2 2 3 2 3" xfId="47468"/>
    <cellStyle name="표준 9 2 2 3 2 3 2" xfId="47469"/>
    <cellStyle name="표준 9 2 2 3 2 3 2 2" xfId="47470"/>
    <cellStyle name="표준 9 2 2 3 2 3 2 2 2" xfId="47471"/>
    <cellStyle name="표준 9 2 2 3 2 3 2 2 3" xfId="47472"/>
    <cellStyle name="표준 9 2 2 3 2 3 2 3" xfId="47473"/>
    <cellStyle name="표준 9 2 2 3 2 3 2 4" xfId="47474"/>
    <cellStyle name="표준 9 2 2 3 2 3 3" xfId="47475"/>
    <cellStyle name="표준 9 2 2 3 2 3 3 2" xfId="47476"/>
    <cellStyle name="표준 9 2 2 3 2 3 3 3" xfId="47477"/>
    <cellStyle name="표준 9 2 2 3 2 3 4" xfId="47478"/>
    <cellStyle name="표준 9 2 2 3 2 3 5" xfId="47479"/>
    <cellStyle name="표준 9 2 2 3 2 4" xfId="47480"/>
    <cellStyle name="표준 9 2 2 3 2 4 2" xfId="47481"/>
    <cellStyle name="표준 9 2 2 3 2 4 2 2" xfId="47482"/>
    <cellStyle name="표준 9 2 2 3 2 4 2 3" xfId="47483"/>
    <cellStyle name="표준 9 2 2 3 2 4 3" xfId="47484"/>
    <cellStyle name="표준 9 2 2 3 2 4 4" xfId="47485"/>
    <cellStyle name="표준 9 2 2 3 2 5" xfId="47486"/>
    <cellStyle name="표준 9 2 2 3 2 5 2" xfId="47487"/>
    <cellStyle name="표준 9 2 2 3 2 5 3" xfId="47488"/>
    <cellStyle name="표준 9 2 2 3 2 6" xfId="47489"/>
    <cellStyle name="표준 9 2 2 3 2 7" xfId="47490"/>
    <cellStyle name="표준 9 2 2 3 3" xfId="47491"/>
    <cellStyle name="표준 9 2 2 3 3 2" xfId="47492"/>
    <cellStyle name="표준 9 2 2 3 3 2 2" xfId="47493"/>
    <cellStyle name="표준 9 2 2 3 3 2 2 2" xfId="47494"/>
    <cellStyle name="표준 9 2 2 3 3 2 2 2 2" xfId="47495"/>
    <cellStyle name="표준 9 2 2 3 3 2 2 2 3" xfId="47496"/>
    <cellStyle name="표준 9 2 2 3 3 2 2 3" xfId="47497"/>
    <cellStyle name="표준 9 2 2 3 3 2 2 4" xfId="47498"/>
    <cellStyle name="표준 9 2 2 3 3 2 3" xfId="47499"/>
    <cellStyle name="표준 9 2 2 3 3 2 3 2" xfId="47500"/>
    <cellStyle name="표준 9 2 2 3 3 2 3 3" xfId="47501"/>
    <cellStyle name="표준 9 2 2 3 3 2 4" xfId="47502"/>
    <cellStyle name="표준 9 2 2 3 3 2 5" xfId="47503"/>
    <cellStyle name="표준 9 2 2 3 3 3" xfId="47504"/>
    <cellStyle name="표준 9 2 2 3 3 3 2" xfId="47505"/>
    <cellStyle name="표준 9 2 2 3 3 3 2 2" xfId="47506"/>
    <cellStyle name="표준 9 2 2 3 3 3 2 2 2" xfId="47507"/>
    <cellStyle name="표준 9 2 2 3 3 3 2 2 3" xfId="47508"/>
    <cellStyle name="표준 9 2 2 3 3 3 2 3" xfId="47509"/>
    <cellStyle name="표준 9 2 2 3 3 3 2 4" xfId="47510"/>
    <cellStyle name="표준 9 2 2 3 3 3 3" xfId="47511"/>
    <cellStyle name="표준 9 2 2 3 3 3 3 2" xfId="47512"/>
    <cellStyle name="표준 9 2 2 3 3 3 3 3" xfId="47513"/>
    <cellStyle name="표준 9 2 2 3 3 3 4" xfId="47514"/>
    <cellStyle name="표준 9 2 2 3 3 3 5" xfId="47515"/>
    <cellStyle name="표준 9 2 2 3 3 4" xfId="47516"/>
    <cellStyle name="표준 9 2 2 3 3 4 2" xfId="47517"/>
    <cellStyle name="표준 9 2 2 3 3 4 2 2" xfId="47518"/>
    <cellStyle name="표준 9 2 2 3 3 4 2 3" xfId="47519"/>
    <cellStyle name="표준 9 2 2 3 3 4 3" xfId="47520"/>
    <cellStyle name="표준 9 2 2 3 3 4 4" xfId="47521"/>
    <cellStyle name="표준 9 2 2 3 3 5" xfId="47522"/>
    <cellStyle name="표준 9 2 2 3 3 5 2" xfId="47523"/>
    <cellStyle name="표준 9 2 2 3 3 5 3" xfId="47524"/>
    <cellStyle name="표준 9 2 2 3 3 6" xfId="47525"/>
    <cellStyle name="표준 9 2 2 3 3 7" xfId="47526"/>
    <cellStyle name="표준 9 2 2 3 4" xfId="47527"/>
    <cellStyle name="표준 9 2 2 3 4 2" xfId="47528"/>
    <cellStyle name="표준 9 2 2 3 4 2 2" xfId="47529"/>
    <cellStyle name="표준 9 2 2 3 4 2 2 2" xfId="47530"/>
    <cellStyle name="표준 9 2 2 3 4 2 2 3" xfId="47531"/>
    <cellStyle name="표준 9 2 2 3 4 2 3" xfId="47532"/>
    <cellStyle name="표준 9 2 2 3 4 2 4" xfId="47533"/>
    <cellStyle name="표준 9 2 2 3 4 3" xfId="47534"/>
    <cellStyle name="표준 9 2 2 3 4 3 2" xfId="47535"/>
    <cellStyle name="표준 9 2 2 3 4 3 3" xfId="47536"/>
    <cellStyle name="표준 9 2 2 3 4 4" xfId="47537"/>
    <cellStyle name="표준 9 2 2 3 4 5" xfId="47538"/>
    <cellStyle name="표준 9 2 2 3 5" xfId="47539"/>
    <cellStyle name="표준 9 2 2 3 5 2" xfId="47540"/>
    <cellStyle name="표준 9 2 2 3 5 2 2" xfId="47541"/>
    <cellStyle name="표준 9 2 2 3 5 2 2 2" xfId="47542"/>
    <cellStyle name="표준 9 2 2 3 5 2 2 3" xfId="47543"/>
    <cellStyle name="표준 9 2 2 3 5 2 3" xfId="47544"/>
    <cellStyle name="표준 9 2 2 3 5 2 4" xfId="47545"/>
    <cellStyle name="표준 9 2 2 3 5 3" xfId="47546"/>
    <cellStyle name="표준 9 2 2 3 5 3 2" xfId="47547"/>
    <cellStyle name="표준 9 2 2 3 5 3 3" xfId="47548"/>
    <cellStyle name="표준 9 2 2 3 5 4" xfId="47549"/>
    <cellStyle name="표준 9 2 2 3 5 5" xfId="47550"/>
    <cellStyle name="표준 9 2 2 3 6" xfId="47551"/>
    <cellStyle name="표준 9 2 2 3 6 2" xfId="47552"/>
    <cellStyle name="표준 9 2 2 3 6 2 2" xfId="47553"/>
    <cellStyle name="표준 9 2 2 3 6 2 2 2" xfId="47554"/>
    <cellStyle name="표준 9 2 2 3 6 2 2 3" xfId="47555"/>
    <cellStyle name="표준 9 2 2 3 6 2 3" xfId="47556"/>
    <cellStyle name="표준 9 2 2 3 6 2 4" xfId="47557"/>
    <cellStyle name="표준 9 2 2 3 6 3" xfId="47558"/>
    <cellStyle name="표준 9 2 2 3 6 3 2" xfId="47559"/>
    <cellStyle name="표준 9 2 2 3 6 3 3" xfId="47560"/>
    <cellStyle name="표준 9 2 2 3 6 4" xfId="47561"/>
    <cellStyle name="표준 9 2 2 3 6 5" xfId="47562"/>
    <cellStyle name="표준 9 2 2 3 7" xfId="47563"/>
    <cellStyle name="표준 9 2 2 3 7 2" xfId="47564"/>
    <cellStyle name="표준 9 2 2 3 7 2 2" xfId="47565"/>
    <cellStyle name="표준 9 2 2 3 7 2 3" xfId="47566"/>
    <cellStyle name="표준 9 2 2 3 7 3" xfId="47567"/>
    <cellStyle name="표준 9 2 2 3 7 4" xfId="47568"/>
    <cellStyle name="표준 9 2 2 3 8" xfId="47569"/>
    <cellStyle name="표준 9 2 2 3 8 2" xfId="47570"/>
    <cellStyle name="표준 9 2 2 3 8 3" xfId="47571"/>
    <cellStyle name="표준 9 2 2 3 9" xfId="47572"/>
    <cellStyle name="표준 9 2 2 4" xfId="47573"/>
    <cellStyle name="표준 9 2 2 4 10" xfId="47574"/>
    <cellStyle name="표준 9 2 2 4 2" xfId="47575"/>
    <cellStyle name="표준 9 2 2 4 2 2" xfId="47576"/>
    <cellStyle name="표준 9 2 2 4 2 2 2" xfId="47577"/>
    <cellStyle name="표준 9 2 2 4 2 2 2 2" xfId="47578"/>
    <cellStyle name="표준 9 2 2 4 2 2 2 2 2" xfId="47579"/>
    <cellStyle name="표준 9 2 2 4 2 2 2 2 3" xfId="47580"/>
    <cellStyle name="표준 9 2 2 4 2 2 2 3" xfId="47581"/>
    <cellStyle name="표준 9 2 2 4 2 2 2 4" xfId="47582"/>
    <cellStyle name="표준 9 2 2 4 2 2 3" xfId="47583"/>
    <cellStyle name="표준 9 2 2 4 2 2 3 2" xfId="47584"/>
    <cellStyle name="표준 9 2 2 4 2 2 3 3" xfId="47585"/>
    <cellStyle name="표준 9 2 2 4 2 2 4" xfId="47586"/>
    <cellStyle name="표준 9 2 2 4 2 2 5" xfId="47587"/>
    <cellStyle name="표준 9 2 2 4 2 3" xfId="47588"/>
    <cellStyle name="표준 9 2 2 4 2 3 2" xfId="47589"/>
    <cellStyle name="표준 9 2 2 4 2 3 2 2" xfId="47590"/>
    <cellStyle name="표준 9 2 2 4 2 3 2 2 2" xfId="47591"/>
    <cellStyle name="표준 9 2 2 4 2 3 2 2 3" xfId="47592"/>
    <cellStyle name="표준 9 2 2 4 2 3 2 3" xfId="47593"/>
    <cellStyle name="표준 9 2 2 4 2 3 2 4" xfId="47594"/>
    <cellStyle name="표준 9 2 2 4 2 3 3" xfId="47595"/>
    <cellStyle name="표준 9 2 2 4 2 3 3 2" xfId="47596"/>
    <cellStyle name="표준 9 2 2 4 2 3 3 3" xfId="47597"/>
    <cellStyle name="표준 9 2 2 4 2 3 4" xfId="47598"/>
    <cellStyle name="표준 9 2 2 4 2 3 5" xfId="47599"/>
    <cellStyle name="표준 9 2 2 4 2 4" xfId="47600"/>
    <cellStyle name="표준 9 2 2 4 2 4 2" xfId="47601"/>
    <cellStyle name="표준 9 2 2 4 2 4 2 2" xfId="47602"/>
    <cellStyle name="표준 9 2 2 4 2 4 2 3" xfId="47603"/>
    <cellStyle name="표준 9 2 2 4 2 4 3" xfId="47604"/>
    <cellStyle name="표준 9 2 2 4 2 4 4" xfId="47605"/>
    <cellStyle name="표준 9 2 2 4 2 5" xfId="47606"/>
    <cellStyle name="표준 9 2 2 4 2 5 2" xfId="47607"/>
    <cellStyle name="표준 9 2 2 4 2 5 3" xfId="47608"/>
    <cellStyle name="표준 9 2 2 4 2 6" xfId="47609"/>
    <cellStyle name="표준 9 2 2 4 2 7" xfId="47610"/>
    <cellStyle name="표준 9 2 2 4 3" xfId="47611"/>
    <cellStyle name="표준 9 2 2 4 3 2" xfId="47612"/>
    <cellStyle name="표준 9 2 2 4 3 2 2" xfId="47613"/>
    <cellStyle name="표준 9 2 2 4 3 2 2 2" xfId="47614"/>
    <cellStyle name="표준 9 2 2 4 3 2 2 2 2" xfId="47615"/>
    <cellStyle name="표준 9 2 2 4 3 2 2 2 3" xfId="47616"/>
    <cellStyle name="표준 9 2 2 4 3 2 2 3" xfId="47617"/>
    <cellStyle name="표준 9 2 2 4 3 2 2 4" xfId="47618"/>
    <cellStyle name="표준 9 2 2 4 3 2 3" xfId="47619"/>
    <cellStyle name="표준 9 2 2 4 3 2 3 2" xfId="47620"/>
    <cellStyle name="표준 9 2 2 4 3 2 3 3" xfId="47621"/>
    <cellStyle name="표준 9 2 2 4 3 2 4" xfId="47622"/>
    <cellStyle name="표준 9 2 2 4 3 2 5" xfId="47623"/>
    <cellStyle name="표준 9 2 2 4 3 3" xfId="47624"/>
    <cellStyle name="표준 9 2 2 4 3 3 2" xfId="47625"/>
    <cellStyle name="표준 9 2 2 4 3 3 2 2" xfId="47626"/>
    <cellStyle name="표준 9 2 2 4 3 3 2 2 2" xfId="47627"/>
    <cellStyle name="표준 9 2 2 4 3 3 2 2 3" xfId="47628"/>
    <cellStyle name="표준 9 2 2 4 3 3 2 3" xfId="47629"/>
    <cellStyle name="표준 9 2 2 4 3 3 2 4" xfId="47630"/>
    <cellStyle name="표준 9 2 2 4 3 3 3" xfId="47631"/>
    <cellStyle name="표준 9 2 2 4 3 3 3 2" xfId="47632"/>
    <cellStyle name="표준 9 2 2 4 3 3 3 3" xfId="47633"/>
    <cellStyle name="표준 9 2 2 4 3 3 4" xfId="47634"/>
    <cellStyle name="표준 9 2 2 4 3 3 5" xfId="47635"/>
    <cellStyle name="표준 9 2 2 4 3 4" xfId="47636"/>
    <cellStyle name="표준 9 2 2 4 3 4 2" xfId="47637"/>
    <cellStyle name="표준 9 2 2 4 3 4 2 2" xfId="47638"/>
    <cellStyle name="표준 9 2 2 4 3 4 2 3" xfId="47639"/>
    <cellStyle name="표준 9 2 2 4 3 4 3" xfId="47640"/>
    <cellStyle name="표준 9 2 2 4 3 4 4" xfId="47641"/>
    <cellStyle name="표준 9 2 2 4 3 5" xfId="47642"/>
    <cellStyle name="표준 9 2 2 4 3 5 2" xfId="47643"/>
    <cellStyle name="표준 9 2 2 4 3 5 3" xfId="47644"/>
    <cellStyle name="표준 9 2 2 4 3 6" xfId="47645"/>
    <cellStyle name="표준 9 2 2 4 3 7" xfId="47646"/>
    <cellStyle name="표준 9 2 2 4 4" xfId="47647"/>
    <cellStyle name="표준 9 2 2 4 4 2" xfId="47648"/>
    <cellStyle name="표준 9 2 2 4 4 2 2" xfId="47649"/>
    <cellStyle name="표준 9 2 2 4 4 2 2 2" xfId="47650"/>
    <cellStyle name="표준 9 2 2 4 4 2 2 3" xfId="47651"/>
    <cellStyle name="표준 9 2 2 4 4 2 3" xfId="47652"/>
    <cellStyle name="표준 9 2 2 4 4 2 4" xfId="47653"/>
    <cellStyle name="표준 9 2 2 4 4 3" xfId="47654"/>
    <cellStyle name="표준 9 2 2 4 4 3 2" xfId="47655"/>
    <cellStyle name="표준 9 2 2 4 4 3 3" xfId="47656"/>
    <cellStyle name="표준 9 2 2 4 4 4" xfId="47657"/>
    <cellStyle name="표준 9 2 2 4 4 5" xfId="47658"/>
    <cellStyle name="표준 9 2 2 4 5" xfId="47659"/>
    <cellStyle name="표준 9 2 2 4 5 2" xfId="47660"/>
    <cellStyle name="표준 9 2 2 4 5 2 2" xfId="47661"/>
    <cellStyle name="표준 9 2 2 4 5 2 2 2" xfId="47662"/>
    <cellStyle name="표준 9 2 2 4 5 2 2 3" xfId="47663"/>
    <cellStyle name="표준 9 2 2 4 5 2 3" xfId="47664"/>
    <cellStyle name="표준 9 2 2 4 5 2 4" xfId="47665"/>
    <cellStyle name="표준 9 2 2 4 5 3" xfId="47666"/>
    <cellStyle name="표준 9 2 2 4 5 3 2" xfId="47667"/>
    <cellStyle name="표준 9 2 2 4 5 3 3" xfId="47668"/>
    <cellStyle name="표준 9 2 2 4 5 4" xfId="47669"/>
    <cellStyle name="표준 9 2 2 4 5 5" xfId="47670"/>
    <cellStyle name="표준 9 2 2 4 6" xfId="47671"/>
    <cellStyle name="표준 9 2 2 4 6 2" xfId="47672"/>
    <cellStyle name="표준 9 2 2 4 6 2 2" xfId="47673"/>
    <cellStyle name="표준 9 2 2 4 6 2 2 2" xfId="47674"/>
    <cellStyle name="표준 9 2 2 4 6 2 2 3" xfId="47675"/>
    <cellStyle name="표준 9 2 2 4 6 2 3" xfId="47676"/>
    <cellStyle name="표준 9 2 2 4 6 2 4" xfId="47677"/>
    <cellStyle name="표준 9 2 2 4 6 3" xfId="47678"/>
    <cellStyle name="표준 9 2 2 4 6 3 2" xfId="47679"/>
    <cellStyle name="표준 9 2 2 4 6 3 3" xfId="47680"/>
    <cellStyle name="표준 9 2 2 4 6 4" xfId="47681"/>
    <cellStyle name="표준 9 2 2 4 6 5" xfId="47682"/>
    <cellStyle name="표준 9 2 2 4 7" xfId="47683"/>
    <cellStyle name="표준 9 2 2 4 7 2" xfId="47684"/>
    <cellStyle name="표준 9 2 2 4 7 2 2" xfId="47685"/>
    <cellStyle name="표준 9 2 2 4 7 2 3" xfId="47686"/>
    <cellStyle name="표준 9 2 2 4 7 3" xfId="47687"/>
    <cellStyle name="표준 9 2 2 4 7 4" xfId="47688"/>
    <cellStyle name="표준 9 2 2 4 8" xfId="47689"/>
    <cellStyle name="표준 9 2 2 4 8 2" xfId="47690"/>
    <cellStyle name="표준 9 2 2 4 8 3" xfId="47691"/>
    <cellStyle name="표준 9 2 2 4 9" xfId="47692"/>
    <cellStyle name="표준 9 2 2 5" xfId="47693"/>
    <cellStyle name="표준 9 2 2 5 2" xfId="47694"/>
    <cellStyle name="표준 9 2 2 5 2 2" xfId="47695"/>
    <cellStyle name="표준 9 2 2 5 2 2 2" xfId="47696"/>
    <cellStyle name="표준 9 2 2 5 2 2 2 2" xfId="47697"/>
    <cellStyle name="표준 9 2 2 5 2 2 2 3" xfId="47698"/>
    <cellStyle name="표준 9 2 2 5 2 2 3" xfId="47699"/>
    <cellStyle name="표준 9 2 2 5 2 2 4" xfId="47700"/>
    <cellStyle name="표준 9 2 2 5 2 3" xfId="47701"/>
    <cellStyle name="표준 9 2 2 5 2 3 2" xfId="47702"/>
    <cellStyle name="표준 9 2 2 5 2 3 3" xfId="47703"/>
    <cellStyle name="표준 9 2 2 5 2 4" xfId="47704"/>
    <cellStyle name="표준 9 2 2 5 2 5" xfId="47705"/>
    <cellStyle name="표준 9 2 2 5 3" xfId="47706"/>
    <cellStyle name="표준 9 2 2 5 3 2" xfId="47707"/>
    <cellStyle name="표준 9 2 2 5 3 2 2" xfId="47708"/>
    <cellStyle name="표준 9 2 2 5 3 2 2 2" xfId="47709"/>
    <cellStyle name="표준 9 2 2 5 3 2 2 3" xfId="47710"/>
    <cellStyle name="표준 9 2 2 5 3 2 3" xfId="47711"/>
    <cellStyle name="표준 9 2 2 5 3 2 4" xfId="47712"/>
    <cellStyle name="표준 9 2 2 5 3 3" xfId="47713"/>
    <cellStyle name="표준 9 2 2 5 3 3 2" xfId="47714"/>
    <cellStyle name="표준 9 2 2 5 3 3 3" xfId="47715"/>
    <cellStyle name="표준 9 2 2 5 3 4" xfId="47716"/>
    <cellStyle name="표준 9 2 2 5 3 5" xfId="47717"/>
    <cellStyle name="표준 9 2 2 5 4" xfId="47718"/>
    <cellStyle name="표준 9 2 2 5 4 2" xfId="47719"/>
    <cellStyle name="표준 9 2 2 5 4 2 2" xfId="47720"/>
    <cellStyle name="표준 9 2 2 5 4 2 3" xfId="47721"/>
    <cellStyle name="표준 9 2 2 5 4 3" xfId="47722"/>
    <cellStyle name="표준 9 2 2 5 4 4" xfId="47723"/>
    <cellStyle name="표준 9 2 2 5 5" xfId="47724"/>
    <cellStyle name="표준 9 2 2 5 5 2" xfId="47725"/>
    <cellStyle name="표준 9 2 2 5 5 3" xfId="47726"/>
    <cellStyle name="표준 9 2 2 5 6" xfId="47727"/>
    <cellStyle name="표준 9 2 2 5 7" xfId="47728"/>
    <cellStyle name="표준 9 2 2 6" xfId="47729"/>
    <cellStyle name="표준 9 2 2 6 2" xfId="47730"/>
    <cellStyle name="표준 9 2 2 6 2 2" xfId="47731"/>
    <cellStyle name="표준 9 2 2 6 2 2 2" xfId="47732"/>
    <cellStyle name="표준 9 2 2 6 2 2 2 2" xfId="47733"/>
    <cellStyle name="표준 9 2 2 6 2 2 2 3" xfId="47734"/>
    <cellStyle name="표준 9 2 2 6 2 2 3" xfId="47735"/>
    <cellStyle name="표준 9 2 2 6 2 2 4" xfId="47736"/>
    <cellStyle name="표준 9 2 2 6 2 3" xfId="47737"/>
    <cellStyle name="표준 9 2 2 6 2 3 2" xfId="47738"/>
    <cellStyle name="표준 9 2 2 6 2 3 3" xfId="47739"/>
    <cellStyle name="표준 9 2 2 6 2 4" xfId="47740"/>
    <cellStyle name="표준 9 2 2 6 2 5" xfId="47741"/>
    <cellStyle name="표준 9 2 2 6 3" xfId="47742"/>
    <cellStyle name="표준 9 2 2 6 3 2" xfId="47743"/>
    <cellStyle name="표준 9 2 2 6 3 2 2" xfId="47744"/>
    <cellStyle name="표준 9 2 2 6 3 2 2 2" xfId="47745"/>
    <cellStyle name="표준 9 2 2 6 3 2 2 3" xfId="47746"/>
    <cellStyle name="표준 9 2 2 6 3 2 3" xfId="47747"/>
    <cellStyle name="표준 9 2 2 6 3 2 4" xfId="47748"/>
    <cellStyle name="표준 9 2 2 6 3 3" xfId="47749"/>
    <cellStyle name="표준 9 2 2 6 3 3 2" xfId="47750"/>
    <cellStyle name="표준 9 2 2 6 3 3 3" xfId="47751"/>
    <cellStyle name="표준 9 2 2 6 3 4" xfId="47752"/>
    <cellStyle name="표준 9 2 2 6 3 5" xfId="47753"/>
    <cellStyle name="표준 9 2 2 6 4" xfId="47754"/>
    <cellStyle name="표준 9 2 2 6 4 2" xfId="47755"/>
    <cellStyle name="표준 9 2 2 6 4 2 2" xfId="47756"/>
    <cellStyle name="표준 9 2 2 6 4 2 3" xfId="47757"/>
    <cellStyle name="표준 9 2 2 6 4 3" xfId="47758"/>
    <cellStyle name="표준 9 2 2 6 4 4" xfId="47759"/>
    <cellStyle name="표준 9 2 2 6 5" xfId="47760"/>
    <cellStyle name="표준 9 2 2 6 5 2" xfId="47761"/>
    <cellStyle name="표준 9 2 2 6 5 3" xfId="47762"/>
    <cellStyle name="표준 9 2 2 6 6" xfId="47763"/>
    <cellStyle name="표준 9 2 2 6 7" xfId="47764"/>
    <cellStyle name="표준 9 2 2 7" xfId="47765"/>
    <cellStyle name="표준 9 2 2 7 2" xfId="47766"/>
    <cellStyle name="표준 9 2 2 7 2 2" xfId="47767"/>
    <cellStyle name="표준 9 2 2 7 2 2 2" xfId="47768"/>
    <cellStyle name="표준 9 2 2 7 2 2 3" xfId="47769"/>
    <cellStyle name="표준 9 2 2 7 2 3" xfId="47770"/>
    <cellStyle name="표준 9 2 2 7 2 4" xfId="47771"/>
    <cellStyle name="표준 9 2 2 7 3" xfId="47772"/>
    <cellStyle name="표준 9 2 2 7 3 2" xfId="47773"/>
    <cellStyle name="표준 9 2 2 7 3 3" xfId="47774"/>
    <cellStyle name="표준 9 2 2 7 4" xfId="47775"/>
    <cellStyle name="표준 9 2 2 7 5" xfId="47776"/>
    <cellStyle name="표준 9 2 2 8" xfId="47777"/>
    <cellStyle name="표준 9 2 2 8 2" xfId="47778"/>
    <cellStyle name="표준 9 2 2 8 2 2" xfId="47779"/>
    <cellStyle name="표준 9 2 2 8 2 2 2" xfId="47780"/>
    <cellStyle name="표준 9 2 2 8 2 2 3" xfId="47781"/>
    <cellStyle name="표준 9 2 2 8 2 3" xfId="47782"/>
    <cellStyle name="표준 9 2 2 8 2 4" xfId="47783"/>
    <cellStyle name="표준 9 2 2 8 3" xfId="47784"/>
    <cellStyle name="표준 9 2 2 8 3 2" xfId="47785"/>
    <cellStyle name="표준 9 2 2 8 3 3" xfId="47786"/>
    <cellStyle name="표준 9 2 2 8 4" xfId="47787"/>
    <cellStyle name="표준 9 2 2 8 5" xfId="47788"/>
    <cellStyle name="표준 9 2 2 9" xfId="47789"/>
    <cellStyle name="표준 9 2 2 9 2" xfId="47790"/>
    <cellStyle name="표준 9 2 2 9 2 2" xfId="47791"/>
    <cellStyle name="표준 9 2 2 9 2 2 2" xfId="47792"/>
    <cellStyle name="표준 9 2 2 9 2 2 3" xfId="47793"/>
    <cellStyle name="표준 9 2 2 9 2 3" xfId="47794"/>
    <cellStyle name="표준 9 2 2 9 2 4" xfId="47795"/>
    <cellStyle name="표준 9 2 2 9 3" xfId="47796"/>
    <cellStyle name="표준 9 2 2 9 3 2" xfId="47797"/>
    <cellStyle name="표준 9 2 2 9 3 3" xfId="47798"/>
    <cellStyle name="표준 9 2 2 9 4" xfId="47799"/>
    <cellStyle name="표준 9 2 2 9 5" xfId="47800"/>
    <cellStyle name="표준 9 2 3" xfId="47801"/>
    <cellStyle name="표준 9 2 3 10" xfId="47802"/>
    <cellStyle name="표준 9 2 3 2" xfId="47803"/>
    <cellStyle name="표준 9 2 3 2 2" xfId="47804"/>
    <cellStyle name="표준 9 2 3 2 2 2" xfId="47805"/>
    <cellStyle name="표준 9 2 3 2 2 2 2" xfId="47806"/>
    <cellStyle name="표준 9 2 3 2 2 2 2 2" xfId="47807"/>
    <cellStyle name="표준 9 2 3 2 2 2 2 3" xfId="47808"/>
    <cellStyle name="표준 9 2 3 2 2 2 3" xfId="47809"/>
    <cellStyle name="표준 9 2 3 2 2 2 4" xfId="47810"/>
    <cellStyle name="표준 9 2 3 2 2 3" xfId="47811"/>
    <cellStyle name="표준 9 2 3 2 2 3 2" xfId="47812"/>
    <cellStyle name="표준 9 2 3 2 2 3 3" xfId="47813"/>
    <cellStyle name="표준 9 2 3 2 2 4" xfId="47814"/>
    <cellStyle name="표준 9 2 3 2 2 5" xfId="47815"/>
    <cellStyle name="표준 9 2 3 2 3" xfId="47816"/>
    <cellStyle name="표준 9 2 3 2 3 2" xfId="47817"/>
    <cellStyle name="표준 9 2 3 2 3 2 2" xfId="47818"/>
    <cellStyle name="표준 9 2 3 2 3 2 2 2" xfId="47819"/>
    <cellStyle name="표준 9 2 3 2 3 2 2 3" xfId="47820"/>
    <cellStyle name="표준 9 2 3 2 3 2 3" xfId="47821"/>
    <cellStyle name="표준 9 2 3 2 3 2 4" xfId="47822"/>
    <cellStyle name="표준 9 2 3 2 3 3" xfId="47823"/>
    <cellStyle name="표준 9 2 3 2 3 3 2" xfId="47824"/>
    <cellStyle name="표준 9 2 3 2 3 3 3" xfId="47825"/>
    <cellStyle name="표준 9 2 3 2 3 4" xfId="47826"/>
    <cellStyle name="표준 9 2 3 2 3 5" xfId="47827"/>
    <cellStyle name="표준 9 2 3 2 4" xfId="47828"/>
    <cellStyle name="표준 9 2 3 2 4 2" xfId="47829"/>
    <cellStyle name="표준 9 2 3 2 4 2 2" xfId="47830"/>
    <cellStyle name="표준 9 2 3 2 4 2 3" xfId="47831"/>
    <cellStyle name="표준 9 2 3 2 4 3" xfId="47832"/>
    <cellStyle name="표준 9 2 3 2 4 4" xfId="47833"/>
    <cellStyle name="표준 9 2 3 2 5" xfId="47834"/>
    <cellStyle name="표준 9 2 3 2 5 2" xfId="47835"/>
    <cellStyle name="표준 9 2 3 2 5 3" xfId="47836"/>
    <cellStyle name="표준 9 2 3 2 6" xfId="47837"/>
    <cellStyle name="표준 9 2 3 2 7" xfId="47838"/>
    <cellStyle name="표준 9 2 3 3" xfId="47839"/>
    <cellStyle name="표준 9 2 3 3 2" xfId="47840"/>
    <cellStyle name="표준 9 2 3 3 2 2" xfId="47841"/>
    <cellStyle name="표준 9 2 3 3 2 2 2" xfId="47842"/>
    <cellStyle name="표준 9 2 3 3 2 2 2 2" xfId="47843"/>
    <cellStyle name="표준 9 2 3 3 2 2 2 3" xfId="47844"/>
    <cellStyle name="표준 9 2 3 3 2 2 3" xfId="47845"/>
    <cellStyle name="표준 9 2 3 3 2 2 4" xfId="47846"/>
    <cellStyle name="표준 9 2 3 3 2 3" xfId="47847"/>
    <cellStyle name="표준 9 2 3 3 2 3 2" xfId="47848"/>
    <cellStyle name="표준 9 2 3 3 2 3 3" xfId="47849"/>
    <cellStyle name="표준 9 2 3 3 2 4" xfId="47850"/>
    <cellStyle name="표준 9 2 3 3 2 5" xfId="47851"/>
    <cellStyle name="표준 9 2 3 3 3" xfId="47852"/>
    <cellStyle name="표준 9 2 3 3 3 2" xfId="47853"/>
    <cellStyle name="표준 9 2 3 3 3 2 2" xfId="47854"/>
    <cellStyle name="표준 9 2 3 3 3 2 2 2" xfId="47855"/>
    <cellStyle name="표준 9 2 3 3 3 2 2 3" xfId="47856"/>
    <cellStyle name="표준 9 2 3 3 3 2 3" xfId="47857"/>
    <cellStyle name="표준 9 2 3 3 3 2 4" xfId="47858"/>
    <cellStyle name="표준 9 2 3 3 3 3" xfId="47859"/>
    <cellStyle name="표준 9 2 3 3 3 3 2" xfId="47860"/>
    <cellStyle name="표준 9 2 3 3 3 3 3" xfId="47861"/>
    <cellStyle name="표준 9 2 3 3 3 4" xfId="47862"/>
    <cellStyle name="표준 9 2 3 3 3 5" xfId="47863"/>
    <cellStyle name="표준 9 2 3 3 4" xfId="47864"/>
    <cellStyle name="표준 9 2 3 3 4 2" xfId="47865"/>
    <cellStyle name="표준 9 2 3 3 4 2 2" xfId="47866"/>
    <cellStyle name="표준 9 2 3 3 4 2 3" xfId="47867"/>
    <cellStyle name="표준 9 2 3 3 4 3" xfId="47868"/>
    <cellStyle name="표준 9 2 3 3 4 4" xfId="47869"/>
    <cellStyle name="표준 9 2 3 3 5" xfId="47870"/>
    <cellStyle name="표준 9 2 3 3 5 2" xfId="47871"/>
    <cellStyle name="표준 9 2 3 3 5 3" xfId="47872"/>
    <cellStyle name="표준 9 2 3 3 6" xfId="47873"/>
    <cellStyle name="표준 9 2 3 3 7" xfId="47874"/>
    <cellStyle name="표준 9 2 3 4" xfId="47875"/>
    <cellStyle name="표준 9 2 3 4 2" xfId="47876"/>
    <cellStyle name="표준 9 2 3 4 2 2" xfId="47877"/>
    <cellStyle name="표준 9 2 3 4 2 2 2" xfId="47878"/>
    <cellStyle name="표준 9 2 3 4 2 2 3" xfId="47879"/>
    <cellStyle name="표준 9 2 3 4 2 3" xfId="47880"/>
    <cellStyle name="표준 9 2 3 4 2 4" xfId="47881"/>
    <cellStyle name="표준 9 2 3 4 3" xfId="47882"/>
    <cellStyle name="표준 9 2 3 4 3 2" xfId="47883"/>
    <cellStyle name="표준 9 2 3 4 3 3" xfId="47884"/>
    <cellStyle name="표준 9 2 3 4 4" xfId="47885"/>
    <cellStyle name="표준 9 2 3 4 5" xfId="47886"/>
    <cellStyle name="표준 9 2 3 5" xfId="47887"/>
    <cellStyle name="표준 9 2 3 5 2" xfId="47888"/>
    <cellStyle name="표준 9 2 3 5 2 2" xfId="47889"/>
    <cellStyle name="표준 9 2 3 5 2 2 2" xfId="47890"/>
    <cellStyle name="표준 9 2 3 5 2 2 3" xfId="47891"/>
    <cellStyle name="표준 9 2 3 5 2 3" xfId="47892"/>
    <cellStyle name="표준 9 2 3 5 2 4" xfId="47893"/>
    <cellStyle name="표준 9 2 3 5 3" xfId="47894"/>
    <cellStyle name="표준 9 2 3 5 3 2" xfId="47895"/>
    <cellStyle name="표준 9 2 3 5 3 3" xfId="47896"/>
    <cellStyle name="표준 9 2 3 5 4" xfId="47897"/>
    <cellStyle name="표준 9 2 3 5 5" xfId="47898"/>
    <cellStyle name="표준 9 2 3 6" xfId="47899"/>
    <cellStyle name="표준 9 2 3 6 2" xfId="47900"/>
    <cellStyle name="표준 9 2 3 6 2 2" xfId="47901"/>
    <cellStyle name="표준 9 2 3 6 2 2 2" xfId="47902"/>
    <cellStyle name="표준 9 2 3 6 2 2 3" xfId="47903"/>
    <cellStyle name="표준 9 2 3 6 2 3" xfId="47904"/>
    <cellStyle name="표준 9 2 3 6 2 4" xfId="47905"/>
    <cellStyle name="표준 9 2 3 6 3" xfId="47906"/>
    <cellStyle name="표준 9 2 3 6 3 2" xfId="47907"/>
    <cellStyle name="표준 9 2 3 6 3 3" xfId="47908"/>
    <cellStyle name="표준 9 2 3 6 4" xfId="47909"/>
    <cellStyle name="표준 9 2 3 6 5" xfId="47910"/>
    <cellStyle name="표준 9 2 3 7" xfId="47911"/>
    <cellStyle name="표준 9 2 3 7 2" xfId="47912"/>
    <cellStyle name="표준 9 2 3 7 2 2" xfId="47913"/>
    <cellStyle name="표준 9 2 3 7 2 3" xfId="47914"/>
    <cellStyle name="표준 9 2 3 7 3" xfId="47915"/>
    <cellStyle name="표준 9 2 3 7 4" xfId="47916"/>
    <cellStyle name="표준 9 2 3 8" xfId="47917"/>
    <cellStyle name="표준 9 2 3 8 2" xfId="47918"/>
    <cellStyle name="표준 9 2 3 8 3" xfId="47919"/>
    <cellStyle name="표준 9 2 3 9" xfId="47920"/>
    <cellStyle name="표준 9 2 4" xfId="47921"/>
    <cellStyle name="표준 9 2 4 10" xfId="47922"/>
    <cellStyle name="표준 9 2 4 2" xfId="47923"/>
    <cellStyle name="표준 9 2 4 2 2" xfId="47924"/>
    <cellStyle name="표준 9 2 4 2 2 2" xfId="47925"/>
    <cellStyle name="표준 9 2 4 2 2 2 2" xfId="47926"/>
    <cellStyle name="표준 9 2 4 2 2 2 2 2" xfId="47927"/>
    <cellStyle name="표준 9 2 4 2 2 2 2 3" xfId="47928"/>
    <cellStyle name="표준 9 2 4 2 2 2 3" xfId="47929"/>
    <cellStyle name="표준 9 2 4 2 2 2 4" xfId="47930"/>
    <cellStyle name="표준 9 2 4 2 2 3" xfId="47931"/>
    <cellStyle name="표준 9 2 4 2 2 3 2" xfId="47932"/>
    <cellStyle name="표준 9 2 4 2 2 3 3" xfId="47933"/>
    <cellStyle name="표준 9 2 4 2 2 4" xfId="47934"/>
    <cellStyle name="표준 9 2 4 2 2 5" xfId="47935"/>
    <cellStyle name="표준 9 2 4 2 3" xfId="47936"/>
    <cellStyle name="표준 9 2 4 2 3 2" xfId="47937"/>
    <cellStyle name="표준 9 2 4 2 3 2 2" xfId="47938"/>
    <cellStyle name="표준 9 2 4 2 3 2 2 2" xfId="47939"/>
    <cellStyle name="표준 9 2 4 2 3 2 2 3" xfId="47940"/>
    <cellStyle name="표준 9 2 4 2 3 2 3" xfId="47941"/>
    <cellStyle name="표준 9 2 4 2 3 2 4" xfId="47942"/>
    <cellStyle name="표준 9 2 4 2 3 3" xfId="47943"/>
    <cellStyle name="표준 9 2 4 2 3 3 2" xfId="47944"/>
    <cellStyle name="표준 9 2 4 2 3 3 3" xfId="47945"/>
    <cellStyle name="표준 9 2 4 2 3 4" xfId="47946"/>
    <cellStyle name="표준 9 2 4 2 3 5" xfId="47947"/>
    <cellStyle name="표준 9 2 4 2 4" xfId="47948"/>
    <cellStyle name="표준 9 2 4 2 4 2" xfId="47949"/>
    <cellStyle name="표준 9 2 4 2 4 2 2" xfId="47950"/>
    <cellStyle name="표준 9 2 4 2 4 2 3" xfId="47951"/>
    <cellStyle name="표준 9 2 4 2 4 3" xfId="47952"/>
    <cellStyle name="표준 9 2 4 2 4 4" xfId="47953"/>
    <cellStyle name="표준 9 2 4 2 5" xfId="47954"/>
    <cellStyle name="표준 9 2 4 2 5 2" xfId="47955"/>
    <cellStyle name="표준 9 2 4 2 5 3" xfId="47956"/>
    <cellStyle name="표준 9 2 4 2 6" xfId="47957"/>
    <cellStyle name="표준 9 2 4 2 7" xfId="47958"/>
    <cellStyle name="표준 9 2 4 3" xfId="47959"/>
    <cellStyle name="표준 9 2 4 3 2" xfId="47960"/>
    <cellStyle name="표준 9 2 4 3 2 2" xfId="47961"/>
    <cellStyle name="표준 9 2 4 3 2 2 2" xfId="47962"/>
    <cellStyle name="표준 9 2 4 3 2 2 2 2" xfId="47963"/>
    <cellStyle name="표준 9 2 4 3 2 2 2 3" xfId="47964"/>
    <cellStyle name="표준 9 2 4 3 2 2 3" xfId="47965"/>
    <cellStyle name="표준 9 2 4 3 2 2 4" xfId="47966"/>
    <cellStyle name="표준 9 2 4 3 2 3" xfId="47967"/>
    <cellStyle name="표준 9 2 4 3 2 3 2" xfId="47968"/>
    <cellStyle name="표준 9 2 4 3 2 3 3" xfId="47969"/>
    <cellStyle name="표준 9 2 4 3 2 4" xfId="47970"/>
    <cellStyle name="표준 9 2 4 3 2 5" xfId="47971"/>
    <cellStyle name="표준 9 2 4 3 3" xfId="47972"/>
    <cellStyle name="표준 9 2 4 3 3 2" xfId="47973"/>
    <cellStyle name="표준 9 2 4 3 3 2 2" xfId="47974"/>
    <cellStyle name="표준 9 2 4 3 3 2 2 2" xfId="47975"/>
    <cellStyle name="표준 9 2 4 3 3 2 2 3" xfId="47976"/>
    <cellStyle name="표준 9 2 4 3 3 2 3" xfId="47977"/>
    <cellStyle name="표준 9 2 4 3 3 2 4" xfId="47978"/>
    <cellStyle name="표준 9 2 4 3 3 3" xfId="47979"/>
    <cellStyle name="표준 9 2 4 3 3 3 2" xfId="47980"/>
    <cellStyle name="표준 9 2 4 3 3 3 3" xfId="47981"/>
    <cellStyle name="표준 9 2 4 3 3 4" xfId="47982"/>
    <cellStyle name="표준 9 2 4 3 3 5" xfId="47983"/>
    <cellStyle name="표준 9 2 4 3 4" xfId="47984"/>
    <cellStyle name="표준 9 2 4 3 4 2" xfId="47985"/>
    <cellStyle name="표준 9 2 4 3 4 2 2" xfId="47986"/>
    <cellStyle name="표준 9 2 4 3 4 2 3" xfId="47987"/>
    <cellStyle name="표준 9 2 4 3 4 3" xfId="47988"/>
    <cellStyle name="표준 9 2 4 3 4 4" xfId="47989"/>
    <cellStyle name="표준 9 2 4 3 5" xfId="47990"/>
    <cellStyle name="표준 9 2 4 3 5 2" xfId="47991"/>
    <cellStyle name="표준 9 2 4 3 5 3" xfId="47992"/>
    <cellStyle name="표준 9 2 4 3 6" xfId="47993"/>
    <cellStyle name="표준 9 2 4 3 7" xfId="47994"/>
    <cellStyle name="표준 9 2 4 4" xfId="47995"/>
    <cellStyle name="표준 9 2 4 4 2" xfId="47996"/>
    <cellStyle name="표준 9 2 4 4 2 2" xfId="47997"/>
    <cellStyle name="표준 9 2 4 4 2 2 2" xfId="47998"/>
    <cellStyle name="표준 9 2 4 4 2 2 3" xfId="47999"/>
    <cellStyle name="표준 9 2 4 4 2 3" xfId="48000"/>
    <cellStyle name="표준 9 2 4 4 2 4" xfId="48001"/>
    <cellStyle name="표준 9 2 4 4 3" xfId="48002"/>
    <cellStyle name="표준 9 2 4 4 3 2" xfId="48003"/>
    <cellStyle name="표준 9 2 4 4 3 3" xfId="48004"/>
    <cellStyle name="표준 9 2 4 4 4" xfId="48005"/>
    <cellStyle name="표준 9 2 4 4 5" xfId="48006"/>
    <cellStyle name="표준 9 2 4 5" xfId="48007"/>
    <cellStyle name="표준 9 2 4 5 2" xfId="48008"/>
    <cellStyle name="표준 9 2 4 5 2 2" xfId="48009"/>
    <cellStyle name="표준 9 2 4 5 2 2 2" xfId="48010"/>
    <cellStyle name="표준 9 2 4 5 2 2 3" xfId="48011"/>
    <cellStyle name="표준 9 2 4 5 2 3" xfId="48012"/>
    <cellStyle name="표준 9 2 4 5 2 4" xfId="48013"/>
    <cellStyle name="표준 9 2 4 5 3" xfId="48014"/>
    <cellStyle name="표준 9 2 4 5 3 2" xfId="48015"/>
    <cellStyle name="표준 9 2 4 5 3 3" xfId="48016"/>
    <cellStyle name="표준 9 2 4 5 4" xfId="48017"/>
    <cellStyle name="표준 9 2 4 5 5" xfId="48018"/>
    <cellStyle name="표준 9 2 4 6" xfId="48019"/>
    <cellStyle name="표준 9 2 4 6 2" xfId="48020"/>
    <cellStyle name="표준 9 2 4 6 2 2" xfId="48021"/>
    <cellStyle name="표준 9 2 4 6 2 2 2" xfId="48022"/>
    <cellStyle name="표준 9 2 4 6 2 2 3" xfId="48023"/>
    <cellStyle name="표준 9 2 4 6 2 3" xfId="48024"/>
    <cellStyle name="표준 9 2 4 6 2 4" xfId="48025"/>
    <cellStyle name="표준 9 2 4 6 3" xfId="48026"/>
    <cellStyle name="표준 9 2 4 6 3 2" xfId="48027"/>
    <cellStyle name="표준 9 2 4 6 3 3" xfId="48028"/>
    <cellStyle name="표준 9 2 4 6 4" xfId="48029"/>
    <cellStyle name="표준 9 2 4 6 5" xfId="48030"/>
    <cellStyle name="표준 9 2 4 7" xfId="48031"/>
    <cellStyle name="표준 9 2 4 7 2" xfId="48032"/>
    <cellStyle name="표준 9 2 4 7 2 2" xfId="48033"/>
    <cellStyle name="표준 9 2 4 7 2 3" xfId="48034"/>
    <cellStyle name="표준 9 2 4 7 3" xfId="48035"/>
    <cellStyle name="표준 9 2 4 7 4" xfId="48036"/>
    <cellStyle name="표준 9 2 4 8" xfId="48037"/>
    <cellStyle name="표준 9 2 4 8 2" xfId="48038"/>
    <cellStyle name="표준 9 2 4 8 3" xfId="48039"/>
    <cellStyle name="표준 9 2 4 9" xfId="48040"/>
    <cellStyle name="표준 9 2 5" xfId="48041"/>
    <cellStyle name="표준 9 2 5 10" xfId="48042"/>
    <cellStyle name="표준 9 2 5 2" xfId="48043"/>
    <cellStyle name="표준 9 2 5 2 2" xfId="48044"/>
    <cellStyle name="표준 9 2 5 2 2 2" xfId="48045"/>
    <cellStyle name="표준 9 2 5 2 2 2 2" xfId="48046"/>
    <cellStyle name="표준 9 2 5 2 2 2 2 2" xfId="48047"/>
    <cellStyle name="표준 9 2 5 2 2 2 2 3" xfId="48048"/>
    <cellStyle name="표준 9 2 5 2 2 2 3" xfId="48049"/>
    <cellStyle name="표준 9 2 5 2 2 2 4" xfId="48050"/>
    <cellStyle name="표준 9 2 5 2 2 3" xfId="48051"/>
    <cellStyle name="표준 9 2 5 2 2 3 2" xfId="48052"/>
    <cellStyle name="표준 9 2 5 2 2 3 3" xfId="48053"/>
    <cellStyle name="표준 9 2 5 2 2 4" xfId="48054"/>
    <cellStyle name="표준 9 2 5 2 2 5" xfId="48055"/>
    <cellStyle name="표준 9 2 5 2 3" xfId="48056"/>
    <cellStyle name="표준 9 2 5 2 3 2" xfId="48057"/>
    <cellStyle name="표준 9 2 5 2 3 2 2" xfId="48058"/>
    <cellStyle name="표준 9 2 5 2 3 2 2 2" xfId="48059"/>
    <cellStyle name="표준 9 2 5 2 3 2 2 3" xfId="48060"/>
    <cellStyle name="표준 9 2 5 2 3 2 3" xfId="48061"/>
    <cellStyle name="표준 9 2 5 2 3 2 4" xfId="48062"/>
    <cellStyle name="표준 9 2 5 2 3 3" xfId="48063"/>
    <cellStyle name="표준 9 2 5 2 3 3 2" xfId="48064"/>
    <cellStyle name="표준 9 2 5 2 3 3 3" xfId="48065"/>
    <cellStyle name="표준 9 2 5 2 3 4" xfId="48066"/>
    <cellStyle name="표준 9 2 5 2 3 5" xfId="48067"/>
    <cellStyle name="표준 9 2 5 2 4" xfId="48068"/>
    <cellStyle name="표준 9 2 5 2 4 2" xfId="48069"/>
    <cellStyle name="표준 9 2 5 2 4 2 2" xfId="48070"/>
    <cellStyle name="표준 9 2 5 2 4 2 3" xfId="48071"/>
    <cellStyle name="표준 9 2 5 2 4 3" xfId="48072"/>
    <cellStyle name="표준 9 2 5 2 4 4" xfId="48073"/>
    <cellStyle name="표준 9 2 5 2 5" xfId="48074"/>
    <cellStyle name="표준 9 2 5 2 5 2" xfId="48075"/>
    <cellStyle name="표준 9 2 5 2 5 3" xfId="48076"/>
    <cellStyle name="표준 9 2 5 2 6" xfId="48077"/>
    <cellStyle name="표준 9 2 5 2 7" xfId="48078"/>
    <cellStyle name="표준 9 2 5 3" xfId="48079"/>
    <cellStyle name="표준 9 2 5 3 2" xfId="48080"/>
    <cellStyle name="표준 9 2 5 3 2 2" xfId="48081"/>
    <cellStyle name="표준 9 2 5 3 2 2 2" xfId="48082"/>
    <cellStyle name="표준 9 2 5 3 2 2 2 2" xfId="48083"/>
    <cellStyle name="표준 9 2 5 3 2 2 2 3" xfId="48084"/>
    <cellStyle name="표준 9 2 5 3 2 2 3" xfId="48085"/>
    <cellStyle name="표준 9 2 5 3 2 2 4" xfId="48086"/>
    <cellStyle name="표준 9 2 5 3 2 3" xfId="48087"/>
    <cellStyle name="표준 9 2 5 3 2 3 2" xfId="48088"/>
    <cellStyle name="표준 9 2 5 3 2 3 3" xfId="48089"/>
    <cellStyle name="표준 9 2 5 3 2 4" xfId="48090"/>
    <cellStyle name="표준 9 2 5 3 2 5" xfId="48091"/>
    <cellStyle name="표준 9 2 5 3 3" xfId="48092"/>
    <cellStyle name="표준 9 2 5 3 3 2" xfId="48093"/>
    <cellStyle name="표준 9 2 5 3 3 2 2" xfId="48094"/>
    <cellStyle name="표준 9 2 5 3 3 2 2 2" xfId="48095"/>
    <cellStyle name="표준 9 2 5 3 3 2 2 3" xfId="48096"/>
    <cellStyle name="표준 9 2 5 3 3 2 3" xfId="48097"/>
    <cellStyle name="표준 9 2 5 3 3 2 4" xfId="48098"/>
    <cellStyle name="표준 9 2 5 3 3 3" xfId="48099"/>
    <cellStyle name="표준 9 2 5 3 3 3 2" xfId="48100"/>
    <cellStyle name="표준 9 2 5 3 3 3 3" xfId="48101"/>
    <cellStyle name="표준 9 2 5 3 3 4" xfId="48102"/>
    <cellStyle name="표준 9 2 5 3 3 5" xfId="48103"/>
    <cellStyle name="표준 9 2 5 3 4" xfId="48104"/>
    <cellStyle name="표준 9 2 5 3 4 2" xfId="48105"/>
    <cellStyle name="표준 9 2 5 3 4 2 2" xfId="48106"/>
    <cellStyle name="표준 9 2 5 3 4 2 3" xfId="48107"/>
    <cellStyle name="표준 9 2 5 3 4 3" xfId="48108"/>
    <cellStyle name="표준 9 2 5 3 4 4" xfId="48109"/>
    <cellStyle name="표준 9 2 5 3 5" xfId="48110"/>
    <cellStyle name="표준 9 2 5 3 5 2" xfId="48111"/>
    <cellStyle name="표준 9 2 5 3 5 3" xfId="48112"/>
    <cellStyle name="표준 9 2 5 3 6" xfId="48113"/>
    <cellStyle name="표준 9 2 5 3 7" xfId="48114"/>
    <cellStyle name="표준 9 2 5 4" xfId="48115"/>
    <cellStyle name="표준 9 2 5 4 2" xfId="48116"/>
    <cellStyle name="표준 9 2 5 4 2 2" xfId="48117"/>
    <cellStyle name="표준 9 2 5 4 2 2 2" xfId="48118"/>
    <cellStyle name="표준 9 2 5 4 2 2 3" xfId="48119"/>
    <cellStyle name="표준 9 2 5 4 2 3" xfId="48120"/>
    <cellStyle name="표준 9 2 5 4 2 4" xfId="48121"/>
    <cellStyle name="표준 9 2 5 4 3" xfId="48122"/>
    <cellStyle name="표준 9 2 5 4 3 2" xfId="48123"/>
    <cellStyle name="표준 9 2 5 4 3 3" xfId="48124"/>
    <cellStyle name="표준 9 2 5 4 4" xfId="48125"/>
    <cellStyle name="표준 9 2 5 4 5" xfId="48126"/>
    <cellStyle name="표준 9 2 5 5" xfId="48127"/>
    <cellStyle name="표준 9 2 5 5 2" xfId="48128"/>
    <cellStyle name="표준 9 2 5 5 2 2" xfId="48129"/>
    <cellStyle name="표준 9 2 5 5 2 2 2" xfId="48130"/>
    <cellStyle name="표준 9 2 5 5 2 2 3" xfId="48131"/>
    <cellStyle name="표준 9 2 5 5 2 3" xfId="48132"/>
    <cellStyle name="표준 9 2 5 5 2 4" xfId="48133"/>
    <cellStyle name="표준 9 2 5 5 3" xfId="48134"/>
    <cellStyle name="표준 9 2 5 5 3 2" xfId="48135"/>
    <cellStyle name="표준 9 2 5 5 3 3" xfId="48136"/>
    <cellStyle name="표준 9 2 5 5 4" xfId="48137"/>
    <cellStyle name="표준 9 2 5 5 5" xfId="48138"/>
    <cellStyle name="표준 9 2 5 6" xfId="48139"/>
    <cellStyle name="표준 9 2 5 6 2" xfId="48140"/>
    <cellStyle name="표준 9 2 5 6 2 2" xfId="48141"/>
    <cellStyle name="표준 9 2 5 6 2 2 2" xfId="48142"/>
    <cellStyle name="표준 9 2 5 6 2 2 3" xfId="48143"/>
    <cellStyle name="표준 9 2 5 6 2 3" xfId="48144"/>
    <cellStyle name="표준 9 2 5 6 2 4" xfId="48145"/>
    <cellStyle name="표준 9 2 5 6 3" xfId="48146"/>
    <cellStyle name="표준 9 2 5 6 3 2" xfId="48147"/>
    <cellStyle name="표준 9 2 5 6 3 3" xfId="48148"/>
    <cellStyle name="표준 9 2 5 6 4" xfId="48149"/>
    <cellStyle name="표준 9 2 5 6 5" xfId="48150"/>
    <cellStyle name="표준 9 2 5 7" xfId="48151"/>
    <cellStyle name="표준 9 2 5 7 2" xfId="48152"/>
    <cellStyle name="표준 9 2 5 7 2 2" xfId="48153"/>
    <cellStyle name="표준 9 2 5 7 2 3" xfId="48154"/>
    <cellStyle name="표준 9 2 5 7 3" xfId="48155"/>
    <cellStyle name="표준 9 2 5 7 4" xfId="48156"/>
    <cellStyle name="표준 9 2 5 8" xfId="48157"/>
    <cellStyle name="표준 9 2 5 8 2" xfId="48158"/>
    <cellStyle name="표준 9 2 5 8 3" xfId="48159"/>
    <cellStyle name="표준 9 2 5 9" xfId="48160"/>
    <cellStyle name="표준 9 2 6" xfId="48161"/>
    <cellStyle name="표준 9 2 6 2" xfId="48162"/>
    <cellStyle name="표준 9 2 6 2 2" xfId="48163"/>
    <cellStyle name="표준 9 2 6 2 2 2" xfId="48164"/>
    <cellStyle name="표준 9 2 6 2 2 2 2" xfId="48165"/>
    <cellStyle name="표준 9 2 6 2 2 2 3" xfId="48166"/>
    <cellStyle name="표준 9 2 6 2 2 3" xfId="48167"/>
    <cellStyle name="표준 9 2 6 2 2 4" xfId="48168"/>
    <cellStyle name="표준 9 2 6 2 3" xfId="48169"/>
    <cellStyle name="표준 9 2 6 2 3 2" xfId="48170"/>
    <cellStyle name="표준 9 2 6 2 3 3" xfId="48171"/>
    <cellStyle name="표준 9 2 6 2 4" xfId="48172"/>
    <cellStyle name="표준 9 2 6 2 5" xfId="48173"/>
    <cellStyle name="표준 9 2 6 3" xfId="48174"/>
    <cellStyle name="표준 9 2 6 3 2" xfId="48175"/>
    <cellStyle name="표준 9 2 6 3 2 2" xfId="48176"/>
    <cellStyle name="표준 9 2 6 3 2 2 2" xfId="48177"/>
    <cellStyle name="표준 9 2 6 3 2 2 3" xfId="48178"/>
    <cellStyle name="표준 9 2 6 3 2 3" xfId="48179"/>
    <cellStyle name="표준 9 2 6 3 2 4" xfId="48180"/>
    <cellStyle name="표준 9 2 6 3 3" xfId="48181"/>
    <cellStyle name="표준 9 2 6 3 3 2" xfId="48182"/>
    <cellStyle name="표준 9 2 6 3 3 3" xfId="48183"/>
    <cellStyle name="표준 9 2 6 3 4" xfId="48184"/>
    <cellStyle name="표준 9 2 6 3 5" xfId="48185"/>
    <cellStyle name="표준 9 2 6 4" xfId="48186"/>
    <cellStyle name="표준 9 2 6 4 2" xfId="48187"/>
    <cellStyle name="표준 9 2 6 4 2 2" xfId="48188"/>
    <cellStyle name="표준 9 2 6 4 2 3" xfId="48189"/>
    <cellStyle name="표준 9 2 6 4 3" xfId="48190"/>
    <cellStyle name="표준 9 2 6 4 4" xfId="48191"/>
    <cellStyle name="표준 9 2 6 5" xfId="48192"/>
    <cellStyle name="표준 9 2 6 5 2" xfId="48193"/>
    <cellStyle name="표준 9 2 6 5 3" xfId="48194"/>
    <cellStyle name="표준 9 2 6 6" xfId="48195"/>
    <cellStyle name="표준 9 2 6 7" xfId="48196"/>
    <cellStyle name="표준 9 2 7" xfId="48197"/>
    <cellStyle name="표준 9 2 7 2" xfId="48198"/>
    <cellStyle name="표준 9 2 7 2 2" xfId="48199"/>
    <cellStyle name="표준 9 2 7 2 2 2" xfId="48200"/>
    <cellStyle name="표준 9 2 7 2 2 2 2" xfId="48201"/>
    <cellStyle name="표준 9 2 7 2 2 2 3" xfId="48202"/>
    <cellStyle name="표준 9 2 7 2 2 3" xfId="48203"/>
    <cellStyle name="표준 9 2 7 2 2 4" xfId="48204"/>
    <cellStyle name="표준 9 2 7 2 3" xfId="48205"/>
    <cellStyle name="표준 9 2 7 2 3 2" xfId="48206"/>
    <cellStyle name="표준 9 2 7 2 3 3" xfId="48207"/>
    <cellStyle name="표준 9 2 7 2 4" xfId="48208"/>
    <cellStyle name="표준 9 2 7 2 5" xfId="48209"/>
    <cellStyle name="표준 9 2 7 3" xfId="48210"/>
    <cellStyle name="표준 9 2 7 3 2" xfId="48211"/>
    <cellStyle name="표준 9 2 7 3 2 2" xfId="48212"/>
    <cellStyle name="표준 9 2 7 3 2 2 2" xfId="48213"/>
    <cellStyle name="표준 9 2 7 3 2 2 3" xfId="48214"/>
    <cellStyle name="표준 9 2 7 3 2 3" xfId="48215"/>
    <cellStyle name="표준 9 2 7 3 2 4" xfId="48216"/>
    <cellStyle name="표준 9 2 7 3 3" xfId="48217"/>
    <cellStyle name="표준 9 2 7 3 3 2" xfId="48218"/>
    <cellStyle name="표준 9 2 7 3 3 3" xfId="48219"/>
    <cellStyle name="표준 9 2 7 3 4" xfId="48220"/>
    <cellStyle name="표준 9 2 7 3 5" xfId="48221"/>
    <cellStyle name="표준 9 2 7 4" xfId="48222"/>
    <cellStyle name="표준 9 2 7 4 2" xfId="48223"/>
    <cellStyle name="표준 9 2 7 4 2 2" xfId="48224"/>
    <cellStyle name="표준 9 2 7 4 2 3" xfId="48225"/>
    <cellStyle name="표준 9 2 7 4 3" xfId="48226"/>
    <cellStyle name="표준 9 2 7 4 4" xfId="48227"/>
    <cellStyle name="표준 9 2 7 5" xfId="48228"/>
    <cellStyle name="표준 9 2 7 5 2" xfId="48229"/>
    <cellStyle name="표준 9 2 7 5 3" xfId="48230"/>
    <cellStyle name="표준 9 2 7 6" xfId="48231"/>
    <cellStyle name="표준 9 2 7 7" xfId="48232"/>
    <cellStyle name="표준 9 2 8" xfId="48233"/>
    <cellStyle name="표준 9 2 8 2" xfId="48234"/>
    <cellStyle name="표준 9 2 8 2 2" xfId="48235"/>
    <cellStyle name="표준 9 2 8 2 2 2" xfId="48236"/>
    <cellStyle name="표준 9 2 8 2 2 3" xfId="48237"/>
    <cellStyle name="표준 9 2 8 2 3" xfId="48238"/>
    <cellStyle name="표준 9 2 8 2 4" xfId="48239"/>
    <cellStyle name="표준 9 2 8 3" xfId="48240"/>
    <cellStyle name="표준 9 2 8 3 2" xfId="48241"/>
    <cellStyle name="표준 9 2 8 3 3" xfId="48242"/>
    <cellStyle name="표준 9 2 8 4" xfId="48243"/>
    <cellStyle name="표준 9 2 8 5" xfId="48244"/>
    <cellStyle name="표준 9 2 9" xfId="48245"/>
    <cellStyle name="표준 9 2 9 2" xfId="48246"/>
    <cellStyle name="표준 9 2 9 2 2" xfId="48247"/>
    <cellStyle name="표준 9 2 9 2 2 2" xfId="48248"/>
    <cellStyle name="표준 9 2 9 2 2 3" xfId="48249"/>
    <cellStyle name="표준 9 2 9 2 3" xfId="48250"/>
    <cellStyle name="표준 9 2 9 2 4" xfId="48251"/>
    <cellStyle name="표준 9 2 9 3" xfId="48252"/>
    <cellStyle name="표준 9 2 9 3 2" xfId="48253"/>
    <cellStyle name="표준 9 2 9 3 3" xfId="48254"/>
    <cellStyle name="표준 9 2 9 4" xfId="48255"/>
    <cellStyle name="표준 9 2 9 5" xfId="48256"/>
    <cellStyle name="표준 9 20" xfId="48257"/>
    <cellStyle name="표준 9 21" xfId="48258"/>
    <cellStyle name="표준 9 3" xfId="48259"/>
    <cellStyle name="표준 9 3 10" xfId="48260"/>
    <cellStyle name="표준 9 3 10 2" xfId="48261"/>
    <cellStyle name="표준 9 3 10 2 2" xfId="48262"/>
    <cellStyle name="표준 9 3 10 2 2 2" xfId="48263"/>
    <cellStyle name="표준 9 3 10 2 2 3" xfId="48264"/>
    <cellStyle name="표준 9 3 10 2 3" xfId="48265"/>
    <cellStyle name="표준 9 3 10 2 4" xfId="48266"/>
    <cellStyle name="표준 9 3 10 3" xfId="48267"/>
    <cellStyle name="표준 9 3 10 3 2" xfId="48268"/>
    <cellStyle name="표준 9 3 10 3 3" xfId="48269"/>
    <cellStyle name="표준 9 3 10 4" xfId="48270"/>
    <cellStyle name="표준 9 3 10 5" xfId="48271"/>
    <cellStyle name="표준 9 3 11" xfId="48272"/>
    <cellStyle name="표준 9 3 11 2" xfId="48273"/>
    <cellStyle name="표준 9 3 11 2 2" xfId="48274"/>
    <cellStyle name="표준 9 3 11 2 3" xfId="48275"/>
    <cellStyle name="표준 9 3 11 3" xfId="48276"/>
    <cellStyle name="표준 9 3 11 4" xfId="48277"/>
    <cellStyle name="표준 9 3 12" xfId="48278"/>
    <cellStyle name="표준 9 3 12 2" xfId="48279"/>
    <cellStyle name="표준 9 3 12 3" xfId="48280"/>
    <cellStyle name="표준 9 3 13" xfId="48281"/>
    <cellStyle name="표준 9 3 14" xfId="48282"/>
    <cellStyle name="표준 9 3 15" xfId="48283"/>
    <cellStyle name="표준 9 3 2" xfId="48284"/>
    <cellStyle name="표준 9 3 2 10" xfId="48285"/>
    <cellStyle name="표준 9 3 2 10 2" xfId="48286"/>
    <cellStyle name="표준 9 3 2 10 2 2" xfId="48287"/>
    <cellStyle name="표준 9 3 2 10 2 3" xfId="48288"/>
    <cellStyle name="표준 9 3 2 10 3" xfId="48289"/>
    <cellStyle name="표준 9 3 2 10 4" xfId="48290"/>
    <cellStyle name="표준 9 3 2 11" xfId="48291"/>
    <cellStyle name="표준 9 3 2 11 2" xfId="48292"/>
    <cellStyle name="표준 9 3 2 11 3" xfId="48293"/>
    <cellStyle name="표준 9 3 2 12" xfId="48294"/>
    <cellStyle name="표준 9 3 2 13" xfId="48295"/>
    <cellStyle name="표준 9 3 2 2" xfId="48296"/>
    <cellStyle name="표준 9 3 2 2 10" xfId="48297"/>
    <cellStyle name="표준 9 3 2 2 2" xfId="48298"/>
    <cellStyle name="표준 9 3 2 2 2 2" xfId="48299"/>
    <cellStyle name="표준 9 3 2 2 2 2 2" xfId="48300"/>
    <cellStyle name="표준 9 3 2 2 2 2 2 2" xfId="48301"/>
    <cellStyle name="표준 9 3 2 2 2 2 2 2 2" xfId="48302"/>
    <cellStyle name="표준 9 3 2 2 2 2 2 2 3" xfId="48303"/>
    <cellStyle name="표준 9 3 2 2 2 2 2 3" xfId="48304"/>
    <cellStyle name="표준 9 3 2 2 2 2 2 4" xfId="48305"/>
    <cellStyle name="표준 9 3 2 2 2 2 3" xfId="48306"/>
    <cellStyle name="표준 9 3 2 2 2 2 3 2" xfId="48307"/>
    <cellStyle name="표준 9 3 2 2 2 2 3 3" xfId="48308"/>
    <cellStyle name="표준 9 3 2 2 2 2 4" xfId="48309"/>
    <cellStyle name="표준 9 3 2 2 2 2 5" xfId="48310"/>
    <cellStyle name="표준 9 3 2 2 2 3" xfId="48311"/>
    <cellStyle name="표준 9 3 2 2 2 3 2" xfId="48312"/>
    <cellStyle name="표준 9 3 2 2 2 3 2 2" xfId="48313"/>
    <cellStyle name="표준 9 3 2 2 2 3 2 2 2" xfId="48314"/>
    <cellStyle name="표준 9 3 2 2 2 3 2 2 3" xfId="48315"/>
    <cellStyle name="표준 9 3 2 2 2 3 2 3" xfId="48316"/>
    <cellStyle name="표준 9 3 2 2 2 3 2 4" xfId="48317"/>
    <cellStyle name="표준 9 3 2 2 2 3 3" xfId="48318"/>
    <cellStyle name="표준 9 3 2 2 2 3 3 2" xfId="48319"/>
    <cellStyle name="표준 9 3 2 2 2 3 3 3" xfId="48320"/>
    <cellStyle name="표준 9 3 2 2 2 3 4" xfId="48321"/>
    <cellStyle name="표준 9 3 2 2 2 3 5" xfId="48322"/>
    <cellStyle name="표준 9 3 2 2 2 4" xfId="48323"/>
    <cellStyle name="표준 9 3 2 2 2 4 2" xfId="48324"/>
    <cellStyle name="표준 9 3 2 2 2 4 2 2" xfId="48325"/>
    <cellStyle name="표준 9 3 2 2 2 4 2 3" xfId="48326"/>
    <cellStyle name="표준 9 3 2 2 2 4 3" xfId="48327"/>
    <cellStyle name="표준 9 3 2 2 2 4 4" xfId="48328"/>
    <cellStyle name="표준 9 3 2 2 2 5" xfId="48329"/>
    <cellStyle name="표준 9 3 2 2 2 5 2" xfId="48330"/>
    <cellStyle name="표준 9 3 2 2 2 5 3" xfId="48331"/>
    <cellStyle name="표준 9 3 2 2 2 6" xfId="48332"/>
    <cellStyle name="표준 9 3 2 2 2 7" xfId="48333"/>
    <cellStyle name="표준 9 3 2 2 3" xfId="48334"/>
    <cellStyle name="표준 9 3 2 2 3 2" xfId="48335"/>
    <cellStyle name="표준 9 3 2 2 3 2 2" xfId="48336"/>
    <cellStyle name="표준 9 3 2 2 3 2 2 2" xfId="48337"/>
    <cellStyle name="표준 9 3 2 2 3 2 2 2 2" xfId="48338"/>
    <cellStyle name="표준 9 3 2 2 3 2 2 2 3" xfId="48339"/>
    <cellStyle name="표준 9 3 2 2 3 2 2 3" xfId="48340"/>
    <cellStyle name="표준 9 3 2 2 3 2 2 4" xfId="48341"/>
    <cellStyle name="표준 9 3 2 2 3 2 3" xfId="48342"/>
    <cellStyle name="표준 9 3 2 2 3 2 3 2" xfId="48343"/>
    <cellStyle name="표준 9 3 2 2 3 2 3 3" xfId="48344"/>
    <cellStyle name="표준 9 3 2 2 3 2 4" xfId="48345"/>
    <cellStyle name="표준 9 3 2 2 3 2 5" xfId="48346"/>
    <cellStyle name="표준 9 3 2 2 3 3" xfId="48347"/>
    <cellStyle name="표준 9 3 2 2 3 3 2" xfId="48348"/>
    <cellStyle name="표준 9 3 2 2 3 3 2 2" xfId="48349"/>
    <cellStyle name="표준 9 3 2 2 3 3 2 2 2" xfId="48350"/>
    <cellStyle name="표준 9 3 2 2 3 3 2 2 3" xfId="48351"/>
    <cellStyle name="표준 9 3 2 2 3 3 2 3" xfId="48352"/>
    <cellStyle name="표준 9 3 2 2 3 3 2 4" xfId="48353"/>
    <cellStyle name="표준 9 3 2 2 3 3 3" xfId="48354"/>
    <cellStyle name="표준 9 3 2 2 3 3 3 2" xfId="48355"/>
    <cellStyle name="표준 9 3 2 2 3 3 3 3" xfId="48356"/>
    <cellStyle name="표준 9 3 2 2 3 3 4" xfId="48357"/>
    <cellStyle name="표준 9 3 2 2 3 3 5" xfId="48358"/>
    <cellStyle name="표준 9 3 2 2 3 4" xfId="48359"/>
    <cellStyle name="표준 9 3 2 2 3 4 2" xfId="48360"/>
    <cellStyle name="표준 9 3 2 2 3 4 2 2" xfId="48361"/>
    <cellStyle name="표준 9 3 2 2 3 4 2 3" xfId="48362"/>
    <cellStyle name="표준 9 3 2 2 3 4 3" xfId="48363"/>
    <cellStyle name="표준 9 3 2 2 3 4 4" xfId="48364"/>
    <cellStyle name="표준 9 3 2 2 3 5" xfId="48365"/>
    <cellStyle name="표준 9 3 2 2 3 5 2" xfId="48366"/>
    <cellStyle name="표준 9 3 2 2 3 5 3" xfId="48367"/>
    <cellStyle name="표준 9 3 2 2 3 6" xfId="48368"/>
    <cellStyle name="표준 9 3 2 2 3 7" xfId="48369"/>
    <cellStyle name="표준 9 3 2 2 4" xfId="48370"/>
    <cellStyle name="표준 9 3 2 2 4 2" xfId="48371"/>
    <cellStyle name="표준 9 3 2 2 4 2 2" xfId="48372"/>
    <cellStyle name="표준 9 3 2 2 4 2 2 2" xfId="48373"/>
    <cellStyle name="표준 9 3 2 2 4 2 2 3" xfId="48374"/>
    <cellStyle name="표준 9 3 2 2 4 2 3" xfId="48375"/>
    <cellStyle name="표준 9 3 2 2 4 2 4" xfId="48376"/>
    <cellStyle name="표준 9 3 2 2 4 3" xfId="48377"/>
    <cellStyle name="표준 9 3 2 2 4 3 2" xfId="48378"/>
    <cellStyle name="표준 9 3 2 2 4 3 3" xfId="48379"/>
    <cellStyle name="표준 9 3 2 2 4 4" xfId="48380"/>
    <cellStyle name="표준 9 3 2 2 4 5" xfId="48381"/>
    <cellStyle name="표준 9 3 2 2 5" xfId="48382"/>
    <cellStyle name="표준 9 3 2 2 5 2" xfId="48383"/>
    <cellStyle name="표준 9 3 2 2 5 2 2" xfId="48384"/>
    <cellStyle name="표준 9 3 2 2 5 2 2 2" xfId="48385"/>
    <cellStyle name="표준 9 3 2 2 5 2 2 3" xfId="48386"/>
    <cellStyle name="표준 9 3 2 2 5 2 3" xfId="48387"/>
    <cellStyle name="표준 9 3 2 2 5 2 4" xfId="48388"/>
    <cellStyle name="표준 9 3 2 2 5 3" xfId="48389"/>
    <cellStyle name="표준 9 3 2 2 5 3 2" xfId="48390"/>
    <cellStyle name="표준 9 3 2 2 5 3 3" xfId="48391"/>
    <cellStyle name="표준 9 3 2 2 5 4" xfId="48392"/>
    <cellStyle name="표준 9 3 2 2 5 5" xfId="48393"/>
    <cellStyle name="표준 9 3 2 2 6" xfId="48394"/>
    <cellStyle name="표준 9 3 2 2 6 2" xfId="48395"/>
    <cellStyle name="표준 9 3 2 2 6 2 2" xfId="48396"/>
    <cellStyle name="표준 9 3 2 2 6 2 2 2" xfId="48397"/>
    <cellStyle name="표준 9 3 2 2 6 2 2 3" xfId="48398"/>
    <cellStyle name="표준 9 3 2 2 6 2 3" xfId="48399"/>
    <cellStyle name="표준 9 3 2 2 6 2 4" xfId="48400"/>
    <cellStyle name="표준 9 3 2 2 6 3" xfId="48401"/>
    <cellStyle name="표준 9 3 2 2 6 3 2" xfId="48402"/>
    <cellStyle name="표준 9 3 2 2 6 3 3" xfId="48403"/>
    <cellStyle name="표준 9 3 2 2 6 4" xfId="48404"/>
    <cellStyle name="표준 9 3 2 2 6 5" xfId="48405"/>
    <cellStyle name="표준 9 3 2 2 7" xfId="48406"/>
    <cellStyle name="표준 9 3 2 2 7 2" xfId="48407"/>
    <cellStyle name="표준 9 3 2 2 7 2 2" xfId="48408"/>
    <cellStyle name="표준 9 3 2 2 7 2 3" xfId="48409"/>
    <cellStyle name="표준 9 3 2 2 7 3" xfId="48410"/>
    <cellStyle name="표준 9 3 2 2 7 4" xfId="48411"/>
    <cellStyle name="표준 9 3 2 2 8" xfId="48412"/>
    <cellStyle name="표준 9 3 2 2 8 2" xfId="48413"/>
    <cellStyle name="표준 9 3 2 2 8 3" xfId="48414"/>
    <cellStyle name="표준 9 3 2 2 9" xfId="48415"/>
    <cellStyle name="표준 9 3 2 3" xfId="48416"/>
    <cellStyle name="표준 9 3 2 3 10" xfId="48417"/>
    <cellStyle name="표준 9 3 2 3 2" xfId="48418"/>
    <cellStyle name="표준 9 3 2 3 2 2" xfId="48419"/>
    <cellStyle name="표준 9 3 2 3 2 2 2" xfId="48420"/>
    <cellStyle name="표준 9 3 2 3 2 2 2 2" xfId="48421"/>
    <cellStyle name="표준 9 3 2 3 2 2 2 2 2" xfId="48422"/>
    <cellStyle name="표준 9 3 2 3 2 2 2 2 3" xfId="48423"/>
    <cellStyle name="표준 9 3 2 3 2 2 2 3" xfId="48424"/>
    <cellStyle name="표준 9 3 2 3 2 2 2 4" xfId="48425"/>
    <cellStyle name="표준 9 3 2 3 2 2 3" xfId="48426"/>
    <cellStyle name="표준 9 3 2 3 2 2 3 2" xfId="48427"/>
    <cellStyle name="표준 9 3 2 3 2 2 3 3" xfId="48428"/>
    <cellStyle name="표준 9 3 2 3 2 2 4" xfId="48429"/>
    <cellStyle name="표준 9 3 2 3 2 2 5" xfId="48430"/>
    <cellStyle name="표준 9 3 2 3 2 3" xfId="48431"/>
    <cellStyle name="표준 9 3 2 3 2 3 2" xfId="48432"/>
    <cellStyle name="표준 9 3 2 3 2 3 2 2" xfId="48433"/>
    <cellStyle name="표준 9 3 2 3 2 3 2 2 2" xfId="48434"/>
    <cellStyle name="표준 9 3 2 3 2 3 2 2 3" xfId="48435"/>
    <cellStyle name="표준 9 3 2 3 2 3 2 3" xfId="48436"/>
    <cellStyle name="표준 9 3 2 3 2 3 2 4" xfId="48437"/>
    <cellStyle name="표준 9 3 2 3 2 3 3" xfId="48438"/>
    <cellStyle name="표준 9 3 2 3 2 3 3 2" xfId="48439"/>
    <cellStyle name="표준 9 3 2 3 2 3 3 3" xfId="48440"/>
    <cellStyle name="표준 9 3 2 3 2 3 4" xfId="48441"/>
    <cellStyle name="표준 9 3 2 3 2 3 5" xfId="48442"/>
    <cellStyle name="표준 9 3 2 3 2 4" xfId="48443"/>
    <cellStyle name="표준 9 3 2 3 2 4 2" xfId="48444"/>
    <cellStyle name="표준 9 3 2 3 2 4 2 2" xfId="48445"/>
    <cellStyle name="표준 9 3 2 3 2 4 2 3" xfId="48446"/>
    <cellStyle name="표준 9 3 2 3 2 4 3" xfId="48447"/>
    <cellStyle name="표준 9 3 2 3 2 4 4" xfId="48448"/>
    <cellStyle name="표준 9 3 2 3 2 5" xfId="48449"/>
    <cellStyle name="표준 9 3 2 3 2 5 2" xfId="48450"/>
    <cellStyle name="표준 9 3 2 3 2 5 3" xfId="48451"/>
    <cellStyle name="표준 9 3 2 3 2 6" xfId="48452"/>
    <cellStyle name="표준 9 3 2 3 2 7" xfId="48453"/>
    <cellStyle name="표준 9 3 2 3 3" xfId="48454"/>
    <cellStyle name="표준 9 3 2 3 3 2" xfId="48455"/>
    <cellStyle name="표준 9 3 2 3 3 2 2" xfId="48456"/>
    <cellStyle name="표준 9 3 2 3 3 2 2 2" xfId="48457"/>
    <cellStyle name="표준 9 3 2 3 3 2 2 2 2" xfId="48458"/>
    <cellStyle name="표준 9 3 2 3 3 2 2 2 3" xfId="48459"/>
    <cellStyle name="표준 9 3 2 3 3 2 2 3" xfId="48460"/>
    <cellStyle name="표준 9 3 2 3 3 2 2 4" xfId="48461"/>
    <cellStyle name="표준 9 3 2 3 3 2 3" xfId="48462"/>
    <cellStyle name="표준 9 3 2 3 3 2 3 2" xfId="48463"/>
    <cellStyle name="표준 9 3 2 3 3 2 3 3" xfId="48464"/>
    <cellStyle name="표준 9 3 2 3 3 2 4" xfId="48465"/>
    <cellStyle name="표준 9 3 2 3 3 2 5" xfId="48466"/>
    <cellStyle name="표준 9 3 2 3 3 3" xfId="48467"/>
    <cellStyle name="표준 9 3 2 3 3 3 2" xfId="48468"/>
    <cellStyle name="표준 9 3 2 3 3 3 2 2" xfId="48469"/>
    <cellStyle name="표준 9 3 2 3 3 3 2 2 2" xfId="48470"/>
    <cellStyle name="표준 9 3 2 3 3 3 2 2 3" xfId="48471"/>
    <cellStyle name="표준 9 3 2 3 3 3 2 3" xfId="48472"/>
    <cellStyle name="표준 9 3 2 3 3 3 2 4" xfId="48473"/>
    <cellStyle name="표준 9 3 2 3 3 3 3" xfId="48474"/>
    <cellStyle name="표준 9 3 2 3 3 3 3 2" xfId="48475"/>
    <cellStyle name="표준 9 3 2 3 3 3 3 3" xfId="48476"/>
    <cellStyle name="표준 9 3 2 3 3 3 4" xfId="48477"/>
    <cellStyle name="표준 9 3 2 3 3 3 5" xfId="48478"/>
    <cellStyle name="표준 9 3 2 3 3 4" xfId="48479"/>
    <cellStyle name="표준 9 3 2 3 3 4 2" xfId="48480"/>
    <cellStyle name="표준 9 3 2 3 3 4 2 2" xfId="48481"/>
    <cellStyle name="표준 9 3 2 3 3 4 2 3" xfId="48482"/>
    <cellStyle name="표준 9 3 2 3 3 4 3" xfId="48483"/>
    <cellStyle name="표준 9 3 2 3 3 4 4" xfId="48484"/>
    <cellStyle name="표준 9 3 2 3 3 5" xfId="48485"/>
    <cellStyle name="표준 9 3 2 3 3 5 2" xfId="48486"/>
    <cellStyle name="표준 9 3 2 3 3 5 3" xfId="48487"/>
    <cellStyle name="표준 9 3 2 3 3 6" xfId="48488"/>
    <cellStyle name="표준 9 3 2 3 3 7" xfId="48489"/>
    <cellStyle name="표준 9 3 2 3 4" xfId="48490"/>
    <cellStyle name="표준 9 3 2 3 4 2" xfId="48491"/>
    <cellStyle name="표준 9 3 2 3 4 2 2" xfId="48492"/>
    <cellStyle name="표준 9 3 2 3 4 2 2 2" xfId="48493"/>
    <cellStyle name="표준 9 3 2 3 4 2 2 3" xfId="48494"/>
    <cellStyle name="표준 9 3 2 3 4 2 3" xfId="48495"/>
    <cellStyle name="표준 9 3 2 3 4 2 4" xfId="48496"/>
    <cellStyle name="표준 9 3 2 3 4 3" xfId="48497"/>
    <cellStyle name="표준 9 3 2 3 4 3 2" xfId="48498"/>
    <cellStyle name="표준 9 3 2 3 4 3 3" xfId="48499"/>
    <cellStyle name="표준 9 3 2 3 4 4" xfId="48500"/>
    <cellStyle name="표준 9 3 2 3 4 5" xfId="48501"/>
    <cellStyle name="표준 9 3 2 3 5" xfId="48502"/>
    <cellStyle name="표준 9 3 2 3 5 2" xfId="48503"/>
    <cellStyle name="표준 9 3 2 3 5 2 2" xfId="48504"/>
    <cellStyle name="표준 9 3 2 3 5 2 2 2" xfId="48505"/>
    <cellStyle name="표준 9 3 2 3 5 2 2 3" xfId="48506"/>
    <cellStyle name="표준 9 3 2 3 5 2 3" xfId="48507"/>
    <cellStyle name="표준 9 3 2 3 5 2 4" xfId="48508"/>
    <cellStyle name="표준 9 3 2 3 5 3" xfId="48509"/>
    <cellStyle name="표준 9 3 2 3 5 3 2" xfId="48510"/>
    <cellStyle name="표준 9 3 2 3 5 3 3" xfId="48511"/>
    <cellStyle name="표준 9 3 2 3 5 4" xfId="48512"/>
    <cellStyle name="표준 9 3 2 3 5 5" xfId="48513"/>
    <cellStyle name="표준 9 3 2 3 6" xfId="48514"/>
    <cellStyle name="표준 9 3 2 3 6 2" xfId="48515"/>
    <cellStyle name="표준 9 3 2 3 6 2 2" xfId="48516"/>
    <cellStyle name="표준 9 3 2 3 6 2 2 2" xfId="48517"/>
    <cellStyle name="표준 9 3 2 3 6 2 2 3" xfId="48518"/>
    <cellStyle name="표준 9 3 2 3 6 2 3" xfId="48519"/>
    <cellStyle name="표준 9 3 2 3 6 2 4" xfId="48520"/>
    <cellStyle name="표준 9 3 2 3 6 3" xfId="48521"/>
    <cellStyle name="표준 9 3 2 3 6 3 2" xfId="48522"/>
    <cellStyle name="표준 9 3 2 3 6 3 3" xfId="48523"/>
    <cellStyle name="표준 9 3 2 3 6 4" xfId="48524"/>
    <cellStyle name="표준 9 3 2 3 6 5" xfId="48525"/>
    <cellStyle name="표준 9 3 2 3 7" xfId="48526"/>
    <cellStyle name="표준 9 3 2 3 7 2" xfId="48527"/>
    <cellStyle name="표준 9 3 2 3 7 2 2" xfId="48528"/>
    <cellStyle name="표준 9 3 2 3 7 2 3" xfId="48529"/>
    <cellStyle name="표준 9 3 2 3 7 3" xfId="48530"/>
    <cellStyle name="표준 9 3 2 3 7 4" xfId="48531"/>
    <cellStyle name="표준 9 3 2 3 8" xfId="48532"/>
    <cellStyle name="표준 9 3 2 3 8 2" xfId="48533"/>
    <cellStyle name="표준 9 3 2 3 8 3" xfId="48534"/>
    <cellStyle name="표준 9 3 2 3 9" xfId="48535"/>
    <cellStyle name="표준 9 3 2 4" xfId="48536"/>
    <cellStyle name="표준 9 3 2 4 10" xfId="48537"/>
    <cellStyle name="표준 9 3 2 4 2" xfId="48538"/>
    <cellStyle name="표준 9 3 2 4 2 2" xfId="48539"/>
    <cellStyle name="표준 9 3 2 4 2 2 2" xfId="48540"/>
    <cellStyle name="표준 9 3 2 4 2 2 2 2" xfId="48541"/>
    <cellStyle name="표준 9 3 2 4 2 2 2 2 2" xfId="48542"/>
    <cellStyle name="표준 9 3 2 4 2 2 2 2 3" xfId="48543"/>
    <cellStyle name="표준 9 3 2 4 2 2 2 3" xfId="48544"/>
    <cellStyle name="표준 9 3 2 4 2 2 2 4" xfId="48545"/>
    <cellStyle name="표준 9 3 2 4 2 2 3" xfId="48546"/>
    <cellStyle name="표준 9 3 2 4 2 2 3 2" xfId="48547"/>
    <cellStyle name="표준 9 3 2 4 2 2 3 3" xfId="48548"/>
    <cellStyle name="표준 9 3 2 4 2 2 4" xfId="48549"/>
    <cellStyle name="표준 9 3 2 4 2 2 5" xfId="48550"/>
    <cellStyle name="표준 9 3 2 4 2 3" xfId="48551"/>
    <cellStyle name="표준 9 3 2 4 2 3 2" xfId="48552"/>
    <cellStyle name="표준 9 3 2 4 2 3 2 2" xfId="48553"/>
    <cellStyle name="표준 9 3 2 4 2 3 2 2 2" xfId="48554"/>
    <cellStyle name="표준 9 3 2 4 2 3 2 2 3" xfId="48555"/>
    <cellStyle name="표준 9 3 2 4 2 3 2 3" xfId="48556"/>
    <cellStyle name="표준 9 3 2 4 2 3 2 4" xfId="48557"/>
    <cellStyle name="표준 9 3 2 4 2 3 3" xfId="48558"/>
    <cellStyle name="표준 9 3 2 4 2 3 3 2" xfId="48559"/>
    <cellStyle name="표준 9 3 2 4 2 3 3 3" xfId="48560"/>
    <cellStyle name="표준 9 3 2 4 2 3 4" xfId="48561"/>
    <cellStyle name="표준 9 3 2 4 2 3 5" xfId="48562"/>
    <cellStyle name="표준 9 3 2 4 2 4" xfId="48563"/>
    <cellStyle name="표준 9 3 2 4 2 4 2" xfId="48564"/>
    <cellStyle name="표준 9 3 2 4 2 4 2 2" xfId="48565"/>
    <cellStyle name="표준 9 3 2 4 2 4 2 3" xfId="48566"/>
    <cellStyle name="표준 9 3 2 4 2 4 3" xfId="48567"/>
    <cellStyle name="표준 9 3 2 4 2 4 4" xfId="48568"/>
    <cellStyle name="표준 9 3 2 4 2 5" xfId="48569"/>
    <cellStyle name="표준 9 3 2 4 2 5 2" xfId="48570"/>
    <cellStyle name="표준 9 3 2 4 2 5 3" xfId="48571"/>
    <cellStyle name="표준 9 3 2 4 2 6" xfId="48572"/>
    <cellStyle name="표준 9 3 2 4 2 7" xfId="48573"/>
    <cellStyle name="표준 9 3 2 4 3" xfId="48574"/>
    <cellStyle name="표준 9 3 2 4 3 2" xfId="48575"/>
    <cellStyle name="표준 9 3 2 4 3 2 2" xfId="48576"/>
    <cellStyle name="표준 9 3 2 4 3 2 2 2" xfId="48577"/>
    <cellStyle name="표준 9 3 2 4 3 2 2 2 2" xfId="48578"/>
    <cellStyle name="표준 9 3 2 4 3 2 2 2 3" xfId="48579"/>
    <cellStyle name="표준 9 3 2 4 3 2 2 3" xfId="48580"/>
    <cellStyle name="표준 9 3 2 4 3 2 2 4" xfId="48581"/>
    <cellStyle name="표준 9 3 2 4 3 2 3" xfId="48582"/>
    <cellStyle name="표준 9 3 2 4 3 2 3 2" xfId="48583"/>
    <cellStyle name="표준 9 3 2 4 3 2 3 3" xfId="48584"/>
    <cellStyle name="표준 9 3 2 4 3 2 4" xfId="48585"/>
    <cellStyle name="표준 9 3 2 4 3 2 5" xfId="48586"/>
    <cellStyle name="표준 9 3 2 4 3 3" xfId="48587"/>
    <cellStyle name="표준 9 3 2 4 3 3 2" xfId="48588"/>
    <cellStyle name="표준 9 3 2 4 3 3 2 2" xfId="48589"/>
    <cellStyle name="표준 9 3 2 4 3 3 2 2 2" xfId="48590"/>
    <cellStyle name="표준 9 3 2 4 3 3 2 2 3" xfId="48591"/>
    <cellStyle name="표준 9 3 2 4 3 3 2 3" xfId="48592"/>
    <cellStyle name="표준 9 3 2 4 3 3 2 4" xfId="48593"/>
    <cellStyle name="표준 9 3 2 4 3 3 3" xfId="48594"/>
    <cellStyle name="표준 9 3 2 4 3 3 3 2" xfId="48595"/>
    <cellStyle name="표준 9 3 2 4 3 3 3 3" xfId="48596"/>
    <cellStyle name="표준 9 3 2 4 3 3 4" xfId="48597"/>
    <cellStyle name="표준 9 3 2 4 3 3 5" xfId="48598"/>
    <cellStyle name="표준 9 3 2 4 3 4" xfId="48599"/>
    <cellStyle name="표준 9 3 2 4 3 4 2" xfId="48600"/>
    <cellStyle name="표준 9 3 2 4 3 4 2 2" xfId="48601"/>
    <cellStyle name="표준 9 3 2 4 3 4 2 3" xfId="48602"/>
    <cellStyle name="표준 9 3 2 4 3 4 3" xfId="48603"/>
    <cellStyle name="표준 9 3 2 4 3 4 4" xfId="48604"/>
    <cellStyle name="표준 9 3 2 4 3 5" xfId="48605"/>
    <cellStyle name="표준 9 3 2 4 3 5 2" xfId="48606"/>
    <cellStyle name="표준 9 3 2 4 3 5 3" xfId="48607"/>
    <cellStyle name="표준 9 3 2 4 3 6" xfId="48608"/>
    <cellStyle name="표준 9 3 2 4 3 7" xfId="48609"/>
    <cellStyle name="표준 9 3 2 4 4" xfId="48610"/>
    <cellStyle name="표준 9 3 2 4 4 2" xfId="48611"/>
    <cellStyle name="표준 9 3 2 4 4 2 2" xfId="48612"/>
    <cellStyle name="표준 9 3 2 4 4 2 2 2" xfId="48613"/>
    <cellStyle name="표준 9 3 2 4 4 2 2 3" xfId="48614"/>
    <cellStyle name="표준 9 3 2 4 4 2 3" xfId="48615"/>
    <cellStyle name="표준 9 3 2 4 4 2 4" xfId="48616"/>
    <cellStyle name="표준 9 3 2 4 4 3" xfId="48617"/>
    <cellStyle name="표준 9 3 2 4 4 3 2" xfId="48618"/>
    <cellStyle name="표준 9 3 2 4 4 3 3" xfId="48619"/>
    <cellStyle name="표준 9 3 2 4 4 4" xfId="48620"/>
    <cellStyle name="표준 9 3 2 4 4 5" xfId="48621"/>
    <cellStyle name="표준 9 3 2 4 5" xfId="48622"/>
    <cellStyle name="표준 9 3 2 4 5 2" xfId="48623"/>
    <cellStyle name="표준 9 3 2 4 5 2 2" xfId="48624"/>
    <cellStyle name="표준 9 3 2 4 5 2 2 2" xfId="48625"/>
    <cellStyle name="표준 9 3 2 4 5 2 2 3" xfId="48626"/>
    <cellStyle name="표준 9 3 2 4 5 2 3" xfId="48627"/>
    <cellStyle name="표준 9 3 2 4 5 2 4" xfId="48628"/>
    <cellStyle name="표준 9 3 2 4 5 3" xfId="48629"/>
    <cellStyle name="표준 9 3 2 4 5 3 2" xfId="48630"/>
    <cellStyle name="표준 9 3 2 4 5 3 3" xfId="48631"/>
    <cellStyle name="표준 9 3 2 4 5 4" xfId="48632"/>
    <cellStyle name="표준 9 3 2 4 5 5" xfId="48633"/>
    <cellStyle name="표준 9 3 2 4 6" xfId="48634"/>
    <cellStyle name="표준 9 3 2 4 6 2" xfId="48635"/>
    <cellStyle name="표준 9 3 2 4 6 2 2" xfId="48636"/>
    <cellStyle name="표준 9 3 2 4 6 2 2 2" xfId="48637"/>
    <cellStyle name="표준 9 3 2 4 6 2 2 3" xfId="48638"/>
    <cellStyle name="표준 9 3 2 4 6 2 3" xfId="48639"/>
    <cellStyle name="표준 9 3 2 4 6 2 4" xfId="48640"/>
    <cellStyle name="표준 9 3 2 4 6 3" xfId="48641"/>
    <cellStyle name="표준 9 3 2 4 6 3 2" xfId="48642"/>
    <cellStyle name="표준 9 3 2 4 6 3 3" xfId="48643"/>
    <cellStyle name="표준 9 3 2 4 6 4" xfId="48644"/>
    <cellStyle name="표준 9 3 2 4 6 5" xfId="48645"/>
    <cellStyle name="표준 9 3 2 4 7" xfId="48646"/>
    <cellStyle name="표준 9 3 2 4 7 2" xfId="48647"/>
    <cellStyle name="표준 9 3 2 4 7 2 2" xfId="48648"/>
    <cellStyle name="표준 9 3 2 4 7 2 3" xfId="48649"/>
    <cellStyle name="표준 9 3 2 4 7 3" xfId="48650"/>
    <cellStyle name="표준 9 3 2 4 7 4" xfId="48651"/>
    <cellStyle name="표준 9 3 2 4 8" xfId="48652"/>
    <cellStyle name="표준 9 3 2 4 8 2" xfId="48653"/>
    <cellStyle name="표준 9 3 2 4 8 3" xfId="48654"/>
    <cellStyle name="표준 9 3 2 4 9" xfId="48655"/>
    <cellStyle name="표준 9 3 2 5" xfId="48656"/>
    <cellStyle name="표준 9 3 2 5 2" xfId="48657"/>
    <cellStyle name="표준 9 3 2 5 2 2" xfId="48658"/>
    <cellStyle name="표준 9 3 2 5 2 2 2" xfId="48659"/>
    <cellStyle name="표준 9 3 2 5 2 2 2 2" xfId="48660"/>
    <cellStyle name="표준 9 3 2 5 2 2 2 3" xfId="48661"/>
    <cellStyle name="표준 9 3 2 5 2 2 3" xfId="48662"/>
    <cellStyle name="표준 9 3 2 5 2 2 4" xfId="48663"/>
    <cellStyle name="표준 9 3 2 5 2 3" xfId="48664"/>
    <cellStyle name="표준 9 3 2 5 2 3 2" xfId="48665"/>
    <cellStyle name="표준 9 3 2 5 2 3 3" xfId="48666"/>
    <cellStyle name="표준 9 3 2 5 2 4" xfId="48667"/>
    <cellStyle name="표준 9 3 2 5 2 5" xfId="48668"/>
    <cellStyle name="표준 9 3 2 5 3" xfId="48669"/>
    <cellStyle name="표준 9 3 2 5 3 2" xfId="48670"/>
    <cellStyle name="표준 9 3 2 5 3 2 2" xfId="48671"/>
    <cellStyle name="표준 9 3 2 5 3 2 2 2" xfId="48672"/>
    <cellStyle name="표준 9 3 2 5 3 2 2 3" xfId="48673"/>
    <cellStyle name="표준 9 3 2 5 3 2 3" xfId="48674"/>
    <cellStyle name="표준 9 3 2 5 3 2 4" xfId="48675"/>
    <cellStyle name="표준 9 3 2 5 3 3" xfId="48676"/>
    <cellStyle name="표준 9 3 2 5 3 3 2" xfId="48677"/>
    <cellStyle name="표준 9 3 2 5 3 3 3" xfId="48678"/>
    <cellStyle name="표준 9 3 2 5 3 4" xfId="48679"/>
    <cellStyle name="표준 9 3 2 5 3 5" xfId="48680"/>
    <cellStyle name="표준 9 3 2 5 4" xfId="48681"/>
    <cellStyle name="표준 9 3 2 5 4 2" xfId="48682"/>
    <cellStyle name="표준 9 3 2 5 4 2 2" xfId="48683"/>
    <cellStyle name="표준 9 3 2 5 4 2 3" xfId="48684"/>
    <cellStyle name="표준 9 3 2 5 4 3" xfId="48685"/>
    <cellStyle name="표준 9 3 2 5 4 4" xfId="48686"/>
    <cellStyle name="표준 9 3 2 5 5" xfId="48687"/>
    <cellStyle name="표준 9 3 2 5 5 2" xfId="48688"/>
    <cellStyle name="표준 9 3 2 5 5 3" xfId="48689"/>
    <cellStyle name="표준 9 3 2 5 6" xfId="48690"/>
    <cellStyle name="표준 9 3 2 5 7" xfId="48691"/>
    <cellStyle name="표준 9 3 2 6" xfId="48692"/>
    <cellStyle name="표준 9 3 2 6 2" xfId="48693"/>
    <cellStyle name="표준 9 3 2 6 2 2" xfId="48694"/>
    <cellStyle name="표준 9 3 2 6 2 2 2" xfId="48695"/>
    <cellStyle name="표준 9 3 2 6 2 2 2 2" xfId="48696"/>
    <cellStyle name="표준 9 3 2 6 2 2 2 3" xfId="48697"/>
    <cellStyle name="표준 9 3 2 6 2 2 3" xfId="48698"/>
    <cellStyle name="표준 9 3 2 6 2 2 4" xfId="48699"/>
    <cellStyle name="표준 9 3 2 6 2 3" xfId="48700"/>
    <cellStyle name="표준 9 3 2 6 2 3 2" xfId="48701"/>
    <cellStyle name="표준 9 3 2 6 2 3 3" xfId="48702"/>
    <cellStyle name="표준 9 3 2 6 2 4" xfId="48703"/>
    <cellStyle name="표준 9 3 2 6 2 5" xfId="48704"/>
    <cellStyle name="표준 9 3 2 6 3" xfId="48705"/>
    <cellStyle name="표준 9 3 2 6 3 2" xfId="48706"/>
    <cellStyle name="표준 9 3 2 6 3 2 2" xfId="48707"/>
    <cellStyle name="표준 9 3 2 6 3 2 2 2" xfId="48708"/>
    <cellStyle name="표준 9 3 2 6 3 2 2 3" xfId="48709"/>
    <cellStyle name="표준 9 3 2 6 3 2 3" xfId="48710"/>
    <cellStyle name="표준 9 3 2 6 3 2 4" xfId="48711"/>
    <cellStyle name="표준 9 3 2 6 3 3" xfId="48712"/>
    <cellStyle name="표준 9 3 2 6 3 3 2" xfId="48713"/>
    <cellStyle name="표준 9 3 2 6 3 3 3" xfId="48714"/>
    <cellStyle name="표준 9 3 2 6 3 4" xfId="48715"/>
    <cellStyle name="표준 9 3 2 6 3 5" xfId="48716"/>
    <cellStyle name="표준 9 3 2 6 4" xfId="48717"/>
    <cellStyle name="표준 9 3 2 6 4 2" xfId="48718"/>
    <cellStyle name="표준 9 3 2 6 4 2 2" xfId="48719"/>
    <cellStyle name="표준 9 3 2 6 4 2 3" xfId="48720"/>
    <cellStyle name="표준 9 3 2 6 4 3" xfId="48721"/>
    <cellStyle name="표준 9 3 2 6 4 4" xfId="48722"/>
    <cellStyle name="표준 9 3 2 6 5" xfId="48723"/>
    <cellStyle name="표준 9 3 2 6 5 2" xfId="48724"/>
    <cellStyle name="표준 9 3 2 6 5 3" xfId="48725"/>
    <cellStyle name="표준 9 3 2 6 6" xfId="48726"/>
    <cellStyle name="표준 9 3 2 6 7" xfId="48727"/>
    <cellStyle name="표준 9 3 2 7" xfId="48728"/>
    <cellStyle name="표준 9 3 2 7 2" xfId="48729"/>
    <cellStyle name="표준 9 3 2 7 2 2" xfId="48730"/>
    <cellStyle name="표준 9 3 2 7 2 2 2" xfId="48731"/>
    <cellStyle name="표준 9 3 2 7 2 2 3" xfId="48732"/>
    <cellStyle name="표준 9 3 2 7 2 3" xfId="48733"/>
    <cellStyle name="표준 9 3 2 7 2 4" xfId="48734"/>
    <cellStyle name="표준 9 3 2 7 3" xfId="48735"/>
    <cellStyle name="표준 9 3 2 7 3 2" xfId="48736"/>
    <cellStyle name="표준 9 3 2 7 3 3" xfId="48737"/>
    <cellStyle name="표준 9 3 2 7 4" xfId="48738"/>
    <cellStyle name="표준 9 3 2 7 5" xfId="48739"/>
    <cellStyle name="표준 9 3 2 8" xfId="48740"/>
    <cellStyle name="표준 9 3 2 8 2" xfId="48741"/>
    <cellStyle name="표준 9 3 2 8 2 2" xfId="48742"/>
    <cellStyle name="표준 9 3 2 8 2 2 2" xfId="48743"/>
    <cellStyle name="표준 9 3 2 8 2 2 3" xfId="48744"/>
    <cellStyle name="표준 9 3 2 8 2 3" xfId="48745"/>
    <cellStyle name="표준 9 3 2 8 2 4" xfId="48746"/>
    <cellStyle name="표준 9 3 2 8 3" xfId="48747"/>
    <cellStyle name="표준 9 3 2 8 3 2" xfId="48748"/>
    <cellStyle name="표준 9 3 2 8 3 3" xfId="48749"/>
    <cellStyle name="표준 9 3 2 8 4" xfId="48750"/>
    <cellStyle name="표준 9 3 2 8 5" xfId="48751"/>
    <cellStyle name="표준 9 3 2 9" xfId="48752"/>
    <cellStyle name="표준 9 3 2 9 2" xfId="48753"/>
    <cellStyle name="표준 9 3 2 9 2 2" xfId="48754"/>
    <cellStyle name="표준 9 3 2 9 2 2 2" xfId="48755"/>
    <cellStyle name="표준 9 3 2 9 2 2 3" xfId="48756"/>
    <cellStyle name="표준 9 3 2 9 2 3" xfId="48757"/>
    <cellStyle name="표준 9 3 2 9 2 4" xfId="48758"/>
    <cellStyle name="표준 9 3 2 9 3" xfId="48759"/>
    <cellStyle name="표준 9 3 2 9 3 2" xfId="48760"/>
    <cellStyle name="표준 9 3 2 9 3 3" xfId="48761"/>
    <cellStyle name="표준 9 3 2 9 4" xfId="48762"/>
    <cellStyle name="표준 9 3 2 9 5" xfId="48763"/>
    <cellStyle name="표준 9 3 3" xfId="48764"/>
    <cellStyle name="표준 9 3 3 10" xfId="48765"/>
    <cellStyle name="표준 9 3 3 2" xfId="48766"/>
    <cellStyle name="표준 9 3 3 2 2" xfId="48767"/>
    <cellStyle name="표준 9 3 3 2 2 2" xfId="48768"/>
    <cellStyle name="표준 9 3 3 2 2 2 2" xfId="48769"/>
    <cellStyle name="표준 9 3 3 2 2 2 2 2" xfId="48770"/>
    <cellStyle name="표준 9 3 3 2 2 2 2 3" xfId="48771"/>
    <cellStyle name="표준 9 3 3 2 2 2 3" xfId="48772"/>
    <cellStyle name="표준 9 3 3 2 2 2 4" xfId="48773"/>
    <cellStyle name="표준 9 3 3 2 2 3" xfId="48774"/>
    <cellStyle name="표준 9 3 3 2 2 3 2" xfId="48775"/>
    <cellStyle name="표준 9 3 3 2 2 3 3" xfId="48776"/>
    <cellStyle name="표준 9 3 3 2 2 4" xfId="48777"/>
    <cellStyle name="표준 9 3 3 2 2 5" xfId="48778"/>
    <cellStyle name="표준 9 3 3 2 3" xfId="48779"/>
    <cellStyle name="표준 9 3 3 2 3 2" xfId="48780"/>
    <cellStyle name="표준 9 3 3 2 3 2 2" xfId="48781"/>
    <cellStyle name="표준 9 3 3 2 3 2 2 2" xfId="48782"/>
    <cellStyle name="표준 9 3 3 2 3 2 2 3" xfId="48783"/>
    <cellStyle name="표준 9 3 3 2 3 2 3" xfId="48784"/>
    <cellStyle name="표준 9 3 3 2 3 2 4" xfId="48785"/>
    <cellStyle name="표준 9 3 3 2 3 3" xfId="48786"/>
    <cellStyle name="표준 9 3 3 2 3 3 2" xfId="48787"/>
    <cellStyle name="표준 9 3 3 2 3 3 3" xfId="48788"/>
    <cellStyle name="표준 9 3 3 2 3 4" xfId="48789"/>
    <cellStyle name="표준 9 3 3 2 3 5" xfId="48790"/>
    <cellStyle name="표준 9 3 3 2 4" xfId="48791"/>
    <cellStyle name="표준 9 3 3 2 4 2" xfId="48792"/>
    <cellStyle name="표준 9 3 3 2 4 2 2" xfId="48793"/>
    <cellStyle name="표준 9 3 3 2 4 2 3" xfId="48794"/>
    <cellStyle name="표준 9 3 3 2 4 3" xfId="48795"/>
    <cellStyle name="표준 9 3 3 2 4 4" xfId="48796"/>
    <cellStyle name="표준 9 3 3 2 5" xfId="48797"/>
    <cellStyle name="표준 9 3 3 2 5 2" xfId="48798"/>
    <cellStyle name="표준 9 3 3 2 5 3" xfId="48799"/>
    <cellStyle name="표준 9 3 3 2 6" xfId="48800"/>
    <cellStyle name="표준 9 3 3 2 7" xfId="48801"/>
    <cellStyle name="표준 9 3 3 3" xfId="48802"/>
    <cellStyle name="표준 9 3 3 3 2" xfId="48803"/>
    <cellStyle name="표준 9 3 3 3 2 2" xfId="48804"/>
    <cellStyle name="표준 9 3 3 3 2 2 2" xfId="48805"/>
    <cellStyle name="표준 9 3 3 3 2 2 2 2" xfId="48806"/>
    <cellStyle name="표준 9 3 3 3 2 2 2 3" xfId="48807"/>
    <cellStyle name="표준 9 3 3 3 2 2 3" xfId="48808"/>
    <cellStyle name="표준 9 3 3 3 2 2 4" xfId="48809"/>
    <cellStyle name="표준 9 3 3 3 2 3" xfId="48810"/>
    <cellStyle name="표준 9 3 3 3 2 3 2" xfId="48811"/>
    <cellStyle name="표준 9 3 3 3 2 3 3" xfId="48812"/>
    <cellStyle name="표준 9 3 3 3 2 4" xfId="48813"/>
    <cellStyle name="표준 9 3 3 3 2 5" xfId="48814"/>
    <cellStyle name="표준 9 3 3 3 3" xfId="48815"/>
    <cellStyle name="표준 9 3 3 3 3 2" xfId="48816"/>
    <cellStyle name="표준 9 3 3 3 3 2 2" xfId="48817"/>
    <cellStyle name="표준 9 3 3 3 3 2 2 2" xfId="48818"/>
    <cellStyle name="표준 9 3 3 3 3 2 2 3" xfId="48819"/>
    <cellStyle name="표준 9 3 3 3 3 2 3" xfId="48820"/>
    <cellStyle name="표준 9 3 3 3 3 2 4" xfId="48821"/>
    <cellStyle name="표준 9 3 3 3 3 3" xfId="48822"/>
    <cellStyle name="표준 9 3 3 3 3 3 2" xfId="48823"/>
    <cellStyle name="표준 9 3 3 3 3 3 3" xfId="48824"/>
    <cellStyle name="표준 9 3 3 3 3 4" xfId="48825"/>
    <cellStyle name="표준 9 3 3 3 3 5" xfId="48826"/>
    <cellStyle name="표준 9 3 3 3 4" xfId="48827"/>
    <cellStyle name="표준 9 3 3 3 4 2" xfId="48828"/>
    <cellStyle name="표준 9 3 3 3 4 2 2" xfId="48829"/>
    <cellStyle name="표준 9 3 3 3 4 2 3" xfId="48830"/>
    <cellStyle name="표준 9 3 3 3 4 3" xfId="48831"/>
    <cellStyle name="표준 9 3 3 3 4 4" xfId="48832"/>
    <cellStyle name="표준 9 3 3 3 5" xfId="48833"/>
    <cellStyle name="표준 9 3 3 3 5 2" xfId="48834"/>
    <cellStyle name="표준 9 3 3 3 5 3" xfId="48835"/>
    <cellStyle name="표준 9 3 3 3 6" xfId="48836"/>
    <cellStyle name="표준 9 3 3 3 7" xfId="48837"/>
    <cellStyle name="표준 9 3 3 4" xfId="48838"/>
    <cellStyle name="표준 9 3 3 4 2" xfId="48839"/>
    <cellStyle name="표준 9 3 3 4 2 2" xfId="48840"/>
    <cellStyle name="표준 9 3 3 4 2 2 2" xfId="48841"/>
    <cellStyle name="표준 9 3 3 4 2 2 3" xfId="48842"/>
    <cellStyle name="표준 9 3 3 4 2 3" xfId="48843"/>
    <cellStyle name="표준 9 3 3 4 2 4" xfId="48844"/>
    <cellStyle name="표준 9 3 3 4 3" xfId="48845"/>
    <cellStyle name="표준 9 3 3 4 3 2" xfId="48846"/>
    <cellStyle name="표준 9 3 3 4 3 3" xfId="48847"/>
    <cellStyle name="표준 9 3 3 4 4" xfId="48848"/>
    <cellStyle name="표준 9 3 3 4 5" xfId="48849"/>
    <cellStyle name="표준 9 3 3 5" xfId="48850"/>
    <cellStyle name="표준 9 3 3 5 2" xfId="48851"/>
    <cellStyle name="표준 9 3 3 5 2 2" xfId="48852"/>
    <cellStyle name="표준 9 3 3 5 2 2 2" xfId="48853"/>
    <cellStyle name="표준 9 3 3 5 2 2 3" xfId="48854"/>
    <cellStyle name="표준 9 3 3 5 2 3" xfId="48855"/>
    <cellStyle name="표준 9 3 3 5 2 4" xfId="48856"/>
    <cellStyle name="표준 9 3 3 5 3" xfId="48857"/>
    <cellStyle name="표준 9 3 3 5 3 2" xfId="48858"/>
    <cellStyle name="표준 9 3 3 5 3 3" xfId="48859"/>
    <cellStyle name="표준 9 3 3 5 4" xfId="48860"/>
    <cellStyle name="표준 9 3 3 5 5" xfId="48861"/>
    <cellStyle name="표준 9 3 3 6" xfId="48862"/>
    <cellStyle name="표준 9 3 3 6 2" xfId="48863"/>
    <cellStyle name="표준 9 3 3 6 2 2" xfId="48864"/>
    <cellStyle name="표준 9 3 3 6 2 2 2" xfId="48865"/>
    <cellStyle name="표준 9 3 3 6 2 2 3" xfId="48866"/>
    <cellStyle name="표준 9 3 3 6 2 3" xfId="48867"/>
    <cellStyle name="표준 9 3 3 6 2 4" xfId="48868"/>
    <cellStyle name="표준 9 3 3 6 3" xfId="48869"/>
    <cellStyle name="표준 9 3 3 6 3 2" xfId="48870"/>
    <cellStyle name="표준 9 3 3 6 3 3" xfId="48871"/>
    <cellStyle name="표준 9 3 3 6 4" xfId="48872"/>
    <cellStyle name="표준 9 3 3 6 5" xfId="48873"/>
    <cellStyle name="표준 9 3 3 7" xfId="48874"/>
    <cellStyle name="표준 9 3 3 7 2" xfId="48875"/>
    <cellStyle name="표준 9 3 3 7 2 2" xfId="48876"/>
    <cellStyle name="표준 9 3 3 7 2 3" xfId="48877"/>
    <cellStyle name="표준 9 3 3 7 3" xfId="48878"/>
    <cellStyle name="표준 9 3 3 7 4" xfId="48879"/>
    <cellStyle name="표준 9 3 3 8" xfId="48880"/>
    <cellStyle name="표준 9 3 3 8 2" xfId="48881"/>
    <cellStyle name="표준 9 3 3 8 3" xfId="48882"/>
    <cellStyle name="표준 9 3 3 9" xfId="48883"/>
    <cellStyle name="표준 9 3 4" xfId="48884"/>
    <cellStyle name="표준 9 3 4 10" xfId="48885"/>
    <cellStyle name="표준 9 3 4 2" xfId="48886"/>
    <cellStyle name="표준 9 3 4 2 2" xfId="48887"/>
    <cellStyle name="표준 9 3 4 2 2 2" xfId="48888"/>
    <cellStyle name="표준 9 3 4 2 2 2 2" xfId="48889"/>
    <cellStyle name="표준 9 3 4 2 2 2 2 2" xfId="48890"/>
    <cellStyle name="표준 9 3 4 2 2 2 2 3" xfId="48891"/>
    <cellStyle name="표준 9 3 4 2 2 2 3" xfId="48892"/>
    <cellStyle name="표준 9 3 4 2 2 2 4" xfId="48893"/>
    <cellStyle name="표준 9 3 4 2 2 3" xfId="48894"/>
    <cellStyle name="표준 9 3 4 2 2 3 2" xfId="48895"/>
    <cellStyle name="표준 9 3 4 2 2 3 3" xfId="48896"/>
    <cellStyle name="표준 9 3 4 2 2 4" xfId="48897"/>
    <cellStyle name="표준 9 3 4 2 2 5" xfId="48898"/>
    <cellStyle name="표준 9 3 4 2 3" xfId="48899"/>
    <cellStyle name="표준 9 3 4 2 3 2" xfId="48900"/>
    <cellStyle name="표준 9 3 4 2 3 2 2" xfId="48901"/>
    <cellStyle name="표준 9 3 4 2 3 2 2 2" xfId="48902"/>
    <cellStyle name="표준 9 3 4 2 3 2 2 3" xfId="48903"/>
    <cellStyle name="표준 9 3 4 2 3 2 3" xfId="48904"/>
    <cellStyle name="표준 9 3 4 2 3 2 4" xfId="48905"/>
    <cellStyle name="표준 9 3 4 2 3 3" xfId="48906"/>
    <cellStyle name="표준 9 3 4 2 3 3 2" xfId="48907"/>
    <cellStyle name="표준 9 3 4 2 3 3 3" xfId="48908"/>
    <cellStyle name="표준 9 3 4 2 3 4" xfId="48909"/>
    <cellStyle name="표준 9 3 4 2 3 5" xfId="48910"/>
    <cellStyle name="표준 9 3 4 2 4" xfId="48911"/>
    <cellStyle name="표준 9 3 4 2 4 2" xfId="48912"/>
    <cellStyle name="표준 9 3 4 2 4 2 2" xfId="48913"/>
    <cellStyle name="표준 9 3 4 2 4 2 3" xfId="48914"/>
    <cellStyle name="표준 9 3 4 2 4 3" xfId="48915"/>
    <cellStyle name="표준 9 3 4 2 4 4" xfId="48916"/>
    <cellStyle name="표준 9 3 4 2 5" xfId="48917"/>
    <cellStyle name="표준 9 3 4 2 5 2" xfId="48918"/>
    <cellStyle name="표준 9 3 4 2 5 3" xfId="48919"/>
    <cellStyle name="표준 9 3 4 2 6" xfId="48920"/>
    <cellStyle name="표준 9 3 4 2 7" xfId="48921"/>
    <cellStyle name="표준 9 3 4 3" xfId="48922"/>
    <cellStyle name="표준 9 3 4 3 2" xfId="48923"/>
    <cellStyle name="표준 9 3 4 3 2 2" xfId="48924"/>
    <cellStyle name="표준 9 3 4 3 2 2 2" xfId="48925"/>
    <cellStyle name="표준 9 3 4 3 2 2 2 2" xfId="48926"/>
    <cellStyle name="표준 9 3 4 3 2 2 2 3" xfId="48927"/>
    <cellStyle name="표준 9 3 4 3 2 2 3" xfId="48928"/>
    <cellStyle name="표준 9 3 4 3 2 2 4" xfId="48929"/>
    <cellStyle name="표준 9 3 4 3 2 3" xfId="48930"/>
    <cellStyle name="표준 9 3 4 3 2 3 2" xfId="48931"/>
    <cellStyle name="표준 9 3 4 3 2 3 3" xfId="48932"/>
    <cellStyle name="표준 9 3 4 3 2 4" xfId="48933"/>
    <cellStyle name="표준 9 3 4 3 2 5" xfId="48934"/>
    <cellStyle name="표준 9 3 4 3 3" xfId="48935"/>
    <cellStyle name="표준 9 3 4 3 3 2" xfId="48936"/>
    <cellStyle name="표준 9 3 4 3 3 2 2" xfId="48937"/>
    <cellStyle name="표준 9 3 4 3 3 2 2 2" xfId="48938"/>
    <cellStyle name="표준 9 3 4 3 3 2 2 3" xfId="48939"/>
    <cellStyle name="표준 9 3 4 3 3 2 3" xfId="48940"/>
    <cellStyle name="표준 9 3 4 3 3 2 4" xfId="48941"/>
    <cellStyle name="표준 9 3 4 3 3 3" xfId="48942"/>
    <cellStyle name="표준 9 3 4 3 3 3 2" xfId="48943"/>
    <cellStyle name="표준 9 3 4 3 3 3 3" xfId="48944"/>
    <cellStyle name="표준 9 3 4 3 3 4" xfId="48945"/>
    <cellStyle name="표준 9 3 4 3 3 5" xfId="48946"/>
    <cellStyle name="표준 9 3 4 3 4" xfId="48947"/>
    <cellStyle name="표준 9 3 4 3 4 2" xfId="48948"/>
    <cellStyle name="표준 9 3 4 3 4 2 2" xfId="48949"/>
    <cellStyle name="표준 9 3 4 3 4 2 3" xfId="48950"/>
    <cellStyle name="표준 9 3 4 3 4 3" xfId="48951"/>
    <cellStyle name="표준 9 3 4 3 4 4" xfId="48952"/>
    <cellStyle name="표준 9 3 4 3 5" xfId="48953"/>
    <cellStyle name="표준 9 3 4 3 5 2" xfId="48954"/>
    <cellStyle name="표준 9 3 4 3 5 3" xfId="48955"/>
    <cellStyle name="표준 9 3 4 3 6" xfId="48956"/>
    <cellStyle name="표준 9 3 4 3 7" xfId="48957"/>
    <cellStyle name="표준 9 3 4 4" xfId="48958"/>
    <cellStyle name="표준 9 3 4 4 2" xfId="48959"/>
    <cellStyle name="표준 9 3 4 4 2 2" xfId="48960"/>
    <cellStyle name="표준 9 3 4 4 2 2 2" xfId="48961"/>
    <cellStyle name="표준 9 3 4 4 2 2 3" xfId="48962"/>
    <cellStyle name="표준 9 3 4 4 2 3" xfId="48963"/>
    <cellStyle name="표준 9 3 4 4 2 4" xfId="48964"/>
    <cellStyle name="표준 9 3 4 4 3" xfId="48965"/>
    <cellStyle name="표준 9 3 4 4 3 2" xfId="48966"/>
    <cellStyle name="표준 9 3 4 4 3 3" xfId="48967"/>
    <cellStyle name="표준 9 3 4 4 4" xfId="48968"/>
    <cellStyle name="표준 9 3 4 4 5" xfId="48969"/>
    <cellStyle name="표준 9 3 4 5" xfId="48970"/>
    <cellStyle name="표준 9 3 4 5 2" xfId="48971"/>
    <cellStyle name="표준 9 3 4 5 2 2" xfId="48972"/>
    <cellStyle name="표준 9 3 4 5 2 2 2" xfId="48973"/>
    <cellStyle name="표준 9 3 4 5 2 2 3" xfId="48974"/>
    <cellStyle name="표준 9 3 4 5 2 3" xfId="48975"/>
    <cellStyle name="표준 9 3 4 5 2 4" xfId="48976"/>
    <cellStyle name="표준 9 3 4 5 3" xfId="48977"/>
    <cellStyle name="표준 9 3 4 5 3 2" xfId="48978"/>
    <cellStyle name="표준 9 3 4 5 3 3" xfId="48979"/>
    <cellStyle name="표준 9 3 4 5 4" xfId="48980"/>
    <cellStyle name="표준 9 3 4 5 5" xfId="48981"/>
    <cellStyle name="표준 9 3 4 6" xfId="48982"/>
    <cellStyle name="표준 9 3 4 6 2" xfId="48983"/>
    <cellStyle name="표준 9 3 4 6 2 2" xfId="48984"/>
    <cellStyle name="표준 9 3 4 6 2 2 2" xfId="48985"/>
    <cellStyle name="표준 9 3 4 6 2 2 3" xfId="48986"/>
    <cellStyle name="표준 9 3 4 6 2 3" xfId="48987"/>
    <cellStyle name="표준 9 3 4 6 2 4" xfId="48988"/>
    <cellStyle name="표준 9 3 4 6 3" xfId="48989"/>
    <cellStyle name="표준 9 3 4 6 3 2" xfId="48990"/>
    <cellStyle name="표준 9 3 4 6 3 3" xfId="48991"/>
    <cellStyle name="표준 9 3 4 6 4" xfId="48992"/>
    <cellStyle name="표준 9 3 4 6 5" xfId="48993"/>
    <cellStyle name="표준 9 3 4 7" xfId="48994"/>
    <cellStyle name="표준 9 3 4 7 2" xfId="48995"/>
    <cellStyle name="표준 9 3 4 7 2 2" xfId="48996"/>
    <cellStyle name="표준 9 3 4 7 2 3" xfId="48997"/>
    <cellStyle name="표준 9 3 4 7 3" xfId="48998"/>
    <cellStyle name="표준 9 3 4 7 4" xfId="48999"/>
    <cellStyle name="표준 9 3 4 8" xfId="49000"/>
    <cellStyle name="표준 9 3 4 8 2" xfId="49001"/>
    <cellStyle name="표준 9 3 4 8 3" xfId="49002"/>
    <cellStyle name="표준 9 3 4 9" xfId="49003"/>
    <cellStyle name="표준 9 3 5" xfId="49004"/>
    <cellStyle name="표준 9 3 5 10" xfId="49005"/>
    <cellStyle name="표준 9 3 5 2" xfId="49006"/>
    <cellStyle name="표준 9 3 5 2 2" xfId="49007"/>
    <cellStyle name="표준 9 3 5 2 2 2" xfId="49008"/>
    <cellStyle name="표준 9 3 5 2 2 2 2" xfId="49009"/>
    <cellStyle name="표준 9 3 5 2 2 2 2 2" xfId="49010"/>
    <cellStyle name="표준 9 3 5 2 2 2 2 3" xfId="49011"/>
    <cellStyle name="표준 9 3 5 2 2 2 3" xfId="49012"/>
    <cellStyle name="표준 9 3 5 2 2 2 4" xfId="49013"/>
    <cellStyle name="표준 9 3 5 2 2 3" xfId="49014"/>
    <cellStyle name="표준 9 3 5 2 2 3 2" xfId="49015"/>
    <cellStyle name="표준 9 3 5 2 2 3 3" xfId="49016"/>
    <cellStyle name="표준 9 3 5 2 2 4" xfId="49017"/>
    <cellStyle name="표준 9 3 5 2 2 5" xfId="49018"/>
    <cellStyle name="표준 9 3 5 2 3" xfId="49019"/>
    <cellStyle name="표준 9 3 5 2 3 2" xfId="49020"/>
    <cellStyle name="표준 9 3 5 2 3 2 2" xfId="49021"/>
    <cellStyle name="표준 9 3 5 2 3 2 2 2" xfId="49022"/>
    <cellStyle name="표준 9 3 5 2 3 2 2 3" xfId="49023"/>
    <cellStyle name="표준 9 3 5 2 3 2 3" xfId="49024"/>
    <cellStyle name="표준 9 3 5 2 3 2 4" xfId="49025"/>
    <cellStyle name="표준 9 3 5 2 3 3" xfId="49026"/>
    <cellStyle name="표준 9 3 5 2 3 3 2" xfId="49027"/>
    <cellStyle name="표준 9 3 5 2 3 3 3" xfId="49028"/>
    <cellStyle name="표준 9 3 5 2 3 4" xfId="49029"/>
    <cellStyle name="표준 9 3 5 2 3 5" xfId="49030"/>
    <cellStyle name="표준 9 3 5 2 4" xfId="49031"/>
    <cellStyle name="표준 9 3 5 2 4 2" xfId="49032"/>
    <cellStyle name="표준 9 3 5 2 4 2 2" xfId="49033"/>
    <cellStyle name="표준 9 3 5 2 4 2 3" xfId="49034"/>
    <cellStyle name="표준 9 3 5 2 4 3" xfId="49035"/>
    <cellStyle name="표준 9 3 5 2 4 4" xfId="49036"/>
    <cellStyle name="표준 9 3 5 2 5" xfId="49037"/>
    <cellStyle name="표준 9 3 5 2 5 2" xfId="49038"/>
    <cellStyle name="표준 9 3 5 2 5 3" xfId="49039"/>
    <cellStyle name="표준 9 3 5 2 6" xfId="49040"/>
    <cellStyle name="표준 9 3 5 2 7" xfId="49041"/>
    <cellStyle name="표준 9 3 5 3" xfId="49042"/>
    <cellStyle name="표준 9 3 5 3 2" xfId="49043"/>
    <cellStyle name="표준 9 3 5 3 2 2" xfId="49044"/>
    <cellStyle name="표준 9 3 5 3 2 2 2" xfId="49045"/>
    <cellStyle name="표준 9 3 5 3 2 2 2 2" xfId="49046"/>
    <cellStyle name="표준 9 3 5 3 2 2 2 3" xfId="49047"/>
    <cellStyle name="표준 9 3 5 3 2 2 3" xfId="49048"/>
    <cellStyle name="표준 9 3 5 3 2 2 4" xfId="49049"/>
    <cellStyle name="표준 9 3 5 3 2 3" xfId="49050"/>
    <cellStyle name="표준 9 3 5 3 2 3 2" xfId="49051"/>
    <cellStyle name="표준 9 3 5 3 2 3 3" xfId="49052"/>
    <cellStyle name="표준 9 3 5 3 2 4" xfId="49053"/>
    <cellStyle name="표준 9 3 5 3 2 5" xfId="49054"/>
    <cellStyle name="표준 9 3 5 3 3" xfId="49055"/>
    <cellStyle name="표준 9 3 5 3 3 2" xfId="49056"/>
    <cellStyle name="표준 9 3 5 3 3 2 2" xfId="49057"/>
    <cellStyle name="표준 9 3 5 3 3 2 2 2" xfId="49058"/>
    <cellStyle name="표준 9 3 5 3 3 2 2 3" xfId="49059"/>
    <cellStyle name="표준 9 3 5 3 3 2 3" xfId="49060"/>
    <cellStyle name="표준 9 3 5 3 3 2 4" xfId="49061"/>
    <cellStyle name="표준 9 3 5 3 3 3" xfId="49062"/>
    <cellStyle name="표준 9 3 5 3 3 3 2" xfId="49063"/>
    <cellStyle name="표준 9 3 5 3 3 3 3" xfId="49064"/>
    <cellStyle name="표준 9 3 5 3 3 4" xfId="49065"/>
    <cellStyle name="표준 9 3 5 3 3 5" xfId="49066"/>
    <cellStyle name="표준 9 3 5 3 4" xfId="49067"/>
    <cellStyle name="표준 9 3 5 3 4 2" xfId="49068"/>
    <cellStyle name="표준 9 3 5 3 4 2 2" xfId="49069"/>
    <cellStyle name="표준 9 3 5 3 4 2 3" xfId="49070"/>
    <cellStyle name="표준 9 3 5 3 4 3" xfId="49071"/>
    <cellStyle name="표준 9 3 5 3 4 4" xfId="49072"/>
    <cellStyle name="표준 9 3 5 3 5" xfId="49073"/>
    <cellStyle name="표준 9 3 5 3 5 2" xfId="49074"/>
    <cellStyle name="표준 9 3 5 3 5 3" xfId="49075"/>
    <cellStyle name="표준 9 3 5 3 6" xfId="49076"/>
    <cellStyle name="표준 9 3 5 3 7" xfId="49077"/>
    <cellStyle name="표준 9 3 5 4" xfId="49078"/>
    <cellStyle name="표준 9 3 5 4 2" xfId="49079"/>
    <cellStyle name="표준 9 3 5 4 2 2" xfId="49080"/>
    <cellStyle name="표준 9 3 5 4 2 2 2" xfId="49081"/>
    <cellStyle name="표준 9 3 5 4 2 2 3" xfId="49082"/>
    <cellStyle name="표준 9 3 5 4 2 3" xfId="49083"/>
    <cellStyle name="표준 9 3 5 4 2 4" xfId="49084"/>
    <cellStyle name="표준 9 3 5 4 3" xfId="49085"/>
    <cellStyle name="표준 9 3 5 4 3 2" xfId="49086"/>
    <cellStyle name="표준 9 3 5 4 3 3" xfId="49087"/>
    <cellStyle name="표준 9 3 5 4 4" xfId="49088"/>
    <cellStyle name="표준 9 3 5 4 5" xfId="49089"/>
    <cellStyle name="표준 9 3 5 5" xfId="49090"/>
    <cellStyle name="표준 9 3 5 5 2" xfId="49091"/>
    <cellStyle name="표준 9 3 5 5 2 2" xfId="49092"/>
    <cellStyle name="표준 9 3 5 5 2 2 2" xfId="49093"/>
    <cellStyle name="표준 9 3 5 5 2 2 3" xfId="49094"/>
    <cellStyle name="표준 9 3 5 5 2 3" xfId="49095"/>
    <cellStyle name="표준 9 3 5 5 2 4" xfId="49096"/>
    <cellStyle name="표준 9 3 5 5 3" xfId="49097"/>
    <cellStyle name="표준 9 3 5 5 3 2" xfId="49098"/>
    <cellStyle name="표준 9 3 5 5 3 3" xfId="49099"/>
    <cellStyle name="표준 9 3 5 5 4" xfId="49100"/>
    <cellStyle name="표준 9 3 5 5 5" xfId="49101"/>
    <cellStyle name="표준 9 3 5 6" xfId="49102"/>
    <cellStyle name="표준 9 3 5 6 2" xfId="49103"/>
    <cellStyle name="표준 9 3 5 6 2 2" xfId="49104"/>
    <cellStyle name="표준 9 3 5 6 2 2 2" xfId="49105"/>
    <cellStyle name="표준 9 3 5 6 2 2 3" xfId="49106"/>
    <cellStyle name="표준 9 3 5 6 2 3" xfId="49107"/>
    <cellStyle name="표준 9 3 5 6 2 4" xfId="49108"/>
    <cellStyle name="표준 9 3 5 6 3" xfId="49109"/>
    <cellStyle name="표준 9 3 5 6 3 2" xfId="49110"/>
    <cellStyle name="표준 9 3 5 6 3 3" xfId="49111"/>
    <cellStyle name="표준 9 3 5 6 4" xfId="49112"/>
    <cellStyle name="표준 9 3 5 6 5" xfId="49113"/>
    <cellStyle name="표준 9 3 5 7" xfId="49114"/>
    <cellStyle name="표준 9 3 5 7 2" xfId="49115"/>
    <cellStyle name="표준 9 3 5 7 2 2" xfId="49116"/>
    <cellStyle name="표준 9 3 5 7 2 3" xfId="49117"/>
    <cellStyle name="표준 9 3 5 7 3" xfId="49118"/>
    <cellStyle name="표준 9 3 5 7 4" xfId="49119"/>
    <cellStyle name="표준 9 3 5 8" xfId="49120"/>
    <cellStyle name="표준 9 3 5 8 2" xfId="49121"/>
    <cellStyle name="표준 9 3 5 8 3" xfId="49122"/>
    <cellStyle name="표준 9 3 5 9" xfId="49123"/>
    <cellStyle name="표준 9 3 6" xfId="49124"/>
    <cellStyle name="표준 9 3 6 2" xfId="49125"/>
    <cellStyle name="표준 9 3 6 2 2" xfId="49126"/>
    <cellStyle name="표준 9 3 6 2 2 2" xfId="49127"/>
    <cellStyle name="표준 9 3 6 2 2 2 2" xfId="49128"/>
    <cellStyle name="표준 9 3 6 2 2 2 3" xfId="49129"/>
    <cellStyle name="표준 9 3 6 2 2 3" xfId="49130"/>
    <cellStyle name="표준 9 3 6 2 2 4" xfId="49131"/>
    <cellStyle name="표준 9 3 6 2 3" xfId="49132"/>
    <cellStyle name="표준 9 3 6 2 3 2" xfId="49133"/>
    <cellStyle name="표준 9 3 6 2 3 3" xfId="49134"/>
    <cellStyle name="표준 9 3 6 2 4" xfId="49135"/>
    <cellStyle name="표준 9 3 6 2 5" xfId="49136"/>
    <cellStyle name="표준 9 3 6 3" xfId="49137"/>
    <cellStyle name="표준 9 3 6 3 2" xfId="49138"/>
    <cellStyle name="표준 9 3 6 3 2 2" xfId="49139"/>
    <cellStyle name="표준 9 3 6 3 2 2 2" xfId="49140"/>
    <cellStyle name="표준 9 3 6 3 2 2 3" xfId="49141"/>
    <cellStyle name="표준 9 3 6 3 2 3" xfId="49142"/>
    <cellStyle name="표준 9 3 6 3 2 4" xfId="49143"/>
    <cellStyle name="표준 9 3 6 3 3" xfId="49144"/>
    <cellStyle name="표준 9 3 6 3 3 2" xfId="49145"/>
    <cellStyle name="표준 9 3 6 3 3 3" xfId="49146"/>
    <cellStyle name="표준 9 3 6 3 4" xfId="49147"/>
    <cellStyle name="표준 9 3 6 3 5" xfId="49148"/>
    <cellStyle name="표준 9 3 6 4" xfId="49149"/>
    <cellStyle name="표준 9 3 6 4 2" xfId="49150"/>
    <cellStyle name="표준 9 3 6 4 2 2" xfId="49151"/>
    <cellStyle name="표준 9 3 6 4 2 3" xfId="49152"/>
    <cellStyle name="표준 9 3 6 4 3" xfId="49153"/>
    <cellStyle name="표준 9 3 6 4 4" xfId="49154"/>
    <cellStyle name="표준 9 3 6 5" xfId="49155"/>
    <cellStyle name="표준 9 3 6 5 2" xfId="49156"/>
    <cellStyle name="표준 9 3 6 5 3" xfId="49157"/>
    <cellStyle name="표준 9 3 6 6" xfId="49158"/>
    <cellStyle name="표준 9 3 6 7" xfId="49159"/>
    <cellStyle name="표준 9 3 7" xfId="49160"/>
    <cellStyle name="표준 9 3 7 2" xfId="49161"/>
    <cellStyle name="표준 9 3 7 2 2" xfId="49162"/>
    <cellStyle name="표준 9 3 7 2 2 2" xfId="49163"/>
    <cellStyle name="표준 9 3 7 2 2 2 2" xfId="49164"/>
    <cellStyle name="표준 9 3 7 2 2 2 3" xfId="49165"/>
    <cellStyle name="표준 9 3 7 2 2 3" xfId="49166"/>
    <cellStyle name="표준 9 3 7 2 2 4" xfId="49167"/>
    <cellStyle name="표준 9 3 7 2 3" xfId="49168"/>
    <cellStyle name="표준 9 3 7 2 3 2" xfId="49169"/>
    <cellStyle name="표준 9 3 7 2 3 3" xfId="49170"/>
    <cellStyle name="표준 9 3 7 2 4" xfId="49171"/>
    <cellStyle name="표준 9 3 7 2 5" xfId="49172"/>
    <cellStyle name="표준 9 3 7 3" xfId="49173"/>
    <cellStyle name="표준 9 3 7 3 2" xfId="49174"/>
    <cellStyle name="표준 9 3 7 3 2 2" xfId="49175"/>
    <cellStyle name="표준 9 3 7 3 2 2 2" xfId="49176"/>
    <cellStyle name="표준 9 3 7 3 2 2 3" xfId="49177"/>
    <cellStyle name="표준 9 3 7 3 2 3" xfId="49178"/>
    <cellStyle name="표준 9 3 7 3 2 4" xfId="49179"/>
    <cellStyle name="표준 9 3 7 3 3" xfId="49180"/>
    <cellStyle name="표준 9 3 7 3 3 2" xfId="49181"/>
    <cellStyle name="표준 9 3 7 3 3 3" xfId="49182"/>
    <cellStyle name="표준 9 3 7 3 4" xfId="49183"/>
    <cellStyle name="표준 9 3 7 3 5" xfId="49184"/>
    <cellStyle name="표준 9 3 7 4" xfId="49185"/>
    <cellStyle name="표준 9 3 7 4 2" xfId="49186"/>
    <cellStyle name="표준 9 3 7 4 2 2" xfId="49187"/>
    <cellStyle name="표준 9 3 7 4 2 3" xfId="49188"/>
    <cellStyle name="표준 9 3 7 4 3" xfId="49189"/>
    <cellStyle name="표준 9 3 7 4 4" xfId="49190"/>
    <cellStyle name="표준 9 3 7 5" xfId="49191"/>
    <cellStyle name="표준 9 3 7 5 2" xfId="49192"/>
    <cellStyle name="표준 9 3 7 5 3" xfId="49193"/>
    <cellStyle name="표준 9 3 7 6" xfId="49194"/>
    <cellStyle name="표준 9 3 7 7" xfId="49195"/>
    <cellStyle name="표준 9 3 8" xfId="49196"/>
    <cellStyle name="표준 9 3 8 2" xfId="49197"/>
    <cellStyle name="표준 9 3 8 2 2" xfId="49198"/>
    <cellStyle name="표준 9 3 8 2 2 2" xfId="49199"/>
    <cellStyle name="표준 9 3 8 2 2 3" xfId="49200"/>
    <cellStyle name="표준 9 3 8 2 3" xfId="49201"/>
    <cellStyle name="표준 9 3 8 2 4" xfId="49202"/>
    <cellStyle name="표준 9 3 8 3" xfId="49203"/>
    <cellStyle name="표준 9 3 8 3 2" xfId="49204"/>
    <cellStyle name="표준 9 3 8 3 3" xfId="49205"/>
    <cellStyle name="표준 9 3 8 4" xfId="49206"/>
    <cellStyle name="표준 9 3 8 5" xfId="49207"/>
    <cellStyle name="표준 9 3 9" xfId="49208"/>
    <cellStyle name="표준 9 3 9 2" xfId="49209"/>
    <cellStyle name="표준 9 3 9 2 2" xfId="49210"/>
    <cellStyle name="표준 9 3 9 2 2 2" xfId="49211"/>
    <cellStyle name="표준 9 3 9 2 2 3" xfId="49212"/>
    <cellStyle name="표준 9 3 9 2 3" xfId="49213"/>
    <cellStyle name="표준 9 3 9 2 4" xfId="49214"/>
    <cellStyle name="표준 9 3 9 3" xfId="49215"/>
    <cellStyle name="표준 9 3 9 3 2" xfId="49216"/>
    <cellStyle name="표준 9 3 9 3 3" xfId="49217"/>
    <cellStyle name="표준 9 3 9 4" xfId="49218"/>
    <cellStyle name="표준 9 3 9 5" xfId="49219"/>
    <cellStyle name="표준 9 4" xfId="49220"/>
    <cellStyle name="표준 9 4 10" xfId="49221"/>
    <cellStyle name="표준 9 4 10 2" xfId="49222"/>
    <cellStyle name="표준 9 4 10 2 2" xfId="49223"/>
    <cellStyle name="표준 9 4 10 2 2 2" xfId="49224"/>
    <cellStyle name="표준 9 4 10 2 2 3" xfId="49225"/>
    <cellStyle name="표준 9 4 10 2 3" xfId="49226"/>
    <cellStyle name="표준 9 4 10 2 4" xfId="49227"/>
    <cellStyle name="표준 9 4 10 3" xfId="49228"/>
    <cellStyle name="표준 9 4 10 3 2" xfId="49229"/>
    <cellStyle name="표준 9 4 10 3 3" xfId="49230"/>
    <cellStyle name="표준 9 4 10 4" xfId="49231"/>
    <cellStyle name="표준 9 4 10 5" xfId="49232"/>
    <cellStyle name="표준 9 4 11" xfId="49233"/>
    <cellStyle name="표준 9 4 11 2" xfId="49234"/>
    <cellStyle name="표준 9 4 11 2 2" xfId="49235"/>
    <cellStyle name="표준 9 4 11 2 3" xfId="49236"/>
    <cellStyle name="표준 9 4 11 3" xfId="49237"/>
    <cellStyle name="표준 9 4 11 4" xfId="49238"/>
    <cellStyle name="표준 9 4 12" xfId="49239"/>
    <cellStyle name="표준 9 4 12 2" xfId="49240"/>
    <cellStyle name="표준 9 4 12 3" xfId="49241"/>
    <cellStyle name="표준 9 4 13" xfId="49242"/>
    <cellStyle name="표준 9 4 14" xfId="49243"/>
    <cellStyle name="표준 9 4 2" xfId="49244"/>
    <cellStyle name="표준 9 4 2 10" xfId="49245"/>
    <cellStyle name="표준 9 4 2 10 2" xfId="49246"/>
    <cellStyle name="표준 9 4 2 10 2 2" xfId="49247"/>
    <cellStyle name="표준 9 4 2 10 2 3" xfId="49248"/>
    <cellStyle name="표준 9 4 2 10 3" xfId="49249"/>
    <cellStyle name="표준 9 4 2 10 4" xfId="49250"/>
    <cellStyle name="표준 9 4 2 11" xfId="49251"/>
    <cellStyle name="표준 9 4 2 11 2" xfId="49252"/>
    <cellStyle name="표준 9 4 2 11 3" xfId="49253"/>
    <cellStyle name="표준 9 4 2 12" xfId="49254"/>
    <cellStyle name="표준 9 4 2 13" xfId="49255"/>
    <cellStyle name="표준 9 4 2 2" xfId="49256"/>
    <cellStyle name="표준 9 4 2 2 10" xfId="49257"/>
    <cellStyle name="표준 9 4 2 2 2" xfId="49258"/>
    <cellStyle name="표준 9 4 2 2 2 2" xfId="49259"/>
    <cellStyle name="표준 9 4 2 2 2 2 2" xfId="49260"/>
    <cellStyle name="표준 9 4 2 2 2 2 2 2" xfId="49261"/>
    <cellStyle name="표준 9 4 2 2 2 2 2 2 2" xfId="49262"/>
    <cellStyle name="표준 9 4 2 2 2 2 2 2 3" xfId="49263"/>
    <cellStyle name="표준 9 4 2 2 2 2 2 3" xfId="49264"/>
    <cellStyle name="표준 9 4 2 2 2 2 2 4" xfId="49265"/>
    <cellStyle name="표준 9 4 2 2 2 2 3" xfId="49266"/>
    <cellStyle name="표준 9 4 2 2 2 2 3 2" xfId="49267"/>
    <cellStyle name="표준 9 4 2 2 2 2 3 3" xfId="49268"/>
    <cellStyle name="표준 9 4 2 2 2 2 4" xfId="49269"/>
    <cellStyle name="표준 9 4 2 2 2 2 5" xfId="49270"/>
    <cellStyle name="표준 9 4 2 2 2 3" xfId="49271"/>
    <cellStyle name="표준 9 4 2 2 2 3 2" xfId="49272"/>
    <cellStyle name="표준 9 4 2 2 2 3 2 2" xfId="49273"/>
    <cellStyle name="표준 9 4 2 2 2 3 2 2 2" xfId="49274"/>
    <cellStyle name="표준 9 4 2 2 2 3 2 2 3" xfId="49275"/>
    <cellStyle name="표준 9 4 2 2 2 3 2 3" xfId="49276"/>
    <cellStyle name="표준 9 4 2 2 2 3 2 4" xfId="49277"/>
    <cellStyle name="표준 9 4 2 2 2 3 3" xfId="49278"/>
    <cellStyle name="표준 9 4 2 2 2 3 3 2" xfId="49279"/>
    <cellStyle name="표준 9 4 2 2 2 3 3 3" xfId="49280"/>
    <cellStyle name="표준 9 4 2 2 2 3 4" xfId="49281"/>
    <cellStyle name="표준 9 4 2 2 2 3 5" xfId="49282"/>
    <cellStyle name="표준 9 4 2 2 2 4" xfId="49283"/>
    <cellStyle name="표준 9 4 2 2 2 4 2" xfId="49284"/>
    <cellStyle name="표준 9 4 2 2 2 4 2 2" xfId="49285"/>
    <cellStyle name="표준 9 4 2 2 2 4 2 3" xfId="49286"/>
    <cellStyle name="표준 9 4 2 2 2 4 3" xfId="49287"/>
    <cellStyle name="표준 9 4 2 2 2 4 4" xfId="49288"/>
    <cellStyle name="표준 9 4 2 2 2 5" xfId="49289"/>
    <cellStyle name="표준 9 4 2 2 2 5 2" xfId="49290"/>
    <cellStyle name="표준 9 4 2 2 2 5 3" xfId="49291"/>
    <cellStyle name="표준 9 4 2 2 2 6" xfId="49292"/>
    <cellStyle name="표준 9 4 2 2 2 7" xfId="49293"/>
    <cellStyle name="표준 9 4 2 2 3" xfId="49294"/>
    <cellStyle name="표준 9 4 2 2 3 2" xfId="49295"/>
    <cellStyle name="표준 9 4 2 2 3 2 2" xfId="49296"/>
    <cellStyle name="표준 9 4 2 2 3 2 2 2" xfId="49297"/>
    <cellStyle name="표준 9 4 2 2 3 2 2 2 2" xfId="49298"/>
    <cellStyle name="표준 9 4 2 2 3 2 2 2 3" xfId="49299"/>
    <cellStyle name="표준 9 4 2 2 3 2 2 3" xfId="49300"/>
    <cellStyle name="표준 9 4 2 2 3 2 2 4" xfId="49301"/>
    <cellStyle name="표준 9 4 2 2 3 2 3" xfId="49302"/>
    <cellStyle name="표준 9 4 2 2 3 2 3 2" xfId="49303"/>
    <cellStyle name="표준 9 4 2 2 3 2 3 3" xfId="49304"/>
    <cellStyle name="표준 9 4 2 2 3 2 4" xfId="49305"/>
    <cellStyle name="표준 9 4 2 2 3 2 5" xfId="49306"/>
    <cellStyle name="표준 9 4 2 2 3 3" xfId="49307"/>
    <cellStyle name="표준 9 4 2 2 3 3 2" xfId="49308"/>
    <cellStyle name="표준 9 4 2 2 3 3 2 2" xfId="49309"/>
    <cellStyle name="표준 9 4 2 2 3 3 2 2 2" xfId="49310"/>
    <cellStyle name="표준 9 4 2 2 3 3 2 2 3" xfId="49311"/>
    <cellStyle name="표준 9 4 2 2 3 3 2 3" xfId="49312"/>
    <cellStyle name="표준 9 4 2 2 3 3 2 4" xfId="49313"/>
    <cellStyle name="표준 9 4 2 2 3 3 3" xfId="49314"/>
    <cellStyle name="표준 9 4 2 2 3 3 3 2" xfId="49315"/>
    <cellStyle name="표준 9 4 2 2 3 3 3 3" xfId="49316"/>
    <cellStyle name="표준 9 4 2 2 3 3 4" xfId="49317"/>
    <cellStyle name="표준 9 4 2 2 3 3 5" xfId="49318"/>
    <cellStyle name="표준 9 4 2 2 3 4" xfId="49319"/>
    <cellStyle name="표준 9 4 2 2 3 4 2" xfId="49320"/>
    <cellStyle name="표준 9 4 2 2 3 4 2 2" xfId="49321"/>
    <cellStyle name="표준 9 4 2 2 3 4 2 3" xfId="49322"/>
    <cellStyle name="표준 9 4 2 2 3 4 3" xfId="49323"/>
    <cellStyle name="표준 9 4 2 2 3 4 4" xfId="49324"/>
    <cellStyle name="표준 9 4 2 2 3 5" xfId="49325"/>
    <cellStyle name="표준 9 4 2 2 3 5 2" xfId="49326"/>
    <cellStyle name="표준 9 4 2 2 3 5 3" xfId="49327"/>
    <cellStyle name="표준 9 4 2 2 3 6" xfId="49328"/>
    <cellStyle name="표준 9 4 2 2 3 7" xfId="49329"/>
    <cellStyle name="표준 9 4 2 2 4" xfId="49330"/>
    <cellStyle name="표준 9 4 2 2 4 2" xfId="49331"/>
    <cellStyle name="표준 9 4 2 2 4 2 2" xfId="49332"/>
    <cellStyle name="표준 9 4 2 2 4 2 2 2" xfId="49333"/>
    <cellStyle name="표준 9 4 2 2 4 2 2 3" xfId="49334"/>
    <cellStyle name="표준 9 4 2 2 4 2 3" xfId="49335"/>
    <cellStyle name="표준 9 4 2 2 4 2 4" xfId="49336"/>
    <cellStyle name="표준 9 4 2 2 4 3" xfId="49337"/>
    <cellStyle name="표준 9 4 2 2 4 3 2" xfId="49338"/>
    <cellStyle name="표준 9 4 2 2 4 3 3" xfId="49339"/>
    <cellStyle name="표준 9 4 2 2 4 4" xfId="49340"/>
    <cellStyle name="표준 9 4 2 2 4 5" xfId="49341"/>
    <cellStyle name="표준 9 4 2 2 5" xfId="49342"/>
    <cellStyle name="표준 9 4 2 2 5 2" xfId="49343"/>
    <cellStyle name="표준 9 4 2 2 5 2 2" xfId="49344"/>
    <cellStyle name="표준 9 4 2 2 5 2 2 2" xfId="49345"/>
    <cellStyle name="표준 9 4 2 2 5 2 2 3" xfId="49346"/>
    <cellStyle name="표준 9 4 2 2 5 2 3" xfId="49347"/>
    <cellStyle name="표준 9 4 2 2 5 2 4" xfId="49348"/>
    <cellStyle name="표준 9 4 2 2 5 3" xfId="49349"/>
    <cellStyle name="표준 9 4 2 2 5 3 2" xfId="49350"/>
    <cellStyle name="표준 9 4 2 2 5 3 3" xfId="49351"/>
    <cellStyle name="표준 9 4 2 2 5 4" xfId="49352"/>
    <cellStyle name="표준 9 4 2 2 5 5" xfId="49353"/>
    <cellStyle name="표준 9 4 2 2 6" xfId="49354"/>
    <cellStyle name="표준 9 4 2 2 6 2" xfId="49355"/>
    <cellStyle name="표준 9 4 2 2 6 2 2" xfId="49356"/>
    <cellStyle name="표준 9 4 2 2 6 2 2 2" xfId="49357"/>
    <cellStyle name="표준 9 4 2 2 6 2 2 3" xfId="49358"/>
    <cellStyle name="표준 9 4 2 2 6 2 3" xfId="49359"/>
    <cellStyle name="표준 9 4 2 2 6 2 4" xfId="49360"/>
    <cellStyle name="표준 9 4 2 2 6 3" xfId="49361"/>
    <cellStyle name="표준 9 4 2 2 6 3 2" xfId="49362"/>
    <cellStyle name="표준 9 4 2 2 6 3 3" xfId="49363"/>
    <cellStyle name="표준 9 4 2 2 6 4" xfId="49364"/>
    <cellStyle name="표준 9 4 2 2 6 5" xfId="49365"/>
    <cellStyle name="표준 9 4 2 2 7" xfId="49366"/>
    <cellStyle name="표준 9 4 2 2 7 2" xfId="49367"/>
    <cellStyle name="표준 9 4 2 2 7 2 2" xfId="49368"/>
    <cellStyle name="표준 9 4 2 2 7 2 3" xfId="49369"/>
    <cellStyle name="표준 9 4 2 2 7 3" xfId="49370"/>
    <cellStyle name="표준 9 4 2 2 7 4" xfId="49371"/>
    <cellStyle name="표준 9 4 2 2 8" xfId="49372"/>
    <cellStyle name="표준 9 4 2 2 8 2" xfId="49373"/>
    <cellStyle name="표준 9 4 2 2 8 3" xfId="49374"/>
    <cellStyle name="표준 9 4 2 2 9" xfId="49375"/>
    <cellStyle name="표준 9 4 2 3" xfId="49376"/>
    <cellStyle name="표준 9 4 2 3 10" xfId="49377"/>
    <cellStyle name="표준 9 4 2 3 2" xfId="49378"/>
    <cellStyle name="표준 9 4 2 3 2 2" xfId="49379"/>
    <cellStyle name="표준 9 4 2 3 2 2 2" xfId="49380"/>
    <cellStyle name="표준 9 4 2 3 2 2 2 2" xfId="49381"/>
    <cellStyle name="표준 9 4 2 3 2 2 2 2 2" xfId="49382"/>
    <cellStyle name="표준 9 4 2 3 2 2 2 2 3" xfId="49383"/>
    <cellStyle name="표준 9 4 2 3 2 2 2 3" xfId="49384"/>
    <cellStyle name="표준 9 4 2 3 2 2 2 4" xfId="49385"/>
    <cellStyle name="표준 9 4 2 3 2 2 3" xfId="49386"/>
    <cellStyle name="표준 9 4 2 3 2 2 3 2" xfId="49387"/>
    <cellStyle name="표준 9 4 2 3 2 2 3 3" xfId="49388"/>
    <cellStyle name="표준 9 4 2 3 2 2 4" xfId="49389"/>
    <cellStyle name="표준 9 4 2 3 2 2 5" xfId="49390"/>
    <cellStyle name="표준 9 4 2 3 2 3" xfId="49391"/>
    <cellStyle name="표준 9 4 2 3 2 3 2" xfId="49392"/>
    <cellStyle name="표준 9 4 2 3 2 3 2 2" xfId="49393"/>
    <cellStyle name="표준 9 4 2 3 2 3 2 2 2" xfId="49394"/>
    <cellStyle name="표준 9 4 2 3 2 3 2 2 3" xfId="49395"/>
    <cellStyle name="표준 9 4 2 3 2 3 2 3" xfId="49396"/>
    <cellStyle name="표준 9 4 2 3 2 3 2 4" xfId="49397"/>
    <cellStyle name="표준 9 4 2 3 2 3 3" xfId="49398"/>
    <cellStyle name="표준 9 4 2 3 2 3 3 2" xfId="49399"/>
    <cellStyle name="표준 9 4 2 3 2 3 3 3" xfId="49400"/>
    <cellStyle name="표준 9 4 2 3 2 3 4" xfId="49401"/>
    <cellStyle name="표준 9 4 2 3 2 3 5" xfId="49402"/>
    <cellStyle name="표준 9 4 2 3 2 4" xfId="49403"/>
    <cellStyle name="표준 9 4 2 3 2 4 2" xfId="49404"/>
    <cellStyle name="표준 9 4 2 3 2 4 2 2" xfId="49405"/>
    <cellStyle name="표준 9 4 2 3 2 4 2 3" xfId="49406"/>
    <cellStyle name="표준 9 4 2 3 2 4 3" xfId="49407"/>
    <cellStyle name="표준 9 4 2 3 2 4 4" xfId="49408"/>
    <cellStyle name="표준 9 4 2 3 2 5" xfId="49409"/>
    <cellStyle name="표준 9 4 2 3 2 5 2" xfId="49410"/>
    <cellStyle name="표준 9 4 2 3 2 5 3" xfId="49411"/>
    <cellStyle name="표준 9 4 2 3 2 6" xfId="49412"/>
    <cellStyle name="표준 9 4 2 3 2 7" xfId="49413"/>
    <cellStyle name="표준 9 4 2 3 3" xfId="49414"/>
    <cellStyle name="표준 9 4 2 3 3 2" xfId="49415"/>
    <cellStyle name="표준 9 4 2 3 3 2 2" xfId="49416"/>
    <cellStyle name="표준 9 4 2 3 3 2 2 2" xfId="49417"/>
    <cellStyle name="표준 9 4 2 3 3 2 2 2 2" xfId="49418"/>
    <cellStyle name="표준 9 4 2 3 3 2 2 2 3" xfId="49419"/>
    <cellStyle name="표준 9 4 2 3 3 2 2 3" xfId="49420"/>
    <cellStyle name="표준 9 4 2 3 3 2 2 4" xfId="49421"/>
    <cellStyle name="표준 9 4 2 3 3 2 3" xfId="49422"/>
    <cellStyle name="표준 9 4 2 3 3 2 3 2" xfId="49423"/>
    <cellStyle name="표준 9 4 2 3 3 2 3 3" xfId="49424"/>
    <cellStyle name="표준 9 4 2 3 3 2 4" xfId="49425"/>
    <cellStyle name="표준 9 4 2 3 3 2 5" xfId="49426"/>
    <cellStyle name="표준 9 4 2 3 3 3" xfId="49427"/>
    <cellStyle name="표준 9 4 2 3 3 3 2" xfId="49428"/>
    <cellStyle name="표준 9 4 2 3 3 3 2 2" xfId="49429"/>
    <cellStyle name="표준 9 4 2 3 3 3 2 2 2" xfId="49430"/>
    <cellStyle name="표준 9 4 2 3 3 3 2 2 3" xfId="49431"/>
    <cellStyle name="표준 9 4 2 3 3 3 2 3" xfId="49432"/>
    <cellStyle name="표준 9 4 2 3 3 3 2 4" xfId="49433"/>
    <cellStyle name="표준 9 4 2 3 3 3 3" xfId="49434"/>
    <cellStyle name="표준 9 4 2 3 3 3 3 2" xfId="49435"/>
    <cellStyle name="표준 9 4 2 3 3 3 3 3" xfId="49436"/>
    <cellStyle name="표준 9 4 2 3 3 3 4" xfId="49437"/>
    <cellStyle name="표준 9 4 2 3 3 3 5" xfId="49438"/>
    <cellStyle name="표준 9 4 2 3 3 4" xfId="49439"/>
    <cellStyle name="표준 9 4 2 3 3 4 2" xfId="49440"/>
    <cellStyle name="표준 9 4 2 3 3 4 2 2" xfId="49441"/>
    <cellStyle name="표준 9 4 2 3 3 4 2 3" xfId="49442"/>
    <cellStyle name="표준 9 4 2 3 3 4 3" xfId="49443"/>
    <cellStyle name="표준 9 4 2 3 3 4 4" xfId="49444"/>
    <cellStyle name="표준 9 4 2 3 3 5" xfId="49445"/>
    <cellStyle name="표준 9 4 2 3 3 5 2" xfId="49446"/>
    <cellStyle name="표준 9 4 2 3 3 5 3" xfId="49447"/>
    <cellStyle name="표준 9 4 2 3 3 6" xfId="49448"/>
    <cellStyle name="표준 9 4 2 3 3 7" xfId="49449"/>
    <cellStyle name="표준 9 4 2 3 4" xfId="49450"/>
    <cellStyle name="표준 9 4 2 3 4 2" xfId="49451"/>
    <cellStyle name="표준 9 4 2 3 4 2 2" xfId="49452"/>
    <cellStyle name="표준 9 4 2 3 4 2 2 2" xfId="49453"/>
    <cellStyle name="표준 9 4 2 3 4 2 2 3" xfId="49454"/>
    <cellStyle name="표준 9 4 2 3 4 2 3" xfId="49455"/>
    <cellStyle name="표준 9 4 2 3 4 2 4" xfId="49456"/>
    <cellStyle name="표준 9 4 2 3 4 3" xfId="49457"/>
    <cellStyle name="표준 9 4 2 3 4 3 2" xfId="49458"/>
    <cellStyle name="표준 9 4 2 3 4 3 3" xfId="49459"/>
    <cellStyle name="표준 9 4 2 3 4 4" xfId="49460"/>
    <cellStyle name="표준 9 4 2 3 4 5" xfId="49461"/>
    <cellStyle name="표준 9 4 2 3 5" xfId="49462"/>
    <cellStyle name="표준 9 4 2 3 5 2" xfId="49463"/>
    <cellStyle name="표준 9 4 2 3 5 2 2" xfId="49464"/>
    <cellStyle name="표준 9 4 2 3 5 2 2 2" xfId="49465"/>
    <cellStyle name="표준 9 4 2 3 5 2 2 3" xfId="49466"/>
    <cellStyle name="표준 9 4 2 3 5 2 3" xfId="49467"/>
    <cellStyle name="표준 9 4 2 3 5 2 4" xfId="49468"/>
    <cellStyle name="표준 9 4 2 3 5 3" xfId="49469"/>
    <cellStyle name="표준 9 4 2 3 5 3 2" xfId="49470"/>
    <cellStyle name="표준 9 4 2 3 5 3 3" xfId="49471"/>
    <cellStyle name="표준 9 4 2 3 5 4" xfId="49472"/>
    <cellStyle name="표준 9 4 2 3 5 5" xfId="49473"/>
    <cellStyle name="표준 9 4 2 3 6" xfId="49474"/>
    <cellStyle name="표준 9 4 2 3 6 2" xfId="49475"/>
    <cellStyle name="표준 9 4 2 3 6 2 2" xfId="49476"/>
    <cellStyle name="표준 9 4 2 3 6 2 2 2" xfId="49477"/>
    <cellStyle name="표준 9 4 2 3 6 2 2 3" xfId="49478"/>
    <cellStyle name="표준 9 4 2 3 6 2 3" xfId="49479"/>
    <cellStyle name="표준 9 4 2 3 6 2 4" xfId="49480"/>
    <cellStyle name="표준 9 4 2 3 6 3" xfId="49481"/>
    <cellStyle name="표준 9 4 2 3 6 3 2" xfId="49482"/>
    <cellStyle name="표준 9 4 2 3 6 3 3" xfId="49483"/>
    <cellStyle name="표준 9 4 2 3 6 4" xfId="49484"/>
    <cellStyle name="표준 9 4 2 3 6 5" xfId="49485"/>
    <cellStyle name="표준 9 4 2 3 7" xfId="49486"/>
    <cellStyle name="표준 9 4 2 3 7 2" xfId="49487"/>
    <cellStyle name="표준 9 4 2 3 7 2 2" xfId="49488"/>
    <cellStyle name="표준 9 4 2 3 7 2 3" xfId="49489"/>
    <cellStyle name="표준 9 4 2 3 7 3" xfId="49490"/>
    <cellStyle name="표준 9 4 2 3 7 4" xfId="49491"/>
    <cellStyle name="표준 9 4 2 3 8" xfId="49492"/>
    <cellStyle name="표준 9 4 2 3 8 2" xfId="49493"/>
    <cellStyle name="표준 9 4 2 3 8 3" xfId="49494"/>
    <cellStyle name="표준 9 4 2 3 9" xfId="49495"/>
    <cellStyle name="표준 9 4 2 4" xfId="49496"/>
    <cellStyle name="표준 9 4 2 4 10" xfId="49497"/>
    <cellStyle name="표준 9 4 2 4 2" xfId="49498"/>
    <cellStyle name="표준 9 4 2 4 2 2" xfId="49499"/>
    <cellStyle name="표준 9 4 2 4 2 2 2" xfId="49500"/>
    <cellStyle name="표준 9 4 2 4 2 2 2 2" xfId="49501"/>
    <cellStyle name="표준 9 4 2 4 2 2 2 2 2" xfId="49502"/>
    <cellStyle name="표준 9 4 2 4 2 2 2 2 3" xfId="49503"/>
    <cellStyle name="표준 9 4 2 4 2 2 2 3" xfId="49504"/>
    <cellStyle name="표준 9 4 2 4 2 2 2 4" xfId="49505"/>
    <cellStyle name="표준 9 4 2 4 2 2 3" xfId="49506"/>
    <cellStyle name="표준 9 4 2 4 2 2 3 2" xfId="49507"/>
    <cellStyle name="표준 9 4 2 4 2 2 3 3" xfId="49508"/>
    <cellStyle name="표준 9 4 2 4 2 2 4" xfId="49509"/>
    <cellStyle name="표준 9 4 2 4 2 2 5" xfId="49510"/>
    <cellStyle name="표준 9 4 2 4 2 3" xfId="49511"/>
    <cellStyle name="표준 9 4 2 4 2 3 2" xfId="49512"/>
    <cellStyle name="표준 9 4 2 4 2 3 2 2" xfId="49513"/>
    <cellStyle name="표준 9 4 2 4 2 3 2 2 2" xfId="49514"/>
    <cellStyle name="표준 9 4 2 4 2 3 2 2 3" xfId="49515"/>
    <cellStyle name="표준 9 4 2 4 2 3 2 3" xfId="49516"/>
    <cellStyle name="표준 9 4 2 4 2 3 2 4" xfId="49517"/>
    <cellStyle name="표준 9 4 2 4 2 3 3" xfId="49518"/>
    <cellStyle name="표준 9 4 2 4 2 3 3 2" xfId="49519"/>
    <cellStyle name="표준 9 4 2 4 2 3 3 3" xfId="49520"/>
    <cellStyle name="표준 9 4 2 4 2 3 4" xfId="49521"/>
    <cellStyle name="표준 9 4 2 4 2 3 5" xfId="49522"/>
    <cellStyle name="표준 9 4 2 4 2 4" xfId="49523"/>
    <cellStyle name="표준 9 4 2 4 2 4 2" xfId="49524"/>
    <cellStyle name="표준 9 4 2 4 2 4 2 2" xfId="49525"/>
    <cellStyle name="표준 9 4 2 4 2 4 2 3" xfId="49526"/>
    <cellStyle name="표준 9 4 2 4 2 4 3" xfId="49527"/>
    <cellStyle name="표준 9 4 2 4 2 4 4" xfId="49528"/>
    <cellStyle name="표준 9 4 2 4 2 5" xfId="49529"/>
    <cellStyle name="표준 9 4 2 4 2 5 2" xfId="49530"/>
    <cellStyle name="표준 9 4 2 4 2 5 3" xfId="49531"/>
    <cellStyle name="표준 9 4 2 4 2 6" xfId="49532"/>
    <cellStyle name="표준 9 4 2 4 2 7" xfId="49533"/>
    <cellStyle name="표준 9 4 2 4 3" xfId="49534"/>
    <cellStyle name="표준 9 4 2 4 3 2" xfId="49535"/>
    <cellStyle name="표준 9 4 2 4 3 2 2" xfId="49536"/>
    <cellStyle name="표준 9 4 2 4 3 2 2 2" xfId="49537"/>
    <cellStyle name="표준 9 4 2 4 3 2 2 2 2" xfId="49538"/>
    <cellStyle name="표준 9 4 2 4 3 2 2 2 3" xfId="49539"/>
    <cellStyle name="표준 9 4 2 4 3 2 2 3" xfId="49540"/>
    <cellStyle name="표준 9 4 2 4 3 2 2 4" xfId="49541"/>
    <cellStyle name="표준 9 4 2 4 3 2 3" xfId="49542"/>
    <cellStyle name="표준 9 4 2 4 3 2 3 2" xfId="49543"/>
    <cellStyle name="표준 9 4 2 4 3 2 3 3" xfId="49544"/>
    <cellStyle name="표준 9 4 2 4 3 2 4" xfId="49545"/>
    <cellStyle name="표준 9 4 2 4 3 2 5" xfId="49546"/>
    <cellStyle name="표준 9 4 2 4 3 3" xfId="49547"/>
    <cellStyle name="표준 9 4 2 4 3 3 2" xfId="49548"/>
    <cellStyle name="표준 9 4 2 4 3 3 2 2" xfId="49549"/>
    <cellStyle name="표준 9 4 2 4 3 3 2 2 2" xfId="49550"/>
    <cellStyle name="표준 9 4 2 4 3 3 2 2 3" xfId="49551"/>
    <cellStyle name="표준 9 4 2 4 3 3 2 3" xfId="49552"/>
    <cellStyle name="표준 9 4 2 4 3 3 2 4" xfId="49553"/>
    <cellStyle name="표준 9 4 2 4 3 3 3" xfId="49554"/>
    <cellStyle name="표준 9 4 2 4 3 3 3 2" xfId="49555"/>
    <cellStyle name="표준 9 4 2 4 3 3 3 3" xfId="49556"/>
    <cellStyle name="표준 9 4 2 4 3 3 4" xfId="49557"/>
    <cellStyle name="표준 9 4 2 4 3 3 5" xfId="49558"/>
    <cellStyle name="표준 9 4 2 4 3 4" xfId="49559"/>
    <cellStyle name="표준 9 4 2 4 3 4 2" xfId="49560"/>
    <cellStyle name="표준 9 4 2 4 3 4 2 2" xfId="49561"/>
    <cellStyle name="표준 9 4 2 4 3 4 2 3" xfId="49562"/>
    <cellStyle name="표준 9 4 2 4 3 4 3" xfId="49563"/>
    <cellStyle name="표준 9 4 2 4 3 4 4" xfId="49564"/>
    <cellStyle name="표준 9 4 2 4 3 5" xfId="49565"/>
    <cellStyle name="표준 9 4 2 4 3 5 2" xfId="49566"/>
    <cellStyle name="표준 9 4 2 4 3 5 3" xfId="49567"/>
    <cellStyle name="표준 9 4 2 4 3 6" xfId="49568"/>
    <cellStyle name="표준 9 4 2 4 3 7" xfId="49569"/>
    <cellStyle name="표준 9 4 2 4 4" xfId="49570"/>
    <cellStyle name="표준 9 4 2 4 4 2" xfId="49571"/>
    <cellStyle name="표준 9 4 2 4 4 2 2" xfId="49572"/>
    <cellStyle name="표준 9 4 2 4 4 2 2 2" xfId="49573"/>
    <cellStyle name="표준 9 4 2 4 4 2 2 3" xfId="49574"/>
    <cellStyle name="표준 9 4 2 4 4 2 3" xfId="49575"/>
    <cellStyle name="표준 9 4 2 4 4 2 4" xfId="49576"/>
    <cellStyle name="표준 9 4 2 4 4 3" xfId="49577"/>
    <cellStyle name="표준 9 4 2 4 4 3 2" xfId="49578"/>
    <cellStyle name="표준 9 4 2 4 4 3 3" xfId="49579"/>
    <cellStyle name="표준 9 4 2 4 4 4" xfId="49580"/>
    <cellStyle name="표준 9 4 2 4 4 5" xfId="49581"/>
    <cellStyle name="표준 9 4 2 4 5" xfId="49582"/>
    <cellStyle name="표준 9 4 2 4 5 2" xfId="49583"/>
    <cellStyle name="표준 9 4 2 4 5 2 2" xfId="49584"/>
    <cellStyle name="표준 9 4 2 4 5 2 2 2" xfId="49585"/>
    <cellStyle name="표준 9 4 2 4 5 2 2 3" xfId="49586"/>
    <cellStyle name="표준 9 4 2 4 5 2 3" xfId="49587"/>
    <cellStyle name="표준 9 4 2 4 5 2 4" xfId="49588"/>
    <cellStyle name="표준 9 4 2 4 5 3" xfId="49589"/>
    <cellStyle name="표준 9 4 2 4 5 3 2" xfId="49590"/>
    <cellStyle name="표준 9 4 2 4 5 3 3" xfId="49591"/>
    <cellStyle name="표준 9 4 2 4 5 4" xfId="49592"/>
    <cellStyle name="표준 9 4 2 4 5 5" xfId="49593"/>
    <cellStyle name="표준 9 4 2 4 6" xfId="49594"/>
    <cellStyle name="표준 9 4 2 4 6 2" xfId="49595"/>
    <cellStyle name="표준 9 4 2 4 6 2 2" xfId="49596"/>
    <cellStyle name="표준 9 4 2 4 6 2 2 2" xfId="49597"/>
    <cellStyle name="표준 9 4 2 4 6 2 2 3" xfId="49598"/>
    <cellStyle name="표준 9 4 2 4 6 2 3" xfId="49599"/>
    <cellStyle name="표준 9 4 2 4 6 2 4" xfId="49600"/>
    <cellStyle name="표준 9 4 2 4 6 3" xfId="49601"/>
    <cellStyle name="표준 9 4 2 4 6 3 2" xfId="49602"/>
    <cellStyle name="표준 9 4 2 4 6 3 3" xfId="49603"/>
    <cellStyle name="표준 9 4 2 4 6 4" xfId="49604"/>
    <cellStyle name="표준 9 4 2 4 6 5" xfId="49605"/>
    <cellStyle name="표준 9 4 2 4 7" xfId="49606"/>
    <cellStyle name="표준 9 4 2 4 7 2" xfId="49607"/>
    <cellStyle name="표준 9 4 2 4 7 2 2" xfId="49608"/>
    <cellStyle name="표준 9 4 2 4 7 2 3" xfId="49609"/>
    <cellStyle name="표준 9 4 2 4 7 3" xfId="49610"/>
    <cellStyle name="표준 9 4 2 4 7 4" xfId="49611"/>
    <cellStyle name="표준 9 4 2 4 8" xfId="49612"/>
    <cellStyle name="표준 9 4 2 4 8 2" xfId="49613"/>
    <cellStyle name="표준 9 4 2 4 8 3" xfId="49614"/>
    <cellStyle name="표준 9 4 2 4 9" xfId="49615"/>
    <cellStyle name="표준 9 4 2 5" xfId="49616"/>
    <cellStyle name="표준 9 4 2 5 2" xfId="49617"/>
    <cellStyle name="표준 9 4 2 5 2 2" xfId="49618"/>
    <cellStyle name="표준 9 4 2 5 2 2 2" xfId="49619"/>
    <cellStyle name="표준 9 4 2 5 2 2 2 2" xfId="49620"/>
    <cellStyle name="표준 9 4 2 5 2 2 2 3" xfId="49621"/>
    <cellStyle name="표준 9 4 2 5 2 2 3" xfId="49622"/>
    <cellStyle name="표준 9 4 2 5 2 2 4" xfId="49623"/>
    <cellStyle name="표준 9 4 2 5 2 3" xfId="49624"/>
    <cellStyle name="표준 9 4 2 5 2 3 2" xfId="49625"/>
    <cellStyle name="표준 9 4 2 5 2 3 3" xfId="49626"/>
    <cellStyle name="표준 9 4 2 5 2 4" xfId="49627"/>
    <cellStyle name="표준 9 4 2 5 2 5" xfId="49628"/>
    <cellStyle name="표준 9 4 2 5 3" xfId="49629"/>
    <cellStyle name="표준 9 4 2 5 3 2" xfId="49630"/>
    <cellStyle name="표준 9 4 2 5 3 2 2" xfId="49631"/>
    <cellStyle name="표준 9 4 2 5 3 2 2 2" xfId="49632"/>
    <cellStyle name="표준 9 4 2 5 3 2 2 3" xfId="49633"/>
    <cellStyle name="표준 9 4 2 5 3 2 3" xfId="49634"/>
    <cellStyle name="표준 9 4 2 5 3 2 4" xfId="49635"/>
    <cellStyle name="표준 9 4 2 5 3 3" xfId="49636"/>
    <cellStyle name="표준 9 4 2 5 3 3 2" xfId="49637"/>
    <cellStyle name="표준 9 4 2 5 3 3 3" xfId="49638"/>
    <cellStyle name="표준 9 4 2 5 3 4" xfId="49639"/>
    <cellStyle name="표준 9 4 2 5 3 5" xfId="49640"/>
    <cellStyle name="표준 9 4 2 5 4" xfId="49641"/>
    <cellStyle name="표준 9 4 2 5 4 2" xfId="49642"/>
    <cellStyle name="표준 9 4 2 5 4 2 2" xfId="49643"/>
    <cellStyle name="표준 9 4 2 5 4 2 3" xfId="49644"/>
    <cellStyle name="표준 9 4 2 5 4 3" xfId="49645"/>
    <cellStyle name="표준 9 4 2 5 4 4" xfId="49646"/>
    <cellStyle name="표준 9 4 2 5 5" xfId="49647"/>
    <cellStyle name="표준 9 4 2 5 5 2" xfId="49648"/>
    <cellStyle name="표준 9 4 2 5 5 3" xfId="49649"/>
    <cellStyle name="표준 9 4 2 5 6" xfId="49650"/>
    <cellStyle name="표준 9 4 2 5 7" xfId="49651"/>
    <cellStyle name="표준 9 4 2 6" xfId="49652"/>
    <cellStyle name="표준 9 4 2 6 2" xfId="49653"/>
    <cellStyle name="표준 9 4 2 6 2 2" xfId="49654"/>
    <cellStyle name="표준 9 4 2 6 2 2 2" xfId="49655"/>
    <cellStyle name="표준 9 4 2 6 2 2 2 2" xfId="49656"/>
    <cellStyle name="표준 9 4 2 6 2 2 2 3" xfId="49657"/>
    <cellStyle name="표준 9 4 2 6 2 2 3" xfId="49658"/>
    <cellStyle name="표준 9 4 2 6 2 2 4" xfId="49659"/>
    <cellStyle name="표준 9 4 2 6 2 3" xfId="49660"/>
    <cellStyle name="표준 9 4 2 6 2 3 2" xfId="49661"/>
    <cellStyle name="표준 9 4 2 6 2 3 3" xfId="49662"/>
    <cellStyle name="표준 9 4 2 6 2 4" xfId="49663"/>
    <cellStyle name="표준 9 4 2 6 2 5" xfId="49664"/>
    <cellStyle name="표준 9 4 2 6 3" xfId="49665"/>
    <cellStyle name="표준 9 4 2 6 3 2" xfId="49666"/>
    <cellStyle name="표준 9 4 2 6 3 2 2" xfId="49667"/>
    <cellStyle name="표준 9 4 2 6 3 2 2 2" xfId="49668"/>
    <cellStyle name="표준 9 4 2 6 3 2 2 3" xfId="49669"/>
    <cellStyle name="표준 9 4 2 6 3 2 3" xfId="49670"/>
    <cellStyle name="표준 9 4 2 6 3 2 4" xfId="49671"/>
    <cellStyle name="표준 9 4 2 6 3 3" xfId="49672"/>
    <cellStyle name="표준 9 4 2 6 3 3 2" xfId="49673"/>
    <cellStyle name="표준 9 4 2 6 3 3 3" xfId="49674"/>
    <cellStyle name="표준 9 4 2 6 3 4" xfId="49675"/>
    <cellStyle name="표준 9 4 2 6 3 5" xfId="49676"/>
    <cellStyle name="표준 9 4 2 6 4" xfId="49677"/>
    <cellStyle name="표준 9 4 2 6 4 2" xfId="49678"/>
    <cellStyle name="표준 9 4 2 6 4 2 2" xfId="49679"/>
    <cellStyle name="표준 9 4 2 6 4 2 3" xfId="49680"/>
    <cellStyle name="표준 9 4 2 6 4 3" xfId="49681"/>
    <cellStyle name="표준 9 4 2 6 4 4" xfId="49682"/>
    <cellStyle name="표준 9 4 2 6 5" xfId="49683"/>
    <cellStyle name="표준 9 4 2 6 5 2" xfId="49684"/>
    <cellStyle name="표준 9 4 2 6 5 3" xfId="49685"/>
    <cellStyle name="표준 9 4 2 6 6" xfId="49686"/>
    <cellStyle name="표준 9 4 2 6 7" xfId="49687"/>
    <cellStyle name="표준 9 4 2 7" xfId="49688"/>
    <cellStyle name="표준 9 4 2 7 2" xfId="49689"/>
    <cellStyle name="표준 9 4 2 7 2 2" xfId="49690"/>
    <cellStyle name="표준 9 4 2 7 2 2 2" xfId="49691"/>
    <cellStyle name="표준 9 4 2 7 2 2 3" xfId="49692"/>
    <cellStyle name="표준 9 4 2 7 2 3" xfId="49693"/>
    <cellStyle name="표준 9 4 2 7 2 4" xfId="49694"/>
    <cellStyle name="표준 9 4 2 7 3" xfId="49695"/>
    <cellStyle name="표준 9 4 2 7 3 2" xfId="49696"/>
    <cellStyle name="표준 9 4 2 7 3 3" xfId="49697"/>
    <cellStyle name="표준 9 4 2 7 4" xfId="49698"/>
    <cellStyle name="표준 9 4 2 7 5" xfId="49699"/>
    <cellStyle name="표준 9 4 2 8" xfId="49700"/>
    <cellStyle name="표준 9 4 2 8 2" xfId="49701"/>
    <cellStyle name="표준 9 4 2 8 2 2" xfId="49702"/>
    <cellStyle name="표준 9 4 2 8 2 2 2" xfId="49703"/>
    <cellStyle name="표준 9 4 2 8 2 2 3" xfId="49704"/>
    <cellStyle name="표준 9 4 2 8 2 3" xfId="49705"/>
    <cellStyle name="표준 9 4 2 8 2 4" xfId="49706"/>
    <cellStyle name="표준 9 4 2 8 3" xfId="49707"/>
    <cellStyle name="표준 9 4 2 8 3 2" xfId="49708"/>
    <cellStyle name="표준 9 4 2 8 3 3" xfId="49709"/>
    <cellStyle name="표준 9 4 2 8 4" xfId="49710"/>
    <cellStyle name="표준 9 4 2 8 5" xfId="49711"/>
    <cellStyle name="표준 9 4 2 9" xfId="49712"/>
    <cellStyle name="표준 9 4 2 9 2" xfId="49713"/>
    <cellStyle name="표준 9 4 2 9 2 2" xfId="49714"/>
    <cellStyle name="표준 9 4 2 9 2 2 2" xfId="49715"/>
    <cellStyle name="표준 9 4 2 9 2 2 3" xfId="49716"/>
    <cellStyle name="표준 9 4 2 9 2 3" xfId="49717"/>
    <cellStyle name="표준 9 4 2 9 2 4" xfId="49718"/>
    <cellStyle name="표준 9 4 2 9 3" xfId="49719"/>
    <cellStyle name="표준 9 4 2 9 3 2" xfId="49720"/>
    <cellStyle name="표준 9 4 2 9 3 3" xfId="49721"/>
    <cellStyle name="표준 9 4 2 9 4" xfId="49722"/>
    <cellStyle name="표준 9 4 2 9 5" xfId="49723"/>
    <cellStyle name="표준 9 4 3" xfId="49724"/>
    <cellStyle name="표준 9 4 3 10" xfId="49725"/>
    <cellStyle name="표준 9 4 3 2" xfId="49726"/>
    <cellStyle name="표준 9 4 3 2 2" xfId="49727"/>
    <cellStyle name="표준 9 4 3 2 2 2" xfId="49728"/>
    <cellStyle name="표준 9 4 3 2 2 2 2" xfId="49729"/>
    <cellStyle name="표준 9 4 3 2 2 2 2 2" xfId="49730"/>
    <cellStyle name="표준 9 4 3 2 2 2 2 3" xfId="49731"/>
    <cellStyle name="표준 9 4 3 2 2 2 3" xfId="49732"/>
    <cellStyle name="표준 9 4 3 2 2 2 4" xfId="49733"/>
    <cellStyle name="표준 9 4 3 2 2 3" xfId="49734"/>
    <cellStyle name="표준 9 4 3 2 2 3 2" xfId="49735"/>
    <cellStyle name="표준 9 4 3 2 2 3 3" xfId="49736"/>
    <cellStyle name="표준 9 4 3 2 2 4" xfId="49737"/>
    <cellStyle name="표준 9 4 3 2 2 5" xfId="49738"/>
    <cellStyle name="표준 9 4 3 2 3" xfId="49739"/>
    <cellStyle name="표준 9 4 3 2 3 2" xfId="49740"/>
    <cellStyle name="표준 9 4 3 2 3 2 2" xfId="49741"/>
    <cellStyle name="표준 9 4 3 2 3 2 2 2" xfId="49742"/>
    <cellStyle name="표준 9 4 3 2 3 2 2 3" xfId="49743"/>
    <cellStyle name="표준 9 4 3 2 3 2 3" xfId="49744"/>
    <cellStyle name="표준 9 4 3 2 3 2 4" xfId="49745"/>
    <cellStyle name="표준 9 4 3 2 3 3" xfId="49746"/>
    <cellStyle name="표준 9 4 3 2 3 3 2" xfId="49747"/>
    <cellStyle name="표준 9 4 3 2 3 3 3" xfId="49748"/>
    <cellStyle name="표준 9 4 3 2 3 4" xfId="49749"/>
    <cellStyle name="표준 9 4 3 2 3 5" xfId="49750"/>
    <cellStyle name="표준 9 4 3 2 4" xfId="49751"/>
    <cellStyle name="표준 9 4 3 2 4 2" xfId="49752"/>
    <cellStyle name="표준 9 4 3 2 4 2 2" xfId="49753"/>
    <cellStyle name="표준 9 4 3 2 4 2 3" xfId="49754"/>
    <cellStyle name="표준 9 4 3 2 4 3" xfId="49755"/>
    <cellStyle name="표준 9 4 3 2 4 4" xfId="49756"/>
    <cellStyle name="표준 9 4 3 2 5" xfId="49757"/>
    <cellStyle name="표준 9 4 3 2 5 2" xfId="49758"/>
    <cellStyle name="표준 9 4 3 2 5 3" xfId="49759"/>
    <cellStyle name="표준 9 4 3 2 6" xfId="49760"/>
    <cellStyle name="표준 9 4 3 2 7" xfId="49761"/>
    <cellStyle name="표준 9 4 3 3" xfId="49762"/>
    <cellStyle name="표준 9 4 3 3 2" xfId="49763"/>
    <cellStyle name="표준 9 4 3 3 2 2" xfId="49764"/>
    <cellStyle name="표준 9 4 3 3 2 2 2" xfId="49765"/>
    <cellStyle name="표준 9 4 3 3 2 2 2 2" xfId="49766"/>
    <cellStyle name="표준 9 4 3 3 2 2 2 3" xfId="49767"/>
    <cellStyle name="표준 9 4 3 3 2 2 3" xfId="49768"/>
    <cellStyle name="표준 9 4 3 3 2 2 4" xfId="49769"/>
    <cellStyle name="표준 9 4 3 3 2 3" xfId="49770"/>
    <cellStyle name="표준 9 4 3 3 2 3 2" xfId="49771"/>
    <cellStyle name="표준 9 4 3 3 2 3 3" xfId="49772"/>
    <cellStyle name="표준 9 4 3 3 2 4" xfId="49773"/>
    <cellStyle name="표준 9 4 3 3 2 5" xfId="49774"/>
    <cellStyle name="표준 9 4 3 3 3" xfId="49775"/>
    <cellStyle name="표준 9 4 3 3 3 2" xfId="49776"/>
    <cellStyle name="표준 9 4 3 3 3 2 2" xfId="49777"/>
    <cellStyle name="표준 9 4 3 3 3 2 2 2" xfId="49778"/>
    <cellStyle name="표준 9 4 3 3 3 2 2 3" xfId="49779"/>
    <cellStyle name="표준 9 4 3 3 3 2 3" xfId="49780"/>
    <cellStyle name="표준 9 4 3 3 3 2 4" xfId="49781"/>
    <cellStyle name="표준 9 4 3 3 3 3" xfId="49782"/>
    <cellStyle name="표준 9 4 3 3 3 3 2" xfId="49783"/>
    <cellStyle name="표준 9 4 3 3 3 3 3" xfId="49784"/>
    <cellStyle name="표준 9 4 3 3 3 4" xfId="49785"/>
    <cellStyle name="표준 9 4 3 3 3 5" xfId="49786"/>
    <cellStyle name="표준 9 4 3 3 4" xfId="49787"/>
    <cellStyle name="표준 9 4 3 3 4 2" xfId="49788"/>
    <cellStyle name="표준 9 4 3 3 4 2 2" xfId="49789"/>
    <cellStyle name="표준 9 4 3 3 4 2 3" xfId="49790"/>
    <cellStyle name="표준 9 4 3 3 4 3" xfId="49791"/>
    <cellStyle name="표준 9 4 3 3 4 4" xfId="49792"/>
    <cellStyle name="표준 9 4 3 3 5" xfId="49793"/>
    <cellStyle name="표준 9 4 3 3 5 2" xfId="49794"/>
    <cellStyle name="표준 9 4 3 3 5 3" xfId="49795"/>
    <cellStyle name="표준 9 4 3 3 6" xfId="49796"/>
    <cellStyle name="표준 9 4 3 3 7" xfId="49797"/>
    <cellStyle name="표준 9 4 3 4" xfId="49798"/>
    <cellStyle name="표준 9 4 3 4 2" xfId="49799"/>
    <cellStyle name="표준 9 4 3 4 2 2" xfId="49800"/>
    <cellStyle name="표준 9 4 3 4 2 2 2" xfId="49801"/>
    <cellStyle name="표준 9 4 3 4 2 2 3" xfId="49802"/>
    <cellStyle name="표준 9 4 3 4 2 3" xfId="49803"/>
    <cellStyle name="표준 9 4 3 4 2 4" xfId="49804"/>
    <cellStyle name="표준 9 4 3 4 3" xfId="49805"/>
    <cellStyle name="표준 9 4 3 4 3 2" xfId="49806"/>
    <cellStyle name="표준 9 4 3 4 3 3" xfId="49807"/>
    <cellStyle name="표준 9 4 3 4 4" xfId="49808"/>
    <cellStyle name="표준 9 4 3 4 5" xfId="49809"/>
    <cellStyle name="표준 9 4 3 5" xfId="49810"/>
    <cellStyle name="표준 9 4 3 5 2" xfId="49811"/>
    <cellStyle name="표준 9 4 3 5 2 2" xfId="49812"/>
    <cellStyle name="표준 9 4 3 5 2 2 2" xfId="49813"/>
    <cellStyle name="표준 9 4 3 5 2 2 3" xfId="49814"/>
    <cellStyle name="표준 9 4 3 5 2 3" xfId="49815"/>
    <cellStyle name="표준 9 4 3 5 2 4" xfId="49816"/>
    <cellStyle name="표준 9 4 3 5 3" xfId="49817"/>
    <cellStyle name="표준 9 4 3 5 3 2" xfId="49818"/>
    <cellStyle name="표준 9 4 3 5 3 3" xfId="49819"/>
    <cellStyle name="표준 9 4 3 5 4" xfId="49820"/>
    <cellStyle name="표준 9 4 3 5 5" xfId="49821"/>
    <cellStyle name="표준 9 4 3 6" xfId="49822"/>
    <cellStyle name="표준 9 4 3 6 2" xfId="49823"/>
    <cellStyle name="표준 9 4 3 6 2 2" xfId="49824"/>
    <cellStyle name="표준 9 4 3 6 2 2 2" xfId="49825"/>
    <cellStyle name="표준 9 4 3 6 2 2 3" xfId="49826"/>
    <cellStyle name="표준 9 4 3 6 2 3" xfId="49827"/>
    <cellStyle name="표준 9 4 3 6 2 4" xfId="49828"/>
    <cellStyle name="표준 9 4 3 6 3" xfId="49829"/>
    <cellStyle name="표준 9 4 3 6 3 2" xfId="49830"/>
    <cellStyle name="표준 9 4 3 6 3 3" xfId="49831"/>
    <cellStyle name="표준 9 4 3 6 4" xfId="49832"/>
    <cellStyle name="표준 9 4 3 6 5" xfId="49833"/>
    <cellStyle name="표준 9 4 3 7" xfId="49834"/>
    <cellStyle name="표준 9 4 3 7 2" xfId="49835"/>
    <cellStyle name="표준 9 4 3 7 2 2" xfId="49836"/>
    <cellStyle name="표준 9 4 3 7 2 3" xfId="49837"/>
    <cellStyle name="표준 9 4 3 7 3" xfId="49838"/>
    <cellStyle name="표준 9 4 3 7 4" xfId="49839"/>
    <cellStyle name="표준 9 4 3 8" xfId="49840"/>
    <cellStyle name="표준 9 4 3 8 2" xfId="49841"/>
    <cellStyle name="표준 9 4 3 8 3" xfId="49842"/>
    <cellStyle name="표준 9 4 3 9" xfId="49843"/>
    <cellStyle name="표준 9 4 4" xfId="49844"/>
    <cellStyle name="표준 9 4 4 10" xfId="49845"/>
    <cellStyle name="표준 9 4 4 2" xfId="49846"/>
    <cellStyle name="표준 9 4 4 2 2" xfId="49847"/>
    <cellStyle name="표준 9 4 4 2 2 2" xfId="49848"/>
    <cellStyle name="표준 9 4 4 2 2 2 2" xfId="49849"/>
    <cellStyle name="표준 9 4 4 2 2 2 2 2" xfId="49850"/>
    <cellStyle name="표준 9 4 4 2 2 2 2 3" xfId="49851"/>
    <cellStyle name="표준 9 4 4 2 2 2 3" xfId="49852"/>
    <cellStyle name="표준 9 4 4 2 2 2 4" xfId="49853"/>
    <cellStyle name="표준 9 4 4 2 2 3" xfId="49854"/>
    <cellStyle name="표준 9 4 4 2 2 3 2" xfId="49855"/>
    <cellStyle name="표준 9 4 4 2 2 3 3" xfId="49856"/>
    <cellStyle name="표준 9 4 4 2 2 4" xfId="49857"/>
    <cellStyle name="표준 9 4 4 2 2 5" xfId="49858"/>
    <cellStyle name="표준 9 4 4 2 3" xfId="49859"/>
    <cellStyle name="표준 9 4 4 2 3 2" xfId="49860"/>
    <cellStyle name="표준 9 4 4 2 3 2 2" xfId="49861"/>
    <cellStyle name="표준 9 4 4 2 3 2 2 2" xfId="49862"/>
    <cellStyle name="표준 9 4 4 2 3 2 2 3" xfId="49863"/>
    <cellStyle name="표준 9 4 4 2 3 2 3" xfId="49864"/>
    <cellStyle name="표준 9 4 4 2 3 2 4" xfId="49865"/>
    <cellStyle name="표준 9 4 4 2 3 3" xfId="49866"/>
    <cellStyle name="표준 9 4 4 2 3 3 2" xfId="49867"/>
    <cellStyle name="표준 9 4 4 2 3 3 3" xfId="49868"/>
    <cellStyle name="표준 9 4 4 2 3 4" xfId="49869"/>
    <cellStyle name="표준 9 4 4 2 3 5" xfId="49870"/>
    <cellStyle name="표준 9 4 4 2 4" xfId="49871"/>
    <cellStyle name="표준 9 4 4 2 4 2" xfId="49872"/>
    <cellStyle name="표준 9 4 4 2 4 2 2" xfId="49873"/>
    <cellStyle name="표준 9 4 4 2 4 2 3" xfId="49874"/>
    <cellStyle name="표준 9 4 4 2 4 3" xfId="49875"/>
    <cellStyle name="표준 9 4 4 2 4 4" xfId="49876"/>
    <cellStyle name="표준 9 4 4 2 5" xfId="49877"/>
    <cellStyle name="표준 9 4 4 2 5 2" xfId="49878"/>
    <cellStyle name="표준 9 4 4 2 5 3" xfId="49879"/>
    <cellStyle name="표준 9 4 4 2 6" xfId="49880"/>
    <cellStyle name="표준 9 4 4 2 7" xfId="49881"/>
    <cellStyle name="표준 9 4 4 3" xfId="49882"/>
    <cellStyle name="표준 9 4 4 3 2" xfId="49883"/>
    <cellStyle name="표준 9 4 4 3 2 2" xfId="49884"/>
    <cellStyle name="표준 9 4 4 3 2 2 2" xfId="49885"/>
    <cellStyle name="표준 9 4 4 3 2 2 2 2" xfId="49886"/>
    <cellStyle name="표준 9 4 4 3 2 2 2 3" xfId="49887"/>
    <cellStyle name="표준 9 4 4 3 2 2 3" xfId="49888"/>
    <cellStyle name="표준 9 4 4 3 2 2 4" xfId="49889"/>
    <cellStyle name="표준 9 4 4 3 2 3" xfId="49890"/>
    <cellStyle name="표준 9 4 4 3 2 3 2" xfId="49891"/>
    <cellStyle name="표준 9 4 4 3 2 3 3" xfId="49892"/>
    <cellStyle name="표준 9 4 4 3 2 4" xfId="49893"/>
    <cellStyle name="표준 9 4 4 3 2 5" xfId="49894"/>
    <cellStyle name="표준 9 4 4 3 3" xfId="49895"/>
    <cellStyle name="표준 9 4 4 3 3 2" xfId="49896"/>
    <cellStyle name="표준 9 4 4 3 3 2 2" xfId="49897"/>
    <cellStyle name="표준 9 4 4 3 3 2 2 2" xfId="49898"/>
    <cellStyle name="표준 9 4 4 3 3 2 2 3" xfId="49899"/>
    <cellStyle name="표준 9 4 4 3 3 2 3" xfId="49900"/>
    <cellStyle name="표준 9 4 4 3 3 2 4" xfId="49901"/>
    <cellStyle name="표준 9 4 4 3 3 3" xfId="49902"/>
    <cellStyle name="표준 9 4 4 3 3 3 2" xfId="49903"/>
    <cellStyle name="표준 9 4 4 3 3 3 3" xfId="49904"/>
    <cellStyle name="표준 9 4 4 3 3 4" xfId="49905"/>
    <cellStyle name="표준 9 4 4 3 3 5" xfId="49906"/>
    <cellStyle name="표준 9 4 4 3 4" xfId="49907"/>
    <cellStyle name="표준 9 4 4 3 4 2" xfId="49908"/>
    <cellStyle name="표준 9 4 4 3 4 2 2" xfId="49909"/>
    <cellStyle name="표준 9 4 4 3 4 2 3" xfId="49910"/>
    <cellStyle name="표준 9 4 4 3 4 3" xfId="49911"/>
    <cellStyle name="표준 9 4 4 3 4 4" xfId="49912"/>
    <cellStyle name="표준 9 4 4 3 5" xfId="49913"/>
    <cellStyle name="표준 9 4 4 3 5 2" xfId="49914"/>
    <cellStyle name="표준 9 4 4 3 5 3" xfId="49915"/>
    <cellStyle name="표준 9 4 4 3 6" xfId="49916"/>
    <cellStyle name="표준 9 4 4 3 7" xfId="49917"/>
    <cellStyle name="표준 9 4 4 4" xfId="49918"/>
    <cellStyle name="표준 9 4 4 4 2" xfId="49919"/>
    <cellStyle name="표준 9 4 4 4 2 2" xfId="49920"/>
    <cellStyle name="표준 9 4 4 4 2 2 2" xfId="49921"/>
    <cellStyle name="표준 9 4 4 4 2 2 3" xfId="49922"/>
    <cellStyle name="표준 9 4 4 4 2 3" xfId="49923"/>
    <cellStyle name="표준 9 4 4 4 2 4" xfId="49924"/>
    <cellStyle name="표준 9 4 4 4 3" xfId="49925"/>
    <cellStyle name="표준 9 4 4 4 3 2" xfId="49926"/>
    <cellStyle name="표준 9 4 4 4 3 3" xfId="49927"/>
    <cellStyle name="표준 9 4 4 4 4" xfId="49928"/>
    <cellStyle name="표준 9 4 4 4 5" xfId="49929"/>
    <cellStyle name="표준 9 4 4 5" xfId="49930"/>
    <cellStyle name="표준 9 4 4 5 2" xfId="49931"/>
    <cellStyle name="표준 9 4 4 5 2 2" xfId="49932"/>
    <cellStyle name="표준 9 4 4 5 2 2 2" xfId="49933"/>
    <cellStyle name="표준 9 4 4 5 2 2 3" xfId="49934"/>
    <cellStyle name="표준 9 4 4 5 2 3" xfId="49935"/>
    <cellStyle name="표준 9 4 4 5 2 4" xfId="49936"/>
    <cellStyle name="표준 9 4 4 5 3" xfId="49937"/>
    <cellStyle name="표준 9 4 4 5 3 2" xfId="49938"/>
    <cellStyle name="표준 9 4 4 5 3 3" xfId="49939"/>
    <cellStyle name="표준 9 4 4 5 4" xfId="49940"/>
    <cellStyle name="표준 9 4 4 5 5" xfId="49941"/>
    <cellStyle name="표준 9 4 4 6" xfId="49942"/>
    <cellStyle name="표준 9 4 4 6 2" xfId="49943"/>
    <cellStyle name="표준 9 4 4 6 2 2" xfId="49944"/>
    <cellStyle name="표준 9 4 4 6 2 2 2" xfId="49945"/>
    <cellStyle name="표준 9 4 4 6 2 2 3" xfId="49946"/>
    <cellStyle name="표준 9 4 4 6 2 3" xfId="49947"/>
    <cellStyle name="표준 9 4 4 6 2 4" xfId="49948"/>
    <cellStyle name="표준 9 4 4 6 3" xfId="49949"/>
    <cellStyle name="표준 9 4 4 6 3 2" xfId="49950"/>
    <cellStyle name="표준 9 4 4 6 3 3" xfId="49951"/>
    <cellStyle name="표준 9 4 4 6 4" xfId="49952"/>
    <cellStyle name="표준 9 4 4 6 5" xfId="49953"/>
    <cellStyle name="표준 9 4 4 7" xfId="49954"/>
    <cellStyle name="표준 9 4 4 7 2" xfId="49955"/>
    <cellStyle name="표준 9 4 4 7 2 2" xfId="49956"/>
    <cellStyle name="표준 9 4 4 7 2 3" xfId="49957"/>
    <cellStyle name="표준 9 4 4 7 3" xfId="49958"/>
    <cellStyle name="표준 9 4 4 7 4" xfId="49959"/>
    <cellStyle name="표준 9 4 4 8" xfId="49960"/>
    <cellStyle name="표준 9 4 4 8 2" xfId="49961"/>
    <cellStyle name="표준 9 4 4 8 3" xfId="49962"/>
    <cellStyle name="표준 9 4 4 9" xfId="49963"/>
    <cellStyle name="표준 9 4 5" xfId="49964"/>
    <cellStyle name="표준 9 4 5 10" xfId="49965"/>
    <cellStyle name="표준 9 4 5 2" xfId="49966"/>
    <cellStyle name="표준 9 4 5 2 2" xfId="49967"/>
    <cellStyle name="표준 9 4 5 2 2 2" xfId="49968"/>
    <cellStyle name="표준 9 4 5 2 2 2 2" xfId="49969"/>
    <cellStyle name="표준 9 4 5 2 2 2 2 2" xfId="49970"/>
    <cellStyle name="표준 9 4 5 2 2 2 2 3" xfId="49971"/>
    <cellStyle name="표준 9 4 5 2 2 2 3" xfId="49972"/>
    <cellStyle name="표준 9 4 5 2 2 2 4" xfId="49973"/>
    <cellStyle name="표준 9 4 5 2 2 3" xfId="49974"/>
    <cellStyle name="표준 9 4 5 2 2 3 2" xfId="49975"/>
    <cellStyle name="표준 9 4 5 2 2 3 3" xfId="49976"/>
    <cellStyle name="표준 9 4 5 2 2 4" xfId="49977"/>
    <cellStyle name="표준 9 4 5 2 2 5" xfId="49978"/>
    <cellStyle name="표준 9 4 5 2 3" xfId="49979"/>
    <cellStyle name="표준 9 4 5 2 3 2" xfId="49980"/>
    <cellStyle name="표준 9 4 5 2 3 2 2" xfId="49981"/>
    <cellStyle name="표준 9 4 5 2 3 2 2 2" xfId="49982"/>
    <cellStyle name="표준 9 4 5 2 3 2 2 3" xfId="49983"/>
    <cellStyle name="표준 9 4 5 2 3 2 3" xfId="49984"/>
    <cellStyle name="표준 9 4 5 2 3 2 4" xfId="49985"/>
    <cellStyle name="표준 9 4 5 2 3 3" xfId="49986"/>
    <cellStyle name="표준 9 4 5 2 3 3 2" xfId="49987"/>
    <cellStyle name="표준 9 4 5 2 3 3 3" xfId="49988"/>
    <cellStyle name="표준 9 4 5 2 3 4" xfId="49989"/>
    <cellStyle name="표준 9 4 5 2 3 5" xfId="49990"/>
    <cellStyle name="표준 9 4 5 2 4" xfId="49991"/>
    <cellStyle name="표준 9 4 5 2 4 2" xfId="49992"/>
    <cellStyle name="표준 9 4 5 2 4 2 2" xfId="49993"/>
    <cellStyle name="표준 9 4 5 2 4 2 3" xfId="49994"/>
    <cellStyle name="표준 9 4 5 2 4 3" xfId="49995"/>
    <cellStyle name="표준 9 4 5 2 4 4" xfId="49996"/>
    <cellStyle name="표준 9 4 5 2 5" xfId="49997"/>
    <cellStyle name="표준 9 4 5 2 5 2" xfId="49998"/>
    <cellStyle name="표준 9 4 5 2 5 3" xfId="49999"/>
    <cellStyle name="표준 9 4 5 2 6" xfId="50000"/>
    <cellStyle name="표준 9 4 5 2 7" xfId="50001"/>
    <cellStyle name="표준 9 4 5 3" xfId="50002"/>
    <cellStyle name="표준 9 4 5 3 2" xfId="50003"/>
    <cellStyle name="표준 9 4 5 3 2 2" xfId="50004"/>
    <cellStyle name="표준 9 4 5 3 2 2 2" xfId="50005"/>
    <cellStyle name="표준 9 4 5 3 2 2 2 2" xfId="50006"/>
    <cellStyle name="표준 9 4 5 3 2 2 2 3" xfId="50007"/>
    <cellStyle name="표준 9 4 5 3 2 2 3" xfId="50008"/>
    <cellStyle name="표준 9 4 5 3 2 2 4" xfId="50009"/>
    <cellStyle name="표준 9 4 5 3 2 3" xfId="50010"/>
    <cellStyle name="표준 9 4 5 3 2 3 2" xfId="50011"/>
    <cellStyle name="표준 9 4 5 3 2 3 3" xfId="50012"/>
    <cellStyle name="표준 9 4 5 3 2 4" xfId="50013"/>
    <cellStyle name="표준 9 4 5 3 2 5" xfId="50014"/>
    <cellStyle name="표준 9 4 5 3 3" xfId="50015"/>
    <cellStyle name="표준 9 4 5 3 3 2" xfId="50016"/>
    <cellStyle name="표준 9 4 5 3 3 2 2" xfId="50017"/>
    <cellStyle name="표준 9 4 5 3 3 2 2 2" xfId="50018"/>
    <cellStyle name="표준 9 4 5 3 3 2 2 3" xfId="50019"/>
    <cellStyle name="표준 9 4 5 3 3 2 3" xfId="50020"/>
    <cellStyle name="표준 9 4 5 3 3 2 4" xfId="50021"/>
    <cellStyle name="표준 9 4 5 3 3 3" xfId="50022"/>
    <cellStyle name="표준 9 4 5 3 3 3 2" xfId="50023"/>
    <cellStyle name="표준 9 4 5 3 3 3 3" xfId="50024"/>
    <cellStyle name="표준 9 4 5 3 3 4" xfId="50025"/>
    <cellStyle name="표준 9 4 5 3 3 5" xfId="50026"/>
    <cellStyle name="표준 9 4 5 3 4" xfId="50027"/>
    <cellStyle name="표준 9 4 5 3 4 2" xfId="50028"/>
    <cellStyle name="표준 9 4 5 3 4 2 2" xfId="50029"/>
    <cellStyle name="표준 9 4 5 3 4 2 3" xfId="50030"/>
    <cellStyle name="표준 9 4 5 3 4 3" xfId="50031"/>
    <cellStyle name="표준 9 4 5 3 4 4" xfId="50032"/>
    <cellStyle name="표준 9 4 5 3 5" xfId="50033"/>
    <cellStyle name="표준 9 4 5 3 5 2" xfId="50034"/>
    <cellStyle name="표준 9 4 5 3 5 3" xfId="50035"/>
    <cellStyle name="표준 9 4 5 3 6" xfId="50036"/>
    <cellStyle name="표준 9 4 5 3 7" xfId="50037"/>
    <cellStyle name="표준 9 4 5 4" xfId="50038"/>
    <cellStyle name="표준 9 4 5 4 2" xfId="50039"/>
    <cellStyle name="표준 9 4 5 4 2 2" xfId="50040"/>
    <cellStyle name="표준 9 4 5 4 2 2 2" xfId="50041"/>
    <cellStyle name="표준 9 4 5 4 2 2 3" xfId="50042"/>
    <cellStyle name="표준 9 4 5 4 2 3" xfId="50043"/>
    <cellStyle name="표준 9 4 5 4 2 4" xfId="50044"/>
    <cellStyle name="표준 9 4 5 4 3" xfId="50045"/>
    <cellStyle name="표준 9 4 5 4 3 2" xfId="50046"/>
    <cellStyle name="표준 9 4 5 4 3 3" xfId="50047"/>
    <cellStyle name="표준 9 4 5 4 4" xfId="50048"/>
    <cellStyle name="표준 9 4 5 4 5" xfId="50049"/>
    <cellStyle name="표준 9 4 5 5" xfId="50050"/>
    <cellStyle name="표준 9 4 5 5 2" xfId="50051"/>
    <cellStyle name="표준 9 4 5 5 2 2" xfId="50052"/>
    <cellStyle name="표준 9 4 5 5 2 2 2" xfId="50053"/>
    <cellStyle name="표준 9 4 5 5 2 2 3" xfId="50054"/>
    <cellStyle name="표준 9 4 5 5 2 3" xfId="50055"/>
    <cellStyle name="표준 9 4 5 5 2 4" xfId="50056"/>
    <cellStyle name="표준 9 4 5 5 3" xfId="50057"/>
    <cellStyle name="표준 9 4 5 5 3 2" xfId="50058"/>
    <cellStyle name="표준 9 4 5 5 3 3" xfId="50059"/>
    <cellStyle name="표준 9 4 5 5 4" xfId="50060"/>
    <cellStyle name="표준 9 4 5 5 5" xfId="50061"/>
    <cellStyle name="표준 9 4 5 6" xfId="50062"/>
    <cellStyle name="표준 9 4 5 6 2" xfId="50063"/>
    <cellStyle name="표준 9 4 5 6 2 2" xfId="50064"/>
    <cellStyle name="표준 9 4 5 6 2 2 2" xfId="50065"/>
    <cellStyle name="표준 9 4 5 6 2 2 3" xfId="50066"/>
    <cellStyle name="표준 9 4 5 6 2 3" xfId="50067"/>
    <cellStyle name="표준 9 4 5 6 2 4" xfId="50068"/>
    <cellStyle name="표준 9 4 5 6 3" xfId="50069"/>
    <cellStyle name="표준 9 4 5 6 3 2" xfId="50070"/>
    <cellStyle name="표준 9 4 5 6 3 3" xfId="50071"/>
    <cellStyle name="표준 9 4 5 6 4" xfId="50072"/>
    <cellStyle name="표준 9 4 5 6 5" xfId="50073"/>
    <cellStyle name="표준 9 4 5 7" xfId="50074"/>
    <cellStyle name="표준 9 4 5 7 2" xfId="50075"/>
    <cellStyle name="표준 9 4 5 7 2 2" xfId="50076"/>
    <cellStyle name="표준 9 4 5 7 2 3" xfId="50077"/>
    <cellStyle name="표준 9 4 5 7 3" xfId="50078"/>
    <cellStyle name="표준 9 4 5 7 4" xfId="50079"/>
    <cellStyle name="표준 9 4 5 8" xfId="50080"/>
    <cellStyle name="표준 9 4 5 8 2" xfId="50081"/>
    <cellStyle name="표준 9 4 5 8 3" xfId="50082"/>
    <cellStyle name="표준 9 4 5 9" xfId="50083"/>
    <cellStyle name="표준 9 4 6" xfId="50084"/>
    <cellStyle name="표준 9 4 6 2" xfId="50085"/>
    <cellStyle name="표준 9 4 6 2 2" xfId="50086"/>
    <cellStyle name="표준 9 4 6 2 2 2" xfId="50087"/>
    <cellStyle name="표준 9 4 6 2 2 2 2" xfId="50088"/>
    <cellStyle name="표준 9 4 6 2 2 2 3" xfId="50089"/>
    <cellStyle name="표준 9 4 6 2 2 3" xfId="50090"/>
    <cellStyle name="표준 9 4 6 2 2 4" xfId="50091"/>
    <cellStyle name="표준 9 4 6 2 3" xfId="50092"/>
    <cellStyle name="표준 9 4 6 2 3 2" xfId="50093"/>
    <cellStyle name="표준 9 4 6 2 3 3" xfId="50094"/>
    <cellStyle name="표준 9 4 6 2 4" xfId="50095"/>
    <cellStyle name="표준 9 4 6 2 5" xfId="50096"/>
    <cellStyle name="표준 9 4 6 3" xfId="50097"/>
    <cellStyle name="표준 9 4 6 3 2" xfId="50098"/>
    <cellStyle name="표준 9 4 6 3 2 2" xfId="50099"/>
    <cellStyle name="표준 9 4 6 3 2 2 2" xfId="50100"/>
    <cellStyle name="표준 9 4 6 3 2 2 3" xfId="50101"/>
    <cellStyle name="표준 9 4 6 3 2 3" xfId="50102"/>
    <cellStyle name="표준 9 4 6 3 2 4" xfId="50103"/>
    <cellStyle name="표준 9 4 6 3 3" xfId="50104"/>
    <cellStyle name="표준 9 4 6 3 3 2" xfId="50105"/>
    <cellStyle name="표준 9 4 6 3 3 3" xfId="50106"/>
    <cellStyle name="표준 9 4 6 3 4" xfId="50107"/>
    <cellStyle name="표준 9 4 6 3 5" xfId="50108"/>
    <cellStyle name="표준 9 4 6 4" xfId="50109"/>
    <cellStyle name="표준 9 4 6 4 2" xfId="50110"/>
    <cellStyle name="표준 9 4 6 4 2 2" xfId="50111"/>
    <cellStyle name="표준 9 4 6 4 2 3" xfId="50112"/>
    <cellStyle name="표준 9 4 6 4 3" xfId="50113"/>
    <cellStyle name="표준 9 4 6 4 4" xfId="50114"/>
    <cellStyle name="표준 9 4 6 5" xfId="50115"/>
    <cellStyle name="표준 9 4 6 5 2" xfId="50116"/>
    <cellStyle name="표준 9 4 6 5 3" xfId="50117"/>
    <cellStyle name="표준 9 4 6 6" xfId="50118"/>
    <cellStyle name="표준 9 4 6 7" xfId="50119"/>
    <cellStyle name="표준 9 4 7" xfId="50120"/>
    <cellStyle name="표준 9 4 7 2" xfId="50121"/>
    <cellStyle name="표준 9 4 7 2 2" xfId="50122"/>
    <cellStyle name="표준 9 4 7 2 2 2" xfId="50123"/>
    <cellStyle name="표준 9 4 7 2 2 2 2" xfId="50124"/>
    <cellStyle name="표준 9 4 7 2 2 2 3" xfId="50125"/>
    <cellStyle name="표준 9 4 7 2 2 3" xfId="50126"/>
    <cellStyle name="표준 9 4 7 2 2 4" xfId="50127"/>
    <cellStyle name="표준 9 4 7 2 3" xfId="50128"/>
    <cellStyle name="표준 9 4 7 2 3 2" xfId="50129"/>
    <cellStyle name="표준 9 4 7 2 3 3" xfId="50130"/>
    <cellStyle name="표준 9 4 7 2 4" xfId="50131"/>
    <cellStyle name="표준 9 4 7 2 5" xfId="50132"/>
    <cellStyle name="표준 9 4 7 3" xfId="50133"/>
    <cellStyle name="표준 9 4 7 3 2" xfId="50134"/>
    <cellStyle name="표준 9 4 7 3 2 2" xfId="50135"/>
    <cellStyle name="표준 9 4 7 3 2 2 2" xfId="50136"/>
    <cellStyle name="표준 9 4 7 3 2 2 3" xfId="50137"/>
    <cellStyle name="표준 9 4 7 3 2 3" xfId="50138"/>
    <cellStyle name="표준 9 4 7 3 2 4" xfId="50139"/>
    <cellStyle name="표준 9 4 7 3 3" xfId="50140"/>
    <cellStyle name="표준 9 4 7 3 3 2" xfId="50141"/>
    <cellStyle name="표준 9 4 7 3 3 3" xfId="50142"/>
    <cellStyle name="표준 9 4 7 3 4" xfId="50143"/>
    <cellStyle name="표준 9 4 7 3 5" xfId="50144"/>
    <cellStyle name="표준 9 4 7 4" xfId="50145"/>
    <cellStyle name="표준 9 4 7 4 2" xfId="50146"/>
    <cellStyle name="표준 9 4 7 4 2 2" xfId="50147"/>
    <cellStyle name="표준 9 4 7 4 2 3" xfId="50148"/>
    <cellStyle name="표준 9 4 7 4 3" xfId="50149"/>
    <cellStyle name="표준 9 4 7 4 4" xfId="50150"/>
    <cellStyle name="표준 9 4 7 5" xfId="50151"/>
    <cellStyle name="표준 9 4 7 5 2" xfId="50152"/>
    <cellStyle name="표준 9 4 7 5 3" xfId="50153"/>
    <cellStyle name="표준 9 4 7 6" xfId="50154"/>
    <cellStyle name="표준 9 4 7 7" xfId="50155"/>
    <cellStyle name="표준 9 4 8" xfId="50156"/>
    <cellStyle name="표준 9 4 8 2" xfId="50157"/>
    <cellStyle name="표준 9 4 8 2 2" xfId="50158"/>
    <cellStyle name="표준 9 4 8 2 2 2" xfId="50159"/>
    <cellStyle name="표준 9 4 8 2 2 3" xfId="50160"/>
    <cellStyle name="표준 9 4 8 2 3" xfId="50161"/>
    <cellStyle name="표준 9 4 8 2 4" xfId="50162"/>
    <cellStyle name="표준 9 4 8 3" xfId="50163"/>
    <cellStyle name="표준 9 4 8 3 2" xfId="50164"/>
    <cellStyle name="표준 9 4 8 3 3" xfId="50165"/>
    <cellStyle name="표준 9 4 8 4" xfId="50166"/>
    <cellStyle name="표준 9 4 8 5" xfId="50167"/>
    <cellStyle name="표준 9 4 9" xfId="50168"/>
    <cellStyle name="표준 9 4 9 2" xfId="50169"/>
    <cellStyle name="표준 9 4 9 2 2" xfId="50170"/>
    <cellStyle name="표준 9 4 9 2 2 2" xfId="50171"/>
    <cellStyle name="표준 9 4 9 2 2 3" xfId="50172"/>
    <cellStyle name="표준 9 4 9 2 3" xfId="50173"/>
    <cellStyle name="표준 9 4 9 2 4" xfId="50174"/>
    <cellStyle name="표준 9 4 9 3" xfId="50175"/>
    <cellStyle name="표준 9 4 9 3 2" xfId="50176"/>
    <cellStyle name="표준 9 4 9 3 3" xfId="50177"/>
    <cellStyle name="표준 9 4 9 4" xfId="50178"/>
    <cellStyle name="표준 9 4 9 5" xfId="50179"/>
    <cellStyle name="표준 9 5" xfId="50180"/>
    <cellStyle name="표준 9 5 10" xfId="50181"/>
    <cellStyle name="표준 9 5 10 2" xfId="50182"/>
    <cellStyle name="표준 9 5 10 2 2" xfId="50183"/>
    <cellStyle name="표준 9 5 10 2 3" xfId="50184"/>
    <cellStyle name="표준 9 5 10 3" xfId="50185"/>
    <cellStyle name="표준 9 5 10 4" xfId="50186"/>
    <cellStyle name="표준 9 5 11" xfId="50187"/>
    <cellStyle name="표준 9 5 11 2" xfId="50188"/>
    <cellStyle name="표준 9 5 11 3" xfId="50189"/>
    <cellStyle name="표준 9 5 12" xfId="50190"/>
    <cellStyle name="표준 9 5 13" xfId="50191"/>
    <cellStyle name="표준 9 5 2" xfId="50192"/>
    <cellStyle name="표준 9 5 2 10" xfId="50193"/>
    <cellStyle name="표준 9 5 2 2" xfId="50194"/>
    <cellStyle name="표준 9 5 2 2 2" xfId="50195"/>
    <cellStyle name="표준 9 5 2 2 2 2" xfId="50196"/>
    <cellStyle name="표준 9 5 2 2 2 2 2" xfId="50197"/>
    <cellStyle name="표준 9 5 2 2 2 2 2 2" xfId="50198"/>
    <cellStyle name="표준 9 5 2 2 2 2 2 3" xfId="50199"/>
    <cellStyle name="표준 9 5 2 2 2 2 3" xfId="50200"/>
    <cellStyle name="표준 9 5 2 2 2 2 4" xfId="50201"/>
    <cellStyle name="표준 9 5 2 2 2 3" xfId="50202"/>
    <cellStyle name="표준 9 5 2 2 2 3 2" xfId="50203"/>
    <cellStyle name="표준 9 5 2 2 2 3 3" xfId="50204"/>
    <cellStyle name="표준 9 5 2 2 2 4" xfId="50205"/>
    <cellStyle name="표준 9 5 2 2 2 5" xfId="50206"/>
    <cellStyle name="표준 9 5 2 2 3" xfId="50207"/>
    <cellStyle name="표준 9 5 2 2 3 2" xfId="50208"/>
    <cellStyle name="표준 9 5 2 2 3 2 2" xfId="50209"/>
    <cellStyle name="표준 9 5 2 2 3 2 2 2" xfId="50210"/>
    <cellStyle name="표준 9 5 2 2 3 2 2 3" xfId="50211"/>
    <cellStyle name="표준 9 5 2 2 3 2 3" xfId="50212"/>
    <cellStyle name="표준 9 5 2 2 3 2 4" xfId="50213"/>
    <cellStyle name="표준 9 5 2 2 3 3" xfId="50214"/>
    <cellStyle name="표준 9 5 2 2 3 3 2" xfId="50215"/>
    <cellStyle name="표준 9 5 2 2 3 3 3" xfId="50216"/>
    <cellStyle name="표준 9 5 2 2 3 4" xfId="50217"/>
    <cellStyle name="표준 9 5 2 2 3 5" xfId="50218"/>
    <cellStyle name="표준 9 5 2 2 4" xfId="50219"/>
    <cellStyle name="표준 9 5 2 2 4 2" xfId="50220"/>
    <cellStyle name="표준 9 5 2 2 4 2 2" xfId="50221"/>
    <cellStyle name="표준 9 5 2 2 4 2 3" xfId="50222"/>
    <cellStyle name="표준 9 5 2 2 4 3" xfId="50223"/>
    <cellStyle name="표준 9 5 2 2 4 4" xfId="50224"/>
    <cellStyle name="표준 9 5 2 2 5" xfId="50225"/>
    <cellStyle name="표준 9 5 2 2 5 2" xfId="50226"/>
    <cellStyle name="표준 9 5 2 2 5 3" xfId="50227"/>
    <cellStyle name="표준 9 5 2 2 6" xfId="50228"/>
    <cellStyle name="표준 9 5 2 2 7" xfId="50229"/>
    <cellStyle name="표준 9 5 2 3" xfId="50230"/>
    <cellStyle name="표준 9 5 2 3 2" xfId="50231"/>
    <cellStyle name="표준 9 5 2 3 2 2" xfId="50232"/>
    <cellStyle name="표준 9 5 2 3 2 2 2" xfId="50233"/>
    <cellStyle name="표준 9 5 2 3 2 2 2 2" xfId="50234"/>
    <cellStyle name="표준 9 5 2 3 2 2 2 3" xfId="50235"/>
    <cellStyle name="표준 9 5 2 3 2 2 3" xfId="50236"/>
    <cellStyle name="표준 9 5 2 3 2 2 4" xfId="50237"/>
    <cellStyle name="표준 9 5 2 3 2 3" xfId="50238"/>
    <cellStyle name="표준 9 5 2 3 2 3 2" xfId="50239"/>
    <cellStyle name="표준 9 5 2 3 2 3 3" xfId="50240"/>
    <cellStyle name="표준 9 5 2 3 2 4" xfId="50241"/>
    <cellStyle name="표준 9 5 2 3 2 5" xfId="50242"/>
    <cellStyle name="표준 9 5 2 3 3" xfId="50243"/>
    <cellStyle name="표준 9 5 2 3 3 2" xfId="50244"/>
    <cellStyle name="표준 9 5 2 3 3 2 2" xfId="50245"/>
    <cellStyle name="표준 9 5 2 3 3 2 2 2" xfId="50246"/>
    <cellStyle name="표준 9 5 2 3 3 2 2 3" xfId="50247"/>
    <cellStyle name="표준 9 5 2 3 3 2 3" xfId="50248"/>
    <cellStyle name="표준 9 5 2 3 3 2 4" xfId="50249"/>
    <cellStyle name="표준 9 5 2 3 3 3" xfId="50250"/>
    <cellStyle name="표준 9 5 2 3 3 3 2" xfId="50251"/>
    <cellStyle name="표준 9 5 2 3 3 3 3" xfId="50252"/>
    <cellStyle name="표준 9 5 2 3 3 4" xfId="50253"/>
    <cellStyle name="표준 9 5 2 3 3 5" xfId="50254"/>
    <cellStyle name="표준 9 5 2 3 4" xfId="50255"/>
    <cellStyle name="표준 9 5 2 3 4 2" xfId="50256"/>
    <cellStyle name="표준 9 5 2 3 4 2 2" xfId="50257"/>
    <cellStyle name="표준 9 5 2 3 4 2 3" xfId="50258"/>
    <cellStyle name="표준 9 5 2 3 4 3" xfId="50259"/>
    <cellStyle name="표준 9 5 2 3 4 4" xfId="50260"/>
    <cellStyle name="표준 9 5 2 3 5" xfId="50261"/>
    <cellStyle name="표준 9 5 2 3 5 2" xfId="50262"/>
    <cellStyle name="표준 9 5 2 3 5 3" xfId="50263"/>
    <cellStyle name="표준 9 5 2 3 6" xfId="50264"/>
    <cellStyle name="표준 9 5 2 3 7" xfId="50265"/>
    <cellStyle name="표준 9 5 2 4" xfId="50266"/>
    <cellStyle name="표준 9 5 2 4 2" xfId="50267"/>
    <cellStyle name="표준 9 5 2 4 2 2" xfId="50268"/>
    <cellStyle name="표준 9 5 2 4 2 2 2" xfId="50269"/>
    <cellStyle name="표준 9 5 2 4 2 2 3" xfId="50270"/>
    <cellStyle name="표준 9 5 2 4 2 3" xfId="50271"/>
    <cellStyle name="표준 9 5 2 4 2 4" xfId="50272"/>
    <cellStyle name="표준 9 5 2 4 3" xfId="50273"/>
    <cellStyle name="표준 9 5 2 4 3 2" xfId="50274"/>
    <cellStyle name="표준 9 5 2 4 3 3" xfId="50275"/>
    <cellStyle name="표준 9 5 2 4 4" xfId="50276"/>
    <cellStyle name="표준 9 5 2 4 5" xfId="50277"/>
    <cellStyle name="표준 9 5 2 5" xfId="50278"/>
    <cellStyle name="표준 9 5 2 5 2" xfId="50279"/>
    <cellStyle name="표준 9 5 2 5 2 2" xfId="50280"/>
    <cellStyle name="표준 9 5 2 5 2 2 2" xfId="50281"/>
    <cellStyle name="표준 9 5 2 5 2 2 3" xfId="50282"/>
    <cellStyle name="표준 9 5 2 5 2 3" xfId="50283"/>
    <cellStyle name="표준 9 5 2 5 2 4" xfId="50284"/>
    <cellStyle name="표준 9 5 2 5 3" xfId="50285"/>
    <cellStyle name="표준 9 5 2 5 3 2" xfId="50286"/>
    <cellStyle name="표준 9 5 2 5 3 3" xfId="50287"/>
    <cellStyle name="표준 9 5 2 5 4" xfId="50288"/>
    <cellStyle name="표준 9 5 2 5 5" xfId="50289"/>
    <cellStyle name="표준 9 5 2 6" xfId="50290"/>
    <cellStyle name="표준 9 5 2 6 2" xfId="50291"/>
    <cellStyle name="표준 9 5 2 6 2 2" xfId="50292"/>
    <cellStyle name="표준 9 5 2 6 2 2 2" xfId="50293"/>
    <cellStyle name="표준 9 5 2 6 2 2 3" xfId="50294"/>
    <cellStyle name="표준 9 5 2 6 2 3" xfId="50295"/>
    <cellStyle name="표준 9 5 2 6 2 4" xfId="50296"/>
    <cellStyle name="표준 9 5 2 6 3" xfId="50297"/>
    <cellStyle name="표준 9 5 2 6 3 2" xfId="50298"/>
    <cellStyle name="표준 9 5 2 6 3 3" xfId="50299"/>
    <cellStyle name="표준 9 5 2 6 4" xfId="50300"/>
    <cellStyle name="표준 9 5 2 6 5" xfId="50301"/>
    <cellStyle name="표준 9 5 2 7" xfId="50302"/>
    <cellStyle name="표준 9 5 2 7 2" xfId="50303"/>
    <cellStyle name="표준 9 5 2 7 2 2" xfId="50304"/>
    <cellStyle name="표준 9 5 2 7 2 3" xfId="50305"/>
    <cellStyle name="표준 9 5 2 7 3" xfId="50306"/>
    <cellStyle name="표준 9 5 2 7 4" xfId="50307"/>
    <cellStyle name="표준 9 5 2 8" xfId="50308"/>
    <cellStyle name="표준 9 5 2 8 2" xfId="50309"/>
    <cellStyle name="표준 9 5 2 8 3" xfId="50310"/>
    <cellStyle name="표준 9 5 2 9" xfId="50311"/>
    <cellStyle name="표준 9 5 3" xfId="50312"/>
    <cellStyle name="표준 9 5 3 10" xfId="50313"/>
    <cellStyle name="표준 9 5 3 2" xfId="50314"/>
    <cellStyle name="표준 9 5 3 2 2" xfId="50315"/>
    <cellStyle name="표준 9 5 3 2 2 2" xfId="50316"/>
    <cellStyle name="표준 9 5 3 2 2 2 2" xfId="50317"/>
    <cellStyle name="표준 9 5 3 2 2 2 2 2" xfId="50318"/>
    <cellStyle name="표준 9 5 3 2 2 2 2 3" xfId="50319"/>
    <cellStyle name="표준 9 5 3 2 2 2 3" xfId="50320"/>
    <cellStyle name="표준 9 5 3 2 2 2 4" xfId="50321"/>
    <cellStyle name="표준 9 5 3 2 2 3" xfId="50322"/>
    <cellStyle name="표준 9 5 3 2 2 3 2" xfId="50323"/>
    <cellStyle name="표준 9 5 3 2 2 3 3" xfId="50324"/>
    <cellStyle name="표준 9 5 3 2 2 4" xfId="50325"/>
    <cellStyle name="표준 9 5 3 2 2 5" xfId="50326"/>
    <cellStyle name="표준 9 5 3 2 3" xfId="50327"/>
    <cellStyle name="표준 9 5 3 2 3 2" xfId="50328"/>
    <cellStyle name="표준 9 5 3 2 3 2 2" xfId="50329"/>
    <cellStyle name="표준 9 5 3 2 3 2 2 2" xfId="50330"/>
    <cellStyle name="표준 9 5 3 2 3 2 2 3" xfId="50331"/>
    <cellStyle name="표준 9 5 3 2 3 2 3" xfId="50332"/>
    <cellStyle name="표준 9 5 3 2 3 2 4" xfId="50333"/>
    <cellStyle name="표준 9 5 3 2 3 3" xfId="50334"/>
    <cellStyle name="표준 9 5 3 2 3 3 2" xfId="50335"/>
    <cellStyle name="표준 9 5 3 2 3 3 3" xfId="50336"/>
    <cellStyle name="표준 9 5 3 2 3 4" xfId="50337"/>
    <cellStyle name="표준 9 5 3 2 3 5" xfId="50338"/>
    <cellStyle name="표준 9 5 3 2 4" xfId="50339"/>
    <cellStyle name="표준 9 5 3 2 4 2" xfId="50340"/>
    <cellStyle name="표준 9 5 3 2 4 2 2" xfId="50341"/>
    <cellStyle name="표준 9 5 3 2 4 2 3" xfId="50342"/>
    <cellStyle name="표준 9 5 3 2 4 3" xfId="50343"/>
    <cellStyle name="표준 9 5 3 2 4 4" xfId="50344"/>
    <cellStyle name="표준 9 5 3 2 5" xfId="50345"/>
    <cellStyle name="표준 9 5 3 2 5 2" xfId="50346"/>
    <cellStyle name="표준 9 5 3 2 5 3" xfId="50347"/>
    <cellStyle name="표준 9 5 3 2 6" xfId="50348"/>
    <cellStyle name="표준 9 5 3 2 7" xfId="50349"/>
    <cellStyle name="표준 9 5 3 3" xfId="50350"/>
    <cellStyle name="표준 9 5 3 3 2" xfId="50351"/>
    <cellStyle name="표준 9 5 3 3 2 2" xfId="50352"/>
    <cellStyle name="표준 9 5 3 3 2 2 2" xfId="50353"/>
    <cellStyle name="표준 9 5 3 3 2 2 2 2" xfId="50354"/>
    <cellStyle name="표준 9 5 3 3 2 2 2 3" xfId="50355"/>
    <cellStyle name="표준 9 5 3 3 2 2 3" xfId="50356"/>
    <cellStyle name="표준 9 5 3 3 2 2 4" xfId="50357"/>
    <cellStyle name="표준 9 5 3 3 2 3" xfId="50358"/>
    <cellStyle name="표준 9 5 3 3 2 3 2" xfId="50359"/>
    <cellStyle name="표준 9 5 3 3 2 3 3" xfId="50360"/>
    <cellStyle name="표준 9 5 3 3 2 4" xfId="50361"/>
    <cellStyle name="표준 9 5 3 3 2 5" xfId="50362"/>
    <cellStyle name="표준 9 5 3 3 3" xfId="50363"/>
    <cellStyle name="표준 9 5 3 3 3 2" xfId="50364"/>
    <cellStyle name="표준 9 5 3 3 3 2 2" xfId="50365"/>
    <cellStyle name="표준 9 5 3 3 3 2 2 2" xfId="50366"/>
    <cellStyle name="표준 9 5 3 3 3 2 2 3" xfId="50367"/>
    <cellStyle name="표준 9 5 3 3 3 2 3" xfId="50368"/>
    <cellStyle name="표준 9 5 3 3 3 2 4" xfId="50369"/>
    <cellStyle name="표준 9 5 3 3 3 3" xfId="50370"/>
    <cellStyle name="표준 9 5 3 3 3 3 2" xfId="50371"/>
    <cellStyle name="표준 9 5 3 3 3 3 3" xfId="50372"/>
    <cellStyle name="표준 9 5 3 3 3 4" xfId="50373"/>
    <cellStyle name="표준 9 5 3 3 3 5" xfId="50374"/>
    <cellStyle name="표준 9 5 3 3 4" xfId="50375"/>
    <cellStyle name="표준 9 5 3 3 4 2" xfId="50376"/>
    <cellStyle name="표준 9 5 3 3 4 2 2" xfId="50377"/>
    <cellStyle name="표준 9 5 3 3 4 2 3" xfId="50378"/>
    <cellStyle name="표준 9 5 3 3 4 3" xfId="50379"/>
    <cellStyle name="표준 9 5 3 3 4 4" xfId="50380"/>
    <cellStyle name="표준 9 5 3 3 5" xfId="50381"/>
    <cellStyle name="표준 9 5 3 3 5 2" xfId="50382"/>
    <cellStyle name="표준 9 5 3 3 5 3" xfId="50383"/>
    <cellStyle name="표준 9 5 3 3 6" xfId="50384"/>
    <cellStyle name="표준 9 5 3 3 7" xfId="50385"/>
    <cellStyle name="표준 9 5 3 4" xfId="50386"/>
    <cellStyle name="표준 9 5 3 4 2" xfId="50387"/>
    <cellStyle name="표준 9 5 3 4 2 2" xfId="50388"/>
    <cellStyle name="표준 9 5 3 4 2 2 2" xfId="50389"/>
    <cellStyle name="표준 9 5 3 4 2 2 3" xfId="50390"/>
    <cellStyle name="표준 9 5 3 4 2 3" xfId="50391"/>
    <cellStyle name="표준 9 5 3 4 2 4" xfId="50392"/>
    <cellStyle name="표준 9 5 3 4 3" xfId="50393"/>
    <cellStyle name="표준 9 5 3 4 3 2" xfId="50394"/>
    <cellStyle name="표준 9 5 3 4 3 3" xfId="50395"/>
    <cellStyle name="표준 9 5 3 4 4" xfId="50396"/>
    <cellStyle name="표준 9 5 3 4 5" xfId="50397"/>
    <cellStyle name="표준 9 5 3 5" xfId="50398"/>
    <cellStyle name="표준 9 5 3 5 2" xfId="50399"/>
    <cellStyle name="표준 9 5 3 5 2 2" xfId="50400"/>
    <cellStyle name="표준 9 5 3 5 2 2 2" xfId="50401"/>
    <cellStyle name="표준 9 5 3 5 2 2 3" xfId="50402"/>
    <cellStyle name="표준 9 5 3 5 2 3" xfId="50403"/>
    <cellStyle name="표준 9 5 3 5 2 4" xfId="50404"/>
    <cellStyle name="표준 9 5 3 5 3" xfId="50405"/>
    <cellStyle name="표준 9 5 3 5 3 2" xfId="50406"/>
    <cellStyle name="표준 9 5 3 5 3 3" xfId="50407"/>
    <cellStyle name="표준 9 5 3 5 4" xfId="50408"/>
    <cellStyle name="표준 9 5 3 5 5" xfId="50409"/>
    <cellStyle name="표준 9 5 3 6" xfId="50410"/>
    <cellStyle name="표준 9 5 3 6 2" xfId="50411"/>
    <cellStyle name="표준 9 5 3 6 2 2" xfId="50412"/>
    <cellStyle name="표준 9 5 3 6 2 2 2" xfId="50413"/>
    <cellStyle name="표준 9 5 3 6 2 2 3" xfId="50414"/>
    <cellStyle name="표준 9 5 3 6 2 3" xfId="50415"/>
    <cellStyle name="표준 9 5 3 6 2 4" xfId="50416"/>
    <cellStyle name="표준 9 5 3 6 3" xfId="50417"/>
    <cellStyle name="표준 9 5 3 6 3 2" xfId="50418"/>
    <cellStyle name="표준 9 5 3 6 3 3" xfId="50419"/>
    <cellStyle name="표준 9 5 3 6 4" xfId="50420"/>
    <cellStyle name="표준 9 5 3 6 5" xfId="50421"/>
    <cellStyle name="표준 9 5 3 7" xfId="50422"/>
    <cellStyle name="표준 9 5 3 7 2" xfId="50423"/>
    <cellStyle name="표준 9 5 3 7 2 2" xfId="50424"/>
    <cellStyle name="표준 9 5 3 7 2 3" xfId="50425"/>
    <cellStyle name="표준 9 5 3 7 3" xfId="50426"/>
    <cellStyle name="표준 9 5 3 7 4" xfId="50427"/>
    <cellStyle name="표준 9 5 3 8" xfId="50428"/>
    <cellStyle name="표준 9 5 3 8 2" xfId="50429"/>
    <cellStyle name="표준 9 5 3 8 3" xfId="50430"/>
    <cellStyle name="표준 9 5 3 9" xfId="50431"/>
    <cellStyle name="표준 9 5 4" xfId="50432"/>
    <cellStyle name="표준 9 5 4 10" xfId="50433"/>
    <cellStyle name="표준 9 5 4 2" xfId="50434"/>
    <cellStyle name="표준 9 5 4 2 2" xfId="50435"/>
    <cellStyle name="표준 9 5 4 2 2 2" xfId="50436"/>
    <cellStyle name="표준 9 5 4 2 2 2 2" xfId="50437"/>
    <cellStyle name="표준 9 5 4 2 2 2 2 2" xfId="50438"/>
    <cellStyle name="표준 9 5 4 2 2 2 2 3" xfId="50439"/>
    <cellStyle name="표준 9 5 4 2 2 2 3" xfId="50440"/>
    <cellStyle name="표준 9 5 4 2 2 2 4" xfId="50441"/>
    <cellStyle name="표준 9 5 4 2 2 3" xfId="50442"/>
    <cellStyle name="표준 9 5 4 2 2 3 2" xfId="50443"/>
    <cellStyle name="표준 9 5 4 2 2 3 3" xfId="50444"/>
    <cellStyle name="표준 9 5 4 2 2 4" xfId="50445"/>
    <cellStyle name="표준 9 5 4 2 2 5" xfId="50446"/>
    <cellStyle name="표준 9 5 4 2 3" xfId="50447"/>
    <cellStyle name="표준 9 5 4 2 3 2" xfId="50448"/>
    <cellStyle name="표준 9 5 4 2 3 2 2" xfId="50449"/>
    <cellStyle name="표준 9 5 4 2 3 2 2 2" xfId="50450"/>
    <cellStyle name="표준 9 5 4 2 3 2 2 3" xfId="50451"/>
    <cellStyle name="표준 9 5 4 2 3 2 3" xfId="50452"/>
    <cellStyle name="표준 9 5 4 2 3 2 4" xfId="50453"/>
    <cellStyle name="표준 9 5 4 2 3 3" xfId="50454"/>
    <cellStyle name="표준 9 5 4 2 3 3 2" xfId="50455"/>
    <cellStyle name="표준 9 5 4 2 3 3 3" xfId="50456"/>
    <cellStyle name="표준 9 5 4 2 3 4" xfId="50457"/>
    <cellStyle name="표준 9 5 4 2 3 5" xfId="50458"/>
    <cellStyle name="표준 9 5 4 2 4" xfId="50459"/>
    <cellStyle name="표준 9 5 4 2 4 2" xfId="50460"/>
    <cellStyle name="표준 9 5 4 2 4 2 2" xfId="50461"/>
    <cellStyle name="표준 9 5 4 2 4 2 3" xfId="50462"/>
    <cellStyle name="표준 9 5 4 2 4 3" xfId="50463"/>
    <cellStyle name="표준 9 5 4 2 4 4" xfId="50464"/>
    <cellStyle name="표준 9 5 4 2 5" xfId="50465"/>
    <cellStyle name="표준 9 5 4 2 5 2" xfId="50466"/>
    <cellStyle name="표준 9 5 4 2 5 3" xfId="50467"/>
    <cellStyle name="표준 9 5 4 2 6" xfId="50468"/>
    <cellStyle name="표준 9 5 4 2 7" xfId="50469"/>
    <cellStyle name="표준 9 5 4 3" xfId="50470"/>
    <cellStyle name="표준 9 5 4 3 2" xfId="50471"/>
    <cellStyle name="표준 9 5 4 3 2 2" xfId="50472"/>
    <cellStyle name="표준 9 5 4 3 2 2 2" xfId="50473"/>
    <cellStyle name="표준 9 5 4 3 2 2 2 2" xfId="50474"/>
    <cellStyle name="표준 9 5 4 3 2 2 2 3" xfId="50475"/>
    <cellStyle name="표준 9 5 4 3 2 2 3" xfId="50476"/>
    <cellStyle name="표준 9 5 4 3 2 2 4" xfId="50477"/>
    <cellStyle name="표준 9 5 4 3 2 3" xfId="50478"/>
    <cellStyle name="표준 9 5 4 3 2 3 2" xfId="50479"/>
    <cellStyle name="표준 9 5 4 3 2 3 3" xfId="50480"/>
    <cellStyle name="표준 9 5 4 3 2 4" xfId="50481"/>
    <cellStyle name="표준 9 5 4 3 2 5" xfId="50482"/>
    <cellStyle name="표준 9 5 4 3 3" xfId="50483"/>
    <cellStyle name="표준 9 5 4 3 3 2" xfId="50484"/>
    <cellStyle name="표준 9 5 4 3 3 2 2" xfId="50485"/>
    <cellStyle name="표준 9 5 4 3 3 2 2 2" xfId="50486"/>
    <cellStyle name="표준 9 5 4 3 3 2 2 3" xfId="50487"/>
    <cellStyle name="표준 9 5 4 3 3 2 3" xfId="50488"/>
    <cellStyle name="표준 9 5 4 3 3 2 4" xfId="50489"/>
    <cellStyle name="표준 9 5 4 3 3 3" xfId="50490"/>
    <cellStyle name="표준 9 5 4 3 3 3 2" xfId="50491"/>
    <cellStyle name="표준 9 5 4 3 3 3 3" xfId="50492"/>
    <cellStyle name="표준 9 5 4 3 3 4" xfId="50493"/>
    <cellStyle name="표준 9 5 4 3 3 5" xfId="50494"/>
    <cellStyle name="표준 9 5 4 3 4" xfId="50495"/>
    <cellStyle name="표준 9 5 4 3 4 2" xfId="50496"/>
    <cellStyle name="표준 9 5 4 3 4 2 2" xfId="50497"/>
    <cellStyle name="표준 9 5 4 3 4 2 3" xfId="50498"/>
    <cellStyle name="표준 9 5 4 3 4 3" xfId="50499"/>
    <cellStyle name="표준 9 5 4 3 4 4" xfId="50500"/>
    <cellStyle name="표준 9 5 4 3 5" xfId="50501"/>
    <cellStyle name="표준 9 5 4 3 5 2" xfId="50502"/>
    <cellStyle name="표준 9 5 4 3 5 3" xfId="50503"/>
    <cellStyle name="표준 9 5 4 3 6" xfId="50504"/>
    <cellStyle name="표준 9 5 4 3 7" xfId="50505"/>
    <cellStyle name="표준 9 5 4 4" xfId="50506"/>
    <cellStyle name="표준 9 5 4 4 2" xfId="50507"/>
    <cellStyle name="표준 9 5 4 4 2 2" xfId="50508"/>
    <cellStyle name="표준 9 5 4 4 2 2 2" xfId="50509"/>
    <cellStyle name="표준 9 5 4 4 2 2 3" xfId="50510"/>
    <cellStyle name="표준 9 5 4 4 2 3" xfId="50511"/>
    <cellStyle name="표준 9 5 4 4 2 4" xfId="50512"/>
    <cellStyle name="표준 9 5 4 4 3" xfId="50513"/>
    <cellStyle name="표준 9 5 4 4 3 2" xfId="50514"/>
    <cellStyle name="표준 9 5 4 4 3 3" xfId="50515"/>
    <cellStyle name="표준 9 5 4 4 4" xfId="50516"/>
    <cellStyle name="표준 9 5 4 4 5" xfId="50517"/>
    <cellStyle name="표준 9 5 4 5" xfId="50518"/>
    <cellStyle name="표준 9 5 4 5 2" xfId="50519"/>
    <cellStyle name="표준 9 5 4 5 2 2" xfId="50520"/>
    <cellStyle name="표준 9 5 4 5 2 2 2" xfId="50521"/>
    <cellStyle name="표준 9 5 4 5 2 2 3" xfId="50522"/>
    <cellStyle name="표준 9 5 4 5 2 3" xfId="50523"/>
    <cellStyle name="표준 9 5 4 5 2 4" xfId="50524"/>
    <cellStyle name="표준 9 5 4 5 3" xfId="50525"/>
    <cellStyle name="표준 9 5 4 5 3 2" xfId="50526"/>
    <cellStyle name="표준 9 5 4 5 3 3" xfId="50527"/>
    <cellStyle name="표준 9 5 4 5 4" xfId="50528"/>
    <cellStyle name="표준 9 5 4 5 5" xfId="50529"/>
    <cellStyle name="표준 9 5 4 6" xfId="50530"/>
    <cellStyle name="표준 9 5 4 6 2" xfId="50531"/>
    <cellStyle name="표준 9 5 4 6 2 2" xfId="50532"/>
    <cellStyle name="표준 9 5 4 6 2 2 2" xfId="50533"/>
    <cellStyle name="표준 9 5 4 6 2 2 3" xfId="50534"/>
    <cellStyle name="표준 9 5 4 6 2 3" xfId="50535"/>
    <cellStyle name="표준 9 5 4 6 2 4" xfId="50536"/>
    <cellStyle name="표준 9 5 4 6 3" xfId="50537"/>
    <cellStyle name="표준 9 5 4 6 3 2" xfId="50538"/>
    <cellStyle name="표준 9 5 4 6 3 3" xfId="50539"/>
    <cellStyle name="표준 9 5 4 6 4" xfId="50540"/>
    <cellStyle name="표준 9 5 4 6 5" xfId="50541"/>
    <cellStyle name="표준 9 5 4 7" xfId="50542"/>
    <cellStyle name="표준 9 5 4 7 2" xfId="50543"/>
    <cellStyle name="표준 9 5 4 7 2 2" xfId="50544"/>
    <cellStyle name="표준 9 5 4 7 2 3" xfId="50545"/>
    <cellStyle name="표준 9 5 4 7 3" xfId="50546"/>
    <cellStyle name="표준 9 5 4 7 4" xfId="50547"/>
    <cellStyle name="표준 9 5 4 8" xfId="50548"/>
    <cellStyle name="표준 9 5 4 8 2" xfId="50549"/>
    <cellStyle name="표준 9 5 4 8 3" xfId="50550"/>
    <cellStyle name="표준 9 5 4 9" xfId="50551"/>
    <cellStyle name="표준 9 5 5" xfId="50552"/>
    <cellStyle name="표준 9 5 5 2" xfId="50553"/>
    <cellStyle name="표준 9 5 5 2 2" xfId="50554"/>
    <cellStyle name="표준 9 5 5 2 2 2" xfId="50555"/>
    <cellStyle name="표준 9 5 5 2 2 2 2" xfId="50556"/>
    <cellStyle name="표준 9 5 5 2 2 2 3" xfId="50557"/>
    <cellStyle name="표준 9 5 5 2 2 3" xfId="50558"/>
    <cellStyle name="표준 9 5 5 2 2 4" xfId="50559"/>
    <cellStyle name="표준 9 5 5 2 3" xfId="50560"/>
    <cellStyle name="표준 9 5 5 2 3 2" xfId="50561"/>
    <cellStyle name="표준 9 5 5 2 3 3" xfId="50562"/>
    <cellStyle name="표준 9 5 5 2 4" xfId="50563"/>
    <cellStyle name="표준 9 5 5 2 5" xfId="50564"/>
    <cellStyle name="표준 9 5 5 3" xfId="50565"/>
    <cellStyle name="표준 9 5 5 3 2" xfId="50566"/>
    <cellStyle name="표준 9 5 5 3 2 2" xfId="50567"/>
    <cellStyle name="표준 9 5 5 3 2 2 2" xfId="50568"/>
    <cellStyle name="표준 9 5 5 3 2 2 3" xfId="50569"/>
    <cellStyle name="표준 9 5 5 3 2 3" xfId="50570"/>
    <cellStyle name="표준 9 5 5 3 2 4" xfId="50571"/>
    <cellStyle name="표준 9 5 5 3 3" xfId="50572"/>
    <cellStyle name="표준 9 5 5 3 3 2" xfId="50573"/>
    <cellStyle name="표준 9 5 5 3 3 3" xfId="50574"/>
    <cellStyle name="표준 9 5 5 3 4" xfId="50575"/>
    <cellStyle name="표준 9 5 5 3 5" xfId="50576"/>
    <cellStyle name="표준 9 5 5 4" xfId="50577"/>
    <cellStyle name="표준 9 5 5 4 2" xfId="50578"/>
    <cellStyle name="표준 9 5 5 4 2 2" xfId="50579"/>
    <cellStyle name="표준 9 5 5 4 2 3" xfId="50580"/>
    <cellStyle name="표준 9 5 5 4 3" xfId="50581"/>
    <cellStyle name="표준 9 5 5 4 4" xfId="50582"/>
    <cellStyle name="표준 9 5 5 5" xfId="50583"/>
    <cellStyle name="표준 9 5 5 5 2" xfId="50584"/>
    <cellStyle name="표준 9 5 5 5 3" xfId="50585"/>
    <cellStyle name="표준 9 5 5 6" xfId="50586"/>
    <cellStyle name="표준 9 5 5 7" xfId="50587"/>
    <cellStyle name="표준 9 5 6" xfId="50588"/>
    <cellStyle name="표준 9 5 6 2" xfId="50589"/>
    <cellStyle name="표준 9 5 6 2 2" xfId="50590"/>
    <cellStyle name="표준 9 5 6 2 2 2" xfId="50591"/>
    <cellStyle name="표준 9 5 6 2 2 2 2" xfId="50592"/>
    <cellStyle name="표준 9 5 6 2 2 2 3" xfId="50593"/>
    <cellStyle name="표준 9 5 6 2 2 3" xfId="50594"/>
    <cellStyle name="표준 9 5 6 2 2 4" xfId="50595"/>
    <cellStyle name="표준 9 5 6 2 3" xfId="50596"/>
    <cellStyle name="표준 9 5 6 2 3 2" xfId="50597"/>
    <cellStyle name="표준 9 5 6 2 3 3" xfId="50598"/>
    <cellStyle name="표준 9 5 6 2 4" xfId="50599"/>
    <cellStyle name="표준 9 5 6 2 5" xfId="50600"/>
    <cellStyle name="표준 9 5 6 3" xfId="50601"/>
    <cellStyle name="표준 9 5 6 3 2" xfId="50602"/>
    <cellStyle name="표준 9 5 6 3 2 2" xfId="50603"/>
    <cellStyle name="표준 9 5 6 3 2 2 2" xfId="50604"/>
    <cellStyle name="표준 9 5 6 3 2 2 3" xfId="50605"/>
    <cellStyle name="표준 9 5 6 3 2 3" xfId="50606"/>
    <cellStyle name="표준 9 5 6 3 2 4" xfId="50607"/>
    <cellStyle name="표준 9 5 6 3 3" xfId="50608"/>
    <cellStyle name="표준 9 5 6 3 3 2" xfId="50609"/>
    <cellStyle name="표준 9 5 6 3 3 3" xfId="50610"/>
    <cellStyle name="표준 9 5 6 3 4" xfId="50611"/>
    <cellStyle name="표준 9 5 6 3 5" xfId="50612"/>
    <cellStyle name="표준 9 5 6 4" xfId="50613"/>
    <cellStyle name="표준 9 5 6 4 2" xfId="50614"/>
    <cellStyle name="표준 9 5 6 4 2 2" xfId="50615"/>
    <cellStyle name="표준 9 5 6 4 2 3" xfId="50616"/>
    <cellStyle name="표준 9 5 6 4 3" xfId="50617"/>
    <cellStyle name="표준 9 5 6 4 4" xfId="50618"/>
    <cellStyle name="표준 9 5 6 5" xfId="50619"/>
    <cellStyle name="표준 9 5 6 5 2" xfId="50620"/>
    <cellStyle name="표준 9 5 6 5 3" xfId="50621"/>
    <cellStyle name="표준 9 5 6 6" xfId="50622"/>
    <cellStyle name="표준 9 5 6 7" xfId="50623"/>
    <cellStyle name="표준 9 5 7" xfId="50624"/>
    <cellStyle name="표준 9 5 7 2" xfId="50625"/>
    <cellStyle name="표준 9 5 7 2 2" xfId="50626"/>
    <cellStyle name="표준 9 5 7 2 2 2" xfId="50627"/>
    <cellStyle name="표준 9 5 7 2 2 3" xfId="50628"/>
    <cellStyle name="표준 9 5 7 2 3" xfId="50629"/>
    <cellStyle name="표준 9 5 7 2 4" xfId="50630"/>
    <cellStyle name="표준 9 5 7 3" xfId="50631"/>
    <cellStyle name="표준 9 5 7 3 2" xfId="50632"/>
    <cellStyle name="표준 9 5 7 3 3" xfId="50633"/>
    <cellStyle name="표준 9 5 7 4" xfId="50634"/>
    <cellStyle name="표준 9 5 7 5" xfId="50635"/>
    <cellStyle name="표준 9 5 8" xfId="50636"/>
    <cellStyle name="표준 9 5 8 2" xfId="50637"/>
    <cellStyle name="표준 9 5 8 2 2" xfId="50638"/>
    <cellStyle name="표준 9 5 8 2 2 2" xfId="50639"/>
    <cellStyle name="표준 9 5 8 2 2 3" xfId="50640"/>
    <cellStyle name="표준 9 5 8 2 3" xfId="50641"/>
    <cellStyle name="표준 9 5 8 2 4" xfId="50642"/>
    <cellStyle name="표준 9 5 8 3" xfId="50643"/>
    <cellStyle name="표준 9 5 8 3 2" xfId="50644"/>
    <cellStyle name="표준 9 5 8 3 3" xfId="50645"/>
    <cellStyle name="표준 9 5 8 4" xfId="50646"/>
    <cellStyle name="표준 9 5 8 5" xfId="50647"/>
    <cellStyle name="표준 9 5 9" xfId="50648"/>
    <cellStyle name="표준 9 5 9 2" xfId="50649"/>
    <cellStyle name="표준 9 5 9 2 2" xfId="50650"/>
    <cellStyle name="표준 9 5 9 2 2 2" xfId="50651"/>
    <cellStyle name="표준 9 5 9 2 2 3" xfId="50652"/>
    <cellStyle name="표준 9 5 9 2 3" xfId="50653"/>
    <cellStyle name="표준 9 5 9 2 4" xfId="50654"/>
    <cellStyle name="표준 9 5 9 3" xfId="50655"/>
    <cellStyle name="표준 9 5 9 3 2" xfId="50656"/>
    <cellStyle name="표준 9 5 9 3 3" xfId="50657"/>
    <cellStyle name="표준 9 5 9 4" xfId="50658"/>
    <cellStyle name="표준 9 5 9 5" xfId="50659"/>
    <cellStyle name="표준 9 6" xfId="50660"/>
    <cellStyle name="표준 9 6 10" xfId="50661"/>
    <cellStyle name="표준 9 6 2" xfId="50662"/>
    <cellStyle name="표준 9 6 2 2" xfId="50663"/>
    <cellStyle name="표준 9 6 2 2 2" xfId="50664"/>
    <cellStyle name="표준 9 6 2 2 2 2" xfId="50665"/>
    <cellStyle name="표준 9 6 2 2 2 2 2" xfId="50666"/>
    <cellStyle name="표준 9 6 2 2 2 2 3" xfId="50667"/>
    <cellStyle name="표준 9 6 2 2 2 3" xfId="50668"/>
    <cellStyle name="표준 9 6 2 2 2 4" xfId="50669"/>
    <cellStyle name="표준 9 6 2 2 3" xfId="50670"/>
    <cellStyle name="표준 9 6 2 2 3 2" xfId="50671"/>
    <cellStyle name="표준 9 6 2 2 3 3" xfId="50672"/>
    <cellStyle name="표준 9 6 2 2 4" xfId="50673"/>
    <cellStyle name="표준 9 6 2 2 5" xfId="50674"/>
    <cellStyle name="표준 9 6 2 3" xfId="50675"/>
    <cellStyle name="표준 9 6 2 3 2" xfId="50676"/>
    <cellStyle name="표준 9 6 2 3 2 2" xfId="50677"/>
    <cellStyle name="표준 9 6 2 3 2 2 2" xfId="50678"/>
    <cellStyle name="표준 9 6 2 3 2 2 3" xfId="50679"/>
    <cellStyle name="표준 9 6 2 3 2 3" xfId="50680"/>
    <cellStyle name="표준 9 6 2 3 2 4" xfId="50681"/>
    <cellStyle name="표준 9 6 2 3 3" xfId="50682"/>
    <cellStyle name="표준 9 6 2 3 3 2" xfId="50683"/>
    <cellStyle name="표준 9 6 2 3 3 3" xfId="50684"/>
    <cellStyle name="표준 9 6 2 3 4" xfId="50685"/>
    <cellStyle name="표준 9 6 2 3 5" xfId="50686"/>
    <cellStyle name="표준 9 6 2 4" xfId="50687"/>
    <cellStyle name="표준 9 6 2 4 2" xfId="50688"/>
    <cellStyle name="표준 9 6 2 4 2 2" xfId="50689"/>
    <cellStyle name="표준 9 6 2 4 2 3" xfId="50690"/>
    <cellStyle name="표준 9 6 2 4 3" xfId="50691"/>
    <cellStyle name="표준 9 6 2 4 4" xfId="50692"/>
    <cellStyle name="표준 9 6 2 5" xfId="50693"/>
    <cellStyle name="표준 9 6 2 5 2" xfId="50694"/>
    <cellStyle name="표준 9 6 2 5 3" xfId="50695"/>
    <cellStyle name="표준 9 6 2 6" xfId="50696"/>
    <cellStyle name="표준 9 6 2 7" xfId="50697"/>
    <cellStyle name="표준 9 6 3" xfId="50698"/>
    <cellStyle name="표준 9 6 3 2" xfId="50699"/>
    <cellStyle name="표준 9 6 3 2 2" xfId="50700"/>
    <cellStyle name="표준 9 6 3 2 2 2" xfId="50701"/>
    <cellStyle name="표준 9 6 3 2 2 2 2" xfId="50702"/>
    <cellStyle name="표준 9 6 3 2 2 2 3" xfId="50703"/>
    <cellStyle name="표준 9 6 3 2 2 3" xfId="50704"/>
    <cellStyle name="표준 9 6 3 2 2 4" xfId="50705"/>
    <cellStyle name="표준 9 6 3 2 3" xfId="50706"/>
    <cellStyle name="표준 9 6 3 2 3 2" xfId="50707"/>
    <cellStyle name="표준 9 6 3 2 3 3" xfId="50708"/>
    <cellStyle name="표준 9 6 3 2 4" xfId="50709"/>
    <cellStyle name="표준 9 6 3 2 5" xfId="50710"/>
    <cellStyle name="표준 9 6 3 3" xfId="50711"/>
    <cellStyle name="표준 9 6 3 3 2" xfId="50712"/>
    <cellStyle name="표준 9 6 3 3 2 2" xfId="50713"/>
    <cellStyle name="표준 9 6 3 3 2 2 2" xfId="50714"/>
    <cellStyle name="표준 9 6 3 3 2 2 3" xfId="50715"/>
    <cellStyle name="표준 9 6 3 3 2 3" xfId="50716"/>
    <cellStyle name="표준 9 6 3 3 2 4" xfId="50717"/>
    <cellStyle name="표준 9 6 3 3 3" xfId="50718"/>
    <cellStyle name="표준 9 6 3 3 3 2" xfId="50719"/>
    <cellStyle name="표준 9 6 3 3 3 3" xfId="50720"/>
    <cellStyle name="표준 9 6 3 3 4" xfId="50721"/>
    <cellStyle name="표준 9 6 3 3 5" xfId="50722"/>
    <cellStyle name="표준 9 6 3 4" xfId="50723"/>
    <cellStyle name="표준 9 6 3 4 2" xfId="50724"/>
    <cellStyle name="표준 9 6 3 4 2 2" xfId="50725"/>
    <cellStyle name="표준 9 6 3 4 2 3" xfId="50726"/>
    <cellStyle name="표준 9 6 3 4 3" xfId="50727"/>
    <cellStyle name="표준 9 6 3 4 4" xfId="50728"/>
    <cellStyle name="표준 9 6 3 5" xfId="50729"/>
    <cellStyle name="표준 9 6 3 5 2" xfId="50730"/>
    <cellStyle name="표준 9 6 3 5 3" xfId="50731"/>
    <cellStyle name="표준 9 6 3 6" xfId="50732"/>
    <cellStyle name="표준 9 6 3 7" xfId="50733"/>
    <cellStyle name="표준 9 6 4" xfId="50734"/>
    <cellStyle name="표준 9 6 4 2" xfId="50735"/>
    <cellStyle name="표준 9 6 4 2 2" xfId="50736"/>
    <cellStyle name="표준 9 6 4 2 2 2" xfId="50737"/>
    <cellStyle name="표준 9 6 4 2 2 3" xfId="50738"/>
    <cellStyle name="표준 9 6 4 2 3" xfId="50739"/>
    <cellStyle name="표준 9 6 4 2 4" xfId="50740"/>
    <cellStyle name="표준 9 6 4 3" xfId="50741"/>
    <cellStyle name="표준 9 6 4 3 2" xfId="50742"/>
    <cellStyle name="표준 9 6 4 3 3" xfId="50743"/>
    <cellStyle name="표준 9 6 4 4" xfId="50744"/>
    <cellStyle name="표준 9 6 4 5" xfId="50745"/>
    <cellStyle name="표준 9 6 5" xfId="50746"/>
    <cellStyle name="표준 9 6 5 2" xfId="50747"/>
    <cellStyle name="표준 9 6 5 2 2" xfId="50748"/>
    <cellStyle name="표준 9 6 5 2 2 2" xfId="50749"/>
    <cellStyle name="표준 9 6 5 2 2 3" xfId="50750"/>
    <cellStyle name="표준 9 6 5 2 3" xfId="50751"/>
    <cellStyle name="표준 9 6 5 2 4" xfId="50752"/>
    <cellStyle name="표준 9 6 5 3" xfId="50753"/>
    <cellStyle name="표준 9 6 5 3 2" xfId="50754"/>
    <cellStyle name="표준 9 6 5 3 3" xfId="50755"/>
    <cellStyle name="표준 9 6 5 4" xfId="50756"/>
    <cellStyle name="표준 9 6 5 5" xfId="50757"/>
    <cellStyle name="표준 9 6 6" xfId="50758"/>
    <cellStyle name="표준 9 6 6 2" xfId="50759"/>
    <cellStyle name="표준 9 6 6 2 2" xfId="50760"/>
    <cellStyle name="표준 9 6 6 2 2 2" xfId="50761"/>
    <cellStyle name="표준 9 6 6 2 2 3" xfId="50762"/>
    <cellStyle name="표준 9 6 6 2 3" xfId="50763"/>
    <cellStyle name="표준 9 6 6 2 4" xfId="50764"/>
    <cellStyle name="표준 9 6 6 3" xfId="50765"/>
    <cellStyle name="표준 9 6 6 3 2" xfId="50766"/>
    <cellStyle name="표준 9 6 6 3 3" xfId="50767"/>
    <cellStyle name="표준 9 6 6 4" xfId="50768"/>
    <cellStyle name="표준 9 6 6 5" xfId="50769"/>
    <cellStyle name="표준 9 6 7" xfId="50770"/>
    <cellStyle name="표준 9 6 7 2" xfId="50771"/>
    <cellStyle name="표준 9 6 7 2 2" xfId="50772"/>
    <cellStyle name="표준 9 6 7 2 3" xfId="50773"/>
    <cellStyle name="표준 9 6 7 3" xfId="50774"/>
    <cellStyle name="표준 9 6 7 4" xfId="50775"/>
    <cellStyle name="표준 9 6 8" xfId="50776"/>
    <cellStyle name="표준 9 6 8 2" xfId="50777"/>
    <cellStyle name="표준 9 6 8 3" xfId="50778"/>
    <cellStyle name="표준 9 6 9" xfId="50779"/>
    <cellStyle name="표준 9 7" xfId="50780"/>
    <cellStyle name="표준 9 7 10" xfId="50781"/>
    <cellStyle name="표준 9 7 2" xfId="50782"/>
    <cellStyle name="표준 9 7 2 2" xfId="50783"/>
    <cellStyle name="표준 9 7 2 2 2" xfId="50784"/>
    <cellStyle name="표준 9 7 2 2 2 2" xfId="50785"/>
    <cellStyle name="표준 9 7 2 2 2 2 2" xfId="50786"/>
    <cellStyle name="표준 9 7 2 2 2 2 3" xfId="50787"/>
    <cellStyle name="표준 9 7 2 2 2 3" xfId="50788"/>
    <cellStyle name="표준 9 7 2 2 2 4" xfId="50789"/>
    <cellStyle name="표준 9 7 2 2 3" xfId="50790"/>
    <cellStyle name="표준 9 7 2 2 3 2" xfId="50791"/>
    <cellStyle name="표준 9 7 2 2 3 3" xfId="50792"/>
    <cellStyle name="표준 9 7 2 2 4" xfId="50793"/>
    <cellStyle name="표준 9 7 2 2 5" xfId="50794"/>
    <cellStyle name="표준 9 7 2 3" xfId="50795"/>
    <cellStyle name="표준 9 7 2 3 2" xfId="50796"/>
    <cellStyle name="표준 9 7 2 3 2 2" xfId="50797"/>
    <cellStyle name="표준 9 7 2 3 2 2 2" xfId="50798"/>
    <cellStyle name="표준 9 7 2 3 2 2 3" xfId="50799"/>
    <cellStyle name="표준 9 7 2 3 2 3" xfId="50800"/>
    <cellStyle name="표준 9 7 2 3 2 4" xfId="50801"/>
    <cellStyle name="표준 9 7 2 3 3" xfId="50802"/>
    <cellStyle name="표준 9 7 2 3 3 2" xfId="50803"/>
    <cellStyle name="표준 9 7 2 3 3 3" xfId="50804"/>
    <cellStyle name="표준 9 7 2 3 4" xfId="50805"/>
    <cellStyle name="표준 9 7 2 3 5" xfId="50806"/>
    <cellStyle name="표준 9 7 2 4" xfId="50807"/>
    <cellStyle name="표준 9 7 2 4 2" xfId="50808"/>
    <cellStyle name="표준 9 7 2 4 2 2" xfId="50809"/>
    <cellStyle name="표준 9 7 2 4 2 3" xfId="50810"/>
    <cellStyle name="표준 9 7 2 4 3" xfId="50811"/>
    <cellStyle name="표준 9 7 2 4 4" xfId="50812"/>
    <cellStyle name="표준 9 7 2 5" xfId="50813"/>
    <cellStyle name="표준 9 7 2 5 2" xfId="50814"/>
    <cellStyle name="표준 9 7 2 5 3" xfId="50815"/>
    <cellStyle name="표준 9 7 2 6" xfId="50816"/>
    <cellStyle name="표준 9 7 2 7" xfId="50817"/>
    <cellStyle name="표준 9 7 3" xfId="50818"/>
    <cellStyle name="표준 9 7 3 2" xfId="50819"/>
    <cellStyle name="표준 9 7 3 2 2" xfId="50820"/>
    <cellStyle name="표준 9 7 3 2 2 2" xfId="50821"/>
    <cellStyle name="표준 9 7 3 2 2 2 2" xfId="50822"/>
    <cellStyle name="표준 9 7 3 2 2 2 3" xfId="50823"/>
    <cellStyle name="표준 9 7 3 2 2 3" xfId="50824"/>
    <cellStyle name="표준 9 7 3 2 2 4" xfId="50825"/>
    <cellStyle name="표준 9 7 3 2 3" xfId="50826"/>
    <cellStyle name="표준 9 7 3 2 3 2" xfId="50827"/>
    <cellStyle name="표준 9 7 3 2 3 3" xfId="50828"/>
    <cellStyle name="표준 9 7 3 2 4" xfId="50829"/>
    <cellStyle name="표준 9 7 3 2 5" xfId="50830"/>
    <cellStyle name="표준 9 7 3 3" xfId="50831"/>
    <cellStyle name="표준 9 7 3 3 2" xfId="50832"/>
    <cellStyle name="표준 9 7 3 3 2 2" xfId="50833"/>
    <cellStyle name="표준 9 7 3 3 2 2 2" xfId="50834"/>
    <cellStyle name="표준 9 7 3 3 2 2 3" xfId="50835"/>
    <cellStyle name="표준 9 7 3 3 2 3" xfId="50836"/>
    <cellStyle name="표준 9 7 3 3 2 4" xfId="50837"/>
    <cellStyle name="표준 9 7 3 3 3" xfId="50838"/>
    <cellStyle name="표준 9 7 3 3 3 2" xfId="50839"/>
    <cellStyle name="표준 9 7 3 3 3 3" xfId="50840"/>
    <cellStyle name="표준 9 7 3 3 4" xfId="50841"/>
    <cellStyle name="표준 9 7 3 3 5" xfId="50842"/>
    <cellStyle name="표준 9 7 3 4" xfId="50843"/>
    <cellStyle name="표준 9 7 3 4 2" xfId="50844"/>
    <cellStyle name="표준 9 7 3 4 2 2" xfId="50845"/>
    <cellStyle name="표준 9 7 3 4 2 3" xfId="50846"/>
    <cellStyle name="표준 9 7 3 4 3" xfId="50847"/>
    <cellStyle name="표준 9 7 3 4 4" xfId="50848"/>
    <cellStyle name="표준 9 7 3 5" xfId="50849"/>
    <cellStyle name="표준 9 7 3 5 2" xfId="50850"/>
    <cellStyle name="표준 9 7 3 5 3" xfId="50851"/>
    <cellStyle name="표준 9 7 3 6" xfId="50852"/>
    <cellStyle name="표준 9 7 3 7" xfId="50853"/>
    <cellStyle name="표준 9 7 4" xfId="50854"/>
    <cellStyle name="표준 9 7 4 2" xfId="50855"/>
    <cellStyle name="표준 9 7 4 2 2" xfId="50856"/>
    <cellStyle name="표준 9 7 4 2 2 2" xfId="50857"/>
    <cellStyle name="표준 9 7 4 2 2 3" xfId="50858"/>
    <cellStyle name="표준 9 7 4 2 3" xfId="50859"/>
    <cellStyle name="표준 9 7 4 2 4" xfId="50860"/>
    <cellStyle name="표준 9 7 4 3" xfId="50861"/>
    <cellStyle name="표준 9 7 4 3 2" xfId="50862"/>
    <cellStyle name="표준 9 7 4 3 3" xfId="50863"/>
    <cellStyle name="표준 9 7 4 4" xfId="50864"/>
    <cellStyle name="표준 9 7 4 5" xfId="50865"/>
    <cellStyle name="표준 9 7 5" xfId="50866"/>
    <cellStyle name="표준 9 7 5 2" xfId="50867"/>
    <cellStyle name="표준 9 7 5 2 2" xfId="50868"/>
    <cellStyle name="표준 9 7 5 2 2 2" xfId="50869"/>
    <cellStyle name="표준 9 7 5 2 2 3" xfId="50870"/>
    <cellStyle name="표준 9 7 5 2 3" xfId="50871"/>
    <cellStyle name="표준 9 7 5 2 4" xfId="50872"/>
    <cellStyle name="표준 9 7 5 3" xfId="50873"/>
    <cellStyle name="표준 9 7 5 3 2" xfId="50874"/>
    <cellStyle name="표준 9 7 5 3 3" xfId="50875"/>
    <cellStyle name="표준 9 7 5 4" xfId="50876"/>
    <cellStyle name="표준 9 7 5 5" xfId="50877"/>
    <cellStyle name="표준 9 7 6" xfId="50878"/>
    <cellStyle name="표준 9 7 6 2" xfId="50879"/>
    <cellStyle name="표준 9 7 6 2 2" xfId="50880"/>
    <cellStyle name="표준 9 7 6 2 2 2" xfId="50881"/>
    <cellStyle name="표준 9 7 6 2 2 3" xfId="50882"/>
    <cellStyle name="표준 9 7 6 2 3" xfId="50883"/>
    <cellStyle name="표준 9 7 6 2 4" xfId="50884"/>
    <cellStyle name="표준 9 7 6 3" xfId="50885"/>
    <cellStyle name="표준 9 7 6 3 2" xfId="50886"/>
    <cellStyle name="표준 9 7 6 3 3" xfId="50887"/>
    <cellStyle name="표준 9 7 6 4" xfId="50888"/>
    <cellStyle name="표준 9 7 6 5" xfId="50889"/>
    <cellStyle name="표준 9 7 7" xfId="50890"/>
    <cellStyle name="표준 9 7 7 2" xfId="50891"/>
    <cellStyle name="표준 9 7 7 2 2" xfId="50892"/>
    <cellStyle name="표준 9 7 7 2 3" xfId="50893"/>
    <cellStyle name="표준 9 7 7 3" xfId="50894"/>
    <cellStyle name="표준 9 7 7 4" xfId="50895"/>
    <cellStyle name="표준 9 7 8" xfId="50896"/>
    <cellStyle name="표준 9 7 8 2" xfId="50897"/>
    <cellStyle name="표준 9 7 8 3" xfId="50898"/>
    <cellStyle name="표준 9 7 9" xfId="50899"/>
    <cellStyle name="표준 9 8" xfId="50900"/>
    <cellStyle name="표준 9 8 10" xfId="50901"/>
    <cellStyle name="표준 9 8 2" xfId="50902"/>
    <cellStyle name="표준 9 8 2 2" xfId="50903"/>
    <cellStyle name="표준 9 8 2 2 2" xfId="50904"/>
    <cellStyle name="표준 9 8 2 2 2 2" xfId="50905"/>
    <cellStyle name="표준 9 8 2 2 2 2 2" xfId="50906"/>
    <cellStyle name="표준 9 8 2 2 2 2 3" xfId="50907"/>
    <cellStyle name="표준 9 8 2 2 2 3" xfId="50908"/>
    <cellStyle name="표준 9 8 2 2 2 4" xfId="50909"/>
    <cellStyle name="표준 9 8 2 2 3" xfId="50910"/>
    <cellStyle name="표준 9 8 2 2 3 2" xfId="50911"/>
    <cellStyle name="표준 9 8 2 2 3 3" xfId="50912"/>
    <cellStyle name="표준 9 8 2 2 4" xfId="50913"/>
    <cellStyle name="표준 9 8 2 2 5" xfId="50914"/>
    <cellStyle name="표준 9 8 2 3" xfId="50915"/>
    <cellStyle name="표준 9 8 2 3 2" xfId="50916"/>
    <cellStyle name="표준 9 8 2 3 2 2" xfId="50917"/>
    <cellStyle name="표준 9 8 2 3 2 2 2" xfId="50918"/>
    <cellStyle name="표준 9 8 2 3 2 2 3" xfId="50919"/>
    <cellStyle name="표준 9 8 2 3 2 3" xfId="50920"/>
    <cellStyle name="표준 9 8 2 3 2 4" xfId="50921"/>
    <cellStyle name="표준 9 8 2 3 3" xfId="50922"/>
    <cellStyle name="표준 9 8 2 3 3 2" xfId="50923"/>
    <cellStyle name="표준 9 8 2 3 3 3" xfId="50924"/>
    <cellStyle name="표준 9 8 2 3 4" xfId="50925"/>
    <cellStyle name="표준 9 8 2 3 5" xfId="50926"/>
    <cellStyle name="표준 9 8 2 4" xfId="50927"/>
    <cellStyle name="표준 9 8 2 4 2" xfId="50928"/>
    <cellStyle name="표준 9 8 2 4 2 2" xfId="50929"/>
    <cellStyle name="표준 9 8 2 4 2 3" xfId="50930"/>
    <cellStyle name="표준 9 8 2 4 3" xfId="50931"/>
    <cellStyle name="표준 9 8 2 4 4" xfId="50932"/>
    <cellStyle name="표준 9 8 2 5" xfId="50933"/>
    <cellStyle name="표준 9 8 2 5 2" xfId="50934"/>
    <cellStyle name="표준 9 8 2 5 3" xfId="50935"/>
    <cellStyle name="표준 9 8 2 6" xfId="50936"/>
    <cellStyle name="표준 9 8 2 7" xfId="50937"/>
    <cellStyle name="표준 9 8 3" xfId="50938"/>
    <cellStyle name="표준 9 8 3 2" xfId="50939"/>
    <cellStyle name="표준 9 8 3 2 2" xfId="50940"/>
    <cellStyle name="표준 9 8 3 2 2 2" xfId="50941"/>
    <cellStyle name="표준 9 8 3 2 2 2 2" xfId="50942"/>
    <cellStyle name="표준 9 8 3 2 2 2 3" xfId="50943"/>
    <cellStyle name="표준 9 8 3 2 2 3" xfId="50944"/>
    <cellStyle name="표준 9 8 3 2 2 4" xfId="50945"/>
    <cellStyle name="표준 9 8 3 2 3" xfId="50946"/>
    <cellStyle name="표준 9 8 3 2 3 2" xfId="50947"/>
    <cellStyle name="표준 9 8 3 2 3 3" xfId="50948"/>
    <cellStyle name="표준 9 8 3 2 4" xfId="50949"/>
    <cellStyle name="표준 9 8 3 2 5" xfId="50950"/>
    <cellStyle name="표준 9 8 3 3" xfId="50951"/>
    <cellStyle name="표준 9 8 3 3 2" xfId="50952"/>
    <cellStyle name="표준 9 8 3 3 2 2" xfId="50953"/>
    <cellStyle name="표준 9 8 3 3 2 2 2" xfId="50954"/>
    <cellStyle name="표준 9 8 3 3 2 2 3" xfId="50955"/>
    <cellStyle name="표준 9 8 3 3 2 3" xfId="50956"/>
    <cellStyle name="표준 9 8 3 3 2 4" xfId="50957"/>
    <cellStyle name="표준 9 8 3 3 3" xfId="50958"/>
    <cellStyle name="표준 9 8 3 3 3 2" xfId="50959"/>
    <cellStyle name="표준 9 8 3 3 3 3" xfId="50960"/>
    <cellStyle name="표준 9 8 3 3 4" xfId="50961"/>
    <cellStyle name="표준 9 8 3 3 5" xfId="50962"/>
    <cellStyle name="표준 9 8 3 4" xfId="50963"/>
    <cellStyle name="표준 9 8 3 4 2" xfId="50964"/>
    <cellStyle name="표준 9 8 3 4 2 2" xfId="50965"/>
    <cellStyle name="표준 9 8 3 4 2 3" xfId="50966"/>
    <cellStyle name="표준 9 8 3 4 3" xfId="50967"/>
    <cellStyle name="표준 9 8 3 4 4" xfId="50968"/>
    <cellStyle name="표준 9 8 3 5" xfId="50969"/>
    <cellStyle name="표준 9 8 3 5 2" xfId="50970"/>
    <cellStyle name="표준 9 8 3 5 3" xfId="50971"/>
    <cellStyle name="표준 9 8 3 6" xfId="50972"/>
    <cellStyle name="표준 9 8 3 7" xfId="50973"/>
    <cellStyle name="표준 9 8 4" xfId="50974"/>
    <cellStyle name="표준 9 8 4 2" xfId="50975"/>
    <cellStyle name="표준 9 8 4 2 2" xfId="50976"/>
    <cellStyle name="표준 9 8 4 2 2 2" xfId="50977"/>
    <cellStyle name="표준 9 8 4 2 2 3" xfId="50978"/>
    <cellStyle name="표준 9 8 4 2 3" xfId="50979"/>
    <cellStyle name="표준 9 8 4 2 4" xfId="50980"/>
    <cellStyle name="표준 9 8 4 3" xfId="50981"/>
    <cellStyle name="표준 9 8 4 3 2" xfId="50982"/>
    <cellStyle name="표준 9 8 4 3 3" xfId="50983"/>
    <cellStyle name="표준 9 8 4 4" xfId="50984"/>
    <cellStyle name="표준 9 8 4 5" xfId="50985"/>
    <cellStyle name="표준 9 8 5" xfId="50986"/>
    <cellStyle name="표준 9 8 5 2" xfId="50987"/>
    <cellStyle name="표준 9 8 5 2 2" xfId="50988"/>
    <cellStyle name="표준 9 8 5 2 2 2" xfId="50989"/>
    <cellStyle name="표준 9 8 5 2 2 3" xfId="50990"/>
    <cellStyle name="표준 9 8 5 2 3" xfId="50991"/>
    <cellStyle name="표준 9 8 5 2 4" xfId="50992"/>
    <cellStyle name="표준 9 8 5 3" xfId="50993"/>
    <cellStyle name="표준 9 8 5 3 2" xfId="50994"/>
    <cellStyle name="표준 9 8 5 3 3" xfId="50995"/>
    <cellStyle name="표준 9 8 5 4" xfId="50996"/>
    <cellStyle name="표준 9 8 5 5" xfId="50997"/>
    <cellStyle name="표준 9 8 6" xfId="50998"/>
    <cellStyle name="표준 9 8 6 2" xfId="50999"/>
    <cellStyle name="표준 9 8 6 2 2" xfId="51000"/>
    <cellStyle name="표준 9 8 6 2 2 2" xfId="51001"/>
    <cellStyle name="표준 9 8 6 2 2 3" xfId="51002"/>
    <cellStyle name="표준 9 8 6 2 3" xfId="51003"/>
    <cellStyle name="표준 9 8 6 2 4" xfId="51004"/>
    <cellStyle name="표준 9 8 6 3" xfId="51005"/>
    <cellStyle name="표준 9 8 6 3 2" xfId="51006"/>
    <cellStyle name="표준 9 8 6 3 3" xfId="51007"/>
    <cellStyle name="표준 9 8 6 4" xfId="51008"/>
    <cellStyle name="표준 9 8 6 5" xfId="51009"/>
    <cellStyle name="표준 9 8 7" xfId="51010"/>
    <cellStyle name="표준 9 8 7 2" xfId="51011"/>
    <cellStyle name="표준 9 8 7 2 2" xfId="51012"/>
    <cellStyle name="표준 9 8 7 2 3" xfId="51013"/>
    <cellStyle name="표준 9 8 7 3" xfId="51014"/>
    <cellStyle name="표준 9 8 7 4" xfId="51015"/>
    <cellStyle name="표준 9 8 8" xfId="51016"/>
    <cellStyle name="표준 9 8 8 2" xfId="51017"/>
    <cellStyle name="표준 9 8 8 3" xfId="51018"/>
    <cellStyle name="표준 9 8 9" xfId="51019"/>
    <cellStyle name="표준 9 9" xfId="51020"/>
    <cellStyle name="표준 9 9 2" xfId="51021"/>
    <cellStyle name="표준 9 9 2 2" xfId="51022"/>
    <cellStyle name="표준 9 9 2 2 2" xfId="51023"/>
    <cellStyle name="표준 9 9 2 2 2 2" xfId="51024"/>
    <cellStyle name="표준 9 9 2 2 2 3" xfId="51025"/>
    <cellStyle name="표준 9 9 2 2 3" xfId="51026"/>
    <cellStyle name="표준 9 9 2 2 4" xfId="51027"/>
    <cellStyle name="표준 9 9 2 3" xfId="51028"/>
    <cellStyle name="표준 9 9 2 3 2" xfId="51029"/>
    <cellStyle name="표준 9 9 2 3 3" xfId="51030"/>
    <cellStyle name="표준 9 9 2 4" xfId="51031"/>
    <cellStyle name="표준 9 9 2 5" xfId="51032"/>
    <cellStyle name="표준 9 9 3" xfId="51033"/>
    <cellStyle name="표준 9 9 3 2" xfId="51034"/>
    <cellStyle name="표준 9 9 3 2 2" xfId="51035"/>
    <cellStyle name="표준 9 9 3 2 2 2" xfId="51036"/>
    <cellStyle name="표준 9 9 3 2 2 3" xfId="51037"/>
    <cellStyle name="표준 9 9 3 2 3" xfId="51038"/>
    <cellStyle name="표준 9 9 3 2 4" xfId="51039"/>
    <cellStyle name="표준 9 9 3 3" xfId="51040"/>
    <cellStyle name="표준 9 9 3 3 2" xfId="51041"/>
    <cellStyle name="표준 9 9 3 3 3" xfId="51042"/>
    <cellStyle name="표준 9 9 3 4" xfId="51043"/>
    <cellStyle name="표준 9 9 3 5" xfId="51044"/>
    <cellStyle name="표준 9 9 4" xfId="51045"/>
    <cellStyle name="표준 9 9 4 2" xfId="51046"/>
    <cellStyle name="표준 9 9 4 2 2" xfId="51047"/>
    <cellStyle name="표준 9 9 4 2 3" xfId="51048"/>
    <cellStyle name="표준 9 9 4 3" xfId="51049"/>
    <cellStyle name="표준 9 9 4 4" xfId="51050"/>
    <cellStyle name="표준 9 9 5" xfId="51051"/>
    <cellStyle name="표준 9 9 5 2" xfId="51052"/>
    <cellStyle name="표준 9 9 5 3" xfId="51053"/>
    <cellStyle name="표준 9 9 6" xfId="51054"/>
    <cellStyle name="표준 9 9 7" xfId="51055"/>
    <cellStyle name="표준 9_Sheet3" xfId="51056"/>
    <cellStyle name="표준 90" xfId="51057"/>
    <cellStyle name="표준 91" xfId="51058"/>
    <cellStyle name="표준 92" xfId="51059"/>
    <cellStyle name="표준 93" xfId="51060"/>
    <cellStyle name="표준 94" xfId="51061"/>
    <cellStyle name="표준 95" xfId="51062"/>
    <cellStyle name="표준 96" xfId="51063"/>
    <cellStyle name="표준 97" xfId="51064"/>
    <cellStyle name="표준 98" xfId="51065"/>
    <cellStyle name="표준 99" xfId="51066"/>
    <cellStyle name="표준_(정보부문)월별인원계획" xfId="51067"/>
    <cellStyle name="표준_COR(1).40.WWP.SQ.0270_QPA_PWB_Rev2.0_Audit form (송부)_Process check list(영문) 취합" xfId="3"/>
    <cellStyle name="표준_NDI社 SMT공정 진단_0716" xfId="51133"/>
    <cellStyle name="표준_QSA_Check-Sheet" xfId="51134"/>
    <cellStyle name="표준1" xfId="51068"/>
    <cellStyle name="표준-천마편람" xfId="51069"/>
    <cellStyle name="표준⽴laroux_laroux_2" xfId="51070"/>
    <cellStyle name="푤롸貫[0]_丹홈셕뺍,茄셥 " xfId="51071"/>
    <cellStyle name="푤롸貫_丹홈셕뺍,茄셥 " xfId="51072"/>
    <cellStyle name="하이퍼링크 2" xfId="51073"/>
    <cellStyle name="하이퍼링크 2 2" xfId="51074"/>
    <cellStyle name="하이퍼링크_NDI社 SMT공정 진단_0716" xfId="51075"/>
    <cellStyle name="합산" xfId="51076"/>
    <cellStyle name="합산 2" xfId="51077"/>
    <cellStyle name="합산 2 2" xfId="51078"/>
    <cellStyle name="합산 3" xfId="51079"/>
    <cellStyle name="화폐기호" xfId="51080"/>
    <cellStyle name="화폐기호 2" xfId="51081"/>
    <cellStyle name="화폐기호 2 2" xfId="51082"/>
    <cellStyle name="화폐기호 3" xfId="51083"/>
    <cellStyle name="화폐기호0" xfId="51084"/>
    <cellStyle name="화폐기호0 2" xfId="51085"/>
    <cellStyle name="화폐기호0 2 2" xfId="51086"/>
    <cellStyle name="화폐기호0 3" xfId="51087"/>
    <cellStyle name="一般_00Q3902REV.1" xfId="51088"/>
    <cellStyle name="千位分隔[0]_GTHMSNZ" xfId="51089"/>
    <cellStyle name="千位分隔_GTHMSNZ" xfId="51090"/>
    <cellStyle name="千分位[0]_00Q3902REV.1" xfId="51091"/>
    <cellStyle name="千分位_00Q3902REV.1" xfId="51092"/>
    <cellStyle name="咬訌裝?INCOM1" xfId="51093"/>
    <cellStyle name="咬訌裝?INCOM10" xfId="51094"/>
    <cellStyle name="咬訌裝?INCOM2" xfId="51095"/>
    <cellStyle name="咬訌裝?INCOM3" xfId="51096"/>
    <cellStyle name="咬訌裝?INCOM4" xfId="51097"/>
    <cellStyle name="咬訌裝?INCOM5" xfId="51098"/>
    <cellStyle name="咬訌裝?INCOM6" xfId="51099"/>
    <cellStyle name="咬訌裝?INCOM7" xfId="51100"/>
    <cellStyle name="咬訌裝?INCOM8" xfId="51101"/>
    <cellStyle name="咬訌裝?INCOM9" xfId="51102"/>
    <cellStyle name="咬訌裝?PRIB11" xfId="51103"/>
    <cellStyle name="單" xfId="51104"/>
    <cellStyle name="單 2" xfId="51105"/>
    <cellStyle name="巍葆 [0]_laroux" xfId="51106"/>
    <cellStyle name="巍葆_laroux" xfId="51107"/>
    <cellStyle name="常规_GTHMSNZ" xfId="51108"/>
    <cellStyle name="归盒啦_老老前龙泅炔 " xfId="51109"/>
    <cellStyle name="普通_封皮" xfId="51110"/>
    <cellStyle name="桁区切り_ＦＩＴＳ見積（FIT-042）" xfId="51111"/>
    <cellStyle name="標準_1-seatdimensional" xfId="51112"/>
    <cellStyle name="烹拳 [0]_  ?  ?  " xfId="51113"/>
    <cellStyle name="烹拳_  ?  ?  " xfId="51114"/>
    <cellStyle name="百分比_ORDER COVER SHEET(D9905-3)" xfId="51115"/>
    <cellStyle name="第俊 ?? ??欺傅?" xfId="51116"/>
    <cellStyle name="表示済みのハイパーリンク_Book1 グラフ 22" xfId="51117"/>
    <cellStyle name="貨幣 [0]_00Q3902REV.1" xfId="51118"/>
    <cellStyle name="貨幣[0]_BRE" xfId="51119"/>
    <cellStyle name="貨幣_00Q3902REV.1" xfId="51120"/>
    <cellStyle name="货币[0]_GTHMSNZ" xfId="51121"/>
    <cellStyle name="货币_GTHMSNZ" xfId="51122"/>
    <cellStyle name="通貨 [0.00]_Book1" xfId="51123"/>
    <cellStyle name="通貨_Book1" xfId="51124"/>
    <cellStyle name="钎霖_   " xfId="51125"/>
    <cellStyle name="霓付 [0]_  ?  ?  " xfId="51126"/>
    <cellStyle name="霓付_  ?  ?  " xfId="51127"/>
    <cellStyle name="鱔 [0]_laroux" xfId="51128"/>
    <cellStyle name="鱔_laroux" xfId="51129"/>
  </cellStyles>
  <dxfs count="1">
    <dxf>
      <font>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externalLink" Target="externalLinks/externalLink22.xml"/><Relationship Id="rId3" Type="http://schemas.openxmlformats.org/officeDocument/2006/relationships/worksheet" Target="worksheets/sheet3.xml"/><Relationship Id="rId21" Type="http://schemas.openxmlformats.org/officeDocument/2006/relationships/externalLink" Target="externalLinks/externalLink17.xml"/><Relationship Id="rId34" Type="http://schemas.openxmlformats.org/officeDocument/2006/relationships/externalLink" Target="externalLinks/externalLink30.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externalLink" Target="externalLinks/externalLink21.xml"/><Relationship Id="rId33" Type="http://schemas.openxmlformats.org/officeDocument/2006/relationships/externalLink" Target="externalLinks/externalLink29.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externalLink" Target="externalLinks/externalLink16.xml"/><Relationship Id="rId29" Type="http://schemas.openxmlformats.org/officeDocument/2006/relationships/externalLink" Target="externalLinks/externalLink25.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externalLink" Target="externalLinks/externalLink20.xml"/><Relationship Id="rId32" Type="http://schemas.openxmlformats.org/officeDocument/2006/relationships/externalLink" Target="externalLinks/externalLink28.xml"/><Relationship Id="rId37" Type="http://schemas.openxmlformats.org/officeDocument/2006/relationships/sharedStrings" Target="sharedStrings.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3" Type="http://schemas.openxmlformats.org/officeDocument/2006/relationships/externalLink" Target="externalLinks/externalLink19.xml"/><Relationship Id="rId28" Type="http://schemas.openxmlformats.org/officeDocument/2006/relationships/externalLink" Target="externalLinks/externalLink24.xml"/><Relationship Id="rId36" Type="http://schemas.openxmlformats.org/officeDocument/2006/relationships/styles" Target="style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31" Type="http://schemas.openxmlformats.org/officeDocument/2006/relationships/externalLink" Target="externalLinks/externalLink27.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 Id="rId22" Type="http://schemas.openxmlformats.org/officeDocument/2006/relationships/externalLink" Target="externalLinks/externalLink18.xml"/><Relationship Id="rId27" Type="http://schemas.openxmlformats.org/officeDocument/2006/relationships/externalLink" Target="externalLinks/externalLink23.xml"/><Relationship Id="rId30" Type="http://schemas.openxmlformats.org/officeDocument/2006/relationships/externalLink" Target="externalLinks/externalLink26.xml"/><Relationship Id="rId35"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radarChart>
        <c:radarStyle val="marker"/>
        <c:varyColors val="0"/>
        <c:ser>
          <c:idx val="0"/>
          <c:order val="0"/>
          <c:cat>
            <c:strRef>
              <c:f>'Result Report'!$D$11:$D$17</c:f>
              <c:strCache>
                <c:ptCount val="7"/>
                <c:pt idx="0">
                  <c:v>Warehouse for Materials</c:v>
                </c:pt>
                <c:pt idx="1">
                  <c:v>Tooling Development in House</c:v>
                </c:pt>
                <c:pt idx="2">
                  <c:v>Tooling Development Outsourcing</c:v>
                </c:pt>
                <c:pt idx="3">
                  <c:v>Tooling Management</c:v>
                </c:pt>
                <c:pt idx="4">
                  <c:v>Metal Stamping</c:v>
                </c:pt>
                <c:pt idx="5">
                  <c:v>Product Evaluation</c:v>
                </c:pt>
                <c:pt idx="6">
                  <c:v> Packing and Shipment</c:v>
                </c:pt>
              </c:strCache>
            </c:strRef>
          </c:cat>
          <c:val>
            <c:numRef>
              <c:f>'Result Report'!$K$11:$K$17</c:f>
              <c:numCache>
                <c:formatCode>#,##0_ </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0-C37D-4E87-BB56-D184205F55DD}"/>
            </c:ext>
          </c:extLst>
        </c:ser>
        <c:ser>
          <c:idx val="1"/>
          <c:order val="1"/>
          <c:cat>
            <c:strRef>
              <c:f>'Result Report'!$D$11:$D$17</c:f>
              <c:strCache>
                <c:ptCount val="7"/>
                <c:pt idx="0">
                  <c:v>Warehouse for Materials</c:v>
                </c:pt>
                <c:pt idx="1">
                  <c:v>Tooling Development in House</c:v>
                </c:pt>
                <c:pt idx="2">
                  <c:v>Tooling Development Outsourcing</c:v>
                </c:pt>
                <c:pt idx="3">
                  <c:v>Tooling Management</c:v>
                </c:pt>
                <c:pt idx="4">
                  <c:v>Metal Stamping</c:v>
                </c:pt>
                <c:pt idx="5">
                  <c:v>Product Evaluation</c:v>
                </c:pt>
                <c:pt idx="6">
                  <c:v> Packing and Shipment</c:v>
                </c:pt>
              </c:strCache>
            </c:strRef>
          </c:cat>
          <c:val>
            <c:numRef>
              <c:f>'Result Report'!$L$11:$L$17</c:f>
              <c:numCache>
                <c:formatCode>#,##0_ </c:formatCode>
                <c:ptCount val="7"/>
              </c:numCache>
            </c:numRef>
          </c:val>
          <c:extLst>
            <c:ext xmlns:c16="http://schemas.microsoft.com/office/drawing/2014/chart" uri="{C3380CC4-5D6E-409C-BE32-E72D297353CC}">
              <c16:uniqueId val="{00000001-C37D-4E87-BB56-D184205F55DD}"/>
            </c:ext>
          </c:extLst>
        </c:ser>
        <c:dLbls>
          <c:showLegendKey val="0"/>
          <c:showVal val="0"/>
          <c:showCatName val="0"/>
          <c:showSerName val="0"/>
          <c:showPercent val="0"/>
          <c:showBubbleSize val="0"/>
        </c:dLbls>
        <c:axId val="103859328"/>
        <c:axId val="103860864"/>
      </c:radarChart>
      <c:catAx>
        <c:axId val="103859328"/>
        <c:scaling>
          <c:orientation val="minMax"/>
        </c:scaling>
        <c:delete val="0"/>
        <c:axPos val="b"/>
        <c:majorGridlines/>
        <c:numFmt formatCode="General" sourceLinked="0"/>
        <c:majorTickMark val="out"/>
        <c:minorTickMark val="none"/>
        <c:tickLblPos val="nextTo"/>
        <c:txPr>
          <a:bodyPr/>
          <a:lstStyle/>
          <a:p>
            <a:pPr>
              <a:defRPr sz="900" baseline="0"/>
            </a:pPr>
            <a:endParaRPr lang="en-US"/>
          </a:p>
        </c:txPr>
        <c:crossAx val="103860864"/>
        <c:crosses val="autoZero"/>
        <c:auto val="1"/>
        <c:lblAlgn val="ctr"/>
        <c:lblOffset val="100"/>
        <c:noMultiLvlLbl val="0"/>
      </c:catAx>
      <c:valAx>
        <c:axId val="103860864"/>
        <c:scaling>
          <c:orientation val="minMax"/>
          <c:max val="100"/>
          <c:min val="0"/>
        </c:scaling>
        <c:delete val="0"/>
        <c:axPos val="l"/>
        <c:majorGridlines/>
        <c:numFmt formatCode="#,##0_ " sourceLinked="1"/>
        <c:majorTickMark val="cross"/>
        <c:minorTickMark val="none"/>
        <c:tickLblPos val="nextTo"/>
        <c:crossAx val="103859328"/>
        <c:crosses val="autoZero"/>
        <c:crossBetween val="between"/>
      </c:valAx>
    </c:plotArea>
    <c:plotVisOnly val="1"/>
    <c:dispBlanksAs val="gap"/>
    <c:showDLblsOverMax val="0"/>
  </c:chart>
  <c:printSettings>
    <c:headerFooter/>
    <c:pageMargins b="0.75000000000000899" l="0.70000000000000095" r="0.70000000000000095" t="0.75000000000000899"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27"/>
    </mc:Choice>
    <mc:Fallback>
      <c:style val="27"/>
    </mc:Fallback>
  </mc:AlternateContent>
  <c:chart>
    <c:autoTitleDeleted val="0"/>
    <c:plotArea>
      <c:layout/>
      <c:barChart>
        <c:barDir val="col"/>
        <c:grouping val="clustered"/>
        <c:varyColors val="0"/>
        <c:ser>
          <c:idx val="0"/>
          <c:order val="0"/>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Report'!$D$22:$D$26</c:f>
              <c:numCache>
                <c:formatCode>General</c:formatCode>
                <c:ptCount val="5"/>
              </c:numCache>
            </c:numRef>
          </c:val>
          <c:extLst>
            <c:ext xmlns:c16="http://schemas.microsoft.com/office/drawing/2014/chart" uri="{C3380CC4-5D6E-409C-BE32-E72D297353CC}">
              <c16:uniqueId val="{00000000-5D00-4AD5-BC23-EEA3C0C4F20D}"/>
            </c:ext>
          </c:extLst>
        </c:ser>
        <c:ser>
          <c:idx val="1"/>
          <c:order val="1"/>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Report'!$E$22:$E$26</c:f>
              <c:numCache>
                <c:formatCode>General</c:formatCode>
                <c:ptCount val="5"/>
              </c:numCache>
            </c:numRef>
          </c:val>
          <c:extLst>
            <c:ext xmlns:c16="http://schemas.microsoft.com/office/drawing/2014/chart" uri="{C3380CC4-5D6E-409C-BE32-E72D297353CC}">
              <c16:uniqueId val="{00000001-5D00-4AD5-BC23-EEA3C0C4F20D}"/>
            </c:ext>
          </c:extLst>
        </c:ser>
        <c:ser>
          <c:idx val="2"/>
          <c:order val="2"/>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Report'!$F$22:$F$26</c:f>
              <c:numCache>
                <c:formatCode>General</c:formatCode>
                <c:ptCount val="5"/>
              </c:numCache>
            </c:numRef>
          </c:val>
          <c:extLst>
            <c:ext xmlns:c16="http://schemas.microsoft.com/office/drawing/2014/chart" uri="{C3380CC4-5D6E-409C-BE32-E72D297353CC}">
              <c16:uniqueId val="{00000000-39B7-4845-9424-FD78D7F2ECB7}"/>
            </c:ext>
          </c:extLst>
        </c:ser>
        <c:ser>
          <c:idx val="3"/>
          <c:order val="3"/>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Report'!$G$22:$G$26</c:f>
              <c:numCache>
                <c:formatCode>General</c:formatCode>
                <c:ptCount val="5"/>
              </c:numCache>
            </c:numRef>
          </c:val>
          <c:extLst>
            <c:ext xmlns:c16="http://schemas.microsoft.com/office/drawing/2014/chart" uri="{C3380CC4-5D6E-409C-BE32-E72D297353CC}">
              <c16:uniqueId val="{00000001-39B7-4845-9424-FD78D7F2ECB7}"/>
            </c:ext>
          </c:extLst>
        </c:ser>
        <c:ser>
          <c:idx val="4"/>
          <c:order val="4"/>
          <c:invertIfNegative val="0"/>
          <c:cat>
            <c:strRef>
              <c:f>'Result Report'!$C$22:$C$26</c:f>
              <c:strCache>
                <c:ptCount val="5"/>
                <c:pt idx="0">
                  <c:v>Material Management</c:v>
                </c:pt>
                <c:pt idx="1">
                  <c:v>Material Inspection  and  Preparation</c:v>
                </c:pt>
                <c:pt idx="2">
                  <c:v>Production Process</c:v>
                </c:pt>
                <c:pt idx="3">
                  <c:v>Product Evaluation</c:v>
                </c:pt>
                <c:pt idx="4">
                  <c:v>Packing Management</c:v>
                </c:pt>
              </c:strCache>
            </c:strRef>
          </c:cat>
          <c:val>
            <c:numRef>
              <c:f>'Result Report'!$H$22:$H$26</c:f>
              <c:numCache>
                <c:formatCode>General</c:formatCode>
                <c:ptCount val="5"/>
              </c:numCache>
            </c:numRef>
          </c:val>
          <c:extLst>
            <c:ext xmlns:c16="http://schemas.microsoft.com/office/drawing/2014/chart" uri="{C3380CC4-5D6E-409C-BE32-E72D297353CC}">
              <c16:uniqueId val="{00000002-39B7-4845-9424-FD78D7F2ECB7}"/>
            </c:ext>
          </c:extLst>
        </c:ser>
        <c:dLbls>
          <c:showLegendKey val="0"/>
          <c:showVal val="0"/>
          <c:showCatName val="0"/>
          <c:showSerName val="0"/>
          <c:showPercent val="0"/>
          <c:showBubbleSize val="0"/>
        </c:dLbls>
        <c:gapWidth val="150"/>
        <c:axId val="130824064"/>
        <c:axId val="130825600"/>
      </c:barChart>
      <c:catAx>
        <c:axId val="130824064"/>
        <c:scaling>
          <c:orientation val="minMax"/>
        </c:scaling>
        <c:delete val="0"/>
        <c:axPos val="b"/>
        <c:numFmt formatCode="General" sourceLinked="0"/>
        <c:majorTickMark val="out"/>
        <c:minorTickMark val="none"/>
        <c:tickLblPos val="nextTo"/>
        <c:crossAx val="130825600"/>
        <c:crosses val="autoZero"/>
        <c:auto val="1"/>
        <c:lblAlgn val="ctr"/>
        <c:lblOffset val="100"/>
        <c:noMultiLvlLbl val="0"/>
      </c:catAx>
      <c:valAx>
        <c:axId val="130825600"/>
        <c:scaling>
          <c:orientation val="minMax"/>
        </c:scaling>
        <c:delete val="0"/>
        <c:axPos val="l"/>
        <c:majorGridlines/>
        <c:numFmt formatCode="General" sourceLinked="1"/>
        <c:majorTickMark val="out"/>
        <c:minorTickMark val="none"/>
        <c:tickLblPos val="nextTo"/>
        <c:crossAx val="130824064"/>
        <c:crosses val="autoZero"/>
        <c:crossBetween val="between"/>
        <c:majorUnit val="1"/>
      </c:valAx>
    </c:plotArea>
    <c:plotVisOnly val="1"/>
    <c:dispBlanksAs val="gap"/>
    <c:showDLblsOverMax val="0"/>
  </c:chart>
  <c:printSettings>
    <c:headerFooter/>
    <c:pageMargins b="0.75000000000000855" l="0.70000000000000062" r="0.70000000000000062" t="0.75000000000000855" header="0.30000000000000032" footer="0.30000000000000032"/>
    <c:pageSetup/>
  </c:printSettings>
</c:chartSpace>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200025</xdr:colOff>
      <xdr:row>4</xdr:row>
      <xdr:rowOff>0</xdr:rowOff>
    </xdr:from>
    <xdr:to>
      <xdr:col>13</xdr:col>
      <xdr:colOff>453118</xdr:colOff>
      <xdr:row>7</xdr:row>
      <xdr:rowOff>141498</xdr:rowOff>
    </xdr:to>
    <xdr:sp macro="" textlink="">
      <xdr:nvSpPr>
        <xdr:cNvPr id="2" name="Text Box 1">
          <a:extLst/>
        </xdr:cNvPr>
        <xdr:cNvSpPr>
          <a:spLocks noChangeArrowheads="1"/>
        </xdr:cNvSpPr>
      </xdr:nvSpPr>
      <xdr:spPr bwMode="auto">
        <a:xfrm flipH="1">
          <a:off x="371475" y="771525"/>
          <a:ext cx="7730218" cy="770148"/>
        </a:xfrm>
        <a:prstGeom prst="rect">
          <a:avLst/>
        </a:prstGeom>
        <a:solidFill>
          <a:srgbClr val="000080"/>
        </a:solidFill>
        <a:ln w="9525" cmpd="sng">
          <a:solidFill>
            <a:srgbClr val="000000"/>
          </a:solidFill>
          <a:miter lim="800000"/>
          <a:headEnd/>
          <a:tailEnd/>
        </a:ln>
      </xdr:spPr>
      <xdr:txBody>
        <a:bodyPr vertOverflow="clip" wrap="square" lIns="64008" tIns="41148" rIns="64008" bIns="41148" anchor="ctr" upright="1"/>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US" altLang="zh-CN" sz="2800" b="1" i="0" u="none" strike="noStrike" kern="0" cap="none" spc="0" normalizeH="0" baseline="0" noProof="0">
              <a:ln>
                <a:noFill/>
              </a:ln>
              <a:solidFill>
                <a:srgbClr val="FFFFFF"/>
              </a:solidFill>
              <a:effectLst/>
              <a:uLnTx/>
              <a:uFillTx/>
              <a:latin typeface="宋体"/>
              <a:ea typeface="+mn-ea"/>
              <a:cs typeface="+mn-cs"/>
            </a:rPr>
            <a:t>Quality Process Audit</a:t>
          </a:r>
        </a:p>
      </xdr:txBody>
    </xdr:sp>
    <xdr:clientData/>
  </xdr:twoCellAnchor>
  <xdr:twoCellAnchor editAs="oneCell">
    <xdr:from>
      <xdr:col>11</xdr:col>
      <xdr:colOff>457200</xdr:colOff>
      <xdr:row>1</xdr:row>
      <xdr:rowOff>66675</xdr:rowOff>
    </xdr:from>
    <xdr:to>
      <xdr:col>13</xdr:col>
      <xdr:colOff>371475</xdr:colOff>
      <xdr:row>3</xdr:row>
      <xdr:rowOff>190500</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209550"/>
          <a:ext cx="129540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13</xdr:col>
      <xdr:colOff>78442</xdr:colOff>
      <xdr:row>8</xdr:row>
      <xdr:rowOff>0</xdr:rowOff>
    </xdr:from>
    <xdr:to>
      <xdr:col>18</xdr:col>
      <xdr:colOff>1</xdr:colOff>
      <xdr:row>18</xdr:row>
      <xdr:rowOff>0</xdr:rowOff>
    </xdr:to>
    <xdr:graphicFrame macro="">
      <xdr:nvGraphicFramePr>
        <xdr:cNvPr id="2" name="차트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258602</xdr:colOff>
      <xdr:row>27</xdr:row>
      <xdr:rowOff>123264</xdr:rowOff>
    </xdr:from>
    <xdr:to>
      <xdr:col>18</xdr:col>
      <xdr:colOff>7350</xdr:colOff>
      <xdr:row>27</xdr:row>
      <xdr:rowOff>224117</xdr:rowOff>
    </xdr:to>
    <xdr:sp macro="" textlink="">
      <xdr:nvSpPr>
        <xdr:cNvPr id="3" name="Rectangle 3"/>
        <xdr:cNvSpPr>
          <a:spLocks noChangeArrowheads="1"/>
        </xdr:cNvSpPr>
      </xdr:nvSpPr>
      <xdr:spPr bwMode="auto">
        <a:xfrm>
          <a:off x="258602" y="6933639"/>
          <a:ext cx="10521523" cy="100853"/>
        </a:xfrm>
        <a:prstGeom prst="rect">
          <a:avLst/>
        </a:prstGeom>
        <a:solidFill>
          <a:schemeClr val="accent6">
            <a:lumMod val="75000"/>
          </a:schemeClr>
        </a:solidFill>
        <a:ln w="9525">
          <a:noFill/>
          <a:miter lim="800000"/>
          <a:headEnd/>
          <a:tailEnd/>
        </a:ln>
      </xdr:spPr>
    </xdr:sp>
    <xdr:clientData/>
  </xdr:twoCellAnchor>
  <xdr:twoCellAnchor>
    <xdr:from>
      <xdr:col>10</xdr:col>
      <xdr:colOff>11206</xdr:colOff>
      <xdr:row>19</xdr:row>
      <xdr:rowOff>201705</xdr:rowOff>
    </xdr:from>
    <xdr:to>
      <xdr:col>18</xdr:col>
      <xdr:colOff>0</xdr:colOff>
      <xdr:row>27</xdr:row>
      <xdr:rowOff>11205</xdr:rowOff>
    </xdr:to>
    <xdr:graphicFrame macro="">
      <xdr:nvGraphicFramePr>
        <xdr:cNvPr id="4" name="차트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21</xdr:col>
      <xdr:colOff>0</xdr:colOff>
      <xdr:row>7</xdr:row>
      <xdr:rowOff>0</xdr:rowOff>
    </xdr:from>
    <xdr:ext cx="605118" cy="244848"/>
    <xdr:pic>
      <xdr:nvPicPr>
        <xdr:cNvPr id="5" name="Picture 7"/>
        <xdr:cNvPicPr>
          <a:picLocks noChangeAspect="1" noChangeArrowheads="1"/>
        </xdr:cNvPicPr>
      </xdr:nvPicPr>
      <xdr:blipFill>
        <a:blip xmlns:r="http://schemas.openxmlformats.org/officeDocument/2006/relationships" r:embed="rId3" cstate="print"/>
        <a:srcRect/>
        <a:stretch>
          <a:fillRect/>
        </a:stretch>
      </xdr:blipFill>
      <xdr:spPr bwMode="auto">
        <a:xfrm>
          <a:off x="12106275" y="1847850"/>
          <a:ext cx="605118" cy="244848"/>
        </a:xfrm>
        <a:prstGeom prst="rect">
          <a:avLst/>
        </a:prstGeom>
        <a:noFill/>
      </xdr:spPr>
    </xdr:pic>
    <xdr:clientData/>
  </xdr:oneCellAnchor>
  <xdr:twoCellAnchor editAs="oneCell">
    <xdr:from>
      <xdr:col>16</xdr:col>
      <xdr:colOff>0</xdr:colOff>
      <xdr:row>0</xdr:row>
      <xdr:rowOff>83344</xdr:rowOff>
    </xdr:from>
    <xdr:to>
      <xdr:col>18</xdr:col>
      <xdr:colOff>42863</xdr:colOff>
      <xdr:row>0</xdr:row>
      <xdr:rowOff>626269</xdr:rowOff>
    </xdr:to>
    <xdr:pic>
      <xdr:nvPicPr>
        <xdr:cNvPr id="6" name="Picture 9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363075" y="83344"/>
          <a:ext cx="1452563"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2</xdr:row>
      <xdr:rowOff>44823</xdr:rowOff>
    </xdr:from>
    <xdr:to>
      <xdr:col>5</xdr:col>
      <xdr:colOff>2243978</xdr:colOff>
      <xdr:row>2</xdr:row>
      <xdr:rowOff>163896</xdr:rowOff>
    </xdr:to>
    <xdr:sp macro="" textlink="">
      <xdr:nvSpPr>
        <xdr:cNvPr id="2" name="Rectangle 2"/>
        <xdr:cNvSpPr>
          <a:spLocks noChangeArrowheads="1"/>
        </xdr:cNvSpPr>
      </xdr:nvSpPr>
      <xdr:spPr bwMode="auto">
        <a:xfrm>
          <a:off x="228600" y="502023"/>
          <a:ext cx="10921253" cy="119073"/>
        </a:xfrm>
        <a:prstGeom prst="rect">
          <a:avLst/>
        </a:prstGeom>
        <a:gradFill rotWithShape="0">
          <a:gsLst>
            <a:gs pos="0">
              <a:srgbClr val="767676"/>
            </a:gs>
            <a:gs pos="100000">
              <a:srgbClr val="FFFFFF"/>
            </a:gs>
          </a:gsLst>
          <a:lin ang="0" scaled="1"/>
        </a:gradFill>
        <a:ln w="9525">
          <a:noFill/>
          <a:miter lim="800000"/>
          <a:headEnd/>
          <a:tailEnd/>
        </a:ln>
      </xdr:spPr>
    </xdr:sp>
    <xdr:clientData/>
  </xdr:twoCellAnchor>
  <xdr:twoCellAnchor editAs="oneCell">
    <xdr:from>
      <xdr:col>11</xdr:col>
      <xdr:colOff>705971</xdr:colOff>
      <xdr:row>0</xdr:row>
      <xdr:rowOff>89646</xdr:rowOff>
    </xdr:from>
    <xdr:to>
      <xdr:col>13</xdr:col>
      <xdr:colOff>607359</xdr:colOff>
      <xdr:row>3</xdr:row>
      <xdr:rowOff>27453</xdr:rowOff>
    </xdr:to>
    <xdr:pic>
      <xdr:nvPicPr>
        <xdr:cNvPr id="3" name="Picture 9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08571" y="89646"/>
          <a:ext cx="1453963" cy="5569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147411</xdr:colOff>
      <xdr:row>0</xdr:row>
      <xdr:rowOff>111126</xdr:rowOff>
    </xdr:from>
    <xdr:to>
      <xdr:col>1</xdr:col>
      <xdr:colOff>1114425</xdr:colOff>
      <xdr:row>1</xdr:row>
      <xdr:rowOff>444501</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7411" y="111126"/>
          <a:ext cx="2046514" cy="793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66675</xdr:colOff>
          <xdr:row>2</xdr:row>
          <xdr:rowOff>209550</xdr:rowOff>
        </xdr:from>
        <xdr:to>
          <xdr:col>4</xdr:col>
          <xdr:colOff>552450</xdr:colOff>
          <xdr:row>2</xdr:row>
          <xdr:rowOff>333375</xdr:rowOff>
        </xdr:to>
        <xdr:sp macro="" textlink="">
          <xdr:nvSpPr>
            <xdr:cNvPr id="1025" name="Check Box 1" hidden="1">
              <a:extLst>
                <a:ext uri="{63B3BB69-23CF-44E3-9099-C40C66FF867C}">
                  <a14:compatExt spid="_x0000_s102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4</xdr:row>
          <xdr:rowOff>190500</xdr:rowOff>
        </xdr:from>
        <xdr:to>
          <xdr:col>5</xdr:col>
          <xdr:colOff>590550</xdr:colOff>
          <xdr:row>4</xdr:row>
          <xdr:rowOff>457200</xdr:rowOff>
        </xdr:to>
        <xdr:sp macro="" textlink="">
          <xdr:nvSpPr>
            <xdr:cNvPr id="1026" name="Check Box 2" hidden="1">
              <a:extLst>
                <a:ext uri="{63B3BB69-23CF-44E3-9099-C40C66FF867C}">
                  <a14:compatExt spid="_x0000_s102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28575</xdr:colOff>
          <xdr:row>4</xdr:row>
          <xdr:rowOff>28575</xdr:rowOff>
        </xdr:from>
        <xdr:to>
          <xdr:col>7</xdr:col>
          <xdr:colOff>523875</xdr:colOff>
          <xdr:row>4</xdr:row>
          <xdr:rowOff>257175</xdr:rowOff>
        </xdr:to>
        <xdr:sp macro="" textlink="">
          <xdr:nvSpPr>
            <xdr:cNvPr id="1027" name="Check Box 3" hidden="1">
              <a:extLst>
                <a:ext uri="{63B3BB69-23CF-44E3-9099-C40C66FF867C}">
                  <a14:compatExt spid="_x0000_s102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RT%20LIST/&#48176;/2005&#45380;&#46020;/&#50672;&#46041;/0504/0421/050419sa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48176;\2005&#45380;&#46020;\&#50672;&#46041;\0504\0421\050419s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ART%20LIST/EXCEL/96SALE/96SAL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6SALE\96SAL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zhoug8/Desktop/zhoug8/OSA/Checklist/Supplier%20Assessment%20(Unlock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ART%20LIST/MYDATA/DSC210&#50896;&#44032;&#48516;&#49437;/&#51116;&#47308;&#48708;&#47588;&#53356;&#4719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DATA\DSC210&#50896;&#44032;&#48516;&#49437;\&#51116;&#47308;&#48708;&#47588;&#53356;&#471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20Quality%20Data/5)%20&#54801;&#47141;&#50629;&#52404;/&#51221;&#44592;&#54217;&#44032;/2&#52264;&#44060;&#49440;/'12&#45380;%20&#54801;&#47141;&#50629;&#52404;%20QPA%20&#49324;&#51204;%20&#51216;&#44160;%20&#44208;&#44284;_&#51204;&#52404;_12030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L050242a\&#48512;&#54408;&#48372;&#51613;%20&#44277;&#50976;\1.%20Quality%20Data\5)%20&#54801;&#47141;&#50629;&#52404;\&#51221;&#44592;&#54217;&#44032;\2&#52264;&#44060;&#49440;\'12&#45380;%20&#54801;&#47141;&#50629;&#52404;%20QPA%20&#49324;&#51204;%20&#51216;&#44160;%20&#44208;&#44284;_&#51204;&#52404;_12030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tp1jeis0489lt\My%20Documents\DOCUME~1\HP_ADM~1\LOCALS~1\TEMP\Calendar%202005_11_1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xcel%20Files/4-MT80-2000-001-I%20%20Supplier%20Assessment%20Template%2005-11-0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Excel%20Files\4-MT80-2000-001-I%20%20Supplier%20Assessment%20Template%2005-11-0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S%20DATA/training/audit%20questionare/Injection%20Molding%20OSA%20Template%20-%20Concept%2010-15-2014.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ART%20LIST/Single/Office40/temp/D3500319.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L050242a\&#48512;&#54408;&#48372;&#51613;%20&#44277;&#50976;\PART%20LIST\Single\Office40\temp\D350031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ART%20LIST/data/xls/JINDAN.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xls\JINDA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EXCEL\98SALE\98&#50868;&#5068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ART%20LIST/EXCEL/98SALE/98&#50868;&#50689;.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L050242a\&#48512;&#54408;&#48372;&#51613;%20&#44277;&#50976;\PART%20LIST\My%20Documents\&#48372;&#44256;&#47928;&#49436;\98&#45380;&#50896;&#44032;.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ART%20LIST/My%20Documents/&#48372;&#44256;&#47928;&#49436;/98&#45380;&#50896;&#4403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L050242a\&#48512;&#54408;&#48372;&#51613;%20&#44277;&#50976;\PART%20LIST\DATA\9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ART%20LIST/DATA/97&#51204;&#4758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0629;&#47924;\&#50896;&#44032;\&#50896;&#44032;91&#5145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ART%20LIST/&#50629;&#47924;/&#50896;&#44032;/&#50896;&#44032;91&#51452;.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L050242a\&#48512;&#54408;&#48372;&#51613;%20&#44277;&#50976;\PART%20LIST\&#52509;&#44221;&#48708;\98&#45380;\98&#52509;&#44221;&#48708;%20&#47785;&#54364;\&#52509;&#44221;&#52572;&#51333;&#54869;&#51221;.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ART%20LIST/&#52509;&#44221;&#48708;/98&#45380;/98&#52509;&#44221;&#48708;%20&#47785;&#54364;/&#52509;&#44221;&#52572;&#51333;&#54869;&#5122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L050242a\&#48512;&#54408;&#48372;&#51613;%20&#44277;&#50976;\PART%20LIST\BACKUP\&#50629;&#47924;&#51068;&#48152;\&#49373;&#49328;&#54788;&#54889;\8&#50900;\SANGGU\JOBJOB\6\SAMPLE.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PART%20LIST/BACKUP/&#50629;&#47924;&#51068;&#48152;/&#49373;&#49328;&#54788;&#54889;/8&#50900;/SANGGU/JOBJOB/6/SAMPLE.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5.%20QC/00.S&#7855;p%20x&#7871;p%20t&#224;i%20li&#7879;u%20m&#7899;i/2.QA/1.QS/5.Audit%20vendor/1.Check%20sheet%20QPA/1.Ingot/Checksheet%20ingo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 val="기본데이타"/>
      <sheetName val="매출이익(실적)"/>
      <sheetName val="O_97012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4"/>
      <sheetName val="Sheet1"/>
      <sheetName val="유통"/>
      <sheetName val="Sheet3"/>
      <sheetName val="DSC"/>
      <sheetName val="요약"/>
      <sheetName val="capa부족"/>
      <sheetName val="실행반영"/>
      <sheetName val="적자기종"/>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품별"/>
      <sheetName val="매출이익"/>
      <sheetName val="관재차이"/>
      <sheetName val="집계표"/>
    </sheetNames>
    <sheetDataSet>
      <sheetData sheetId="0" refreshError="1">
        <row r="3">
          <cell r="F3" t="str">
            <v>년   간   누   계</v>
          </cell>
          <cell r="N3" t="str">
            <v>1            월</v>
          </cell>
          <cell r="T3" t="str">
            <v>2            월</v>
          </cell>
          <cell r="Z3" t="str">
            <v>3            월</v>
          </cell>
          <cell r="AF3" t="str">
            <v>4            월</v>
          </cell>
          <cell r="AL3" t="str">
            <v>5            월</v>
          </cell>
          <cell r="AR3" t="str">
            <v>6            월</v>
          </cell>
          <cell r="AX3" t="str">
            <v>상   반   기   누   계</v>
          </cell>
          <cell r="BF3" t="str">
            <v>7            월</v>
          </cell>
          <cell r="BL3" t="str">
            <v>8            월</v>
          </cell>
          <cell r="BR3" t="str">
            <v>9            월</v>
          </cell>
          <cell r="BX3" t="str">
            <v>10            월</v>
          </cell>
          <cell r="CD3" t="str">
            <v>11            월</v>
          </cell>
          <cell r="CJ3" t="str">
            <v>12            월</v>
          </cell>
          <cell r="CP3" t="str">
            <v>하   반   기   누   계</v>
          </cell>
          <cell r="CX3" t="str">
            <v>1  /  4  분  기</v>
          </cell>
          <cell r="DF3" t="str">
            <v>2  /  4  분  기</v>
          </cell>
          <cell r="DN3" t="str">
            <v>3  /  4  분  기</v>
          </cell>
          <cell r="DV3" t="str">
            <v>4  /  4  분  기</v>
          </cell>
        </row>
        <row r="4">
          <cell r="F4" t="str">
            <v>경      영</v>
          </cell>
          <cell r="N4" t="str">
            <v>경      영</v>
          </cell>
          <cell r="T4" t="str">
            <v>경      영</v>
          </cell>
          <cell r="Z4" t="str">
            <v>경      영</v>
          </cell>
          <cell r="AF4" t="str">
            <v>경      영</v>
          </cell>
          <cell r="AL4" t="str">
            <v>경      영</v>
          </cell>
          <cell r="AR4" t="str">
            <v>경      영</v>
          </cell>
          <cell r="AX4" t="str">
            <v>경      영</v>
          </cell>
          <cell r="BF4" t="str">
            <v>경      영</v>
          </cell>
          <cell r="BL4" t="str">
            <v>경      영</v>
          </cell>
          <cell r="BR4" t="str">
            <v>경      영</v>
          </cell>
          <cell r="BX4" t="str">
            <v>경      영</v>
          </cell>
          <cell r="CD4" t="str">
            <v>경      영</v>
          </cell>
          <cell r="CJ4" t="str">
            <v>경      영</v>
          </cell>
          <cell r="CP4" t="str">
            <v>경      영</v>
          </cell>
          <cell r="CX4" t="str">
            <v>경      영</v>
          </cell>
          <cell r="DF4" t="str">
            <v>경      영</v>
          </cell>
          <cell r="DN4" t="str">
            <v>경      영</v>
          </cell>
          <cell r="DV4" t="str">
            <v>경      영</v>
          </cell>
        </row>
        <row r="5">
          <cell r="F5" t="str">
            <v>수  량</v>
          </cell>
          <cell r="G5" t="str">
            <v>금  액</v>
          </cell>
          <cell r="H5" t="str">
            <v>매출익</v>
          </cell>
          <cell r="I5" t="str">
            <v>%</v>
          </cell>
          <cell r="N5" t="str">
            <v>수  량</v>
          </cell>
          <cell r="O5" t="str">
            <v>금  액</v>
          </cell>
          <cell r="P5" t="str">
            <v>매출익</v>
          </cell>
          <cell r="T5" t="str">
            <v>수  량</v>
          </cell>
          <cell r="U5" t="str">
            <v>금  액</v>
          </cell>
          <cell r="V5" t="str">
            <v>매출익</v>
          </cell>
          <cell r="Z5" t="str">
            <v>수  량</v>
          </cell>
          <cell r="AA5" t="str">
            <v>금  액</v>
          </cell>
          <cell r="AB5" t="str">
            <v>매출익</v>
          </cell>
          <cell r="AF5" t="str">
            <v>수  량</v>
          </cell>
          <cell r="AG5" t="str">
            <v>금  액</v>
          </cell>
          <cell r="AH5" t="str">
            <v>매출익</v>
          </cell>
          <cell r="AL5" t="str">
            <v>수  량</v>
          </cell>
          <cell r="AM5" t="str">
            <v>금  액</v>
          </cell>
          <cell r="AN5" t="str">
            <v>매출익</v>
          </cell>
          <cell r="AR5" t="str">
            <v>수  량</v>
          </cell>
          <cell r="AS5" t="str">
            <v>금  액</v>
          </cell>
          <cell r="AT5" t="str">
            <v>매출익</v>
          </cell>
          <cell r="AX5" t="str">
            <v>수  량</v>
          </cell>
          <cell r="AY5" t="str">
            <v>금  액</v>
          </cell>
          <cell r="AZ5" t="str">
            <v>매출익</v>
          </cell>
          <cell r="BA5" t="str">
            <v>%</v>
          </cell>
          <cell r="BF5" t="str">
            <v>수  량</v>
          </cell>
          <cell r="BG5" t="str">
            <v>금  액</v>
          </cell>
          <cell r="BH5" t="str">
            <v>매출익</v>
          </cell>
          <cell r="BL5" t="str">
            <v>수  량</v>
          </cell>
          <cell r="BM5" t="str">
            <v>금  액</v>
          </cell>
          <cell r="BN5" t="str">
            <v>매출익</v>
          </cell>
          <cell r="BR5" t="str">
            <v>수  량</v>
          </cell>
          <cell r="BS5" t="str">
            <v>금  액</v>
          </cell>
          <cell r="BT5" t="str">
            <v>매출익</v>
          </cell>
          <cell r="BX5" t="str">
            <v>수  량</v>
          </cell>
          <cell r="BY5" t="str">
            <v>금  액</v>
          </cell>
          <cell r="BZ5" t="str">
            <v>매출익</v>
          </cell>
          <cell r="CD5" t="str">
            <v>수  량</v>
          </cell>
          <cell r="CE5" t="str">
            <v>금  액</v>
          </cell>
          <cell r="CF5" t="str">
            <v>매출익</v>
          </cell>
          <cell r="CJ5" t="str">
            <v>수  량</v>
          </cell>
          <cell r="CK5" t="str">
            <v>금  액</v>
          </cell>
          <cell r="CL5" t="str">
            <v>매출익</v>
          </cell>
          <cell r="CP5" t="str">
            <v>수  량</v>
          </cell>
          <cell r="CQ5" t="str">
            <v>금  액</v>
          </cell>
          <cell r="CR5" t="str">
            <v>매출익</v>
          </cell>
          <cell r="CS5" t="str">
            <v>%</v>
          </cell>
          <cell r="CX5" t="str">
            <v>수  량</v>
          </cell>
          <cell r="CY5" t="str">
            <v>금  액</v>
          </cell>
          <cell r="CZ5" t="str">
            <v>매출익</v>
          </cell>
          <cell r="DA5" t="str">
            <v>%</v>
          </cell>
          <cell r="DF5" t="str">
            <v>수  량</v>
          </cell>
          <cell r="DG5" t="str">
            <v>금  액</v>
          </cell>
          <cell r="DH5" t="str">
            <v>매출익</v>
          </cell>
          <cell r="DI5" t="str">
            <v>%</v>
          </cell>
          <cell r="DN5" t="str">
            <v>수  량</v>
          </cell>
          <cell r="DO5" t="str">
            <v>금  액</v>
          </cell>
          <cell r="DP5" t="str">
            <v>매출익</v>
          </cell>
          <cell r="DQ5" t="str">
            <v>%</v>
          </cell>
          <cell r="DV5" t="str">
            <v>수  량</v>
          </cell>
          <cell r="DW5" t="str">
            <v>금  액</v>
          </cell>
          <cell r="DX5" t="str">
            <v>매출익</v>
          </cell>
          <cell r="DY5" t="str">
            <v>%</v>
          </cell>
        </row>
        <row r="6">
          <cell r="F6">
            <v>0</v>
          </cell>
          <cell r="G6">
            <v>0</v>
          </cell>
          <cell r="H6">
            <v>0</v>
          </cell>
          <cell r="I6">
            <v>0</v>
          </cell>
          <cell r="N6">
            <v>0</v>
          </cell>
          <cell r="O6">
            <v>0</v>
          </cell>
          <cell r="T6">
            <v>0</v>
          </cell>
          <cell r="U6">
            <v>0</v>
          </cell>
          <cell r="Z6">
            <v>0</v>
          </cell>
          <cell r="AA6">
            <v>0</v>
          </cell>
          <cell r="AF6">
            <v>0</v>
          </cell>
          <cell r="AG6">
            <v>0</v>
          </cell>
          <cell r="AL6">
            <v>0</v>
          </cell>
          <cell r="AM6">
            <v>0</v>
          </cell>
          <cell r="AR6">
            <v>0</v>
          </cell>
          <cell r="AS6">
            <v>0</v>
          </cell>
          <cell r="AX6">
            <v>0</v>
          </cell>
          <cell r="AY6">
            <v>0</v>
          </cell>
          <cell r="AZ6">
            <v>0</v>
          </cell>
          <cell r="BA6">
            <v>0</v>
          </cell>
          <cell r="BF6">
            <v>0</v>
          </cell>
          <cell r="BG6">
            <v>0</v>
          </cell>
          <cell r="BL6">
            <v>0</v>
          </cell>
          <cell r="BM6">
            <v>0</v>
          </cell>
          <cell r="BR6">
            <v>0</v>
          </cell>
          <cell r="BS6">
            <v>0</v>
          </cell>
          <cell r="BX6">
            <v>0</v>
          </cell>
          <cell r="BY6">
            <v>0</v>
          </cell>
          <cell r="CD6">
            <v>0</v>
          </cell>
          <cell r="CE6">
            <v>0</v>
          </cell>
          <cell r="CJ6">
            <v>0</v>
          </cell>
          <cell r="CK6">
            <v>0</v>
          </cell>
          <cell r="CP6">
            <v>0</v>
          </cell>
          <cell r="CQ6">
            <v>0</v>
          </cell>
          <cell r="CR6">
            <v>0</v>
          </cell>
          <cell r="CS6">
            <v>0</v>
          </cell>
          <cell r="CX6">
            <v>0</v>
          </cell>
          <cell r="CY6">
            <v>0</v>
          </cell>
          <cell r="CZ6">
            <v>0</v>
          </cell>
          <cell r="DA6">
            <v>0</v>
          </cell>
          <cell r="DF6">
            <v>0</v>
          </cell>
          <cell r="DG6">
            <v>0</v>
          </cell>
          <cell r="DH6">
            <v>0</v>
          </cell>
          <cell r="DI6">
            <v>0</v>
          </cell>
          <cell r="DN6">
            <v>0</v>
          </cell>
          <cell r="DO6">
            <v>0</v>
          </cell>
          <cell r="DP6">
            <v>0</v>
          </cell>
          <cell r="DQ6">
            <v>0</v>
          </cell>
          <cell r="DV6">
            <v>0</v>
          </cell>
          <cell r="DW6">
            <v>0</v>
          </cell>
          <cell r="DX6">
            <v>0</v>
          </cell>
          <cell r="DY6">
            <v>0</v>
          </cell>
        </row>
        <row r="7">
          <cell r="F7">
            <v>0</v>
          </cell>
          <cell r="G7">
            <v>0</v>
          </cell>
          <cell r="H7">
            <v>0</v>
          </cell>
          <cell r="I7">
            <v>0</v>
          </cell>
          <cell r="AX7">
            <v>0</v>
          </cell>
          <cell r="AY7">
            <v>0</v>
          </cell>
          <cell r="AZ7">
            <v>0</v>
          </cell>
          <cell r="BA7">
            <v>0</v>
          </cell>
          <cell r="CP7">
            <v>0</v>
          </cell>
          <cell r="CQ7">
            <v>0</v>
          </cell>
          <cell r="CR7">
            <v>0</v>
          </cell>
          <cell r="CS7">
            <v>0</v>
          </cell>
          <cell r="CX7">
            <v>0</v>
          </cell>
          <cell r="CY7">
            <v>0</v>
          </cell>
          <cell r="CZ7">
            <v>0</v>
          </cell>
          <cell r="DA7">
            <v>0</v>
          </cell>
          <cell r="DF7">
            <v>0</v>
          </cell>
          <cell r="DG7">
            <v>0</v>
          </cell>
          <cell r="DH7">
            <v>0</v>
          </cell>
          <cell r="DI7">
            <v>0</v>
          </cell>
          <cell r="DN7">
            <v>0</v>
          </cell>
          <cell r="DO7">
            <v>0</v>
          </cell>
          <cell r="DP7">
            <v>0</v>
          </cell>
          <cell r="DQ7">
            <v>0</v>
          </cell>
          <cell r="DV7">
            <v>0</v>
          </cell>
          <cell r="DW7">
            <v>0</v>
          </cell>
          <cell r="DX7">
            <v>0</v>
          </cell>
          <cell r="DY7">
            <v>0</v>
          </cell>
        </row>
        <row r="8">
          <cell r="F8">
            <v>0</v>
          </cell>
          <cell r="G8">
            <v>0</v>
          </cell>
          <cell r="H8">
            <v>0</v>
          </cell>
          <cell r="I8">
            <v>0</v>
          </cell>
          <cell r="N8">
            <v>0</v>
          </cell>
          <cell r="O8">
            <v>0</v>
          </cell>
          <cell r="T8">
            <v>0</v>
          </cell>
          <cell r="U8">
            <v>0</v>
          </cell>
          <cell r="Z8">
            <v>0</v>
          </cell>
          <cell r="AA8">
            <v>0</v>
          </cell>
          <cell r="AF8">
            <v>0</v>
          </cell>
          <cell r="AG8">
            <v>0</v>
          </cell>
          <cell r="AL8">
            <v>0</v>
          </cell>
          <cell r="AM8">
            <v>0</v>
          </cell>
          <cell r="AR8">
            <v>0</v>
          </cell>
          <cell r="AS8">
            <v>0</v>
          </cell>
          <cell r="AX8">
            <v>0</v>
          </cell>
          <cell r="AY8">
            <v>0</v>
          </cell>
          <cell r="AZ8">
            <v>0</v>
          </cell>
          <cell r="BA8">
            <v>0</v>
          </cell>
          <cell r="BF8">
            <v>0</v>
          </cell>
          <cell r="BG8">
            <v>0</v>
          </cell>
          <cell r="BL8">
            <v>0</v>
          </cell>
          <cell r="BM8">
            <v>0</v>
          </cell>
          <cell r="BR8">
            <v>0</v>
          </cell>
          <cell r="BS8">
            <v>0</v>
          </cell>
          <cell r="BX8">
            <v>0</v>
          </cell>
          <cell r="BY8">
            <v>0</v>
          </cell>
          <cell r="CD8">
            <v>0</v>
          </cell>
          <cell r="CE8">
            <v>0</v>
          </cell>
          <cell r="CJ8">
            <v>0</v>
          </cell>
          <cell r="CK8">
            <v>0</v>
          </cell>
          <cell r="CP8">
            <v>0</v>
          </cell>
          <cell r="CQ8">
            <v>0</v>
          </cell>
          <cell r="CR8">
            <v>0</v>
          </cell>
          <cell r="CS8">
            <v>0</v>
          </cell>
          <cell r="CX8">
            <v>0</v>
          </cell>
          <cell r="CY8">
            <v>0</v>
          </cell>
          <cell r="CZ8">
            <v>0</v>
          </cell>
          <cell r="DA8">
            <v>0</v>
          </cell>
          <cell r="DF8">
            <v>0</v>
          </cell>
          <cell r="DG8">
            <v>0</v>
          </cell>
          <cell r="DH8">
            <v>0</v>
          </cell>
          <cell r="DI8">
            <v>0</v>
          </cell>
          <cell r="DN8">
            <v>0</v>
          </cell>
          <cell r="DO8">
            <v>0</v>
          </cell>
          <cell r="DP8">
            <v>0</v>
          </cell>
          <cell r="DQ8">
            <v>0</v>
          </cell>
          <cell r="DV8">
            <v>0</v>
          </cell>
          <cell r="DW8">
            <v>0</v>
          </cell>
          <cell r="DX8">
            <v>0</v>
          </cell>
          <cell r="DY8">
            <v>0</v>
          </cell>
        </row>
        <row r="9">
          <cell r="F9">
            <v>0</v>
          </cell>
          <cell r="G9">
            <v>0</v>
          </cell>
          <cell r="H9">
            <v>0</v>
          </cell>
          <cell r="I9">
            <v>0</v>
          </cell>
          <cell r="AX9">
            <v>0</v>
          </cell>
          <cell r="AY9">
            <v>0</v>
          </cell>
          <cell r="AZ9">
            <v>0</v>
          </cell>
          <cell r="BA9">
            <v>0</v>
          </cell>
          <cell r="CP9">
            <v>0</v>
          </cell>
          <cell r="CQ9">
            <v>0</v>
          </cell>
          <cell r="CR9">
            <v>0</v>
          </cell>
          <cell r="CS9">
            <v>0</v>
          </cell>
          <cell r="CX9">
            <v>0</v>
          </cell>
          <cell r="CY9">
            <v>0</v>
          </cell>
          <cell r="CZ9">
            <v>0</v>
          </cell>
          <cell r="DA9">
            <v>0</v>
          </cell>
          <cell r="DF9">
            <v>0</v>
          </cell>
          <cell r="DG9">
            <v>0</v>
          </cell>
          <cell r="DH9">
            <v>0</v>
          </cell>
          <cell r="DI9">
            <v>0</v>
          </cell>
          <cell r="DN9">
            <v>0</v>
          </cell>
          <cell r="DO9">
            <v>0</v>
          </cell>
          <cell r="DP9">
            <v>0</v>
          </cell>
          <cell r="DQ9">
            <v>0</v>
          </cell>
          <cell r="DV9">
            <v>0</v>
          </cell>
          <cell r="DW9">
            <v>0</v>
          </cell>
          <cell r="DX9">
            <v>0</v>
          </cell>
          <cell r="DY9">
            <v>0</v>
          </cell>
        </row>
        <row r="10">
          <cell r="F10">
            <v>0</v>
          </cell>
          <cell r="G10">
            <v>0</v>
          </cell>
          <cell r="H10">
            <v>0</v>
          </cell>
          <cell r="I10">
            <v>0</v>
          </cell>
          <cell r="AX10">
            <v>0</v>
          </cell>
          <cell r="AY10">
            <v>0</v>
          </cell>
          <cell r="AZ10">
            <v>0</v>
          </cell>
          <cell r="BA10">
            <v>0</v>
          </cell>
          <cell r="CP10">
            <v>0</v>
          </cell>
          <cell r="CQ10">
            <v>0</v>
          </cell>
          <cell r="CR10">
            <v>0</v>
          </cell>
          <cell r="CS10">
            <v>0</v>
          </cell>
          <cell r="CX10">
            <v>0</v>
          </cell>
          <cell r="CY10">
            <v>0</v>
          </cell>
          <cell r="CZ10">
            <v>0</v>
          </cell>
          <cell r="DA10">
            <v>0</v>
          </cell>
          <cell r="DF10">
            <v>0</v>
          </cell>
          <cell r="DG10">
            <v>0</v>
          </cell>
          <cell r="DH10">
            <v>0</v>
          </cell>
          <cell r="DI10">
            <v>0</v>
          </cell>
          <cell r="DN10">
            <v>0</v>
          </cell>
          <cell r="DO10">
            <v>0</v>
          </cell>
          <cell r="DP10">
            <v>0</v>
          </cell>
          <cell r="DQ10">
            <v>0</v>
          </cell>
          <cell r="DV10">
            <v>0</v>
          </cell>
          <cell r="DW10">
            <v>0</v>
          </cell>
          <cell r="DX10">
            <v>0</v>
          </cell>
          <cell r="DY10">
            <v>0</v>
          </cell>
        </row>
        <row r="11">
          <cell r="F11">
            <v>0</v>
          </cell>
          <cell r="G11">
            <v>0</v>
          </cell>
          <cell r="H11">
            <v>0</v>
          </cell>
          <cell r="I11">
            <v>0</v>
          </cell>
          <cell r="N11">
            <v>0</v>
          </cell>
          <cell r="O11">
            <v>0</v>
          </cell>
          <cell r="T11">
            <v>0</v>
          </cell>
          <cell r="U11">
            <v>0</v>
          </cell>
          <cell r="Z11">
            <v>0</v>
          </cell>
          <cell r="AA11">
            <v>0</v>
          </cell>
          <cell r="AF11">
            <v>0</v>
          </cell>
          <cell r="AG11">
            <v>0</v>
          </cell>
          <cell r="AL11">
            <v>0</v>
          </cell>
          <cell r="AM11">
            <v>0</v>
          </cell>
          <cell r="AR11">
            <v>0</v>
          </cell>
          <cell r="AS11">
            <v>0</v>
          </cell>
          <cell r="AX11">
            <v>0</v>
          </cell>
          <cell r="AY11">
            <v>0</v>
          </cell>
          <cell r="AZ11">
            <v>0</v>
          </cell>
          <cell r="BA11">
            <v>0</v>
          </cell>
          <cell r="BF11">
            <v>0</v>
          </cell>
          <cell r="BG11">
            <v>0</v>
          </cell>
          <cell r="BL11">
            <v>0</v>
          </cell>
          <cell r="BM11">
            <v>0</v>
          </cell>
          <cell r="BR11">
            <v>0</v>
          </cell>
          <cell r="BS11">
            <v>0</v>
          </cell>
          <cell r="BX11">
            <v>0</v>
          </cell>
          <cell r="BY11">
            <v>0</v>
          </cell>
          <cell r="CD11">
            <v>0</v>
          </cell>
          <cell r="CE11">
            <v>0</v>
          </cell>
          <cell r="CJ11">
            <v>0</v>
          </cell>
          <cell r="CK11">
            <v>0</v>
          </cell>
          <cell r="CP11">
            <v>0</v>
          </cell>
          <cell r="CQ11">
            <v>0</v>
          </cell>
          <cell r="CR11">
            <v>0</v>
          </cell>
          <cell r="CS11">
            <v>0</v>
          </cell>
          <cell r="CX11">
            <v>0</v>
          </cell>
          <cell r="CY11">
            <v>0</v>
          </cell>
          <cell r="CZ11">
            <v>0</v>
          </cell>
          <cell r="DA11">
            <v>0</v>
          </cell>
          <cell r="DF11">
            <v>0</v>
          </cell>
          <cell r="DG11">
            <v>0</v>
          </cell>
          <cell r="DH11">
            <v>0</v>
          </cell>
          <cell r="DI11">
            <v>0</v>
          </cell>
          <cell r="DN11">
            <v>0</v>
          </cell>
          <cell r="DO11">
            <v>0</v>
          </cell>
          <cell r="DP11">
            <v>0</v>
          </cell>
          <cell r="DQ11">
            <v>0</v>
          </cell>
          <cell r="DV11">
            <v>0</v>
          </cell>
          <cell r="DW11">
            <v>0</v>
          </cell>
          <cell r="DX11">
            <v>0</v>
          </cell>
          <cell r="DY11">
            <v>0</v>
          </cell>
        </row>
        <row r="12">
          <cell r="F12">
            <v>0</v>
          </cell>
          <cell r="G12">
            <v>0</v>
          </cell>
          <cell r="H12">
            <v>0</v>
          </cell>
          <cell r="I12">
            <v>0</v>
          </cell>
          <cell r="AX12">
            <v>0</v>
          </cell>
          <cell r="AY12">
            <v>0</v>
          </cell>
          <cell r="AZ12">
            <v>0</v>
          </cell>
          <cell r="BA12">
            <v>0</v>
          </cell>
          <cell r="CP12">
            <v>0</v>
          </cell>
          <cell r="CQ12">
            <v>0</v>
          </cell>
          <cell r="CR12">
            <v>0</v>
          </cell>
          <cell r="CS12">
            <v>0</v>
          </cell>
          <cell r="CX12">
            <v>0</v>
          </cell>
          <cell r="CY12">
            <v>0</v>
          </cell>
          <cell r="CZ12">
            <v>0</v>
          </cell>
          <cell r="DA12">
            <v>0</v>
          </cell>
          <cell r="DF12">
            <v>0</v>
          </cell>
          <cell r="DG12">
            <v>0</v>
          </cell>
          <cell r="DH12">
            <v>0</v>
          </cell>
          <cell r="DI12">
            <v>0</v>
          </cell>
          <cell r="DN12">
            <v>0</v>
          </cell>
          <cell r="DO12">
            <v>0</v>
          </cell>
          <cell r="DP12">
            <v>0</v>
          </cell>
          <cell r="DQ12">
            <v>0</v>
          </cell>
          <cell r="DV12">
            <v>0</v>
          </cell>
          <cell r="DW12">
            <v>0</v>
          </cell>
          <cell r="DX12">
            <v>0</v>
          </cell>
          <cell r="DY12">
            <v>0</v>
          </cell>
        </row>
        <row r="13">
          <cell r="F13">
            <v>0</v>
          </cell>
          <cell r="G13">
            <v>0</v>
          </cell>
          <cell r="H13">
            <v>0</v>
          </cell>
          <cell r="I13">
            <v>0</v>
          </cell>
          <cell r="AX13">
            <v>0</v>
          </cell>
          <cell r="AY13">
            <v>0</v>
          </cell>
          <cell r="AZ13">
            <v>0</v>
          </cell>
          <cell r="BA13">
            <v>0</v>
          </cell>
          <cell r="CP13">
            <v>0</v>
          </cell>
          <cell r="CQ13">
            <v>0</v>
          </cell>
          <cell r="CR13">
            <v>0</v>
          </cell>
          <cell r="CS13">
            <v>0</v>
          </cell>
          <cell r="CX13">
            <v>0</v>
          </cell>
          <cell r="CY13">
            <v>0</v>
          </cell>
          <cell r="CZ13">
            <v>0</v>
          </cell>
          <cell r="DA13">
            <v>0</v>
          </cell>
          <cell r="DF13">
            <v>0</v>
          </cell>
          <cell r="DG13">
            <v>0</v>
          </cell>
          <cell r="DH13">
            <v>0</v>
          </cell>
          <cell r="DI13">
            <v>0</v>
          </cell>
          <cell r="DN13">
            <v>0</v>
          </cell>
          <cell r="DO13">
            <v>0</v>
          </cell>
          <cell r="DP13">
            <v>0</v>
          </cell>
          <cell r="DQ13">
            <v>0</v>
          </cell>
          <cell r="DV13">
            <v>0</v>
          </cell>
          <cell r="DW13">
            <v>0</v>
          </cell>
          <cell r="DX13">
            <v>0</v>
          </cell>
          <cell r="DY13">
            <v>0</v>
          </cell>
        </row>
        <row r="14">
          <cell r="F14">
            <v>0</v>
          </cell>
          <cell r="G14">
            <v>0</v>
          </cell>
          <cell r="H14">
            <v>0</v>
          </cell>
          <cell r="I14">
            <v>0</v>
          </cell>
          <cell r="AX14">
            <v>0</v>
          </cell>
          <cell r="AY14">
            <v>0</v>
          </cell>
          <cell r="AZ14">
            <v>0</v>
          </cell>
          <cell r="BA14">
            <v>0</v>
          </cell>
          <cell r="CP14">
            <v>0</v>
          </cell>
          <cell r="CQ14">
            <v>0</v>
          </cell>
          <cell r="CR14">
            <v>0</v>
          </cell>
          <cell r="CS14">
            <v>0</v>
          </cell>
          <cell r="CX14">
            <v>0</v>
          </cell>
          <cell r="CY14">
            <v>0</v>
          </cell>
          <cell r="CZ14">
            <v>0</v>
          </cell>
          <cell r="DA14">
            <v>0</v>
          </cell>
          <cell r="DF14">
            <v>0</v>
          </cell>
          <cell r="DG14">
            <v>0</v>
          </cell>
          <cell r="DH14">
            <v>0</v>
          </cell>
          <cell r="DI14">
            <v>0</v>
          </cell>
          <cell r="DN14">
            <v>0</v>
          </cell>
          <cell r="DO14">
            <v>0</v>
          </cell>
          <cell r="DP14">
            <v>0</v>
          </cell>
          <cell r="DQ14">
            <v>0</v>
          </cell>
          <cell r="DV14">
            <v>0</v>
          </cell>
          <cell r="DW14">
            <v>0</v>
          </cell>
          <cell r="DX14">
            <v>0</v>
          </cell>
          <cell r="DY14">
            <v>0</v>
          </cell>
        </row>
        <row r="15">
          <cell r="F15">
            <v>0</v>
          </cell>
          <cell r="G15">
            <v>0</v>
          </cell>
          <cell r="H15">
            <v>0</v>
          </cell>
          <cell r="I15">
            <v>0</v>
          </cell>
          <cell r="AX15">
            <v>0</v>
          </cell>
          <cell r="AY15">
            <v>0</v>
          </cell>
          <cell r="AZ15">
            <v>0</v>
          </cell>
          <cell r="BA15">
            <v>0</v>
          </cell>
          <cell r="CP15">
            <v>0</v>
          </cell>
          <cell r="CQ15">
            <v>0</v>
          </cell>
          <cell r="CR15">
            <v>0</v>
          </cell>
          <cell r="CS15">
            <v>0</v>
          </cell>
          <cell r="CX15">
            <v>0</v>
          </cell>
          <cell r="CY15">
            <v>0</v>
          </cell>
          <cell r="CZ15">
            <v>0</v>
          </cell>
          <cell r="DA15">
            <v>0</v>
          </cell>
          <cell r="DF15">
            <v>0</v>
          </cell>
          <cell r="DG15">
            <v>0</v>
          </cell>
          <cell r="DH15">
            <v>0</v>
          </cell>
          <cell r="DI15">
            <v>0</v>
          </cell>
          <cell r="DN15">
            <v>0</v>
          </cell>
          <cell r="DO15">
            <v>0</v>
          </cell>
          <cell r="DP15">
            <v>0</v>
          </cell>
          <cell r="DQ15">
            <v>0</v>
          </cell>
          <cell r="DV15">
            <v>0</v>
          </cell>
          <cell r="DW15">
            <v>0</v>
          </cell>
          <cell r="DX15">
            <v>0</v>
          </cell>
          <cell r="DY15">
            <v>0</v>
          </cell>
        </row>
        <row r="16">
          <cell r="F16">
            <v>0</v>
          </cell>
          <cell r="G16">
            <v>0</v>
          </cell>
          <cell r="H16">
            <v>0</v>
          </cell>
          <cell r="I16">
            <v>0</v>
          </cell>
          <cell r="AX16">
            <v>0</v>
          </cell>
          <cell r="AY16">
            <v>0</v>
          </cell>
          <cell r="AZ16">
            <v>0</v>
          </cell>
          <cell r="BA16">
            <v>0</v>
          </cell>
          <cell r="CP16">
            <v>0</v>
          </cell>
          <cell r="CQ16">
            <v>0</v>
          </cell>
          <cell r="CR16">
            <v>0</v>
          </cell>
          <cell r="CS16">
            <v>0</v>
          </cell>
          <cell r="CX16">
            <v>0</v>
          </cell>
          <cell r="CY16">
            <v>0</v>
          </cell>
          <cell r="CZ16">
            <v>0</v>
          </cell>
          <cell r="DA16">
            <v>0</v>
          </cell>
          <cell r="DF16">
            <v>0</v>
          </cell>
          <cell r="DG16">
            <v>0</v>
          </cell>
          <cell r="DH16">
            <v>0</v>
          </cell>
          <cell r="DI16">
            <v>0</v>
          </cell>
          <cell r="DN16">
            <v>0</v>
          </cell>
          <cell r="DO16">
            <v>0</v>
          </cell>
          <cell r="DP16">
            <v>0</v>
          </cell>
          <cell r="DQ16">
            <v>0</v>
          </cell>
          <cell r="DV16">
            <v>0</v>
          </cell>
          <cell r="DW16">
            <v>0</v>
          </cell>
          <cell r="DX16">
            <v>0</v>
          </cell>
          <cell r="DY16">
            <v>0</v>
          </cell>
        </row>
        <row r="17">
          <cell r="F17">
            <v>0</v>
          </cell>
          <cell r="G17">
            <v>0</v>
          </cell>
          <cell r="H17">
            <v>0</v>
          </cell>
          <cell r="I17">
            <v>0</v>
          </cell>
          <cell r="AX17">
            <v>0</v>
          </cell>
          <cell r="AY17">
            <v>0</v>
          </cell>
          <cell r="AZ17">
            <v>0</v>
          </cell>
          <cell r="BA17">
            <v>0</v>
          </cell>
          <cell r="CP17">
            <v>0</v>
          </cell>
          <cell r="CQ17">
            <v>0</v>
          </cell>
          <cell r="CR17">
            <v>0</v>
          </cell>
          <cell r="CS17">
            <v>0</v>
          </cell>
          <cell r="CX17">
            <v>0</v>
          </cell>
          <cell r="CY17">
            <v>0</v>
          </cell>
          <cell r="CZ17">
            <v>0</v>
          </cell>
          <cell r="DA17">
            <v>0</v>
          </cell>
          <cell r="DF17">
            <v>0</v>
          </cell>
          <cell r="DG17">
            <v>0</v>
          </cell>
          <cell r="DH17">
            <v>0</v>
          </cell>
          <cell r="DI17">
            <v>0</v>
          </cell>
          <cell r="DN17">
            <v>0</v>
          </cell>
          <cell r="DO17">
            <v>0</v>
          </cell>
          <cell r="DP17">
            <v>0</v>
          </cell>
          <cell r="DQ17">
            <v>0</v>
          </cell>
          <cell r="DV17">
            <v>0</v>
          </cell>
          <cell r="DW17">
            <v>0</v>
          </cell>
          <cell r="DX17">
            <v>0</v>
          </cell>
          <cell r="DY17">
            <v>0</v>
          </cell>
        </row>
        <row r="18">
          <cell r="F18">
            <v>0</v>
          </cell>
          <cell r="G18">
            <v>0</v>
          </cell>
          <cell r="H18">
            <v>0</v>
          </cell>
          <cell r="I18">
            <v>0</v>
          </cell>
          <cell r="AX18">
            <v>0</v>
          </cell>
          <cell r="AY18">
            <v>0</v>
          </cell>
          <cell r="AZ18">
            <v>0</v>
          </cell>
          <cell r="BA18">
            <v>0</v>
          </cell>
          <cell r="CP18">
            <v>0</v>
          </cell>
          <cell r="CQ18">
            <v>0</v>
          </cell>
          <cell r="CR18">
            <v>0</v>
          </cell>
          <cell r="CS18">
            <v>0</v>
          </cell>
          <cell r="CX18">
            <v>0</v>
          </cell>
          <cell r="CY18">
            <v>0</v>
          </cell>
          <cell r="CZ18">
            <v>0</v>
          </cell>
          <cell r="DA18">
            <v>0</v>
          </cell>
          <cell r="DF18">
            <v>0</v>
          </cell>
          <cell r="DG18">
            <v>0</v>
          </cell>
          <cell r="DH18">
            <v>0</v>
          </cell>
          <cell r="DI18">
            <v>0</v>
          </cell>
          <cell r="DN18">
            <v>0</v>
          </cell>
          <cell r="DO18">
            <v>0</v>
          </cell>
          <cell r="DP18">
            <v>0</v>
          </cell>
          <cell r="DQ18">
            <v>0</v>
          </cell>
          <cell r="DV18">
            <v>0</v>
          </cell>
          <cell r="DW18">
            <v>0</v>
          </cell>
          <cell r="DX18">
            <v>0</v>
          </cell>
          <cell r="DY18">
            <v>0</v>
          </cell>
        </row>
        <row r="19">
          <cell r="F19">
            <v>0</v>
          </cell>
          <cell r="G19">
            <v>0</v>
          </cell>
          <cell r="H19">
            <v>0</v>
          </cell>
          <cell r="I19">
            <v>0</v>
          </cell>
          <cell r="N19">
            <v>0</v>
          </cell>
          <cell r="O19">
            <v>0</v>
          </cell>
          <cell r="P19">
            <v>0</v>
          </cell>
          <cell r="T19">
            <v>0</v>
          </cell>
          <cell r="U19">
            <v>0</v>
          </cell>
          <cell r="V19">
            <v>0</v>
          </cell>
          <cell r="Z19">
            <v>0</v>
          </cell>
          <cell r="AA19">
            <v>0</v>
          </cell>
          <cell r="AB19">
            <v>0</v>
          </cell>
          <cell r="AF19">
            <v>0</v>
          </cell>
          <cell r="AG19">
            <v>0</v>
          </cell>
          <cell r="AH19">
            <v>0</v>
          </cell>
          <cell r="AL19">
            <v>0</v>
          </cell>
          <cell r="AM19">
            <v>0</v>
          </cell>
          <cell r="AN19">
            <v>0</v>
          </cell>
          <cell r="AR19">
            <v>0</v>
          </cell>
          <cell r="AS19">
            <v>0</v>
          </cell>
          <cell r="AT19">
            <v>0</v>
          </cell>
          <cell r="AX19">
            <v>0</v>
          </cell>
          <cell r="AY19">
            <v>0</v>
          </cell>
          <cell r="AZ19">
            <v>0</v>
          </cell>
          <cell r="BA19">
            <v>0</v>
          </cell>
          <cell r="BF19">
            <v>0</v>
          </cell>
          <cell r="BG19">
            <v>0</v>
          </cell>
          <cell r="BH19">
            <v>0</v>
          </cell>
          <cell r="BL19">
            <v>0</v>
          </cell>
          <cell r="BM19">
            <v>0</v>
          </cell>
          <cell r="BN19">
            <v>0</v>
          </cell>
          <cell r="BR19">
            <v>0</v>
          </cell>
          <cell r="BS19">
            <v>0</v>
          </cell>
          <cell r="BT19">
            <v>0</v>
          </cell>
          <cell r="BX19">
            <v>0</v>
          </cell>
          <cell r="BY19">
            <v>0</v>
          </cell>
          <cell r="BZ19">
            <v>0</v>
          </cell>
          <cell r="CD19">
            <v>0</v>
          </cell>
          <cell r="CE19">
            <v>0</v>
          </cell>
          <cell r="CF19">
            <v>0</v>
          </cell>
          <cell r="CJ19">
            <v>0</v>
          </cell>
          <cell r="CK19">
            <v>0</v>
          </cell>
          <cell r="CL19">
            <v>0</v>
          </cell>
          <cell r="CP19">
            <v>0</v>
          </cell>
          <cell r="CQ19">
            <v>0</v>
          </cell>
          <cell r="CR19">
            <v>0</v>
          </cell>
          <cell r="CS19">
            <v>0</v>
          </cell>
          <cell r="CX19">
            <v>0</v>
          </cell>
          <cell r="CY19">
            <v>0</v>
          </cell>
          <cell r="CZ19">
            <v>0</v>
          </cell>
          <cell r="DA19">
            <v>0</v>
          </cell>
          <cell r="DF19">
            <v>0</v>
          </cell>
          <cell r="DG19">
            <v>0</v>
          </cell>
          <cell r="DH19">
            <v>0</v>
          </cell>
          <cell r="DI19">
            <v>0</v>
          </cell>
          <cell r="DN19">
            <v>0</v>
          </cell>
          <cell r="DO19">
            <v>0</v>
          </cell>
          <cell r="DP19">
            <v>0</v>
          </cell>
          <cell r="DQ19">
            <v>0</v>
          </cell>
          <cell r="DV19">
            <v>0</v>
          </cell>
          <cell r="DW19">
            <v>0</v>
          </cell>
          <cell r="DX19">
            <v>0</v>
          </cell>
          <cell r="DY19">
            <v>0</v>
          </cell>
        </row>
        <row r="20">
          <cell r="F20">
            <v>0</v>
          </cell>
          <cell r="G20">
            <v>0</v>
          </cell>
          <cell r="H20">
            <v>0</v>
          </cell>
          <cell r="I20">
            <v>0</v>
          </cell>
          <cell r="AX20">
            <v>0</v>
          </cell>
          <cell r="AY20">
            <v>0</v>
          </cell>
          <cell r="AZ20">
            <v>0</v>
          </cell>
          <cell r="BA20">
            <v>0</v>
          </cell>
          <cell r="CP20">
            <v>0</v>
          </cell>
          <cell r="CQ20">
            <v>0</v>
          </cell>
          <cell r="CR20">
            <v>0</v>
          </cell>
          <cell r="CS20">
            <v>0</v>
          </cell>
          <cell r="CX20">
            <v>0</v>
          </cell>
          <cell r="CY20">
            <v>0</v>
          </cell>
          <cell r="CZ20">
            <v>0</v>
          </cell>
          <cell r="DA20">
            <v>0</v>
          </cell>
          <cell r="DF20">
            <v>0</v>
          </cell>
          <cell r="DG20">
            <v>0</v>
          </cell>
          <cell r="DH20">
            <v>0</v>
          </cell>
          <cell r="DI20">
            <v>0</v>
          </cell>
          <cell r="DN20">
            <v>0</v>
          </cell>
          <cell r="DO20">
            <v>0</v>
          </cell>
          <cell r="DP20">
            <v>0</v>
          </cell>
          <cell r="DQ20">
            <v>0</v>
          </cell>
          <cell r="DV20">
            <v>0</v>
          </cell>
          <cell r="DW20">
            <v>0</v>
          </cell>
          <cell r="DX20">
            <v>0</v>
          </cell>
          <cell r="DY20">
            <v>0</v>
          </cell>
        </row>
        <row r="21">
          <cell r="F21">
            <v>15600</v>
          </cell>
          <cell r="G21">
            <v>1982</v>
          </cell>
          <cell r="H21">
            <v>1243.0030000000002</v>
          </cell>
          <cell r="I21">
            <v>62.714581231079727</v>
          </cell>
          <cell r="N21">
            <v>1100</v>
          </cell>
          <cell r="O21">
            <v>140</v>
          </cell>
          <cell r="P21">
            <v>85.694999999999993</v>
          </cell>
          <cell r="T21">
            <v>1700</v>
          </cell>
          <cell r="U21">
            <v>216</v>
          </cell>
          <cell r="V21">
            <v>134.46199999999999</v>
          </cell>
          <cell r="Z21">
            <v>1400</v>
          </cell>
          <cell r="AA21">
            <v>178</v>
          </cell>
          <cell r="AB21">
            <v>112.03</v>
          </cell>
          <cell r="AF21">
            <v>1400</v>
          </cell>
          <cell r="AG21">
            <v>178</v>
          </cell>
          <cell r="AH21">
            <v>112.03</v>
          </cell>
          <cell r="AL21">
            <v>1500</v>
          </cell>
          <cell r="AM21">
            <v>191</v>
          </cell>
          <cell r="AN21">
            <v>120.318</v>
          </cell>
          <cell r="AR21">
            <v>1300</v>
          </cell>
          <cell r="AS21">
            <v>165</v>
          </cell>
          <cell r="AT21">
            <v>103.742</v>
          </cell>
          <cell r="AX21">
            <v>8400</v>
          </cell>
          <cell r="AY21">
            <v>1068</v>
          </cell>
          <cell r="AZ21">
            <v>668.27700000000004</v>
          </cell>
          <cell r="BA21">
            <v>62.57275280898876</v>
          </cell>
          <cell r="BF21">
            <v>1300</v>
          </cell>
          <cell r="BG21">
            <v>165</v>
          </cell>
          <cell r="BH21">
            <v>103.742</v>
          </cell>
          <cell r="BL21">
            <v>1200</v>
          </cell>
          <cell r="BM21">
            <v>152</v>
          </cell>
          <cell r="BN21">
            <v>95.453999999999994</v>
          </cell>
          <cell r="BR21">
            <v>1300</v>
          </cell>
          <cell r="BS21">
            <v>165</v>
          </cell>
          <cell r="BT21">
            <v>103.742</v>
          </cell>
          <cell r="BX21">
            <v>1200</v>
          </cell>
          <cell r="BY21">
            <v>152</v>
          </cell>
          <cell r="BZ21">
            <v>95.453999999999994</v>
          </cell>
          <cell r="CD21">
            <v>1100</v>
          </cell>
          <cell r="CE21">
            <v>140</v>
          </cell>
          <cell r="CF21">
            <v>88.167000000000002</v>
          </cell>
          <cell r="CJ21">
            <v>1100</v>
          </cell>
          <cell r="CK21">
            <v>140</v>
          </cell>
          <cell r="CL21">
            <v>88.167000000000002</v>
          </cell>
          <cell r="CP21">
            <v>7200</v>
          </cell>
          <cell r="CQ21">
            <v>914</v>
          </cell>
          <cell r="CR21">
            <v>574.726</v>
          </cell>
          <cell r="CS21">
            <v>62.88030634573304</v>
          </cell>
          <cell r="CX21">
            <v>4200</v>
          </cell>
          <cell r="CY21">
            <v>534</v>
          </cell>
          <cell r="CZ21">
            <v>332.18700000000001</v>
          </cell>
          <cell r="DA21">
            <v>62.207303370786512</v>
          </cell>
          <cell r="DF21">
            <v>4200</v>
          </cell>
          <cell r="DG21">
            <v>534</v>
          </cell>
          <cell r="DH21">
            <v>336.09000000000003</v>
          </cell>
          <cell r="DI21">
            <v>62.938202247191022</v>
          </cell>
          <cell r="DN21">
            <v>3800</v>
          </cell>
          <cell r="DO21">
            <v>482</v>
          </cell>
          <cell r="DP21">
            <v>302.93799999999999</v>
          </cell>
          <cell r="DQ21">
            <v>62.850207468879674</v>
          </cell>
          <cell r="DV21">
            <v>3400</v>
          </cell>
          <cell r="DW21">
            <v>432</v>
          </cell>
          <cell r="DX21">
            <v>271.78800000000001</v>
          </cell>
          <cell r="DY21">
            <v>62.913888888888891</v>
          </cell>
        </row>
        <row r="22">
          <cell r="F22">
            <v>0</v>
          </cell>
          <cell r="G22">
            <v>0</v>
          </cell>
          <cell r="H22">
            <v>0</v>
          </cell>
          <cell r="I22">
            <v>0</v>
          </cell>
          <cell r="N22">
            <v>0</v>
          </cell>
          <cell r="O22">
            <v>0</v>
          </cell>
          <cell r="T22">
            <v>0</v>
          </cell>
          <cell r="U22">
            <v>0</v>
          </cell>
          <cell r="Z22">
            <v>0</v>
          </cell>
          <cell r="AA22">
            <v>0</v>
          </cell>
          <cell r="AF22">
            <v>0</v>
          </cell>
          <cell r="AG22">
            <v>0</v>
          </cell>
          <cell r="AL22">
            <v>0</v>
          </cell>
          <cell r="AM22">
            <v>0</v>
          </cell>
          <cell r="AR22">
            <v>0</v>
          </cell>
          <cell r="AS22">
            <v>0</v>
          </cell>
          <cell r="AX22">
            <v>0</v>
          </cell>
          <cell r="AY22">
            <v>0</v>
          </cell>
          <cell r="AZ22">
            <v>0</v>
          </cell>
          <cell r="BA22">
            <v>0</v>
          </cell>
          <cell r="BF22">
            <v>0</v>
          </cell>
          <cell r="BG22">
            <v>0</v>
          </cell>
          <cell r="BL22">
            <v>0</v>
          </cell>
          <cell r="BM22">
            <v>0</v>
          </cell>
          <cell r="BR22">
            <v>0</v>
          </cell>
          <cell r="BS22">
            <v>0</v>
          </cell>
          <cell r="BX22">
            <v>0</v>
          </cell>
          <cell r="BY22">
            <v>0</v>
          </cell>
          <cell r="CD22">
            <v>0</v>
          </cell>
          <cell r="CE22">
            <v>0</v>
          </cell>
          <cell r="CJ22">
            <v>0</v>
          </cell>
          <cell r="CK22">
            <v>0</v>
          </cell>
          <cell r="CP22">
            <v>0</v>
          </cell>
          <cell r="CQ22">
            <v>0</v>
          </cell>
          <cell r="CR22">
            <v>0</v>
          </cell>
          <cell r="CS22">
            <v>0</v>
          </cell>
          <cell r="CX22">
            <v>0</v>
          </cell>
          <cell r="CY22">
            <v>0</v>
          </cell>
          <cell r="CZ22">
            <v>0</v>
          </cell>
          <cell r="DA22">
            <v>0</v>
          </cell>
          <cell r="DF22">
            <v>0</v>
          </cell>
          <cell r="DG22">
            <v>0</v>
          </cell>
          <cell r="DH22">
            <v>0</v>
          </cell>
          <cell r="DI22">
            <v>0</v>
          </cell>
          <cell r="DN22">
            <v>0</v>
          </cell>
          <cell r="DO22">
            <v>0</v>
          </cell>
          <cell r="DP22">
            <v>0</v>
          </cell>
          <cell r="DQ22">
            <v>0</v>
          </cell>
          <cell r="DV22">
            <v>0</v>
          </cell>
          <cell r="DW22">
            <v>0</v>
          </cell>
          <cell r="DX22">
            <v>0</v>
          </cell>
          <cell r="DY22">
            <v>0</v>
          </cell>
        </row>
        <row r="23">
          <cell r="F23">
            <v>29600</v>
          </cell>
          <cell r="G23">
            <v>2133</v>
          </cell>
          <cell r="H23">
            <v>1243.7909999999999</v>
          </cell>
          <cell r="I23">
            <v>58.311814345991564</v>
          </cell>
          <cell r="N23">
            <v>2000</v>
          </cell>
          <cell r="O23">
            <v>144</v>
          </cell>
          <cell r="P23">
            <v>63.408999999999999</v>
          </cell>
          <cell r="T23">
            <v>2900</v>
          </cell>
          <cell r="U23">
            <v>209</v>
          </cell>
          <cell r="V23">
            <v>121.866</v>
          </cell>
          <cell r="Z23">
            <v>2300</v>
          </cell>
          <cell r="AA23">
            <v>166</v>
          </cell>
          <cell r="AB23">
            <v>96.977000000000004</v>
          </cell>
          <cell r="AF23">
            <v>2500</v>
          </cell>
          <cell r="AG23">
            <v>180</v>
          </cell>
          <cell r="AH23">
            <v>105.095</v>
          </cell>
          <cell r="AL23">
            <v>2700</v>
          </cell>
          <cell r="AM23">
            <v>194</v>
          </cell>
          <cell r="AN23">
            <v>113.429</v>
          </cell>
          <cell r="AR23">
            <v>2500</v>
          </cell>
          <cell r="AS23">
            <v>180</v>
          </cell>
          <cell r="AT23">
            <v>106.06699999999999</v>
          </cell>
          <cell r="AX23">
            <v>14900</v>
          </cell>
          <cell r="AY23">
            <v>1073</v>
          </cell>
          <cell r="AZ23">
            <v>606.84299999999996</v>
          </cell>
          <cell r="BA23">
            <v>56.555731593662628</v>
          </cell>
          <cell r="BF23">
            <v>3300</v>
          </cell>
          <cell r="BG23">
            <v>238</v>
          </cell>
          <cell r="BH23">
            <v>142.125</v>
          </cell>
          <cell r="BL23">
            <v>2800</v>
          </cell>
          <cell r="BM23">
            <v>202</v>
          </cell>
          <cell r="BN23">
            <v>121.349</v>
          </cell>
          <cell r="BR23">
            <v>2500</v>
          </cell>
          <cell r="BS23">
            <v>180</v>
          </cell>
          <cell r="BT23">
            <v>107.88</v>
          </cell>
          <cell r="BX23">
            <v>2300</v>
          </cell>
          <cell r="BY23">
            <v>166</v>
          </cell>
          <cell r="BZ23">
            <v>100.548</v>
          </cell>
          <cell r="CD23">
            <v>2000</v>
          </cell>
          <cell r="CE23">
            <v>144</v>
          </cell>
          <cell r="CF23">
            <v>86.724999999999994</v>
          </cell>
          <cell r="CJ23">
            <v>1800</v>
          </cell>
          <cell r="CK23">
            <v>130</v>
          </cell>
          <cell r="CL23">
            <v>78.320999999999998</v>
          </cell>
          <cell r="CP23">
            <v>14700</v>
          </cell>
          <cell r="CQ23">
            <v>1060</v>
          </cell>
          <cell r="CR23">
            <v>636.94799999999998</v>
          </cell>
          <cell r="CS23">
            <v>60.089433962264152</v>
          </cell>
          <cell r="CX23">
            <v>7200</v>
          </cell>
          <cell r="CY23">
            <v>519</v>
          </cell>
          <cell r="CZ23">
            <v>282.25200000000001</v>
          </cell>
          <cell r="DA23">
            <v>54.383815028901736</v>
          </cell>
          <cell r="DF23">
            <v>7700</v>
          </cell>
          <cell r="DG23">
            <v>554</v>
          </cell>
          <cell r="DH23">
            <v>324.59100000000001</v>
          </cell>
          <cell r="DI23">
            <v>58.590433212996395</v>
          </cell>
          <cell r="DN23">
            <v>8600</v>
          </cell>
          <cell r="DO23">
            <v>620</v>
          </cell>
          <cell r="DP23">
            <v>371.35399999999998</v>
          </cell>
          <cell r="DQ23">
            <v>59.895806451612899</v>
          </cell>
          <cell r="DV23">
            <v>6100</v>
          </cell>
          <cell r="DW23">
            <v>440</v>
          </cell>
          <cell r="DX23">
            <v>265.59399999999999</v>
          </cell>
          <cell r="DY23">
            <v>60.362272727272725</v>
          </cell>
        </row>
        <row r="24">
          <cell r="F24">
            <v>0</v>
          </cell>
          <cell r="G24">
            <v>0</v>
          </cell>
          <cell r="H24">
            <v>0</v>
          </cell>
          <cell r="I24">
            <v>0</v>
          </cell>
          <cell r="N24">
            <v>0</v>
          </cell>
          <cell r="O24">
            <v>0</v>
          </cell>
          <cell r="T24">
            <v>0</v>
          </cell>
          <cell r="U24">
            <v>0</v>
          </cell>
          <cell r="Z24">
            <v>0</v>
          </cell>
          <cell r="AA24">
            <v>0</v>
          </cell>
          <cell r="AF24">
            <v>0</v>
          </cell>
          <cell r="AG24">
            <v>0</v>
          </cell>
          <cell r="AL24">
            <v>0</v>
          </cell>
          <cell r="AM24">
            <v>0</v>
          </cell>
          <cell r="AR24">
            <v>0</v>
          </cell>
          <cell r="AS24">
            <v>0</v>
          </cell>
          <cell r="AX24">
            <v>0</v>
          </cell>
          <cell r="AY24">
            <v>0</v>
          </cell>
          <cell r="AZ24">
            <v>0</v>
          </cell>
          <cell r="BA24">
            <v>0</v>
          </cell>
          <cell r="BF24">
            <v>0</v>
          </cell>
          <cell r="BG24">
            <v>0</v>
          </cell>
          <cell r="BL24">
            <v>0</v>
          </cell>
          <cell r="BM24">
            <v>0</v>
          </cell>
          <cell r="BR24">
            <v>0</v>
          </cell>
          <cell r="BS24">
            <v>0</v>
          </cell>
          <cell r="BX24">
            <v>0</v>
          </cell>
          <cell r="BY24">
            <v>0</v>
          </cell>
          <cell r="CD24">
            <v>0</v>
          </cell>
          <cell r="CE24">
            <v>0</v>
          </cell>
          <cell r="CJ24">
            <v>0</v>
          </cell>
          <cell r="CK24">
            <v>0</v>
          </cell>
          <cell r="CP24">
            <v>0</v>
          </cell>
          <cell r="CQ24">
            <v>0</v>
          </cell>
          <cell r="CR24">
            <v>0</v>
          </cell>
          <cell r="CS24">
            <v>0</v>
          </cell>
          <cell r="CX24">
            <v>0</v>
          </cell>
          <cell r="CY24">
            <v>0</v>
          </cell>
          <cell r="CZ24">
            <v>0</v>
          </cell>
          <cell r="DA24">
            <v>0</v>
          </cell>
          <cell r="DF24">
            <v>0</v>
          </cell>
          <cell r="DG24">
            <v>0</v>
          </cell>
          <cell r="DH24">
            <v>0</v>
          </cell>
          <cell r="DI24">
            <v>0</v>
          </cell>
          <cell r="DN24">
            <v>0</v>
          </cell>
          <cell r="DO24">
            <v>0</v>
          </cell>
          <cell r="DP24">
            <v>0</v>
          </cell>
          <cell r="DQ24">
            <v>0</v>
          </cell>
          <cell r="DV24">
            <v>0</v>
          </cell>
          <cell r="DW24">
            <v>0</v>
          </cell>
          <cell r="DX24">
            <v>0</v>
          </cell>
          <cell r="DY24">
            <v>0</v>
          </cell>
        </row>
        <row r="25">
          <cell r="F25">
            <v>0</v>
          </cell>
          <cell r="G25">
            <v>0</v>
          </cell>
          <cell r="H25">
            <v>0</v>
          </cell>
          <cell r="I25">
            <v>0</v>
          </cell>
          <cell r="AX25">
            <v>0</v>
          </cell>
          <cell r="AY25">
            <v>0</v>
          </cell>
          <cell r="AZ25">
            <v>0</v>
          </cell>
          <cell r="BA25">
            <v>0</v>
          </cell>
          <cell r="CP25">
            <v>0</v>
          </cell>
          <cell r="CQ25">
            <v>0</v>
          </cell>
          <cell r="CR25">
            <v>0</v>
          </cell>
          <cell r="CS25">
            <v>0</v>
          </cell>
          <cell r="CX25">
            <v>0</v>
          </cell>
          <cell r="CY25">
            <v>0</v>
          </cell>
          <cell r="CZ25">
            <v>0</v>
          </cell>
          <cell r="DA25">
            <v>0</v>
          </cell>
          <cell r="DF25">
            <v>0</v>
          </cell>
          <cell r="DG25">
            <v>0</v>
          </cell>
          <cell r="DH25">
            <v>0</v>
          </cell>
          <cell r="DI25">
            <v>0</v>
          </cell>
          <cell r="DN25">
            <v>0</v>
          </cell>
          <cell r="DO25">
            <v>0</v>
          </cell>
          <cell r="DP25">
            <v>0</v>
          </cell>
          <cell r="DQ25">
            <v>0</v>
          </cell>
          <cell r="DV25">
            <v>0</v>
          </cell>
          <cell r="DW25">
            <v>0</v>
          </cell>
          <cell r="DX25">
            <v>0</v>
          </cell>
          <cell r="DY25">
            <v>0</v>
          </cell>
        </row>
        <row r="26">
          <cell r="F26">
            <v>0</v>
          </cell>
          <cell r="G26">
            <v>0</v>
          </cell>
          <cell r="H26">
            <v>0</v>
          </cell>
          <cell r="I26">
            <v>0</v>
          </cell>
          <cell r="N26">
            <v>0</v>
          </cell>
          <cell r="O26">
            <v>0</v>
          </cell>
          <cell r="T26">
            <v>0</v>
          </cell>
          <cell r="U26">
            <v>0</v>
          </cell>
          <cell r="Z26">
            <v>0</v>
          </cell>
          <cell r="AA26">
            <v>0</v>
          </cell>
          <cell r="AF26">
            <v>0</v>
          </cell>
          <cell r="AG26">
            <v>0</v>
          </cell>
          <cell r="AL26">
            <v>0</v>
          </cell>
          <cell r="AM26">
            <v>0</v>
          </cell>
          <cell r="AR26">
            <v>0</v>
          </cell>
          <cell r="AS26">
            <v>0</v>
          </cell>
          <cell r="AX26">
            <v>0</v>
          </cell>
          <cell r="AY26">
            <v>0</v>
          </cell>
          <cell r="AZ26">
            <v>0</v>
          </cell>
          <cell r="BA26">
            <v>0</v>
          </cell>
          <cell r="BF26">
            <v>0</v>
          </cell>
          <cell r="BG26">
            <v>0</v>
          </cell>
          <cell r="BL26">
            <v>0</v>
          </cell>
          <cell r="BM26">
            <v>0</v>
          </cell>
          <cell r="BR26">
            <v>0</v>
          </cell>
          <cell r="BS26">
            <v>0</v>
          </cell>
          <cell r="BX26">
            <v>0</v>
          </cell>
          <cell r="BY26">
            <v>0</v>
          </cell>
          <cell r="CD26">
            <v>0</v>
          </cell>
          <cell r="CE26">
            <v>0</v>
          </cell>
          <cell r="CJ26">
            <v>0</v>
          </cell>
          <cell r="CK26">
            <v>0</v>
          </cell>
          <cell r="CP26">
            <v>0</v>
          </cell>
          <cell r="CQ26">
            <v>0</v>
          </cell>
          <cell r="CR26">
            <v>0</v>
          </cell>
          <cell r="CS26">
            <v>0</v>
          </cell>
          <cell r="CX26">
            <v>0</v>
          </cell>
          <cell r="CY26">
            <v>0</v>
          </cell>
          <cell r="CZ26">
            <v>0</v>
          </cell>
          <cell r="DA26">
            <v>0</v>
          </cell>
          <cell r="DF26">
            <v>0</v>
          </cell>
          <cell r="DG26">
            <v>0</v>
          </cell>
          <cell r="DH26">
            <v>0</v>
          </cell>
          <cell r="DI26">
            <v>0</v>
          </cell>
          <cell r="DN26">
            <v>0</v>
          </cell>
          <cell r="DO26">
            <v>0</v>
          </cell>
          <cell r="DP26">
            <v>0</v>
          </cell>
          <cell r="DQ26">
            <v>0</v>
          </cell>
          <cell r="DV26">
            <v>0</v>
          </cell>
          <cell r="DW26">
            <v>0</v>
          </cell>
          <cell r="DX26">
            <v>0</v>
          </cell>
          <cell r="DY26">
            <v>0</v>
          </cell>
        </row>
        <row r="27">
          <cell r="F27">
            <v>0</v>
          </cell>
          <cell r="G27">
            <v>0</v>
          </cell>
          <cell r="H27">
            <v>0</v>
          </cell>
          <cell r="I27">
            <v>0</v>
          </cell>
          <cell r="AX27">
            <v>0</v>
          </cell>
          <cell r="AY27">
            <v>0</v>
          </cell>
          <cell r="AZ27">
            <v>0</v>
          </cell>
          <cell r="BA27">
            <v>0</v>
          </cell>
          <cell r="CP27">
            <v>0</v>
          </cell>
          <cell r="CQ27">
            <v>0</v>
          </cell>
          <cell r="CR27">
            <v>0</v>
          </cell>
          <cell r="CS27">
            <v>0</v>
          </cell>
          <cell r="CX27">
            <v>0</v>
          </cell>
          <cell r="CY27">
            <v>0</v>
          </cell>
          <cell r="CZ27">
            <v>0</v>
          </cell>
          <cell r="DA27">
            <v>0</v>
          </cell>
          <cell r="DF27">
            <v>0</v>
          </cell>
          <cell r="DG27">
            <v>0</v>
          </cell>
          <cell r="DH27">
            <v>0</v>
          </cell>
          <cell r="DI27">
            <v>0</v>
          </cell>
          <cell r="DN27">
            <v>0</v>
          </cell>
          <cell r="DO27">
            <v>0</v>
          </cell>
          <cell r="DP27">
            <v>0</v>
          </cell>
          <cell r="DQ27">
            <v>0</v>
          </cell>
          <cell r="DV27">
            <v>0</v>
          </cell>
          <cell r="DW27">
            <v>0</v>
          </cell>
          <cell r="DX27">
            <v>0</v>
          </cell>
          <cell r="DY27">
            <v>0</v>
          </cell>
        </row>
        <row r="28">
          <cell r="F28">
            <v>0</v>
          </cell>
          <cell r="G28">
            <v>0</v>
          </cell>
          <cell r="H28">
            <v>0</v>
          </cell>
          <cell r="I28">
            <v>0</v>
          </cell>
          <cell r="N28">
            <v>0</v>
          </cell>
          <cell r="O28">
            <v>0</v>
          </cell>
          <cell r="T28">
            <v>0</v>
          </cell>
          <cell r="U28">
            <v>0</v>
          </cell>
          <cell r="Z28">
            <v>0</v>
          </cell>
          <cell r="AA28">
            <v>0</v>
          </cell>
          <cell r="AF28">
            <v>0</v>
          </cell>
          <cell r="AG28">
            <v>0</v>
          </cell>
          <cell r="AL28">
            <v>0</v>
          </cell>
          <cell r="AM28">
            <v>0</v>
          </cell>
          <cell r="AR28">
            <v>0</v>
          </cell>
          <cell r="AS28">
            <v>0</v>
          </cell>
          <cell r="AX28">
            <v>0</v>
          </cell>
          <cell r="AY28">
            <v>0</v>
          </cell>
          <cell r="AZ28">
            <v>0</v>
          </cell>
          <cell r="BA28">
            <v>0</v>
          </cell>
          <cell r="BF28">
            <v>0</v>
          </cell>
          <cell r="BG28">
            <v>0</v>
          </cell>
          <cell r="BL28">
            <v>0</v>
          </cell>
          <cell r="BM28">
            <v>0</v>
          </cell>
          <cell r="BR28">
            <v>0</v>
          </cell>
          <cell r="BS28">
            <v>0</v>
          </cell>
          <cell r="BX28">
            <v>0</v>
          </cell>
          <cell r="BY28">
            <v>0</v>
          </cell>
          <cell r="CD28">
            <v>0</v>
          </cell>
          <cell r="CE28">
            <v>0</v>
          </cell>
          <cell r="CJ28">
            <v>0</v>
          </cell>
          <cell r="CK28">
            <v>0</v>
          </cell>
          <cell r="CP28">
            <v>0</v>
          </cell>
          <cell r="CQ28">
            <v>0</v>
          </cell>
          <cell r="CR28">
            <v>0</v>
          </cell>
          <cell r="CS28">
            <v>0</v>
          </cell>
          <cell r="CX28">
            <v>0</v>
          </cell>
          <cell r="CY28">
            <v>0</v>
          </cell>
          <cell r="CZ28">
            <v>0</v>
          </cell>
          <cell r="DA28">
            <v>0</v>
          </cell>
          <cell r="DF28">
            <v>0</v>
          </cell>
          <cell r="DG28">
            <v>0</v>
          </cell>
          <cell r="DH28">
            <v>0</v>
          </cell>
          <cell r="DI28">
            <v>0</v>
          </cell>
          <cell r="DN28">
            <v>0</v>
          </cell>
          <cell r="DO28">
            <v>0</v>
          </cell>
          <cell r="DP28">
            <v>0</v>
          </cell>
          <cell r="DQ28">
            <v>0</v>
          </cell>
          <cell r="DV28">
            <v>0</v>
          </cell>
          <cell r="DW28">
            <v>0</v>
          </cell>
          <cell r="DX28">
            <v>0</v>
          </cell>
          <cell r="DY28">
            <v>0</v>
          </cell>
        </row>
        <row r="29">
          <cell r="F29">
            <v>31900</v>
          </cell>
          <cell r="G29">
            <v>3367</v>
          </cell>
          <cell r="H29">
            <v>1852.19</v>
          </cell>
          <cell r="I29">
            <v>55.010098010098005</v>
          </cell>
          <cell r="N29">
            <v>2100</v>
          </cell>
          <cell r="O29">
            <v>222</v>
          </cell>
          <cell r="P29">
            <v>111.114</v>
          </cell>
          <cell r="T29">
            <v>3300</v>
          </cell>
          <cell r="U29">
            <v>348</v>
          </cell>
          <cell r="V29">
            <v>181.714</v>
          </cell>
          <cell r="Z29">
            <v>2700</v>
          </cell>
          <cell r="AA29">
            <v>285</v>
          </cell>
          <cell r="AB29">
            <v>152.453</v>
          </cell>
          <cell r="AF29">
            <v>3000</v>
          </cell>
          <cell r="AG29">
            <v>317</v>
          </cell>
          <cell r="AH29">
            <v>172.26400000000001</v>
          </cell>
          <cell r="AL29">
            <v>3200</v>
          </cell>
          <cell r="AM29">
            <v>338</v>
          </cell>
          <cell r="AN29">
            <v>185.727</v>
          </cell>
          <cell r="AR29">
            <v>3000</v>
          </cell>
          <cell r="AS29">
            <v>317</v>
          </cell>
          <cell r="AT29">
            <v>176.04900000000001</v>
          </cell>
          <cell r="AX29">
            <v>17300</v>
          </cell>
          <cell r="AY29">
            <v>1827</v>
          </cell>
          <cell r="AZ29">
            <v>979.32099999999991</v>
          </cell>
          <cell r="BA29">
            <v>53.602681992337168</v>
          </cell>
          <cell r="BF29">
            <v>2900</v>
          </cell>
          <cell r="BG29">
            <v>306</v>
          </cell>
          <cell r="BH29">
            <v>171.25200000000001</v>
          </cell>
          <cell r="BL29">
            <v>2500</v>
          </cell>
          <cell r="BM29">
            <v>264</v>
          </cell>
          <cell r="BN29">
            <v>148.995</v>
          </cell>
          <cell r="BR29">
            <v>2500</v>
          </cell>
          <cell r="BS29">
            <v>264</v>
          </cell>
          <cell r="BT29">
            <v>149.69999999999999</v>
          </cell>
          <cell r="BX29">
            <v>2400</v>
          </cell>
          <cell r="BY29">
            <v>253</v>
          </cell>
          <cell r="BZ29">
            <v>144.09200000000001</v>
          </cell>
          <cell r="CD29">
            <v>2200</v>
          </cell>
          <cell r="CE29">
            <v>232</v>
          </cell>
          <cell r="CF29">
            <v>132.541</v>
          </cell>
          <cell r="CJ29">
            <v>2100</v>
          </cell>
          <cell r="CK29">
            <v>221</v>
          </cell>
          <cell r="CL29">
            <v>126.289</v>
          </cell>
          <cell r="CP29">
            <v>14600</v>
          </cell>
          <cell r="CQ29">
            <v>1540</v>
          </cell>
          <cell r="CR29">
            <v>872.86900000000014</v>
          </cell>
          <cell r="CS29">
            <v>56.679805194805198</v>
          </cell>
          <cell r="CX29">
            <v>8100</v>
          </cell>
          <cell r="CY29">
            <v>855</v>
          </cell>
          <cell r="CZ29">
            <v>445.28099999999995</v>
          </cell>
          <cell r="DA29">
            <v>52.079649122807012</v>
          </cell>
          <cell r="DF29">
            <v>9200</v>
          </cell>
          <cell r="DG29">
            <v>972</v>
          </cell>
          <cell r="DH29">
            <v>534.04</v>
          </cell>
          <cell r="DI29">
            <v>54.942386831275712</v>
          </cell>
          <cell r="DN29">
            <v>7900</v>
          </cell>
          <cell r="DO29">
            <v>834</v>
          </cell>
          <cell r="DP29">
            <v>469.947</v>
          </cell>
          <cell r="DQ29">
            <v>56.348561151079139</v>
          </cell>
          <cell r="DV29">
            <v>6700</v>
          </cell>
          <cell r="DW29">
            <v>706</v>
          </cell>
          <cell r="DX29">
            <v>402.92200000000003</v>
          </cell>
          <cell r="DY29">
            <v>57.071104815864025</v>
          </cell>
        </row>
        <row r="30">
          <cell r="F30">
            <v>77100</v>
          </cell>
          <cell r="G30">
            <v>7482</v>
          </cell>
          <cell r="H30">
            <v>4338.9840000000004</v>
          </cell>
          <cell r="I30">
            <v>57.992301523656785</v>
          </cell>
          <cell r="N30">
            <v>5200</v>
          </cell>
          <cell r="O30">
            <v>506</v>
          </cell>
          <cell r="P30">
            <v>260.21799999999996</v>
          </cell>
          <cell r="T30">
            <v>7900</v>
          </cell>
          <cell r="U30">
            <v>773</v>
          </cell>
          <cell r="V30">
            <v>438.04199999999997</v>
          </cell>
          <cell r="Z30">
            <v>6400</v>
          </cell>
          <cell r="AA30">
            <v>629</v>
          </cell>
          <cell r="AB30">
            <v>361.46000000000004</v>
          </cell>
          <cell r="AF30">
            <v>6900</v>
          </cell>
          <cell r="AG30">
            <v>675</v>
          </cell>
          <cell r="AH30">
            <v>389.38900000000001</v>
          </cell>
          <cell r="AL30">
            <v>7400</v>
          </cell>
          <cell r="AM30">
            <v>723</v>
          </cell>
          <cell r="AN30">
            <v>419.47400000000005</v>
          </cell>
          <cell r="AR30">
            <v>6800</v>
          </cell>
          <cell r="AS30">
            <v>662</v>
          </cell>
          <cell r="AT30">
            <v>385.858</v>
          </cell>
          <cell r="AX30">
            <v>40600</v>
          </cell>
          <cell r="AY30">
            <v>3968</v>
          </cell>
          <cell r="AZ30">
            <v>2254.4409999999998</v>
          </cell>
          <cell r="BA30">
            <v>56.815549395161277</v>
          </cell>
          <cell r="BF30">
            <v>7500</v>
          </cell>
          <cell r="BG30">
            <v>709</v>
          </cell>
          <cell r="BH30">
            <v>417.11900000000003</v>
          </cell>
          <cell r="BL30">
            <v>6500</v>
          </cell>
          <cell r="BM30">
            <v>618</v>
          </cell>
          <cell r="BN30">
            <v>365.798</v>
          </cell>
          <cell r="BR30">
            <v>6300</v>
          </cell>
          <cell r="BS30">
            <v>609</v>
          </cell>
          <cell r="BT30">
            <v>361.322</v>
          </cell>
          <cell r="BX30">
            <v>5900</v>
          </cell>
          <cell r="BY30">
            <v>571</v>
          </cell>
          <cell r="BZ30">
            <v>340.09400000000005</v>
          </cell>
          <cell r="CD30">
            <v>5300</v>
          </cell>
          <cell r="CE30">
            <v>516</v>
          </cell>
          <cell r="CF30">
            <v>307.43299999999999</v>
          </cell>
          <cell r="CJ30">
            <v>5000</v>
          </cell>
          <cell r="CK30">
            <v>491</v>
          </cell>
          <cell r="CL30">
            <v>292.77699999999999</v>
          </cell>
          <cell r="CP30">
            <v>36500</v>
          </cell>
          <cell r="CQ30">
            <v>3514</v>
          </cell>
          <cell r="CR30">
            <v>2084.5430000000001</v>
          </cell>
          <cell r="CS30">
            <v>59.321087080250436</v>
          </cell>
          <cell r="CX30">
            <v>19500</v>
          </cell>
          <cell r="CY30">
            <v>1908</v>
          </cell>
          <cell r="CZ30">
            <v>1059.72</v>
          </cell>
          <cell r="DA30">
            <v>55.540880503144649</v>
          </cell>
          <cell r="DF30">
            <v>21100</v>
          </cell>
          <cell r="DG30">
            <v>2060</v>
          </cell>
          <cell r="DH30">
            <v>1194.721</v>
          </cell>
          <cell r="DI30">
            <v>57.996165048543688</v>
          </cell>
          <cell r="DN30">
            <v>20300</v>
          </cell>
          <cell r="DO30">
            <v>1936</v>
          </cell>
          <cell r="DP30">
            <v>1144.239</v>
          </cell>
          <cell r="DQ30">
            <v>59.103254132231406</v>
          </cell>
          <cell r="DV30">
            <v>16200</v>
          </cell>
          <cell r="DW30">
            <v>1578</v>
          </cell>
          <cell r="DX30">
            <v>940.30400000000009</v>
          </cell>
          <cell r="DY30">
            <v>59.588339670468947</v>
          </cell>
        </row>
        <row r="31">
          <cell r="F31">
            <v>0</v>
          </cell>
          <cell r="G31">
            <v>0</v>
          </cell>
          <cell r="H31">
            <v>0</v>
          </cell>
          <cell r="I31">
            <v>0</v>
          </cell>
          <cell r="AX31">
            <v>0</v>
          </cell>
          <cell r="AY31">
            <v>0</v>
          </cell>
          <cell r="AZ31">
            <v>0</v>
          </cell>
          <cell r="BA31">
            <v>0</v>
          </cell>
          <cell r="CP31">
            <v>0</v>
          </cell>
          <cell r="CQ31">
            <v>0</v>
          </cell>
          <cell r="CR31">
            <v>0</v>
          </cell>
          <cell r="CS31">
            <v>0</v>
          </cell>
          <cell r="CX31">
            <v>0</v>
          </cell>
          <cell r="CY31">
            <v>0</v>
          </cell>
          <cell r="CZ31">
            <v>0</v>
          </cell>
          <cell r="DA31">
            <v>0</v>
          </cell>
          <cell r="DF31">
            <v>0</v>
          </cell>
          <cell r="DG31">
            <v>0</v>
          </cell>
          <cell r="DH31">
            <v>0</v>
          </cell>
          <cell r="DI31">
            <v>0</v>
          </cell>
          <cell r="DN31">
            <v>0</v>
          </cell>
          <cell r="DO31">
            <v>0</v>
          </cell>
          <cell r="DP31">
            <v>0</v>
          </cell>
          <cell r="DQ31">
            <v>0</v>
          </cell>
          <cell r="DV31">
            <v>0</v>
          </cell>
          <cell r="DW31">
            <v>0</v>
          </cell>
          <cell r="DX31">
            <v>0</v>
          </cell>
          <cell r="DY31">
            <v>0</v>
          </cell>
        </row>
        <row r="32">
          <cell r="F32">
            <v>23500</v>
          </cell>
          <cell r="G32">
            <v>3789</v>
          </cell>
          <cell r="H32">
            <v>2188.0690000000004</v>
          </cell>
          <cell r="I32">
            <v>57.74792821324889</v>
          </cell>
          <cell r="N32">
            <v>1700</v>
          </cell>
          <cell r="O32">
            <v>280</v>
          </cell>
          <cell r="P32">
            <v>141.08500000000001</v>
          </cell>
          <cell r="T32">
            <v>2100</v>
          </cell>
          <cell r="U32">
            <v>346</v>
          </cell>
          <cell r="V32">
            <v>185.13900000000001</v>
          </cell>
          <cell r="Z32">
            <v>2000</v>
          </cell>
          <cell r="AA32">
            <v>329</v>
          </cell>
          <cell r="AB32">
            <v>183.00800000000001</v>
          </cell>
          <cell r="AF32">
            <v>2200</v>
          </cell>
          <cell r="AG32">
            <v>362</v>
          </cell>
          <cell r="AH32">
            <v>206.52099999999999</v>
          </cell>
          <cell r="AL32">
            <v>2600</v>
          </cell>
          <cell r="AM32">
            <v>428</v>
          </cell>
          <cell r="AN32">
            <v>249.57599999999999</v>
          </cell>
          <cell r="AR32">
            <v>2300</v>
          </cell>
          <cell r="AS32">
            <v>379</v>
          </cell>
          <cell r="AT32">
            <v>224.24100000000001</v>
          </cell>
          <cell r="AX32">
            <v>12900</v>
          </cell>
          <cell r="AY32">
            <v>2124</v>
          </cell>
          <cell r="AZ32">
            <v>1189.5700000000002</v>
          </cell>
          <cell r="BA32">
            <v>56.006120527306976</v>
          </cell>
          <cell r="BF32">
            <v>2100</v>
          </cell>
          <cell r="BG32">
            <v>330</v>
          </cell>
          <cell r="BH32">
            <v>192.36799999999999</v>
          </cell>
          <cell r="BL32">
            <v>1800</v>
          </cell>
          <cell r="BM32">
            <v>283</v>
          </cell>
          <cell r="BN32">
            <v>167.483</v>
          </cell>
          <cell r="BR32">
            <v>1800</v>
          </cell>
          <cell r="BS32">
            <v>283</v>
          </cell>
          <cell r="BT32">
            <v>169.464</v>
          </cell>
          <cell r="BX32">
            <v>1800</v>
          </cell>
          <cell r="BY32">
            <v>283</v>
          </cell>
          <cell r="BZ32">
            <v>172.09800000000001</v>
          </cell>
          <cell r="CD32">
            <v>1600</v>
          </cell>
          <cell r="CE32">
            <v>251</v>
          </cell>
          <cell r="CF32">
            <v>152.995</v>
          </cell>
          <cell r="CJ32">
            <v>1500</v>
          </cell>
          <cell r="CK32">
            <v>235</v>
          </cell>
          <cell r="CL32">
            <v>144.09100000000001</v>
          </cell>
          <cell r="CP32">
            <v>10600</v>
          </cell>
          <cell r="CQ32">
            <v>1665</v>
          </cell>
          <cell r="CR32">
            <v>998.49900000000002</v>
          </cell>
          <cell r="CS32">
            <v>59.969909909909916</v>
          </cell>
          <cell r="CX32">
            <v>5800</v>
          </cell>
          <cell r="CY32">
            <v>955</v>
          </cell>
          <cell r="CZ32">
            <v>509.23200000000008</v>
          </cell>
          <cell r="DA32">
            <v>53.322722513089019</v>
          </cell>
          <cell r="DF32">
            <v>7100</v>
          </cell>
          <cell r="DG32">
            <v>1169</v>
          </cell>
          <cell r="DH32">
            <v>680.33799999999997</v>
          </cell>
          <cell r="DI32">
            <v>58.198289136013685</v>
          </cell>
          <cell r="DN32">
            <v>5700</v>
          </cell>
          <cell r="DO32">
            <v>896</v>
          </cell>
          <cell r="DP32">
            <v>529.31500000000005</v>
          </cell>
          <cell r="DQ32">
            <v>59.075334821428584</v>
          </cell>
          <cell r="DV32">
            <v>4900</v>
          </cell>
          <cell r="DW32">
            <v>769</v>
          </cell>
          <cell r="DX32">
            <v>469.18400000000003</v>
          </cell>
          <cell r="DY32">
            <v>61.01222366710013</v>
          </cell>
        </row>
        <row r="33">
          <cell r="F33">
            <v>0</v>
          </cell>
          <cell r="G33">
            <v>0</v>
          </cell>
          <cell r="H33">
            <v>0</v>
          </cell>
          <cell r="I33">
            <v>0</v>
          </cell>
          <cell r="AX33">
            <v>0</v>
          </cell>
          <cell r="AY33">
            <v>0</v>
          </cell>
          <cell r="AZ33">
            <v>0</v>
          </cell>
          <cell r="BA33">
            <v>0</v>
          </cell>
          <cell r="CP33">
            <v>0</v>
          </cell>
          <cell r="CQ33">
            <v>0</v>
          </cell>
          <cell r="CR33">
            <v>0</v>
          </cell>
          <cell r="CS33">
            <v>0</v>
          </cell>
          <cell r="CX33">
            <v>0</v>
          </cell>
          <cell r="CY33">
            <v>0</v>
          </cell>
          <cell r="CZ33">
            <v>0</v>
          </cell>
          <cell r="DA33">
            <v>0</v>
          </cell>
          <cell r="DF33">
            <v>0</v>
          </cell>
          <cell r="DG33">
            <v>0</v>
          </cell>
          <cell r="DH33">
            <v>0</v>
          </cell>
          <cell r="DI33">
            <v>0</v>
          </cell>
          <cell r="DN33">
            <v>0</v>
          </cell>
          <cell r="DO33">
            <v>0</v>
          </cell>
          <cell r="DP33">
            <v>0</v>
          </cell>
          <cell r="DQ33">
            <v>0</v>
          </cell>
          <cell r="DV33">
            <v>0</v>
          </cell>
          <cell r="DW33">
            <v>0</v>
          </cell>
          <cell r="DX33">
            <v>0</v>
          </cell>
          <cell r="DY33">
            <v>0</v>
          </cell>
        </row>
        <row r="34">
          <cell r="F34">
            <v>38200</v>
          </cell>
          <cell r="G34">
            <v>8215</v>
          </cell>
          <cell r="H34">
            <v>4995.7000000000007</v>
          </cell>
          <cell r="I34">
            <v>60.811929397443706</v>
          </cell>
          <cell r="N34">
            <v>2300</v>
          </cell>
          <cell r="O34">
            <v>495</v>
          </cell>
          <cell r="P34">
            <v>281.851</v>
          </cell>
          <cell r="T34">
            <v>3500</v>
          </cell>
          <cell r="U34">
            <v>753</v>
          </cell>
          <cell r="V34">
            <v>430.97300000000001</v>
          </cell>
          <cell r="Z34">
            <v>3000</v>
          </cell>
          <cell r="AA34">
            <v>645</v>
          </cell>
          <cell r="AB34">
            <v>375.78300000000002</v>
          </cell>
          <cell r="AF34">
            <v>3400</v>
          </cell>
          <cell r="AG34">
            <v>731</v>
          </cell>
          <cell r="AH34">
            <v>428.01299999999998</v>
          </cell>
          <cell r="AL34">
            <v>3800</v>
          </cell>
          <cell r="AM34">
            <v>817</v>
          </cell>
          <cell r="AN34">
            <v>484.23899999999998</v>
          </cell>
          <cell r="AR34">
            <v>3500</v>
          </cell>
          <cell r="AS34">
            <v>753</v>
          </cell>
          <cell r="AT34">
            <v>450.11500000000001</v>
          </cell>
          <cell r="AX34">
            <v>19500</v>
          </cell>
          <cell r="AY34">
            <v>4194</v>
          </cell>
          <cell r="AZ34">
            <v>2450.9740000000002</v>
          </cell>
          <cell r="BA34">
            <v>58.440009537434435</v>
          </cell>
          <cell r="BF34">
            <v>3500</v>
          </cell>
          <cell r="BG34">
            <v>753</v>
          </cell>
          <cell r="BH34">
            <v>460.05700000000002</v>
          </cell>
          <cell r="BL34">
            <v>3200</v>
          </cell>
          <cell r="BM34">
            <v>688</v>
          </cell>
          <cell r="BN34">
            <v>429.07400000000001</v>
          </cell>
          <cell r="BR34">
            <v>3200</v>
          </cell>
          <cell r="BS34">
            <v>688</v>
          </cell>
          <cell r="BT34">
            <v>433.85300000000001</v>
          </cell>
          <cell r="BX34">
            <v>3000</v>
          </cell>
          <cell r="BY34">
            <v>645</v>
          </cell>
          <cell r="BZ34">
            <v>413.50400000000002</v>
          </cell>
          <cell r="CD34">
            <v>3000</v>
          </cell>
          <cell r="CE34">
            <v>645</v>
          </cell>
          <cell r="CF34">
            <v>415.11900000000003</v>
          </cell>
          <cell r="CJ34">
            <v>2800</v>
          </cell>
          <cell r="CK34">
            <v>602</v>
          </cell>
          <cell r="CL34">
            <v>393.11900000000003</v>
          </cell>
          <cell r="CP34">
            <v>18700</v>
          </cell>
          <cell r="CQ34">
            <v>4021</v>
          </cell>
          <cell r="CR34">
            <v>2544.7260000000006</v>
          </cell>
          <cell r="CS34">
            <v>63.285899030092033</v>
          </cell>
          <cell r="CX34">
            <v>8800</v>
          </cell>
          <cell r="CY34">
            <v>1893</v>
          </cell>
          <cell r="CZ34">
            <v>1088.607</v>
          </cell>
          <cell r="DA34">
            <v>57.50697305863708</v>
          </cell>
          <cell r="DF34">
            <v>10700</v>
          </cell>
          <cell r="DG34">
            <v>2301</v>
          </cell>
          <cell r="DH34">
            <v>1362.367</v>
          </cell>
          <cell r="DI34">
            <v>59.207605388961312</v>
          </cell>
          <cell r="DN34">
            <v>9900</v>
          </cell>
          <cell r="DO34">
            <v>2129</v>
          </cell>
          <cell r="DP34">
            <v>1322.9840000000002</v>
          </cell>
          <cell r="DQ34">
            <v>62.141099107562248</v>
          </cell>
          <cell r="DV34">
            <v>8800</v>
          </cell>
          <cell r="DW34">
            <v>1892</v>
          </cell>
          <cell r="DX34">
            <v>1221.7420000000002</v>
          </cell>
          <cell r="DY34">
            <v>64.574101479915441</v>
          </cell>
        </row>
        <row r="35">
          <cell r="F35">
            <v>12700</v>
          </cell>
          <cell r="G35">
            <v>2990</v>
          </cell>
          <cell r="H35">
            <v>1853.758</v>
          </cell>
          <cell r="I35">
            <v>61.998595317725758</v>
          </cell>
          <cell r="N35">
            <v>900</v>
          </cell>
          <cell r="O35">
            <v>212</v>
          </cell>
          <cell r="P35">
            <v>124.489</v>
          </cell>
          <cell r="T35">
            <v>1100</v>
          </cell>
          <cell r="U35">
            <v>259</v>
          </cell>
          <cell r="V35">
            <v>154.54400000000001</v>
          </cell>
          <cell r="Z35">
            <v>1000</v>
          </cell>
          <cell r="AA35">
            <v>235</v>
          </cell>
          <cell r="AB35">
            <v>141.90100000000001</v>
          </cell>
          <cell r="AF35">
            <v>1100</v>
          </cell>
          <cell r="AG35">
            <v>259</v>
          </cell>
          <cell r="AH35">
            <v>155.88800000000001</v>
          </cell>
          <cell r="AL35">
            <v>1300</v>
          </cell>
          <cell r="AM35">
            <v>306</v>
          </cell>
          <cell r="AN35">
            <v>186.154</v>
          </cell>
          <cell r="AR35">
            <v>1100</v>
          </cell>
          <cell r="AS35">
            <v>259</v>
          </cell>
          <cell r="AT35">
            <v>158.07300000000001</v>
          </cell>
          <cell r="AX35">
            <v>6500</v>
          </cell>
          <cell r="AY35">
            <v>1530</v>
          </cell>
          <cell r="AZ35">
            <v>921.04900000000009</v>
          </cell>
          <cell r="BA35">
            <v>60.19928104575164</v>
          </cell>
          <cell r="BF35">
            <v>1100</v>
          </cell>
          <cell r="BG35">
            <v>259</v>
          </cell>
          <cell r="BH35">
            <v>162.333</v>
          </cell>
          <cell r="BL35">
            <v>1100</v>
          </cell>
          <cell r="BM35">
            <v>259</v>
          </cell>
          <cell r="BN35">
            <v>164.57900000000001</v>
          </cell>
          <cell r="BR35">
            <v>1100</v>
          </cell>
          <cell r="BS35">
            <v>259</v>
          </cell>
          <cell r="BT35">
            <v>164.96199999999999</v>
          </cell>
          <cell r="BX35">
            <v>1100</v>
          </cell>
          <cell r="BY35">
            <v>259</v>
          </cell>
          <cell r="BZ35">
            <v>167.30699999999999</v>
          </cell>
          <cell r="CD35">
            <v>900</v>
          </cell>
          <cell r="CE35">
            <v>212</v>
          </cell>
          <cell r="CF35">
            <v>136.322</v>
          </cell>
          <cell r="CJ35">
            <v>900</v>
          </cell>
          <cell r="CK35">
            <v>212</v>
          </cell>
          <cell r="CL35">
            <v>137.20599999999999</v>
          </cell>
          <cell r="CP35">
            <v>6200</v>
          </cell>
          <cell r="CQ35">
            <v>1460</v>
          </cell>
          <cell r="CR35">
            <v>932.70899999999995</v>
          </cell>
          <cell r="CS35">
            <v>63.884178082191781</v>
          </cell>
          <cell r="CX35">
            <v>3000</v>
          </cell>
          <cell r="CY35">
            <v>706</v>
          </cell>
          <cell r="CZ35">
            <v>420.93400000000003</v>
          </cell>
          <cell r="DA35">
            <v>59.62237960339943</v>
          </cell>
          <cell r="DF35">
            <v>3500</v>
          </cell>
          <cell r="DG35">
            <v>824</v>
          </cell>
          <cell r="DH35">
            <v>500.11500000000001</v>
          </cell>
          <cell r="DI35">
            <v>60.693567961165051</v>
          </cell>
          <cell r="DN35">
            <v>3300</v>
          </cell>
          <cell r="DO35">
            <v>777</v>
          </cell>
          <cell r="DP35">
            <v>491.87400000000002</v>
          </cell>
          <cell r="DQ35">
            <v>63.304247104247104</v>
          </cell>
          <cell r="DV35">
            <v>2900</v>
          </cell>
          <cell r="DW35">
            <v>683</v>
          </cell>
          <cell r="DX35">
            <v>440.83500000000004</v>
          </cell>
          <cell r="DY35">
            <v>64.543923865300158</v>
          </cell>
        </row>
        <row r="36">
          <cell r="F36">
            <v>0</v>
          </cell>
          <cell r="G36">
            <v>0</v>
          </cell>
          <cell r="H36">
            <v>0</v>
          </cell>
          <cell r="I36">
            <v>0</v>
          </cell>
          <cell r="N36">
            <v>0</v>
          </cell>
          <cell r="O36">
            <v>0</v>
          </cell>
          <cell r="T36">
            <v>0</v>
          </cell>
          <cell r="U36">
            <v>0</v>
          </cell>
          <cell r="Z36">
            <v>0</v>
          </cell>
          <cell r="AA36">
            <v>0</v>
          </cell>
          <cell r="AF36">
            <v>0</v>
          </cell>
          <cell r="AG36">
            <v>0</v>
          </cell>
          <cell r="AL36">
            <v>0</v>
          </cell>
          <cell r="AM36">
            <v>0</v>
          </cell>
          <cell r="AR36">
            <v>0</v>
          </cell>
          <cell r="AS36">
            <v>0</v>
          </cell>
          <cell r="AX36">
            <v>0</v>
          </cell>
          <cell r="AY36">
            <v>0</v>
          </cell>
          <cell r="AZ36">
            <v>0</v>
          </cell>
          <cell r="BA36">
            <v>0</v>
          </cell>
          <cell r="BF36">
            <v>0</v>
          </cell>
          <cell r="BG36">
            <v>0</v>
          </cell>
          <cell r="BL36">
            <v>0</v>
          </cell>
          <cell r="BM36">
            <v>0</v>
          </cell>
          <cell r="BR36">
            <v>0</v>
          </cell>
          <cell r="BS36">
            <v>0</v>
          </cell>
          <cell r="BX36">
            <v>0</v>
          </cell>
          <cell r="BY36">
            <v>0</v>
          </cell>
          <cell r="CD36">
            <v>0</v>
          </cell>
          <cell r="CE36">
            <v>0</v>
          </cell>
          <cell r="CJ36">
            <v>0</v>
          </cell>
          <cell r="CK36">
            <v>0</v>
          </cell>
          <cell r="CP36">
            <v>0</v>
          </cell>
          <cell r="CQ36">
            <v>0</v>
          </cell>
          <cell r="CR36">
            <v>0</v>
          </cell>
          <cell r="CS36">
            <v>0</v>
          </cell>
          <cell r="CX36">
            <v>0</v>
          </cell>
          <cell r="CY36">
            <v>0</v>
          </cell>
          <cell r="CZ36">
            <v>0</v>
          </cell>
          <cell r="DA36">
            <v>0</v>
          </cell>
          <cell r="DF36">
            <v>0</v>
          </cell>
          <cell r="DG36">
            <v>0</v>
          </cell>
          <cell r="DH36">
            <v>0</v>
          </cell>
          <cell r="DI36">
            <v>0</v>
          </cell>
          <cell r="DN36">
            <v>0</v>
          </cell>
          <cell r="DO36">
            <v>0</v>
          </cell>
          <cell r="DP36">
            <v>0</v>
          </cell>
          <cell r="DQ36">
            <v>0</v>
          </cell>
          <cell r="DV36">
            <v>0</v>
          </cell>
          <cell r="DW36">
            <v>0</v>
          </cell>
          <cell r="DX36">
            <v>0</v>
          </cell>
          <cell r="DY36">
            <v>0</v>
          </cell>
        </row>
        <row r="37">
          <cell r="F37">
            <v>37800</v>
          </cell>
          <cell r="G37">
            <v>8131</v>
          </cell>
          <cell r="H37">
            <v>4267.4889999999996</v>
          </cell>
          <cell r="I37">
            <v>52.484183987209441</v>
          </cell>
          <cell r="N37">
            <v>2500</v>
          </cell>
          <cell r="O37">
            <v>538</v>
          </cell>
          <cell r="P37">
            <v>248.84100000000001</v>
          </cell>
          <cell r="T37">
            <v>3200</v>
          </cell>
          <cell r="U37">
            <v>688</v>
          </cell>
          <cell r="V37">
            <v>327.29700000000003</v>
          </cell>
          <cell r="Z37">
            <v>2900</v>
          </cell>
          <cell r="AA37">
            <v>624</v>
          </cell>
          <cell r="AB37">
            <v>308.2</v>
          </cell>
          <cell r="AF37">
            <v>3300</v>
          </cell>
          <cell r="AG37">
            <v>710</v>
          </cell>
          <cell r="AH37">
            <v>357.041</v>
          </cell>
          <cell r="AL37">
            <v>3600</v>
          </cell>
          <cell r="AM37">
            <v>774</v>
          </cell>
          <cell r="AN37">
            <v>396.161</v>
          </cell>
          <cell r="AR37">
            <v>3300</v>
          </cell>
          <cell r="AS37">
            <v>710</v>
          </cell>
          <cell r="AT37">
            <v>369.08300000000003</v>
          </cell>
          <cell r="AX37">
            <v>18800</v>
          </cell>
          <cell r="AY37">
            <v>4044</v>
          </cell>
          <cell r="AZ37">
            <v>2006.623</v>
          </cell>
          <cell r="BA37">
            <v>49.619757665677547</v>
          </cell>
          <cell r="BF37">
            <v>3500</v>
          </cell>
          <cell r="BG37">
            <v>753</v>
          </cell>
          <cell r="BH37">
            <v>398.41800000000001</v>
          </cell>
          <cell r="BL37">
            <v>3300</v>
          </cell>
          <cell r="BM37">
            <v>710</v>
          </cell>
          <cell r="BN37">
            <v>383.21699999999998</v>
          </cell>
          <cell r="BR37">
            <v>3200</v>
          </cell>
          <cell r="BS37">
            <v>688</v>
          </cell>
          <cell r="BT37">
            <v>378.36599999999999</v>
          </cell>
          <cell r="BX37">
            <v>3100</v>
          </cell>
          <cell r="BY37">
            <v>667</v>
          </cell>
          <cell r="BZ37">
            <v>374.55799999999999</v>
          </cell>
          <cell r="CD37">
            <v>3000</v>
          </cell>
          <cell r="CE37">
            <v>645</v>
          </cell>
          <cell r="CF37">
            <v>366.33800000000002</v>
          </cell>
          <cell r="CJ37">
            <v>2900</v>
          </cell>
          <cell r="CK37">
            <v>624</v>
          </cell>
          <cell r="CL37">
            <v>359.96899999999999</v>
          </cell>
          <cell r="CP37">
            <v>19000</v>
          </cell>
          <cell r="CQ37">
            <v>4087</v>
          </cell>
          <cell r="CR37">
            <v>2260.866</v>
          </cell>
          <cell r="CS37">
            <v>55.318473207731834</v>
          </cell>
          <cell r="CX37">
            <v>8600</v>
          </cell>
          <cell r="CY37">
            <v>1850</v>
          </cell>
          <cell r="CZ37">
            <v>884.33799999999997</v>
          </cell>
          <cell r="DA37">
            <v>47.802054054054047</v>
          </cell>
          <cell r="DF37">
            <v>10200</v>
          </cell>
          <cell r="DG37">
            <v>2194</v>
          </cell>
          <cell r="DH37">
            <v>1122.2850000000001</v>
          </cell>
          <cell r="DI37">
            <v>51.152461257976299</v>
          </cell>
          <cell r="DN37">
            <v>10000</v>
          </cell>
          <cell r="DO37">
            <v>2151</v>
          </cell>
          <cell r="DP37">
            <v>1160.001</v>
          </cell>
          <cell r="DQ37">
            <v>53.928451882845188</v>
          </cell>
          <cell r="DV37">
            <v>9000</v>
          </cell>
          <cell r="DW37">
            <v>1936</v>
          </cell>
          <cell r="DX37">
            <v>1100.865</v>
          </cell>
          <cell r="DY37">
            <v>56.862861570247937</v>
          </cell>
        </row>
        <row r="38">
          <cell r="F38">
            <v>0</v>
          </cell>
          <cell r="G38">
            <v>0</v>
          </cell>
          <cell r="H38">
            <v>0</v>
          </cell>
          <cell r="I38">
            <v>0</v>
          </cell>
          <cell r="N38">
            <v>0</v>
          </cell>
          <cell r="O38">
            <v>0</v>
          </cell>
          <cell r="T38">
            <v>0</v>
          </cell>
          <cell r="U38">
            <v>0</v>
          </cell>
          <cell r="Z38">
            <v>0</v>
          </cell>
          <cell r="AA38">
            <v>0</v>
          </cell>
          <cell r="AF38">
            <v>0</v>
          </cell>
          <cell r="AG38">
            <v>0</v>
          </cell>
          <cell r="AL38">
            <v>0</v>
          </cell>
          <cell r="AM38">
            <v>0</v>
          </cell>
          <cell r="AR38">
            <v>0</v>
          </cell>
          <cell r="AS38">
            <v>0</v>
          </cell>
          <cell r="AX38">
            <v>0</v>
          </cell>
          <cell r="AY38">
            <v>0</v>
          </cell>
          <cell r="AZ38">
            <v>0</v>
          </cell>
          <cell r="BA38">
            <v>0</v>
          </cell>
          <cell r="BF38">
            <v>0</v>
          </cell>
          <cell r="BG38">
            <v>0</v>
          </cell>
          <cell r="BL38">
            <v>0</v>
          </cell>
          <cell r="BM38">
            <v>0</v>
          </cell>
          <cell r="BR38">
            <v>0</v>
          </cell>
          <cell r="BS38">
            <v>0</v>
          </cell>
          <cell r="BX38">
            <v>0</v>
          </cell>
          <cell r="BY38">
            <v>0</v>
          </cell>
          <cell r="CD38">
            <v>0</v>
          </cell>
          <cell r="CE38">
            <v>0</v>
          </cell>
          <cell r="CJ38">
            <v>0</v>
          </cell>
          <cell r="CK38">
            <v>0</v>
          </cell>
          <cell r="CP38">
            <v>0</v>
          </cell>
          <cell r="CQ38">
            <v>0</v>
          </cell>
          <cell r="CR38">
            <v>0</v>
          </cell>
          <cell r="CS38">
            <v>0</v>
          </cell>
          <cell r="CX38">
            <v>0</v>
          </cell>
          <cell r="CY38">
            <v>0</v>
          </cell>
          <cell r="CZ38">
            <v>0</v>
          </cell>
          <cell r="DA38">
            <v>0</v>
          </cell>
          <cell r="DF38">
            <v>0</v>
          </cell>
          <cell r="DG38">
            <v>0</v>
          </cell>
          <cell r="DH38">
            <v>0</v>
          </cell>
          <cell r="DI38">
            <v>0</v>
          </cell>
          <cell r="DN38">
            <v>0</v>
          </cell>
          <cell r="DO38">
            <v>0</v>
          </cell>
          <cell r="DP38">
            <v>0</v>
          </cell>
          <cell r="DQ38">
            <v>0</v>
          </cell>
          <cell r="DV38">
            <v>0</v>
          </cell>
          <cell r="DW38">
            <v>0</v>
          </cell>
          <cell r="DX38">
            <v>0</v>
          </cell>
          <cell r="DY38">
            <v>0</v>
          </cell>
        </row>
        <row r="39">
          <cell r="F39">
            <v>32800</v>
          </cell>
          <cell r="G39">
            <v>4920</v>
          </cell>
          <cell r="H39">
            <v>2782.1850000000004</v>
          </cell>
          <cell r="I39">
            <v>56.54847560975611</v>
          </cell>
          <cell r="N39">
            <v>2100</v>
          </cell>
          <cell r="O39">
            <v>315</v>
          </cell>
          <cell r="P39">
            <v>161.816</v>
          </cell>
          <cell r="T39">
            <v>3200</v>
          </cell>
          <cell r="U39">
            <v>480</v>
          </cell>
          <cell r="V39">
            <v>259.62400000000002</v>
          </cell>
          <cell r="Z39">
            <v>2700</v>
          </cell>
          <cell r="AA39">
            <v>405</v>
          </cell>
          <cell r="AB39">
            <v>223.696</v>
          </cell>
          <cell r="AF39">
            <v>2900</v>
          </cell>
          <cell r="AG39">
            <v>435</v>
          </cell>
          <cell r="AH39">
            <v>242.227</v>
          </cell>
          <cell r="AL39">
            <v>3300</v>
          </cell>
          <cell r="AM39">
            <v>495</v>
          </cell>
          <cell r="AN39">
            <v>278.40199999999999</v>
          </cell>
          <cell r="AR39">
            <v>2900</v>
          </cell>
          <cell r="AS39">
            <v>435</v>
          </cell>
          <cell r="AT39">
            <v>246.375</v>
          </cell>
          <cell r="AX39">
            <v>17100</v>
          </cell>
          <cell r="AY39">
            <v>2565</v>
          </cell>
          <cell r="AZ39">
            <v>1412.14</v>
          </cell>
          <cell r="BA39">
            <v>55.054191033138409</v>
          </cell>
          <cell r="BF39">
            <v>3100</v>
          </cell>
          <cell r="BG39">
            <v>465</v>
          </cell>
          <cell r="BH39">
            <v>266.25299999999999</v>
          </cell>
          <cell r="BL39">
            <v>2900</v>
          </cell>
          <cell r="BM39">
            <v>435</v>
          </cell>
          <cell r="BN39">
            <v>251.15199999999999</v>
          </cell>
          <cell r="BR39">
            <v>2700</v>
          </cell>
          <cell r="BS39">
            <v>405</v>
          </cell>
          <cell r="BT39">
            <v>235.21100000000001</v>
          </cell>
          <cell r="BX39">
            <v>2700</v>
          </cell>
          <cell r="BY39">
            <v>405</v>
          </cell>
          <cell r="BZ39">
            <v>237.87700000000001</v>
          </cell>
          <cell r="CD39">
            <v>2200</v>
          </cell>
          <cell r="CE39">
            <v>330</v>
          </cell>
          <cell r="CF39">
            <v>194.15899999999999</v>
          </cell>
          <cell r="CJ39">
            <v>2100</v>
          </cell>
          <cell r="CK39">
            <v>315</v>
          </cell>
          <cell r="CL39">
            <v>185.393</v>
          </cell>
          <cell r="CP39">
            <v>15700</v>
          </cell>
          <cell r="CQ39">
            <v>2355</v>
          </cell>
          <cell r="CR39">
            <v>1370.0450000000001</v>
          </cell>
          <cell r="CS39">
            <v>58.176008492569011</v>
          </cell>
          <cell r="CX39">
            <v>8000</v>
          </cell>
          <cell r="CY39">
            <v>1200</v>
          </cell>
          <cell r="CZ39">
            <v>645.13600000000008</v>
          </cell>
          <cell r="DA39">
            <v>53.76133333333334</v>
          </cell>
          <cell r="DF39">
            <v>9100</v>
          </cell>
          <cell r="DG39">
            <v>1365</v>
          </cell>
          <cell r="DH39">
            <v>767.00400000000002</v>
          </cell>
          <cell r="DI39">
            <v>56.190769230769234</v>
          </cell>
          <cell r="DN39">
            <v>8700</v>
          </cell>
          <cell r="DO39">
            <v>1305</v>
          </cell>
          <cell r="DP39">
            <v>752.61599999999999</v>
          </cell>
          <cell r="DQ39">
            <v>57.671724137931037</v>
          </cell>
          <cell r="DV39">
            <v>7000</v>
          </cell>
          <cell r="DW39">
            <v>1050</v>
          </cell>
          <cell r="DX39">
            <v>617.42899999999997</v>
          </cell>
          <cell r="DY39">
            <v>58.802761904761901</v>
          </cell>
        </row>
        <row r="40">
          <cell r="F40">
            <v>0</v>
          </cell>
          <cell r="G40">
            <v>0</v>
          </cell>
          <cell r="H40">
            <v>0</v>
          </cell>
          <cell r="I40">
            <v>0</v>
          </cell>
          <cell r="AX40">
            <v>0</v>
          </cell>
          <cell r="AY40">
            <v>0</v>
          </cell>
          <cell r="AZ40">
            <v>0</v>
          </cell>
          <cell r="BA40">
            <v>0</v>
          </cell>
          <cell r="CP40">
            <v>0</v>
          </cell>
          <cell r="CQ40">
            <v>0</v>
          </cell>
          <cell r="CR40">
            <v>0</v>
          </cell>
          <cell r="CS40">
            <v>0</v>
          </cell>
          <cell r="CX40">
            <v>0</v>
          </cell>
          <cell r="CY40">
            <v>0</v>
          </cell>
          <cell r="CZ40">
            <v>0</v>
          </cell>
          <cell r="DA40">
            <v>0</v>
          </cell>
          <cell r="DF40">
            <v>0</v>
          </cell>
          <cell r="DG40">
            <v>0</v>
          </cell>
          <cell r="DH40">
            <v>0</v>
          </cell>
          <cell r="DI40">
            <v>0</v>
          </cell>
          <cell r="DN40">
            <v>0</v>
          </cell>
          <cell r="DO40">
            <v>0</v>
          </cell>
          <cell r="DP40">
            <v>0</v>
          </cell>
          <cell r="DQ40">
            <v>0</v>
          </cell>
          <cell r="DV40">
            <v>0</v>
          </cell>
          <cell r="DW40">
            <v>0</v>
          </cell>
          <cell r="DX40">
            <v>0</v>
          </cell>
          <cell r="DY40">
            <v>0</v>
          </cell>
        </row>
        <row r="41">
          <cell r="F41">
            <v>0</v>
          </cell>
          <cell r="G41">
            <v>0</v>
          </cell>
          <cell r="H41">
            <v>0</v>
          </cell>
          <cell r="I41">
            <v>0</v>
          </cell>
          <cell r="N41">
            <v>0</v>
          </cell>
          <cell r="O41">
            <v>0</v>
          </cell>
          <cell r="T41">
            <v>0</v>
          </cell>
          <cell r="U41">
            <v>0</v>
          </cell>
          <cell r="Z41">
            <v>0</v>
          </cell>
          <cell r="AA41">
            <v>0</v>
          </cell>
          <cell r="AF41">
            <v>0</v>
          </cell>
          <cell r="AG41">
            <v>0</v>
          </cell>
          <cell r="AL41">
            <v>0</v>
          </cell>
          <cell r="AM41">
            <v>0</v>
          </cell>
          <cell r="AR41">
            <v>0</v>
          </cell>
          <cell r="AS41">
            <v>0</v>
          </cell>
          <cell r="AX41">
            <v>0</v>
          </cell>
          <cell r="AY41">
            <v>0</v>
          </cell>
          <cell r="AZ41">
            <v>0</v>
          </cell>
          <cell r="BA41">
            <v>0</v>
          </cell>
          <cell r="BF41">
            <v>0</v>
          </cell>
          <cell r="BG41">
            <v>0</v>
          </cell>
          <cell r="BL41">
            <v>0</v>
          </cell>
          <cell r="BM41">
            <v>0</v>
          </cell>
          <cell r="BR41">
            <v>0</v>
          </cell>
          <cell r="BS41">
            <v>0</v>
          </cell>
          <cell r="BX41">
            <v>0</v>
          </cell>
          <cell r="BY41">
            <v>0</v>
          </cell>
          <cell r="CD41">
            <v>0</v>
          </cell>
          <cell r="CE41">
            <v>0</v>
          </cell>
          <cell r="CJ41">
            <v>0</v>
          </cell>
          <cell r="CK41">
            <v>0</v>
          </cell>
          <cell r="CP41">
            <v>0</v>
          </cell>
          <cell r="CQ41">
            <v>0</v>
          </cell>
          <cell r="CR41">
            <v>0</v>
          </cell>
          <cell r="CS41">
            <v>0</v>
          </cell>
          <cell r="CX41">
            <v>0</v>
          </cell>
          <cell r="CY41">
            <v>0</v>
          </cell>
          <cell r="CZ41">
            <v>0</v>
          </cell>
          <cell r="DA41">
            <v>0</v>
          </cell>
          <cell r="DF41">
            <v>0</v>
          </cell>
          <cell r="DG41">
            <v>0</v>
          </cell>
          <cell r="DH41">
            <v>0</v>
          </cell>
          <cell r="DI41">
            <v>0</v>
          </cell>
          <cell r="DN41">
            <v>0</v>
          </cell>
          <cell r="DO41">
            <v>0</v>
          </cell>
          <cell r="DP41">
            <v>0</v>
          </cell>
          <cell r="DQ41">
            <v>0</v>
          </cell>
          <cell r="DV41">
            <v>0</v>
          </cell>
          <cell r="DW41">
            <v>0</v>
          </cell>
          <cell r="DX41">
            <v>0</v>
          </cell>
          <cell r="DY41">
            <v>0</v>
          </cell>
        </row>
        <row r="42">
          <cell r="F42">
            <v>0</v>
          </cell>
          <cell r="G42">
            <v>0</v>
          </cell>
          <cell r="H42">
            <v>0</v>
          </cell>
          <cell r="I42">
            <v>0</v>
          </cell>
          <cell r="AX42">
            <v>0</v>
          </cell>
          <cell r="AY42">
            <v>0</v>
          </cell>
          <cell r="AZ42">
            <v>0</v>
          </cell>
          <cell r="BA42">
            <v>0</v>
          </cell>
          <cell r="CP42">
            <v>0</v>
          </cell>
          <cell r="CQ42">
            <v>0</v>
          </cell>
          <cell r="CR42">
            <v>0</v>
          </cell>
          <cell r="CS42">
            <v>0</v>
          </cell>
          <cell r="CX42">
            <v>0</v>
          </cell>
          <cell r="CY42">
            <v>0</v>
          </cell>
          <cell r="CZ42">
            <v>0</v>
          </cell>
          <cell r="DA42">
            <v>0</v>
          </cell>
          <cell r="DF42">
            <v>0</v>
          </cell>
          <cell r="DG42">
            <v>0</v>
          </cell>
          <cell r="DH42">
            <v>0</v>
          </cell>
          <cell r="DI42">
            <v>0</v>
          </cell>
          <cell r="DN42">
            <v>0</v>
          </cell>
          <cell r="DO42">
            <v>0</v>
          </cell>
          <cell r="DP42">
            <v>0</v>
          </cell>
          <cell r="DQ42">
            <v>0</v>
          </cell>
          <cell r="DV42">
            <v>0</v>
          </cell>
          <cell r="DW42">
            <v>0</v>
          </cell>
          <cell r="DX42">
            <v>0</v>
          </cell>
          <cell r="DY42">
            <v>0</v>
          </cell>
        </row>
        <row r="43">
          <cell r="F43">
            <v>0</v>
          </cell>
          <cell r="G43">
            <v>0</v>
          </cell>
          <cell r="H43">
            <v>0</v>
          </cell>
          <cell r="I43">
            <v>0</v>
          </cell>
          <cell r="AX43">
            <v>0</v>
          </cell>
          <cell r="AY43">
            <v>0</v>
          </cell>
          <cell r="AZ43">
            <v>0</v>
          </cell>
          <cell r="BA43">
            <v>0</v>
          </cell>
          <cell r="CP43">
            <v>0</v>
          </cell>
          <cell r="CQ43">
            <v>0</v>
          </cell>
          <cell r="CR43">
            <v>0</v>
          </cell>
          <cell r="CS43">
            <v>0</v>
          </cell>
          <cell r="CX43">
            <v>0</v>
          </cell>
          <cell r="CY43">
            <v>0</v>
          </cell>
          <cell r="CZ43">
            <v>0</v>
          </cell>
          <cell r="DA43">
            <v>0</v>
          </cell>
          <cell r="DF43">
            <v>0</v>
          </cell>
          <cell r="DG43">
            <v>0</v>
          </cell>
          <cell r="DH43">
            <v>0</v>
          </cell>
          <cell r="DI43">
            <v>0</v>
          </cell>
          <cell r="DN43">
            <v>0</v>
          </cell>
          <cell r="DO43">
            <v>0</v>
          </cell>
          <cell r="DP43">
            <v>0</v>
          </cell>
          <cell r="DQ43">
            <v>0</v>
          </cell>
          <cell r="DV43">
            <v>0</v>
          </cell>
          <cell r="DW43">
            <v>0</v>
          </cell>
          <cell r="DX43">
            <v>0</v>
          </cell>
          <cell r="DY43">
            <v>0</v>
          </cell>
        </row>
        <row r="44">
          <cell r="F44">
            <v>0</v>
          </cell>
          <cell r="G44">
            <v>0</v>
          </cell>
          <cell r="H44">
            <v>0</v>
          </cell>
          <cell r="I44">
            <v>0</v>
          </cell>
          <cell r="N44">
            <v>0</v>
          </cell>
          <cell r="O44">
            <v>0</v>
          </cell>
          <cell r="T44">
            <v>0</v>
          </cell>
          <cell r="U44">
            <v>0</v>
          </cell>
          <cell r="Z44">
            <v>0</v>
          </cell>
          <cell r="AA44">
            <v>0</v>
          </cell>
          <cell r="AF44">
            <v>0</v>
          </cell>
          <cell r="AG44">
            <v>0</v>
          </cell>
          <cell r="AL44">
            <v>0</v>
          </cell>
          <cell r="AM44">
            <v>0</v>
          </cell>
          <cell r="AR44">
            <v>0</v>
          </cell>
          <cell r="AS44">
            <v>0</v>
          </cell>
          <cell r="AX44">
            <v>0</v>
          </cell>
          <cell r="AY44">
            <v>0</v>
          </cell>
          <cell r="AZ44">
            <v>0</v>
          </cell>
          <cell r="BA44">
            <v>0</v>
          </cell>
          <cell r="BF44">
            <v>0</v>
          </cell>
          <cell r="BG44">
            <v>0</v>
          </cell>
          <cell r="BL44">
            <v>0</v>
          </cell>
          <cell r="BM44">
            <v>0</v>
          </cell>
          <cell r="BR44">
            <v>0</v>
          </cell>
          <cell r="BS44">
            <v>0</v>
          </cell>
          <cell r="BX44">
            <v>0</v>
          </cell>
          <cell r="BY44">
            <v>0</v>
          </cell>
          <cell r="CD44">
            <v>0</v>
          </cell>
          <cell r="CE44">
            <v>0</v>
          </cell>
          <cell r="CJ44">
            <v>0</v>
          </cell>
          <cell r="CK44">
            <v>0</v>
          </cell>
          <cell r="CP44">
            <v>0</v>
          </cell>
          <cell r="CQ44">
            <v>0</v>
          </cell>
          <cell r="CR44">
            <v>0</v>
          </cell>
          <cell r="CS44">
            <v>0</v>
          </cell>
          <cell r="CX44">
            <v>0</v>
          </cell>
          <cell r="CY44">
            <v>0</v>
          </cell>
          <cell r="CZ44">
            <v>0</v>
          </cell>
          <cell r="DA44">
            <v>0</v>
          </cell>
          <cell r="DF44">
            <v>0</v>
          </cell>
          <cell r="DG44">
            <v>0</v>
          </cell>
          <cell r="DH44">
            <v>0</v>
          </cell>
          <cell r="DI44">
            <v>0</v>
          </cell>
          <cell r="DN44">
            <v>0</v>
          </cell>
          <cell r="DO44">
            <v>0</v>
          </cell>
          <cell r="DP44">
            <v>0</v>
          </cell>
          <cell r="DQ44">
            <v>0</v>
          </cell>
          <cell r="DV44">
            <v>0</v>
          </cell>
          <cell r="DW44">
            <v>0</v>
          </cell>
          <cell r="DX44">
            <v>0</v>
          </cell>
          <cell r="DY44">
            <v>0</v>
          </cell>
        </row>
        <row r="45">
          <cell r="F45">
            <v>29700</v>
          </cell>
          <cell r="G45">
            <v>5795</v>
          </cell>
          <cell r="H45">
            <v>3472.06</v>
          </cell>
          <cell r="I45">
            <v>59.914754098360653</v>
          </cell>
          <cell r="N45">
            <v>1800</v>
          </cell>
          <cell r="O45">
            <v>351</v>
          </cell>
          <cell r="P45">
            <v>194.518</v>
          </cell>
          <cell r="T45">
            <v>3100</v>
          </cell>
          <cell r="U45">
            <v>605</v>
          </cell>
          <cell r="V45">
            <v>347.072</v>
          </cell>
          <cell r="Z45">
            <v>2800</v>
          </cell>
          <cell r="AA45">
            <v>546</v>
          </cell>
          <cell r="AB45">
            <v>320.26600000000002</v>
          </cell>
          <cell r="AF45">
            <v>2900</v>
          </cell>
          <cell r="AG45">
            <v>566</v>
          </cell>
          <cell r="AH45">
            <v>336.9</v>
          </cell>
          <cell r="AL45">
            <v>3200</v>
          </cell>
          <cell r="AM45">
            <v>624</v>
          </cell>
          <cell r="AN45">
            <v>374.95499999999998</v>
          </cell>
          <cell r="AR45">
            <v>2900</v>
          </cell>
          <cell r="AS45">
            <v>566</v>
          </cell>
          <cell r="AT45">
            <v>342.83</v>
          </cell>
          <cell r="AX45">
            <v>16700</v>
          </cell>
          <cell r="AY45">
            <v>3258</v>
          </cell>
          <cell r="AZ45">
            <v>1916.5410000000002</v>
          </cell>
          <cell r="BA45">
            <v>58.825690607734813</v>
          </cell>
          <cell r="BF45">
            <v>2700</v>
          </cell>
          <cell r="BG45">
            <v>527</v>
          </cell>
          <cell r="BH45">
            <v>320.54399999999998</v>
          </cell>
          <cell r="BL45">
            <v>2400</v>
          </cell>
          <cell r="BM45">
            <v>468</v>
          </cell>
          <cell r="BN45">
            <v>285.52699999999999</v>
          </cell>
          <cell r="BR45">
            <v>2300</v>
          </cell>
          <cell r="BS45">
            <v>449</v>
          </cell>
          <cell r="BT45">
            <v>274.99</v>
          </cell>
          <cell r="BX45">
            <v>2100</v>
          </cell>
          <cell r="BY45">
            <v>410</v>
          </cell>
          <cell r="BZ45">
            <v>252.571</v>
          </cell>
          <cell r="CD45">
            <v>1800</v>
          </cell>
          <cell r="CE45">
            <v>351</v>
          </cell>
          <cell r="CF45">
            <v>216.346</v>
          </cell>
          <cell r="CJ45">
            <v>1700</v>
          </cell>
          <cell r="CK45">
            <v>332</v>
          </cell>
          <cell r="CL45">
            <v>205.541</v>
          </cell>
          <cell r="CP45">
            <v>13000</v>
          </cell>
          <cell r="CQ45">
            <v>2537</v>
          </cell>
          <cell r="CR45">
            <v>1555.5189999999998</v>
          </cell>
          <cell r="CS45">
            <v>61.313322822230973</v>
          </cell>
          <cell r="CX45">
            <v>7700</v>
          </cell>
          <cell r="CY45">
            <v>1502</v>
          </cell>
          <cell r="CZ45">
            <v>861.85599999999999</v>
          </cell>
          <cell r="DA45">
            <v>57.380559254327565</v>
          </cell>
          <cell r="DF45">
            <v>9000</v>
          </cell>
          <cell r="DG45">
            <v>1756</v>
          </cell>
          <cell r="DH45">
            <v>1054.6849999999999</v>
          </cell>
          <cell r="DI45">
            <v>60.061788154897485</v>
          </cell>
          <cell r="DN45">
            <v>7400</v>
          </cell>
          <cell r="DO45">
            <v>1444</v>
          </cell>
          <cell r="DP45">
            <v>881.06099999999992</v>
          </cell>
          <cell r="DQ45">
            <v>61.015304709141269</v>
          </cell>
          <cell r="DV45">
            <v>5600</v>
          </cell>
          <cell r="DW45">
            <v>1093</v>
          </cell>
          <cell r="DX45">
            <v>674.45800000000008</v>
          </cell>
          <cell r="DY45">
            <v>61.70704483074109</v>
          </cell>
        </row>
        <row r="46">
          <cell r="F46">
            <v>0</v>
          </cell>
          <cell r="G46">
            <v>0</v>
          </cell>
          <cell r="H46">
            <v>0</v>
          </cell>
          <cell r="I46">
            <v>0</v>
          </cell>
          <cell r="AX46">
            <v>0</v>
          </cell>
          <cell r="AY46">
            <v>0</v>
          </cell>
          <cell r="AZ46">
            <v>0</v>
          </cell>
          <cell r="BA46">
            <v>0</v>
          </cell>
          <cell r="CP46">
            <v>0</v>
          </cell>
          <cell r="CQ46">
            <v>0</v>
          </cell>
          <cell r="CR46">
            <v>0</v>
          </cell>
          <cell r="CS46">
            <v>0</v>
          </cell>
          <cell r="CX46">
            <v>0</v>
          </cell>
          <cell r="CY46">
            <v>0</v>
          </cell>
          <cell r="CZ46">
            <v>0</v>
          </cell>
          <cell r="DA46">
            <v>0</v>
          </cell>
          <cell r="DF46">
            <v>0</v>
          </cell>
          <cell r="DG46">
            <v>0</v>
          </cell>
          <cell r="DH46">
            <v>0</v>
          </cell>
          <cell r="DI46">
            <v>0</v>
          </cell>
          <cell r="DN46">
            <v>0</v>
          </cell>
          <cell r="DO46">
            <v>0</v>
          </cell>
          <cell r="DP46">
            <v>0</v>
          </cell>
          <cell r="DQ46">
            <v>0</v>
          </cell>
          <cell r="DV46">
            <v>0</v>
          </cell>
          <cell r="DW46">
            <v>0</v>
          </cell>
          <cell r="DX46">
            <v>0</v>
          </cell>
          <cell r="DY46">
            <v>0</v>
          </cell>
        </row>
        <row r="47">
          <cell r="F47">
            <v>4500</v>
          </cell>
          <cell r="G47">
            <v>1008</v>
          </cell>
          <cell r="H47">
            <v>573.64700000000005</v>
          </cell>
          <cell r="I47">
            <v>56.909424603174607</v>
          </cell>
          <cell r="N47">
            <v>0</v>
          </cell>
          <cell r="O47">
            <v>0</v>
          </cell>
          <cell r="P47">
            <v>0</v>
          </cell>
          <cell r="T47">
            <v>0</v>
          </cell>
          <cell r="U47">
            <v>0</v>
          </cell>
          <cell r="V47">
            <v>0</v>
          </cell>
          <cell r="Z47">
            <v>0</v>
          </cell>
          <cell r="AA47">
            <v>0</v>
          </cell>
          <cell r="AB47">
            <v>0</v>
          </cell>
          <cell r="AF47">
            <v>0</v>
          </cell>
          <cell r="AG47">
            <v>0</v>
          </cell>
          <cell r="AH47">
            <v>0</v>
          </cell>
          <cell r="AL47">
            <v>0</v>
          </cell>
          <cell r="AM47">
            <v>0</v>
          </cell>
          <cell r="AN47">
            <v>0</v>
          </cell>
          <cell r="AR47">
            <v>0</v>
          </cell>
          <cell r="AS47">
            <v>0</v>
          </cell>
          <cell r="AT47">
            <v>0</v>
          </cell>
          <cell r="AX47">
            <v>0</v>
          </cell>
          <cell r="AY47">
            <v>0</v>
          </cell>
          <cell r="AZ47">
            <v>0</v>
          </cell>
          <cell r="BA47">
            <v>0</v>
          </cell>
          <cell r="BF47">
            <v>0</v>
          </cell>
          <cell r="BG47">
            <v>0</v>
          </cell>
          <cell r="BH47">
            <v>0</v>
          </cell>
          <cell r="BL47">
            <v>0</v>
          </cell>
          <cell r="BM47">
            <v>0</v>
          </cell>
          <cell r="BN47">
            <v>0</v>
          </cell>
          <cell r="BR47">
            <v>0</v>
          </cell>
          <cell r="BS47">
            <v>0</v>
          </cell>
          <cell r="BT47">
            <v>0</v>
          </cell>
          <cell r="BX47">
            <v>1200</v>
          </cell>
          <cell r="BY47">
            <v>269</v>
          </cell>
          <cell r="BZ47">
            <v>152.86500000000001</v>
          </cell>
          <cell r="CD47">
            <v>1500</v>
          </cell>
          <cell r="CE47">
            <v>336</v>
          </cell>
          <cell r="CF47">
            <v>188.708</v>
          </cell>
          <cell r="CJ47">
            <v>1800</v>
          </cell>
          <cell r="CK47">
            <v>403</v>
          </cell>
          <cell r="CL47">
            <v>232.07400000000001</v>
          </cell>
          <cell r="CP47">
            <v>4500</v>
          </cell>
          <cell r="CQ47">
            <v>1008</v>
          </cell>
          <cell r="CR47">
            <v>573.64700000000005</v>
          </cell>
          <cell r="CS47">
            <v>56.909424603174607</v>
          </cell>
          <cell r="CX47">
            <v>0</v>
          </cell>
          <cell r="CY47">
            <v>0</v>
          </cell>
          <cell r="CZ47">
            <v>0</v>
          </cell>
          <cell r="DA47">
            <v>0</v>
          </cell>
          <cell r="DF47">
            <v>0</v>
          </cell>
          <cell r="DG47">
            <v>0</v>
          </cell>
          <cell r="DH47">
            <v>0</v>
          </cell>
          <cell r="DI47">
            <v>0</v>
          </cell>
          <cell r="DN47">
            <v>0</v>
          </cell>
          <cell r="DO47">
            <v>0</v>
          </cell>
          <cell r="DP47">
            <v>0</v>
          </cell>
          <cell r="DQ47">
            <v>0</v>
          </cell>
          <cell r="DV47">
            <v>4500</v>
          </cell>
          <cell r="DW47">
            <v>1008</v>
          </cell>
          <cell r="DX47">
            <v>573.64699999999993</v>
          </cell>
          <cell r="DY47">
            <v>56.9094246031746</v>
          </cell>
        </row>
        <row r="48">
          <cell r="F48">
            <v>74200</v>
          </cell>
          <cell r="G48">
            <v>18550</v>
          </cell>
          <cell r="H48">
            <v>10197.669</v>
          </cell>
          <cell r="I48">
            <v>54.973956873315366</v>
          </cell>
          <cell r="N48">
            <v>5900</v>
          </cell>
          <cell r="O48">
            <v>1475</v>
          </cell>
          <cell r="P48">
            <v>779.12300000000005</v>
          </cell>
          <cell r="T48">
            <v>7400</v>
          </cell>
          <cell r="U48">
            <v>1850</v>
          </cell>
          <cell r="V48">
            <v>992.23900000000003</v>
          </cell>
          <cell r="Z48">
            <v>7300</v>
          </cell>
          <cell r="AA48">
            <v>1825</v>
          </cell>
          <cell r="AB48">
            <v>983.49199999999996</v>
          </cell>
          <cell r="AF48">
            <v>7700</v>
          </cell>
          <cell r="AG48">
            <v>1925</v>
          </cell>
          <cell r="AH48">
            <v>1038.558</v>
          </cell>
          <cell r="AL48">
            <v>7900</v>
          </cell>
          <cell r="AM48">
            <v>1975</v>
          </cell>
          <cell r="AN48">
            <v>1071.518</v>
          </cell>
          <cell r="AR48">
            <v>7400</v>
          </cell>
          <cell r="AS48">
            <v>1850</v>
          </cell>
          <cell r="AT48">
            <v>1007.718</v>
          </cell>
          <cell r="AX48">
            <v>43600</v>
          </cell>
          <cell r="AY48">
            <v>10900</v>
          </cell>
          <cell r="AZ48">
            <v>5872.6479999999992</v>
          </cell>
          <cell r="BA48">
            <v>53.877504587155954</v>
          </cell>
          <cell r="BF48">
            <v>7400</v>
          </cell>
          <cell r="BG48">
            <v>1850</v>
          </cell>
          <cell r="BH48">
            <v>1021.866</v>
          </cell>
          <cell r="BL48">
            <v>5800</v>
          </cell>
          <cell r="BM48">
            <v>1450</v>
          </cell>
          <cell r="BN48">
            <v>810.25900000000001</v>
          </cell>
          <cell r="BR48">
            <v>5200</v>
          </cell>
          <cell r="BS48">
            <v>1300</v>
          </cell>
          <cell r="BT48">
            <v>733.50300000000004</v>
          </cell>
          <cell r="BX48">
            <v>4500</v>
          </cell>
          <cell r="BY48">
            <v>1125</v>
          </cell>
          <cell r="BZ48">
            <v>644.35699999999997</v>
          </cell>
          <cell r="CD48">
            <v>4200</v>
          </cell>
          <cell r="CE48">
            <v>1050</v>
          </cell>
          <cell r="CF48">
            <v>605.14300000000003</v>
          </cell>
          <cell r="CJ48">
            <v>3500</v>
          </cell>
          <cell r="CK48">
            <v>875</v>
          </cell>
          <cell r="CL48">
            <v>509.89299999999997</v>
          </cell>
          <cell r="CP48">
            <v>30600</v>
          </cell>
          <cell r="CQ48">
            <v>7650</v>
          </cell>
          <cell r="CR48">
            <v>4325.0210000000006</v>
          </cell>
          <cell r="CS48">
            <v>56.536222222222236</v>
          </cell>
          <cell r="CX48">
            <v>20600</v>
          </cell>
          <cell r="CY48">
            <v>5150</v>
          </cell>
          <cell r="CZ48">
            <v>2754.8540000000003</v>
          </cell>
          <cell r="DA48">
            <v>53.492310679611656</v>
          </cell>
          <cell r="DF48">
            <v>23000</v>
          </cell>
          <cell r="DG48">
            <v>5750</v>
          </cell>
          <cell r="DH48">
            <v>3117.7939999999999</v>
          </cell>
          <cell r="DI48">
            <v>54.222504347826082</v>
          </cell>
          <cell r="DN48">
            <v>18400</v>
          </cell>
          <cell r="DO48">
            <v>4600</v>
          </cell>
          <cell r="DP48">
            <v>2565.6280000000002</v>
          </cell>
          <cell r="DQ48">
            <v>55.774521739130435</v>
          </cell>
          <cell r="DV48">
            <v>12200</v>
          </cell>
          <cell r="DW48">
            <v>3050</v>
          </cell>
          <cell r="DX48">
            <v>1759.393</v>
          </cell>
          <cell r="DY48">
            <v>57.685016393442623</v>
          </cell>
        </row>
        <row r="49">
          <cell r="F49">
            <v>0</v>
          </cell>
          <cell r="G49">
            <v>0</v>
          </cell>
          <cell r="H49">
            <v>0</v>
          </cell>
          <cell r="I49">
            <v>0</v>
          </cell>
          <cell r="AX49">
            <v>0</v>
          </cell>
          <cell r="AY49">
            <v>0</v>
          </cell>
          <cell r="AZ49">
            <v>0</v>
          </cell>
          <cell r="BA49">
            <v>0</v>
          </cell>
          <cell r="CP49">
            <v>0</v>
          </cell>
          <cell r="CQ49">
            <v>0</v>
          </cell>
          <cell r="CR49">
            <v>0</v>
          </cell>
          <cell r="CS49">
            <v>0</v>
          </cell>
          <cell r="CX49">
            <v>0</v>
          </cell>
          <cell r="CY49">
            <v>0</v>
          </cell>
          <cell r="CZ49">
            <v>0</v>
          </cell>
          <cell r="DA49">
            <v>0</v>
          </cell>
          <cell r="DF49">
            <v>0</v>
          </cell>
          <cell r="DG49">
            <v>0</v>
          </cell>
          <cell r="DH49">
            <v>0</v>
          </cell>
          <cell r="DI49">
            <v>0</v>
          </cell>
          <cell r="DN49">
            <v>0</v>
          </cell>
          <cell r="DO49">
            <v>0</v>
          </cell>
          <cell r="DP49">
            <v>0</v>
          </cell>
          <cell r="DQ49">
            <v>0</v>
          </cell>
          <cell r="DV49">
            <v>0</v>
          </cell>
          <cell r="DW49">
            <v>0</v>
          </cell>
          <cell r="DX49">
            <v>0</v>
          </cell>
          <cell r="DY49">
            <v>0</v>
          </cell>
        </row>
        <row r="50">
          <cell r="F50">
            <v>0</v>
          </cell>
          <cell r="G50">
            <v>0</v>
          </cell>
          <cell r="H50">
            <v>0</v>
          </cell>
          <cell r="I50">
            <v>0</v>
          </cell>
          <cell r="N50">
            <v>0</v>
          </cell>
          <cell r="O50">
            <v>0</v>
          </cell>
          <cell r="T50">
            <v>0</v>
          </cell>
          <cell r="U50">
            <v>0</v>
          </cell>
          <cell r="Z50">
            <v>0</v>
          </cell>
          <cell r="AA50">
            <v>0</v>
          </cell>
          <cell r="AF50">
            <v>0</v>
          </cell>
          <cell r="AG50">
            <v>0</v>
          </cell>
          <cell r="AL50">
            <v>0</v>
          </cell>
          <cell r="AM50">
            <v>0</v>
          </cell>
          <cell r="AR50">
            <v>0</v>
          </cell>
          <cell r="AS50">
            <v>0</v>
          </cell>
          <cell r="AX50">
            <v>0</v>
          </cell>
          <cell r="AY50">
            <v>0</v>
          </cell>
          <cell r="AZ50">
            <v>0</v>
          </cell>
          <cell r="BA50">
            <v>0</v>
          </cell>
          <cell r="BF50">
            <v>0</v>
          </cell>
          <cell r="BG50">
            <v>0</v>
          </cell>
          <cell r="BL50">
            <v>0</v>
          </cell>
          <cell r="BM50">
            <v>0</v>
          </cell>
          <cell r="BR50">
            <v>0</v>
          </cell>
          <cell r="BS50">
            <v>0</v>
          </cell>
          <cell r="BX50">
            <v>0</v>
          </cell>
          <cell r="BY50">
            <v>0</v>
          </cell>
          <cell r="CD50">
            <v>0</v>
          </cell>
          <cell r="CE50">
            <v>0</v>
          </cell>
          <cell r="CJ50">
            <v>0</v>
          </cell>
          <cell r="CK50">
            <v>0</v>
          </cell>
          <cell r="CP50">
            <v>0</v>
          </cell>
          <cell r="CQ50">
            <v>0</v>
          </cell>
          <cell r="CR50">
            <v>0</v>
          </cell>
          <cell r="CS50">
            <v>0</v>
          </cell>
          <cell r="CX50">
            <v>0</v>
          </cell>
          <cell r="CY50">
            <v>0</v>
          </cell>
          <cell r="CZ50">
            <v>0</v>
          </cell>
          <cell r="DA50">
            <v>0</v>
          </cell>
          <cell r="DF50">
            <v>0</v>
          </cell>
          <cell r="DG50">
            <v>0</v>
          </cell>
          <cell r="DH50">
            <v>0</v>
          </cell>
          <cell r="DI50">
            <v>0</v>
          </cell>
          <cell r="DN50">
            <v>0</v>
          </cell>
          <cell r="DO50">
            <v>0</v>
          </cell>
          <cell r="DP50">
            <v>0</v>
          </cell>
          <cell r="DQ50">
            <v>0</v>
          </cell>
          <cell r="DV50">
            <v>0</v>
          </cell>
          <cell r="DW50">
            <v>0</v>
          </cell>
          <cell r="DX50">
            <v>0</v>
          </cell>
          <cell r="DY50">
            <v>0</v>
          </cell>
        </row>
        <row r="51">
          <cell r="F51">
            <v>13200</v>
          </cell>
          <cell r="G51">
            <v>3300</v>
          </cell>
          <cell r="H51">
            <v>1986.5990000000002</v>
          </cell>
          <cell r="I51">
            <v>60.199969696969703</v>
          </cell>
          <cell r="N51">
            <v>0</v>
          </cell>
          <cell r="O51">
            <v>0</v>
          </cell>
          <cell r="P51">
            <v>0</v>
          </cell>
          <cell r="T51">
            <v>0</v>
          </cell>
          <cell r="U51">
            <v>0</v>
          </cell>
          <cell r="V51">
            <v>0</v>
          </cell>
          <cell r="Z51">
            <v>0</v>
          </cell>
          <cell r="AA51">
            <v>0</v>
          </cell>
          <cell r="AB51">
            <v>0</v>
          </cell>
          <cell r="AF51">
            <v>0</v>
          </cell>
          <cell r="AG51">
            <v>0</v>
          </cell>
          <cell r="AH51">
            <v>0</v>
          </cell>
          <cell r="AL51">
            <v>0</v>
          </cell>
          <cell r="AM51">
            <v>0</v>
          </cell>
          <cell r="AN51">
            <v>0</v>
          </cell>
          <cell r="AR51">
            <v>0</v>
          </cell>
          <cell r="AS51">
            <v>0</v>
          </cell>
          <cell r="AT51">
            <v>0</v>
          </cell>
          <cell r="AX51">
            <v>0</v>
          </cell>
          <cell r="AY51">
            <v>0</v>
          </cell>
          <cell r="AZ51">
            <v>0</v>
          </cell>
          <cell r="BA51">
            <v>0</v>
          </cell>
          <cell r="BF51">
            <v>0</v>
          </cell>
          <cell r="BG51">
            <v>0</v>
          </cell>
          <cell r="BH51">
            <v>0</v>
          </cell>
          <cell r="BL51">
            <v>1500</v>
          </cell>
          <cell r="BM51">
            <v>375</v>
          </cell>
          <cell r="BN51">
            <v>222.036</v>
          </cell>
          <cell r="BR51">
            <v>2400</v>
          </cell>
          <cell r="BS51">
            <v>600</v>
          </cell>
          <cell r="BT51">
            <v>355.31400000000002</v>
          </cell>
          <cell r="BX51">
            <v>3000</v>
          </cell>
          <cell r="BY51">
            <v>750</v>
          </cell>
          <cell r="BZ51">
            <v>453.42</v>
          </cell>
          <cell r="CD51">
            <v>3200</v>
          </cell>
          <cell r="CE51">
            <v>800</v>
          </cell>
          <cell r="CF51">
            <v>482.17099999999999</v>
          </cell>
          <cell r="CJ51">
            <v>3100</v>
          </cell>
          <cell r="CK51">
            <v>775</v>
          </cell>
          <cell r="CL51">
            <v>473.65800000000002</v>
          </cell>
          <cell r="CP51">
            <v>13200</v>
          </cell>
          <cell r="CQ51">
            <v>3300</v>
          </cell>
          <cell r="CR51">
            <v>1986.5990000000002</v>
          </cell>
          <cell r="CS51">
            <v>60.199969696969703</v>
          </cell>
          <cell r="CX51">
            <v>0</v>
          </cell>
          <cell r="CY51">
            <v>0</v>
          </cell>
          <cell r="CZ51">
            <v>0</v>
          </cell>
          <cell r="DA51">
            <v>0</v>
          </cell>
          <cell r="DF51">
            <v>0</v>
          </cell>
          <cell r="DG51">
            <v>0</v>
          </cell>
          <cell r="DH51">
            <v>0</v>
          </cell>
          <cell r="DI51">
            <v>0</v>
          </cell>
          <cell r="DN51">
            <v>3900</v>
          </cell>
          <cell r="DO51">
            <v>975</v>
          </cell>
          <cell r="DP51">
            <v>577.35</v>
          </cell>
          <cell r="DQ51">
            <v>59.215384615384615</v>
          </cell>
          <cell r="DV51">
            <v>9300</v>
          </cell>
          <cell r="DW51">
            <v>2325</v>
          </cell>
          <cell r="DX51">
            <v>1409.249</v>
          </cell>
          <cell r="DY51">
            <v>60.612860215053765</v>
          </cell>
        </row>
        <row r="52">
          <cell r="F52">
            <v>0</v>
          </cell>
          <cell r="G52">
            <v>0</v>
          </cell>
          <cell r="H52">
            <v>0</v>
          </cell>
          <cell r="I52">
            <v>0</v>
          </cell>
          <cell r="AX52">
            <v>0</v>
          </cell>
          <cell r="AY52">
            <v>0</v>
          </cell>
          <cell r="AZ52">
            <v>0</v>
          </cell>
          <cell r="BA52">
            <v>0</v>
          </cell>
          <cell r="CP52">
            <v>0</v>
          </cell>
          <cell r="CQ52">
            <v>0</v>
          </cell>
          <cell r="CR52">
            <v>0</v>
          </cell>
          <cell r="CS52">
            <v>0</v>
          </cell>
          <cell r="CX52">
            <v>0</v>
          </cell>
          <cell r="CY52">
            <v>0</v>
          </cell>
          <cell r="CZ52">
            <v>0</v>
          </cell>
          <cell r="DA52">
            <v>0</v>
          </cell>
          <cell r="DF52">
            <v>0</v>
          </cell>
          <cell r="DG52">
            <v>0</v>
          </cell>
          <cell r="DH52">
            <v>0</v>
          </cell>
          <cell r="DI52">
            <v>0</v>
          </cell>
          <cell r="DN52">
            <v>0</v>
          </cell>
          <cell r="DO52">
            <v>0</v>
          </cell>
          <cell r="DP52">
            <v>0</v>
          </cell>
          <cell r="DQ52">
            <v>0</v>
          </cell>
          <cell r="DV52">
            <v>0</v>
          </cell>
          <cell r="DW52">
            <v>0</v>
          </cell>
          <cell r="DX52">
            <v>0</v>
          </cell>
          <cell r="DY52">
            <v>0</v>
          </cell>
        </row>
        <row r="53">
          <cell r="F53">
            <v>0</v>
          </cell>
          <cell r="G53">
            <v>0</v>
          </cell>
          <cell r="H53">
            <v>0</v>
          </cell>
          <cell r="I53">
            <v>0</v>
          </cell>
          <cell r="N53">
            <v>0</v>
          </cell>
          <cell r="O53">
            <v>0</v>
          </cell>
          <cell r="T53">
            <v>0</v>
          </cell>
          <cell r="U53">
            <v>0</v>
          </cell>
          <cell r="Z53">
            <v>0</v>
          </cell>
          <cell r="AA53">
            <v>0</v>
          </cell>
          <cell r="AF53">
            <v>0</v>
          </cell>
          <cell r="AG53">
            <v>0</v>
          </cell>
          <cell r="AL53">
            <v>0</v>
          </cell>
          <cell r="AM53">
            <v>0</v>
          </cell>
          <cell r="AR53">
            <v>0</v>
          </cell>
          <cell r="AS53">
            <v>0</v>
          </cell>
          <cell r="AX53">
            <v>0</v>
          </cell>
          <cell r="AY53">
            <v>0</v>
          </cell>
          <cell r="AZ53">
            <v>0</v>
          </cell>
          <cell r="BA53">
            <v>0</v>
          </cell>
          <cell r="BF53">
            <v>0</v>
          </cell>
          <cell r="BG53">
            <v>0</v>
          </cell>
          <cell r="BL53">
            <v>0</v>
          </cell>
          <cell r="BM53">
            <v>0</v>
          </cell>
          <cell r="BR53">
            <v>0</v>
          </cell>
          <cell r="BS53">
            <v>0</v>
          </cell>
          <cell r="BX53">
            <v>0</v>
          </cell>
          <cell r="BY53">
            <v>0</v>
          </cell>
          <cell r="CD53">
            <v>0</v>
          </cell>
          <cell r="CE53">
            <v>0</v>
          </cell>
          <cell r="CJ53">
            <v>0</v>
          </cell>
          <cell r="CK53">
            <v>0</v>
          </cell>
          <cell r="CP53">
            <v>0</v>
          </cell>
          <cell r="CQ53">
            <v>0</v>
          </cell>
          <cell r="CR53">
            <v>0</v>
          </cell>
          <cell r="CS53">
            <v>0</v>
          </cell>
          <cell r="CX53">
            <v>0</v>
          </cell>
          <cell r="CY53">
            <v>0</v>
          </cell>
          <cell r="CZ53">
            <v>0</v>
          </cell>
          <cell r="DA53">
            <v>0</v>
          </cell>
          <cell r="DF53">
            <v>0</v>
          </cell>
          <cell r="DG53">
            <v>0</v>
          </cell>
          <cell r="DH53">
            <v>0</v>
          </cell>
          <cell r="DI53">
            <v>0</v>
          </cell>
          <cell r="DN53">
            <v>0</v>
          </cell>
          <cell r="DO53">
            <v>0</v>
          </cell>
          <cell r="DP53">
            <v>0</v>
          </cell>
          <cell r="DQ53">
            <v>0</v>
          </cell>
          <cell r="DV53">
            <v>0</v>
          </cell>
          <cell r="DW53">
            <v>0</v>
          </cell>
          <cell r="DX53">
            <v>0</v>
          </cell>
          <cell r="DY53">
            <v>0</v>
          </cell>
        </row>
        <row r="54">
          <cell r="F54">
            <v>266600</v>
          </cell>
          <cell r="G54">
            <v>56698</v>
          </cell>
          <cell r="H54">
            <v>32317.176000000007</v>
          </cell>
          <cell r="I54">
            <v>56.998793608240163</v>
          </cell>
          <cell r="N54">
            <v>17200</v>
          </cell>
          <cell r="O54">
            <v>3666</v>
          </cell>
          <cell r="P54">
            <v>1931.7230000000002</v>
          </cell>
          <cell r="T54">
            <v>23600</v>
          </cell>
          <cell r="U54">
            <v>4981</v>
          </cell>
          <cell r="V54">
            <v>2696.8879999999999</v>
          </cell>
          <cell r="Z54">
            <v>21700</v>
          </cell>
          <cell r="AA54">
            <v>4609</v>
          </cell>
          <cell r="AB54">
            <v>2536.346</v>
          </cell>
          <cell r="AF54">
            <v>23500</v>
          </cell>
          <cell r="AG54">
            <v>4988</v>
          </cell>
          <cell r="AH54">
            <v>2765.1480000000001</v>
          </cell>
          <cell r="AL54">
            <v>25700</v>
          </cell>
          <cell r="AM54">
            <v>5419</v>
          </cell>
          <cell r="AN54">
            <v>3041.0050000000001</v>
          </cell>
          <cell r="AR54">
            <v>23400</v>
          </cell>
          <cell r="AS54">
            <v>4952</v>
          </cell>
          <cell r="AT54">
            <v>2798.4349999999999</v>
          </cell>
          <cell r="AX54">
            <v>135100</v>
          </cell>
          <cell r="AY54">
            <v>28615</v>
          </cell>
          <cell r="AZ54">
            <v>15769.545</v>
          </cell>
          <cell r="BA54">
            <v>55.109365717281143</v>
          </cell>
          <cell r="BF54">
            <v>23400</v>
          </cell>
          <cell r="BG54">
            <v>4937</v>
          </cell>
          <cell r="BH54">
            <v>2821.8389999999999</v>
          </cell>
          <cell r="BL54">
            <v>22000</v>
          </cell>
          <cell r="BM54">
            <v>4668</v>
          </cell>
          <cell r="BN54">
            <v>2713.3270000000002</v>
          </cell>
          <cell r="BR54">
            <v>21900</v>
          </cell>
          <cell r="BS54">
            <v>4672</v>
          </cell>
          <cell r="BT54">
            <v>2745.663</v>
          </cell>
          <cell r="BX54">
            <v>22500</v>
          </cell>
          <cell r="BY54">
            <v>4813</v>
          </cell>
          <cell r="BZ54">
            <v>2868.5569999999998</v>
          </cell>
          <cell r="CD54">
            <v>21400</v>
          </cell>
          <cell r="CE54">
            <v>4620</v>
          </cell>
          <cell r="CF54">
            <v>2757.3009999999999</v>
          </cell>
          <cell r="CJ54">
            <v>20300</v>
          </cell>
          <cell r="CK54">
            <v>4373</v>
          </cell>
          <cell r="CL54">
            <v>2640.944</v>
          </cell>
          <cell r="CP54">
            <v>131500</v>
          </cell>
          <cell r="CQ54">
            <v>28083</v>
          </cell>
          <cell r="CR54">
            <v>16547.631000000001</v>
          </cell>
          <cell r="CS54">
            <v>58.924014528362356</v>
          </cell>
          <cell r="CX54">
            <v>62500</v>
          </cell>
          <cell r="CY54">
            <v>13256</v>
          </cell>
          <cell r="CZ54">
            <v>7164.9570000000003</v>
          </cell>
          <cell r="DA54">
            <v>54.050671394085704</v>
          </cell>
          <cell r="DF54">
            <v>72600</v>
          </cell>
          <cell r="DG54">
            <v>15359</v>
          </cell>
          <cell r="DH54">
            <v>8604.5879999999997</v>
          </cell>
          <cell r="DI54">
            <v>56.023100462269682</v>
          </cell>
          <cell r="DN54">
            <v>67300</v>
          </cell>
          <cell r="DO54">
            <v>14277</v>
          </cell>
          <cell r="DP54">
            <v>8280.8289999999997</v>
          </cell>
          <cell r="DQ54">
            <v>58.001183722070458</v>
          </cell>
          <cell r="DV54">
            <v>64200</v>
          </cell>
          <cell r="DW54">
            <v>13806</v>
          </cell>
          <cell r="DX54">
            <v>8266.8020000000015</v>
          </cell>
          <cell r="DY54">
            <v>59.878328263074032</v>
          </cell>
        </row>
        <row r="55">
          <cell r="F55">
            <v>11150</v>
          </cell>
          <cell r="G55">
            <v>3373</v>
          </cell>
          <cell r="H55">
            <v>410.74600000000009</v>
          </cell>
          <cell r="I55">
            <v>12.177468129261786</v>
          </cell>
          <cell r="N55">
            <v>550</v>
          </cell>
          <cell r="O55">
            <v>168</v>
          </cell>
          <cell r="P55">
            <v>-1.907</v>
          </cell>
          <cell r="T55">
            <v>950</v>
          </cell>
          <cell r="U55">
            <v>289</v>
          </cell>
          <cell r="V55">
            <v>24.786000000000001</v>
          </cell>
          <cell r="Z55">
            <v>1000</v>
          </cell>
          <cell r="AA55">
            <v>305</v>
          </cell>
          <cell r="AB55">
            <v>30.436</v>
          </cell>
          <cell r="AF55">
            <v>1000</v>
          </cell>
          <cell r="AG55">
            <v>305</v>
          </cell>
          <cell r="AH55">
            <v>26.259</v>
          </cell>
          <cell r="AL55">
            <v>1100</v>
          </cell>
          <cell r="AM55">
            <v>335</v>
          </cell>
          <cell r="AN55">
            <v>36.853999999999999</v>
          </cell>
          <cell r="AR55">
            <v>950</v>
          </cell>
          <cell r="AS55">
            <v>259</v>
          </cell>
          <cell r="AT55">
            <v>-3.129</v>
          </cell>
          <cell r="AX55">
            <v>5550</v>
          </cell>
          <cell r="AY55">
            <v>1661</v>
          </cell>
          <cell r="AZ55">
            <v>113.29900000000001</v>
          </cell>
          <cell r="BA55">
            <v>6.8211318482841659</v>
          </cell>
          <cell r="BF55">
            <v>950</v>
          </cell>
          <cell r="BG55">
            <v>291</v>
          </cell>
          <cell r="BH55">
            <v>51.374000000000002</v>
          </cell>
          <cell r="BL55">
            <v>900</v>
          </cell>
          <cell r="BM55">
            <v>276</v>
          </cell>
          <cell r="BN55">
            <v>51.259</v>
          </cell>
          <cell r="BR55">
            <v>1000</v>
          </cell>
          <cell r="BS55">
            <v>305</v>
          </cell>
          <cell r="BT55">
            <v>54.831000000000003</v>
          </cell>
          <cell r="BX55">
            <v>1000</v>
          </cell>
          <cell r="BY55">
            <v>305</v>
          </cell>
          <cell r="BZ55">
            <v>68.59</v>
          </cell>
          <cell r="CD55">
            <v>900</v>
          </cell>
          <cell r="CE55">
            <v>275</v>
          </cell>
          <cell r="CF55">
            <v>48.377000000000002</v>
          </cell>
          <cell r="CJ55">
            <v>850</v>
          </cell>
          <cell r="CK55">
            <v>260</v>
          </cell>
          <cell r="CL55">
            <v>23.015999999999998</v>
          </cell>
          <cell r="CP55">
            <v>5600</v>
          </cell>
          <cell r="CQ55">
            <v>1712</v>
          </cell>
          <cell r="CR55">
            <v>297.44700000000006</v>
          </cell>
          <cell r="CS55">
            <v>17.374240654205611</v>
          </cell>
          <cell r="CX55">
            <v>2500</v>
          </cell>
          <cell r="CY55">
            <v>762</v>
          </cell>
          <cell r="CZ55">
            <v>53.314999999999998</v>
          </cell>
          <cell r="DA55">
            <v>6.9967191601049858</v>
          </cell>
          <cell r="DF55">
            <v>3050</v>
          </cell>
          <cell r="DG55">
            <v>899</v>
          </cell>
          <cell r="DH55">
            <v>59.984000000000002</v>
          </cell>
          <cell r="DI55">
            <v>6.6723025583982203</v>
          </cell>
          <cell r="DN55">
            <v>2850</v>
          </cell>
          <cell r="DO55">
            <v>872</v>
          </cell>
          <cell r="DP55">
            <v>157.464</v>
          </cell>
          <cell r="DQ55">
            <v>18.057798165137616</v>
          </cell>
          <cell r="DV55">
            <v>2750</v>
          </cell>
          <cell r="DW55">
            <v>840</v>
          </cell>
          <cell r="DX55">
            <v>139.983</v>
          </cell>
          <cell r="DY55">
            <v>16.664642857142859</v>
          </cell>
        </row>
        <row r="56">
          <cell r="F56">
            <v>400</v>
          </cell>
          <cell r="G56">
            <v>132</v>
          </cell>
          <cell r="H56">
            <v>-14.181999999999999</v>
          </cell>
          <cell r="I56">
            <v>-10.743939393939392</v>
          </cell>
          <cell r="N56">
            <v>60</v>
          </cell>
          <cell r="O56">
            <v>20</v>
          </cell>
          <cell r="P56">
            <v>-1.927</v>
          </cell>
          <cell r="T56">
            <v>60</v>
          </cell>
          <cell r="U56">
            <v>20</v>
          </cell>
          <cell r="V56">
            <v>-1.927</v>
          </cell>
          <cell r="Z56">
            <v>70</v>
          </cell>
          <cell r="AA56">
            <v>23</v>
          </cell>
          <cell r="AB56">
            <v>-2.5819999999999999</v>
          </cell>
          <cell r="AF56">
            <v>70</v>
          </cell>
          <cell r="AG56">
            <v>23</v>
          </cell>
          <cell r="AH56">
            <v>-2.5819999999999999</v>
          </cell>
          <cell r="AL56">
            <v>70</v>
          </cell>
          <cell r="AM56">
            <v>23</v>
          </cell>
          <cell r="AN56">
            <v>-2.5819999999999999</v>
          </cell>
          <cell r="AR56">
            <v>70</v>
          </cell>
          <cell r="AS56">
            <v>23</v>
          </cell>
          <cell r="AT56">
            <v>-2.5819999999999999</v>
          </cell>
          <cell r="AX56">
            <v>400</v>
          </cell>
          <cell r="AY56">
            <v>132</v>
          </cell>
          <cell r="AZ56">
            <v>-14.181999999999999</v>
          </cell>
          <cell r="BA56">
            <v>-10.743939393939392</v>
          </cell>
          <cell r="BF56">
            <v>0</v>
          </cell>
          <cell r="BG56">
            <v>0</v>
          </cell>
          <cell r="BH56">
            <v>0</v>
          </cell>
          <cell r="BL56">
            <v>0</v>
          </cell>
          <cell r="BM56">
            <v>0</v>
          </cell>
          <cell r="BN56">
            <v>0</v>
          </cell>
          <cell r="BR56">
            <v>0</v>
          </cell>
          <cell r="BS56">
            <v>0</v>
          </cell>
          <cell r="BT56">
            <v>0</v>
          </cell>
          <cell r="BX56">
            <v>0</v>
          </cell>
          <cell r="BY56">
            <v>0</v>
          </cell>
          <cell r="BZ56">
            <v>0</v>
          </cell>
          <cell r="CD56">
            <v>0</v>
          </cell>
          <cell r="CE56">
            <v>0</v>
          </cell>
          <cell r="CF56">
            <v>0</v>
          </cell>
          <cell r="CJ56">
            <v>0</v>
          </cell>
          <cell r="CK56">
            <v>0</v>
          </cell>
          <cell r="CL56">
            <v>0</v>
          </cell>
          <cell r="CP56">
            <v>0</v>
          </cell>
          <cell r="CQ56">
            <v>0</v>
          </cell>
          <cell r="CR56">
            <v>0</v>
          </cell>
          <cell r="CS56">
            <v>0</v>
          </cell>
          <cell r="CX56">
            <v>190</v>
          </cell>
          <cell r="CY56">
            <v>63</v>
          </cell>
          <cell r="CZ56">
            <v>-6.4359999999999999</v>
          </cell>
          <cell r="DA56">
            <v>-10.215873015873015</v>
          </cell>
          <cell r="DF56">
            <v>210</v>
          </cell>
          <cell r="DG56">
            <v>69</v>
          </cell>
          <cell r="DH56">
            <v>-7.7459999999999996</v>
          </cell>
          <cell r="DI56">
            <v>-11.226086956521739</v>
          </cell>
          <cell r="DN56">
            <v>0</v>
          </cell>
          <cell r="DO56">
            <v>0</v>
          </cell>
          <cell r="DP56">
            <v>0</v>
          </cell>
          <cell r="DQ56">
            <v>0</v>
          </cell>
          <cell r="DV56">
            <v>0</v>
          </cell>
          <cell r="DW56">
            <v>0</v>
          </cell>
          <cell r="DX56">
            <v>0</v>
          </cell>
          <cell r="DY56">
            <v>0</v>
          </cell>
        </row>
        <row r="57">
          <cell r="F57">
            <v>0</v>
          </cell>
          <cell r="G57">
            <v>0</v>
          </cell>
          <cell r="H57">
            <v>0</v>
          </cell>
          <cell r="I57">
            <v>0</v>
          </cell>
          <cell r="AX57">
            <v>0</v>
          </cell>
          <cell r="AY57">
            <v>0</v>
          </cell>
          <cell r="AZ57">
            <v>0</v>
          </cell>
          <cell r="BA57">
            <v>0</v>
          </cell>
          <cell r="CP57">
            <v>0</v>
          </cell>
          <cell r="CQ57">
            <v>0</v>
          </cell>
          <cell r="CR57">
            <v>0</v>
          </cell>
          <cell r="CS57">
            <v>0</v>
          </cell>
          <cell r="CX57">
            <v>0</v>
          </cell>
          <cell r="CY57">
            <v>0</v>
          </cell>
          <cell r="CZ57">
            <v>0</v>
          </cell>
          <cell r="DA57">
            <v>0</v>
          </cell>
          <cell r="DF57">
            <v>0</v>
          </cell>
          <cell r="DG57">
            <v>0</v>
          </cell>
          <cell r="DH57">
            <v>0</v>
          </cell>
          <cell r="DI57">
            <v>0</v>
          </cell>
          <cell r="DN57">
            <v>0</v>
          </cell>
          <cell r="DO57">
            <v>0</v>
          </cell>
          <cell r="DP57">
            <v>0</v>
          </cell>
          <cell r="DQ57">
            <v>0</v>
          </cell>
          <cell r="DV57">
            <v>0</v>
          </cell>
          <cell r="DW57">
            <v>0</v>
          </cell>
          <cell r="DX57">
            <v>0</v>
          </cell>
          <cell r="DY57">
            <v>0</v>
          </cell>
        </row>
        <row r="58">
          <cell r="F58">
            <v>0</v>
          </cell>
          <cell r="G58">
            <v>0</v>
          </cell>
          <cell r="H58">
            <v>0</v>
          </cell>
          <cell r="I58">
            <v>0</v>
          </cell>
          <cell r="AX58">
            <v>0</v>
          </cell>
          <cell r="AY58">
            <v>0</v>
          </cell>
          <cell r="AZ58">
            <v>0</v>
          </cell>
          <cell r="BA58">
            <v>0</v>
          </cell>
          <cell r="CP58">
            <v>0</v>
          </cell>
          <cell r="CQ58">
            <v>0</v>
          </cell>
          <cell r="CR58">
            <v>0</v>
          </cell>
          <cell r="CS58">
            <v>0</v>
          </cell>
          <cell r="CX58">
            <v>0</v>
          </cell>
          <cell r="CY58">
            <v>0</v>
          </cell>
          <cell r="CZ58">
            <v>0</v>
          </cell>
          <cell r="DA58">
            <v>0</v>
          </cell>
          <cell r="DF58">
            <v>0</v>
          </cell>
          <cell r="DG58">
            <v>0</v>
          </cell>
          <cell r="DH58">
            <v>0</v>
          </cell>
          <cell r="DI58">
            <v>0</v>
          </cell>
          <cell r="DN58">
            <v>0</v>
          </cell>
          <cell r="DO58">
            <v>0</v>
          </cell>
          <cell r="DP58">
            <v>0</v>
          </cell>
          <cell r="DQ58">
            <v>0</v>
          </cell>
          <cell r="DV58">
            <v>0</v>
          </cell>
          <cell r="DW58">
            <v>0</v>
          </cell>
          <cell r="DX58">
            <v>0</v>
          </cell>
          <cell r="DY58">
            <v>0</v>
          </cell>
        </row>
        <row r="59">
          <cell r="F59">
            <v>3000</v>
          </cell>
          <cell r="G59">
            <v>1524</v>
          </cell>
          <cell r="H59">
            <v>211.54399999999998</v>
          </cell>
          <cell r="I59">
            <v>13.880839895013123</v>
          </cell>
          <cell r="N59">
            <v>200</v>
          </cell>
          <cell r="O59">
            <v>102</v>
          </cell>
          <cell r="P59">
            <v>13.061999999999999</v>
          </cell>
          <cell r="T59">
            <v>250</v>
          </cell>
          <cell r="U59">
            <v>127</v>
          </cell>
          <cell r="V59">
            <v>16.305</v>
          </cell>
          <cell r="Z59">
            <v>300</v>
          </cell>
          <cell r="AA59">
            <v>152</v>
          </cell>
          <cell r="AB59">
            <v>19.381</v>
          </cell>
          <cell r="AF59">
            <v>250</v>
          </cell>
          <cell r="AG59">
            <v>127</v>
          </cell>
          <cell r="AH59">
            <v>16.167000000000002</v>
          </cell>
          <cell r="AL59">
            <v>300</v>
          </cell>
          <cell r="AM59">
            <v>152</v>
          </cell>
          <cell r="AN59">
            <v>19.367000000000001</v>
          </cell>
          <cell r="AR59">
            <v>250</v>
          </cell>
          <cell r="AS59">
            <v>127</v>
          </cell>
          <cell r="AT59">
            <v>16.579000000000001</v>
          </cell>
          <cell r="AX59">
            <v>1550</v>
          </cell>
          <cell r="AY59">
            <v>787</v>
          </cell>
          <cell r="AZ59">
            <v>100.861</v>
          </cell>
          <cell r="BA59">
            <v>12.815883100381194</v>
          </cell>
          <cell r="BF59">
            <v>250</v>
          </cell>
          <cell r="BG59">
            <v>127</v>
          </cell>
          <cell r="BH59">
            <v>18.338999999999999</v>
          </cell>
          <cell r="BL59">
            <v>250</v>
          </cell>
          <cell r="BM59">
            <v>127</v>
          </cell>
          <cell r="BN59">
            <v>19.155000000000001</v>
          </cell>
          <cell r="BR59">
            <v>250</v>
          </cell>
          <cell r="BS59">
            <v>127</v>
          </cell>
          <cell r="BT59">
            <v>19.155000000000001</v>
          </cell>
          <cell r="BX59">
            <v>300</v>
          </cell>
          <cell r="BY59">
            <v>152</v>
          </cell>
          <cell r="BZ59">
            <v>22.585999999999999</v>
          </cell>
          <cell r="CD59">
            <v>200</v>
          </cell>
          <cell r="CE59">
            <v>102</v>
          </cell>
          <cell r="CF59">
            <v>15.724</v>
          </cell>
          <cell r="CJ59">
            <v>200</v>
          </cell>
          <cell r="CK59">
            <v>102</v>
          </cell>
          <cell r="CL59">
            <v>15.724</v>
          </cell>
          <cell r="CP59">
            <v>1450</v>
          </cell>
          <cell r="CQ59">
            <v>737</v>
          </cell>
          <cell r="CR59">
            <v>110.68299999999999</v>
          </cell>
          <cell r="CS59">
            <v>15.018046132971504</v>
          </cell>
          <cell r="CX59">
            <v>750</v>
          </cell>
          <cell r="CY59">
            <v>381</v>
          </cell>
          <cell r="CZ59">
            <v>48.747999999999998</v>
          </cell>
          <cell r="DA59">
            <v>12.794750656167977</v>
          </cell>
          <cell r="DF59">
            <v>800</v>
          </cell>
          <cell r="DG59">
            <v>406</v>
          </cell>
          <cell r="DH59">
            <v>52.113000000000007</v>
          </cell>
          <cell r="DI59">
            <v>12.835714285714287</v>
          </cell>
          <cell r="DN59">
            <v>750</v>
          </cell>
          <cell r="DO59">
            <v>381</v>
          </cell>
          <cell r="DP59">
            <v>56.649000000000001</v>
          </cell>
          <cell r="DQ59">
            <v>14.868503937007874</v>
          </cell>
          <cell r="DV59">
            <v>700</v>
          </cell>
          <cell r="DW59">
            <v>356</v>
          </cell>
          <cell r="DX59">
            <v>54.034000000000006</v>
          </cell>
          <cell r="DY59">
            <v>15.17808988764045</v>
          </cell>
        </row>
        <row r="60">
          <cell r="F60">
            <v>14550</v>
          </cell>
          <cell r="G60">
            <v>5029</v>
          </cell>
          <cell r="H60">
            <v>608.10800000000006</v>
          </cell>
          <cell r="I60">
            <v>12.092026247762975</v>
          </cell>
          <cell r="N60">
            <v>810</v>
          </cell>
          <cell r="O60">
            <v>290</v>
          </cell>
          <cell r="P60">
            <v>9.2279999999999998</v>
          </cell>
          <cell r="T60">
            <v>1260</v>
          </cell>
          <cell r="U60">
            <v>436</v>
          </cell>
          <cell r="V60">
            <v>39.164000000000001</v>
          </cell>
          <cell r="Z60">
            <v>1370</v>
          </cell>
          <cell r="AA60">
            <v>480</v>
          </cell>
          <cell r="AB60">
            <v>47.234999999999999</v>
          </cell>
          <cell r="AF60">
            <v>1320</v>
          </cell>
          <cell r="AG60">
            <v>455</v>
          </cell>
          <cell r="AH60">
            <v>39.844000000000001</v>
          </cell>
          <cell r="AL60">
            <v>1470</v>
          </cell>
          <cell r="AM60">
            <v>510</v>
          </cell>
          <cell r="AN60">
            <v>53.638999999999996</v>
          </cell>
          <cell r="AR60">
            <v>1270</v>
          </cell>
          <cell r="AS60">
            <v>409</v>
          </cell>
          <cell r="AT60">
            <v>10.868</v>
          </cell>
          <cell r="AX60">
            <v>7500</v>
          </cell>
          <cell r="AY60">
            <v>2580</v>
          </cell>
          <cell r="AZ60">
            <v>199.97800000000001</v>
          </cell>
          <cell r="BA60">
            <v>7.7510852713178302</v>
          </cell>
          <cell r="BF60">
            <v>1200</v>
          </cell>
          <cell r="BG60">
            <v>418</v>
          </cell>
          <cell r="BH60">
            <v>69.712999999999994</v>
          </cell>
          <cell r="BL60">
            <v>1150</v>
          </cell>
          <cell r="BM60">
            <v>403</v>
          </cell>
          <cell r="BN60">
            <v>70.414000000000001</v>
          </cell>
          <cell r="BR60">
            <v>1250</v>
          </cell>
          <cell r="BS60">
            <v>432</v>
          </cell>
          <cell r="BT60">
            <v>73.986000000000004</v>
          </cell>
          <cell r="BX60">
            <v>1300</v>
          </cell>
          <cell r="BY60">
            <v>457</v>
          </cell>
          <cell r="BZ60">
            <v>91.176000000000002</v>
          </cell>
          <cell r="CD60">
            <v>1100</v>
          </cell>
          <cell r="CE60">
            <v>377</v>
          </cell>
          <cell r="CF60">
            <v>64.100999999999999</v>
          </cell>
          <cell r="CJ60">
            <v>1050</v>
          </cell>
          <cell r="CK60">
            <v>362</v>
          </cell>
          <cell r="CL60">
            <v>38.739999999999995</v>
          </cell>
          <cell r="CP60">
            <v>7050</v>
          </cell>
          <cell r="CQ60">
            <v>2449</v>
          </cell>
          <cell r="CR60">
            <v>408.13000000000005</v>
          </cell>
          <cell r="CS60">
            <v>16.665169456921195</v>
          </cell>
          <cell r="CX60">
            <v>3440</v>
          </cell>
          <cell r="CY60">
            <v>1206</v>
          </cell>
          <cell r="CZ60">
            <v>95.626999999999995</v>
          </cell>
          <cell r="DA60">
            <v>7.9292703150912107</v>
          </cell>
          <cell r="DF60">
            <v>4060</v>
          </cell>
          <cell r="DG60">
            <v>1374</v>
          </cell>
          <cell r="DH60">
            <v>104.351</v>
          </cell>
          <cell r="DI60">
            <v>7.5946870451237274</v>
          </cell>
          <cell r="DN60">
            <v>3600</v>
          </cell>
          <cell r="DO60">
            <v>1253</v>
          </cell>
          <cell r="DP60">
            <v>214.113</v>
          </cell>
          <cell r="DQ60">
            <v>17.08802873104549</v>
          </cell>
          <cell r="DV60">
            <v>3450</v>
          </cell>
          <cell r="DW60">
            <v>1196</v>
          </cell>
          <cell r="DX60">
            <v>194.017</v>
          </cell>
          <cell r="DY60">
            <v>16.22215719063545</v>
          </cell>
        </row>
        <row r="61">
          <cell r="F61">
            <v>0</v>
          </cell>
          <cell r="G61">
            <v>0</v>
          </cell>
          <cell r="H61">
            <v>0</v>
          </cell>
          <cell r="I61">
            <v>0</v>
          </cell>
          <cell r="AX61">
            <v>0</v>
          </cell>
          <cell r="AY61">
            <v>0</v>
          </cell>
          <cell r="AZ61">
            <v>0</v>
          </cell>
          <cell r="BA61">
            <v>0</v>
          </cell>
          <cell r="CP61">
            <v>0</v>
          </cell>
          <cell r="CQ61">
            <v>0</v>
          </cell>
          <cell r="CR61">
            <v>0</v>
          </cell>
          <cell r="CS61">
            <v>0</v>
          </cell>
          <cell r="CX61">
            <v>0</v>
          </cell>
          <cell r="CY61">
            <v>0</v>
          </cell>
          <cell r="CZ61">
            <v>0</v>
          </cell>
          <cell r="DA61">
            <v>0</v>
          </cell>
          <cell r="DF61">
            <v>0</v>
          </cell>
          <cell r="DG61">
            <v>0</v>
          </cell>
          <cell r="DH61">
            <v>0</v>
          </cell>
          <cell r="DI61">
            <v>0</v>
          </cell>
          <cell r="DN61">
            <v>0</v>
          </cell>
          <cell r="DO61">
            <v>0</v>
          </cell>
          <cell r="DP61">
            <v>0</v>
          </cell>
          <cell r="DQ61">
            <v>0</v>
          </cell>
          <cell r="DV61">
            <v>0</v>
          </cell>
          <cell r="DW61">
            <v>0</v>
          </cell>
          <cell r="DX61">
            <v>0</v>
          </cell>
          <cell r="DY61">
            <v>0</v>
          </cell>
        </row>
        <row r="62">
          <cell r="F62">
            <v>0</v>
          </cell>
          <cell r="G62">
            <v>0</v>
          </cell>
          <cell r="H62">
            <v>0</v>
          </cell>
          <cell r="I62">
            <v>0</v>
          </cell>
          <cell r="AX62">
            <v>0</v>
          </cell>
          <cell r="AY62">
            <v>0</v>
          </cell>
          <cell r="AZ62">
            <v>0</v>
          </cell>
          <cell r="BA62">
            <v>0</v>
          </cell>
          <cell r="CP62">
            <v>0</v>
          </cell>
          <cell r="CQ62">
            <v>0</v>
          </cell>
          <cell r="CR62">
            <v>0</v>
          </cell>
          <cell r="CS62">
            <v>0</v>
          </cell>
          <cell r="CX62">
            <v>0</v>
          </cell>
          <cell r="CY62">
            <v>0</v>
          </cell>
          <cell r="CZ62">
            <v>0</v>
          </cell>
          <cell r="DA62">
            <v>0</v>
          </cell>
          <cell r="DF62">
            <v>0</v>
          </cell>
          <cell r="DG62">
            <v>0</v>
          </cell>
          <cell r="DH62">
            <v>0</v>
          </cell>
          <cell r="DI62">
            <v>0</v>
          </cell>
          <cell r="DN62">
            <v>0</v>
          </cell>
          <cell r="DO62">
            <v>0</v>
          </cell>
          <cell r="DP62">
            <v>0</v>
          </cell>
          <cell r="DQ62">
            <v>0</v>
          </cell>
          <cell r="DV62">
            <v>0</v>
          </cell>
          <cell r="DW62">
            <v>0</v>
          </cell>
          <cell r="DX62">
            <v>0</v>
          </cell>
          <cell r="DY62">
            <v>0</v>
          </cell>
        </row>
        <row r="63">
          <cell r="F63">
            <v>0</v>
          </cell>
          <cell r="G63">
            <v>0</v>
          </cell>
          <cell r="H63">
            <v>0</v>
          </cell>
          <cell r="I63">
            <v>0</v>
          </cell>
          <cell r="N63">
            <v>0</v>
          </cell>
          <cell r="O63">
            <v>0</v>
          </cell>
          <cell r="P63">
            <v>0</v>
          </cell>
          <cell r="T63">
            <v>0</v>
          </cell>
          <cell r="U63">
            <v>0</v>
          </cell>
          <cell r="V63">
            <v>0</v>
          </cell>
          <cell r="Z63">
            <v>0</v>
          </cell>
          <cell r="AA63">
            <v>0</v>
          </cell>
          <cell r="AB63">
            <v>0</v>
          </cell>
          <cell r="AF63">
            <v>0</v>
          </cell>
          <cell r="AG63">
            <v>0</v>
          </cell>
          <cell r="AH63">
            <v>0</v>
          </cell>
          <cell r="AL63">
            <v>0</v>
          </cell>
          <cell r="AM63">
            <v>0</v>
          </cell>
          <cell r="AN63">
            <v>0</v>
          </cell>
          <cell r="AR63">
            <v>0</v>
          </cell>
          <cell r="AS63">
            <v>0</v>
          </cell>
          <cell r="AT63">
            <v>0</v>
          </cell>
          <cell r="AX63">
            <v>0</v>
          </cell>
          <cell r="AY63">
            <v>0</v>
          </cell>
          <cell r="AZ63">
            <v>0</v>
          </cell>
          <cell r="BA63">
            <v>0</v>
          </cell>
          <cell r="BF63">
            <v>0</v>
          </cell>
          <cell r="BG63">
            <v>0</v>
          </cell>
          <cell r="BH63">
            <v>0</v>
          </cell>
          <cell r="BL63">
            <v>0</v>
          </cell>
          <cell r="BM63">
            <v>0</v>
          </cell>
          <cell r="BN63">
            <v>0</v>
          </cell>
          <cell r="BR63">
            <v>0</v>
          </cell>
          <cell r="BS63">
            <v>0</v>
          </cell>
          <cell r="BT63">
            <v>0</v>
          </cell>
          <cell r="BX63">
            <v>0</v>
          </cell>
          <cell r="BY63">
            <v>0</v>
          </cell>
          <cell r="BZ63">
            <v>0</v>
          </cell>
          <cell r="CD63">
            <v>0</v>
          </cell>
          <cell r="CE63">
            <v>0</v>
          </cell>
          <cell r="CF63">
            <v>0</v>
          </cell>
          <cell r="CJ63">
            <v>0</v>
          </cell>
          <cell r="CK63">
            <v>0</v>
          </cell>
          <cell r="CL63">
            <v>0</v>
          </cell>
          <cell r="CP63">
            <v>0</v>
          </cell>
          <cell r="CQ63">
            <v>0</v>
          </cell>
          <cell r="CR63">
            <v>0</v>
          </cell>
          <cell r="CS63">
            <v>0</v>
          </cell>
          <cell r="CX63">
            <v>0</v>
          </cell>
          <cell r="CY63">
            <v>0</v>
          </cell>
          <cell r="CZ63">
            <v>0</v>
          </cell>
          <cell r="DA63">
            <v>0</v>
          </cell>
          <cell r="DF63">
            <v>0</v>
          </cell>
          <cell r="DG63">
            <v>0</v>
          </cell>
          <cell r="DH63">
            <v>0</v>
          </cell>
          <cell r="DI63">
            <v>0</v>
          </cell>
          <cell r="DN63">
            <v>0</v>
          </cell>
          <cell r="DO63">
            <v>0</v>
          </cell>
          <cell r="DP63">
            <v>0</v>
          </cell>
          <cell r="DQ63">
            <v>0</v>
          </cell>
          <cell r="DV63">
            <v>0</v>
          </cell>
          <cell r="DW63">
            <v>0</v>
          </cell>
          <cell r="DX63">
            <v>0</v>
          </cell>
          <cell r="DY63">
            <v>0</v>
          </cell>
        </row>
        <row r="64">
          <cell r="F64">
            <v>0</v>
          </cell>
          <cell r="G64">
            <v>0</v>
          </cell>
          <cell r="H64">
            <v>0</v>
          </cell>
          <cell r="I64">
            <v>0</v>
          </cell>
          <cell r="AX64">
            <v>0</v>
          </cell>
          <cell r="AY64">
            <v>0</v>
          </cell>
          <cell r="AZ64">
            <v>0</v>
          </cell>
          <cell r="BA64">
            <v>0</v>
          </cell>
          <cell r="CP64">
            <v>0</v>
          </cell>
          <cell r="CQ64">
            <v>0</v>
          </cell>
          <cell r="CR64">
            <v>0</v>
          </cell>
          <cell r="CS64">
            <v>0</v>
          </cell>
          <cell r="CX64">
            <v>0</v>
          </cell>
          <cell r="CY64">
            <v>0</v>
          </cell>
          <cell r="CZ64">
            <v>0</v>
          </cell>
          <cell r="DA64">
            <v>0</v>
          </cell>
          <cell r="DF64">
            <v>0</v>
          </cell>
          <cell r="DG64">
            <v>0</v>
          </cell>
          <cell r="DH64">
            <v>0</v>
          </cell>
          <cell r="DI64">
            <v>0</v>
          </cell>
          <cell r="DN64">
            <v>0</v>
          </cell>
          <cell r="DO64">
            <v>0</v>
          </cell>
          <cell r="DP64">
            <v>0</v>
          </cell>
          <cell r="DQ64">
            <v>0</v>
          </cell>
          <cell r="DV64">
            <v>0</v>
          </cell>
          <cell r="DW64">
            <v>0</v>
          </cell>
          <cell r="DX64">
            <v>0</v>
          </cell>
          <cell r="DY64">
            <v>0</v>
          </cell>
        </row>
        <row r="65">
          <cell r="F65">
            <v>46400</v>
          </cell>
          <cell r="G65">
            <v>1903</v>
          </cell>
          <cell r="H65">
            <v>741.29499999999985</v>
          </cell>
          <cell r="I65">
            <v>38.954019968470824</v>
          </cell>
          <cell r="N65">
            <v>3500</v>
          </cell>
          <cell r="O65">
            <v>144</v>
          </cell>
          <cell r="P65">
            <v>56.395000000000003</v>
          </cell>
          <cell r="T65">
            <v>4600</v>
          </cell>
          <cell r="U65">
            <v>189</v>
          </cell>
          <cell r="V65">
            <v>73.816000000000003</v>
          </cell>
          <cell r="Z65">
            <v>4100</v>
          </cell>
          <cell r="AA65">
            <v>168</v>
          </cell>
          <cell r="AB65">
            <v>65.376999999999995</v>
          </cell>
          <cell r="AF65">
            <v>4200</v>
          </cell>
          <cell r="AG65">
            <v>172</v>
          </cell>
          <cell r="AH65">
            <v>66.831999999999994</v>
          </cell>
          <cell r="AL65">
            <v>4500</v>
          </cell>
          <cell r="AM65">
            <v>185</v>
          </cell>
          <cell r="AN65">
            <v>72.319999999999993</v>
          </cell>
          <cell r="AR65">
            <v>4000</v>
          </cell>
          <cell r="AS65">
            <v>164</v>
          </cell>
          <cell r="AT65">
            <v>63.84</v>
          </cell>
          <cell r="AX65">
            <v>24900</v>
          </cell>
          <cell r="AY65">
            <v>1022</v>
          </cell>
          <cell r="AZ65">
            <v>398.57999999999993</v>
          </cell>
          <cell r="BA65">
            <v>38.999999999999993</v>
          </cell>
          <cell r="BF65">
            <v>3500</v>
          </cell>
          <cell r="BG65">
            <v>144</v>
          </cell>
          <cell r="BH65">
            <v>56.395000000000003</v>
          </cell>
          <cell r="BL65">
            <v>3300</v>
          </cell>
          <cell r="BM65">
            <v>135</v>
          </cell>
          <cell r="BN65">
            <v>52.368000000000002</v>
          </cell>
          <cell r="BR65">
            <v>4300</v>
          </cell>
          <cell r="BS65">
            <v>176</v>
          </cell>
          <cell r="BT65">
            <v>68.328000000000003</v>
          </cell>
          <cell r="BX65">
            <v>4000</v>
          </cell>
          <cell r="BY65">
            <v>164</v>
          </cell>
          <cell r="BZ65">
            <v>63.88</v>
          </cell>
          <cell r="CD65">
            <v>3300</v>
          </cell>
          <cell r="CE65">
            <v>135</v>
          </cell>
          <cell r="CF65">
            <v>52.368000000000002</v>
          </cell>
          <cell r="CJ65">
            <v>3100</v>
          </cell>
          <cell r="CK65">
            <v>127</v>
          </cell>
          <cell r="CL65">
            <v>49.375999999999998</v>
          </cell>
          <cell r="CP65">
            <v>21500</v>
          </cell>
          <cell r="CQ65">
            <v>881</v>
          </cell>
          <cell r="CR65">
            <v>342.71499999999997</v>
          </cell>
          <cell r="CS65">
            <v>38.900681044267877</v>
          </cell>
          <cell r="CX65">
            <v>12200</v>
          </cell>
          <cell r="CY65">
            <v>501</v>
          </cell>
          <cell r="CZ65">
            <v>195.58800000000002</v>
          </cell>
          <cell r="DA65">
            <v>39.039520958083834</v>
          </cell>
          <cell r="DF65">
            <v>12700</v>
          </cell>
          <cell r="DG65">
            <v>521</v>
          </cell>
          <cell r="DH65">
            <v>202.99199999999999</v>
          </cell>
          <cell r="DI65">
            <v>38.961996161228406</v>
          </cell>
          <cell r="DN65">
            <v>11100</v>
          </cell>
          <cell r="DO65">
            <v>455</v>
          </cell>
          <cell r="DP65">
            <v>177.09100000000001</v>
          </cell>
          <cell r="DQ65">
            <v>38.921098901098908</v>
          </cell>
          <cell r="DV65">
            <v>10400</v>
          </cell>
          <cell r="DW65">
            <v>426</v>
          </cell>
          <cell r="DX65">
            <v>165.624</v>
          </cell>
          <cell r="DY65">
            <v>38.878873239436615</v>
          </cell>
        </row>
        <row r="66">
          <cell r="F66">
            <v>0</v>
          </cell>
          <cell r="G66">
            <v>0</v>
          </cell>
          <cell r="H66">
            <v>0</v>
          </cell>
          <cell r="I66">
            <v>0</v>
          </cell>
          <cell r="AX66">
            <v>0</v>
          </cell>
          <cell r="AY66">
            <v>0</v>
          </cell>
          <cell r="AZ66">
            <v>0</v>
          </cell>
          <cell r="BA66">
            <v>0</v>
          </cell>
          <cell r="CP66">
            <v>0</v>
          </cell>
          <cell r="CQ66">
            <v>0</v>
          </cell>
          <cell r="CR66">
            <v>0</v>
          </cell>
          <cell r="CS66">
            <v>0</v>
          </cell>
          <cell r="CX66">
            <v>0</v>
          </cell>
          <cell r="CY66">
            <v>0</v>
          </cell>
          <cell r="CZ66">
            <v>0</v>
          </cell>
          <cell r="DA66">
            <v>0</v>
          </cell>
          <cell r="DF66">
            <v>0</v>
          </cell>
          <cell r="DG66">
            <v>0</v>
          </cell>
          <cell r="DH66">
            <v>0</v>
          </cell>
          <cell r="DI66">
            <v>0</v>
          </cell>
          <cell r="DN66">
            <v>0</v>
          </cell>
          <cell r="DO66">
            <v>0</v>
          </cell>
          <cell r="DP66">
            <v>0</v>
          </cell>
          <cell r="DQ66">
            <v>0</v>
          </cell>
          <cell r="DV66">
            <v>0</v>
          </cell>
          <cell r="DW66">
            <v>0</v>
          </cell>
          <cell r="DX66">
            <v>0</v>
          </cell>
          <cell r="DY66">
            <v>0</v>
          </cell>
        </row>
        <row r="67">
          <cell r="F67">
            <v>25200</v>
          </cell>
          <cell r="G67">
            <v>1702</v>
          </cell>
          <cell r="H67">
            <v>893.18200000000002</v>
          </cell>
          <cell r="I67">
            <v>52.478378378378373</v>
          </cell>
          <cell r="N67">
            <v>1900</v>
          </cell>
          <cell r="O67">
            <v>128</v>
          </cell>
          <cell r="P67">
            <v>68.073999999999998</v>
          </cell>
          <cell r="T67">
            <v>2500</v>
          </cell>
          <cell r="U67">
            <v>169</v>
          </cell>
          <cell r="V67">
            <v>89.55</v>
          </cell>
          <cell r="Z67">
            <v>2300</v>
          </cell>
          <cell r="AA67">
            <v>155</v>
          </cell>
          <cell r="AB67">
            <v>81.537999999999997</v>
          </cell>
          <cell r="AF67">
            <v>2400</v>
          </cell>
          <cell r="AG67">
            <v>162</v>
          </cell>
          <cell r="AH67">
            <v>85.055999999999997</v>
          </cell>
          <cell r="AL67">
            <v>2500</v>
          </cell>
          <cell r="AM67">
            <v>169</v>
          </cell>
          <cell r="AN67">
            <v>88.65</v>
          </cell>
          <cell r="AR67">
            <v>2300</v>
          </cell>
          <cell r="AS67">
            <v>155</v>
          </cell>
          <cell r="AT67">
            <v>80.962999999999994</v>
          </cell>
          <cell r="AX67">
            <v>13900</v>
          </cell>
          <cell r="AY67">
            <v>938</v>
          </cell>
          <cell r="AZ67">
            <v>493.83100000000002</v>
          </cell>
          <cell r="BA67">
            <v>52.647228144989342</v>
          </cell>
          <cell r="BF67">
            <v>1900</v>
          </cell>
          <cell r="BG67">
            <v>128</v>
          </cell>
          <cell r="BH67">
            <v>66.763000000000005</v>
          </cell>
          <cell r="BL67">
            <v>1800</v>
          </cell>
          <cell r="BM67">
            <v>122</v>
          </cell>
          <cell r="BN67">
            <v>63.95</v>
          </cell>
          <cell r="BR67">
            <v>2000</v>
          </cell>
          <cell r="BS67">
            <v>135</v>
          </cell>
          <cell r="BT67">
            <v>70.459999999999994</v>
          </cell>
          <cell r="BX67">
            <v>2000</v>
          </cell>
          <cell r="BY67">
            <v>135</v>
          </cell>
          <cell r="BZ67">
            <v>70.44</v>
          </cell>
          <cell r="CD67">
            <v>1800</v>
          </cell>
          <cell r="CE67">
            <v>122</v>
          </cell>
          <cell r="CF67">
            <v>63.878</v>
          </cell>
          <cell r="CJ67">
            <v>1800</v>
          </cell>
          <cell r="CK67">
            <v>122</v>
          </cell>
          <cell r="CL67">
            <v>63.86</v>
          </cell>
          <cell r="CP67">
            <v>11300</v>
          </cell>
          <cell r="CQ67">
            <v>764</v>
          </cell>
          <cell r="CR67">
            <v>399.351</v>
          </cell>
          <cell r="CS67">
            <v>52.271073298429314</v>
          </cell>
          <cell r="CX67">
            <v>6700</v>
          </cell>
          <cell r="CY67">
            <v>452</v>
          </cell>
          <cell r="CZ67">
            <v>239.16199999999998</v>
          </cell>
          <cell r="DA67">
            <v>52.911946902654861</v>
          </cell>
          <cell r="DF67">
            <v>7200</v>
          </cell>
          <cell r="DG67">
            <v>486</v>
          </cell>
          <cell r="DH67">
            <v>254.66900000000001</v>
          </cell>
          <cell r="DI67">
            <v>52.401028806584357</v>
          </cell>
          <cell r="DN67">
            <v>5700</v>
          </cell>
          <cell r="DO67">
            <v>385</v>
          </cell>
          <cell r="DP67">
            <v>201.173</v>
          </cell>
          <cell r="DQ67">
            <v>52.25272727272727</v>
          </cell>
          <cell r="DV67">
            <v>5600</v>
          </cell>
          <cell r="DW67">
            <v>379</v>
          </cell>
          <cell r="DX67">
            <v>198.178</v>
          </cell>
          <cell r="DY67">
            <v>52.289709762532979</v>
          </cell>
        </row>
        <row r="68">
          <cell r="F68">
            <v>0</v>
          </cell>
          <cell r="G68">
            <v>0</v>
          </cell>
          <cell r="H68">
            <v>0</v>
          </cell>
          <cell r="I68">
            <v>0</v>
          </cell>
          <cell r="AX68">
            <v>0</v>
          </cell>
          <cell r="AY68">
            <v>0</v>
          </cell>
          <cell r="AZ68">
            <v>0</v>
          </cell>
          <cell r="BA68">
            <v>0</v>
          </cell>
          <cell r="CP68">
            <v>0</v>
          </cell>
          <cell r="CQ68">
            <v>0</v>
          </cell>
          <cell r="CR68">
            <v>0</v>
          </cell>
          <cell r="CS68">
            <v>0</v>
          </cell>
          <cell r="CX68">
            <v>0</v>
          </cell>
          <cell r="CY68">
            <v>0</v>
          </cell>
          <cell r="CZ68">
            <v>0</v>
          </cell>
          <cell r="DA68">
            <v>0</v>
          </cell>
          <cell r="DF68">
            <v>0</v>
          </cell>
          <cell r="DG68">
            <v>0</v>
          </cell>
          <cell r="DH68">
            <v>0</v>
          </cell>
          <cell r="DI68">
            <v>0</v>
          </cell>
          <cell r="DN68">
            <v>0</v>
          </cell>
          <cell r="DO68">
            <v>0</v>
          </cell>
          <cell r="DP68">
            <v>0</v>
          </cell>
          <cell r="DQ68">
            <v>0</v>
          </cell>
          <cell r="DV68">
            <v>0</v>
          </cell>
          <cell r="DW68">
            <v>0</v>
          </cell>
          <cell r="DX68">
            <v>0</v>
          </cell>
          <cell r="DY68">
            <v>0</v>
          </cell>
        </row>
        <row r="69">
          <cell r="F69">
            <v>0</v>
          </cell>
          <cell r="G69">
            <v>0</v>
          </cell>
          <cell r="H69">
            <v>0</v>
          </cell>
          <cell r="I69">
            <v>0</v>
          </cell>
          <cell r="AX69">
            <v>0</v>
          </cell>
          <cell r="AY69">
            <v>0</v>
          </cell>
          <cell r="AZ69">
            <v>0</v>
          </cell>
          <cell r="BA69">
            <v>0</v>
          </cell>
          <cell r="CP69">
            <v>0</v>
          </cell>
          <cell r="CQ69">
            <v>0</v>
          </cell>
          <cell r="CR69">
            <v>0</v>
          </cell>
          <cell r="CS69">
            <v>0</v>
          </cell>
          <cell r="CX69">
            <v>0</v>
          </cell>
          <cell r="CY69">
            <v>0</v>
          </cell>
          <cell r="CZ69">
            <v>0</v>
          </cell>
          <cell r="DA69">
            <v>0</v>
          </cell>
          <cell r="DF69">
            <v>0</v>
          </cell>
          <cell r="DG69">
            <v>0</v>
          </cell>
          <cell r="DH69">
            <v>0</v>
          </cell>
          <cell r="DI69">
            <v>0</v>
          </cell>
          <cell r="DN69">
            <v>0</v>
          </cell>
          <cell r="DO69">
            <v>0</v>
          </cell>
          <cell r="DP69">
            <v>0</v>
          </cell>
          <cell r="DQ69">
            <v>0</v>
          </cell>
          <cell r="DV69">
            <v>0</v>
          </cell>
          <cell r="DW69">
            <v>0</v>
          </cell>
          <cell r="DX69">
            <v>0</v>
          </cell>
          <cell r="DY69">
            <v>0</v>
          </cell>
        </row>
        <row r="70">
          <cell r="F70">
            <v>128</v>
          </cell>
          <cell r="G70">
            <v>982.4</v>
          </cell>
          <cell r="H70">
            <v>235.68</v>
          </cell>
          <cell r="I70">
            <v>23.990228013029316</v>
          </cell>
          <cell r="O70">
            <v>60.2</v>
          </cell>
          <cell r="P70">
            <v>14.4</v>
          </cell>
          <cell r="U70">
            <v>79</v>
          </cell>
          <cell r="V70">
            <v>18.96</v>
          </cell>
          <cell r="AA70">
            <v>90</v>
          </cell>
          <cell r="AB70">
            <v>21.6</v>
          </cell>
          <cell r="AG70">
            <v>80</v>
          </cell>
          <cell r="AH70">
            <v>19.2</v>
          </cell>
          <cell r="AM70">
            <v>92</v>
          </cell>
          <cell r="AN70">
            <v>22.08</v>
          </cell>
          <cell r="AS70">
            <v>83</v>
          </cell>
          <cell r="AT70">
            <v>19.920000000000002</v>
          </cell>
          <cell r="AX70">
            <v>0</v>
          </cell>
          <cell r="AY70">
            <v>484.2</v>
          </cell>
          <cell r="AZ70">
            <v>116.16000000000003</v>
          </cell>
          <cell r="BA70">
            <v>23.990086741016114</v>
          </cell>
          <cell r="BG70">
            <v>84.2</v>
          </cell>
          <cell r="BH70">
            <v>20.16</v>
          </cell>
          <cell r="BL70">
            <v>25</v>
          </cell>
          <cell r="BM70">
            <v>80</v>
          </cell>
          <cell r="BN70">
            <v>19.2</v>
          </cell>
          <cell r="BR70">
            <v>27</v>
          </cell>
          <cell r="BS70">
            <v>88</v>
          </cell>
          <cell r="BT70">
            <v>21.12</v>
          </cell>
          <cell r="BX70">
            <v>26</v>
          </cell>
          <cell r="BY70">
            <v>85</v>
          </cell>
          <cell r="BZ70">
            <v>20.399999999999999</v>
          </cell>
          <cell r="CD70">
            <v>26</v>
          </cell>
          <cell r="CE70">
            <v>83</v>
          </cell>
          <cell r="CF70">
            <v>19.920000000000002</v>
          </cell>
          <cell r="CJ70">
            <v>24</v>
          </cell>
          <cell r="CK70">
            <v>78</v>
          </cell>
          <cell r="CL70">
            <v>18.72</v>
          </cell>
          <cell r="CP70">
            <v>128</v>
          </cell>
          <cell r="CQ70">
            <v>498.2</v>
          </cell>
          <cell r="CR70">
            <v>119.52</v>
          </cell>
          <cell r="CS70">
            <v>23.990365315134486</v>
          </cell>
          <cell r="CX70">
            <v>0</v>
          </cell>
          <cell r="CY70">
            <v>229.2</v>
          </cell>
          <cell r="CZ70">
            <v>54.96</v>
          </cell>
          <cell r="DA70">
            <v>23.979057591623036</v>
          </cell>
          <cell r="DF70">
            <v>0</v>
          </cell>
          <cell r="DG70">
            <v>255</v>
          </cell>
          <cell r="DH70">
            <v>61.2</v>
          </cell>
          <cell r="DI70">
            <v>24.000000000000004</v>
          </cell>
          <cell r="DN70">
            <v>52</v>
          </cell>
          <cell r="DO70">
            <v>252.2</v>
          </cell>
          <cell r="DP70">
            <v>60.480000000000004</v>
          </cell>
          <cell r="DQ70">
            <v>23.980967486122129</v>
          </cell>
          <cell r="DV70">
            <v>76</v>
          </cell>
          <cell r="DW70">
            <v>246</v>
          </cell>
          <cell r="DX70">
            <v>59.04</v>
          </cell>
          <cell r="DY70">
            <v>24</v>
          </cell>
        </row>
        <row r="71">
          <cell r="F71">
            <v>71728</v>
          </cell>
          <cell r="G71">
            <v>4587.3999999999996</v>
          </cell>
          <cell r="H71">
            <v>1870.1569999999999</v>
          </cell>
          <cell r="I71">
            <v>40.767253782098791</v>
          </cell>
          <cell r="N71">
            <v>5400</v>
          </cell>
          <cell r="O71">
            <v>332.2</v>
          </cell>
          <cell r="P71">
            <v>138.869</v>
          </cell>
          <cell r="T71">
            <v>7100</v>
          </cell>
          <cell r="U71">
            <v>437</v>
          </cell>
          <cell r="V71">
            <v>182.32599999999999</v>
          </cell>
          <cell r="Z71">
            <v>6400</v>
          </cell>
          <cell r="AA71">
            <v>413</v>
          </cell>
          <cell r="AB71">
            <v>168.51499999999999</v>
          </cell>
          <cell r="AF71">
            <v>6600</v>
          </cell>
          <cell r="AG71">
            <v>414</v>
          </cell>
          <cell r="AH71">
            <v>171.08799999999997</v>
          </cell>
          <cell r="AL71">
            <v>7000</v>
          </cell>
          <cell r="AM71">
            <v>446</v>
          </cell>
          <cell r="AN71">
            <v>183.05</v>
          </cell>
          <cell r="AR71">
            <v>6300</v>
          </cell>
          <cell r="AS71">
            <v>402</v>
          </cell>
          <cell r="AT71">
            <v>164.72300000000001</v>
          </cell>
          <cell r="AX71">
            <v>38800</v>
          </cell>
          <cell r="AY71">
            <v>2444.1999999999998</v>
          </cell>
          <cell r="AZ71">
            <v>1008.5709999999999</v>
          </cell>
          <cell r="BA71">
            <v>41.263849112183948</v>
          </cell>
          <cell r="BF71">
            <v>5400</v>
          </cell>
          <cell r="BG71">
            <v>356.2</v>
          </cell>
          <cell r="BH71">
            <v>143.31800000000001</v>
          </cell>
          <cell r="BL71">
            <v>5125</v>
          </cell>
          <cell r="BM71">
            <v>337</v>
          </cell>
          <cell r="BN71">
            <v>135.518</v>
          </cell>
          <cell r="BR71">
            <v>6327</v>
          </cell>
          <cell r="BS71">
            <v>399</v>
          </cell>
          <cell r="BT71">
            <v>159.90800000000002</v>
          </cell>
          <cell r="BX71">
            <v>6026</v>
          </cell>
          <cell r="BY71">
            <v>384</v>
          </cell>
          <cell r="BZ71">
            <v>154.72</v>
          </cell>
          <cell r="CD71">
            <v>5126</v>
          </cell>
          <cell r="CE71">
            <v>340</v>
          </cell>
          <cell r="CF71">
            <v>136.166</v>
          </cell>
          <cell r="CJ71">
            <v>4924</v>
          </cell>
          <cell r="CK71">
            <v>327</v>
          </cell>
          <cell r="CL71">
            <v>131.95599999999999</v>
          </cell>
          <cell r="CP71">
            <v>32928</v>
          </cell>
          <cell r="CQ71">
            <v>2143.1999999999998</v>
          </cell>
          <cell r="CR71">
            <v>861.58600000000001</v>
          </cell>
          <cell r="CS71">
            <v>40.200914520343417</v>
          </cell>
          <cell r="CX71">
            <v>18900</v>
          </cell>
          <cell r="CY71">
            <v>1182.2</v>
          </cell>
          <cell r="CZ71">
            <v>489.71</v>
          </cell>
          <cell r="DA71">
            <v>41.423616985281676</v>
          </cell>
          <cell r="DF71">
            <v>19900</v>
          </cell>
          <cell r="DG71">
            <v>1262</v>
          </cell>
          <cell r="DH71">
            <v>518.86099999999999</v>
          </cell>
          <cell r="DI71">
            <v>41.114183835182253</v>
          </cell>
          <cell r="DN71">
            <v>16852</v>
          </cell>
          <cell r="DO71">
            <v>1092.2</v>
          </cell>
          <cell r="DP71">
            <v>438.74400000000003</v>
          </cell>
          <cell r="DQ71">
            <v>40.170664713422447</v>
          </cell>
          <cell r="DV71">
            <v>16076</v>
          </cell>
          <cell r="DW71">
            <v>1051</v>
          </cell>
          <cell r="DX71">
            <v>422.84200000000004</v>
          </cell>
          <cell r="DY71">
            <v>40.232350142721224</v>
          </cell>
        </row>
        <row r="72">
          <cell r="F72">
            <v>429978</v>
          </cell>
          <cell r="G72">
            <v>73796.399999999994</v>
          </cell>
          <cell r="H72">
            <v>39134.425000000003</v>
          </cell>
          <cell r="I72">
            <v>53.030262993858791</v>
          </cell>
          <cell r="N72">
            <v>28610</v>
          </cell>
          <cell r="O72">
            <v>4794.2</v>
          </cell>
          <cell r="P72">
            <v>2340.038</v>
          </cell>
          <cell r="T72">
            <v>39860</v>
          </cell>
          <cell r="U72">
            <v>6627</v>
          </cell>
          <cell r="V72">
            <v>3356.4199999999996</v>
          </cell>
          <cell r="Z72">
            <v>35870</v>
          </cell>
          <cell r="AA72">
            <v>6131</v>
          </cell>
          <cell r="AB72">
            <v>3113.556</v>
          </cell>
          <cell r="AF72">
            <v>38320</v>
          </cell>
          <cell r="AG72">
            <v>6532</v>
          </cell>
          <cell r="AH72">
            <v>3365.4690000000001</v>
          </cell>
          <cell r="AL72">
            <v>41570</v>
          </cell>
          <cell r="AM72">
            <v>7098</v>
          </cell>
          <cell r="AN72">
            <v>3697.1680000000001</v>
          </cell>
          <cell r="AR72">
            <v>37770</v>
          </cell>
          <cell r="AS72">
            <v>6425</v>
          </cell>
          <cell r="AT72">
            <v>3359.884</v>
          </cell>
          <cell r="AX72">
            <v>222000</v>
          </cell>
          <cell r="AY72">
            <v>37607.199999999997</v>
          </cell>
          <cell r="AZ72">
            <v>19232.535</v>
          </cell>
          <cell r="BA72">
            <v>51.14056616818057</v>
          </cell>
          <cell r="BF72">
            <v>37500</v>
          </cell>
          <cell r="BG72">
            <v>6420.2</v>
          </cell>
          <cell r="BH72">
            <v>3451.989</v>
          </cell>
          <cell r="BL72">
            <v>34775</v>
          </cell>
          <cell r="BM72">
            <v>6026</v>
          </cell>
          <cell r="BN72">
            <v>3285.0569999999998</v>
          </cell>
          <cell r="BR72">
            <v>35777</v>
          </cell>
          <cell r="BS72">
            <v>6112</v>
          </cell>
          <cell r="BT72">
            <v>3340.8789999999999</v>
          </cell>
          <cell r="BX72">
            <v>35726</v>
          </cell>
          <cell r="BY72">
            <v>6225</v>
          </cell>
          <cell r="BZ72">
            <v>3454.547</v>
          </cell>
          <cell r="CD72">
            <v>32926</v>
          </cell>
          <cell r="CE72">
            <v>5853</v>
          </cell>
          <cell r="CF72">
            <v>3265.0009999999997</v>
          </cell>
          <cell r="CJ72">
            <v>31274</v>
          </cell>
          <cell r="CK72">
            <v>5553</v>
          </cell>
          <cell r="CL72">
            <v>3104.4169999999999</v>
          </cell>
          <cell r="CP72">
            <v>207978</v>
          </cell>
          <cell r="CQ72">
            <v>36189.199999999997</v>
          </cell>
          <cell r="CR72">
            <v>19901.890000000003</v>
          </cell>
          <cell r="CS72">
            <v>54.994003735921225</v>
          </cell>
          <cell r="CX72">
            <v>104340</v>
          </cell>
          <cell r="CY72">
            <v>17552.2</v>
          </cell>
          <cell r="CZ72">
            <v>8810.0139999999992</v>
          </cell>
          <cell r="DA72">
            <v>50.193217944189328</v>
          </cell>
          <cell r="DF72">
            <v>117660</v>
          </cell>
          <cell r="DG72">
            <v>20055</v>
          </cell>
          <cell r="DH72">
            <v>10422.520999999999</v>
          </cell>
          <cell r="DI72">
            <v>51.969688357018192</v>
          </cell>
          <cell r="DN72">
            <v>108052</v>
          </cell>
          <cell r="DO72">
            <v>18558.2</v>
          </cell>
          <cell r="DP72">
            <v>10077.924999999999</v>
          </cell>
          <cell r="DQ72">
            <v>54.304431464258386</v>
          </cell>
          <cell r="DV72">
            <v>99926</v>
          </cell>
          <cell r="DW72">
            <v>17631</v>
          </cell>
          <cell r="DX72">
            <v>9823.965000000002</v>
          </cell>
          <cell r="DY72">
            <v>55.719840054449563</v>
          </cell>
        </row>
        <row r="73">
          <cell r="F73">
            <v>29700</v>
          </cell>
          <cell r="G73">
            <v>1228</v>
          </cell>
          <cell r="H73">
            <v>497.01300000000003</v>
          </cell>
          <cell r="I73">
            <v>40.473371335504886</v>
          </cell>
          <cell r="N73">
            <v>1900</v>
          </cell>
          <cell r="O73">
            <v>81</v>
          </cell>
          <cell r="P73">
            <v>32.835999999999999</v>
          </cell>
          <cell r="T73">
            <v>2500</v>
          </cell>
          <cell r="U73">
            <v>107</v>
          </cell>
          <cell r="V73">
            <v>44.93</v>
          </cell>
          <cell r="Z73">
            <v>2300</v>
          </cell>
          <cell r="AA73">
            <v>98</v>
          </cell>
          <cell r="AB73">
            <v>43.137999999999998</v>
          </cell>
          <cell r="AF73">
            <v>2500</v>
          </cell>
          <cell r="AG73">
            <v>107</v>
          </cell>
          <cell r="AH73">
            <v>49.500999999999998</v>
          </cell>
          <cell r="AL73">
            <v>3000</v>
          </cell>
          <cell r="AM73">
            <v>128</v>
          </cell>
          <cell r="AN73">
            <v>54.076999999999998</v>
          </cell>
          <cell r="AR73">
            <v>2500</v>
          </cell>
          <cell r="AS73">
            <v>107</v>
          </cell>
          <cell r="AT73">
            <v>49.493000000000002</v>
          </cell>
          <cell r="AX73">
            <v>14700</v>
          </cell>
          <cell r="AY73">
            <v>628</v>
          </cell>
          <cell r="AZ73">
            <v>273.97500000000002</v>
          </cell>
          <cell r="BA73">
            <v>43.626592356687901</v>
          </cell>
          <cell r="BF73">
            <v>2500</v>
          </cell>
          <cell r="BG73">
            <v>100</v>
          </cell>
          <cell r="BH73">
            <v>40.692999999999998</v>
          </cell>
          <cell r="BL73">
            <v>2500</v>
          </cell>
          <cell r="BM73">
            <v>100</v>
          </cell>
          <cell r="BN73">
            <v>36.436</v>
          </cell>
          <cell r="BR73">
            <v>3000</v>
          </cell>
          <cell r="BS73">
            <v>120</v>
          </cell>
          <cell r="BT73">
            <v>43.576000000000001</v>
          </cell>
          <cell r="BX73">
            <v>2500</v>
          </cell>
          <cell r="BY73">
            <v>100</v>
          </cell>
          <cell r="BZ73">
            <v>36.436</v>
          </cell>
          <cell r="CD73">
            <v>2000</v>
          </cell>
          <cell r="CE73">
            <v>80</v>
          </cell>
          <cell r="CF73">
            <v>29.454999999999998</v>
          </cell>
          <cell r="CJ73">
            <v>2500</v>
          </cell>
          <cell r="CK73">
            <v>100</v>
          </cell>
          <cell r="CL73">
            <v>36.442</v>
          </cell>
          <cell r="CP73">
            <v>15000</v>
          </cell>
          <cell r="CQ73">
            <v>600</v>
          </cell>
          <cell r="CR73">
            <v>223.03800000000001</v>
          </cell>
          <cell r="CS73">
            <v>37.173000000000002</v>
          </cell>
          <cell r="CX73">
            <v>6700</v>
          </cell>
          <cell r="CY73">
            <v>286</v>
          </cell>
          <cell r="CZ73">
            <v>120.904</v>
          </cell>
          <cell r="DA73">
            <v>42.274125874125872</v>
          </cell>
          <cell r="DF73">
            <v>8000</v>
          </cell>
          <cell r="DG73">
            <v>342</v>
          </cell>
          <cell r="DH73">
            <v>153.071</v>
          </cell>
          <cell r="DI73">
            <v>44.757602339181283</v>
          </cell>
          <cell r="DN73">
            <v>8000</v>
          </cell>
          <cell r="DO73">
            <v>320</v>
          </cell>
          <cell r="DP73">
            <v>120.70499999999998</v>
          </cell>
          <cell r="DQ73">
            <v>37.720312499999999</v>
          </cell>
          <cell r="DV73">
            <v>7000</v>
          </cell>
          <cell r="DW73">
            <v>280</v>
          </cell>
          <cell r="DX73">
            <v>102.333</v>
          </cell>
          <cell r="DY73">
            <v>36.547499999999999</v>
          </cell>
        </row>
        <row r="74">
          <cell r="F74">
            <v>0</v>
          </cell>
          <cell r="G74">
            <v>4062</v>
          </cell>
          <cell r="H74">
            <v>203.10000000000002</v>
          </cell>
          <cell r="I74">
            <v>5</v>
          </cell>
          <cell r="N74">
            <v>0</v>
          </cell>
          <cell r="O74">
            <v>80</v>
          </cell>
          <cell r="P74">
            <v>4</v>
          </cell>
          <cell r="T74">
            <v>0</v>
          </cell>
          <cell r="U74">
            <v>80</v>
          </cell>
          <cell r="V74">
            <v>4</v>
          </cell>
          <cell r="Z74">
            <v>0</v>
          </cell>
          <cell r="AA74">
            <v>80</v>
          </cell>
          <cell r="AB74">
            <v>4</v>
          </cell>
          <cell r="AF74">
            <v>0</v>
          </cell>
          <cell r="AG74">
            <v>182</v>
          </cell>
          <cell r="AH74">
            <v>9.1</v>
          </cell>
          <cell r="AL74">
            <v>0</v>
          </cell>
          <cell r="AM74">
            <v>182</v>
          </cell>
          <cell r="AN74">
            <v>9.1</v>
          </cell>
          <cell r="AR74">
            <v>0</v>
          </cell>
          <cell r="AS74">
            <v>212</v>
          </cell>
          <cell r="AT74">
            <v>10.6</v>
          </cell>
          <cell r="AX74">
            <v>0</v>
          </cell>
          <cell r="AY74">
            <v>816</v>
          </cell>
          <cell r="AZ74">
            <v>40.799999999999997</v>
          </cell>
          <cell r="BA74">
            <v>5</v>
          </cell>
          <cell r="BF74">
            <v>0</v>
          </cell>
          <cell r="BG74">
            <v>510</v>
          </cell>
          <cell r="BH74">
            <v>25.5</v>
          </cell>
          <cell r="BL74">
            <v>0</v>
          </cell>
          <cell r="BM74">
            <v>510</v>
          </cell>
          <cell r="BN74">
            <v>25.5</v>
          </cell>
          <cell r="BR74">
            <v>0</v>
          </cell>
          <cell r="BS74">
            <v>510</v>
          </cell>
          <cell r="BT74">
            <v>25.5</v>
          </cell>
          <cell r="BX74">
            <v>0</v>
          </cell>
          <cell r="BY74">
            <v>510</v>
          </cell>
          <cell r="BZ74">
            <v>25.5</v>
          </cell>
          <cell r="CD74">
            <v>0</v>
          </cell>
          <cell r="CE74">
            <v>516</v>
          </cell>
          <cell r="CF74">
            <v>25.8</v>
          </cell>
          <cell r="CJ74">
            <v>0</v>
          </cell>
          <cell r="CK74">
            <v>690</v>
          </cell>
          <cell r="CL74">
            <v>34.5</v>
          </cell>
          <cell r="CP74">
            <v>0</v>
          </cell>
          <cell r="CQ74">
            <v>3246</v>
          </cell>
          <cell r="CR74">
            <v>162.30000000000001</v>
          </cell>
          <cell r="CS74">
            <v>5</v>
          </cell>
          <cell r="CX74">
            <v>0</v>
          </cell>
          <cell r="CY74">
            <v>240</v>
          </cell>
          <cell r="CZ74">
            <v>12</v>
          </cell>
          <cell r="DA74">
            <v>5</v>
          </cell>
          <cell r="DF74">
            <v>0</v>
          </cell>
          <cell r="DG74">
            <v>576</v>
          </cell>
          <cell r="DH74">
            <v>28.799999999999997</v>
          </cell>
          <cell r="DI74">
            <v>5</v>
          </cell>
          <cell r="DN74">
            <v>0</v>
          </cell>
          <cell r="DO74">
            <v>1530</v>
          </cell>
          <cell r="DP74">
            <v>76.5</v>
          </cell>
          <cell r="DQ74">
            <v>5</v>
          </cell>
          <cell r="DV74">
            <v>0</v>
          </cell>
          <cell r="DW74">
            <v>1716</v>
          </cell>
          <cell r="DX74">
            <v>85.8</v>
          </cell>
          <cell r="DY74">
            <v>5</v>
          </cell>
        </row>
        <row r="75">
          <cell r="F75">
            <v>0</v>
          </cell>
          <cell r="G75">
            <v>1976</v>
          </cell>
          <cell r="H75">
            <v>484.12</v>
          </cell>
          <cell r="I75">
            <v>24.5</v>
          </cell>
          <cell r="N75">
            <v>0</v>
          </cell>
          <cell r="O75">
            <v>125</v>
          </cell>
          <cell r="P75">
            <v>30.625</v>
          </cell>
          <cell r="T75">
            <v>0</v>
          </cell>
          <cell r="U75">
            <v>166</v>
          </cell>
          <cell r="V75">
            <v>40.67</v>
          </cell>
          <cell r="Z75">
            <v>0</v>
          </cell>
          <cell r="AA75">
            <v>171</v>
          </cell>
          <cell r="AB75">
            <v>41.895000000000003</v>
          </cell>
          <cell r="AF75">
            <v>0</v>
          </cell>
          <cell r="AG75">
            <v>161</v>
          </cell>
          <cell r="AH75">
            <v>39.445</v>
          </cell>
          <cell r="AL75">
            <v>0</v>
          </cell>
          <cell r="AM75">
            <v>174</v>
          </cell>
          <cell r="AN75">
            <v>42.63</v>
          </cell>
          <cell r="AR75">
            <v>0</v>
          </cell>
          <cell r="AS75">
            <v>168</v>
          </cell>
          <cell r="AT75">
            <v>41.16</v>
          </cell>
          <cell r="AX75">
            <v>0</v>
          </cell>
          <cell r="AY75">
            <v>965</v>
          </cell>
          <cell r="AZ75">
            <v>236.42500000000001</v>
          </cell>
          <cell r="BA75">
            <v>24.500000000000004</v>
          </cell>
          <cell r="BF75">
            <v>0</v>
          </cell>
          <cell r="BG75">
            <v>180</v>
          </cell>
          <cell r="BH75">
            <v>44.1</v>
          </cell>
          <cell r="BL75">
            <v>0</v>
          </cell>
          <cell r="BM75">
            <v>174</v>
          </cell>
          <cell r="BN75">
            <v>42.63</v>
          </cell>
          <cell r="BR75">
            <v>0</v>
          </cell>
          <cell r="BS75">
            <v>168</v>
          </cell>
          <cell r="BT75">
            <v>41.16</v>
          </cell>
          <cell r="BX75">
            <v>0</v>
          </cell>
          <cell r="BY75">
            <v>175</v>
          </cell>
          <cell r="BZ75">
            <v>42.875</v>
          </cell>
          <cell r="CD75">
            <v>0</v>
          </cell>
          <cell r="CE75">
            <v>167</v>
          </cell>
          <cell r="CF75">
            <v>40.914999999999999</v>
          </cell>
          <cell r="CJ75">
            <v>0</v>
          </cell>
          <cell r="CK75">
            <v>147</v>
          </cell>
          <cell r="CL75">
            <v>36.015000000000001</v>
          </cell>
          <cell r="CP75">
            <v>0</v>
          </cell>
          <cell r="CQ75">
            <v>1011</v>
          </cell>
          <cell r="CR75">
            <v>247.69499999999999</v>
          </cell>
          <cell r="CS75">
            <v>24.5</v>
          </cell>
          <cell r="CX75">
            <v>0</v>
          </cell>
          <cell r="CY75">
            <v>462</v>
          </cell>
          <cell r="CZ75">
            <v>113.19</v>
          </cell>
          <cell r="DA75">
            <v>24.5</v>
          </cell>
          <cell r="DF75">
            <v>0</v>
          </cell>
          <cell r="DG75">
            <v>503</v>
          </cell>
          <cell r="DH75">
            <v>123.235</v>
          </cell>
          <cell r="DI75">
            <v>24.5</v>
          </cell>
          <cell r="DN75">
            <v>0</v>
          </cell>
          <cell r="DO75">
            <v>522</v>
          </cell>
          <cell r="DP75">
            <v>127.89</v>
          </cell>
          <cell r="DQ75">
            <v>24.5</v>
          </cell>
          <cell r="DV75">
            <v>0</v>
          </cell>
          <cell r="DW75">
            <v>489</v>
          </cell>
          <cell r="DX75">
            <v>119.80499999999999</v>
          </cell>
          <cell r="DY75">
            <v>24.5</v>
          </cell>
        </row>
        <row r="76">
          <cell r="F76">
            <v>0</v>
          </cell>
          <cell r="G76">
            <v>0</v>
          </cell>
          <cell r="H76">
            <v>0</v>
          </cell>
          <cell r="I76">
            <v>0</v>
          </cell>
          <cell r="N76">
            <v>0</v>
          </cell>
          <cell r="AR76">
            <v>0</v>
          </cell>
          <cell r="AX76">
            <v>0</v>
          </cell>
          <cell r="AY76">
            <v>0</v>
          </cell>
          <cell r="AZ76">
            <v>0</v>
          </cell>
          <cell r="BA76">
            <v>0</v>
          </cell>
          <cell r="BF76">
            <v>0</v>
          </cell>
          <cell r="BL76">
            <v>0</v>
          </cell>
          <cell r="BR76">
            <v>0</v>
          </cell>
          <cell r="BX76">
            <v>0</v>
          </cell>
          <cell r="CD76">
            <v>0</v>
          </cell>
          <cell r="CJ76">
            <v>0</v>
          </cell>
          <cell r="CP76">
            <v>0</v>
          </cell>
          <cell r="CQ76">
            <v>0</v>
          </cell>
          <cell r="CR76">
            <v>0</v>
          </cell>
          <cell r="CS76">
            <v>0</v>
          </cell>
          <cell r="CX76">
            <v>0</v>
          </cell>
          <cell r="CY76">
            <v>0</v>
          </cell>
          <cell r="CZ76">
            <v>0</v>
          </cell>
          <cell r="DA76">
            <v>0</v>
          </cell>
          <cell r="DF76">
            <v>0</v>
          </cell>
          <cell r="DG76">
            <v>0</v>
          </cell>
          <cell r="DH76">
            <v>0</v>
          </cell>
          <cell r="DI76">
            <v>0</v>
          </cell>
          <cell r="DN76">
            <v>0</v>
          </cell>
          <cell r="DO76">
            <v>0</v>
          </cell>
          <cell r="DP76">
            <v>0</v>
          </cell>
          <cell r="DQ76">
            <v>0</v>
          </cell>
          <cell r="DV76">
            <v>0</v>
          </cell>
          <cell r="DW76">
            <v>0</v>
          </cell>
          <cell r="DX76">
            <v>0</v>
          </cell>
          <cell r="DY76">
            <v>0</v>
          </cell>
        </row>
        <row r="77">
          <cell r="F77">
            <v>429978</v>
          </cell>
          <cell r="G77">
            <v>81062.399999999994</v>
          </cell>
          <cell r="H77">
            <v>40318.658000000003</v>
          </cell>
          <cell r="I77">
            <v>49.737804456813521</v>
          </cell>
          <cell r="N77">
            <v>28610</v>
          </cell>
          <cell r="O77">
            <v>5080.2</v>
          </cell>
          <cell r="P77">
            <v>2407.4989999999998</v>
          </cell>
          <cell r="T77">
            <v>39860</v>
          </cell>
          <cell r="U77">
            <v>6980</v>
          </cell>
          <cell r="V77">
            <v>3446.0199999999995</v>
          </cell>
          <cell r="Z77">
            <v>35870</v>
          </cell>
          <cell r="AA77">
            <v>6480</v>
          </cell>
          <cell r="AB77">
            <v>3202.5889999999999</v>
          </cell>
          <cell r="AF77">
            <v>38320</v>
          </cell>
          <cell r="AG77">
            <v>6982</v>
          </cell>
          <cell r="AH77">
            <v>3463.5150000000003</v>
          </cell>
          <cell r="AL77">
            <v>41570</v>
          </cell>
          <cell r="AM77">
            <v>7582</v>
          </cell>
          <cell r="AN77">
            <v>3802.9749999999999</v>
          </cell>
          <cell r="AR77">
            <v>37770</v>
          </cell>
          <cell r="AS77">
            <v>6912</v>
          </cell>
          <cell r="AT77">
            <v>3461.1369999999997</v>
          </cell>
          <cell r="AX77">
            <v>222000</v>
          </cell>
          <cell r="AY77">
            <v>40016.199999999997</v>
          </cell>
          <cell r="AZ77">
            <v>19783.734999999997</v>
          </cell>
          <cell r="BA77">
            <v>49.439314577596072</v>
          </cell>
          <cell r="BF77">
            <v>37500</v>
          </cell>
          <cell r="BG77">
            <v>7210.2</v>
          </cell>
          <cell r="BH77">
            <v>3562.2820000000002</v>
          </cell>
          <cell r="BL77">
            <v>34775</v>
          </cell>
          <cell r="BM77">
            <v>6810</v>
          </cell>
          <cell r="BN77">
            <v>3389.623</v>
          </cell>
          <cell r="BR77">
            <v>35777</v>
          </cell>
          <cell r="BS77">
            <v>6910</v>
          </cell>
          <cell r="BT77">
            <v>3451.1149999999998</v>
          </cell>
          <cell r="BX77">
            <v>35726</v>
          </cell>
          <cell r="BY77">
            <v>7010</v>
          </cell>
          <cell r="BZ77">
            <v>3559.3580000000002</v>
          </cell>
          <cell r="CD77">
            <v>32926</v>
          </cell>
          <cell r="CE77">
            <v>6616</v>
          </cell>
          <cell r="CF77">
            <v>3361.1709999999998</v>
          </cell>
          <cell r="CJ77">
            <v>31274</v>
          </cell>
          <cell r="CK77">
            <v>6490</v>
          </cell>
          <cell r="CL77">
            <v>3211.3739999999998</v>
          </cell>
          <cell r="CP77">
            <v>207978</v>
          </cell>
          <cell r="CQ77">
            <v>41046.199999999997</v>
          </cell>
          <cell r="CR77">
            <v>20534.923000000003</v>
          </cell>
          <cell r="CS77">
            <v>50.028804128031346</v>
          </cell>
          <cell r="CX77">
            <v>104340</v>
          </cell>
          <cell r="CY77">
            <v>18540.2</v>
          </cell>
          <cell r="CZ77">
            <v>9056.1080000000002</v>
          </cell>
          <cell r="DA77">
            <v>48.845794543748177</v>
          </cell>
          <cell r="DF77">
            <v>117660</v>
          </cell>
          <cell r="DG77">
            <v>21476</v>
          </cell>
          <cell r="DH77">
            <v>10727.626999999999</v>
          </cell>
          <cell r="DI77">
            <v>49.951699571614824</v>
          </cell>
          <cell r="DN77">
            <v>108052</v>
          </cell>
          <cell r="DO77">
            <v>20930.2</v>
          </cell>
          <cell r="DP77">
            <v>10403.019999999999</v>
          </cell>
          <cell r="DQ77">
            <v>49.703395094170141</v>
          </cell>
          <cell r="DV77">
            <v>99926</v>
          </cell>
          <cell r="DW77">
            <v>20116</v>
          </cell>
          <cell r="DX77">
            <v>10131.903000000002</v>
          </cell>
          <cell r="DY77">
            <v>50.36738417180355</v>
          </cell>
        </row>
        <row r="78">
          <cell r="F78">
            <v>0</v>
          </cell>
          <cell r="G78">
            <v>0</v>
          </cell>
          <cell r="H78">
            <v>0</v>
          </cell>
          <cell r="I78">
            <v>0</v>
          </cell>
          <cell r="N78">
            <v>0</v>
          </cell>
          <cell r="O78">
            <v>0</v>
          </cell>
          <cell r="T78">
            <v>0</v>
          </cell>
          <cell r="U78">
            <v>0</v>
          </cell>
          <cell r="Z78">
            <v>0</v>
          </cell>
          <cell r="AA78">
            <v>0</v>
          </cell>
          <cell r="AF78">
            <v>0</v>
          </cell>
          <cell r="AG78">
            <v>0</v>
          </cell>
          <cell r="AL78">
            <v>0</v>
          </cell>
          <cell r="AM78">
            <v>0</v>
          </cell>
          <cell r="AR78">
            <v>0</v>
          </cell>
          <cell r="AS78">
            <v>0</v>
          </cell>
          <cell r="AX78">
            <v>0</v>
          </cell>
          <cell r="AY78">
            <v>0</v>
          </cell>
          <cell r="AZ78">
            <v>0</v>
          </cell>
          <cell r="BA78">
            <v>0</v>
          </cell>
          <cell r="BF78">
            <v>0</v>
          </cell>
          <cell r="BG78">
            <v>0</v>
          </cell>
          <cell r="BL78">
            <v>0</v>
          </cell>
          <cell r="BM78">
            <v>0</v>
          </cell>
          <cell r="BR78">
            <v>0</v>
          </cell>
          <cell r="BS78">
            <v>0</v>
          </cell>
          <cell r="BX78">
            <v>0</v>
          </cell>
          <cell r="BY78">
            <v>0</v>
          </cell>
          <cell r="CD78">
            <v>0</v>
          </cell>
          <cell r="CE78">
            <v>0</v>
          </cell>
          <cell r="CJ78">
            <v>0</v>
          </cell>
          <cell r="CK78">
            <v>0</v>
          </cell>
          <cell r="CP78">
            <v>0</v>
          </cell>
          <cell r="CQ78">
            <v>0</v>
          </cell>
          <cell r="CR78">
            <v>0</v>
          </cell>
          <cell r="CS78">
            <v>0</v>
          </cell>
          <cell r="CX78">
            <v>0</v>
          </cell>
          <cell r="CY78">
            <v>0</v>
          </cell>
          <cell r="CZ78">
            <v>0</v>
          </cell>
          <cell r="DA78">
            <v>0</v>
          </cell>
          <cell r="DF78">
            <v>0</v>
          </cell>
          <cell r="DG78">
            <v>0</v>
          </cell>
          <cell r="DH78">
            <v>0</v>
          </cell>
          <cell r="DI78">
            <v>0</v>
          </cell>
          <cell r="DN78">
            <v>0</v>
          </cell>
          <cell r="DO78">
            <v>0</v>
          </cell>
          <cell r="DP78">
            <v>0</v>
          </cell>
          <cell r="DQ78">
            <v>0</v>
          </cell>
          <cell r="DV78">
            <v>0</v>
          </cell>
          <cell r="DW78">
            <v>0</v>
          </cell>
          <cell r="DX78">
            <v>0</v>
          </cell>
          <cell r="DY78">
            <v>0</v>
          </cell>
        </row>
        <row r="79">
          <cell r="F79">
            <v>0</v>
          </cell>
          <cell r="G79">
            <v>0</v>
          </cell>
          <cell r="H79">
            <v>0</v>
          </cell>
          <cell r="I79">
            <v>0</v>
          </cell>
          <cell r="N79">
            <v>0</v>
          </cell>
          <cell r="O79">
            <v>0</v>
          </cell>
          <cell r="T79">
            <v>0</v>
          </cell>
          <cell r="U79">
            <v>0</v>
          </cell>
          <cell r="Z79">
            <v>0</v>
          </cell>
          <cell r="AA79">
            <v>0</v>
          </cell>
          <cell r="AF79">
            <v>0</v>
          </cell>
          <cell r="AG79">
            <v>0</v>
          </cell>
          <cell r="AL79">
            <v>0</v>
          </cell>
          <cell r="AM79">
            <v>0</v>
          </cell>
          <cell r="AR79">
            <v>0</v>
          </cell>
          <cell r="AS79">
            <v>0</v>
          </cell>
          <cell r="AX79">
            <v>0</v>
          </cell>
          <cell r="AY79">
            <v>0</v>
          </cell>
          <cell r="AZ79">
            <v>0</v>
          </cell>
          <cell r="BA79">
            <v>0</v>
          </cell>
          <cell r="BF79">
            <v>0</v>
          </cell>
          <cell r="BG79">
            <v>0</v>
          </cell>
          <cell r="BL79">
            <v>0</v>
          </cell>
          <cell r="BM79">
            <v>0</v>
          </cell>
          <cell r="BR79">
            <v>0</v>
          </cell>
          <cell r="BS79">
            <v>0</v>
          </cell>
          <cell r="BX79">
            <v>0</v>
          </cell>
          <cell r="BY79">
            <v>0</v>
          </cell>
          <cell r="CD79">
            <v>0</v>
          </cell>
          <cell r="CE79">
            <v>0</v>
          </cell>
          <cell r="CJ79">
            <v>0</v>
          </cell>
          <cell r="CK79">
            <v>0</v>
          </cell>
          <cell r="CP79">
            <v>0</v>
          </cell>
          <cell r="CQ79">
            <v>0</v>
          </cell>
          <cell r="CR79">
            <v>0</v>
          </cell>
          <cell r="CS79">
            <v>0</v>
          </cell>
          <cell r="CX79">
            <v>0</v>
          </cell>
          <cell r="CY79">
            <v>0</v>
          </cell>
          <cell r="CZ79">
            <v>0</v>
          </cell>
          <cell r="DA79">
            <v>0</v>
          </cell>
          <cell r="DF79">
            <v>0</v>
          </cell>
          <cell r="DG79">
            <v>0</v>
          </cell>
          <cell r="DH79">
            <v>0</v>
          </cell>
          <cell r="DI79">
            <v>0</v>
          </cell>
          <cell r="DN79">
            <v>0</v>
          </cell>
          <cell r="DO79">
            <v>0</v>
          </cell>
          <cell r="DP79">
            <v>0</v>
          </cell>
          <cell r="DQ79">
            <v>0</v>
          </cell>
          <cell r="DV79">
            <v>0</v>
          </cell>
          <cell r="DW79">
            <v>0</v>
          </cell>
          <cell r="DX79">
            <v>0</v>
          </cell>
          <cell r="DY79">
            <v>0</v>
          </cell>
        </row>
        <row r="80">
          <cell r="F80">
            <v>0</v>
          </cell>
          <cell r="G80">
            <v>0</v>
          </cell>
          <cell r="H80">
            <v>0</v>
          </cell>
          <cell r="I80">
            <v>0</v>
          </cell>
          <cell r="N80">
            <v>0</v>
          </cell>
          <cell r="O80">
            <v>0</v>
          </cell>
          <cell r="T80">
            <v>0</v>
          </cell>
          <cell r="U80">
            <v>0</v>
          </cell>
          <cell r="Z80">
            <v>0</v>
          </cell>
          <cell r="AA80">
            <v>0</v>
          </cell>
          <cell r="AF80">
            <v>0</v>
          </cell>
          <cell r="AG80">
            <v>0</v>
          </cell>
          <cell r="AL80">
            <v>0</v>
          </cell>
          <cell r="AM80">
            <v>0</v>
          </cell>
          <cell r="AR80">
            <v>0</v>
          </cell>
          <cell r="AS80">
            <v>0</v>
          </cell>
          <cell r="AX80">
            <v>0</v>
          </cell>
          <cell r="AY80">
            <v>0</v>
          </cell>
          <cell r="AZ80">
            <v>0</v>
          </cell>
          <cell r="BA80">
            <v>0</v>
          </cell>
          <cell r="BF80">
            <v>0</v>
          </cell>
          <cell r="BG80">
            <v>0</v>
          </cell>
          <cell r="BL80">
            <v>0</v>
          </cell>
          <cell r="BM80">
            <v>0</v>
          </cell>
          <cell r="BR80">
            <v>0</v>
          </cell>
          <cell r="BS80">
            <v>0</v>
          </cell>
          <cell r="BX80">
            <v>0</v>
          </cell>
          <cell r="BY80">
            <v>0</v>
          </cell>
          <cell r="CD80">
            <v>0</v>
          </cell>
          <cell r="CE80">
            <v>0</v>
          </cell>
          <cell r="CJ80">
            <v>0</v>
          </cell>
          <cell r="CK80">
            <v>0</v>
          </cell>
          <cell r="CP80">
            <v>0</v>
          </cell>
          <cell r="CQ80">
            <v>0</v>
          </cell>
          <cell r="CR80">
            <v>0</v>
          </cell>
          <cell r="CS80">
            <v>0</v>
          </cell>
          <cell r="CX80">
            <v>0</v>
          </cell>
          <cell r="CY80">
            <v>0</v>
          </cell>
          <cell r="CZ80">
            <v>0</v>
          </cell>
          <cell r="DA80">
            <v>0</v>
          </cell>
          <cell r="DF80">
            <v>0</v>
          </cell>
          <cell r="DG80">
            <v>0</v>
          </cell>
          <cell r="DH80">
            <v>0</v>
          </cell>
          <cell r="DI80">
            <v>0</v>
          </cell>
          <cell r="DN80">
            <v>0</v>
          </cell>
          <cell r="DO80">
            <v>0</v>
          </cell>
          <cell r="DP80">
            <v>0</v>
          </cell>
          <cell r="DQ80">
            <v>0</v>
          </cell>
          <cell r="DV80">
            <v>0</v>
          </cell>
          <cell r="DW80">
            <v>0</v>
          </cell>
          <cell r="DX80">
            <v>0</v>
          </cell>
          <cell r="DY80">
            <v>0</v>
          </cell>
        </row>
        <row r="81">
          <cell r="F81">
            <v>0</v>
          </cell>
          <cell r="G81">
            <v>0</v>
          </cell>
          <cell r="H81">
            <v>0</v>
          </cell>
          <cell r="I81">
            <v>0</v>
          </cell>
          <cell r="N81">
            <v>0</v>
          </cell>
          <cell r="O81">
            <v>0</v>
          </cell>
          <cell r="T81">
            <v>0</v>
          </cell>
          <cell r="U81">
            <v>0</v>
          </cell>
          <cell r="Z81">
            <v>0</v>
          </cell>
          <cell r="AA81">
            <v>0</v>
          </cell>
          <cell r="AF81">
            <v>0</v>
          </cell>
          <cell r="AG81">
            <v>0</v>
          </cell>
          <cell r="AL81">
            <v>0</v>
          </cell>
          <cell r="AM81">
            <v>0</v>
          </cell>
          <cell r="AR81">
            <v>0</v>
          </cell>
          <cell r="AS81">
            <v>0</v>
          </cell>
          <cell r="AX81">
            <v>0</v>
          </cell>
          <cell r="AY81">
            <v>0</v>
          </cell>
          <cell r="AZ81">
            <v>0</v>
          </cell>
          <cell r="BA81">
            <v>0</v>
          </cell>
          <cell r="BF81">
            <v>0</v>
          </cell>
          <cell r="BG81">
            <v>0</v>
          </cell>
          <cell r="BL81">
            <v>0</v>
          </cell>
          <cell r="BM81">
            <v>0</v>
          </cell>
          <cell r="BR81">
            <v>0</v>
          </cell>
          <cell r="BS81">
            <v>0</v>
          </cell>
          <cell r="BX81">
            <v>0</v>
          </cell>
          <cell r="BY81">
            <v>0</v>
          </cell>
          <cell r="CD81">
            <v>0</v>
          </cell>
          <cell r="CE81">
            <v>0</v>
          </cell>
          <cell r="CJ81">
            <v>0</v>
          </cell>
          <cell r="CK81">
            <v>0</v>
          </cell>
          <cell r="CP81">
            <v>0</v>
          </cell>
          <cell r="CQ81">
            <v>0</v>
          </cell>
          <cell r="CR81">
            <v>0</v>
          </cell>
          <cell r="CS81">
            <v>0</v>
          </cell>
          <cell r="CX81">
            <v>0</v>
          </cell>
          <cell r="CY81">
            <v>0</v>
          </cell>
          <cell r="CZ81">
            <v>0</v>
          </cell>
          <cell r="DA81">
            <v>0</v>
          </cell>
          <cell r="DF81">
            <v>0</v>
          </cell>
          <cell r="DG81">
            <v>0</v>
          </cell>
          <cell r="DH81">
            <v>0</v>
          </cell>
          <cell r="DI81">
            <v>0</v>
          </cell>
          <cell r="DN81">
            <v>0</v>
          </cell>
          <cell r="DO81">
            <v>0</v>
          </cell>
          <cell r="DP81">
            <v>0</v>
          </cell>
          <cell r="DQ81">
            <v>0</v>
          </cell>
          <cell r="DV81">
            <v>0</v>
          </cell>
          <cell r="DW81">
            <v>0</v>
          </cell>
          <cell r="DX81">
            <v>0</v>
          </cell>
          <cell r="DY81">
            <v>0</v>
          </cell>
        </row>
        <row r="82">
          <cell r="F82">
            <v>0</v>
          </cell>
          <cell r="G82">
            <v>0</v>
          </cell>
          <cell r="H82">
            <v>0</v>
          </cell>
          <cell r="I82">
            <v>0</v>
          </cell>
          <cell r="N82">
            <v>0</v>
          </cell>
          <cell r="O82">
            <v>0</v>
          </cell>
          <cell r="P82">
            <v>0</v>
          </cell>
          <cell r="T82">
            <v>0</v>
          </cell>
          <cell r="U82">
            <v>0</v>
          </cell>
          <cell r="V82">
            <v>0</v>
          </cell>
          <cell r="Z82">
            <v>0</v>
          </cell>
          <cell r="AA82">
            <v>0</v>
          </cell>
          <cell r="AB82">
            <v>0</v>
          </cell>
          <cell r="AF82">
            <v>0</v>
          </cell>
          <cell r="AG82">
            <v>0</v>
          </cell>
          <cell r="AH82">
            <v>0</v>
          </cell>
          <cell r="AL82">
            <v>0</v>
          </cell>
          <cell r="AM82">
            <v>0</v>
          </cell>
          <cell r="AN82">
            <v>0</v>
          </cell>
          <cell r="AR82">
            <v>0</v>
          </cell>
          <cell r="AS82">
            <v>0</v>
          </cell>
          <cell r="AT82">
            <v>0</v>
          </cell>
          <cell r="AX82">
            <v>0</v>
          </cell>
          <cell r="AY82">
            <v>0</v>
          </cell>
          <cell r="AZ82">
            <v>0</v>
          </cell>
          <cell r="BA82">
            <v>0</v>
          </cell>
          <cell r="BF82">
            <v>0</v>
          </cell>
          <cell r="BG82">
            <v>0</v>
          </cell>
          <cell r="BH82">
            <v>0</v>
          </cell>
          <cell r="BL82">
            <v>0</v>
          </cell>
          <cell r="BM82">
            <v>0</v>
          </cell>
          <cell r="BN82">
            <v>0</v>
          </cell>
          <cell r="BR82">
            <v>0</v>
          </cell>
          <cell r="BS82">
            <v>0</v>
          </cell>
          <cell r="BT82">
            <v>0</v>
          </cell>
          <cell r="BX82">
            <v>0</v>
          </cell>
          <cell r="BY82">
            <v>0</v>
          </cell>
          <cell r="BZ82">
            <v>0</v>
          </cell>
          <cell r="CD82">
            <v>0</v>
          </cell>
          <cell r="CE82">
            <v>0</v>
          </cell>
          <cell r="CF82">
            <v>0</v>
          </cell>
          <cell r="CJ82">
            <v>0</v>
          </cell>
          <cell r="CK82">
            <v>0</v>
          </cell>
          <cell r="CL82">
            <v>0</v>
          </cell>
          <cell r="CP82">
            <v>0</v>
          </cell>
          <cell r="CQ82">
            <v>0</v>
          </cell>
          <cell r="CR82">
            <v>0</v>
          </cell>
          <cell r="CS82">
            <v>0</v>
          </cell>
          <cell r="CX82">
            <v>0</v>
          </cell>
          <cell r="CY82">
            <v>0</v>
          </cell>
          <cell r="CZ82">
            <v>0</v>
          </cell>
          <cell r="DA82">
            <v>0</v>
          </cell>
          <cell r="DF82">
            <v>0</v>
          </cell>
          <cell r="DG82">
            <v>0</v>
          </cell>
          <cell r="DH82">
            <v>0</v>
          </cell>
          <cell r="DI82">
            <v>0</v>
          </cell>
          <cell r="DN82">
            <v>0</v>
          </cell>
          <cell r="DO82">
            <v>0</v>
          </cell>
          <cell r="DP82">
            <v>0</v>
          </cell>
          <cell r="DQ82">
            <v>0</v>
          </cell>
          <cell r="DV82">
            <v>0</v>
          </cell>
          <cell r="DW82">
            <v>0</v>
          </cell>
          <cell r="DX82">
            <v>0</v>
          </cell>
          <cell r="DY82">
            <v>0</v>
          </cell>
        </row>
        <row r="83">
          <cell r="F83">
            <v>0</v>
          </cell>
          <cell r="G83">
            <v>0</v>
          </cell>
          <cell r="H83">
            <v>0</v>
          </cell>
          <cell r="I83">
            <v>0</v>
          </cell>
          <cell r="N83">
            <v>0</v>
          </cell>
          <cell r="O83">
            <v>0</v>
          </cell>
          <cell r="T83">
            <v>0</v>
          </cell>
          <cell r="U83">
            <v>0</v>
          </cell>
          <cell r="Z83">
            <v>0</v>
          </cell>
          <cell r="AA83">
            <v>0</v>
          </cell>
          <cell r="AF83">
            <v>0</v>
          </cell>
          <cell r="AG83">
            <v>0</v>
          </cell>
          <cell r="AL83">
            <v>0</v>
          </cell>
          <cell r="AM83">
            <v>0</v>
          </cell>
          <cell r="AR83">
            <v>0</v>
          </cell>
          <cell r="AS83">
            <v>0</v>
          </cell>
          <cell r="AX83">
            <v>0</v>
          </cell>
          <cell r="AY83">
            <v>0</v>
          </cell>
          <cell r="AZ83">
            <v>0</v>
          </cell>
          <cell r="BA83">
            <v>0</v>
          </cell>
          <cell r="BF83">
            <v>0</v>
          </cell>
          <cell r="BG83">
            <v>0</v>
          </cell>
          <cell r="BL83">
            <v>0</v>
          </cell>
          <cell r="BM83">
            <v>0</v>
          </cell>
          <cell r="BR83">
            <v>0</v>
          </cell>
          <cell r="BS83">
            <v>0</v>
          </cell>
          <cell r="BX83">
            <v>0</v>
          </cell>
          <cell r="BY83">
            <v>0</v>
          </cell>
          <cell r="CD83">
            <v>0</v>
          </cell>
          <cell r="CE83">
            <v>0</v>
          </cell>
          <cell r="CJ83">
            <v>0</v>
          </cell>
          <cell r="CK83">
            <v>0</v>
          </cell>
          <cell r="CP83">
            <v>0</v>
          </cell>
          <cell r="CQ83">
            <v>0</v>
          </cell>
          <cell r="CR83">
            <v>0</v>
          </cell>
          <cell r="CS83">
            <v>0</v>
          </cell>
          <cell r="CX83">
            <v>0</v>
          </cell>
          <cell r="CY83">
            <v>0</v>
          </cell>
          <cell r="CZ83">
            <v>0</v>
          </cell>
          <cell r="DA83">
            <v>0</v>
          </cell>
          <cell r="DF83">
            <v>0</v>
          </cell>
          <cell r="DG83">
            <v>0</v>
          </cell>
          <cell r="DH83">
            <v>0</v>
          </cell>
          <cell r="DI83">
            <v>0</v>
          </cell>
          <cell r="DN83">
            <v>0</v>
          </cell>
          <cell r="DO83">
            <v>0</v>
          </cell>
          <cell r="DP83">
            <v>0</v>
          </cell>
          <cell r="DQ83">
            <v>0</v>
          </cell>
          <cell r="DV83">
            <v>0</v>
          </cell>
          <cell r="DW83">
            <v>0</v>
          </cell>
          <cell r="DX83">
            <v>0</v>
          </cell>
          <cell r="DY83">
            <v>0</v>
          </cell>
        </row>
        <row r="84">
          <cell r="F84">
            <v>0</v>
          </cell>
          <cell r="G84">
            <v>0</v>
          </cell>
          <cell r="H84">
            <v>0</v>
          </cell>
          <cell r="I84">
            <v>0</v>
          </cell>
          <cell r="N84">
            <v>0</v>
          </cell>
          <cell r="O84">
            <v>0</v>
          </cell>
          <cell r="T84">
            <v>0</v>
          </cell>
          <cell r="U84">
            <v>0</v>
          </cell>
          <cell r="Z84">
            <v>0</v>
          </cell>
          <cell r="AA84">
            <v>0</v>
          </cell>
          <cell r="AF84">
            <v>0</v>
          </cell>
          <cell r="AG84">
            <v>0</v>
          </cell>
          <cell r="AL84">
            <v>0</v>
          </cell>
          <cell r="AM84">
            <v>0</v>
          </cell>
          <cell r="AR84">
            <v>0</v>
          </cell>
          <cell r="AS84">
            <v>0</v>
          </cell>
          <cell r="AX84">
            <v>0</v>
          </cell>
          <cell r="AY84">
            <v>0</v>
          </cell>
          <cell r="AZ84">
            <v>0</v>
          </cell>
          <cell r="BA84">
            <v>0</v>
          </cell>
          <cell r="BF84">
            <v>0</v>
          </cell>
          <cell r="BG84">
            <v>0</v>
          </cell>
          <cell r="BL84">
            <v>0</v>
          </cell>
          <cell r="BM84">
            <v>0</v>
          </cell>
          <cell r="BR84">
            <v>0</v>
          </cell>
          <cell r="BS84">
            <v>0</v>
          </cell>
          <cell r="BX84">
            <v>0</v>
          </cell>
          <cell r="BY84">
            <v>0</v>
          </cell>
          <cell r="CD84">
            <v>0</v>
          </cell>
          <cell r="CE84">
            <v>0</v>
          </cell>
          <cell r="CJ84">
            <v>0</v>
          </cell>
          <cell r="CK84">
            <v>0</v>
          </cell>
          <cell r="CP84">
            <v>0</v>
          </cell>
          <cell r="CQ84">
            <v>0</v>
          </cell>
          <cell r="CR84">
            <v>0</v>
          </cell>
          <cell r="CS84">
            <v>0</v>
          </cell>
          <cell r="CX84">
            <v>0</v>
          </cell>
          <cell r="CY84">
            <v>0</v>
          </cell>
          <cell r="CZ84">
            <v>0</v>
          </cell>
          <cell r="DA84">
            <v>0</v>
          </cell>
          <cell r="DF84">
            <v>0</v>
          </cell>
          <cell r="DG84">
            <v>0</v>
          </cell>
          <cell r="DH84">
            <v>0</v>
          </cell>
          <cell r="DI84">
            <v>0</v>
          </cell>
          <cell r="DN84">
            <v>0</v>
          </cell>
          <cell r="DO84">
            <v>0</v>
          </cell>
          <cell r="DP84">
            <v>0</v>
          </cell>
          <cell r="DQ84">
            <v>0</v>
          </cell>
          <cell r="DV84">
            <v>0</v>
          </cell>
          <cell r="DW84">
            <v>0</v>
          </cell>
          <cell r="DX84">
            <v>0</v>
          </cell>
          <cell r="DY84">
            <v>0</v>
          </cell>
        </row>
        <row r="85">
          <cell r="F85">
            <v>90000</v>
          </cell>
          <cell r="G85">
            <v>2411.4398199999996</v>
          </cell>
          <cell r="H85">
            <v>102.06899999999999</v>
          </cell>
          <cell r="I85">
            <v>4.232699450073774</v>
          </cell>
          <cell r="N85">
            <v>5331</v>
          </cell>
          <cell r="O85">
            <v>143.594762</v>
          </cell>
          <cell r="P85">
            <v>2.427</v>
          </cell>
          <cell r="T85">
            <v>5507</v>
          </cell>
          <cell r="U85">
            <v>148.931082</v>
          </cell>
          <cell r="V85">
            <v>6.9530000000000003</v>
          </cell>
          <cell r="Z85">
            <v>6662</v>
          </cell>
          <cell r="AA85">
            <v>181.069524</v>
          </cell>
          <cell r="AB85">
            <v>6.4390000000000001</v>
          </cell>
          <cell r="AF85">
            <v>6526</v>
          </cell>
          <cell r="AG85">
            <v>176.94600399999999</v>
          </cell>
          <cell r="AH85">
            <v>5.0380000000000003</v>
          </cell>
          <cell r="AL85">
            <v>6526</v>
          </cell>
          <cell r="AM85">
            <v>176.94600399999999</v>
          </cell>
          <cell r="AN85">
            <v>5.7290000000000001</v>
          </cell>
          <cell r="AR85">
            <v>6598</v>
          </cell>
          <cell r="AS85">
            <v>179.12904399999999</v>
          </cell>
          <cell r="AT85">
            <v>7.7249999999999996</v>
          </cell>
          <cell r="AX85">
            <v>37150</v>
          </cell>
          <cell r="AY85">
            <v>1006.6164199999998</v>
          </cell>
          <cell r="AZ85">
            <v>34.311</v>
          </cell>
          <cell r="BA85">
            <v>3.4085476173734586</v>
          </cell>
          <cell r="BF85">
            <v>7433.5</v>
          </cell>
          <cell r="BG85">
            <v>197.39610999999999</v>
          </cell>
          <cell r="BH85">
            <v>7.4640000000000004</v>
          </cell>
          <cell r="BL85">
            <v>8649.5</v>
          </cell>
          <cell r="BM85">
            <v>229.68970999999999</v>
          </cell>
          <cell r="BN85">
            <v>10.801</v>
          </cell>
          <cell r="BR85">
            <v>9078.5</v>
          </cell>
          <cell r="BS85">
            <v>241.343378</v>
          </cell>
          <cell r="BT85">
            <v>10.41</v>
          </cell>
          <cell r="BX85">
            <v>10758.5</v>
          </cell>
          <cell r="BY85">
            <v>286.89245</v>
          </cell>
          <cell r="BZ85">
            <v>17.372</v>
          </cell>
          <cell r="CD85">
            <v>9257</v>
          </cell>
          <cell r="CE85">
            <v>246.10461199999997</v>
          </cell>
          <cell r="CF85">
            <v>12.506</v>
          </cell>
          <cell r="CJ85">
            <v>7673</v>
          </cell>
          <cell r="CK85">
            <v>203.39714000000001</v>
          </cell>
          <cell r="CL85">
            <v>9.2050000000000001</v>
          </cell>
          <cell r="CP85">
            <v>52850</v>
          </cell>
          <cell r="CQ85">
            <v>1404.8234</v>
          </cell>
          <cell r="CR85">
            <v>67.757999999999996</v>
          </cell>
          <cell r="CS85">
            <v>4.8232397040083468</v>
          </cell>
          <cell r="CX85">
            <v>17500</v>
          </cell>
          <cell r="CY85">
            <v>473.59536800000001</v>
          </cell>
          <cell r="CZ85">
            <v>15.819000000000001</v>
          </cell>
          <cell r="DA85">
            <v>3.3401931414160284</v>
          </cell>
          <cell r="DF85">
            <v>19650</v>
          </cell>
          <cell r="DG85">
            <v>533.02105199999994</v>
          </cell>
          <cell r="DH85">
            <v>18.491999999999997</v>
          </cell>
          <cell r="DI85">
            <v>3.4692813596413075</v>
          </cell>
          <cell r="DN85">
            <v>25161.5</v>
          </cell>
          <cell r="DO85">
            <v>668.42919800000004</v>
          </cell>
          <cell r="DP85">
            <v>28.675000000000001</v>
          </cell>
          <cell r="DQ85">
            <v>4.2899083531656261</v>
          </cell>
          <cell r="DV85">
            <v>27688.5</v>
          </cell>
          <cell r="DW85">
            <v>736.39420199999995</v>
          </cell>
          <cell r="DX85">
            <v>39.082999999999998</v>
          </cell>
          <cell r="DY85">
            <v>5.3073475991327808</v>
          </cell>
        </row>
        <row r="86">
          <cell r="F86">
            <v>20000</v>
          </cell>
          <cell r="G86">
            <v>660.20002299999999</v>
          </cell>
          <cell r="H86">
            <v>81.53</v>
          </cell>
          <cell r="I86">
            <v>12.349287664293222</v>
          </cell>
          <cell r="N86">
            <v>464</v>
          </cell>
          <cell r="O86">
            <v>15.800017299999999</v>
          </cell>
          <cell r="P86">
            <v>-2.6720000000000002</v>
          </cell>
          <cell r="T86">
            <v>1208</v>
          </cell>
          <cell r="U86">
            <v>40.216713299999995</v>
          </cell>
          <cell r="V86">
            <v>4.508</v>
          </cell>
          <cell r="Z86">
            <v>928</v>
          </cell>
          <cell r="AA86">
            <v>31.600034599999997</v>
          </cell>
          <cell r="AB86">
            <v>4.1959999999999997</v>
          </cell>
          <cell r="AF86">
            <v>1594</v>
          </cell>
          <cell r="AG86">
            <v>53.178778599999994</v>
          </cell>
          <cell r="AH86">
            <v>6.165</v>
          </cell>
          <cell r="AL86">
            <v>1594</v>
          </cell>
          <cell r="AM86">
            <v>53.178778599999994</v>
          </cell>
          <cell r="AN86">
            <v>6.3579999999999997</v>
          </cell>
          <cell r="AR86">
            <v>1612</v>
          </cell>
          <cell r="AS86">
            <v>53.833690599999997</v>
          </cell>
          <cell r="AT86">
            <v>6.9160000000000004</v>
          </cell>
          <cell r="AX86">
            <v>7400</v>
          </cell>
          <cell r="AY86">
            <v>247.80801299999999</v>
          </cell>
          <cell r="AZ86">
            <v>25.470999999999997</v>
          </cell>
          <cell r="BA86">
            <v>10.278521542400648</v>
          </cell>
          <cell r="BF86">
            <v>1924</v>
          </cell>
          <cell r="BG86">
            <v>62.807481500000002</v>
          </cell>
          <cell r="BH86">
            <v>7.7869999999999999</v>
          </cell>
          <cell r="BL86">
            <v>1978</v>
          </cell>
          <cell r="BM86">
            <v>64.725561499999998</v>
          </cell>
          <cell r="BN86">
            <v>8.6549999999999994</v>
          </cell>
          <cell r="BR86">
            <v>2134</v>
          </cell>
          <cell r="BS86">
            <v>69.874281699999997</v>
          </cell>
          <cell r="BT86">
            <v>9.2739999999999991</v>
          </cell>
          <cell r="BX86">
            <v>2749</v>
          </cell>
          <cell r="BY86">
            <v>90.149482500000005</v>
          </cell>
          <cell r="BZ86">
            <v>13.157999999999999</v>
          </cell>
          <cell r="CD86">
            <v>2203</v>
          </cell>
          <cell r="CE86">
            <v>72.128961799999999</v>
          </cell>
          <cell r="CF86">
            <v>10.034000000000001</v>
          </cell>
          <cell r="CJ86">
            <v>1612</v>
          </cell>
          <cell r="CK86">
            <v>52.706240999999991</v>
          </cell>
          <cell r="CL86">
            <v>7.1509999999999998</v>
          </cell>
          <cell r="CP86">
            <v>12600</v>
          </cell>
          <cell r="CQ86">
            <v>412.39201000000003</v>
          </cell>
          <cell r="CR86">
            <v>56.059000000000005</v>
          </cell>
          <cell r="CS86">
            <v>13.59361933321647</v>
          </cell>
          <cell r="CX86">
            <v>2600</v>
          </cell>
          <cell r="CY86">
            <v>87.616765199999989</v>
          </cell>
          <cell r="CZ86">
            <v>6.032</v>
          </cell>
          <cell r="DA86">
            <v>6.8845271635296577</v>
          </cell>
          <cell r="DF86">
            <v>4800</v>
          </cell>
          <cell r="DG86">
            <v>160.19124779999999</v>
          </cell>
          <cell r="DH86">
            <v>19.439</v>
          </cell>
          <cell r="DI86">
            <v>12.134870204812778</v>
          </cell>
          <cell r="DN86">
            <v>6036</v>
          </cell>
          <cell r="DO86">
            <v>197.4073247</v>
          </cell>
          <cell r="DP86">
            <v>25.716000000000001</v>
          </cell>
          <cell r="DQ86">
            <v>13.026872249588822</v>
          </cell>
          <cell r="DV86">
            <v>6564</v>
          </cell>
          <cell r="DW86">
            <v>214.98468529999997</v>
          </cell>
          <cell r="DX86">
            <v>30.343</v>
          </cell>
          <cell r="DY86">
            <v>14.114028614483825</v>
          </cell>
        </row>
        <row r="87">
          <cell r="F87">
            <v>0</v>
          </cell>
          <cell r="G87">
            <v>0</v>
          </cell>
          <cell r="H87">
            <v>0</v>
          </cell>
          <cell r="I87">
            <v>0</v>
          </cell>
          <cell r="N87">
            <v>0</v>
          </cell>
          <cell r="O87">
            <v>0</v>
          </cell>
          <cell r="T87">
            <v>0</v>
          </cell>
          <cell r="U87">
            <v>0</v>
          </cell>
          <cell r="Z87">
            <v>0</v>
          </cell>
          <cell r="AA87">
            <v>0</v>
          </cell>
          <cell r="AF87">
            <v>0</v>
          </cell>
          <cell r="AG87">
            <v>0</v>
          </cell>
          <cell r="AL87">
            <v>0</v>
          </cell>
          <cell r="AM87">
            <v>0</v>
          </cell>
          <cell r="AR87">
            <v>0</v>
          </cell>
          <cell r="AS87">
            <v>0</v>
          </cell>
          <cell r="AX87">
            <v>0</v>
          </cell>
          <cell r="AY87">
            <v>0</v>
          </cell>
          <cell r="AZ87">
            <v>0</v>
          </cell>
          <cell r="BA87">
            <v>0</v>
          </cell>
          <cell r="BF87">
            <v>0</v>
          </cell>
          <cell r="BG87">
            <v>0</v>
          </cell>
          <cell r="BL87">
            <v>0</v>
          </cell>
          <cell r="BM87">
            <v>0</v>
          </cell>
          <cell r="BR87">
            <v>0</v>
          </cell>
          <cell r="BS87">
            <v>0</v>
          </cell>
          <cell r="BX87">
            <v>0</v>
          </cell>
          <cell r="BY87">
            <v>0</v>
          </cell>
          <cell r="CD87">
            <v>0</v>
          </cell>
          <cell r="CE87">
            <v>0</v>
          </cell>
          <cell r="CJ87">
            <v>0</v>
          </cell>
          <cell r="CK87">
            <v>0</v>
          </cell>
          <cell r="CP87">
            <v>0</v>
          </cell>
          <cell r="CQ87">
            <v>0</v>
          </cell>
          <cell r="CR87">
            <v>0</v>
          </cell>
          <cell r="CS87">
            <v>0</v>
          </cell>
          <cell r="CX87">
            <v>0</v>
          </cell>
          <cell r="CY87">
            <v>0</v>
          </cell>
          <cell r="CZ87">
            <v>0</v>
          </cell>
          <cell r="DA87">
            <v>0</v>
          </cell>
          <cell r="DF87">
            <v>0</v>
          </cell>
          <cell r="DG87">
            <v>0</v>
          </cell>
          <cell r="DH87">
            <v>0</v>
          </cell>
          <cell r="DI87">
            <v>0</v>
          </cell>
          <cell r="DN87">
            <v>0</v>
          </cell>
          <cell r="DO87">
            <v>0</v>
          </cell>
          <cell r="DP87">
            <v>0</v>
          </cell>
          <cell r="DQ87">
            <v>0</v>
          </cell>
          <cell r="DV87">
            <v>0</v>
          </cell>
          <cell r="DW87">
            <v>0</v>
          </cell>
          <cell r="DX87">
            <v>0</v>
          </cell>
          <cell r="DY87">
            <v>0</v>
          </cell>
        </row>
        <row r="88">
          <cell r="F88">
            <v>86000</v>
          </cell>
          <cell r="G88">
            <v>2985.3152</v>
          </cell>
          <cell r="H88">
            <v>-465.85400000000004</v>
          </cell>
          <cell r="I88">
            <v>-15.604851373818082</v>
          </cell>
          <cell r="N88">
            <v>5484</v>
          </cell>
          <cell r="O88">
            <v>191.094832</v>
          </cell>
          <cell r="P88">
            <v>-47.673999999999999</v>
          </cell>
          <cell r="T88">
            <v>5968</v>
          </cell>
          <cell r="U88">
            <v>211.63966400000001</v>
          </cell>
          <cell r="V88">
            <v>-36.94</v>
          </cell>
          <cell r="Z88">
            <v>6968</v>
          </cell>
          <cell r="AA88">
            <v>245.749664</v>
          </cell>
          <cell r="AB88">
            <v>-39.398000000000003</v>
          </cell>
          <cell r="AF88">
            <v>6594</v>
          </cell>
          <cell r="AG88">
            <v>229.874112</v>
          </cell>
          <cell r="AH88">
            <v>-38.387999999999998</v>
          </cell>
          <cell r="AL88">
            <v>6594</v>
          </cell>
          <cell r="AM88">
            <v>229.874112</v>
          </cell>
          <cell r="AN88">
            <v>-37.094999999999999</v>
          </cell>
          <cell r="AR88">
            <v>6792</v>
          </cell>
          <cell r="AS88">
            <v>238.27881600000001</v>
          </cell>
          <cell r="AT88">
            <v>-34.225999999999999</v>
          </cell>
          <cell r="AX88">
            <v>38400</v>
          </cell>
          <cell r="AY88">
            <v>1346.5111999999999</v>
          </cell>
          <cell r="AZ88">
            <v>-233.721</v>
          </cell>
          <cell r="BA88">
            <v>-17.357523650750174</v>
          </cell>
          <cell r="BF88">
            <v>7594</v>
          </cell>
          <cell r="BG88">
            <v>257.71535999999998</v>
          </cell>
          <cell r="BH88">
            <v>-44.4</v>
          </cell>
          <cell r="BL88">
            <v>8188</v>
          </cell>
          <cell r="BM88">
            <v>282.33071999999999</v>
          </cell>
          <cell r="BN88">
            <v>-40.716999999999999</v>
          </cell>
          <cell r="BR88">
            <v>8188</v>
          </cell>
          <cell r="BS88">
            <v>282.33071999999999</v>
          </cell>
          <cell r="BT88">
            <v>-40.232999999999997</v>
          </cell>
          <cell r="BX88">
            <v>8089</v>
          </cell>
          <cell r="BY88">
            <v>278.22816</v>
          </cell>
          <cell r="BZ88">
            <v>-37.773000000000003</v>
          </cell>
          <cell r="CD88">
            <v>8089</v>
          </cell>
          <cell r="CE88">
            <v>278.22816</v>
          </cell>
          <cell r="CF88">
            <v>-37.689</v>
          </cell>
          <cell r="CJ88">
            <v>7452</v>
          </cell>
          <cell r="CK88">
            <v>259.97088000000002</v>
          </cell>
          <cell r="CL88">
            <v>-31.321000000000002</v>
          </cell>
          <cell r="CP88">
            <v>47600</v>
          </cell>
          <cell r="CQ88">
            <v>1638.8039999999999</v>
          </cell>
          <cell r="CR88">
            <v>-232.13300000000001</v>
          </cell>
          <cell r="CS88">
            <v>-14.164781145274238</v>
          </cell>
          <cell r="CX88">
            <v>18420</v>
          </cell>
          <cell r="CY88">
            <v>648.48415999999997</v>
          </cell>
          <cell r="CZ88">
            <v>-124.012</v>
          </cell>
          <cell r="DA88">
            <v>-19.123366097330734</v>
          </cell>
          <cell r="DF88">
            <v>19980</v>
          </cell>
          <cell r="DG88">
            <v>698.02703999999994</v>
          </cell>
          <cell r="DH88">
            <v>-109.709</v>
          </cell>
          <cell r="DI88">
            <v>-15.717012911133072</v>
          </cell>
          <cell r="DN88">
            <v>23970</v>
          </cell>
          <cell r="DO88">
            <v>822.3768</v>
          </cell>
          <cell r="DP88">
            <v>-125.35</v>
          </cell>
          <cell r="DQ88">
            <v>-15.242404698187009</v>
          </cell>
          <cell r="DV88">
            <v>23630</v>
          </cell>
          <cell r="DW88">
            <v>816.42720000000008</v>
          </cell>
          <cell r="DX88">
            <v>-106.783</v>
          </cell>
          <cell r="DY88">
            <v>-13.079304560161638</v>
          </cell>
        </row>
        <row r="89">
          <cell r="F89">
            <v>9000</v>
          </cell>
          <cell r="G89">
            <v>430.38720000000001</v>
          </cell>
          <cell r="H89">
            <v>13.912000000000003</v>
          </cell>
          <cell r="I89">
            <v>3.2324381394242216</v>
          </cell>
          <cell r="N89">
            <v>396</v>
          </cell>
          <cell r="O89">
            <v>19.210751999999999</v>
          </cell>
          <cell r="P89">
            <v>-1.42</v>
          </cell>
          <cell r="T89">
            <v>792</v>
          </cell>
          <cell r="U89">
            <v>38.421503999999999</v>
          </cell>
          <cell r="V89">
            <v>-0.92700000000000005</v>
          </cell>
          <cell r="Z89">
            <v>792</v>
          </cell>
          <cell r="AA89">
            <v>38.421503999999999</v>
          </cell>
          <cell r="AB89">
            <v>0.10100000000000001</v>
          </cell>
          <cell r="AF89">
            <v>486</v>
          </cell>
          <cell r="AG89">
            <v>23.576832</v>
          </cell>
          <cell r="AH89">
            <v>0.47299999999999998</v>
          </cell>
          <cell r="AL89">
            <v>486</v>
          </cell>
          <cell r="AM89">
            <v>23.576832</v>
          </cell>
          <cell r="AN89">
            <v>0.79400000000000004</v>
          </cell>
          <cell r="AR89">
            <v>648</v>
          </cell>
          <cell r="AS89">
            <v>31.435776000000001</v>
          </cell>
          <cell r="AT89">
            <v>1.4490000000000001</v>
          </cell>
          <cell r="AX89">
            <v>3600</v>
          </cell>
          <cell r="AY89">
            <v>174.64319999999998</v>
          </cell>
          <cell r="AZ89">
            <v>0.4700000000000002</v>
          </cell>
          <cell r="BA89">
            <v>0.26912012606273833</v>
          </cell>
          <cell r="BF89">
            <v>486</v>
          </cell>
          <cell r="BG89">
            <v>23.016960000000001</v>
          </cell>
          <cell r="BH89">
            <v>0.77100000000000002</v>
          </cell>
          <cell r="BL89">
            <v>972</v>
          </cell>
          <cell r="BM89">
            <v>46.033920000000002</v>
          </cell>
          <cell r="BN89">
            <v>1.99</v>
          </cell>
          <cell r="BR89">
            <v>972</v>
          </cell>
          <cell r="BS89">
            <v>46.033920000000002</v>
          </cell>
          <cell r="BT89">
            <v>2.2650000000000001</v>
          </cell>
          <cell r="BX89">
            <v>891</v>
          </cell>
          <cell r="BY89">
            <v>42.197760000000002</v>
          </cell>
          <cell r="BZ89">
            <v>2.38</v>
          </cell>
          <cell r="CD89">
            <v>891</v>
          </cell>
          <cell r="CE89">
            <v>42.197760000000002</v>
          </cell>
          <cell r="CF89">
            <v>2.532</v>
          </cell>
          <cell r="CJ89">
            <v>1188</v>
          </cell>
          <cell r="CK89">
            <v>56.263680000000001</v>
          </cell>
          <cell r="CL89">
            <v>3.504</v>
          </cell>
          <cell r="CP89">
            <v>5400</v>
          </cell>
          <cell r="CQ89">
            <v>255.744</v>
          </cell>
          <cell r="CR89">
            <v>13.442000000000002</v>
          </cell>
          <cell r="CS89">
            <v>5.2560372872872883</v>
          </cell>
          <cell r="CX89">
            <v>1980</v>
          </cell>
          <cell r="CY89">
            <v>96.053759999999997</v>
          </cell>
          <cell r="CZ89">
            <v>-2.246</v>
          </cell>
          <cell r="DA89">
            <v>-2.3382738999493617</v>
          </cell>
          <cell r="DF89">
            <v>1620</v>
          </cell>
          <cell r="DG89">
            <v>78.589439999999996</v>
          </cell>
          <cell r="DH89">
            <v>2.7160000000000002</v>
          </cell>
          <cell r="DI89">
            <v>3.4559350467441941</v>
          </cell>
          <cell r="DN89">
            <v>2430</v>
          </cell>
          <cell r="DO89">
            <v>115.0848</v>
          </cell>
          <cell r="DP89">
            <v>5.0259999999999998</v>
          </cell>
          <cell r="DQ89">
            <v>4.3672144366588812</v>
          </cell>
          <cell r="DV89">
            <v>2970</v>
          </cell>
          <cell r="DW89">
            <v>140.6592</v>
          </cell>
          <cell r="DX89">
            <v>8.4160000000000004</v>
          </cell>
          <cell r="DY89">
            <v>5.9832559832559831</v>
          </cell>
        </row>
        <row r="90">
          <cell r="F90">
            <v>205000</v>
          </cell>
          <cell r="G90">
            <v>6487.3422430000001</v>
          </cell>
          <cell r="H90">
            <v>-268.34300000000007</v>
          </cell>
          <cell r="I90">
            <v>-4.1364088705131703</v>
          </cell>
          <cell r="N90">
            <v>11675</v>
          </cell>
          <cell r="O90">
            <v>369.70036329999999</v>
          </cell>
          <cell r="P90">
            <v>-49.338999999999999</v>
          </cell>
          <cell r="T90">
            <v>13475</v>
          </cell>
          <cell r="U90">
            <v>439.20896330000005</v>
          </cell>
          <cell r="V90">
            <v>-26.405999999999999</v>
          </cell>
          <cell r="Z90">
            <v>15350</v>
          </cell>
          <cell r="AA90">
            <v>496.84072660000004</v>
          </cell>
          <cell r="AB90">
            <v>-28.662000000000006</v>
          </cell>
          <cell r="AF90">
            <v>15200</v>
          </cell>
          <cell r="AG90">
            <v>483.5757266</v>
          </cell>
          <cell r="AH90">
            <v>-26.712</v>
          </cell>
          <cell r="AL90">
            <v>15200</v>
          </cell>
          <cell r="AM90">
            <v>483.5757266</v>
          </cell>
          <cell r="AN90">
            <v>-24.213999999999999</v>
          </cell>
          <cell r="AR90">
            <v>15650</v>
          </cell>
          <cell r="AS90">
            <v>502.67732659999996</v>
          </cell>
          <cell r="AT90">
            <v>-18.135999999999999</v>
          </cell>
          <cell r="AX90">
            <v>86550</v>
          </cell>
          <cell r="AY90">
            <v>2775.578833</v>
          </cell>
          <cell r="AZ90">
            <v>-173.46900000000002</v>
          </cell>
          <cell r="BA90">
            <v>-6.2498314923559599</v>
          </cell>
          <cell r="BF90">
            <v>17437.5</v>
          </cell>
          <cell r="BG90">
            <v>540.93591150000009</v>
          </cell>
          <cell r="BH90">
            <v>-28.377999999999997</v>
          </cell>
          <cell r="BL90">
            <v>19787.5</v>
          </cell>
          <cell r="BM90">
            <v>622.77991149999991</v>
          </cell>
          <cell r="BN90">
            <v>-19.271000000000001</v>
          </cell>
          <cell r="BR90">
            <v>20372.5</v>
          </cell>
          <cell r="BS90">
            <v>639.58229969999991</v>
          </cell>
          <cell r="BT90">
            <v>-18.283999999999999</v>
          </cell>
          <cell r="BX90">
            <v>22487.5</v>
          </cell>
          <cell r="BY90">
            <v>697.46785250000005</v>
          </cell>
          <cell r="BZ90">
            <v>-4.8630000000000022</v>
          </cell>
          <cell r="CD90">
            <v>20440</v>
          </cell>
          <cell r="CE90">
            <v>638.65949380000006</v>
          </cell>
          <cell r="CF90">
            <v>-12.617000000000001</v>
          </cell>
          <cell r="CJ90">
            <v>17925</v>
          </cell>
          <cell r="CK90">
            <v>572.337941</v>
          </cell>
          <cell r="CL90">
            <v>-11.461</v>
          </cell>
          <cell r="CP90">
            <v>118450</v>
          </cell>
          <cell r="CQ90">
            <v>3711.76341</v>
          </cell>
          <cell r="CR90">
            <v>-94.873999999999995</v>
          </cell>
          <cell r="CS90">
            <v>-2.556035757677777</v>
          </cell>
          <cell r="CX90">
            <v>40500</v>
          </cell>
          <cell r="CY90">
            <v>1305.7500532000001</v>
          </cell>
          <cell r="CZ90">
            <v>-104.407</v>
          </cell>
          <cell r="DA90">
            <v>-7.9959407042817938</v>
          </cell>
          <cell r="DF90">
            <v>46050</v>
          </cell>
          <cell r="DG90">
            <v>1469.8287797999999</v>
          </cell>
          <cell r="DH90">
            <v>-69.062000000000012</v>
          </cell>
          <cell r="DI90">
            <v>-4.6986425187154994</v>
          </cell>
          <cell r="DN90">
            <v>57597.5</v>
          </cell>
          <cell r="DO90">
            <v>1803.2981227</v>
          </cell>
          <cell r="DP90">
            <v>-65.932999999999993</v>
          </cell>
          <cell r="DQ90">
            <v>-3.6562451416120467</v>
          </cell>
          <cell r="DV90">
            <v>60852.5</v>
          </cell>
          <cell r="DW90">
            <v>1908.4652873</v>
          </cell>
          <cell r="DX90">
            <v>-28.940999999999999</v>
          </cell>
          <cell r="DY90">
            <v>-1.516454094952089</v>
          </cell>
        </row>
        <row r="91">
          <cell r="F91">
            <v>163000</v>
          </cell>
          <cell r="G91">
            <v>10211.71132</v>
          </cell>
          <cell r="H91">
            <v>735.02799999999991</v>
          </cell>
          <cell r="I91">
            <v>7.1978924684290808</v>
          </cell>
          <cell r="N91">
            <v>10017</v>
          </cell>
          <cell r="O91">
            <v>631.61865999999998</v>
          </cell>
          <cell r="P91">
            <v>38.430999999999997</v>
          </cell>
          <cell r="T91">
            <v>10809</v>
          </cell>
          <cell r="U91">
            <v>687.44990800000005</v>
          </cell>
          <cell r="V91">
            <v>49.164000000000001</v>
          </cell>
          <cell r="Z91">
            <v>13034</v>
          </cell>
          <cell r="AA91">
            <v>828.14531999999997</v>
          </cell>
          <cell r="AB91">
            <v>58.957999999999998</v>
          </cell>
          <cell r="AF91">
            <v>12422</v>
          </cell>
          <cell r="AG91">
            <v>785.00299199999995</v>
          </cell>
          <cell r="AH91">
            <v>52.177999999999997</v>
          </cell>
          <cell r="AL91">
            <v>12422</v>
          </cell>
          <cell r="AM91">
            <v>785.00299199999995</v>
          </cell>
          <cell r="AN91">
            <v>52.387</v>
          </cell>
          <cell r="AR91">
            <v>12746</v>
          </cell>
          <cell r="AS91">
            <v>807.84304799999995</v>
          </cell>
          <cell r="AT91">
            <v>56.76</v>
          </cell>
          <cell r="AX91">
            <v>71450</v>
          </cell>
          <cell r="AY91">
            <v>4525.0629200000003</v>
          </cell>
          <cell r="AZ91">
            <v>307.87799999999999</v>
          </cell>
          <cell r="BA91">
            <v>6.8038390944628002</v>
          </cell>
          <cell r="BF91">
            <v>13384.5</v>
          </cell>
          <cell r="BG91">
            <v>826.60590000000002</v>
          </cell>
          <cell r="BH91">
            <v>39.920999999999999</v>
          </cell>
          <cell r="BL91">
            <v>16356.5</v>
          </cell>
          <cell r="BM91">
            <v>1014.85894</v>
          </cell>
          <cell r="BN91">
            <v>60.274999999999999</v>
          </cell>
          <cell r="BR91">
            <v>16811.5</v>
          </cell>
          <cell r="BS91">
            <v>1043.337988</v>
          </cell>
          <cell r="BT91">
            <v>70.438000000000002</v>
          </cell>
          <cell r="BX91">
            <v>18469.5</v>
          </cell>
          <cell r="BY91">
            <v>1146.1053400000001</v>
          </cell>
          <cell r="BZ91">
            <v>94.789000000000001</v>
          </cell>
          <cell r="CD91">
            <v>14877</v>
          </cell>
          <cell r="CE91">
            <v>925.06867199999999</v>
          </cell>
          <cell r="CF91">
            <v>84.986999999999995</v>
          </cell>
          <cell r="CJ91">
            <v>11651</v>
          </cell>
          <cell r="CK91">
            <v>730.67156</v>
          </cell>
          <cell r="CL91">
            <v>76.739999999999995</v>
          </cell>
          <cell r="CP91">
            <v>91550</v>
          </cell>
          <cell r="CQ91">
            <v>5686.6484</v>
          </cell>
          <cell r="CR91">
            <v>427.14999999999992</v>
          </cell>
          <cell r="CS91">
            <v>7.5114543744255382</v>
          </cell>
          <cell r="CX91">
            <v>33860</v>
          </cell>
          <cell r="CY91">
            <v>2147.2138880000002</v>
          </cell>
          <cell r="CZ91">
            <v>146.553</v>
          </cell>
          <cell r="DA91">
            <v>6.825263231531407</v>
          </cell>
          <cell r="DF91">
            <v>37590</v>
          </cell>
          <cell r="DG91">
            <v>2377.8490320000001</v>
          </cell>
          <cell r="DH91">
            <v>161.32499999999999</v>
          </cell>
          <cell r="DI91">
            <v>6.7844929526207185</v>
          </cell>
          <cell r="DN91">
            <v>46552.5</v>
          </cell>
          <cell r="DO91">
            <v>2884.8028279999999</v>
          </cell>
          <cell r="DP91">
            <v>170.63400000000001</v>
          </cell>
          <cell r="DQ91">
            <v>5.9149276457933375</v>
          </cell>
          <cell r="DV91">
            <v>44997.5</v>
          </cell>
          <cell r="DW91">
            <v>2801.8455720000002</v>
          </cell>
          <cell r="DX91">
            <v>256.51600000000002</v>
          </cell>
          <cell r="DY91">
            <v>9.1552511874126949</v>
          </cell>
        </row>
        <row r="92">
          <cell r="F92">
            <v>50000</v>
          </cell>
          <cell r="G92">
            <v>3180.1900000000005</v>
          </cell>
          <cell r="H92">
            <v>239.90199999999999</v>
          </cell>
          <cell r="I92">
            <v>7.5436373298450707</v>
          </cell>
          <cell r="N92">
            <v>3500</v>
          </cell>
          <cell r="O92">
            <v>225.505</v>
          </cell>
          <cell r="P92">
            <v>10.368</v>
          </cell>
          <cell r="T92">
            <v>3500</v>
          </cell>
          <cell r="U92">
            <v>225.505</v>
          </cell>
          <cell r="V92">
            <v>14.032</v>
          </cell>
          <cell r="Z92">
            <v>4000</v>
          </cell>
          <cell r="AA92">
            <v>257.72000000000003</v>
          </cell>
          <cell r="AB92">
            <v>14.932</v>
          </cell>
          <cell r="AF92">
            <v>4000</v>
          </cell>
          <cell r="AG92">
            <v>257.72000000000003</v>
          </cell>
          <cell r="AH92">
            <v>10.401</v>
          </cell>
          <cell r="AL92">
            <v>4000</v>
          </cell>
          <cell r="AM92">
            <v>257.72000000000003</v>
          </cell>
          <cell r="AN92">
            <v>14.138999999999999</v>
          </cell>
          <cell r="AR92">
            <v>4000</v>
          </cell>
          <cell r="AS92">
            <v>257.72000000000003</v>
          </cell>
          <cell r="AT92">
            <v>14.567</v>
          </cell>
          <cell r="AX92">
            <v>23000</v>
          </cell>
          <cell r="AY92">
            <v>1481.8900000000003</v>
          </cell>
          <cell r="AZ92">
            <v>78.438999999999993</v>
          </cell>
          <cell r="BA92">
            <v>5.2931729075707352</v>
          </cell>
          <cell r="BF92">
            <v>4000</v>
          </cell>
          <cell r="BG92">
            <v>251.6</v>
          </cell>
          <cell r="BH92">
            <v>21.51</v>
          </cell>
          <cell r="BL92">
            <v>4500</v>
          </cell>
          <cell r="BM92">
            <v>283.05</v>
          </cell>
          <cell r="BN92">
            <v>21.908000000000001</v>
          </cell>
          <cell r="BR92">
            <v>5000</v>
          </cell>
          <cell r="BS92">
            <v>314.5</v>
          </cell>
          <cell r="BT92">
            <v>26.728999999999999</v>
          </cell>
          <cell r="BX92">
            <v>5000</v>
          </cell>
          <cell r="BY92">
            <v>314.5</v>
          </cell>
          <cell r="BZ92">
            <v>36.177</v>
          </cell>
          <cell r="CD92">
            <v>4500</v>
          </cell>
          <cell r="CE92">
            <v>283.05</v>
          </cell>
          <cell r="CF92">
            <v>25.975999999999999</v>
          </cell>
          <cell r="CJ92">
            <v>4000</v>
          </cell>
          <cell r="CK92">
            <v>251.6</v>
          </cell>
          <cell r="CL92">
            <v>29.163</v>
          </cell>
          <cell r="CP92">
            <v>27000</v>
          </cell>
          <cell r="CQ92">
            <v>1698.3</v>
          </cell>
          <cell r="CR92">
            <v>161.46299999999999</v>
          </cell>
          <cell r="CS92">
            <v>9.5073308602720363</v>
          </cell>
          <cell r="CX92">
            <v>11000</v>
          </cell>
          <cell r="CY92">
            <v>708.73</v>
          </cell>
          <cell r="CZ92">
            <v>39.332000000000001</v>
          </cell>
          <cell r="DA92">
            <v>5.5496451398981277</v>
          </cell>
          <cell r="DF92">
            <v>12000</v>
          </cell>
          <cell r="DG92">
            <v>773.16000000000008</v>
          </cell>
          <cell r="DH92">
            <v>39.106999999999999</v>
          </cell>
          <cell r="DI92">
            <v>5.0580733612706288</v>
          </cell>
          <cell r="DN92">
            <v>13500</v>
          </cell>
          <cell r="DO92">
            <v>849.15</v>
          </cell>
          <cell r="DP92">
            <v>70.147000000000006</v>
          </cell>
          <cell r="DQ92">
            <v>8.2608490843784956</v>
          </cell>
          <cell r="DV92">
            <v>13500</v>
          </cell>
          <cell r="DW92">
            <v>849.15</v>
          </cell>
          <cell r="DX92">
            <v>91.316000000000003</v>
          </cell>
          <cell r="DY92">
            <v>10.753812636165577</v>
          </cell>
        </row>
        <row r="93">
          <cell r="F93">
            <v>34000</v>
          </cell>
          <cell r="G93">
            <v>2389.9179099999997</v>
          </cell>
          <cell r="H93">
            <v>201.85900000000001</v>
          </cell>
          <cell r="I93">
            <v>8.4462733701175541</v>
          </cell>
          <cell r="N93">
            <v>1553</v>
          </cell>
          <cell r="O93">
            <v>110.55240499999999</v>
          </cell>
          <cell r="P93">
            <v>-13.129</v>
          </cell>
          <cell r="T93">
            <v>2081</v>
          </cell>
          <cell r="U93">
            <v>150.97502900000001</v>
          </cell>
          <cell r="V93">
            <v>-4.1130000000000004</v>
          </cell>
          <cell r="Z93">
            <v>2606</v>
          </cell>
          <cell r="AA93">
            <v>186.99481</v>
          </cell>
          <cell r="AB93">
            <v>2.1739999999999999</v>
          </cell>
          <cell r="AF93">
            <v>2198</v>
          </cell>
          <cell r="AG93">
            <v>155.75914599999999</v>
          </cell>
          <cell r="AH93">
            <v>4.9539999999999997</v>
          </cell>
          <cell r="AL93">
            <v>2198</v>
          </cell>
          <cell r="AM93">
            <v>155.75914599999999</v>
          </cell>
          <cell r="AN93">
            <v>9.3879999999999999</v>
          </cell>
          <cell r="AR93">
            <v>2414</v>
          </cell>
          <cell r="AS93">
            <v>172.29567399999999</v>
          </cell>
          <cell r="AT93">
            <v>14.771000000000001</v>
          </cell>
          <cell r="AX93">
            <v>13050</v>
          </cell>
          <cell r="AY93">
            <v>932.33621000000005</v>
          </cell>
          <cell r="AZ93">
            <v>14.045</v>
          </cell>
          <cell r="BA93">
            <v>1.5064308185563231</v>
          </cell>
          <cell r="BF93">
            <v>2610.5</v>
          </cell>
          <cell r="BG93">
            <v>179.68957499999999</v>
          </cell>
          <cell r="BH93">
            <v>13.747</v>
          </cell>
          <cell r="BL93">
            <v>3258.5</v>
          </cell>
          <cell r="BM93">
            <v>228.121095</v>
          </cell>
          <cell r="BN93">
            <v>25.437000000000001</v>
          </cell>
          <cell r="BR93">
            <v>3953.5</v>
          </cell>
          <cell r="BS93">
            <v>274.482169</v>
          </cell>
          <cell r="BT93">
            <v>32.902999999999999</v>
          </cell>
          <cell r="BX93">
            <v>4625.5</v>
          </cell>
          <cell r="BY93">
            <v>318.65454499999998</v>
          </cell>
          <cell r="BZ93">
            <v>42.676000000000002</v>
          </cell>
          <cell r="CD93">
            <v>3443</v>
          </cell>
          <cell r="CE93">
            <v>239.64078600000002</v>
          </cell>
          <cell r="CF93">
            <v>35.473999999999997</v>
          </cell>
          <cell r="CJ93">
            <v>3059</v>
          </cell>
          <cell r="CK93">
            <v>216.99352999999999</v>
          </cell>
          <cell r="CL93">
            <v>37.576999999999998</v>
          </cell>
          <cell r="CP93">
            <v>20950</v>
          </cell>
          <cell r="CQ93">
            <v>1457.5816999999997</v>
          </cell>
          <cell r="CR93">
            <v>187.81400000000002</v>
          </cell>
          <cell r="CS93">
            <v>12.885315450928072</v>
          </cell>
          <cell r="CX93">
            <v>6240</v>
          </cell>
          <cell r="CY93">
            <v>448.522244</v>
          </cell>
          <cell r="CZ93">
            <v>-15.068000000000001</v>
          </cell>
          <cell r="DA93">
            <v>-3.3594766372389775</v>
          </cell>
          <cell r="DF93">
            <v>6810</v>
          </cell>
          <cell r="DG93">
            <v>483.81396599999994</v>
          </cell>
          <cell r="DH93">
            <v>29.113</v>
          </cell>
          <cell r="DI93">
            <v>6.017395537523611</v>
          </cell>
          <cell r="DN93">
            <v>9822.5</v>
          </cell>
          <cell r="DO93">
            <v>682.29283899999996</v>
          </cell>
          <cell r="DP93">
            <v>72.086999999999989</v>
          </cell>
          <cell r="DQ93">
            <v>10.565404746978444</v>
          </cell>
          <cell r="DV93">
            <v>11127.5</v>
          </cell>
          <cell r="DW93">
            <v>775.288861</v>
          </cell>
          <cell r="DX93">
            <v>115.727</v>
          </cell>
          <cell r="DY93">
            <v>14.926952497515632</v>
          </cell>
        </row>
        <row r="94">
          <cell r="F94">
            <v>33000</v>
          </cell>
          <cell r="G94">
            <v>2296.17</v>
          </cell>
          <cell r="H94">
            <v>196.065</v>
          </cell>
          <cell r="I94">
            <v>8.5387841492572409</v>
          </cell>
          <cell r="N94">
            <v>2500</v>
          </cell>
          <cell r="O94">
            <v>176.23500000000001</v>
          </cell>
          <cell r="P94">
            <v>11.673999999999999</v>
          </cell>
          <cell r="T94">
            <v>2500</v>
          </cell>
          <cell r="U94">
            <v>176.23500000000001</v>
          </cell>
          <cell r="V94">
            <v>14.349</v>
          </cell>
          <cell r="Z94">
            <v>2500</v>
          </cell>
          <cell r="AA94">
            <v>176.23500000000001</v>
          </cell>
          <cell r="AB94">
            <v>11.625999999999999</v>
          </cell>
          <cell r="AF94">
            <v>2500</v>
          </cell>
          <cell r="AG94">
            <v>176.23500000000001</v>
          </cell>
          <cell r="AH94">
            <v>8.9770000000000003</v>
          </cell>
          <cell r="AL94">
            <v>2500</v>
          </cell>
          <cell r="AM94">
            <v>176.23500000000001</v>
          </cell>
          <cell r="AN94">
            <v>11.327999999999999</v>
          </cell>
          <cell r="AR94">
            <v>2500</v>
          </cell>
          <cell r="AS94">
            <v>176.23500000000001</v>
          </cell>
          <cell r="AT94">
            <v>11.782999999999999</v>
          </cell>
          <cell r="AX94">
            <v>15000</v>
          </cell>
          <cell r="AY94">
            <v>1057.4100000000001</v>
          </cell>
          <cell r="AZ94">
            <v>69.736999999999995</v>
          </cell>
          <cell r="BA94">
            <v>6.5950766495493696</v>
          </cell>
          <cell r="BF94">
            <v>3000</v>
          </cell>
          <cell r="BG94">
            <v>206.46</v>
          </cell>
          <cell r="BH94">
            <v>19.102</v>
          </cell>
          <cell r="BL94">
            <v>3000</v>
          </cell>
          <cell r="BM94">
            <v>206.46</v>
          </cell>
          <cell r="BN94">
            <v>17.433</v>
          </cell>
          <cell r="BR94">
            <v>3000</v>
          </cell>
          <cell r="BS94">
            <v>206.46</v>
          </cell>
          <cell r="BT94">
            <v>19.248999999999999</v>
          </cell>
          <cell r="BX94">
            <v>3000</v>
          </cell>
          <cell r="BY94">
            <v>206.46</v>
          </cell>
          <cell r="BZ94">
            <v>24.94</v>
          </cell>
          <cell r="CD94">
            <v>3000</v>
          </cell>
          <cell r="CE94">
            <v>206.46</v>
          </cell>
          <cell r="CF94">
            <v>20.472999999999999</v>
          </cell>
          <cell r="CJ94">
            <v>3000</v>
          </cell>
          <cell r="CK94">
            <v>206.46</v>
          </cell>
          <cell r="CL94">
            <v>25.131</v>
          </cell>
          <cell r="CP94">
            <v>18000</v>
          </cell>
          <cell r="CQ94">
            <v>1238.76</v>
          </cell>
          <cell r="CR94">
            <v>126.328</v>
          </cell>
          <cell r="CS94">
            <v>10.19793987535923</v>
          </cell>
          <cell r="CX94">
            <v>7500</v>
          </cell>
          <cell r="CY94">
            <v>528.70500000000004</v>
          </cell>
          <cell r="CZ94">
            <v>37.649000000000001</v>
          </cell>
          <cell r="DA94">
            <v>7.12098429180734</v>
          </cell>
          <cell r="DF94">
            <v>7500</v>
          </cell>
          <cell r="DG94">
            <v>528.70500000000004</v>
          </cell>
          <cell r="DH94">
            <v>32.088000000000001</v>
          </cell>
          <cell r="DI94">
            <v>6.0691690072914</v>
          </cell>
          <cell r="DN94">
            <v>9000</v>
          </cell>
          <cell r="DO94">
            <v>619.38</v>
          </cell>
          <cell r="DP94">
            <v>55.783999999999992</v>
          </cell>
          <cell r="DQ94">
            <v>9.0064257806193275</v>
          </cell>
          <cell r="DV94">
            <v>9000</v>
          </cell>
          <cell r="DW94">
            <v>619.38</v>
          </cell>
          <cell r="DX94">
            <v>70.543999999999997</v>
          </cell>
          <cell r="DY94">
            <v>11.389453970099131</v>
          </cell>
        </row>
        <row r="95">
          <cell r="F95">
            <v>0</v>
          </cell>
          <cell r="G95">
            <v>0</v>
          </cell>
          <cell r="H95">
            <v>0</v>
          </cell>
          <cell r="I95">
            <v>0</v>
          </cell>
          <cell r="N95">
            <v>0</v>
          </cell>
          <cell r="O95">
            <v>0</v>
          </cell>
          <cell r="T95">
            <v>0</v>
          </cell>
          <cell r="U95">
            <v>0</v>
          </cell>
          <cell r="Z95">
            <v>0</v>
          </cell>
          <cell r="AA95">
            <v>0</v>
          </cell>
          <cell r="AF95">
            <v>0</v>
          </cell>
          <cell r="AG95">
            <v>0</v>
          </cell>
          <cell r="AL95">
            <v>0</v>
          </cell>
          <cell r="AM95">
            <v>0</v>
          </cell>
          <cell r="AR95">
            <v>0</v>
          </cell>
          <cell r="AS95">
            <v>0</v>
          </cell>
          <cell r="AX95">
            <v>0</v>
          </cell>
          <cell r="AY95">
            <v>0</v>
          </cell>
          <cell r="AZ95">
            <v>0</v>
          </cell>
          <cell r="BA95">
            <v>0</v>
          </cell>
          <cell r="BF95">
            <v>0</v>
          </cell>
          <cell r="BG95">
            <v>0</v>
          </cell>
          <cell r="BL95">
            <v>0</v>
          </cell>
          <cell r="BM95">
            <v>0</v>
          </cell>
          <cell r="BR95">
            <v>0</v>
          </cell>
          <cell r="BS95">
            <v>0</v>
          </cell>
          <cell r="BX95">
            <v>0</v>
          </cell>
          <cell r="BY95">
            <v>0</v>
          </cell>
          <cell r="CD95">
            <v>0</v>
          </cell>
          <cell r="CE95">
            <v>0</v>
          </cell>
          <cell r="CJ95">
            <v>0</v>
          </cell>
          <cell r="CK95">
            <v>0</v>
          </cell>
          <cell r="CP95">
            <v>0</v>
          </cell>
          <cell r="CQ95">
            <v>0</v>
          </cell>
          <cell r="CR95">
            <v>0</v>
          </cell>
          <cell r="CS95">
            <v>0</v>
          </cell>
          <cell r="CX95">
            <v>0</v>
          </cell>
          <cell r="CY95">
            <v>0</v>
          </cell>
          <cell r="CZ95">
            <v>0</v>
          </cell>
          <cell r="DA95">
            <v>0</v>
          </cell>
          <cell r="DF95">
            <v>0</v>
          </cell>
          <cell r="DG95">
            <v>0</v>
          </cell>
          <cell r="DH95">
            <v>0</v>
          </cell>
          <cell r="DI95">
            <v>0</v>
          </cell>
          <cell r="DN95">
            <v>0</v>
          </cell>
          <cell r="DO95">
            <v>0</v>
          </cell>
          <cell r="DP95">
            <v>0</v>
          </cell>
          <cell r="DQ95">
            <v>0</v>
          </cell>
          <cell r="DV95">
            <v>0</v>
          </cell>
          <cell r="DW95">
            <v>0</v>
          </cell>
          <cell r="DX95">
            <v>0</v>
          </cell>
          <cell r="DY95">
            <v>0</v>
          </cell>
        </row>
        <row r="96">
          <cell r="F96">
            <v>0</v>
          </cell>
          <cell r="G96">
            <v>0</v>
          </cell>
          <cell r="H96">
            <v>0</v>
          </cell>
          <cell r="I96">
            <v>0</v>
          </cell>
          <cell r="N96">
            <v>0</v>
          </cell>
          <cell r="O96">
            <v>0</v>
          </cell>
          <cell r="T96">
            <v>0</v>
          </cell>
          <cell r="U96">
            <v>0</v>
          </cell>
          <cell r="Z96">
            <v>0</v>
          </cell>
          <cell r="AA96">
            <v>0</v>
          </cell>
          <cell r="AF96">
            <v>0</v>
          </cell>
          <cell r="AG96">
            <v>0</v>
          </cell>
          <cell r="AL96">
            <v>0</v>
          </cell>
          <cell r="AM96">
            <v>0</v>
          </cell>
          <cell r="AR96">
            <v>0</v>
          </cell>
          <cell r="AS96">
            <v>0</v>
          </cell>
          <cell r="AX96">
            <v>0</v>
          </cell>
          <cell r="AY96">
            <v>0</v>
          </cell>
          <cell r="AZ96">
            <v>0</v>
          </cell>
          <cell r="BA96">
            <v>0</v>
          </cell>
          <cell r="BF96">
            <v>0</v>
          </cell>
          <cell r="BG96">
            <v>0</v>
          </cell>
          <cell r="BL96">
            <v>0</v>
          </cell>
          <cell r="BM96">
            <v>0</v>
          </cell>
          <cell r="BR96">
            <v>0</v>
          </cell>
          <cell r="BS96">
            <v>0</v>
          </cell>
          <cell r="BX96">
            <v>0</v>
          </cell>
          <cell r="BY96">
            <v>0</v>
          </cell>
          <cell r="CD96">
            <v>0</v>
          </cell>
          <cell r="CE96">
            <v>0</v>
          </cell>
          <cell r="CJ96">
            <v>0</v>
          </cell>
          <cell r="CK96">
            <v>0</v>
          </cell>
          <cell r="CP96">
            <v>0</v>
          </cell>
          <cell r="CQ96">
            <v>0</v>
          </cell>
          <cell r="CR96">
            <v>0</v>
          </cell>
          <cell r="CS96">
            <v>0</v>
          </cell>
          <cell r="CX96">
            <v>0</v>
          </cell>
          <cell r="CY96">
            <v>0</v>
          </cell>
          <cell r="CZ96">
            <v>0</v>
          </cell>
          <cell r="DA96">
            <v>0</v>
          </cell>
          <cell r="DF96">
            <v>0</v>
          </cell>
          <cell r="DG96">
            <v>0</v>
          </cell>
          <cell r="DH96">
            <v>0</v>
          </cell>
          <cell r="DI96">
            <v>0</v>
          </cell>
          <cell r="DN96">
            <v>0</v>
          </cell>
          <cell r="DO96">
            <v>0</v>
          </cell>
          <cell r="DP96">
            <v>0</v>
          </cell>
          <cell r="DQ96">
            <v>0</v>
          </cell>
          <cell r="DV96">
            <v>0</v>
          </cell>
          <cell r="DW96">
            <v>0</v>
          </cell>
          <cell r="DX96">
            <v>0</v>
          </cell>
          <cell r="DY96">
            <v>0</v>
          </cell>
        </row>
        <row r="97">
          <cell r="F97">
            <v>0</v>
          </cell>
          <cell r="G97">
            <v>0</v>
          </cell>
          <cell r="H97">
            <v>0</v>
          </cell>
          <cell r="I97">
            <v>0</v>
          </cell>
          <cell r="N97">
            <v>0</v>
          </cell>
          <cell r="O97">
            <v>0</v>
          </cell>
          <cell r="T97">
            <v>0</v>
          </cell>
          <cell r="U97">
            <v>0</v>
          </cell>
          <cell r="Z97">
            <v>0</v>
          </cell>
          <cell r="AA97">
            <v>0</v>
          </cell>
          <cell r="AF97">
            <v>0</v>
          </cell>
          <cell r="AG97">
            <v>0</v>
          </cell>
          <cell r="AL97">
            <v>0</v>
          </cell>
          <cell r="AM97">
            <v>0</v>
          </cell>
          <cell r="AR97">
            <v>0</v>
          </cell>
          <cell r="AS97">
            <v>0</v>
          </cell>
          <cell r="AX97">
            <v>0</v>
          </cell>
          <cell r="AY97">
            <v>0</v>
          </cell>
          <cell r="AZ97">
            <v>0</v>
          </cell>
          <cell r="BA97">
            <v>0</v>
          </cell>
          <cell r="BF97">
            <v>0</v>
          </cell>
          <cell r="BG97">
            <v>0</v>
          </cell>
          <cell r="BL97">
            <v>0</v>
          </cell>
          <cell r="BM97">
            <v>0</v>
          </cell>
          <cell r="BR97">
            <v>0</v>
          </cell>
          <cell r="BS97">
            <v>0</v>
          </cell>
          <cell r="BX97">
            <v>0</v>
          </cell>
          <cell r="BY97">
            <v>0</v>
          </cell>
          <cell r="CD97">
            <v>0</v>
          </cell>
          <cell r="CE97">
            <v>0</v>
          </cell>
          <cell r="CJ97">
            <v>0</v>
          </cell>
          <cell r="CK97">
            <v>0</v>
          </cell>
          <cell r="CP97">
            <v>0</v>
          </cell>
          <cell r="CQ97">
            <v>0</v>
          </cell>
          <cell r="CR97">
            <v>0</v>
          </cell>
          <cell r="CS97">
            <v>0</v>
          </cell>
          <cell r="CX97">
            <v>0</v>
          </cell>
          <cell r="CY97">
            <v>0</v>
          </cell>
          <cell r="CZ97">
            <v>0</v>
          </cell>
          <cell r="DA97">
            <v>0</v>
          </cell>
          <cell r="DF97">
            <v>0</v>
          </cell>
          <cell r="DG97">
            <v>0</v>
          </cell>
          <cell r="DH97">
            <v>0</v>
          </cell>
          <cell r="DI97">
            <v>0</v>
          </cell>
          <cell r="DN97">
            <v>0</v>
          </cell>
          <cell r="DO97">
            <v>0</v>
          </cell>
          <cell r="DP97">
            <v>0</v>
          </cell>
          <cell r="DQ97">
            <v>0</v>
          </cell>
          <cell r="DV97">
            <v>0</v>
          </cell>
          <cell r="DW97">
            <v>0</v>
          </cell>
          <cell r="DX97">
            <v>0</v>
          </cell>
          <cell r="DY97">
            <v>0</v>
          </cell>
        </row>
        <row r="98">
          <cell r="F98">
            <v>0</v>
          </cell>
          <cell r="G98">
            <v>0</v>
          </cell>
          <cell r="H98">
            <v>0</v>
          </cell>
          <cell r="I98">
            <v>0</v>
          </cell>
          <cell r="N98">
            <v>0</v>
          </cell>
          <cell r="O98">
            <v>0</v>
          </cell>
          <cell r="T98">
            <v>0</v>
          </cell>
          <cell r="U98">
            <v>0</v>
          </cell>
          <cell r="Z98">
            <v>0</v>
          </cell>
          <cell r="AA98">
            <v>0</v>
          </cell>
          <cell r="AF98">
            <v>0</v>
          </cell>
          <cell r="AG98">
            <v>0</v>
          </cell>
          <cell r="AL98">
            <v>0</v>
          </cell>
          <cell r="AM98">
            <v>0</v>
          </cell>
          <cell r="AR98">
            <v>0</v>
          </cell>
          <cell r="AS98">
            <v>0</v>
          </cell>
          <cell r="AX98">
            <v>0</v>
          </cell>
          <cell r="AY98">
            <v>0</v>
          </cell>
          <cell r="AZ98">
            <v>0</v>
          </cell>
          <cell r="BA98">
            <v>0</v>
          </cell>
          <cell r="BF98">
            <v>0</v>
          </cell>
          <cell r="BG98">
            <v>0</v>
          </cell>
          <cell r="BL98">
            <v>0</v>
          </cell>
          <cell r="BM98">
            <v>0</v>
          </cell>
          <cell r="BR98">
            <v>0</v>
          </cell>
          <cell r="BS98">
            <v>0</v>
          </cell>
          <cell r="BX98">
            <v>0</v>
          </cell>
          <cell r="BY98">
            <v>0</v>
          </cell>
          <cell r="CD98">
            <v>0</v>
          </cell>
          <cell r="CE98">
            <v>0</v>
          </cell>
          <cell r="CJ98">
            <v>0</v>
          </cell>
          <cell r="CK98">
            <v>0</v>
          </cell>
          <cell r="CP98">
            <v>0</v>
          </cell>
          <cell r="CQ98">
            <v>0</v>
          </cell>
          <cell r="CR98">
            <v>0</v>
          </cell>
          <cell r="CS98">
            <v>0</v>
          </cell>
          <cell r="CX98">
            <v>0</v>
          </cell>
          <cell r="CY98">
            <v>0</v>
          </cell>
          <cell r="CZ98">
            <v>0</v>
          </cell>
          <cell r="DA98">
            <v>0</v>
          </cell>
          <cell r="DF98">
            <v>0</v>
          </cell>
          <cell r="DG98">
            <v>0</v>
          </cell>
          <cell r="DH98">
            <v>0</v>
          </cell>
          <cell r="DI98">
            <v>0</v>
          </cell>
          <cell r="DN98">
            <v>0</v>
          </cell>
          <cell r="DO98">
            <v>0</v>
          </cell>
          <cell r="DP98">
            <v>0</v>
          </cell>
          <cell r="DQ98">
            <v>0</v>
          </cell>
          <cell r="DV98">
            <v>0</v>
          </cell>
          <cell r="DW98">
            <v>0</v>
          </cell>
          <cell r="DX98">
            <v>0</v>
          </cell>
          <cell r="DY98">
            <v>0</v>
          </cell>
        </row>
        <row r="99">
          <cell r="F99">
            <v>0</v>
          </cell>
          <cell r="G99">
            <v>0</v>
          </cell>
          <cell r="H99">
            <v>0</v>
          </cell>
          <cell r="I99">
            <v>0</v>
          </cell>
          <cell r="N99">
            <v>0</v>
          </cell>
          <cell r="O99">
            <v>0</v>
          </cell>
          <cell r="T99">
            <v>0</v>
          </cell>
          <cell r="U99">
            <v>0</v>
          </cell>
          <cell r="Z99">
            <v>0</v>
          </cell>
          <cell r="AA99">
            <v>0</v>
          </cell>
          <cell r="AF99">
            <v>0</v>
          </cell>
          <cell r="AG99">
            <v>0</v>
          </cell>
          <cell r="AL99">
            <v>0</v>
          </cell>
          <cell r="AM99">
            <v>0</v>
          </cell>
          <cell r="AR99">
            <v>0</v>
          </cell>
          <cell r="AS99">
            <v>0</v>
          </cell>
          <cell r="AX99">
            <v>0</v>
          </cell>
          <cell r="AY99">
            <v>0</v>
          </cell>
          <cell r="AZ99">
            <v>0</v>
          </cell>
          <cell r="BA99">
            <v>0</v>
          </cell>
          <cell r="BF99">
            <v>0</v>
          </cell>
          <cell r="BG99">
            <v>0</v>
          </cell>
          <cell r="BL99">
            <v>0</v>
          </cell>
          <cell r="BM99">
            <v>0</v>
          </cell>
          <cell r="BR99">
            <v>0</v>
          </cell>
          <cell r="BS99">
            <v>0</v>
          </cell>
          <cell r="BX99">
            <v>0</v>
          </cell>
          <cell r="BY99">
            <v>0</v>
          </cell>
          <cell r="CD99">
            <v>0</v>
          </cell>
          <cell r="CE99">
            <v>0</v>
          </cell>
          <cell r="CJ99">
            <v>0</v>
          </cell>
          <cell r="CK99">
            <v>0</v>
          </cell>
          <cell r="CP99">
            <v>0</v>
          </cell>
          <cell r="CQ99">
            <v>0</v>
          </cell>
          <cell r="CR99">
            <v>0</v>
          </cell>
          <cell r="CS99">
            <v>0</v>
          </cell>
          <cell r="CX99">
            <v>0</v>
          </cell>
          <cell r="CY99">
            <v>0</v>
          </cell>
          <cell r="CZ99">
            <v>0</v>
          </cell>
          <cell r="DA99">
            <v>0</v>
          </cell>
          <cell r="DF99">
            <v>0</v>
          </cell>
          <cell r="DG99">
            <v>0</v>
          </cell>
          <cell r="DH99">
            <v>0</v>
          </cell>
          <cell r="DI99">
            <v>0</v>
          </cell>
          <cell r="DN99">
            <v>0</v>
          </cell>
          <cell r="DO99">
            <v>0</v>
          </cell>
          <cell r="DP99">
            <v>0</v>
          </cell>
          <cell r="DQ99">
            <v>0</v>
          </cell>
          <cell r="DV99">
            <v>0</v>
          </cell>
          <cell r="DW99">
            <v>0</v>
          </cell>
          <cell r="DX99">
            <v>0</v>
          </cell>
          <cell r="DY99">
            <v>0</v>
          </cell>
        </row>
        <row r="100">
          <cell r="F100">
            <v>0</v>
          </cell>
          <cell r="G100">
            <v>0</v>
          </cell>
          <cell r="H100">
            <v>0</v>
          </cell>
          <cell r="I100">
            <v>0</v>
          </cell>
          <cell r="N100">
            <v>0</v>
          </cell>
          <cell r="O100">
            <v>0</v>
          </cell>
          <cell r="T100">
            <v>0</v>
          </cell>
          <cell r="U100">
            <v>0</v>
          </cell>
          <cell r="Z100">
            <v>0</v>
          </cell>
          <cell r="AA100">
            <v>0</v>
          </cell>
          <cell r="AF100">
            <v>0</v>
          </cell>
          <cell r="AG100">
            <v>0</v>
          </cell>
          <cell r="AL100">
            <v>0</v>
          </cell>
          <cell r="AM100">
            <v>0</v>
          </cell>
          <cell r="AR100">
            <v>0</v>
          </cell>
          <cell r="AS100">
            <v>0</v>
          </cell>
          <cell r="AX100">
            <v>0</v>
          </cell>
          <cell r="AY100">
            <v>0</v>
          </cell>
          <cell r="AZ100">
            <v>0</v>
          </cell>
          <cell r="BA100">
            <v>0</v>
          </cell>
          <cell r="BF100">
            <v>0</v>
          </cell>
          <cell r="BG100">
            <v>0</v>
          </cell>
          <cell r="BL100">
            <v>0</v>
          </cell>
          <cell r="BM100">
            <v>0</v>
          </cell>
          <cell r="BR100">
            <v>0</v>
          </cell>
          <cell r="BS100">
            <v>0</v>
          </cell>
          <cell r="BX100">
            <v>0</v>
          </cell>
          <cell r="BY100">
            <v>0</v>
          </cell>
          <cell r="CD100">
            <v>0</v>
          </cell>
          <cell r="CE100">
            <v>0</v>
          </cell>
          <cell r="CJ100">
            <v>0</v>
          </cell>
          <cell r="CK100">
            <v>0</v>
          </cell>
          <cell r="CP100">
            <v>0</v>
          </cell>
          <cell r="CQ100">
            <v>0</v>
          </cell>
          <cell r="CR100">
            <v>0</v>
          </cell>
          <cell r="CS100">
            <v>0</v>
          </cell>
          <cell r="CX100">
            <v>0</v>
          </cell>
          <cell r="CY100">
            <v>0</v>
          </cell>
          <cell r="CZ100">
            <v>0</v>
          </cell>
          <cell r="DA100">
            <v>0</v>
          </cell>
          <cell r="DF100">
            <v>0</v>
          </cell>
          <cell r="DG100">
            <v>0</v>
          </cell>
          <cell r="DH100">
            <v>0</v>
          </cell>
          <cell r="DI100">
            <v>0</v>
          </cell>
          <cell r="DN100">
            <v>0</v>
          </cell>
          <cell r="DO100">
            <v>0</v>
          </cell>
          <cell r="DP100">
            <v>0</v>
          </cell>
          <cell r="DQ100">
            <v>0</v>
          </cell>
          <cell r="DV100">
            <v>0</v>
          </cell>
          <cell r="DW100">
            <v>0</v>
          </cell>
          <cell r="DX100">
            <v>0</v>
          </cell>
          <cell r="DY100">
            <v>0</v>
          </cell>
        </row>
        <row r="101">
          <cell r="F101">
            <v>105000</v>
          </cell>
          <cell r="G101">
            <v>6084.4120000000003</v>
          </cell>
          <cell r="H101">
            <v>-34.176999999999992</v>
          </cell>
          <cell r="I101">
            <v>-0.56171409825633101</v>
          </cell>
          <cell r="N101">
            <v>7144</v>
          </cell>
          <cell r="O101">
            <v>414.80792000000002</v>
          </cell>
          <cell r="P101">
            <v>-35.484999999999999</v>
          </cell>
          <cell r="T101">
            <v>8288</v>
          </cell>
          <cell r="U101">
            <v>488.51583999999997</v>
          </cell>
          <cell r="V101">
            <v>-12.84</v>
          </cell>
          <cell r="Z101">
            <v>8288</v>
          </cell>
          <cell r="AA101">
            <v>488.51583999999997</v>
          </cell>
          <cell r="AB101">
            <v>-7.35</v>
          </cell>
          <cell r="AF101">
            <v>7404</v>
          </cell>
          <cell r="AG101">
            <v>431.55971999999997</v>
          </cell>
          <cell r="AH101">
            <v>-11.787000000000001</v>
          </cell>
          <cell r="AL101">
            <v>7404</v>
          </cell>
          <cell r="AM101">
            <v>431.55971999999997</v>
          </cell>
          <cell r="AN101">
            <v>-7.8179999999999996</v>
          </cell>
          <cell r="AR101">
            <v>7872</v>
          </cell>
          <cell r="AS101">
            <v>461.71296000000001</v>
          </cell>
          <cell r="AT101">
            <v>-2.0049999999999999</v>
          </cell>
          <cell r="AX101">
            <v>46400</v>
          </cell>
          <cell r="AY101">
            <v>2716.672</v>
          </cell>
          <cell r="AZ101">
            <v>-77.284999999999997</v>
          </cell>
          <cell r="BA101">
            <v>-2.8448410408028648</v>
          </cell>
          <cell r="BF101">
            <v>8404</v>
          </cell>
          <cell r="BG101">
            <v>476.8116</v>
          </cell>
          <cell r="BH101">
            <v>-10.441000000000001</v>
          </cell>
          <cell r="BL101">
            <v>9808</v>
          </cell>
          <cell r="BM101">
            <v>565.1232</v>
          </cell>
          <cell r="BN101">
            <v>2.173</v>
          </cell>
          <cell r="BR101">
            <v>9808</v>
          </cell>
          <cell r="BS101">
            <v>565.1232</v>
          </cell>
          <cell r="BT101">
            <v>5.5209999999999999</v>
          </cell>
          <cell r="BX101">
            <v>10574</v>
          </cell>
          <cell r="BY101">
            <v>605.90459999999996</v>
          </cell>
          <cell r="BZ101">
            <v>14.141999999999999</v>
          </cell>
          <cell r="CD101">
            <v>9574</v>
          </cell>
          <cell r="CE101">
            <v>550.40459999999996</v>
          </cell>
          <cell r="CF101">
            <v>13.497999999999999</v>
          </cell>
          <cell r="CJ101">
            <v>10432</v>
          </cell>
          <cell r="CK101">
            <v>604.37279999999998</v>
          </cell>
          <cell r="CL101">
            <v>18.215</v>
          </cell>
          <cell r="CP101">
            <v>58600</v>
          </cell>
          <cell r="CQ101">
            <v>3367.74</v>
          </cell>
          <cell r="CR101">
            <v>43.108000000000004</v>
          </cell>
          <cell r="CS101">
            <v>1.2800275555713923</v>
          </cell>
          <cell r="CX101">
            <v>23720</v>
          </cell>
          <cell r="CY101">
            <v>1391.8396</v>
          </cell>
          <cell r="CZ101">
            <v>-55.675000000000004</v>
          </cell>
          <cell r="DA101">
            <v>-4.0001017358609428</v>
          </cell>
          <cell r="DF101">
            <v>22680</v>
          </cell>
          <cell r="DG101">
            <v>1324.8324</v>
          </cell>
          <cell r="DH101">
            <v>-21.61</v>
          </cell>
          <cell r="DI101">
            <v>-1.6311497212779518</v>
          </cell>
          <cell r="DN101">
            <v>28020</v>
          </cell>
          <cell r="DO101">
            <v>1607.058</v>
          </cell>
          <cell r="DP101">
            <v>-2.7470000000000008</v>
          </cell>
          <cell r="DQ101">
            <v>-0.17093346973164633</v>
          </cell>
          <cell r="DV101">
            <v>30580</v>
          </cell>
          <cell r="DW101">
            <v>1760.6819999999998</v>
          </cell>
          <cell r="DX101">
            <v>45.855000000000004</v>
          </cell>
          <cell r="DY101">
            <v>2.6043885267186244</v>
          </cell>
        </row>
        <row r="102">
          <cell r="F102">
            <v>25000</v>
          </cell>
          <cell r="G102">
            <v>1693.3044</v>
          </cell>
          <cell r="H102">
            <v>122.69800000000001</v>
          </cell>
          <cell r="I102">
            <v>7.2460686926697884</v>
          </cell>
          <cell r="N102">
            <v>1336</v>
          </cell>
          <cell r="O102">
            <v>90.389983999999998</v>
          </cell>
          <cell r="P102">
            <v>-4.516</v>
          </cell>
          <cell r="T102">
            <v>2172</v>
          </cell>
          <cell r="U102">
            <v>149.322968</v>
          </cell>
          <cell r="V102">
            <v>3.8860000000000001</v>
          </cell>
          <cell r="Z102">
            <v>2172</v>
          </cell>
          <cell r="AA102">
            <v>149.322968</v>
          </cell>
          <cell r="AB102">
            <v>7.6139999999999999</v>
          </cell>
          <cell r="AF102">
            <v>1526</v>
          </cell>
          <cell r="AG102">
            <v>103.783844</v>
          </cell>
          <cell r="AH102">
            <v>5.2359999999999998</v>
          </cell>
          <cell r="AL102">
            <v>1526</v>
          </cell>
          <cell r="AM102">
            <v>103.783844</v>
          </cell>
          <cell r="AN102">
            <v>6.4450000000000003</v>
          </cell>
          <cell r="AR102">
            <v>1868</v>
          </cell>
          <cell r="AS102">
            <v>127.892792</v>
          </cell>
          <cell r="AT102">
            <v>9.8460000000000001</v>
          </cell>
          <cell r="AX102">
            <v>10600</v>
          </cell>
          <cell r="AY102">
            <v>724.49640000000011</v>
          </cell>
          <cell r="AZ102">
            <v>28.511000000000003</v>
          </cell>
          <cell r="BA102">
            <v>3.935285254695537</v>
          </cell>
          <cell r="BF102">
            <v>1526</v>
          </cell>
          <cell r="BG102">
            <v>101.31932</v>
          </cell>
          <cell r="BH102">
            <v>6.2389999999999999</v>
          </cell>
          <cell r="BL102">
            <v>2552</v>
          </cell>
          <cell r="BM102">
            <v>171.92864</v>
          </cell>
          <cell r="BN102">
            <v>14.749000000000001</v>
          </cell>
          <cell r="BR102">
            <v>2552</v>
          </cell>
          <cell r="BS102">
            <v>171.92864</v>
          </cell>
          <cell r="BT102">
            <v>16.035</v>
          </cell>
          <cell r="BX102">
            <v>2381</v>
          </cell>
          <cell r="BY102">
            <v>160.16041999999999</v>
          </cell>
          <cell r="BZ102">
            <v>16.942</v>
          </cell>
          <cell r="CD102">
            <v>2381</v>
          </cell>
          <cell r="CE102">
            <v>160.16041999999999</v>
          </cell>
          <cell r="CF102">
            <v>17.303000000000001</v>
          </cell>
          <cell r="CJ102">
            <v>3008</v>
          </cell>
          <cell r="CK102">
            <v>203.31056000000001</v>
          </cell>
          <cell r="CL102">
            <v>22.919</v>
          </cell>
          <cell r="CP102">
            <v>14400</v>
          </cell>
          <cell r="CQ102">
            <v>968.80799999999999</v>
          </cell>
          <cell r="CR102">
            <v>94.186999999999998</v>
          </cell>
          <cell r="CS102">
            <v>9.721946969884641</v>
          </cell>
          <cell r="CX102">
            <v>5680</v>
          </cell>
          <cell r="CY102">
            <v>389.03592000000003</v>
          </cell>
          <cell r="CZ102">
            <v>6.984</v>
          </cell>
          <cell r="DA102">
            <v>1.7952069824297971</v>
          </cell>
          <cell r="DF102">
            <v>4920</v>
          </cell>
          <cell r="DG102">
            <v>335.46048000000002</v>
          </cell>
          <cell r="DH102">
            <v>21.527000000000001</v>
          </cell>
          <cell r="DI102">
            <v>6.4171493464744334</v>
          </cell>
          <cell r="DN102">
            <v>6630</v>
          </cell>
          <cell r="DO102">
            <v>445.17660000000001</v>
          </cell>
          <cell r="DP102">
            <v>37.022999999999996</v>
          </cell>
          <cell r="DQ102">
            <v>8.3164748551473728</v>
          </cell>
          <cell r="DV102">
            <v>7770</v>
          </cell>
          <cell r="DW102">
            <v>523.63139999999999</v>
          </cell>
          <cell r="DX102">
            <v>57.164000000000001</v>
          </cell>
          <cell r="DY102">
            <v>10.916839593653094</v>
          </cell>
        </row>
        <row r="103">
          <cell r="F103">
            <v>3000</v>
          </cell>
          <cell r="G103">
            <v>202.76</v>
          </cell>
          <cell r="H103">
            <v>-61.558</v>
          </cell>
          <cell r="I103">
            <v>-30.360031564411127</v>
          </cell>
          <cell r="N103">
            <v>0</v>
          </cell>
          <cell r="O103">
            <v>0</v>
          </cell>
          <cell r="P103">
            <v>0</v>
          </cell>
          <cell r="T103">
            <v>0</v>
          </cell>
          <cell r="U103">
            <v>0</v>
          </cell>
          <cell r="V103">
            <v>0</v>
          </cell>
          <cell r="Z103">
            <v>0</v>
          </cell>
          <cell r="AA103">
            <v>0</v>
          </cell>
          <cell r="AB103">
            <v>0</v>
          </cell>
          <cell r="AF103">
            <v>0</v>
          </cell>
          <cell r="AG103">
            <v>0</v>
          </cell>
          <cell r="AH103">
            <v>0</v>
          </cell>
          <cell r="AL103">
            <v>0</v>
          </cell>
          <cell r="AM103">
            <v>0</v>
          </cell>
          <cell r="AN103">
            <v>0</v>
          </cell>
          <cell r="AR103">
            <v>0</v>
          </cell>
          <cell r="AS103">
            <v>0</v>
          </cell>
          <cell r="AT103">
            <v>0</v>
          </cell>
          <cell r="AX103">
            <v>0</v>
          </cell>
          <cell r="AY103">
            <v>0</v>
          </cell>
          <cell r="AZ103">
            <v>0</v>
          </cell>
          <cell r="BA103">
            <v>0</v>
          </cell>
          <cell r="BF103">
            <v>0</v>
          </cell>
          <cell r="BG103">
            <v>0</v>
          </cell>
          <cell r="BH103">
            <v>0</v>
          </cell>
          <cell r="BL103">
            <v>0</v>
          </cell>
          <cell r="BM103">
            <v>0</v>
          </cell>
          <cell r="BN103">
            <v>0</v>
          </cell>
          <cell r="BR103">
            <v>0</v>
          </cell>
          <cell r="BS103">
            <v>0</v>
          </cell>
          <cell r="BT103">
            <v>0</v>
          </cell>
          <cell r="BX103">
            <v>0</v>
          </cell>
          <cell r="BY103">
            <v>0</v>
          </cell>
          <cell r="BZ103">
            <v>0</v>
          </cell>
          <cell r="CD103">
            <v>0</v>
          </cell>
          <cell r="CE103">
            <v>0</v>
          </cell>
          <cell r="CF103">
            <v>0</v>
          </cell>
          <cell r="CJ103">
            <v>3000</v>
          </cell>
          <cell r="CK103">
            <v>202.76</v>
          </cell>
          <cell r="CL103">
            <v>-61.558</v>
          </cell>
          <cell r="CP103">
            <v>3000</v>
          </cell>
          <cell r="CQ103">
            <v>202.76</v>
          </cell>
          <cell r="CR103">
            <v>-61.558</v>
          </cell>
          <cell r="CS103">
            <v>-30.360031564411127</v>
          </cell>
          <cell r="CX103">
            <v>0</v>
          </cell>
          <cell r="CY103">
            <v>0</v>
          </cell>
          <cell r="CZ103">
            <v>0</v>
          </cell>
          <cell r="DA103">
            <v>0</v>
          </cell>
          <cell r="DF103">
            <v>0</v>
          </cell>
          <cell r="DG103">
            <v>0</v>
          </cell>
          <cell r="DH103">
            <v>0</v>
          </cell>
          <cell r="DI103">
            <v>0</v>
          </cell>
          <cell r="DN103">
            <v>0</v>
          </cell>
          <cell r="DO103">
            <v>0</v>
          </cell>
          <cell r="DP103">
            <v>0</v>
          </cell>
          <cell r="DQ103">
            <v>0</v>
          </cell>
          <cell r="DV103">
            <v>3000</v>
          </cell>
          <cell r="DW103">
            <v>202.76</v>
          </cell>
          <cell r="DX103">
            <v>-61.558</v>
          </cell>
          <cell r="DY103">
            <v>-30.360031564411127</v>
          </cell>
        </row>
        <row r="104">
          <cell r="F104">
            <v>0</v>
          </cell>
          <cell r="G104">
            <v>0</v>
          </cell>
          <cell r="H104">
            <v>0</v>
          </cell>
          <cell r="I104">
            <v>0</v>
          </cell>
          <cell r="N104">
            <v>0</v>
          </cell>
          <cell r="O104">
            <v>0</v>
          </cell>
          <cell r="T104">
            <v>0</v>
          </cell>
          <cell r="U104">
            <v>0</v>
          </cell>
          <cell r="Z104">
            <v>0</v>
          </cell>
          <cell r="AA104">
            <v>0</v>
          </cell>
          <cell r="AF104">
            <v>0</v>
          </cell>
          <cell r="AG104">
            <v>0</v>
          </cell>
          <cell r="AL104">
            <v>0</v>
          </cell>
          <cell r="AM104">
            <v>0</v>
          </cell>
          <cell r="AR104">
            <v>0</v>
          </cell>
          <cell r="AS104">
            <v>0</v>
          </cell>
          <cell r="AX104">
            <v>0</v>
          </cell>
          <cell r="AY104">
            <v>0</v>
          </cell>
          <cell r="AZ104">
            <v>0</v>
          </cell>
          <cell r="BA104">
            <v>0</v>
          </cell>
          <cell r="BF104">
            <v>0</v>
          </cell>
          <cell r="BG104">
            <v>0</v>
          </cell>
          <cell r="BL104">
            <v>0</v>
          </cell>
          <cell r="BM104">
            <v>0</v>
          </cell>
          <cell r="BR104">
            <v>0</v>
          </cell>
          <cell r="BS104">
            <v>0</v>
          </cell>
          <cell r="BX104">
            <v>0</v>
          </cell>
          <cell r="BY104">
            <v>0</v>
          </cell>
          <cell r="CD104">
            <v>0</v>
          </cell>
          <cell r="CE104">
            <v>0</v>
          </cell>
          <cell r="CJ104">
            <v>0</v>
          </cell>
          <cell r="CK104">
            <v>0</v>
          </cell>
          <cell r="CP104">
            <v>0</v>
          </cell>
          <cell r="CQ104">
            <v>0</v>
          </cell>
          <cell r="CR104">
            <v>0</v>
          </cell>
          <cell r="CS104">
            <v>0</v>
          </cell>
          <cell r="CX104">
            <v>0</v>
          </cell>
          <cell r="CY104">
            <v>0</v>
          </cell>
          <cell r="CZ104">
            <v>0</v>
          </cell>
          <cell r="DA104">
            <v>0</v>
          </cell>
          <cell r="DF104">
            <v>0</v>
          </cell>
          <cell r="DG104">
            <v>0</v>
          </cell>
          <cell r="DH104">
            <v>0</v>
          </cell>
          <cell r="DI104">
            <v>0</v>
          </cell>
          <cell r="DN104">
            <v>0</v>
          </cell>
          <cell r="DO104">
            <v>0</v>
          </cell>
          <cell r="DP104">
            <v>0</v>
          </cell>
          <cell r="DQ104">
            <v>0</v>
          </cell>
          <cell r="DV104">
            <v>0</v>
          </cell>
          <cell r="DW104">
            <v>0</v>
          </cell>
          <cell r="DX104">
            <v>0</v>
          </cell>
          <cell r="DY104">
            <v>0</v>
          </cell>
        </row>
        <row r="105">
          <cell r="F105">
            <v>4000</v>
          </cell>
          <cell r="G105">
            <v>288.23</v>
          </cell>
          <cell r="H105">
            <v>-77.409000000000006</v>
          </cell>
          <cell r="I105">
            <v>-26.85667695937272</v>
          </cell>
          <cell r="N105">
            <v>0</v>
          </cell>
          <cell r="O105">
            <v>0</v>
          </cell>
          <cell r="P105">
            <v>0</v>
          </cell>
          <cell r="T105">
            <v>0</v>
          </cell>
          <cell r="U105">
            <v>0</v>
          </cell>
          <cell r="V105">
            <v>0</v>
          </cell>
          <cell r="Z105">
            <v>0</v>
          </cell>
          <cell r="AA105">
            <v>0</v>
          </cell>
          <cell r="AB105">
            <v>0</v>
          </cell>
          <cell r="AF105">
            <v>0</v>
          </cell>
          <cell r="AG105">
            <v>0</v>
          </cell>
          <cell r="AH105">
            <v>0</v>
          </cell>
          <cell r="AL105">
            <v>0</v>
          </cell>
          <cell r="AM105">
            <v>0</v>
          </cell>
          <cell r="AN105">
            <v>0</v>
          </cell>
          <cell r="AR105">
            <v>0</v>
          </cell>
          <cell r="AS105">
            <v>0</v>
          </cell>
          <cell r="AT105">
            <v>0</v>
          </cell>
          <cell r="AX105">
            <v>0</v>
          </cell>
          <cell r="AY105">
            <v>0</v>
          </cell>
          <cell r="AZ105">
            <v>0</v>
          </cell>
          <cell r="BA105">
            <v>0</v>
          </cell>
          <cell r="BF105">
            <v>0</v>
          </cell>
          <cell r="BG105">
            <v>0</v>
          </cell>
          <cell r="BH105">
            <v>0</v>
          </cell>
          <cell r="BL105">
            <v>0</v>
          </cell>
          <cell r="BM105">
            <v>0</v>
          </cell>
          <cell r="BN105">
            <v>0</v>
          </cell>
          <cell r="BR105">
            <v>0</v>
          </cell>
          <cell r="BS105">
            <v>0</v>
          </cell>
          <cell r="BT105">
            <v>0</v>
          </cell>
          <cell r="BX105">
            <v>0</v>
          </cell>
          <cell r="BY105">
            <v>0</v>
          </cell>
          <cell r="BZ105">
            <v>0</v>
          </cell>
          <cell r="CD105">
            <v>0</v>
          </cell>
          <cell r="CE105">
            <v>0</v>
          </cell>
          <cell r="CF105">
            <v>0</v>
          </cell>
          <cell r="CJ105">
            <v>4000</v>
          </cell>
          <cell r="CK105">
            <v>288.23</v>
          </cell>
          <cell r="CL105">
            <v>-77.409000000000006</v>
          </cell>
          <cell r="CP105">
            <v>4000</v>
          </cell>
          <cell r="CQ105">
            <v>288.23</v>
          </cell>
          <cell r="CR105">
            <v>-77.409000000000006</v>
          </cell>
          <cell r="CS105">
            <v>-26.85667695937272</v>
          </cell>
          <cell r="CX105">
            <v>0</v>
          </cell>
          <cell r="CY105">
            <v>0</v>
          </cell>
          <cell r="CZ105">
            <v>0</v>
          </cell>
          <cell r="DA105">
            <v>0</v>
          </cell>
          <cell r="DF105">
            <v>0</v>
          </cell>
          <cell r="DG105">
            <v>0</v>
          </cell>
          <cell r="DH105">
            <v>0</v>
          </cell>
          <cell r="DI105">
            <v>0</v>
          </cell>
          <cell r="DN105">
            <v>0</v>
          </cell>
          <cell r="DO105">
            <v>0</v>
          </cell>
          <cell r="DP105">
            <v>0</v>
          </cell>
          <cell r="DQ105">
            <v>0</v>
          </cell>
          <cell r="DV105">
            <v>4000</v>
          </cell>
          <cell r="DW105">
            <v>288.23</v>
          </cell>
          <cell r="DX105">
            <v>-77.409000000000006</v>
          </cell>
          <cell r="DY105">
            <v>-26.85667695937272</v>
          </cell>
        </row>
        <row r="106">
          <cell r="F106">
            <v>3000</v>
          </cell>
          <cell r="G106">
            <v>297.48</v>
          </cell>
          <cell r="H106">
            <v>8.8970000000000002</v>
          </cell>
          <cell r="I106">
            <v>2.9907892967594458</v>
          </cell>
          <cell r="N106">
            <v>0</v>
          </cell>
          <cell r="O106">
            <v>0</v>
          </cell>
          <cell r="P106">
            <v>0</v>
          </cell>
          <cell r="T106">
            <v>0</v>
          </cell>
          <cell r="U106">
            <v>0</v>
          </cell>
          <cell r="V106">
            <v>0</v>
          </cell>
          <cell r="Z106">
            <v>0</v>
          </cell>
          <cell r="AA106">
            <v>0</v>
          </cell>
          <cell r="AB106">
            <v>0</v>
          </cell>
          <cell r="AF106">
            <v>0</v>
          </cell>
          <cell r="AG106">
            <v>0</v>
          </cell>
          <cell r="AH106">
            <v>0</v>
          </cell>
          <cell r="AL106">
            <v>0</v>
          </cell>
          <cell r="AM106">
            <v>0</v>
          </cell>
          <cell r="AN106">
            <v>0</v>
          </cell>
          <cell r="AR106">
            <v>0</v>
          </cell>
          <cell r="AS106">
            <v>0</v>
          </cell>
          <cell r="AT106">
            <v>0</v>
          </cell>
          <cell r="AX106">
            <v>0</v>
          </cell>
          <cell r="AY106">
            <v>0</v>
          </cell>
          <cell r="AZ106">
            <v>0</v>
          </cell>
          <cell r="BA106">
            <v>0</v>
          </cell>
          <cell r="BF106">
            <v>0</v>
          </cell>
          <cell r="BG106">
            <v>0</v>
          </cell>
          <cell r="BH106">
            <v>0</v>
          </cell>
          <cell r="BL106">
            <v>0</v>
          </cell>
          <cell r="BM106">
            <v>0</v>
          </cell>
          <cell r="BN106">
            <v>0</v>
          </cell>
          <cell r="BR106">
            <v>0</v>
          </cell>
          <cell r="BS106">
            <v>0</v>
          </cell>
          <cell r="BT106">
            <v>0</v>
          </cell>
          <cell r="BX106">
            <v>0</v>
          </cell>
          <cell r="BY106">
            <v>0</v>
          </cell>
          <cell r="BZ106">
            <v>0</v>
          </cell>
          <cell r="CD106">
            <v>0</v>
          </cell>
          <cell r="CE106">
            <v>0</v>
          </cell>
          <cell r="CF106">
            <v>0</v>
          </cell>
          <cell r="CJ106">
            <v>3000</v>
          </cell>
          <cell r="CK106">
            <v>297.48</v>
          </cell>
          <cell r="CL106">
            <v>8.8970000000000002</v>
          </cell>
          <cell r="CP106">
            <v>3000</v>
          </cell>
          <cell r="CQ106">
            <v>297.48</v>
          </cell>
          <cell r="CR106">
            <v>8.8970000000000002</v>
          </cell>
          <cell r="CS106">
            <v>2.9907892967594458</v>
          </cell>
          <cell r="CX106">
            <v>0</v>
          </cell>
          <cell r="CY106">
            <v>0</v>
          </cell>
          <cell r="CZ106">
            <v>0</v>
          </cell>
          <cell r="DA106">
            <v>0</v>
          </cell>
          <cell r="DF106">
            <v>0</v>
          </cell>
          <cell r="DG106">
            <v>0</v>
          </cell>
          <cell r="DH106">
            <v>0</v>
          </cell>
          <cell r="DI106">
            <v>0</v>
          </cell>
          <cell r="DN106">
            <v>0</v>
          </cell>
          <cell r="DO106">
            <v>0</v>
          </cell>
          <cell r="DP106">
            <v>0</v>
          </cell>
          <cell r="DQ106">
            <v>0</v>
          </cell>
          <cell r="DV106">
            <v>3000</v>
          </cell>
          <cell r="DW106">
            <v>297.48</v>
          </cell>
          <cell r="DX106">
            <v>8.8970000000000002</v>
          </cell>
          <cell r="DY106">
            <v>2.9907892967594458</v>
          </cell>
        </row>
        <row r="107">
          <cell r="F107">
            <v>27000</v>
          </cell>
          <cell r="G107">
            <v>1911.2914000000001</v>
          </cell>
          <cell r="H107">
            <v>-1.0469999999999988</v>
          </cell>
          <cell r="I107">
            <v>-5.4779715955400557E-2</v>
          </cell>
          <cell r="N107">
            <v>849</v>
          </cell>
          <cell r="O107">
            <v>61.159987999999998</v>
          </cell>
          <cell r="P107">
            <v>-4.9139999999999997</v>
          </cell>
          <cell r="T107">
            <v>893</v>
          </cell>
          <cell r="U107">
            <v>64.962115999999995</v>
          </cell>
          <cell r="V107">
            <v>-2.0379999999999998</v>
          </cell>
          <cell r="Z107">
            <v>2198</v>
          </cell>
          <cell r="AA107">
            <v>158.32497599999999</v>
          </cell>
          <cell r="AB107">
            <v>0.38900000000000001</v>
          </cell>
          <cell r="AF107">
            <v>1664</v>
          </cell>
          <cell r="AG107">
            <v>119.381968</v>
          </cell>
          <cell r="AH107">
            <v>-0.23400000000000001</v>
          </cell>
          <cell r="AL107">
            <v>2164</v>
          </cell>
          <cell r="AM107">
            <v>155.386968</v>
          </cell>
          <cell r="AN107">
            <v>0.6</v>
          </cell>
          <cell r="AR107">
            <v>1682</v>
          </cell>
          <cell r="AS107">
            <v>120.93738399999999</v>
          </cell>
          <cell r="AT107">
            <v>1.419</v>
          </cell>
          <cell r="AX107">
            <v>9450</v>
          </cell>
          <cell r="AY107">
            <v>680.15340000000003</v>
          </cell>
          <cell r="AZ107">
            <v>-4.7779999999999987</v>
          </cell>
          <cell r="BA107">
            <v>-0.70248858566317518</v>
          </cell>
          <cell r="BF107">
            <v>2796.5</v>
          </cell>
          <cell r="BG107">
            <v>195.69373999999999</v>
          </cell>
          <cell r="BH107">
            <v>-2.702</v>
          </cell>
          <cell r="BL107">
            <v>2350.5</v>
          </cell>
          <cell r="BM107">
            <v>165.09917999999999</v>
          </cell>
          <cell r="BN107">
            <v>-1.4319999999999999</v>
          </cell>
          <cell r="BR107">
            <v>3149.5</v>
          </cell>
          <cell r="BS107">
            <v>221.04761999999999</v>
          </cell>
          <cell r="BT107">
            <v>-1.2310000000000001</v>
          </cell>
          <cell r="BX107">
            <v>4336.5</v>
          </cell>
          <cell r="BY107">
            <v>303.48214000000002</v>
          </cell>
          <cell r="BZ107">
            <v>5.827</v>
          </cell>
          <cell r="CD107">
            <v>2790</v>
          </cell>
          <cell r="CE107">
            <v>195.5376</v>
          </cell>
          <cell r="CF107">
            <v>-0.156</v>
          </cell>
          <cell r="CJ107">
            <v>2127</v>
          </cell>
          <cell r="CK107">
            <v>150.27771999999999</v>
          </cell>
          <cell r="CL107">
            <v>3.4249999999999998</v>
          </cell>
          <cell r="CP107">
            <v>17550</v>
          </cell>
          <cell r="CQ107">
            <v>1231.1379999999999</v>
          </cell>
          <cell r="CR107">
            <v>3.7309999999999999</v>
          </cell>
          <cell r="CS107">
            <v>0.30305294776052727</v>
          </cell>
          <cell r="CX107">
            <v>3940</v>
          </cell>
          <cell r="CY107">
            <v>284.44707999999997</v>
          </cell>
          <cell r="CZ107">
            <v>-6.5629999999999997</v>
          </cell>
          <cell r="DA107">
            <v>-2.3072833090780893</v>
          </cell>
          <cell r="DF107">
            <v>5510</v>
          </cell>
          <cell r="DG107">
            <v>395.70632000000001</v>
          </cell>
          <cell r="DH107">
            <v>1.7850000000000001</v>
          </cell>
          <cell r="DI107">
            <v>0.45109211295892371</v>
          </cell>
          <cell r="DN107">
            <v>8296.5</v>
          </cell>
          <cell r="DO107">
            <v>581.84053999999992</v>
          </cell>
          <cell r="DP107">
            <v>-5.3650000000000002</v>
          </cell>
          <cell r="DQ107">
            <v>-0.9220739414273198</v>
          </cell>
          <cell r="DV107">
            <v>9253.5</v>
          </cell>
          <cell r="DW107">
            <v>649.29746</v>
          </cell>
          <cell r="DX107">
            <v>9.0960000000000001</v>
          </cell>
          <cell r="DY107">
            <v>1.400898749858039</v>
          </cell>
        </row>
        <row r="108">
          <cell r="F108">
            <v>9000</v>
          </cell>
          <cell r="G108">
            <v>673.56</v>
          </cell>
          <cell r="H108">
            <v>29.809000000000005</v>
          </cell>
          <cell r="I108">
            <v>4.4255894055466491</v>
          </cell>
          <cell r="N108">
            <v>700</v>
          </cell>
          <cell r="O108">
            <v>53.06</v>
          </cell>
          <cell r="P108">
            <v>0.57299999999999995</v>
          </cell>
          <cell r="T108">
            <v>700</v>
          </cell>
          <cell r="U108">
            <v>53.06</v>
          </cell>
          <cell r="V108">
            <v>1.913</v>
          </cell>
          <cell r="Z108">
            <v>700</v>
          </cell>
          <cell r="AA108">
            <v>53.06</v>
          </cell>
          <cell r="AB108">
            <v>2.254</v>
          </cell>
          <cell r="AF108">
            <v>700</v>
          </cell>
          <cell r="AG108">
            <v>53.06</v>
          </cell>
          <cell r="AH108">
            <v>2.1619999999999999</v>
          </cell>
          <cell r="AL108">
            <v>700</v>
          </cell>
          <cell r="AM108">
            <v>53.06</v>
          </cell>
          <cell r="AN108">
            <v>2.2669999999999999</v>
          </cell>
          <cell r="AR108">
            <v>700</v>
          </cell>
          <cell r="AS108">
            <v>53.06</v>
          </cell>
          <cell r="AT108">
            <v>2.778</v>
          </cell>
          <cell r="AX108">
            <v>4200</v>
          </cell>
          <cell r="AY108">
            <v>318.36</v>
          </cell>
          <cell r="AZ108">
            <v>11.947000000000001</v>
          </cell>
          <cell r="BA108">
            <v>3.7526699334087201</v>
          </cell>
          <cell r="BF108">
            <v>800</v>
          </cell>
          <cell r="BG108">
            <v>59.2</v>
          </cell>
          <cell r="BH108">
            <v>1.4690000000000001</v>
          </cell>
          <cell r="BL108">
            <v>800</v>
          </cell>
          <cell r="BM108">
            <v>59.2</v>
          </cell>
          <cell r="BN108">
            <v>3.0390000000000001</v>
          </cell>
          <cell r="BR108">
            <v>800</v>
          </cell>
          <cell r="BS108">
            <v>59.2</v>
          </cell>
          <cell r="BT108">
            <v>3.1749999999999998</v>
          </cell>
          <cell r="BX108">
            <v>800</v>
          </cell>
          <cell r="BY108">
            <v>59.2</v>
          </cell>
          <cell r="BZ108">
            <v>3.5739999999999998</v>
          </cell>
          <cell r="CD108">
            <v>800</v>
          </cell>
          <cell r="CE108">
            <v>59.2</v>
          </cell>
          <cell r="CF108">
            <v>3.13</v>
          </cell>
          <cell r="CJ108">
            <v>800</v>
          </cell>
          <cell r="CK108">
            <v>59.2</v>
          </cell>
          <cell r="CL108">
            <v>3.4750000000000001</v>
          </cell>
          <cell r="CP108">
            <v>4800</v>
          </cell>
          <cell r="CQ108">
            <v>355.2</v>
          </cell>
          <cell r="CR108">
            <v>17.862000000000002</v>
          </cell>
          <cell r="CS108">
            <v>5.0287162162162167</v>
          </cell>
          <cell r="CX108">
            <v>2100</v>
          </cell>
          <cell r="CY108">
            <v>159.18</v>
          </cell>
          <cell r="CZ108">
            <v>4.74</v>
          </cell>
          <cell r="DA108">
            <v>2.9777610252544289</v>
          </cell>
          <cell r="DF108">
            <v>2100</v>
          </cell>
          <cell r="DG108">
            <v>159.18</v>
          </cell>
          <cell r="DH108">
            <v>7.2070000000000007</v>
          </cell>
          <cell r="DI108">
            <v>4.5275788415630105</v>
          </cell>
          <cell r="DN108">
            <v>2400</v>
          </cell>
          <cell r="DO108">
            <v>177.60000000000002</v>
          </cell>
          <cell r="DP108">
            <v>7.6829999999999998</v>
          </cell>
          <cell r="DQ108">
            <v>4.3260135135135132</v>
          </cell>
          <cell r="DV108">
            <v>2400</v>
          </cell>
          <cell r="DW108">
            <v>177.60000000000002</v>
          </cell>
          <cell r="DX108">
            <v>10.179</v>
          </cell>
          <cell r="DY108">
            <v>5.7314189189189184</v>
          </cell>
        </row>
        <row r="109">
          <cell r="F109">
            <v>3000</v>
          </cell>
          <cell r="G109">
            <v>245.45240000000001</v>
          </cell>
          <cell r="H109">
            <v>-7.415</v>
          </cell>
          <cell r="I109">
            <v>-3.0209523312870434</v>
          </cell>
          <cell r="N109">
            <v>144</v>
          </cell>
          <cell r="O109">
            <v>11.876344</v>
          </cell>
          <cell r="P109">
            <v>-4.2450000000000001</v>
          </cell>
          <cell r="T109">
            <v>288</v>
          </cell>
          <cell r="U109">
            <v>23.752687999999999</v>
          </cell>
          <cell r="V109">
            <v>-2.258</v>
          </cell>
          <cell r="Z109">
            <v>188</v>
          </cell>
          <cell r="AA109">
            <v>15.945288</v>
          </cell>
          <cell r="AB109">
            <v>-2.5000000000000001E-2</v>
          </cell>
          <cell r="AF109">
            <v>254</v>
          </cell>
          <cell r="AG109">
            <v>20.608504</v>
          </cell>
          <cell r="AH109">
            <v>-0.54900000000000004</v>
          </cell>
          <cell r="AL109">
            <v>254</v>
          </cell>
          <cell r="AM109">
            <v>20.608504</v>
          </cell>
          <cell r="AN109">
            <v>-0.29199999999999998</v>
          </cell>
          <cell r="AR109">
            <v>272</v>
          </cell>
          <cell r="AS109">
            <v>22.273071999999999</v>
          </cell>
          <cell r="AT109">
            <v>0.315</v>
          </cell>
          <cell r="AX109">
            <v>1400</v>
          </cell>
          <cell r="AY109">
            <v>115.06439999999999</v>
          </cell>
          <cell r="AZ109">
            <v>-7.0540000000000003</v>
          </cell>
          <cell r="BA109">
            <v>-6.1304799746924337</v>
          </cell>
          <cell r="BF109">
            <v>154</v>
          </cell>
          <cell r="BG109">
            <v>12.497120000000001</v>
          </cell>
          <cell r="BH109">
            <v>-0.38300000000000001</v>
          </cell>
          <cell r="BL109">
            <v>308</v>
          </cell>
          <cell r="BM109">
            <v>24.994240000000001</v>
          </cell>
          <cell r="BN109">
            <v>-1.026</v>
          </cell>
          <cell r="BR109">
            <v>308</v>
          </cell>
          <cell r="BS109">
            <v>24.994240000000001</v>
          </cell>
          <cell r="BT109">
            <v>-0.51500000000000001</v>
          </cell>
          <cell r="BX109">
            <v>299</v>
          </cell>
          <cell r="BY109">
            <v>24.181719999999999</v>
          </cell>
          <cell r="BZ109">
            <v>1.085</v>
          </cell>
          <cell r="CD109">
            <v>299</v>
          </cell>
          <cell r="CE109">
            <v>24.181719999999999</v>
          </cell>
          <cell r="CF109">
            <v>-0.26500000000000001</v>
          </cell>
          <cell r="CJ109">
            <v>232</v>
          </cell>
          <cell r="CK109">
            <v>19.538959999999999</v>
          </cell>
          <cell r="CL109">
            <v>0.74299999999999999</v>
          </cell>
          <cell r="CP109">
            <v>1600</v>
          </cell>
          <cell r="CQ109">
            <v>130.38800000000001</v>
          </cell>
          <cell r="CR109">
            <v>-0.36099999999999999</v>
          </cell>
          <cell r="CS109">
            <v>-0.2768659692609749</v>
          </cell>
          <cell r="CX109">
            <v>620</v>
          </cell>
          <cell r="CY109">
            <v>51.574319999999993</v>
          </cell>
          <cell r="CZ109">
            <v>-6.5280000000000005</v>
          </cell>
          <cell r="DA109">
            <v>-12.657462085782228</v>
          </cell>
          <cell r="DF109">
            <v>780</v>
          </cell>
          <cell r="DG109">
            <v>63.490079999999999</v>
          </cell>
          <cell r="DH109">
            <v>-0.52600000000000002</v>
          </cell>
          <cell r="DI109">
            <v>-0.82847588158654084</v>
          </cell>
          <cell r="DN109">
            <v>770</v>
          </cell>
          <cell r="DO109">
            <v>62.485600000000005</v>
          </cell>
          <cell r="DP109">
            <v>-1.9239999999999999</v>
          </cell>
          <cell r="DQ109">
            <v>-3.0791094268119372</v>
          </cell>
          <cell r="DV109">
            <v>830</v>
          </cell>
          <cell r="DW109">
            <v>67.9024</v>
          </cell>
          <cell r="DX109">
            <v>1.5629999999999999</v>
          </cell>
          <cell r="DY109">
            <v>2.3018332194443789</v>
          </cell>
        </row>
        <row r="110">
          <cell r="F110">
            <v>6000</v>
          </cell>
          <cell r="G110">
            <v>485.35200000000009</v>
          </cell>
          <cell r="H110">
            <v>3.6089999999999995</v>
          </cell>
          <cell r="I110">
            <v>0.74358403797656114</v>
          </cell>
          <cell r="N110">
            <v>500</v>
          </cell>
          <cell r="O110">
            <v>40.932000000000002</v>
          </cell>
          <cell r="P110">
            <v>-2.3050000000000002</v>
          </cell>
          <cell r="T110">
            <v>500</v>
          </cell>
          <cell r="U110">
            <v>40.932000000000002</v>
          </cell>
          <cell r="V110">
            <v>-0.96399999999999997</v>
          </cell>
          <cell r="Z110">
            <v>500</v>
          </cell>
          <cell r="AA110">
            <v>40.932000000000002</v>
          </cell>
          <cell r="AB110">
            <v>0.55000000000000004</v>
          </cell>
          <cell r="AF110">
            <v>500</v>
          </cell>
          <cell r="AG110">
            <v>40.932000000000002</v>
          </cell>
          <cell r="AH110">
            <v>0.252</v>
          </cell>
          <cell r="AL110">
            <v>500</v>
          </cell>
          <cell r="AM110">
            <v>40.932000000000002</v>
          </cell>
          <cell r="AN110">
            <v>0.47599999999999998</v>
          </cell>
          <cell r="AR110">
            <v>500</v>
          </cell>
          <cell r="AS110">
            <v>40.932000000000002</v>
          </cell>
          <cell r="AT110">
            <v>0.96</v>
          </cell>
          <cell r="AX110">
            <v>3000</v>
          </cell>
          <cell r="AY110">
            <v>245.59200000000004</v>
          </cell>
          <cell r="AZ110">
            <v>-1.0310000000000001</v>
          </cell>
          <cell r="BA110">
            <v>-0.41980194794618719</v>
          </cell>
          <cell r="BF110">
            <v>500</v>
          </cell>
          <cell r="BG110">
            <v>39.96</v>
          </cell>
          <cell r="BH110">
            <v>0.42699999999999999</v>
          </cell>
          <cell r="BL110">
            <v>500</v>
          </cell>
          <cell r="BM110">
            <v>39.96</v>
          </cell>
          <cell r="BN110">
            <v>0.107</v>
          </cell>
          <cell r="BR110">
            <v>500</v>
          </cell>
          <cell r="BS110">
            <v>39.96</v>
          </cell>
          <cell r="BT110">
            <v>0.53500000000000003</v>
          </cell>
          <cell r="BX110">
            <v>500</v>
          </cell>
          <cell r="BY110">
            <v>39.96</v>
          </cell>
          <cell r="BZ110">
            <v>1.5329999999999999</v>
          </cell>
          <cell r="CD110">
            <v>500</v>
          </cell>
          <cell r="CE110">
            <v>39.96</v>
          </cell>
          <cell r="CF110">
            <v>0.68100000000000005</v>
          </cell>
          <cell r="CJ110">
            <v>500</v>
          </cell>
          <cell r="CK110">
            <v>39.96</v>
          </cell>
          <cell r="CL110">
            <v>1.357</v>
          </cell>
          <cell r="CP110">
            <v>3000</v>
          </cell>
          <cell r="CQ110">
            <v>239.76000000000002</v>
          </cell>
          <cell r="CR110">
            <v>4.6399999999999997</v>
          </cell>
          <cell r="CS110">
            <v>1.9352686019352683</v>
          </cell>
          <cell r="CX110">
            <v>1500</v>
          </cell>
          <cell r="CY110">
            <v>122.79600000000001</v>
          </cell>
          <cell r="CZ110">
            <v>-2.7190000000000003</v>
          </cell>
          <cell r="DA110">
            <v>-2.2142415062379883</v>
          </cell>
          <cell r="DF110">
            <v>1500</v>
          </cell>
          <cell r="DG110">
            <v>122.79600000000001</v>
          </cell>
          <cell r="DH110">
            <v>1.6879999999999999</v>
          </cell>
          <cell r="DI110">
            <v>1.3746376103456137</v>
          </cell>
          <cell r="DN110">
            <v>1500</v>
          </cell>
          <cell r="DO110">
            <v>119.88</v>
          </cell>
          <cell r="DP110">
            <v>1.069</v>
          </cell>
          <cell r="DQ110">
            <v>0.89172505839172511</v>
          </cell>
          <cell r="DV110">
            <v>1500</v>
          </cell>
          <cell r="DW110">
            <v>119.88</v>
          </cell>
          <cell r="DX110">
            <v>3.5709999999999997</v>
          </cell>
          <cell r="DY110">
            <v>2.9788121454788121</v>
          </cell>
        </row>
        <row r="111">
          <cell r="F111">
            <v>60000</v>
          </cell>
          <cell r="G111">
            <v>5614.125</v>
          </cell>
          <cell r="H111">
            <v>955.35199999999998</v>
          </cell>
          <cell r="I111">
            <v>17.01693496315098</v>
          </cell>
          <cell r="N111">
            <v>4500</v>
          </cell>
          <cell r="O111">
            <v>426.375</v>
          </cell>
          <cell r="P111">
            <v>43.978000000000002</v>
          </cell>
          <cell r="T111">
            <v>4500</v>
          </cell>
          <cell r="U111">
            <v>426.375</v>
          </cell>
          <cell r="V111">
            <v>50.67</v>
          </cell>
          <cell r="Z111">
            <v>4500</v>
          </cell>
          <cell r="AA111">
            <v>426.375</v>
          </cell>
          <cell r="AB111">
            <v>56.924999999999997</v>
          </cell>
          <cell r="AF111">
            <v>5000</v>
          </cell>
          <cell r="AG111">
            <v>473.75</v>
          </cell>
          <cell r="AH111">
            <v>64.381</v>
          </cell>
          <cell r="AL111">
            <v>5000</v>
          </cell>
          <cell r="AM111">
            <v>473.75</v>
          </cell>
          <cell r="AN111">
            <v>71.957999999999998</v>
          </cell>
          <cell r="AR111">
            <v>5000</v>
          </cell>
          <cell r="AS111">
            <v>473.75</v>
          </cell>
          <cell r="AT111">
            <v>74.933000000000007</v>
          </cell>
          <cell r="AX111">
            <v>28500</v>
          </cell>
          <cell r="AY111">
            <v>2700.375</v>
          </cell>
          <cell r="AZ111">
            <v>362.84500000000003</v>
          </cell>
          <cell r="BA111">
            <v>13.436837476276445</v>
          </cell>
          <cell r="BF111">
            <v>5000</v>
          </cell>
          <cell r="BG111">
            <v>462.5</v>
          </cell>
          <cell r="BH111">
            <v>77.134</v>
          </cell>
          <cell r="BL111">
            <v>5000</v>
          </cell>
          <cell r="BM111">
            <v>462.5</v>
          </cell>
          <cell r="BN111">
            <v>88.460999999999999</v>
          </cell>
          <cell r="BR111">
            <v>5500</v>
          </cell>
          <cell r="BS111">
            <v>508.75</v>
          </cell>
          <cell r="BT111">
            <v>102.05800000000001</v>
          </cell>
          <cell r="BX111">
            <v>5500</v>
          </cell>
          <cell r="BY111">
            <v>508.75</v>
          </cell>
          <cell r="BZ111">
            <v>111.586</v>
          </cell>
          <cell r="CD111">
            <v>5500</v>
          </cell>
          <cell r="CE111">
            <v>508.75</v>
          </cell>
          <cell r="CF111">
            <v>108.134</v>
          </cell>
          <cell r="CJ111">
            <v>5000</v>
          </cell>
          <cell r="CK111">
            <v>462.5</v>
          </cell>
          <cell r="CL111">
            <v>105.134</v>
          </cell>
          <cell r="CP111">
            <v>31500</v>
          </cell>
          <cell r="CQ111">
            <v>2913.75</v>
          </cell>
          <cell r="CR111">
            <v>592.50699999999995</v>
          </cell>
          <cell r="CS111">
            <v>20.334860574860571</v>
          </cell>
          <cell r="CX111">
            <v>13500</v>
          </cell>
          <cell r="CY111">
            <v>1279.125</v>
          </cell>
          <cell r="CZ111">
            <v>151.57299999999998</v>
          </cell>
          <cell r="DA111">
            <v>11.849741033909899</v>
          </cell>
          <cell r="DF111">
            <v>15000</v>
          </cell>
          <cell r="DG111">
            <v>1421.25</v>
          </cell>
          <cell r="DH111">
            <v>211.27199999999999</v>
          </cell>
          <cell r="DI111">
            <v>14.865224274406334</v>
          </cell>
          <cell r="DN111">
            <v>15500</v>
          </cell>
          <cell r="DO111">
            <v>1433.75</v>
          </cell>
          <cell r="DP111">
            <v>267.65300000000002</v>
          </cell>
          <cell r="DQ111">
            <v>18.668038360941587</v>
          </cell>
          <cell r="DV111">
            <v>16000</v>
          </cell>
          <cell r="DW111">
            <v>1480</v>
          </cell>
          <cell r="DX111">
            <v>324.85399999999998</v>
          </cell>
          <cell r="DY111">
            <v>21.949594594594593</v>
          </cell>
        </row>
        <row r="112">
          <cell r="F112">
            <v>0</v>
          </cell>
          <cell r="G112">
            <v>0</v>
          </cell>
          <cell r="H112">
            <v>0</v>
          </cell>
          <cell r="I112">
            <v>0</v>
          </cell>
          <cell r="N112">
            <v>0</v>
          </cell>
          <cell r="O112">
            <v>0</v>
          </cell>
          <cell r="T112">
            <v>0</v>
          </cell>
          <cell r="U112">
            <v>0</v>
          </cell>
          <cell r="Z112">
            <v>0</v>
          </cell>
          <cell r="AA112">
            <v>0</v>
          </cell>
          <cell r="AF112">
            <v>0</v>
          </cell>
          <cell r="AG112">
            <v>0</v>
          </cell>
          <cell r="AL112">
            <v>0</v>
          </cell>
          <cell r="AM112">
            <v>0</v>
          </cell>
          <cell r="AR112">
            <v>0</v>
          </cell>
          <cell r="AS112">
            <v>0</v>
          </cell>
          <cell r="AX112">
            <v>0</v>
          </cell>
          <cell r="AY112">
            <v>0</v>
          </cell>
          <cell r="AZ112">
            <v>0</v>
          </cell>
          <cell r="BA112">
            <v>0</v>
          </cell>
          <cell r="BF112">
            <v>0</v>
          </cell>
          <cell r="BG112">
            <v>0</v>
          </cell>
          <cell r="BL112">
            <v>0</v>
          </cell>
          <cell r="BM112">
            <v>0</v>
          </cell>
          <cell r="BR112">
            <v>0</v>
          </cell>
          <cell r="BS112">
            <v>0</v>
          </cell>
          <cell r="BX112">
            <v>0</v>
          </cell>
          <cell r="BY112">
            <v>0</v>
          </cell>
          <cell r="CD112">
            <v>0</v>
          </cell>
          <cell r="CE112">
            <v>0</v>
          </cell>
          <cell r="CJ112">
            <v>0</v>
          </cell>
          <cell r="CK112">
            <v>0</v>
          </cell>
          <cell r="CP112">
            <v>0</v>
          </cell>
          <cell r="CQ112">
            <v>0</v>
          </cell>
          <cell r="CR112">
            <v>0</v>
          </cell>
          <cell r="CS112">
            <v>0</v>
          </cell>
          <cell r="CX112">
            <v>0</v>
          </cell>
          <cell r="CY112">
            <v>0</v>
          </cell>
          <cell r="CZ112">
            <v>0</v>
          </cell>
          <cell r="DA112">
            <v>0</v>
          </cell>
          <cell r="DF112">
            <v>0</v>
          </cell>
          <cell r="DG112">
            <v>0</v>
          </cell>
          <cell r="DH112">
            <v>0</v>
          </cell>
          <cell r="DI112">
            <v>0</v>
          </cell>
          <cell r="DN112">
            <v>0</v>
          </cell>
          <cell r="DO112">
            <v>0</v>
          </cell>
          <cell r="DP112">
            <v>0</v>
          </cell>
          <cell r="DQ112">
            <v>0</v>
          </cell>
          <cell r="DV112">
            <v>0</v>
          </cell>
          <cell r="DW112">
            <v>0</v>
          </cell>
          <cell r="DX112">
            <v>0</v>
          </cell>
          <cell r="DY112">
            <v>0</v>
          </cell>
        </row>
        <row r="113">
          <cell r="F113">
            <v>59000</v>
          </cell>
          <cell r="G113">
            <v>5959.71</v>
          </cell>
          <cell r="H113">
            <v>1137.78</v>
          </cell>
          <cell r="I113">
            <v>19.091197390477053</v>
          </cell>
          <cell r="N113">
            <v>4000</v>
          </cell>
          <cell r="O113">
            <v>409.32</v>
          </cell>
          <cell r="P113">
            <v>52.935000000000002</v>
          </cell>
          <cell r="T113">
            <v>4000</v>
          </cell>
          <cell r="U113">
            <v>409.32</v>
          </cell>
          <cell r="V113">
            <v>59.780999999999999</v>
          </cell>
          <cell r="Z113">
            <v>4000</v>
          </cell>
          <cell r="AA113">
            <v>409.32</v>
          </cell>
          <cell r="AB113">
            <v>68.248999999999995</v>
          </cell>
          <cell r="AF113">
            <v>5000</v>
          </cell>
          <cell r="AG113">
            <v>511.65</v>
          </cell>
          <cell r="AH113">
            <v>74.397000000000006</v>
          </cell>
          <cell r="AL113">
            <v>5000</v>
          </cell>
          <cell r="AM113">
            <v>511.65</v>
          </cell>
          <cell r="AN113">
            <v>85.337999999999994</v>
          </cell>
          <cell r="AR113">
            <v>5000</v>
          </cell>
          <cell r="AS113">
            <v>511.65</v>
          </cell>
          <cell r="AT113">
            <v>88.614000000000004</v>
          </cell>
          <cell r="AX113">
            <v>27000</v>
          </cell>
          <cell r="AY113">
            <v>2762.91</v>
          </cell>
          <cell r="AZ113">
            <v>429.31399999999996</v>
          </cell>
          <cell r="BA113">
            <v>15.538472118165267</v>
          </cell>
          <cell r="BF113">
            <v>5000</v>
          </cell>
          <cell r="BG113">
            <v>499.5</v>
          </cell>
          <cell r="BH113">
            <v>101.727</v>
          </cell>
          <cell r="BL113">
            <v>5000</v>
          </cell>
          <cell r="BM113">
            <v>499.5</v>
          </cell>
          <cell r="BN113">
            <v>104.58199999999999</v>
          </cell>
          <cell r="BR113">
            <v>6000</v>
          </cell>
          <cell r="BS113">
            <v>599.4</v>
          </cell>
          <cell r="BT113">
            <v>129.08199999999999</v>
          </cell>
          <cell r="BX113">
            <v>6000</v>
          </cell>
          <cell r="BY113">
            <v>599.4</v>
          </cell>
          <cell r="BZ113">
            <v>142.52600000000001</v>
          </cell>
          <cell r="CD113">
            <v>5000</v>
          </cell>
          <cell r="CE113">
            <v>499.5</v>
          </cell>
          <cell r="CF113">
            <v>108.801</v>
          </cell>
          <cell r="CJ113">
            <v>5000</v>
          </cell>
          <cell r="CK113">
            <v>499.5</v>
          </cell>
          <cell r="CL113">
            <v>121.748</v>
          </cell>
          <cell r="CP113">
            <v>32000</v>
          </cell>
          <cell r="CQ113">
            <v>3196.8</v>
          </cell>
          <cell r="CR113">
            <v>708.46600000000001</v>
          </cell>
          <cell r="CS113">
            <v>22.161724224224223</v>
          </cell>
          <cell r="CX113">
            <v>12000</v>
          </cell>
          <cell r="CY113">
            <v>1227.96</v>
          </cell>
          <cell r="CZ113">
            <v>180.965</v>
          </cell>
          <cell r="DA113">
            <v>14.737043551907227</v>
          </cell>
          <cell r="DF113">
            <v>15000</v>
          </cell>
          <cell r="DG113">
            <v>1534.9499999999998</v>
          </cell>
          <cell r="DH113">
            <v>248.34900000000002</v>
          </cell>
          <cell r="DI113">
            <v>16.179614971171702</v>
          </cell>
          <cell r="DN113">
            <v>16000</v>
          </cell>
          <cell r="DO113">
            <v>1598.4</v>
          </cell>
          <cell r="DP113">
            <v>335.39099999999996</v>
          </cell>
          <cell r="DQ113">
            <v>20.982920420420417</v>
          </cell>
          <cell r="DV113">
            <v>16000</v>
          </cell>
          <cell r="DW113">
            <v>1598.4</v>
          </cell>
          <cell r="DX113">
            <v>373.07499999999999</v>
          </cell>
          <cell r="DY113">
            <v>23.340528028028025</v>
          </cell>
        </row>
        <row r="114">
          <cell r="F114">
            <v>50000</v>
          </cell>
          <cell r="G114">
            <v>5155.68</v>
          </cell>
          <cell r="H114">
            <v>1060.904</v>
          </cell>
          <cell r="I114">
            <v>20.577382614902398</v>
          </cell>
          <cell r="N114">
            <v>2200</v>
          </cell>
          <cell r="O114">
            <v>230.12879999999998</v>
          </cell>
          <cell r="P114">
            <v>31.35</v>
          </cell>
          <cell r="T114">
            <v>4400</v>
          </cell>
          <cell r="U114">
            <v>460.25759999999997</v>
          </cell>
          <cell r="V114">
            <v>65.63</v>
          </cell>
          <cell r="Z114">
            <v>4400</v>
          </cell>
          <cell r="AA114">
            <v>460.25759999999997</v>
          </cell>
          <cell r="AB114">
            <v>69.875</v>
          </cell>
          <cell r="AF114">
            <v>2700</v>
          </cell>
          <cell r="AG114">
            <v>282.43079999999998</v>
          </cell>
          <cell r="AH114">
            <v>44.472999999999999</v>
          </cell>
          <cell r="AL114">
            <v>2700</v>
          </cell>
          <cell r="AM114">
            <v>282.43079999999998</v>
          </cell>
          <cell r="AN114">
            <v>48.645000000000003</v>
          </cell>
          <cell r="AR114">
            <v>3600</v>
          </cell>
          <cell r="AS114">
            <v>376.57439999999997</v>
          </cell>
          <cell r="AT114">
            <v>68.569000000000003</v>
          </cell>
          <cell r="AX114">
            <v>20000</v>
          </cell>
          <cell r="AY114">
            <v>2092.08</v>
          </cell>
          <cell r="AZ114">
            <v>328.54200000000003</v>
          </cell>
          <cell r="BA114">
            <v>15.704083973844215</v>
          </cell>
          <cell r="BF114">
            <v>2700</v>
          </cell>
          <cell r="BG114">
            <v>275.72399999999999</v>
          </cell>
          <cell r="BH114">
            <v>51.029000000000003</v>
          </cell>
          <cell r="BL114">
            <v>5400</v>
          </cell>
          <cell r="BM114">
            <v>551.44799999999998</v>
          </cell>
          <cell r="BN114">
            <v>117.08799999999999</v>
          </cell>
          <cell r="BR114">
            <v>5400</v>
          </cell>
          <cell r="BS114">
            <v>551.44799999999998</v>
          </cell>
          <cell r="BT114">
            <v>125.12</v>
          </cell>
          <cell r="BX114">
            <v>4950</v>
          </cell>
          <cell r="BY114">
            <v>505.49399999999997</v>
          </cell>
          <cell r="BZ114">
            <v>125.85899999999999</v>
          </cell>
          <cell r="CD114">
            <v>4950</v>
          </cell>
          <cell r="CE114">
            <v>505.49399999999997</v>
          </cell>
          <cell r="CF114">
            <v>128.524</v>
          </cell>
          <cell r="CJ114">
            <v>6600</v>
          </cell>
          <cell r="CK114">
            <v>673.99199999999996</v>
          </cell>
          <cell r="CL114">
            <v>184.74199999999999</v>
          </cell>
          <cell r="CP114">
            <v>30000</v>
          </cell>
          <cell r="CQ114">
            <v>3063.6</v>
          </cell>
          <cell r="CR114">
            <v>732.36199999999985</v>
          </cell>
          <cell r="CS114">
            <v>23.905274840057444</v>
          </cell>
          <cell r="CX114">
            <v>11000</v>
          </cell>
          <cell r="CY114">
            <v>1150.644</v>
          </cell>
          <cell r="CZ114">
            <v>166.85499999999999</v>
          </cell>
          <cell r="DA114">
            <v>14.501009869255824</v>
          </cell>
          <cell r="DF114">
            <v>9000</v>
          </cell>
          <cell r="DG114">
            <v>941.43599999999992</v>
          </cell>
          <cell r="DH114">
            <v>161.68700000000001</v>
          </cell>
          <cell r="DI114">
            <v>17.174507879452243</v>
          </cell>
          <cell r="DN114">
            <v>13500</v>
          </cell>
          <cell r="DO114">
            <v>1378.62</v>
          </cell>
          <cell r="DP114">
            <v>293.23699999999997</v>
          </cell>
          <cell r="DQ114">
            <v>21.270328299313807</v>
          </cell>
          <cell r="DV114">
            <v>16500</v>
          </cell>
          <cell r="DW114">
            <v>1684.98</v>
          </cell>
          <cell r="DX114">
            <v>439.125</v>
          </cell>
          <cell r="DY114">
            <v>26.061140191574971</v>
          </cell>
        </row>
        <row r="115">
          <cell r="F115">
            <v>0</v>
          </cell>
          <cell r="G115">
            <v>0</v>
          </cell>
          <cell r="H115">
            <v>0</v>
          </cell>
          <cell r="I115">
            <v>0</v>
          </cell>
          <cell r="N115">
            <v>0</v>
          </cell>
          <cell r="O115">
            <v>0</v>
          </cell>
          <cell r="T115">
            <v>0</v>
          </cell>
          <cell r="U115">
            <v>0</v>
          </cell>
          <cell r="Z115">
            <v>0</v>
          </cell>
          <cell r="AA115">
            <v>0</v>
          </cell>
          <cell r="AF115">
            <v>0</v>
          </cell>
          <cell r="AG115">
            <v>0</v>
          </cell>
          <cell r="AL115">
            <v>0</v>
          </cell>
          <cell r="AM115">
            <v>0</v>
          </cell>
          <cell r="AR115">
            <v>0</v>
          </cell>
          <cell r="AS115">
            <v>0</v>
          </cell>
          <cell r="AX115">
            <v>0</v>
          </cell>
          <cell r="AY115">
            <v>0</v>
          </cell>
          <cell r="AZ115">
            <v>0</v>
          </cell>
          <cell r="BA115">
            <v>0</v>
          </cell>
          <cell r="BF115">
            <v>0</v>
          </cell>
          <cell r="BG115">
            <v>0</v>
          </cell>
          <cell r="BL115">
            <v>0</v>
          </cell>
          <cell r="BM115">
            <v>0</v>
          </cell>
          <cell r="BR115">
            <v>0</v>
          </cell>
          <cell r="BS115">
            <v>0</v>
          </cell>
          <cell r="BX115">
            <v>0</v>
          </cell>
          <cell r="BY115">
            <v>0</v>
          </cell>
          <cell r="CD115">
            <v>0</v>
          </cell>
          <cell r="CE115">
            <v>0</v>
          </cell>
          <cell r="CJ115">
            <v>0</v>
          </cell>
          <cell r="CK115">
            <v>0</v>
          </cell>
          <cell r="CP115">
            <v>0</v>
          </cell>
          <cell r="CQ115">
            <v>0</v>
          </cell>
          <cell r="CR115">
            <v>0</v>
          </cell>
          <cell r="CS115">
            <v>0</v>
          </cell>
          <cell r="CX115">
            <v>0</v>
          </cell>
          <cell r="CY115">
            <v>0</v>
          </cell>
          <cell r="CZ115">
            <v>0</v>
          </cell>
          <cell r="DA115">
            <v>0</v>
          </cell>
          <cell r="DF115">
            <v>0</v>
          </cell>
          <cell r="DG115">
            <v>0</v>
          </cell>
          <cell r="DH115">
            <v>0</v>
          </cell>
          <cell r="DI115">
            <v>0</v>
          </cell>
          <cell r="DN115">
            <v>0</v>
          </cell>
          <cell r="DO115">
            <v>0</v>
          </cell>
          <cell r="DP115">
            <v>0</v>
          </cell>
          <cell r="DQ115">
            <v>0</v>
          </cell>
          <cell r="DV115">
            <v>0</v>
          </cell>
          <cell r="DW115">
            <v>0</v>
          </cell>
          <cell r="DX115">
            <v>0</v>
          </cell>
          <cell r="DY115">
            <v>0</v>
          </cell>
        </row>
        <row r="116">
          <cell r="F116">
            <v>126000</v>
          </cell>
          <cell r="G116">
            <v>12385.948000000002</v>
          </cell>
          <cell r="H116">
            <v>924.92499999999995</v>
          </cell>
          <cell r="I116">
            <v>7.4675349839996086</v>
          </cell>
          <cell r="N116">
            <v>22000</v>
          </cell>
          <cell r="O116">
            <v>2142.1080000000002</v>
          </cell>
          <cell r="P116">
            <v>36.283999999999999</v>
          </cell>
          <cell r="T116">
            <v>22000</v>
          </cell>
          <cell r="U116">
            <v>2142.1080000000002</v>
          </cell>
          <cell r="V116">
            <v>78.537000000000006</v>
          </cell>
          <cell r="Z116">
            <v>22000</v>
          </cell>
          <cell r="AA116">
            <v>2142.1080000000002</v>
          </cell>
          <cell r="AB116">
            <v>132.23500000000001</v>
          </cell>
          <cell r="AF116">
            <v>12000</v>
          </cell>
          <cell r="AG116">
            <v>1179.4480000000001</v>
          </cell>
          <cell r="AH116">
            <v>63.052999999999997</v>
          </cell>
          <cell r="AL116">
            <v>12000</v>
          </cell>
          <cell r="AM116">
            <v>1179.4480000000001</v>
          </cell>
          <cell r="AN116">
            <v>88.281999999999996</v>
          </cell>
          <cell r="AR116">
            <v>12000</v>
          </cell>
          <cell r="AS116">
            <v>1179.4480000000001</v>
          </cell>
          <cell r="AT116">
            <v>100.779</v>
          </cell>
          <cell r="AX116">
            <v>102000</v>
          </cell>
          <cell r="AY116">
            <v>9964.6680000000015</v>
          </cell>
          <cell r="AZ116">
            <v>499.16999999999996</v>
          </cell>
          <cell r="BA116">
            <v>5.0093992092862489</v>
          </cell>
          <cell r="BF116">
            <v>12100</v>
          </cell>
          <cell r="BG116">
            <v>1162.0219999999999</v>
          </cell>
          <cell r="BH116">
            <v>135.68</v>
          </cell>
          <cell r="BL116">
            <v>2200</v>
          </cell>
          <cell r="BM116">
            <v>232.804</v>
          </cell>
          <cell r="BN116">
            <v>47.878999999999998</v>
          </cell>
          <cell r="BR116">
            <v>2200</v>
          </cell>
          <cell r="BS116">
            <v>232.804</v>
          </cell>
          <cell r="BT116">
            <v>49.814999999999998</v>
          </cell>
          <cell r="BX116">
            <v>2700</v>
          </cell>
          <cell r="BY116">
            <v>285.714</v>
          </cell>
          <cell r="BZ116">
            <v>67.786000000000001</v>
          </cell>
          <cell r="CD116">
            <v>2700</v>
          </cell>
          <cell r="CE116">
            <v>285.714</v>
          </cell>
          <cell r="CF116">
            <v>67.703000000000003</v>
          </cell>
          <cell r="CJ116">
            <v>2100</v>
          </cell>
          <cell r="CK116">
            <v>222.22200000000001</v>
          </cell>
          <cell r="CL116">
            <v>56.892000000000003</v>
          </cell>
          <cell r="CP116">
            <v>24000</v>
          </cell>
          <cell r="CQ116">
            <v>2421.2800000000002</v>
          </cell>
          <cell r="CR116">
            <v>425.755</v>
          </cell>
          <cell r="CS116">
            <v>17.583881252891032</v>
          </cell>
          <cell r="CX116">
            <v>66000</v>
          </cell>
          <cell r="CY116">
            <v>6426.3240000000005</v>
          </cell>
          <cell r="CZ116">
            <v>247.05600000000001</v>
          </cell>
          <cell r="DA116">
            <v>3.8444373486304149</v>
          </cell>
          <cell r="DF116">
            <v>36000</v>
          </cell>
          <cell r="DG116">
            <v>3538.3440000000001</v>
          </cell>
          <cell r="DH116">
            <v>252.11399999999998</v>
          </cell>
          <cell r="DI116">
            <v>7.1251975500403573</v>
          </cell>
          <cell r="DN116">
            <v>16500</v>
          </cell>
          <cell r="DO116">
            <v>1627.63</v>
          </cell>
          <cell r="DP116">
            <v>233.374</v>
          </cell>
          <cell r="DQ116">
            <v>14.338270982962959</v>
          </cell>
          <cell r="DV116">
            <v>7500</v>
          </cell>
          <cell r="DW116">
            <v>793.65</v>
          </cell>
          <cell r="DX116">
            <v>192.381</v>
          </cell>
          <cell r="DY116">
            <v>24.24003024003024</v>
          </cell>
        </row>
        <row r="117">
          <cell r="F117">
            <v>93000</v>
          </cell>
          <cell r="G117">
            <v>8877.0400000000009</v>
          </cell>
          <cell r="H117">
            <v>-180.25400000000002</v>
          </cell>
          <cell r="I117">
            <v>-2.0305642421347656</v>
          </cell>
          <cell r="N117">
            <v>0</v>
          </cell>
          <cell r="O117">
            <v>0</v>
          </cell>
          <cell r="P117">
            <v>0</v>
          </cell>
          <cell r="T117">
            <v>0</v>
          </cell>
          <cell r="U117">
            <v>0</v>
          </cell>
          <cell r="V117">
            <v>0</v>
          </cell>
          <cell r="Z117">
            <v>0</v>
          </cell>
          <cell r="AA117">
            <v>0</v>
          </cell>
          <cell r="AB117">
            <v>0</v>
          </cell>
          <cell r="AF117">
            <v>0</v>
          </cell>
          <cell r="AG117">
            <v>0</v>
          </cell>
          <cell r="AH117">
            <v>0</v>
          </cell>
          <cell r="AL117">
            <v>0</v>
          </cell>
          <cell r="AM117">
            <v>0</v>
          </cell>
          <cell r="AN117">
            <v>0</v>
          </cell>
          <cell r="AR117">
            <v>0</v>
          </cell>
          <cell r="AS117">
            <v>0</v>
          </cell>
          <cell r="AT117">
            <v>0</v>
          </cell>
          <cell r="AX117">
            <v>0</v>
          </cell>
          <cell r="AY117">
            <v>0</v>
          </cell>
          <cell r="AZ117">
            <v>0</v>
          </cell>
          <cell r="BA117">
            <v>0</v>
          </cell>
          <cell r="BF117">
            <v>6670</v>
          </cell>
          <cell r="BG117">
            <v>624.29359999999997</v>
          </cell>
          <cell r="BH117">
            <v>-186.92400000000001</v>
          </cell>
          <cell r="BL117">
            <v>11840</v>
          </cell>
          <cell r="BM117">
            <v>1132.0372</v>
          </cell>
          <cell r="BN117">
            <v>-46.442</v>
          </cell>
          <cell r="BR117">
            <v>18440</v>
          </cell>
          <cell r="BS117">
            <v>1763.2572</v>
          </cell>
          <cell r="BT117">
            <v>52.523000000000003</v>
          </cell>
          <cell r="BX117">
            <v>21645</v>
          </cell>
          <cell r="BY117">
            <v>2055.0466000000001</v>
          </cell>
          <cell r="BZ117">
            <v>175.19399999999999</v>
          </cell>
          <cell r="CD117">
            <v>18545</v>
          </cell>
          <cell r="CE117">
            <v>1769.7765999999999</v>
          </cell>
          <cell r="CF117">
            <v>102.366</v>
          </cell>
          <cell r="CJ117">
            <v>15860</v>
          </cell>
          <cell r="CK117">
            <v>1532.6288</v>
          </cell>
          <cell r="CL117">
            <v>-276.971</v>
          </cell>
          <cell r="CP117">
            <v>93000</v>
          </cell>
          <cell r="CQ117">
            <v>8877.0400000000009</v>
          </cell>
          <cell r="CR117">
            <v>-180.25400000000002</v>
          </cell>
          <cell r="CS117">
            <v>-2.0305642421347656</v>
          </cell>
          <cell r="CX117">
            <v>0</v>
          </cell>
          <cell r="CY117">
            <v>0</v>
          </cell>
          <cell r="CZ117">
            <v>0</v>
          </cell>
          <cell r="DA117">
            <v>0</v>
          </cell>
          <cell r="DF117">
            <v>0</v>
          </cell>
          <cell r="DG117">
            <v>0</v>
          </cell>
          <cell r="DH117">
            <v>0</v>
          </cell>
          <cell r="DI117">
            <v>0</v>
          </cell>
          <cell r="DN117">
            <v>36950</v>
          </cell>
          <cell r="DO117">
            <v>3519.5879999999997</v>
          </cell>
          <cell r="DP117">
            <v>-180.84300000000002</v>
          </cell>
          <cell r="DQ117">
            <v>-5.1381866286622193</v>
          </cell>
          <cell r="DV117">
            <v>56050</v>
          </cell>
          <cell r="DW117">
            <v>5357.4519999999993</v>
          </cell>
          <cell r="DX117">
            <v>0.58899999999999864</v>
          </cell>
          <cell r="DY117">
            <v>1.0994032237712979E-2</v>
          </cell>
        </row>
        <row r="118">
          <cell r="F118">
            <v>7000</v>
          </cell>
          <cell r="G118">
            <v>777</v>
          </cell>
          <cell r="H118">
            <v>57.501000000000005</v>
          </cell>
          <cell r="I118">
            <v>7.4003861003861013</v>
          </cell>
          <cell r="N118">
            <v>0</v>
          </cell>
          <cell r="O118">
            <v>0</v>
          </cell>
          <cell r="P118">
            <v>0</v>
          </cell>
          <cell r="T118">
            <v>0</v>
          </cell>
          <cell r="U118">
            <v>0</v>
          </cell>
          <cell r="V118">
            <v>0</v>
          </cell>
          <cell r="Z118">
            <v>0</v>
          </cell>
          <cell r="AA118">
            <v>0</v>
          </cell>
          <cell r="AB118">
            <v>0</v>
          </cell>
          <cell r="AF118">
            <v>0</v>
          </cell>
          <cell r="AG118">
            <v>0</v>
          </cell>
          <cell r="AH118">
            <v>0</v>
          </cell>
          <cell r="AL118">
            <v>0</v>
          </cell>
          <cell r="AM118">
            <v>0</v>
          </cell>
          <cell r="AN118">
            <v>0</v>
          </cell>
          <cell r="AR118">
            <v>0</v>
          </cell>
          <cell r="AS118">
            <v>0</v>
          </cell>
          <cell r="AT118">
            <v>0</v>
          </cell>
          <cell r="AX118">
            <v>0</v>
          </cell>
          <cell r="AY118">
            <v>0</v>
          </cell>
          <cell r="AZ118">
            <v>0</v>
          </cell>
          <cell r="BA118">
            <v>0</v>
          </cell>
          <cell r="BF118">
            <v>630</v>
          </cell>
          <cell r="BG118">
            <v>69.930000000000007</v>
          </cell>
          <cell r="BH118">
            <v>-13.047000000000001</v>
          </cell>
          <cell r="BL118">
            <v>1260</v>
          </cell>
          <cell r="BM118">
            <v>139.86000000000001</v>
          </cell>
          <cell r="BN118">
            <v>-1.153</v>
          </cell>
          <cell r="BR118">
            <v>1260</v>
          </cell>
          <cell r="BS118">
            <v>139.86000000000001</v>
          </cell>
          <cell r="BT118">
            <v>6.9710000000000001</v>
          </cell>
          <cell r="BX118">
            <v>1155</v>
          </cell>
          <cell r="BY118">
            <v>128.20500000000001</v>
          </cell>
          <cell r="BZ118">
            <v>19.068999999999999</v>
          </cell>
          <cell r="CD118">
            <v>1155</v>
          </cell>
          <cell r="CE118">
            <v>128.20500000000001</v>
          </cell>
          <cell r="CF118">
            <v>17.433</v>
          </cell>
          <cell r="CJ118">
            <v>1540</v>
          </cell>
          <cell r="CK118">
            <v>170.94</v>
          </cell>
          <cell r="CL118">
            <v>28.228000000000002</v>
          </cell>
          <cell r="CP118">
            <v>7000</v>
          </cell>
          <cell r="CQ118">
            <v>777</v>
          </cell>
          <cell r="CR118">
            <v>57.501000000000005</v>
          </cell>
          <cell r="CS118">
            <v>7.4003861003861013</v>
          </cell>
          <cell r="CX118">
            <v>0</v>
          </cell>
          <cell r="CY118">
            <v>0</v>
          </cell>
          <cell r="CZ118">
            <v>0</v>
          </cell>
          <cell r="DA118">
            <v>0</v>
          </cell>
          <cell r="DF118">
            <v>0</v>
          </cell>
          <cell r="DG118">
            <v>0</v>
          </cell>
          <cell r="DH118">
            <v>0</v>
          </cell>
          <cell r="DI118">
            <v>0</v>
          </cell>
          <cell r="DN118">
            <v>3150</v>
          </cell>
          <cell r="DO118">
            <v>349.65000000000003</v>
          </cell>
          <cell r="DP118">
            <v>-7.229000000000001</v>
          </cell>
          <cell r="DQ118">
            <v>-2.0674960674960676</v>
          </cell>
          <cell r="DV118">
            <v>3850</v>
          </cell>
          <cell r="DW118">
            <v>427.35</v>
          </cell>
          <cell r="DX118">
            <v>64.72999999999999</v>
          </cell>
          <cell r="DY118">
            <v>15.146835146835144</v>
          </cell>
        </row>
        <row r="119">
          <cell r="F119">
            <v>133000</v>
          </cell>
          <cell r="G119">
            <v>12116.940419999999</v>
          </cell>
          <cell r="H119">
            <v>817.11200000000008</v>
          </cell>
          <cell r="I119">
            <v>6.7435505307205279</v>
          </cell>
          <cell r="N119">
            <v>7172</v>
          </cell>
          <cell r="O119">
            <v>668.84024999999997</v>
          </cell>
          <cell r="P119">
            <v>-64.153000000000006</v>
          </cell>
          <cell r="T119">
            <v>7744</v>
          </cell>
          <cell r="U119">
            <v>724.33797800000002</v>
          </cell>
          <cell r="V119">
            <v>-30.382000000000001</v>
          </cell>
          <cell r="Z119">
            <v>9844</v>
          </cell>
          <cell r="AA119">
            <v>911.30549999999994</v>
          </cell>
          <cell r="AB119">
            <v>21.571999999999999</v>
          </cell>
          <cell r="AF119">
            <v>9902</v>
          </cell>
          <cell r="AG119">
            <v>915.79589199999998</v>
          </cell>
          <cell r="AH119">
            <v>3.6659999999999999</v>
          </cell>
          <cell r="AL119">
            <v>9902</v>
          </cell>
          <cell r="AM119">
            <v>915.79589199999998</v>
          </cell>
          <cell r="AN119">
            <v>19.506</v>
          </cell>
          <cell r="AR119">
            <v>10136</v>
          </cell>
          <cell r="AS119">
            <v>938.49950799999999</v>
          </cell>
          <cell r="AT119">
            <v>28.818999999999999</v>
          </cell>
          <cell r="AX119">
            <v>54700</v>
          </cell>
          <cell r="AY119">
            <v>5074.5750200000002</v>
          </cell>
          <cell r="AZ119">
            <v>-20.972000000000008</v>
          </cell>
          <cell r="BA119">
            <v>-0.41327598700077955</v>
          </cell>
          <cell r="BF119">
            <v>11552</v>
          </cell>
          <cell r="BG119">
            <v>1037.46335</v>
          </cell>
          <cell r="BH119">
            <v>91.641999999999996</v>
          </cell>
          <cell r="BL119">
            <v>12254</v>
          </cell>
          <cell r="BM119">
            <v>1103.95679</v>
          </cell>
          <cell r="BN119">
            <v>124.20399999999999</v>
          </cell>
          <cell r="BR119">
            <v>13534</v>
          </cell>
          <cell r="BS119">
            <v>1218.002778</v>
          </cell>
          <cell r="BT119">
            <v>137.59899999999999</v>
          </cell>
          <cell r="BX119">
            <v>16537</v>
          </cell>
          <cell r="BY119">
            <v>1478.1044899999999</v>
          </cell>
          <cell r="BZ119">
            <v>206.649</v>
          </cell>
          <cell r="CD119">
            <v>13807</v>
          </cell>
          <cell r="CE119">
            <v>1240.818532</v>
          </cell>
          <cell r="CF119">
            <v>137.28200000000001</v>
          </cell>
          <cell r="CJ119">
            <v>10616</v>
          </cell>
          <cell r="CK119">
            <v>964.01945999999998</v>
          </cell>
          <cell r="CL119">
            <v>140.708</v>
          </cell>
          <cell r="CP119">
            <v>78300</v>
          </cell>
          <cell r="CQ119">
            <v>7042.3653999999997</v>
          </cell>
          <cell r="CR119">
            <v>838.08400000000006</v>
          </cell>
          <cell r="CS119">
            <v>11.900603737488545</v>
          </cell>
          <cell r="CX119">
            <v>24760</v>
          </cell>
          <cell r="CY119">
            <v>2304.4837280000002</v>
          </cell>
          <cell r="CZ119">
            <v>-72.963000000000008</v>
          </cell>
          <cell r="DA119">
            <v>-3.1661321411595575</v>
          </cell>
          <cell r="DF119">
            <v>29940</v>
          </cell>
          <cell r="DG119">
            <v>2770.0912920000001</v>
          </cell>
          <cell r="DH119">
            <v>51.991</v>
          </cell>
          <cell r="DI119">
            <v>1.8768695512003362</v>
          </cell>
          <cell r="DN119">
            <v>37340</v>
          </cell>
          <cell r="DO119">
            <v>3359.4229180000002</v>
          </cell>
          <cell r="DP119">
            <v>353.44499999999999</v>
          </cell>
          <cell r="DQ119">
            <v>10.52100341717083</v>
          </cell>
          <cell r="DV119">
            <v>40960</v>
          </cell>
          <cell r="DW119">
            <v>3682.9424819999999</v>
          </cell>
          <cell r="DX119">
            <v>484.63900000000001</v>
          </cell>
          <cell r="DY119">
            <v>13.159016258565615</v>
          </cell>
        </row>
        <row r="120">
          <cell r="F120">
            <v>48000</v>
          </cell>
          <cell r="G120">
            <v>4849.875</v>
          </cell>
          <cell r="H120">
            <v>485.13900000000001</v>
          </cell>
          <cell r="I120">
            <v>10.003123791850307</v>
          </cell>
          <cell r="N120">
            <v>3500</v>
          </cell>
          <cell r="O120">
            <v>358.15499999999997</v>
          </cell>
          <cell r="P120">
            <v>-16.239000000000001</v>
          </cell>
          <cell r="T120">
            <v>3500</v>
          </cell>
          <cell r="U120">
            <v>358.15499999999997</v>
          </cell>
          <cell r="V120">
            <v>0.52</v>
          </cell>
          <cell r="Z120">
            <v>3500</v>
          </cell>
          <cell r="AA120">
            <v>358.15499999999997</v>
          </cell>
          <cell r="AB120">
            <v>25.382999999999999</v>
          </cell>
          <cell r="AF120">
            <v>4000</v>
          </cell>
          <cell r="AG120">
            <v>409.32</v>
          </cell>
          <cell r="AH120">
            <v>18.155999999999999</v>
          </cell>
          <cell r="AL120">
            <v>4000</v>
          </cell>
          <cell r="AM120">
            <v>409.32</v>
          </cell>
          <cell r="AN120">
            <v>24.611999999999998</v>
          </cell>
          <cell r="AR120">
            <v>4000</v>
          </cell>
          <cell r="AS120">
            <v>409.32</v>
          </cell>
          <cell r="AT120">
            <v>29.838000000000001</v>
          </cell>
          <cell r="AX120">
            <v>22500</v>
          </cell>
          <cell r="AY120">
            <v>2302.4250000000002</v>
          </cell>
          <cell r="AZ120">
            <v>82.269999999999982</v>
          </cell>
          <cell r="BA120">
            <v>3.5731891375397664</v>
          </cell>
          <cell r="BF120">
            <v>4000</v>
          </cell>
          <cell r="BG120">
            <v>399.6</v>
          </cell>
          <cell r="BH120">
            <v>55.652999999999999</v>
          </cell>
          <cell r="BL120">
            <v>4000</v>
          </cell>
          <cell r="BM120">
            <v>399.6</v>
          </cell>
          <cell r="BN120">
            <v>58.476999999999997</v>
          </cell>
          <cell r="BR120">
            <v>4500</v>
          </cell>
          <cell r="BS120">
            <v>449.55</v>
          </cell>
          <cell r="BT120">
            <v>68.617999999999995</v>
          </cell>
          <cell r="BX120">
            <v>4500</v>
          </cell>
          <cell r="BY120">
            <v>449.55</v>
          </cell>
          <cell r="BZ120">
            <v>82.29</v>
          </cell>
          <cell r="CD120">
            <v>4500</v>
          </cell>
          <cell r="CE120">
            <v>449.55</v>
          </cell>
          <cell r="CF120">
            <v>67.489000000000004</v>
          </cell>
          <cell r="CJ120">
            <v>4000</v>
          </cell>
          <cell r="CK120">
            <v>399.6</v>
          </cell>
          <cell r="CL120">
            <v>70.341999999999999</v>
          </cell>
          <cell r="CP120">
            <v>25500</v>
          </cell>
          <cell r="CQ120">
            <v>2547.4499999999998</v>
          </cell>
          <cell r="CR120">
            <v>402.86900000000003</v>
          </cell>
          <cell r="CS120">
            <v>15.814598912638131</v>
          </cell>
          <cell r="CX120">
            <v>10500</v>
          </cell>
          <cell r="CY120">
            <v>1074.4649999999999</v>
          </cell>
          <cell r="CZ120">
            <v>9.6639999999999979</v>
          </cell>
          <cell r="DA120">
            <v>0.89942436468381937</v>
          </cell>
          <cell r="DF120">
            <v>12000</v>
          </cell>
          <cell r="DG120">
            <v>1227.96</v>
          </cell>
          <cell r="DH120">
            <v>72.605999999999995</v>
          </cell>
          <cell r="DI120">
            <v>5.9127333137887224</v>
          </cell>
          <cell r="DN120">
            <v>12500</v>
          </cell>
          <cell r="DO120">
            <v>1248.75</v>
          </cell>
          <cell r="DP120">
            <v>182.74799999999999</v>
          </cell>
          <cell r="DQ120">
            <v>14.634474474474473</v>
          </cell>
          <cell r="DV120">
            <v>13000</v>
          </cell>
          <cell r="DW120">
            <v>1298.7</v>
          </cell>
          <cell r="DX120">
            <v>220.12099999999998</v>
          </cell>
          <cell r="DY120">
            <v>16.949333949333948</v>
          </cell>
        </row>
        <row r="121">
          <cell r="F121">
            <v>7000</v>
          </cell>
          <cell r="G121">
            <v>711.33440000000007</v>
          </cell>
          <cell r="H121">
            <v>18.639999999999997</v>
          </cell>
          <cell r="I121">
            <v>2.6204271858636381</v>
          </cell>
          <cell r="N121">
            <v>308</v>
          </cell>
          <cell r="O121">
            <v>31.751103999999998</v>
          </cell>
          <cell r="P121">
            <v>-3.1419999999999999</v>
          </cell>
          <cell r="T121">
            <v>616</v>
          </cell>
          <cell r="U121">
            <v>63.502207999999996</v>
          </cell>
          <cell r="V121">
            <v>-4.5049999999999999</v>
          </cell>
          <cell r="Z121">
            <v>616</v>
          </cell>
          <cell r="AA121">
            <v>63.502207999999996</v>
          </cell>
          <cell r="AB121">
            <v>-2.15</v>
          </cell>
          <cell r="AF121">
            <v>378</v>
          </cell>
          <cell r="AG121">
            <v>38.967264</v>
          </cell>
          <cell r="AH121">
            <v>-0.59399999999999997</v>
          </cell>
          <cell r="AL121">
            <v>378</v>
          </cell>
          <cell r="AM121">
            <v>38.967264</v>
          </cell>
          <cell r="AN121">
            <v>0.16200000000000001</v>
          </cell>
          <cell r="AR121">
            <v>504</v>
          </cell>
          <cell r="AS121">
            <v>51.956352000000003</v>
          </cell>
          <cell r="AT121">
            <v>1.046</v>
          </cell>
          <cell r="AX121">
            <v>2800</v>
          </cell>
          <cell r="AY121">
            <v>288.64640000000003</v>
          </cell>
          <cell r="AZ121">
            <v>-9.1829999999999998</v>
          </cell>
          <cell r="BA121">
            <v>-3.181401188443715</v>
          </cell>
          <cell r="BF121">
            <v>378</v>
          </cell>
          <cell r="BG121">
            <v>38.041919999999998</v>
          </cell>
          <cell r="BH121">
            <v>0.57499999999999996</v>
          </cell>
          <cell r="BL121">
            <v>756</v>
          </cell>
          <cell r="BM121">
            <v>76.083839999999995</v>
          </cell>
          <cell r="BN121">
            <v>2.875</v>
          </cell>
          <cell r="BR121">
            <v>756</v>
          </cell>
          <cell r="BS121">
            <v>76.083839999999995</v>
          </cell>
          <cell r="BT121">
            <v>3.6379999999999999</v>
          </cell>
          <cell r="BX121">
            <v>693</v>
          </cell>
          <cell r="BY121">
            <v>69.743520000000004</v>
          </cell>
          <cell r="BZ121">
            <v>5.0069999999999997</v>
          </cell>
          <cell r="CD121">
            <v>693</v>
          </cell>
          <cell r="CE121">
            <v>69.743520000000004</v>
          </cell>
          <cell r="CF121">
            <v>6.0110000000000001</v>
          </cell>
          <cell r="CJ121">
            <v>924</v>
          </cell>
          <cell r="CK121">
            <v>92.99136</v>
          </cell>
          <cell r="CL121">
            <v>9.7170000000000005</v>
          </cell>
          <cell r="CP121">
            <v>4200</v>
          </cell>
          <cell r="CQ121">
            <v>422.68800000000005</v>
          </cell>
          <cell r="CR121">
            <v>27.822999999999997</v>
          </cell>
          <cell r="CS121">
            <v>6.5823964721023529</v>
          </cell>
          <cell r="CX121">
            <v>1540</v>
          </cell>
          <cell r="CY121">
            <v>158.75551999999999</v>
          </cell>
          <cell r="CZ121">
            <v>-9.7970000000000006</v>
          </cell>
          <cell r="DA121">
            <v>-6.1711240024913785</v>
          </cell>
          <cell r="DF121">
            <v>1260</v>
          </cell>
          <cell r="DG121">
            <v>129.89088000000001</v>
          </cell>
          <cell r="DH121">
            <v>0.6140000000000001</v>
          </cell>
          <cell r="DI121">
            <v>0.47270447317009479</v>
          </cell>
          <cell r="DN121">
            <v>1890</v>
          </cell>
          <cell r="DO121">
            <v>190.20959999999997</v>
          </cell>
          <cell r="DP121">
            <v>7.0880000000000001</v>
          </cell>
          <cell r="DQ121">
            <v>3.7264154911213745</v>
          </cell>
          <cell r="DV121">
            <v>2310</v>
          </cell>
          <cell r="DW121">
            <v>232.47840000000002</v>
          </cell>
          <cell r="DX121">
            <v>20.734999999999999</v>
          </cell>
          <cell r="DY121">
            <v>8.919108183814064</v>
          </cell>
        </row>
        <row r="122">
          <cell r="F122">
            <v>92000</v>
          </cell>
          <cell r="G122">
            <v>9509.1782080000012</v>
          </cell>
          <cell r="H122">
            <v>518.65300000000002</v>
          </cell>
          <cell r="I122">
            <v>5.4542357778473551</v>
          </cell>
          <cell r="N122">
            <v>7416</v>
          </cell>
          <cell r="O122">
            <v>775.11260800000002</v>
          </cell>
          <cell r="P122">
            <v>-66.834000000000003</v>
          </cell>
          <cell r="T122">
            <v>7416</v>
          </cell>
          <cell r="U122">
            <v>775.11260800000002</v>
          </cell>
          <cell r="V122">
            <v>-30.353999999999999</v>
          </cell>
          <cell r="Z122">
            <v>7416</v>
          </cell>
          <cell r="AA122">
            <v>775.11260800000002</v>
          </cell>
          <cell r="AB122">
            <v>22.5</v>
          </cell>
          <cell r="AF122">
            <v>7416</v>
          </cell>
          <cell r="AG122">
            <v>775.11260800000002</v>
          </cell>
          <cell r="AH122">
            <v>-4.51</v>
          </cell>
          <cell r="AL122">
            <v>7416</v>
          </cell>
          <cell r="AM122">
            <v>775.11260800000002</v>
          </cell>
          <cell r="AN122">
            <v>11.939</v>
          </cell>
          <cell r="AR122">
            <v>7416</v>
          </cell>
          <cell r="AS122">
            <v>775.11260800000002</v>
          </cell>
          <cell r="AT122">
            <v>24.699000000000002</v>
          </cell>
          <cell r="AX122">
            <v>44496</v>
          </cell>
          <cell r="AY122">
            <v>4650.6756480000004</v>
          </cell>
          <cell r="AZ122">
            <v>-42.559999999999995</v>
          </cell>
          <cell r="BA122">
            <v>-0.9151358473752671</v>
          </cell>
          <cell r="BF122">
            <v>7916</v>
          </cell>
          <cell r="BG122">
            <v>809.61623999999995</v>
          </cell>
          <cell r="BH122">
            <v>74.525000000000006</v>
          </cell>
          <cell r="BL122">
            <v>7916</v>
          </cell>
          <cell r="BM122">
            <v>809.61623999999995</v>
          </cell>
          <cell r="BN122">
            <v>82.944000000000003</v>
          </cell>
          <cell r="BR122">
            <v>7916</v>
          </cell>
          <cell r="BS122">
            <v>809.61623999999995</v>
          </cell>
          <cell r="BT122">
            <v>90.852999999999994</v>
          </cell>
          <cell r="BX122">
            <v>7916</v>
          </cell>
          <cell r="BY122">
            <v>809.61623999999995</v>
          </cell>
          <cell r="BZ122">
            <v>114.075</v>
          </cell>
          <cell r="CD122">
            <v>7916</v>
          </cell>
          <cell r="CE122">
            <v>809.61623999999995</v>
          </cell>
          <cell r="CF122">
            <v>88.602999999999994</v>
          </cell>
          <cell r="CJ122">
            <v>7924</v>
          </cell>
          <cell r="CK122">
            <v>810.42135999999994</v>
          </cell>
          <cell r="CL122">
            <v>110.21299999999999</v>
          </cell>
          <cell r="CP122">
            <v>47504</v>
          </cell>
          <cell r="CQ122">
            <v>4858.5025599999999</v>
          </cell>
          <cell r="CR122">
            <v>561.21299999999997</v>
          </cell>
          <cell r="CS122">
            <v>11.551151678306413</v>
          </cell>
          <cell r="CX122">
            <v>22248</v>
          </cell>
          <cell r="CY122">
            <v>2325.3378240000002</v>
          </cell>
          <cell r="CZ122">
            <v>-74.688000000000002</v>
          </cell>
          <cell r="DA122">
            <v>-3.2119204026674795</v>
          </cell>
          <cell r="DF122">
            <v>22248</v>
          </cell>
          <cell r="DG122">
            <v>2325.3378240000002</v>
          </cell>
          <cell r="DH122">
            <v>32.128</v>
          </cell>
          <cell r="DI122">
            <v>1.3816487079169448</v>
          </cell>
          <cell r="DN122">
            <v>23748</v>
          </cell>
          <cell r="DO122">
            <v>2428.84872</v>
          </cell>
          <cell r="DP122">
            <v>248.322</v>
          </cell>
          <cell r="DQ122">
            <v>10.223856181541024</v>
          </cell>
          <cell r="DV122">
            <v>23756</v>
          </cell>
          <cell r="DW122">
            <v>2429.6538399999999</v>
          </cell>
          <cell r="DX122">
            <v>312.89099999999996</v>
          </cell>
          <cell r="DY122">
            <v>12.878007346099968</v>
          </cell>
        </row>
        <row r="123">
          <cell r="F123">
            <v>61000</v>
          </cell>
          <cell r="G123">
            <v>4814.12</v>
          </cell>
          <cell r="H123">
            <v>443.74199999999996</v>
          </cell>
          <cell r="I123">
            <v>9.2175101576196674</v>
          </cell>
          <cell r="N123">
            <v>3528</v>
          </cell>
          <cell r="O123">
            <v>280.24775999999997</v>
          </cell>
          <cell r="P123">
            <v>-12.401</v>
          </cell>
          <cell r="T123">
            <v>4056</v>
          </cell>
          <cell r="U123">
            <v>326.27352000000002</v>
          </cell>
          <cell r="V123">
            <v>-0.72599999999999998</v>
          </cell>
          <cell r="Z123">
            <v>6056</v>
          </cell>
          <cell r="AA123">
            <v>482.42151999999999</v>
          </cell>
          <cell r="AB123">
            <v>10.284000000000001</v>
          </cell>
          <cell r="AF123">
            <v>5648</v>
          </cell>
          <cell r="AG123">
            <v>446.85615999999999</v>
          </cell>
          <cell r="AH123">
            <v>16.591999999999999</v>
          </cell>
          <cell r="AL123">
            <v>5648</v>
          </cell>
          <cell r="AM123">
            <v>446.85615999999999</v>
          </cell>
          <cell r="AN123">
            <v>23.991</v>
          </cell>
          <cell r="AR123">
            <v>5864</v>
          </cell>
          <cell r="AS123">
            <v>465.68488000000002</v>
          </cell>
          <cell r="AT123">
            <v>33.011000000000003</v>
          </cell>
          <cell r="AX123">
            <v>30800</v>
          </cell>
          <cell r="AY123">
            <v>2448.34</v>
          </cell>
          <cell r="AZ123">
            <v>70.751000000000005</v>
          </cell>
          <cell r="BA123">
            <v>2.8897538740534401</v>
          </cell>
          <cell r="BF123">
            <v>4648</v>
          </cell>
          <cell r="BG123">
            <v>360.02479999999997</v>
          </cell>
          <cell r="BH123">
            <v>46.993000000000002</v>
          </cell>
          <cell r="BL123">
            <v>4296</v>
          </cell>
          <cell r="BM123">
            <v>338.94959999999998</v>
          </cell>
          <cell r="BN123">
            <v>51.709000000000003</v>
          </cell>
          <cell r="BR123">
            <v>5296</v>
          </cell>
          <cell r="BS123">
            <v>415.1696</v>
          </cell>
          <cell r="BT123">
            <v>63.695</v>
          </cell>
          <cell r="BX123">
            <v>6188</v>
          </cell>
          <cell r="BY123">
            <v>482.19880000000001</v>
          </cell>
          <cell r="BZ123">
            <v>76.781000000000006</v>
          </cell>
          <cell r="CD123">
            <v>5188</v>
          </cell>
          <cell r="CE123">
            <v>405.97879999999998</v>
          </cell>
          <cell r="CF123">
            <v>67.503</v>
          </cell>
          <cell r="CJ123">
            <v>4584</v>
          </cell>
          <cell r="CK123">
            <v>363.45839999999998</v>
          </cell>
          <cell r="CL123">
            <v>66.31</v>
          </cell>
          <cell r="CP123">
            <v>30200</v>
          </cell>
          <cell r="CQ123">
            <v>2365.7799999999997</v>
          </cell>
          <cell r="CR123">
            <v>372.99099999999999</v>
          </cell>
          <cell r="CS123">
            <v>15.766089830838034</v>
          </cell>
          <cell r="CX123">
            <v>13640</v>
          </cell>
          <cell r="CY123">
            <v>1088.9427999999998</v>
          </cell>
          <cell r="CZ123">
            <v>-2.8429999999999982</v>
          </cell>
          <cell r="DA123">
            <v>-0.26107891066454536</v>
          </cell>
          <cell r="DF123">
            <v>17160</v>
          </cell>
          <cell r="DG123">
            <v>1359.3971999999999</v>
          </cell>
          <cell r="DH123">
            <v>73.593999999999994</v>
          </cell>
          <cell r="DI123">
            <v>5.4137230825545322</v>
          </cell>
          <cell r="DN123">
            <v>14240</v>
          </cell>
          <cell r="DO123">
            <v>1114.144</v>
          </cell>
          <cell r="DP123">
            <v>162.39699999999999</v>
          </cell>
          <cell r="DQ123">
            <v>14.575943504609818</v>
          </cell>
          <cell r="DV123">
            <v>15960</v>
          </cell>
          <cell r="DW123">
            <v>1251.636</v>
          </cell>
          <cell r="DX123">
            <v>210.59399999999999</v>
          </cell>
          <cell r="DY123">
            <v>16.825498787187328</v>
          </cell>
        </row>
        <row r="124">
          <cell r="F124">
            <v>4000</v>
          </cell>
          <cell r="G124">
            <v>329.16399999999999</v>
          </cell>
          <cell r="H124">
            <v>46.225000000000001</v>
          </cell>
          <cell r="I124">
            <v>14.043151741988796</v>
          </cell>
          <cell r="N124">
            <v>300</v>
          </cell>
          <cell r="O124">
            <v>25.013999999999999</v>
          </cell>
          <cell r="P124">
            <v>2.9710000000000001</v>
          </cell>
          <cell r="T124">
            <v>300</v>
          </cell>
          <cell r="U124">
            <v>25.013999999999999</v>
          </cell>
          <cell r="V124">
            <v>2.9950000000000001</v>
          </cell>
          <cell r="Z124">
            <v>300</v>
          </cell>
          <cell r="AA124">
            <v>25.013999999999999</v>
          </cell>
          <cell r="AB124">
            <v>3.0169999999999999</v>
          </cell>
          <cell r="AF124">
            <v>300</v>
          </cell>
          <cell r="AG124">
            <v>25.013999999999999</v>
          </cell>
          <cell r="AH124">
            <v>2.5910000000000002</v>
          </cell>
          <cell r="AL124">
            <v>300</v>
          </cell>
          <cell r="AM124">
            <v>25.013999999999999</v>
          </cell>
          <cell r="AN124">
            <v>2.5019999999999998</v>
          </cell>
          <cell r="AR124">
            <v>300</v>
          </cell>
          <cell r="AS124">
            <v>25.013999999999999</v>
          </cell>
          <cell r="AT124">
            <v>2.6829999999999998</v>
          </cell>
          <cell r="AX124">
            <v>1800</v>
          </cell>
          <cell r="AY124">
            <v>150.084</v>
          </cell>
          <cell r="AZ124">
            <v>16.759</v>
          </cell>
          <cell r="BA124">
            <v>11.166413475120599</v>
          </cell>
          <cell r="BF124">
            <v>400</v>
          </cell>
          <cell r="BG124">
            <v>32.56</v>
          </cell>
          <cell r="BH124">
            <v>5.266</v>
          </cell>
          <cell r="BL124">
            <v>400</v>
          </cell>
          <cell r="BM124">
            <v>32.56</v>
          </cell>
          <cell r="BN124">
            <v>4.9369999999999994</v>
          </cell>
          <cell r="BR124">
            <v>400</v>
          </cell>
          <cell r="BS124">
            <v>32.56</v>
          </cell>
          <cell r="BT124">
            <v>5.1509999999999998</v>
          </cell>
          <cell r="BX124">
            <v>400</v>
          </cell>
          <cell r="BY124">
            <v>32.56</v>
          </cell>
          <cell r="BZ124">
            <v>5.8580000000000005</v>
          </cell>
          <cell r="CD124">
            <v>300</v>
          </cell>
          <cell r="CE124">
            <v>24.42</v>
          </cell>
          <cell r="CF124">
            <v>3.9260000000000002</v>
          </cell>
          <cell r="CJ124">
            <v>300</v>
          </cell>
          <cell r="CK124">
            <v>24.42</v>
          </cell>
          <cell r="CL124">
            <v>4.3280000000000003</v>
          </cell>
          <cell r="CP124">
            <v>2200</v>
          </cell>
          <cell r="CQ124">
            <v>179.08</v>
          </cell>
          <cell r="CR124">
            <v>29.466000000000001</v>
          </cell>
          <cell r="CS124">
            <v>16.454098726826</v>
          </cell>
          <cell r="CX124">
            <v>900</v>
          </cell>
          <cell r="CY124">
            <v>75.042000000000002</v>
          </cell>
          <cell r="CZ124">
            <v>8.9830000000000005</v>
          </cell>
          <cell r="DA124">
            <v>11.970629780656166</v>
          </cell>
          <cell r="DF124">
            <v>900</v>
          </cell>
          <cell r="DG124">
            <v>75.042000000000002</v>
          </cell>
          <cell r="DH124">
            <v>7.7759999999999998</v>
          </cell>
          <cell r="DI124">
            <v>10.362197169585032</v>
          </cell>
          <cell r="DN124">
            <v>1200</v>
          </cell>
          <cell r="DO124">
            <v>97.68</v>
          </cell>
          <cell r="DP124">
            <v>15.353999999999999</v>
          </cell>
          <cell r="DQ124">
            <v>15.718673218673217</v>
          </cell>
          <cell r="DV124">
            <v>1000</v>
          </cell>
          <cell r="DW124">
            <v>81.400000000000006</v>
          </cell>
          <cell r="DX124">
            <v>14.112000000000002</v>
          </cell>
          <cell r="DY124">
            <v>17.336609336609339</v>
          </cell>
        </row>
        <row r="125">
          <cell r="F125">
            <v>12000</v>
          </cell>
          <cell r="G125">
            <v>1093.9007999999999</v>
          </cell>
          <cell r="H125">
            <v>221.31800000000001</v>
          </cell>
          <cell r="I125">
            <v>20.231999099004227</v>
          </cell>
          <cell r="N125">
            <v>484</v>
          </cell>
          <cell r="O125">
            <v>45.125256</v>
          </cell>
          <cell r="P125">
            <v>3.508</v>
          </cell>
          <cell r="T125">
            <v>968</v>
          </cell>
          <cell r="U125">
            <v>90.250512000000001</v>
          </cell>
          <cell r="V125">
            <v>10.63</v>
          </cell>
          <cell r="Z125">
            <v>1068</v>
          </cell>
          <cell r="AA125">
            <v>98.664311999999995</v>
          </cell>
          <cell r="AB125">
            <v>13.576000000000001</v>
          </cell>
          <cell r="AF125">
            <v>694</v>
          </cell>
          <cell r="AG125">
            <v>63.794795999999998</v>
          </cell>
          <cell r="AH125">
            <v>9.6180000000000003</v>
          </cell>
          <cell r="AL125">
            <v>694</v>
          </cell>
          <cell r="AM125">
            <v>63.794795999999998</v>
          </cell>
          <cell r="AN125">
            <v>10.433</v>
          </cell>
          <cell r="AR125">
            <v>892</v>
          </cell>
          <cell r="AS125">
            <v>82.255127999999999</v>
          </cell>
          <cell r="AT125">
            <v>14.446</v>
          </cell>
          <cell r="AX125">
            <v>4800</v>
          </cell>
          <cell r="AY125">
            <v>443.88479999999998</v>
          </cell>
          <cell r="AZ125">
            <v>62.211000000000006</v>
          </cell>
          <cell r="BA125">
            <v>14.015122842683509</v>
          </cell>
          <cell r="BF125">
            <v>694</v>
          </cell>
          <cell r="BG125">
            <v>62.279879999999999</v>
          </cell>
          <cell r="BH125">
            <v>14.138999999999999</v>
          </cell>
          <cell r="BL125">
            <v>1288</v>
          </cell>
          <cell r="BM125">
            <v>116.34576</v>
          </cell>
          <cell r="BN125">
            <v>27.56</v>
          </cell>
          <cell r="BR125">
            <v>1288</v>
          </cell>
          <cell r="BS125">
            <v>116.34576</v>
          </cell>
          <cell r="BT125">
            <v>28.031999999999996</v>
          </cell>
          <cell r="BX125">
            <v>1189</v>
          </cell>
          <cell r="BY125">
            <v>107.33477999999999</v>
          </cell>
          <cell r="BZ125">
            <v>26.63</v>
          </cell>
          <cell r="CD125">
            <v>1189</v>
          </cell>
          <cell r="CE125">
            <v>107.33477999999999</v>
          </cell>
          <cell r="CF125">
            <v>26.817</v>
          </cell>
          <cell r="CJ125">
            <v>1552</v>
          </cell>
          <cell r="CK125">
            <v>140.37503999999998</v>
          </cell>
          <cell r="CL125">
            <v>35.929000000000002</v>
          </cell>
          <cell r="CP125">
            <v>7200</v>
          </cell>
          <cell r="CQ125">
            <v>650.01599999999996</v>
          </cell>
          <cell r="CR125">
            <v>159.107</v>
          </cell>
          <cell r="CS125">
            <v>24.477397479446662</v>
          </cell>
          <cell r="CX125">
            <v>2520</v>
          </cell>
          <cell r="CY125">
            <v>234.04007999999999</v>
          </cell>
          <cell r="CZ125">
            <v>27.714000000000002</v>
          </cell>
          <cell r="DA125">
            <v>11.841561496646216</v>
          </cell>
          <cell r="DF125">
            <v>2280</v>
          </cell>
          <cell r="DG125">
            <v>209.84472</v>
          </cell>
          <cell r="DH125">
            <v>34.497</v>
          </cell>
          <cell r="DI125">
            <v>16.439298544180669</v>
          </cell>
          <cell r="DN125">
            <v>3270</v>
          </cell>
          <cell r="DO125">
            <v>294.97140000000002</v>
          </cell>
          <cell r="DP125">
            <v>69.730999999999995</v>
          </cell>
          <cell r="DQ125">
            <v>23.639918988756197</v>
          </cell>
          <cell r="DV125">
            <v>3930</v>
          </cell>
          <cell r="DW125">
            <v>355.04459999999995</v>
          </cell>
          <cell r="DX125">
            <v>89.376000000000005</v>
          </cell>
          <cell r="DY125">
            <v>25.17317542641122</v>
          </cell>
        </row>
        <row r="126">
          <cell r="F126">
            <v>4000</v>
          </cell>
          <cell r="G126">
            <v>353.10320000000002</v>
          </cell>
          <cell r="H126">
            <v>54.566000000000003</v>
          </cell>
          <cell r="I126">
            <v>15.453272584332286</v>
          </cell>
          <cell r="N126">
            <v>300</v>
          </cell>
          <cell r="O126">
            <v>26.833200000000001</v>
          </cell>
          <cell r="P126">
            <v>2.7149999999999999</v>
          </cell>
          <cell r="T126">
            <v>300</v>
          </cell>
          <cell r="U126">
            <v>26.833200000000001</v>
          </cell>
          <cell r="V126">
            <v>3.3809999999999998</v>
          </cell>
          <cell r="Z126">
            <v>300</v>
          </cell>
          <cell r="AA126">
            <v>26.833200000000001</v>
          </cell>
          <cell r="AB126">
            <v>3.5840000000000001</v>
          </cell>
          <cell r="AF126">
            <v>300</v>
          </cell>
          <cell r="AG126">
            <v>26.833200000000001</v>
          </cell>
          <cell r="AH126">
            <v>3.323</v>
          </cell>
          <cell r="AL126">
            <v>300</v>
          </cell>
          <cell r="AM126">
            <v>26.833200000000001</v>
          </cell>
          <cell r="AN126">
            <v>3.1989999999999998</v>
          </cell>
          <cell r="AR126">
            <v>300</v>
          </cell>
          <cell r="AS126">
            <v>26.833200000000001</v>
          </cell>
          <cell r="AT126">
            <v>3.3090000000000002</v>
          </cell>
          <cell r="AX126">
            <v>1800</v>
          </cell>
          <cell r="AY126">
            <v>160.9992</v>
          </cell>
          <cell r="AZ126">
            <v>19.510999999999999</v>
          </cell>
          <cell r="BA126">
            <v>12.118693757484508</v>
          </cell>
          <cell r="BF126">
            <v>400</v>
          </cell>
          <cell r="BG126">
            <v>34.927999999999997</v>
          </cell>
          <cell r="BH126">
            <v>6.24</v>
          </cell>
          <cell r="BL126">
            <v>400</v>
          </cell>
          <cell r="BM126">
            <v>34.927999999999997</v>
          </cell>
          <cell r="BN126">
            <v>6</v>
          </cell>
          <cell r="BR126">
            <v>400</v>
          </cell>
          <cell r="BS126">
            <v>34.927999999999997</v>
          </cell>
          <cell r="BT126">
            <v>6.1680000000000001</v>
          </cell>
          <cell r="BX126">
            <v>400</v>
          </cell>
          <cell r="BY126">
            <v>34.927999999999997</v>
          </cell>
          <cell r="BZ126">
            <v>6.7840000000000007</v>
          </cell>
          <cell r="CD126">
            <v>300</v>
          </cell>
          <cell r="CE126">
            <v>26.195999999999998</v>
          </cell>
          <cell r="CF126">
            <v>4.8130000000000006</v>
          </cell>
          <cell r="CJ126">
            <v>300</v>
          </cell>
          <cell r="CK126">
            <v>26.195999999999998</v>
          </cell>
          <cell r="CL126">
            <v>5.05</v>
          </cell>
          <cell r="CP126">
            <v>2200</v>
          </cell>
          <cell r="CQ126">
            <v>192.10399999999998</v>
          </cell>
          <cell r="CR126">
            <v>35.055</v>
          </cell>
          <cell r="CS126">
            <v>18.247928205555326</v>
          </cell>
          <cell r="CX126">
            <v>900</v>
          </cell>
          <cell r="CY126">
            <v>80.499600000000001</v>
          </cell>
          <cell r="CZ126">
            <v>9.68</v>
          </cell>
          <cell r="DA126">
            <v>12.024904471575013</v>
          </cell>
          <cell r="DF126">
            <v>900</v>
          </cell>
          <cell r="DG126">
            <v>80.499600000000001</v>
          </cell>
          <cell r="DH126">
            <v>9.8309999999999995</v>
          </cell>
          <cell r="DI126">
            <v>12.212483043394004</v>
          </cell>
          <cell r="DN126">
            <v>1200</v>
          </cell>
          <cell r="DO126">
            <v>104.78399999999999</v>
          </cell>
          <cell r="DP126">
            <v>18.408000000000001</v>
          </cell>
          <cell r="DQ126">
            <v>17.567567567567572</v>
          </cell>
          <cell r="DV126">
            <v>1000</v>
          </cell>
          <cell r="DW126">
            <v>87.32</v>
          </cell>
          <cell r="DX126">
            <v>16.647000000000002</v>
          </cell>
          <cell r="DY126">
            <v>19.064360971140637</v>
          </cell>
        </row>
        <row r="127">
          <cell r="F127">
            <v>75000</v>
          </cell>
          <cell r="G127">
            <v>8820.2890599999992</v>
          </cell>
          <cell r="H127">
            <v>1308.2</v>
          </cell>
          <cell r="I127">
            <v>14.831713463141311</v>
          </cell>
          <cell r="N127">
            <v>4465</v>
          </cell>
          <cell r="O127">
            <v>529.47588599999995</v>
          </cell>
          <cell r="P127">
            <v>47.396999999999998</v>
          </cell>
          <cell r="T127">
            <v>4905</v>
          </cell>
          <cell r="U127">
            <v>582.83908599999995</v>
          </cell>
          <cell r="V127">
            <v>63.639000000000003</v>
          </cell>
          <cell r="Z127">
            <v>5930</v>
          </cell>
          <cell r="AA127">
            <v>706.48177199999998</v>
          </cell>
          <cell r="AB127">
            <v>79.099000000000004</v>
          </cell>
          <cell r="AF127">
            <v>5590</v>
          </cell>
          <cell r="AG127">
            <v>665.24657200000001</v>
          </cell>
          <cell r="AH127">
            <v>72.128</v>
          </cell>
          <cell r="AL127">
            <v>5590</v>
          </cell>
          <cell r="AM127">
            <v>665.24657200000001</v>
          </cell>
          <cell r="AN127">
            <v>79.597999999999999</v>
          </cell>
          <cell r="AR127">
            <v>5770</v>
          </cell>
          <cell r="AS127">
            <v>687.07697199999996</v>
          </cell>
          <cell r="AT127">
            <v>84.885999999999996</v>
          </cell>
          <cell r="AX127">
            <v>32250</v>
          </cell>
          <cell r="AY127">
            <v>3836.3668600000001</v>
          </cell>
          <cell r="AZ127">
            <v>426.74699999999996</v>
          </cell>
          <cell r="BA127">
            <v>11.123727619730298</v>
          </cell>
          <cell r="BF127">
            <v>6002.5</v>
          </cell>
          <cell r="BG127">
            <v>699.22933</v>
          </cell>
          <cell r="BH127">
            <v>109.28700000000001</v>
          </cell>
          <cell r="BL127">
            <v>7042.5</v>
          </cell>
          <cell r="BM127">
            <v>820.51532999999995</v>
          </cell>
          <cell r="BN127">
            <v>135.12899999999999</v>
          </cell>
          <cell r="BR127">
            <v>7237.5</v>
          </cell>
          <cell r="BS127">
            <v>844.047774</v>
          </cell>
          <cell r="BT127">
            <v>140.84399999999999</v>
          </cell>
          <cell r="BX127">
            <v>8427.5</v>
          </cell>
          <cell r="BY127">
            <v>984.87154999999996</v>
          </cell>
          <cell r="BZ127">
            <v>192.06399999999999</v>
          </cell>
          <cell r="CD127">
            <v>7745</v>
          </cell>
          <cell r="CE127">
            <v>902.50799599999993</v>
          </cell>
          <cell r="CF127">
            <v>161.18</v>
          </cell>
          <cell r="CJ127">
            <v>6295</v>
          </cell>
          <cell r="CK127">
            <v>732.75022000000001</v>
          </cell>
          <cell r="CL127">
            <v>142.94900000000001</v>
          </cell>
          <cell r="CP127">
            <v>42750</v>
          </cell>
          <cell r="CQ127">
            <v>4983.9222</v>
          </cell>
          <cell r="CR127">
            <v>881.45300000000009</v>
          </cell>
          <cell r="CS127">
            <v>17.685930169616213</v>
          </cell>
          <cell r="CX127">
            <v>15300</v>
          </cell>
          <cell r="CY127">
            <v>1818.7967439999998</v>
          </cell>
          <cell r="CZ127">
            <v>190.13499999999999</v>
          </cell>
          <cell r="DA127">
            <v>10.45388939842967</v>
          </cell>
          <cell r="DF127">
            <v>16950</v>
          </cell>
          <cell r="DG127">
            <v>2017.5701159999999</v>
          </cell>
          <cell r="DH127">
            <v>236.61199999999999</v>
          </cell>
          <cell r="DI127">
            <v>11.727572594557602</v>
          </cell>
          <cell r="DN127">
            <v>20282.5</v>
          </cell>
          <cell r="DO127">
            <v>2363.792434</v>
          </cell>
          <cell r="DP127">
            <v>385.26</v>
          </cell>
          <cell r="DQ127">
            <v>16.298385359837393</v>
          </cell>
          <cell r="DV127">
            <v>22467.5</v>
          </cell>
          <cell r="DW127">
            <v>2620.129766</v>
          </cell>
          <cell r="DX127">
            <v>496.19300000000004</v>
          </cell>
          <cell r="DY127">
            <v>18.937726155354095</v>
          </cell>
        </row>
        <row r="128">
          <cell r="F128">
            <v>15000</v>
          </cell>
          <cell r="G128">
            <v>1870.9935</v>
          </cell>
          <cell r="H128">
            <v>254.673</v>
          </cell>
          <cell r="I128">
            <v>13.611645363813397</v>
          </cell>
          <cell r="N128">
            <v>615</v>
          </cell>
          <cell r="O128">
            <v>77.918610000000001</v>
          </cell>
          <cell r="P128">
            <v>7.2249999999999996</v>
          </cell>
          <cell r="T128">
            <v>1055</v>
          </cell>
          <cell r="U128">
            <v>133.94997000000001</v>
          </cell>
          <cell r="V128">
            <v>14.821999999999999</v>
          </cell>
          <cell r="Z128">
            <v>1230</v>
          </cell>
          <cell r="AA128">
            <v>155.83722</v>
          </cell>
          <cell r="AB128">
            <v>17.731999999999999</v>
          </cell>
          <cell r="AF128">
            <v>890</v>
          </cell>
          <cell r="AG128">
            <v>112.54026</v>
          </cell>
          <cell r="AH128">
            <v>12.727</v>
          </cell>
          <cell r="AL128">
            <v>890</v>
          </cell>
          <cell r="AM128">
            <v>112.54026</v>
          </cell>
          <cell r="AN128">
            <v>13.401</v>
          </cell>
          <cell r="AR128">
            <v>1070</v>
          </cell>
          <cell r="AS128">
            <v>135.46217999999999</v>
          </cell>
          <cell r="AT128">
            <v>16.79</v>
          </cell>
          <cell r="AX128">
            <v>5750</v>
          </cell>
          <cell r="AY128">
            <v>728.24849999999992</v>
          </cell>
          <cell r="AZ128">
            <v>82.696999999999989</v>
          </cell>
          <cell r="BA128">
            <v>11.355601830968412</v>
          </cell>
          <cell r="BF128">
            <v>1027.5</v>
          </cell>
          <cell r="BG128">
            <v>126.65655</v>
          </cell>
          <cell r="BH128">
            <v>14.537000000000001</v>
          </cell>
          <cell r="BL128">
            <v>1567.5</v>
          </cell>
          <cell r="BM128">
            <v>193.78934999999998</v>
          </cell>
          <cell r="BN128">
            <v>25.297999999999998</v>
          </cell>
          <cell r="BR128">
            <v>1632.5</v>
          </cell>
          <cell r="BS128">
            <v>201.72585000000001</v>
          </cell>
          <cell r="BT128">
            <v>28.457999999999998</v>
          </cell>
          <cell r="BX128">
            <v>1802.5</v>
          </cell>
          <cell r="BY128">
            <v>222.28305</v>
          </cell>
          <cell r="BZ128">
            <v>34.823</v>
          </cell>
          <cell r="CD128">
            <v>1575</v>
          </cell>
          <cell r="CE128">
            <v>194.50530000000001</v>
          </cell>
          <cell r="CF128">
            <v>32.082000000000001</v>
          </cell>
          <cell r="CJ128">
            <v>1645</v>
          </cell>
          <cell r="CK128">
            <v>203.78489999999999</v>
          </cell>
          <cell r="CL128">
            <v>36.777999999999999</v>
          </cell>
          <cell r="CP128">
            <v>9250</v>
          </cell>
          <cell r="CQ128">
            <v>1142.7450000000001</v>
          </cell>
          <cell r="CR128">
            <v>171.976</v>
          </cell>
          <cell r="CS128">
            <v>15.049376720090656</v>
          </cell>
          <cell r="CX128">
            <v>2900</v>
          </cell>
          <cell r="CY128">
            <v>367.70580000000001</v>
          </cell>
          <cell r="CZ128">
            <v>39.778999999999996</v>
          </cell>
          <cell r="DA128">
            <v>10.81815951774489</v>
          </cell>
          <cell r="DF128">
            <v>2850</v>
          </cell>
          <cell r="DG128">
            <v>360.54269999999997</v>
          </cell>
          <cell r="DH128">
            <v>42.917999999999999</v>
          </cell>
          <cell r="DI128">
            <v>11.903721806044055</v>
          </cell>
          <cell r="DN128">
            <v>4227.5</v>
          </cell>
          <cell r="DO128">
            <v>522.17174999999997</v>
          </cell>
          <cell r="DP128">
            <v>68.293000000000006</v>
          </cell>
          <cell r="DQ128">
            <v>13.078647016044053</v>
          </cell>
          <cell r="DV128">
            <v>5022.5</v>
          </cell>
          <cell r="DW128">
            <v>620.57325000000003</v>
          </cell>
          <cell r="DX128">
            <v>103.68299999999999</v>
          </cell>
          <cell r="DY128">
            <v>16.707616707616705</v>
          </cell>
        </row>
        <row r="129">
          <cell r="F129">
            <v>72000</v>
          </cell>
          <cell r="G129">
            <v>7700.2403999999997</v>
          </cell>
          <cell r="H129">
            <v>357.39299999999992</v>
          </cell>
          <cell r="I129">
            <v>4.6413226267585088</v>
          </cell>
          <cell r="N129">
            <v>0</v>
          </cell>
          <cell r="O129">
            <v>0</v>
          </cell>
          <cell r="P129">
            <v>0</v>
          </cell>
          <cell r="T129">
            <v>0</v>
          </cell>
          <cell r="U129">
            <v>0</v>
          </cell>
          <cell r="V129">
            <v>0</v>
          </cell>
          <cell r="Z129">
            <v>0</v>
          </cell>
          <cell r="AA129">
            <v>0</v>
          </cell>
          <cell r="AB129">
            <v>0</v>
          </cell>
          <cell r="AF129">
            <v>0</v>
          </cell>
          <cell r="AG129">
            <v>0</v>
          </cell>
          <cell r="AH129">
            <v>0</v>
          </cell>
          <cell r="AL129">
            <v>2160</v>
          </cell>
          <cell r="AM129">
            <v>236.0412</v>
          </cell>
          <cell r="AN129">
            <v>-123.059</v>
          </cell>
          <cell r="AR129">
            <v>5160</v>
          </cell>
          <cell r="AS129">
            <v>565.77120000000002</v>
          </cell>
          <cell r="AT129">
            <v>-112.267</v>
          </cell>
          <cell r="AX129">
            <v>7320</v>
          </cell>
          <cell r="AY129">
            <v>801.81240000000003</v>
          </cell>
          <cell r="AZ129">
            <v>-235.32599999999999</v>
          </cell>
          <cell r="BA129">
            <v>-29.349259253161957</v>
          </cell>
          <cell r="BF129">
            <v>9230</v>
          </cell>
          <cell r="BG129">
            <v>983.053</v>
          </cell>
          <cell r="BH129">
            <v>7.0359999999999996</v>
          </cell>
          <cell r="BL129">
            <v>11330</v>
          </cell>
          <cell r="BM129">
            <v>1209.8630000000001</v>
          </cell>
          <cell r="BN129">
            <v>85.575999999999993</v>
          </cell>
          <cell r="BR129">
            <v>11870</v>
          </cell>
          <cell r="BS129">
            <v>1266.473</v>
          </cell>
          <cell r="BT129">
            <v>101.545</v>
          </cell>
          <cell r="BX129">
            <v>14040</v>
          </cell>
          <cell r="BY129">
            <v>1494.134</v>
          </cell>
          <cell r="BZ129">
            <v>170.78899999999999</v>
          </cell>
          <cell r="CD129">
            <v>10150</v>
          </cell>
          <cell r="CE129">
            <v>1081.3989999999999</v>
          </cell>
          <cell r="CF129">
            <v>112.176</v>
          </cell>
          <cell r="CJ129">
            <v>8060</v>
          </cell>
          <cell r="CK129">
            <v>863.50599999999997</v>
          </cell>
          <cell r="CL129">
            <v>115.59699999999999</v>
          </cell>
          <cell r="CP129">
            <v>64680</v>
          </cell>
          <cell r="CQ129">
            <v>6898.4279999999999</v>
          </cell>
          <cell r="CR129">
            <v>592.71899999999994</v>
          </cell>
          <cell r="CS129">
            <v>8.5920879365559788</v>
          </cell>
          <cell r="CX129">
            <v>0</v>
          </cell>
          <cell r="CY129">
            <v>0</v>
          </cell>
          <cell r="CZ129">
            <v>0</v>
          </cell>
          <cell r="DA129">
            <v>0</v>
          </cell>
          <cell r="DF129">
            <v>7320</v>
          </cell>
          <cell r="DG129">
            <v>801.81240000000003</v>
          </cell>
          <cell r="DH129">
            <v>-235.32599999999999</v>
          </cell>
          <cell r="DI129">
            <v>-29.349259253161957</v>
          </cell>
          <cell r="DN129">
            <v>32430</v>
          </cell>
          <cell r="DO129">
            <v>3459.3890000000001</v>
          </cell>
          <cell r="DP129">
            <v>194.15699999999998</v>
          </cell>
          <cell r="DQ129">
            <v>5.6124650913788532</v>
          </cell>
          <cell r="DV129">
            <v>32250</v>
          </cell>
          <cell r="DW129">
            <v>3439.0389999999998</v>
          </cell>
          <cell r="DX129">
            <v>398.56199999999995</v>
          </cell>
          <cell r="DY129">
            <v>11.589342255205597</v>
          </cell>
        </row>
        <row r="130">
          <cell r="F130">
            <v>0</v>
          </cell>
          <cell r="G130">
            <v>0</v>
          </cell>
          <cell r="H130">
            <v>0</v>
          </cell>
          <cell r="I130">
            <v>0</v>
          </cell>
          <cell r="N130">
            <v>0</v>
          </cell>
          <cell r="O130">
            <v>0</v>
          </cell>
          <cell r="P130">
            <v>0</v>
          </cell>
          <cell r="T130">
            <v>0</v>
          </cell>
          <cell r="U130">
            <v>0</v>
          </cell>
          <cell r="V130">
            <v>0</v>
          </cell>
          <cell r="Z130">
            <v>0</v>
          </cell>
          <cell r="AA130">
            <v>0</v>
          </cell>
          <cell r="AB130">
            <v>0</v>
          </cell>
          <cell r="AF130">
            <v>0</v>
          </cell>
          <cell r="AG130">
            <v>0</v>
          </cell>
          <cell r="AH130">
            <v>0</v>
          </cell>
          <cell r="AL130">
            <v>0</v>
          </cell>
          <cell r="AM130">
            <v>0</v>
          </cell>
          <cell r="AN130">
            <v>0</v>
          </cell>
          <cell r="AR130">
            <v>0</v>
          </cell>
          <cell r="AS130">
            <v>0</v>
          </cell>
          <cell r="AT130">
            <v>0</v>
          </cell>
          <cell r="AX130">
            <v>0</v>
          </cell>
          <cell r="AY130">
            <v>0</v>
          </cell>
          <cell r="AZ130">
            <v>0</v>
          </cell>
          <cell r="BA130">
            <v>0</v>
          </cell>
          <cell r="BF130">
            <v>0</v>
          </cell>
          <cell r="BG130">
            <v>0</v>
          </cell>
          <cell r="BH130">
            <v>0</v>
          </cell>
          <cell r="BL130">
            <v>0</v>
          </cell>
          <cell r="BM130">
            <v>0</v>
          </cell>
          <cell r="BN130">
            <v>0</v>
          </cell>
          <cell r="BR130">
            <v>0</v>
          </cell>
          <cell r="BS130">
            <v>0</v>
          </cell>
          <cell r="BT130">
            <v>0</v>
          </cell>
          <cell r="BX130">
            <v>0</v>
          </cell>
          <cell r="BY130">
            <v>0</v>
          </cell>
          <cell r="BZ130">
            <v>0</v>
          </cell>
          <cell r="CD130">
            <v>0</v>
          </cell>
          <cell r="CE130">
            <v>0</v>
          </cell>
          <cell r="CF130">
            <v>0</v>
          </cell>
          <cell r="CJ130">
            <v>0</v>
          </cell>
          <cell r="CK130">
            <v>0</v>
          </cell>
          <cell r="CL130">
            <v>0</v>
          </cell>
          <cell r="CP130">
            <v>0</v>
          </cell>
          <cell r="CQ130">
            <v>0</v>
          </cell>
          <cell r="CR130">
            <v>0</v>
          </cell>
          <cell r="CS130">
            <v>0</v>
          </cell>
          <cell r="CX130">
            <v>0</v>
          </cell>
          <cell r="CY130">
            <v>0</v>
          </cell>
          <cell r="CZ130">
            <v>0</v>
          </cell>
          <cell r="DA130">
            <v>0</v>
          </cell>
          <cell r="DF130">
            <v>0</v>
          </cell>
          <cell r="DG130">
            <v>0</v>
          </cell>
          <cell r="DH130">
            <v>0</v>
          </cell>
          <cell r="DI130">
            <v>0</v>
          </cell>
          <cell r="DN130">
            <v>0</v>
          </cell>
          <cell r="DO130">
            <v>0</v>
          </cell>
          <cell r="DP130">
            <v>0</v>
          </cell>
          <cell r="DQ130">
            <v>0</v>
          </cell>
          <cell r="DV130">
            <v>0</v>
          </cell>
          <cell r="DW130">
            <v>0</v>
          </cell>
          <cell r="DX130">
            <v>0</v>
          </cell>
          <cell r="DY130">
            <v>0</v>
          </cell>
        </row>
        <row r="131">
          <cell r="F131">
            <v>3000</v>
          </cell>
          <cell r="G131">
            <v>385.55471999999997</v>
          </cell>
          <cell r="H131">
            <v>67.569000000000003</v>
          </cell>
          <cell r="I131">
            <v>17.52513884410493</v>
          </cell>
          <cell r="N131">
            <v>0</v>
          </cell>
          <cell r="O131">
            <v>0</v>
          </cell>
          <cell r="P131">
            <v>0</v>
          </cell>
          <cell r="T131">
            <v>0</v>
          </cell>
          <cell r="U131">
            <v>0</v>
          </cell>
          <cell r="V131">
            <v>0</v>
          </cell>
          <cell r="Z131">
            <v>0</v>
          </cell>
          <cell r="AA131">
            <v>0</v>
          </cell>
          <cell r="AB131">
            <v>0</v>
          </cell>
          <cell r="AF131">
            <v>0</v>
          </cell>
          <cell r="AG131">
            <v>0</v>
          </cell>
          <cell r="AH131">
            <v>0</v>
          </cell>
          <cell r="AL131">
            <v>240</v>
          </cell>
          <cell r="AM131">
            <v>31.472159999999999</v>
          </cell>
          <cell r="AN131">
            <v>-8.6509999999999998</v>
          </cell>
          <cell r="AR131">
            <v>240</v>
          </cell>
          <cell r="AS131">
            <v>31.472159999999999</v>
          </cell>
          <cell r="AT131">
            <v>0.223</v>
          </cell>
          <cell r="AX131">
            <v>480</v>
          </cell>
          <cell r="AY131">
            <v>62.944319999999998</v>
          </cell>
          <cell r="AZ131">
            <v>-8.427999999999999</v>
          </cell>
          <cell r="BA131">
            <v>-13.389611644068916</v>
          </cell>
          <cell r="BF131">
            <v>270</v>
          </cell>
          <cell r="BG131">
            <v>34.565399999999997</v>
          </cell>
          <cell r="BH131">
            <v>5.9349999999999996</v>
          </cell>
          <cell r="BL131">
            <v>420</v>
          </cell>
          <cell r="BM131">
            <v>53.7684</v>
          </cell>
          <cell r="BN131">
            <v>12.127000000000001</v>
          </cell>
          <cell r="BR131">
            <v>420</v>
          </cell>
          <cell r="BS131">
            <v>53.7684</v>
          </cell>
          <cell r="BT131">
            <v>12.135999999999999</v>
          </cell>
          <cell r="BX131">
            <v>435</v>
          </cell>
          <cell r="BY131">
            <v>55.688699999999997</v>
          </cell>
          <cell r="BZ131">
            <v>13.916</v>
          </cell>
          <cell r="CD131">
            <v>435</v>
          </cell>
          <cell r="CE131">
            <v>55.688699999999997</v>
          </cell>
          <cell r="CF131">
            <v>13.715</v>
          </cell>
          <cell r="CJ131">
            <v>540</v>
          </cell>
          <cell r="CK131">
            <v>69.130799999999994</v>
          </cell>
          <cell r="CL131">
            <v>18.167999999999999</v>
          </cell>
          <cell r="CP131">
            <v>2520</v>
          </cell>
          <cell r="CQ131">
            <v>322.61039999999997</v>
          </cell>
          <cell r="CR131">
            <v>75.997</v>
          </cell>
          <cell r="CS131">
            <v>23.556897111810411</v>
          </cell>
          <cell r="CX131">
            <v>0</v>
          </cell>
          <cell r="CY131">
            <v>0</v>
          </cell>
          <cell r="CZ131">
            <v>0</v>
          </cell>
          <cell r="DA131">
            <v>0</v>
          </cell>
          <cell r="DF131">
            <v>480</v>
          </cell>
          <cell r="DG131">
            <v>62.944319999999998</v>
          </cell>
          <cell r="DH131">
            <v>-8.427999999999999</v>
          </cell>
          <cell r="DI131">
            <v>-13.389611644068916</v>
          </cell>
          <cell r="DN131">
            <v>1110</v>
          </cell>
          <cell r="DO131">
            <v>142.10219999999998</v>
          </cell>
          <cell r="DP131">
            <v>30.198</v>
          </cell>
          <cell r="DQ131">
            <v>21.250902519454311</v>
          </cell>
          <cell r="DV131">
            <v>1410</v>
          </cell>
          <cell r="DW131">
            <v>180.50819999999999</v>
          </cell>
          <cell r="DX131">
            <v>45.798999999999999</v>
          </cell>
          <cell r="DY131">
            <v>25.372254556856699</v>
          </cell>
        </row>
        <row r="132">
          <cell r="F132">
            <v>25000</v>
          </cell>
          <cell r="G132">
            <v>3154.18</v>
          </cell>
          <cell r="H132">
            <v>461.46800000000002</v>
          </cell>
          <cell r="I132">
            <v>14.630363517617893</v>
          </cell>
          <cell r="N132">
            <v>0</v>
          </cell>
          <cell r="O132">
            <v>0</v>
          </cell>
          <cell r="P132">
            <v>0</v>
          </cell>
          <cell r="T132">
            <v>0</v>
          </cell>
          <cell r="U132">
            <v>0</v>
          </cell>
          <cell r="V132">
            <v>0</v>
          </cell>
          <cell r="Z132">
            <v>0</v>
          </cell>
          <cell r="AA132">
            <v>0</v>
          </cell>
          <cell r="AB132">
            <v>0</v>
          </cell>
          <cell r="AF132">
            <v>0</v>
          </cell>
          <cell r="AG132">
            <v>0</v>
          </cell>
          <cell r="AH132">
            <v>0</v>
          </cell>
          <cell r="AL132">
            <v>0</v>
          </cell>
          <cell r="AM132">
            <v>0</v>
          </cell>
          <cell r="AN132">
            <v>0</v>
          </cell>
          <cell r="AR132">
            <v>3000</v>
          </cell>
          <cell r="AS132">
            <v>386.58</v>
          </cell>
          <cell r="AT132">
            <v>-22.001000000000001</v>
          </cell>
          <cell r="AX132">
            <v>3000</v>
          </cell>
          <cell r="AY132">
            <v>386.58</v>
          </cell>
          <cell r="AZ132">
            <v>-22.001000000000001</v>
          </cell>
          <cell r="BA132">
            <v>-5.6911894045217037</v>
          </cell>
          <cell r="BF132">
            <v>3000</v>
          </cell>
          <cell r="BG132">
            <v>377.4</v>
          </cell>
          <cell r="BH132">
            <v>45.002000000000002</v>
          </cell>
          <cell r="BL132">
            <v>3000</v>
          </cell>
          <cell r="BM132">
            <v>377.4</v>
          </cell>
          <cell r="BN132">
            <v>61.057000000000002</v>
          </cell>
          <cell r="BR132">
            <v>4000</v>
          </cell>
          <cell r="BS132">
            <v>503.2</v>
          </cell>
          <cell r="BT132">
            <v>83.876000000000005</v>
          </cell>
          <cell r="BX132">
            <v>4000</v>
          </cell>
          <cell r="BY132">
            <v>503.2</v>
          </cell>
          <cell r="BZ132">
            <v>96.587000000000003</v>
          </cell>
          <cell r="CD132">
            <v>4000</v>
          </cell>
          <cell r="CE132">
            <v>503.2</v>
          </cell>
          <cell r="CF132">
            <v>93.691999999999993</v>
          </cell>
          <cell r="CJ132">
            <v>4000</v>
          </cell>
          <cell r="CK132">
            <v>503.2</v>
          </cell>
          <cell r="CL132">
            <v>103.255</v>
          </cell>
          <cell r="CP132">
            <v>22000</v>
          </cell>
          <cell r="CQ132">
            <v>2767.6</v>
          </cell>
          <cell r="CR132">
            <v>483.46899999999999</v>
          </cell>
          <cell r="CS132">
            <v>17.468890013007659</v>
          </cell>
          <cell r="CX132">
            <v>0</v>
          </cell>
          <cell r="CY132">
            <v>0</v>
          </cell>
          <cell r="CZ132">
            <v>0</v>
          </cell>
          <cell r="DA132">
            <v>0</v>
          </cell>
          <cell r="DF132">
            <v>3000</v>
          </cell>
          <cell r="DG132">
            <v>386.58</v>
          </cell>
          <cell r="DH132">
            <v>-22.001000000000001</v>
          </cell>
          <cell r="DI132">
            <v>-5.6911894045217037</v>
          </cell>
          <cell r="DN132">
            <v>10000</v>
          </cell>
          <cell r="DO132">
            <v>1258</v>
          </cell>
          <cell r="DP132">
            <v>189.935</v>
          </cell>
          <cell r="DQ132">
            <v>15.098171701112879</v>
          </cell>
          <cell r="DV132">
            <v>12000</v>
          </cell>
          <cell r="DW132">
            <v>1509.6</v>
          </cell>
          <cell r="DX132">
            <v>293.53399999999999</v>
          </cell>
          <cell r="DY132">
            <v>19.444488606253312</v>
          </cell>
        </row>
        <row r="133">
          <cell r="F133">
            <v>1411000</v>
          </cell>
          <cell r="G133">
            <v>124438.20813799999</v>
          </cell>
          <cell r="H133">
            <v>10367.167000000003</v>
          </cell>
          <cell r="I133">
            <v>8.3311766981592825</v>
          </cell>
          <cell r="N133">
            <v>89031</v>
          </cell>
          <cell r="O133">
            <v>7842.5427750000008</v>
          </cell>
          <cell r="P133">
            <v>62.045999999999985</v>
          </cell>
          <cell r="T133">
            <v>97491</v>
          </cell>
          <cell r="U133">
            <v>8605.0392309999988</v>
          </cell>
          <cell r="V133">
            <v>345.76900000000001</v>
          </cell>
          <cell r="Z133">
            <v>107346</v>
          </cell>
          <cell r="AA133">
            <v>9396.5841419999979</v>
          </cell>
          <cell r="AB133">
            <v>613.00300000000004</v>
          </cell>
          <cell r="AF133">
            <v>92986</v>
          </cell>
          <cell r="AG133">
            <v>8070.8027259999999</v>
          </cell>
          <cell r="AH133">
            <v>451.59099999999995</v>
          </cell>
          <cell r="AL133">
            <v>95886</v>
          </cell>
          <cell r="AM133">
            <v>8374.3210859999999</v>
          </cell>
          <cell r="AN133">
            <v>440.77600000000001</v>
          </cell>
          <cell r="AR133">
            <v>104806</v>
          </cell>
          <cell r="AS133">
            <v>9363.3625179999999</v>
          </cell>
          <cell r="AT133">
            <v>549.57099999999991</v>
          </cell>
          <cell r="AX133">
            <v>587546</v>
          </cell>
          <cell r="AY133">
            <v>51652.652478000018</v>
          </cell>
          <cell r="AZ133">
            <v>2462.7560000000003</v>
          </cell>
          <cell r="BA133">
            <v>4.7679177774054127</v>
          </cell>
          <cell r="BF133">
            <v>118793.5</v>
          </cell>
          <cell r="BG133">
            <v>10439.225324999999</v>
          </cell>
          <cell r="BH133">
            <v>731.31799999999998</v>
          </cell>
          <cell r="BL133">
            <v>128803.5</v>
          </cell>
          <cell r="BM133">
            <v>11344.320804999999</v>
          </cell>
          <cell r="BN133">
            <v>1130.9709999999998</v>
          </cell>
          <cell r="BR133">
            <v>143932.5</v>
          </cell>
          <cell r="BS133">
            <v>12738.024299000001</v>
          </cell>
          <cell r="BT133">
            <v>1409.021</v>
          </cell>
          <cell r="BX133">
            <v>158463.5</v>
          </cell>
          <cell r="BY133">
            <v>13985.431494999997</v>
          </cell>
          <cell r="BZ133">
            <v>1915.9580000000001</v>
          </cell>
          <cell r="CD133">
            <v>137812</v>
          </cell>
          <cell r="CE133">
            <v>12252.062266000003</v>
          </cell>
          <cell r="CF133">
            <v>1549.3509999999999</v>
          </cell>
          <cell r="CJ133">
            <v>135649</v>
          </cell>
          <cell r="CK133">
            <v>12026.491470000003</v>
          </cell>
          <cell r="CL133">
            <v>1167.7919999999999</v>
          </cell>
          <cell r="CP133">
            <v>823454</v>
          </cell>
          <cell r="CQ133">
            <v>72785.555660000013</v>
          </cell>
          <cell r="CR133">
            <v>7904.411000000001</v>
          </cell>
          <cell r="CS133">
            <v>10.859862136552932</v>
          </cell>
          <cell r="CX133">
            <v>293868</v>
          </cell>
          <cell r="CY133">
            <v>25844.166148</v>
          </cell>
          <cell r="CZ133">
            <v>1020.8180000000001</v>
          </cell>
          <cell r="DA133">
            <v>3.9498972191795714</v>
          </cell>
          <cell r="DF133">
            <v>293678</v>
          </cell>
          <cell r="DG133">
            <v>25808.486329999992</v>
          </cell>
          <cell r="DH133">
            <v>1441.9379999999999</v>
          </cell>
          <cell r="DI133">
            <v>5.5870692359198131</v>
          </cell>
          <cell r="DN133">
            <v>391529.5</v>
          </cell>
          <cell r="DO133">
            <v>34521.570429000007</v>
          </cell>
          <cell r="DP133">
            <v>3271.309999999999</v>
          </cell>
          <cell r="DQ133">
            <v>9.4761332098956892</v>
          </cell>
          <cell r="DV133">
            <v>431924.5</v>
          </cell>
          <cell r="DW133">
            <v>38263.985230999991</v>
          </cell>
          <cell r="DX133">
            <v>4633.1010000000006</v>
          </cell>
          <cell r="DY133">
            <v>12.108255248453426</v>
          </cell>
        </row>
        <row r="134">
          <cell r="F134">
            <v>0</v>
          </cell>
          <cell r="G134">
            <v>0</v>
          </cell>
          <cell r="H134">
            <v>0</v>
          </cell>
          <cell r="I134">
            <v>0</v>
          </cell>
          <cell r="AX134">
            <v>0</v>
          </cell>
          <cell r="AY134">
            <v>0</v>
          </cell>
          <cell r="AZ134">
            <v>0</v>
          </cell>
          <cell r="BA134">
            <v>0</v>
          </cell>
          <cell r="CP134">
            <v>0</v>
          </cell>
          <cell r="CQ134">
            <v>0</v>
          </cell>
          <cell r="CR134">
            <v>0</v>
          </cell>
          <cell r="CS134">
            <v>0</v>
          </cell>
          <cell r="CX134">
            <v>0</v>
          </cell>
          <cell r="CY134">
            <v>0</v>
          </cell>
          <cell r="CZ134">
            <v>0</v>
          </cell>
          <cell r="DA134">
            <v>0</v>
          </cell>
          <cell r="DF134">
            <v>0</v>
          </cell>
          <cell r="DG134">
            <v>0</v>
          </cell>
          <cell r="DH134">
            <v>0</v>
          </cell>
          <cell r="DI134">
            <v>0</v>
          </cell>
          <cell r="DN134">
            <v>0</v>
          </cell>
          <cell r="DO134">
            <v>0</v>
          </cell>
          <cell r="DP134">
            <v>0</v>
          </cell>
          <cell r="DQ134">
            <v>0</v>
          </cell>
          <cell r="DV134">
            <v>0</v>
          </cell>
          <cell r="DW134">
            <v>0</v>
          </cell>
          <cell r="DX134">
            <v>0</v>
          </cell>
          <cell r="DY134">
            <v>0</v>
          </cell>
        </row>
        <row r="135">
          <cell r="F135">
            <v>0</v>
          </cell>
          <cell r="G135">
            <v>0</v>
          </cell>
          <cell r="H135">
            <v>0</v>
          </cell>
          <cell r="I135">
            <v>0</v>
          </cell>
          <cell r="AX135">
            <v>0</v>
          </cell>
          <cell r="AY135">
            <v>0</v>
          </cell>
          <cell r="AZ135">
            <v>0</v>
          </cell>
          <cell r="BA135">
            <v>0</v>
          </cell>
          <cell r="CP135">
            <v>0</v>
          </cell>
          <cell r="CQ135">
            <v>0</v>
          </cell>
          <cell r="CR135">
            <v>0</v>
          </cell>
          <cell r="CS135">
            <v>0</v>
          </cell>
          <cell r="CX135">
            <v>0</v>
          </cell>
          <cell r="CY135">
            <v>0</v>
          </cell>
          <cell r="CZ135">
            <v>0</v>
          </cell>
          <cell r="DA135">
            <v>0</v>
          </cell>
          <cell r="DF135">
            <v>0</v>
          </cell>
          <cell r="DG135">
            <v>0</v>
          </cell>
          <cell r="DH135">
            <v>0</v>
          </cell>
          <cell r="DI135">
            <v>0</v>
          </cell>
          <cell r="DN135">
            <v>0</v>
          </cell>
          <cell r="DO135">
            <v>0</v>
          </cell>
          <cell r="DP135">
            <v>0</v>
          </cell>
          <cell r="DQ135">
            <v>0</v>
          </cell>
          <cell r="DV135">
            <v>0</v>
          </cell>
          <cell r="DW135">
            <v>0</v>
          </cell>
          <cell r="DX135">
            <v>0</v>
          </cell>
          <cell r="DY135">
            <v>0</v>
          </cell>
        </row>
        <row r="136">
          <cell r="F136">
            <v>0</v>
          </cell>
          <cell r="G136">
            <v>0</v>
          </cell>
          <cell r="H136">
            <v>0</v>
          </cell>
          <cell r="I136">
            <v>0</v>
          </cell>
          <cell r="N136">
            <v>0</v>
          </cell>
          <cell r="O136">
            <v>0</v>
          </cell>
          <cell r="P136">
            <v>0</v>
          </cell>
          <cell r="T136">
            <v>0</v>
          </cell>
          <cell r="U136">
            <v>0</v>
          </cell>
          <cell r="V136">
            <v>0</v>
          </cell>
          <cell r="Z136">
            <v>0</v>
          </cell>
          <cell r="AA136">
            <v>0</v>
          </cell>
          <cell r="AB136">
            <v>0</v>
          </cell>
          <cell r="AF136">
            <v>0</v>
          </cell>
          <cell r="AG136">
            <v>0</v>
          </cell>
          <cell r="AH136">
            <v>0</v>
          </cell>
          <cell r="AL136">
            <v>0</v>
          </cell>
          <cell r="AM136">
            <v>0</v>
          </cell>
          <cell r="AN136">
            <v>0</v>
          </cell>
          <cell r="AR136">
            <v>0</v>
          </cell>
          <cell r="AS136">
            <v>0</v>
          </cell>
          <cell r="AT136">
            <v>0</v>
          </cell>
          <cell r="AX136">
            <v>0</v>
          </cell>
          <cell r="AY136">
            <v>0</v>
          </cell>
          <cell r="AZ136">
            <v>0</v>
          </cell>
          <cell r="BA136">
            <v>0</v>
          </cell>
          <cell r="BF136">
            <v>0</v>
          </cell>
          <cell r="BG136">
            <v>0</v>
          </cell>
          <cell r="BH136">
            <v>0</v>
          </cell>
          <cell r="BL136">
            <v>0</v>
          </cell>
          <cell r="BM136">
            <v>0</v>
          </cell>
          <cell r="BN136">
            <v>0</v>
          </cell>
          <cell r="BR136">
            <v>0</v>
          </cell>
          <cell r="BS136">
            <v>0</v>
          </cell>
          <cell r="BT136">
            <v>0</v>
          </cell>
          <cell r="BX136">
            <v>0</v>
          </cell>
          <cell r="BY136">
            <v>0</v>
          </cell>
          <cell r="BZ136">
            <v>0</v>
          </cell>
          <cell r="CD136">
            <v>0</v>
          </cell>
          <cell r="CE136">
            <v>0</v>
          </cell>
          <cell r="CF136">
            <v>0</v>
          </cell>
          <cell r="CJ136">
            <v>0</v>
          </cell>
          <cell r="CK136">
            <v>0</v>
          </cell>
          <cell r="CL136">
            <v>0</v>
          </cell>
          <cell r="CP136">
            <v>0</v>
          </cell>
          <cell r="CQ136">
            <v>0</v>
          </cell>
          <cell r="CR136">
            <v>0</v>
          </cell>
          <cell r="CS136">
            <v>0</v>
          </cell>
          <cell r="CX136">
            <v>0</v>
          </cell>
          <cell r="CY136">
            <v>0</v>
          </cell>
          <cell r="CZ136">
            <v>0</v>
          </cell>
          <cell r="DA136">
            <v>0</v>
          </cell>
          <cell r="DF136">
            <v>0</v>
          </cell>
          <cell r="DG136">
            <v>0</v>
          </cell>
          <cell r="DH136">
            <v>0</v>
          </cell>
          <cell r="DI136">
            <v>0</v>
          </cell>
          <cell r="DN136">
            <v>0</v>
          </cell>
          <cell r="DO136">
            <v>0</v>
          </cell>
          <cell r="DP136">
            <v>0</v>
          </cell>
          <cell r="DQ136">
            <v>0</v>
          </cell>
          <cell r="DV136">
            <v>0</v>
          </cell>
          <cell r="DW136">
            <v>0</v>
          </cell>
          <cell r="DX136">
            <v>0</v>
          </cell>
          <cell r="DY136">
            <v>0</v>
          </cell>
        </row>
        <row r="137">
          <cell r="F137">
            <v>0</v>
          </cell>
          <cell r="G137">
            <v>0</v>
          </cell>
          <cell r="H137">
            <v>0</v>
          </cell>
          <cell r="I137">
            <v>0</v>
          </cell>
          <cell r="N137">
            <v>0</v>
          </cell>
          <cell r="O137">
            <v>0</v>
          </cell>
          <cell r="T137">
            <v>0</v>
          </cell>
          <cell r="U137">
            <v>0</v>
          </cell>
          <cell r="Z137">
            <v>0</v>
          </cell>
          <cell r="AA137">
            <v>0</v>
          </cell>
          <cell r="AF137">
            <v>0</v>
          </cell>
          <cell r="AG137">
            <v>0</v>
          </cell>
          <cell r="AL137">
            <v>0</v>
          </cell>
          <cell r="AM137">
            <v>0</v>
          </cell>
          <cell r="AR137">
            <v>0</v>
          </cell>
          <cell r="AS137">
            <v>0</v>
          </cell>
          <cell r="AX137">
            <v>0</v>
          </cell>
          <cell r="AY137">
            <v>0</v>
          </cell>
          <cell r="AZ137">
            <v>0</v>
          </cell>
          <cell r="BA137">
            <v>0</v>
          </cell>
          <cell r="BF137">
            <v>0</v>
          </cell>
          <cell r="BG137">
            <v>0</v>
          </cell>
          <cell r="BL137">
            <v>0</v>
          </cell>
          <cell r="BM137">
            <v>0</v>
          </cell>
          <cell r="BR137">
            <v>0</v>
          </cell>
          <cell r="BS137">
            <v>0</v>
          </cell>
          <cell r="BX137">
            <v>0</v>
          </cell>
          <cell r="BY137">
            <v>0</v>
          </cell>
          <cell r="CD137">
            <v>0</v>
          </cell>
          <cell r="CE137">
            <v>0</v>
          </cell>
          <cell r="CJ137">
            <v>0</v>
          </cell>
          <cell r="CK137">
            <v>0</v>
          </cell>
          <cell r="CP137">
            <v>0</v>
          </cell>
          <cell r="CQ137">
            <v>0</v>
          </cell>
          <cell r="CR137">
            <v>0</v>
          </cell>
          <cell r="CS137">
            <v>0</v>
          </cell>
          <cell r="CX137">
            <v>0</v>
          </cell>
          <cell r="CY137">
            <v>0</v>
          </cell>
          <cell r="CZ137">
            <v>0</v>
          </cell>
          <cell r="DA137">
            <v>0</v>
          </cell>
          <cell r="DF137">
            <v>0</v>
          </cell>
          <cell r="DG137">
            <v>0</v>
          </cell>
          <cell r="DH137">
            <v>0</v>
          </cell>
          <cell r="DI137">
            <v>0</v>
          </cell>
          <cell r="DN137">
            <v>0</v>
          </cell>
          <cell r="DO137">
            <v>0</v>
          </cell>
          <cell r="DP137">
            <v>0</v>
          </cell>
          <cell r="DQ137">
            <v>0</v>
          </cell>
          <cell r="DV137">
            <v>0</v>
          </cell>
          <cell r="DW137">
            <v>0</v>
          </cell>
          <cell r="DX137">
            <v>0</v>
          </cell>
          <cell r="DY137">
            <v>0</v>
          </cell>
        </row>
        <row r="138">
          <cell r="F138">
            <v>0</v>
          </cell>
          <cell r="G138">
            <v>0</v>
          </cell>
          <cell r="H138">
            <v>0</v>
          </cell>
          <cell r="I138">
            <v>0</v>
          </cell>
          <cell r="N138">
            <v>0</v>
          </cell>
          <cell r="O138">
            <v>0</v>
          </cell>
          <cell r="T138">
            <v>0</v>
          </cell>
          <cell r="U138">
            <v>0</v>
          </cell>
          <cell r="Z138">
            <v>0</v>
          </cell>
          <cell r="AA138">
            <v>0</v>
          </cell>
          <cell r="AF138">
            <v>0</v>
          </cell>
          <cell r="AG138">
            <v>0</v>
          </cell>
          <cell r="AL138">
            <v>0</v>
          </cell>
          <cell r="AM138">
            <v>0</v>
          </cell>
          <cell r="AR138">
            <v>0</v>
          </cell>
          <cell r="AS138">
            <v>0</v>
          </cell>
          <cell r="AX138">
            <v>0</v>
          </cell>
          <cell r="AY138">
            <v>0</v>
          </cell>
          <cell r="AZ138">
            <v>0</v>
          </cell>
          <cell r="BA138">
            <v>0</v>
          </cell>
          <cell r="BF138">
            <v>0</v>
          </cell>
          <cell r="BG138">
            <v>0</v>
          </cell>
          <cell r="BL138">
            <v>0</v>
          </cell>
          <cell r="BM138">
            <v>0</v>
          </cell>
          <cell r="BR138">
            <v>0</v>
          </cell>
          <cell r="BS138">
            <v>0</v>
          </cell>
          <cell r="BX138">
            <v>0</v>
          </cell>
          <cell r="BY138">
            <v>0</v>
          </cell>
          <cell r="CD138">
            <v>0</v>
          </cell>
          <cell r="CE138">
            <v>0</v>
          </cell>
          <cell r="CJ138">
            <v>0</v>
          </cell>
          <cell r="CK138">
            <v>0</v>
          </cell>
          <cell r="CP138">
            <v>0</v>
          </cell>
          <cell r="CQ138">
            <v>0</v>
          </cell>
          <cell r="CR138">
            <v>0</v>
          </cell>
          <cell r="CS138">
            <v>0</v>
          </cell>
          <cell r="CX138">
            <v>0</v>
          </cell>
          <cell r="CY138">
            <v>0</v>
          </cell>
          <cell r="CZ138">
            <v>0</v>
          </cell>
          <cell r="DA138">
            <v>0</v>
          </cell>
          <cell r="DF138">
            <v>0</v>
          </cell>
          <cell r="DG138">
            <v>0</v>
          </cell>
          <cell r="DH138">
            <v>0</v>
          </cell>
          <cell r="DI138">
            <v>0</v>
          </cell>
          <cell r="DN138">
            <v>0</v>
          </cell>
          <cell r="DO138">
            <v>0</v>
          </cell>
          <cell r="DP138">
            <v>0</v>
          </cell>
          <cell r="DQ138">
            <v>0</v>
          </cell>
          <cell r="DV138">
            <v>0</v>
          </cell>
          <cell r="DW138">
            <v>0</v>
          </cell>
          <cell r="DX138">
            <v>0</v>
          </cell>
          <cell r="DY138">
            <v>0</v>
          </cell>
        </row>
        <row r="139">
          <cell r="F139">
            <v>0</v>
          </cell>
          <cell r="G139">
            <v>0</v>
          </cell>
          <cell r="H139">
            <v>0</v>
          </cell>
          <cell r="I139">
            <v>0</v>
          </cell>
          <cell r="N139">
            <v>0</v>
          </cell>
          <cell r="O139">
            <v>0</v>
          </cell>
          <cell r="P139">
            <v>0</v>
          </cell>
          <cell r="T139">
            <v>0</v>
          </cell>
          <cell r="U139">
            <v>0</v>
          </cell>
          <cell r="V139">
            <v>0</v>
          </cell>
          <cell r="Z139">
            <v>0</v>
          </cell>
          <cell r="AA139">
            <v>0</v>
          </cell>
          <cell r="AB139">
            <v>0</v>
          </cell>
          <cell r="AF139">
            <v>0</v>
          </cell>
          <cell r="AG139">
            <v>0</v>
          </cell>
          <cell r="AH139">
            <v>0</v>
          </cell>
          <cell r="AL139">
            <v>0</v>
          </cell>
          <cell r="AM139">
            <v>0</v>
          </cell>
          <cell r="AN139">
            <v>0</v>
          </cell>
          <cell r="AR139">
            <v>0</v>
          </cell>
          <cell r="AS139">
            <v>0</v>
          </cell>
          <cell r="AT139">
            <v>0</v>
          </cell>
          <cell r="AX139">
            <v>0</v>
          </cell>
          <cell r="AY139">
            <v>0</v>
          </cell>
          <cell r="AZ139">
            <v>0</v>
          </cell>
          <cell r="BA139">
            <v>0</v>
          </cell>
          <cell r="BF139">
            <v>0</v>
          </cell>
          <cell r="BG139">
            <v>0</v>
          </cell>
          <cell r="BH139">
            <v>0</v>
          </cell>
          <cell r="BL139">
            <v>0</v>
          </cell>
          <cell r="BM139">
            <v>0</v>
          </cell>
          <cell r="BN139">
            <v>0</v>
          </cell>
          <cell r="BR139">
            <v>0</v>
          </cell>
          <cell r="BS139">
            <v>0</v>
          </cell>
          <cell r="BT139">
            <v>0</v>
          </cell>
          <cell r="BX139">
            <v>0</v>
          </cell>
          <cell r="BY139">
            <v>0</v>
          </cell>
          <cell r="BZ139">
            <v>0</v>
          </cell>
          <cell r="CD139">
            <v>0</v>
          </cell>
          <cell r="CE139">
            <v>0</v>
          </cell>
          <cell r="CF139">
            <v>0</v>
          </cell>
          <cell r="CJ139">
            <v>0</v>
          </cell>
          <cell r="CK139">
            <v>0</v>
          </cell>
          <cell r="CL139">
            <v>0</v>
          </cell>
          <cell r="CP139">
            <v>0</v>
          </cell>
          <cell r="CQ139">
            <v>0</v>
          </cell>
          <cell r="CR139">
            <v>0</v>
          </cell>
          <cell r="CS139">
            <v>0</v>
          </cell>
          <cell r="CX139">
            <v>0</v>
          </cell>
          <cell r="CY139">
            <v>0</v>
          </cell>
          <cell r="CZ139">
            <v>0</v>
          </cell>
          <cell r="DA139">
            <v>0</v>
          </cell>
          <cell r="DF139">
            <v>0</v>
          </cell>
          <cell r="DG139">
            <v>0</v>
          </cell>
          <cell r="DH139">
            <v>0</v>
          </cell>
          <cell r="DI139">
            <v>0</v>
          </cell>
          <cell r="DN139">
            <v>0</v>
          </cell>
          <cell r="DO139">
            <v>0</v>
          </cell>
          <cell r="DP139">
            <v>0</v>
          </cell>
          <cell r="DQ139">
            <v>0</v>
          </cell>
          <cell r="DV139">
            <v>0</v>
          </cell>
          <cell r="DW139">
            <v>0</v>
          </cell>
          <cell r="DX139">
            <v>0</v>
          </cell>
          <cell r="DY139">
            <v>0</v>
          </cell>
        </row>
        <row r="140">
          <cell r="F140">
            <v>0</v>
          </cell>
          <cell r="G140">
            <v>0</v>
          </cell>
          <cell r="H140">
            <v>0</v>
          </cell>
          <cell r="I140">
            <v>0</v>
          </cell>
          <cell r="AX140">
            <v>0</v>
          </cell>
          <cell r="AY140">
            <v>0</v>
          </cell>
          <cell r="AZ140">
            <v>0</v>
          </cell>
          <cell r="BA140">
            <v>0</v>
          </cell>
          <cell r="CP140">
            <v>0</v>
          </cell>
          <cell r="CQ140">
            <v>0</v>
          </cell>
          <cell r="CR140">
            <v>0</v>
          </cell>
          <cell r="CS140">
            <v>0</v>
          </cell>
          <cell r="CX140">
            <v>0</v>
          </cell>
          <cell r="CY140">
            <v>0</v>
          </cell>
          <cell r="CZ140">
            <v>0</v>
          </cell>
          <cell r="DA140">
            <v>0</v>
          </cell>
          <cell r="DF140">
            <v>0</v>
          </cell>
          <cell r="DG140">
            <v>0</v>
          </cell>
          <cell r="DH140">
            <v>0</v>
          </cell>
          <cell r="DI140">
            <v>0</v>
          </cell>
          <cell r="DN140">
            <v>0</v>
          </cell>
          <cell r="DO140">
            <v>0</v>
          </cell>
          <cell r="DP140">
            <v>0</v>
          </cell>
          <cell r="DQ140">
            <v>0</v>
          </cell>
          <cell r="DV140">
            <v>0</v>
          </cell>
          <cell r="DW140">
            <v>0</v>
          </cell>
          <cell r="DX140">
            <v>0</v>
          </cell>
          <cell r="DY140">
            <v>0</v>
          </cell>
        </row>
        <row r="141">
          <cell r="F141">
            <v>1616000</v>
          </cell>
          <cell r="G141">
            <v>130925.55038099999</v>
          </cell>
          <cell r="H141">
            <v>10098.824000000002</v>
          </cell>
          <cell r="I141">
            <v>7.7134096214313494</v>
          </cell>
          <cell r="N141">
            <v>100706</v>
          </cell>
          <cell r="O141">
            <v>8212.2431383000003</v>
          </cell>
          <cell r="P141">
            <v>12.706999999999987</v>
          </cell>
          <cell r="T141">
            <v>110966</v>
          </cell>
          <cell r="U141">
            <v>9044.2481942999984</v>
          </cell>
          <cell r="V141">
            <v>319.363</v>
          </cell>
          <cell r="Z141">
            <v>122696</v>
          </cell>
          <cell r="AA141">
            <v>9893.4248685999974</v>
          </cell>
          <cell r="AB141">
            <v>584.34100000000001</v>
          </cell>
          <cell r="AF141">
            <v>108186</v>
          </cell>
          <cell r="AG141">
            <v>8554.3784525999999</v>
          </cell>
          <cell r="AH141">
            <v>424.87899999999996</v>
          </cell>
          <cell r="AL141">
            <v>111086</v>
          </cell>
          <cell r="AM141">
            <v>8857.8968126</v>
          </cell>
          <cell r="AN141">
            <v>416.56200000000001</v>
          </cell>
          <cell r="AR141">
            <v>120456</v>
          </cell>
          <cell r="AS141">
            <v>9866.0398445999999</v>
          </cell>
          <cell r="AT141">
            <v>531.43499999999995</v>
          </cell>
          <cell r="AX141">
            <v>674096</v>
          </cell>
          <cell r="AY141">
            <v>54428.231311000018</v>
          </cell>
          <cell r="AZ141">
            <v>2289.2870000000003</v>
          </cell>
          <cell r="BA141">
            <v>4.2060653908063559</v>
          </cell>
          <cell r="BF141">
            <v>136231</v>
          </cell>
          <cell r="BG141">
            <v>10980.1612365</v>
          </cell>
          <cell r="BH141">
            <v>702.93999999999994</v>
          </cell>
          <cell r="BL141">
            <v>148591</v>
          </cell>
          <cell r="BM141">
            <v>11967.100716499999</v>
          </cell>
          <cell r="BN141">
            <v>1111.6999999999998</v>
          </cell>
          <cell r="BR141">
            <v>164305</v>
          </cell>
          <cell r="BS141">
            <v>13377.6065987</v>
          </cell>
          <cell r="BT141">
            <v>1390.7369999999999</v>
          </cell>
          <cell r="BX141">
            <v>180951</v>
          </cell>
          <cell r="BY141">
            <v>14682.899347499997</v>
          </cell>
          <cell r="BZ141">
            <v>1911.095</v>
          </cell>
          <cell r="CD141">
            <v>158252</v>
          </cell>
          <cell r="CE141">
            <v>12890.721759800002</v>
          </cell>
          <cell r="CF141">
            <v>1536.7339999999999</v>
          </cell>
          <cell r="CJ141">
            <v>153574</v>
          </cell>
          <cell r="CK141">
            <v>12598.829411000002</v>
          </cell>
          <cell r="CL141">
            <v>1156.3309999999999</v>
          </cell>
          <cell r="CP141">
            <v>941904</v>
          </cell>
          <cell r="CQ141">
            <v>76497.319070000012</v>
          </cell>
          <cell r="CR141">
            <v>7809.5370000000012</v>
          </cell>
          <cell r="CS141">
            <v>10.208902867372082</v>
          </cell>
          <cell r="CX141">
            <v>334368</v>
          </cell>
          <cell r="CY141">
            <v>27149.916201200002</v>
          </cell>
          <cell r="CZ141">
            <v>916.41100000000006</v>
          </cell>
          <cell r="DA141">
            <v>3.3753732173931925</v>
          </cell>
          <cell r="DF141">
            <v>339728</v>
          </cell>
          <cell r="DG141">
            <v>27278.315109799991</v>
          </cell>
          <cell r="DH141">
            <v>1372.8759999999997</v>
          </cell>
          <cell r="DI141">
            <v>5.0328474998325001</v>
          </cell>
          <cell r="DN141">
            <v>449127</v>
          </cell>
          <cell r="DO141">
            <v>36324.868551700005</v>
          </cell>
          <cell r="DP141">
            <v>3205.376999999999</v>
          </cell>
          <cell r="DQ141">
            <v>8.8241943544486325</v>
          </cell>
          <cell r="DV141">
            <v>492777</v>
          </cell>
          <cell r="DW141">
            <v>40172.450518299993</v>
          </cell>
          <cell r="DX141">
            <v>4604.1600000000008</v>
          </cell>
          <cell r="DY141">
            <v>11.460988664116073</v>
          </cell>
        </row>
        <row r="142">
          <cell r="F142">
            <v>75380</v>
          </cell>
          <cell r="G142">
            <v>1609.9449999999997</v>
          </cell>
          <cell r="H142">
            <v>203.49099999999999</v>
          </cell>
          <cell r="I142">
            <v>12.63962433499281</v>
          </cell>
          <cell r="N142">
            <v>4800</v>
          </cell>
          <cell r="O142">
            <v>101.6478</v>
          </cell>
          <cell r="P142">
            <v>10.705</v>
          </cell>
          <cell r="T142">
            <v>5300</v>
          </cell>
          <cell r="U142">
            <v>113.43469999999999</v>
          </cell>
          <cell r="V142">
            <v>12.343</v>
          </cell>
          <cell r="Z142">
            <v>4800</v>
          </cell>
          <cell r="AA142">
            <v>101.6478</v>
          </cell>
          <cell r="AB142">
            <v>10.696999999999999</v>
          </cell>
          <cell r="AF142">
            <v>8800</v>
          </cell>
          <cell r="AG142">
            <v>204.73580000000001</v>
          </cell>
          <cell r="AH142">
            <v>38.192999999999998</v>
          </cell>
          <cell r="AL142">
            <v>4800</v>
          </cell>
          <cell r="AM142">
            <v>101.6478</v>
          </cell>
          <cell r="AN142">
            <v>10.696999999999999</v>
          </cell>
          <cell r="AR142">
            <v>4620</v>
          </cell>
          <cell r="AS142">
            <v>96.152299999999997</v>
          </cell>
          <cell r="AT142">
            <v>11.074</v>
          </cell>
          <cell r="AX142">
            <v>33120</v>
          </cell>
          <cell r="AY142">
            <v>719.26619999999991</v>
          </cell>
          <cell r="AZ142">
            <v>93.709000000000003</v>
          </cell>
          <cell r="BA142">
            <v>13.028417017232286</v>
          </cell>
          <cell r="BF142">
            <v>5300</v>
          </cell>
          <cell r="BG142">
            <v>106.264</v>
          </cell>
          <cell r="BH142">
            <v>8.8119999999999994</v>
          </cell>
          <cell r="BL142">
            <v>5300</v>
          </cell>
          <cell r="BM142">
            <v>106.264</v>
          </cell>
          <cell r="BN142">
            <v>8.82</v>
          </cell>
          <cell r="BR142">
            <v>14137</v>
          </cell>
          <cell r="BS142">
            <v>324.11629999999997</v>
          </cell>
          <cell r="BT142">
            <v>60.786000000000001</v>
          </cell>
          <cell r="BX142">
            <v>5600</v>
          </cell>
          <cell r="BY142">
            <v>110.482</v>
          </cell>
          <cell r="BZ142">
            <v>9.0890000000000004</v>
          </cell>
          <cell r="CD142">
            <v>5300</v>
          </cell>
          <cell r="CE142">
            <v>106.264</v>
          </cell>
          <cell r="CF142">
            <v>8.8119999999999994</v>
          </cell>
          <cell r="CJ142">
            <v>6623</v>
          </cell>
          <cell r="CK142">
            <v>137.2885</v>
          </cell>
          <cell r="CL142">
            <v>13.462999999999999</v>
          </cell>
          <cell r="CP142">
            <v>42260</v>
          </cell>
          <cell r="CQ142">
            <v>890.67879999999991</v>
          </cell>
          <cell r="CR142">
            <v>109.782</v>
          </cell>
          <cell r="CS142">
            <v>12.325655443915361</v>
          </cell>
          <cell r="CX142">
            <v>14900</v>
          </cell>
          <cell r="CY142">
            <v>316.7303</v>
          </cell>
          <cell r="CZ142">
            <v>33.745000000000005</v>
          </cell>
          <cell r="DA142">
            <v>10.654174861072656</v>
          </cell>
          <cell r="DF142">
            <v>18220</v>
          </cell>
          <cell r="DG142">
            <v>402.53589999999997</v>
          </cell>
          <cell r="DH142">
            <v>59.963999999999999</v>
          </cell>
          <cell r="DI142">
            <v>14.896559536677351</v>
          </cell>
          <cell r="DN142">
            <v>24737</v>
          </cell>
          <cell r="DO142">
            <v>536.64429999999993</v>
          </cell>
          <cell r="DP142">
            <v>78.418000000000006</v>
          </cell>
          <cell r="DQ142">
            <v>14.612658701489984</v>
          </cell>
          <cell r="DV142">
            <v>17523</v>
          </cell>
          <cell r="DW142">
            <v>354.03449999999998</v>
          </cell>
          <cell r="DX142">
            <v>31.363999999999997</v>
          </cell>
          <cell r="DY142">
            <v>8.8590236262285167</v>
          </cell>
        </row>
        <row r="143">
          <cell r="F143">
            <v>0</v>
          </cell>
          <cell r="G143">
            <v>14849.68</v>
          </cell>
          <cell r="H143">
            <v>3160.3109999999997</v>
          </cell>
          <cell r="I143">
            <v>21.282014157880841</v>
          </cell>
          <cell r="O143">
            <v>1262.3610000000001</v>
          </cell>
          <cell r="P143">
            <v>199.696</v>
          </cell>
          <cell r="U143">
            <v>1247.3329999999999</v>
          </cell>
          <cell r="V143">
            <v>204.28899999999999</v>
          </cell>
          <cell r="AA143">
            <v>1247.3329999999999</v>
          </cell>
          <cell r="AB143">
            <v>213.59200000000001</v>
          </cell>
          <cell r="AG143">
            <v>1262.3610000000001</v>
          </cell>
          <cell r="AH143">
            <v>211.678</v>
          </cell>
          <cell r="AM143">
            <v>1247.3329999999999</v>
          </cell>
          <cell r="AN143">
            <v>211.50699999999998</v>
          </cell>
          <cell r="AS143">
            <v>1247.3329999999999</v>
          </cell>
          <cell r="AT143">
            <v>219.84799999999998</v>
          </cell>
          <cell r="AX143">
            <v>0</v>
          </cell>
          <cell r="AY143">
            <v>7514.0539999999992</v>
          </cell>
          <cell r="AZ143">
            <v>1260.6099999999997</v>
          </cell>
          <cell r="BA143">
            <v>16.776696041843721</v>
          </cell>
          <cell r="BG143">
            <v>1232.385</v>
          </cell>
          <cell r="BH143">
            <v>314.98</v>
          </cell>
          <cell r="BM143">
            <v>1217.7139999999999</v>
          </cell>
          <cell r="BN143">
            <v>313.08799999999997</v>
          </cell>
          <cell r="BS143">
            <v>1217.7139999999999</v>
          </cell>
          <cell r="BT143">
            <v>313.86700000000002</v>
          </cell>
          <cell r="BY143">
            <v>1232.385</v>
          </cell>
          <cell r="BZ143">
            <v>321.63499999999999</v>
          </cell>
          <cell r="CE143">
            <v>1217.7139999999999</v>
          </cell>
          <cell r="CF143">
            <v>316.09100000000001</v>
          </cell>
          <cell r="CK143">
            <v>1217.7139999999999</v>
          </cell>
          <cell r="CL143">
            <v>320.04000000000002</v>
          </cell>
          <cell r="CP143">
            <v>0</v>
          </cell>
          <cell r="CQ143">
            <v>7335.6260000000002</v>
          </cell>
          <cell r="CR143">
            <v>1899.701</v>
          </cell>
          <cell r="CS143">
            <v>25.896917318303853</v>
          </cell>
          <cell r="CX143">
            <v>0</v>
          </cell>
          <cell r="CY143">
            <v>3757.027</v>
          </cell>
          <cell r="CZ143">
            <v>617.577</v>
          </cell>
          <cell r="DA143">
            <v>16.437917534263129</v>
          </cell>
          <cell r="DF143">
            <v>0</v>
          </cell>
          <cell r="DG143">
            <v>3757.027</v>
          </cell>
          <cell r="DH143">
            <v>643.0329999999999</v>
          </cell>
          <cell r="DI143">
            <v>17.115474549424317</v>
          </cell>
          <cell r="DN143">
            <v>0</v>
          </cell>
          <cell r="DO143">
            <v>3667.8130000000001</v>
          </cell>
          <cell r="DP143">
            <v>941.93499999999995</v>
          </cell>
          <cell r="DQ143">
            <v>25.681107515568542</v>
          </cell>
          <cell r="DV143">
            <v>0</v>
          </cell>
          <cell r="DW143">
            <v>3667.8130000000001</v>
          </cell>
          <cell r="DX143">
            <v>957.76600000000008</v>
          </cell>
          <cell r="DY143">
            <v>26.112727121039157</v>
          </cell>
        </row>
        <row r="144">
          <cell r="F144">
            <v>0</v>
          </cell>
          <cell r="G144">
            <v>11978.117999999999</v>
          </cell>
          <cell r="H144">
            <v>1399.5530000000003</v>
          </cell>
          <cell r="I144">
            <v>11.684247892699009</v>
          </cell>
          <cell r="O144">
            <v>425.80699999999979</v>
          </cell>
          <cell r="P144">
            <v>34.009000000000015</v>
          </cell>
          <cell r="U144">
            <v>425.80700000000002</v>
          </cell>
          <cell r="V144">
            <v>37.194000000000017</v>
          </cell>
          <cell r="AA144">
            <v>851.61300000000006</v>
          </cell>
          <cell r="AB144">
            <v>90.107999999999976</v>
          </cell>
          <cell r="AG144">
            <v>851.6129999999996</v>
          </cell>
          <cell r="AH144">
            <v>85.373000000000047</v>
          </cell>
          <cell r="AM144">
            <v>851.61300000000006</v>
          </cell>
          <cell r="AN144">
            <v>98.433000000000021</v>
          </cell>
          <cell r="AS144">
            <v>851.61300000000006</v>
          </cell>
          <cell r="AT144">
            <v>103.69200000000004</v>
          </cell>
          <cell r="AX144">
            <v>0</v>
          </cell>
          <cell r="AY144">
            <v>4258.0659999999998</v>
          </cell>
          <cell r="AZ144">
            <v>448.80900000000014</v>
          </cell>
          <cell r="BA144">
            <v>10.540207690533688</v>
          </cell>
          <cell r="BG144">
            <v>1158.008</v>
          </cell>
          <cell r="BH144">
            <v>127.06900000000002</v>
          </cell>
          <cell r="BM144">
            <v>1158.0079999999998</v>
          </cell>
          <cell r="BN144">
            <v>138.79600000000005</v>
          </cell>
          <cell r="BS144">
            <v>1312.4090000000001</v>
          </cell>
          <cell r="BT144">
            <v>148.947</v>
          </cell>
          <cell r="BY144">
            <v>1930.0130000000001</v>
          </cell>
          <cell r="BZ144">
            <v>257.48500000000001</v>
          </cell>
          <cell r="CE144">
            <v>1389.6090000000004</v>
          </cell>
          <cell r="CF144">
            <v>183.34800000000007</v>
          </cell>
          <cell r="CK144">
            <v>772.005</v>
          </cell>
          <cell r="CL144">
            <v>95.09899999999999</v>
          </cell>
          <cell r="CP144">
            <v>0</v>
          </cell>
          <cell r="CQ144">
            <v>7720.0519999999997</v>
          </cell>
          <cell r="CR144">
            <v>950.74400000000014</v>
          </cell>
          <cell r="CS144">
            <v>12.315253835077797</v>
          </cell>
          <cell r="CX144">
            <v>0</v>
          </cell>
          <cell r="CY144">
            <v>1703.2269999999999</v>
          </cell>
          <cell r="CZ144">
            <v>161.31100000000001</v>
          </cell>
          <cell r="DA144">
            <v>9.4709043480405146</v>
          </cell>
          <cell r="DF144">
            <v>0</v>
          </cell>
          <cell r="DG144">
            <v>2554.8389999999999</v>
          </cell>
          <cell r="DH144">
            <v>287.4980000000001</v>
          </cell>
          <cell r="DI144">
            <v>11.253077004069537</v>
          </cell>
          <cell r="DN144">
            <v>0</v>
          </cell>
          <cell r="DO144">
            <v>3628.4249999999997</v>
          </cell>
          <cell r="DP144">
            <v>414.81200000000007</v>
          </cell>
          <cell r="DQ144">
            <v>11.432288113988855</v>
          </cell>
          <cell r="DV144">
            <v>0</v>
          </cell>
          <cell r="DW144">
            <v>4091.6270000000004</v>
          </cell>
          <cell r="DX144">
            <v>535.93200000000002</v>
          </cell>
          <cell r="DY144">
            <v>13.098261400660421</v>
          </cell>
        </row>
        <row r="145">
          <cell r="F145">
            <v>0</v>
          </cell>
          <cell r="G145">
            <v>26827.797999999999</v>
          </cell>
          <cell r="H145">
            <v>4559.8639999999996</v>
          </cell>
          <cell r="I145">
            <v>16.996788182168359</v>
          </cell>
          <cell r="N145">
            <v>0</v>
          </cell>
          <cell r="O145">
            <v>1688.1679999999999</v>
          </cell>
          <cell r="P145">
            <v>233.70500000000001</v>
          </cell>
          <cell r="T145">
            <v>0</v>
          </cell>
          <cell r="U145">
            <v>1673.1399999999999</v>
          </cell>
          <cell r="V145">
            <v>241.483</v>
          </cell>
          <cell r="Z145">
            <v>0</v>
          </cell>
          <cell r="AA145">
            <v>2098.9459999999999</v>
          </cell>
          <cell r="AB145">
            <v>303.7</v>
          </cell>
          <cell r="AF145">
            <v>0</v>
          </cell>
          <cell r="AG145">
            <v>2113.9739999999997</v>
          </cell>
          <cell r="AH145">
            <v>297.05100000000004</v>
          </cell>
          <cell r="AL145">
            <v>0</v>
          </cell>
          <cell r="AM145">
            <v>2098.9459999999999</v>
          </cell>
          <cell r="AN145">
            <v>309.94</v>
          </cell>
          <cell r="AR145">
            <v>0</v>
          </cell>
          <cell r="AS145">
            <v>2098.9459999999999</v>
          </cell>
          <cell r="AT145">
            <v>323.54000000000002</v>
          </cell>
          <cell r="AX145">
            <v>0</v>
          </cell>
          <cell r="AY145">
            <v>11772.119999999999</v>
          </cell>
          <cell r="AZ145">
            <v>1709.4189999999999</v>
          </cell>
          <cell r="BA145">
            <v>14.520910422251898</v>
          </cell>
          <cell r="BF145">
            <v>0</v>
          </cell>
          <cell r="BG145">
            <v>2390.393</v>
          </cell>
          <cell r="BH145">
            <v>442.04900000000004</v>
          </cell>
          <cell r="BL145">
            <v>0</v>
          </cell>
          <cell r="BM145">
            <v>2375.7219999999998</v>
          </cell>
          <cell r="BN145">
            <v>451.88400000000001</v>
          </cell>
          <cell r="BR145">
            <v>0</v>
          </cell>
          <cell r="BS145">
            <v>2530.123</v>
          </cell>
          <cell r="BT145">
            <v>462.81400000000002</v>
          </cell>
          <cell r="BX145">
            <v>0</v>
          </cell>
          <cell r="BY145">
            <v>3162.3980000000001</v>
          </cell>
          <cell r="BZ145">
            <v>579.12</v>
          </cell>
          <cell r="CD145">
            <v>0</v>
          </cell>
          <cell r="CE145">
            <v>2607.3230000000003</v>
          </cell>
          <cell r="CF145">
            <v>499.43900000000008</v>
          </cell>
          <cell r="CJ145">
            <v>0</v>
          </cell>
          <cell r="CK145">
            <v>1989.7190000000001</v>
          </cell>
          <cell r="CL145">
            <v>415.13900000000001</v>
          </cell>
          <cell r="CP145">
            <v>0</v>
          </cell>
          <cell r="CQ145">
            <v>15055.678</v>
          </cell>
          <cell r="CR145">
            <v>2850.4450000000002</v>
          </cell>
          <cell r="CS145">
            <v>18.932691041878023</v>
          </cell>
          <cell r="CX145">
            <v>0</v>
          </cell>
          <cell r="CY145">
            <v>5460.2539999999999</v>
          </cell>
          <cell r="CZ145">
            <v>778.88800000000003</v>
          </cell>
          <cell r="DA145">
            <v>14.264684390140092</v>
          </cell>
          <cell r="DF145">
            <v>0</v>
          </cell>
          <cell r="DG145">
            <v>6311.866</v>
          </cell>
          <cell r="DH145">
            <v>930.53099999999995</v>
          </cell>
          <cell r="DI145">
            <v>14.742565827601537</v>
          </cell>
          <cell r="DN145">
            <v>0</v>
          </cell>
          <cell r="DO145">
            <v>7296.2379999999994</v>
          </cell>
          <cell r="DP145">
            <v>1356.7470000000001</v>
          </cell>
          <cell r="DQ145">
            <v>18.595158217152459</v>
          </cell>
          <cell r="DV145">
            <v>0</v>
          </cell>
          <cell r="DW145">
            <v>7759.4400000000005</v>
          </cell>
          <cell r="DX145">
            <v>1493.6980000000001</v>
          </cell>
          <cell r="DY145">
            <v>19.2500747476622</v>
          </cell>
        </row>
        <row r="146">
          <cell r="F146">
            <v>0</v>
          </cell>
          <cell r="G146">
            <v>758</v>
          </cell>
          <cell r="H146">
            <v>378.24200000000002</v>
          </cell>
          <cell r="I146">
            <v>49.9</v>
          </cell>
          <cell r="O146">
            <v>0</v>
          </cell>
          <cell r="P146">
            <v>0</v>
          </cell>
          <cell r="U146">
            <v>0</v>
          </cell>
          <cell r="V146">
            <v>0</v>
          </cell>
          <cell r="AA146">
            <v>0</v>
          </cell>
          <cell r="AB146">
            <v>0</v>
          </cell>
          <cell r="AG146">
            <v>0</v>
          </cell>
          <cell r="AH146">
            <v>0</v>
          </cell>
          <cell r="AM146">
            <v>0</v>
          </cell>
          <cell r="AN146">
            <v>0</v>
          </cell>
          <cell r="AS146">
            <v>758</v>
          </cell>
          <cell r="AT146">
            <v>378.24200000000002</v>
          </cell>
          <cell r="AX146">
            <v>0</v>
          </cell>
          <cell r="AY146">
            <v>758</v>
          </cell>
          <cell r="AZ146">
            <v>378.24200000000002</v>
          </cell>
          <cell r="BA146">
            <v>49.9</v>
          </cell>
          <cell r="BG146">
            <v>0</v>
          </cell>
          <cell r="BH146">
            <v>0</v>
          </cell>
          <cell r="BM146">
            <v>0</v>
          </cell>
          <cell r="BN146">
            <v>0</v>
          </cell>
          <cell r="BS146">
            <v>0</v>
          </cell>
          <cell r="BT146">
            <v>0</v>
          </cell>
          <cell r="BY146">
            <v>0</v>
          </cell>
          <cell r="BZ146">
            <v>0</v>
          </cell>
          <cell r="CE146">
            <v>0</v>
          </cell>
          <cell r="CF146">
            <v>0</v>
          </cell>
          <cell r="CK146">
            <v>0</v>
          </cell>
          <cell r="CL146">
            <v>0</v>
          </cell>
          <cell r="CP146">
            <v>0</v>
          </cell>
          <cell r="CQ146">
            <v>0</v>
          </cell>
          <cell r="CR146">
            <v>0</v>
          </cell>
          <cell r="CS146">
            <v>0</v>
          </cell>
          <cell r="CX146">
            <v>0</v>
          </cell>
          <cell r="CY146">
            <v>0</v>
          </cell>
          <cell r="CZ146">
            <v>0</v>
          </cell>
          <cell r="DA146">
            <v>0</v>
          </cell>
          <cell r="DF146">
            <v>0</v>
          </cell>
          <cell r="DG146">
            <v>758</v>
          </cell>
          <cell r="DH146">
            <v>378.24200000000002</v>
          </cell>
          <cell r="DI146">
            <v>49.9</v>
          </cell>
          <cell r="DN146">
            <v>0</v>
          </cell>
          <cell r="DO146">
            <v>0</v>
          </cell>
          <cell r="DP146">
            <v>0</v>
          </cell>
          <cell r="DQ146">
            <v>0</v>
          </cell>
          <cell r="DV146">
            <v>0</v>
          </cell>
          <cell r="DW146">
            <v>0</v>
          </cell>
          <cell r="DX146">
            <v>0</v>
          </cell>
          <cell r="DY146">
            <v>0</v>
          </cell>
        </row>
        <row r="147">
          <cell r="F147">
            <v>0</v>
          </cell>
          <cell r="G147">
            <v>0</v>
          </cell>
          <cell r="H147">
            <v>637.91699999999992</v>
          </cell>
          <cell r="I147">
            <v>0</v>
          </cell>
          <cell r="P147">
            <v>19.02</v>
          </cell>
          <cell r="V147">
            <v>19.02</v>
          </cell>
          <cell r="AB147">
            <v>33.218000000000004</v>
          </cell>
          <cell r="AH147">
            <v>33.218000000000004</v>
          </cell>
          <cell r="AN147">
            <v>38.549999999999997</v>
          </cell>
          <cell r="AT147">
            <v>38.549999999999997</v>
          </cell>
          <cell r="AX147">
            <v>0</v>
          </cell>
          <cell r="AY147">
            <v>0</v>
          </cell>
          <cell r="AZ147">
            <v>181.57600000000002</v>
          </cell>
          <cell r="BA147">
            <v>0</v>
          </cell>
          <cell r="BH147">
            <v>69.713999999999999</v>
          </cell>
          <cell r="BN147">
            <v>69.713999999999999</v>
          </cell>
          <cell r="BT147">
            <v>77.382999999999996</v>
          </cell>
          <cell r="BZ147">
            <v>111.032</v>
          </cell>
          <cell r="CF147">
            <v>80.120999999999995</v>
          </cell>
          <cell r="CL147">
            <v>48.377000000000002</v>
          </cell>
          <cell r="CP147">
            <v>0</v>
          </cell>
          <cell r="CQ147">
            <v>0</v>
          </cell>
          <cell r="CR147">
            <v>456.34099999999995</v>
          </cell>
          <cell r="CS147">
            <v>0</v>
          </cell>
          <cell r="CX147">
            <v>0</v>
          </cell>
          <cell r="CY147">
            <v>0</v>
          </cell>
          <cell r="CZ147">
            <v>71.25800000000001</v>
          </cell>
          <cell r="DA147">
            <v>0</v>
          </cell>
          <cell r="DF147">
            <v>0</v>
          </cell>
          <cell r="DG147">
            <v>0</v>
          </cell>
          <cell r="DH147">
            <v>110.318</v>
          </cell>
          <cell r="DI147">
            <v>0</v>
          </cell>
          <cell r="DN147">
            <v>0</v>
          </cell>
          <cell r="DO147">
            <v>0</v>
          </cell>
          <cell r="DP147">
            <v>216.81099999999998</v>
          </cell>
          <cell r="DQ147">
            <v>0</v>
          </cell>
          <cell r="DV147">
            <v>0</v>
          </cell>
          <cell r="DW147">
            <v>0</v>
          </cell>
          <cell r="DX147">
            <v>239.53</v>
          </cell>
          <cell r="DY147">
            <v>0</v>
          </cell>
        </row>
        <row r="148">
          <cell r="F148">
            <v>0</v>
          </cell>
          <cell r="G148">
            <v>0</v>
          </cell>
          <cell r="H148">
            <v>0</v>
          </cell>
          <cell r="I148">
            <v>0</v>
          </cell>
          <cell r="AX148">
            <v>0</v>
          </cell>
          <cell r="AY148">
            <v>0</v>
          </cell>
          <cell r="AZ148">
            <v>0</v>
          </cell>
          <cell r="BA148">
            <v>0</v>
          </cell>
          <cell r="CP148">
            <v>0</v>
          </cell>
          <cell r="CQ148">
            <v>0</v>
          </cell>
          <cell r="CR148">
            <v>0</v>
          </cell>
          <cell r="CS148">
            <v>0</v>
          </cell>
          <cell r="CX148">
            <v>0</v>
          </cell>
          <cell r="CY148">
            <v>0</v>
          </cell>
          <cell r="CZ148">
            <v>0</v>
          </cell>
          <cell r="DA148">
            <v>0</v>
          </cell>
          <cell r="DF148">
            <v>0</v>
          </cell>
          <cell r="DG148">
            <v>0</v>
          </cell>
          <cell r="DH148">
            <v>0</v>
          </cell>
          <cell r="DI148">
            <v>0</v>
          </cell>
          <cell r="DN148">
            <v>0</v>
          </cell>
          <cell r="DO148">
            <v>0</v>
          </cell>
          <cell r="DP148">
            <v>0</v>
          </cell>
          <cell r="DQ148">
            <v>0</v>
          </cell>
          <cell r="DV148">
            <v>0</v>
          </cell>
          <cell r="DW148">
            <v>0</v>
          </cell>
          <cell r="DX148">
            <v>0</v>
          </cell>
          <cell r="DY148">
            <v>0</v>
          </cell>
        </row>
        <row r="149">
          <cell r="F149">
            <v>0</v>
          </cell>
          <cell r="G149">
            <v>0</v>
          </cell>
          <cell r="H149">
            <v>0</v>
          </cell>
          <cell r="I149">
            <v>0</v>
          </cell>
          <cell r="N149">
            <v>0</v>
          </cell>
          <cell r="AR149">
            <v>0</v>
          </cell>
          <cell r="AX149">
            <v>0</v>
          </cell>
          <cell r="AY149">
            <v>0</v>
          </cell>
          <cell r="AZ149">
            <v>0</v>
          </cell>
          <cell r="BA149">
            <v>0</v>
          </cell>
          <cell r="BF149">
            <v>0</v>
          </cell>
          <cell r="BL149">
            <v>0</v>
          </cell>
          <cell r="BR149">
            <v>0</v>
          </cell>
          <cell r="BX149">
            <v>0</v>
          </cell>
          <cell r="CD149">
            <v>0</v>
          </cell>
          <cell r="CJ149">
            <v>0</v>
          </cell>
          <cell r="CP149">
            <v>0</v>
          </cell>
          <cell r="CQ149">
            <v>0</v>
          </cell>
          <cell r="CR149">
            <v>0</v>
          </cell>
          <cell r="CS149">
            <v>0</v>
          </cell>
          <cell r="CX149">
            <v>0</v>
          </cell>
          <cell r="CY149">
            <v>0</v>
          </cell>
          <cell r="CZ149">
            <v>0</v>
          </cell>
          <cell r="DA149">
            <v>0</v>
          </cell>
          <cell r="DF149">
            <v>0</v>
          </cell>
          <cell r="DG149">
            <v>0</v>
          </cell>
          <cell r="DH149">
            <v>0</v>
          </cell>
          <cell r="DI149">
            <v>0</v>
          </cell>
          <cell r="DN149">
            <v>0</v>
          </cell>
          <cell r="DO149">
            <v>0</v>
          </cell>
          <cell r="DP149">
            <v>0</v>
          </cell>
          <cell r="DQ149">
            <v>0</v>
          </cell>
          <cell r="DV149">
            <v>0</v>
          </cell>
          <cell r="DW149">
            <v>0</v>
          </cell>
          <cell r="DX149">
            <v>0</v>
          </cell>
          <cell r="DY149">
            <v>0</v>
          </cell>
        </row>
        <row r="150">
          <cell r="F150">
            <v>0</v>
          </cell>
          <cell r="G150">
            <v>0</v>
          </cell>
          <cell r="H150">
            <v>0</v>
          </cell>
          <cell r="I150">
            <v>0</v>
          </cell>
          <cell r="N150">
            <v>0</v>
          </cell>
          <cell r="AR150">
            <v>0</v>
          </cell>
          <cell r="AX150">
            <v>0</v>
          </cell>
          <cell r="AY150">
            <v>0</v>
          </cell>
          <cell r="AZ150">
            <v>0</v>
          </cell>
          <cell r="BA150">
            <v>0</v>
          </cell>
          <cell r="BF150">
            <v>0</v>
          </cell>
          <cell r="BL150">
            <v>0</v>
          </cell>
          <cell r="BR150">
            <v>0</v>
          </cell>
          <cell r="BX150">
            <v>0</v>
          </cell>
          <cell r="CD150">
            <v>0</v>
          </cell>
          <cell r="CJ150">
            <v>0</v>
          </cell>
          <cell r="CP150">
            <v>0</v>
          </cell>
          <cell r="CQ150">
            <v>0</v>
          </cell>
          <cell r="CR150">
            <v>0</v>
          </cell>
          <cell r="CS150">
            <v>0</v>
          </cell>
          <cell r="CX150">
            <v>0</v>
          </cell>
          <cell r="CY150">
            <v>0</v>
          </cell>
          <cell r="CZ150">
            <v>0</v>
          </cell>
          <cell r="DA150">
            <v>0</v>
          </cell>
          <cell r="DF150">
            <v>0</v>
          </cell>
          <cell r="DG150">
            <v>0</v>
          </cell>
          <cell r="DH150">
            <v>0</v>
          </cell>
          <cell r="DI150">
            <v>0</v>
          </cell>
          <cell r="DN150">
            <v>0</v>
          </cell>
          <cell r="DO150">
            <v>0</v>
          </cell>
          <cell r="DP150">
            <v>0</v>
          </cell>
          <cell r="DQ150">
            <v>0</v>
          </cell>
          <cell r="DV150">
            <v>0</v>
          </cell>
          <cell r="DW150">
            <v>0</v>
          </cell>
          <cell r="DX150">
            <v>0</v>
          </cell>
          <cell r="DY150">
            <v>0</v>
          </cell>
        </row>
        <row r="151">
          <cell r="F151">
            <v>1616000</v>
          </cell>
          <cell r="G151">
            <v>160121.293381</v>
          </cell>
          <cell r="H151">
            <v>15878.338000000002</v>
          </cell>
          <cell r="I151">
            <v>9.9164437563081318</v>
          </cell>
          <cell r="N151">
            <v>100706</v>
          </cell>
          <cell r="O151">
            <v>10002.058938300001</v>
          </cell>
          <cell r="P151">
            <v>276.137</v>
          </cell>
          <cell r="T151">
            <v>110966</v>
          </cell>
          <cell r="U151">
            <v>10830.822894299998</v>
          </cell>
          <cell r="V151">
            <v>592.20900000000006</v>
          </cell>
          <cell r="Z151">
            <v>122696</v>
          </cell>
          <cell r="AA151">
            <v>12094.018668599998</v>
          </cell>
          <cell r="AB151">
            <v>931.95600000000002</v>
          </cell>
          <cell r="AF151">
            <v>108186</v>
          </cell>
          <cell r="AG151">
            <v>10873.0882526</v>
          </cell>
          <cell r="AH151">
            <v>793.34100000000001</v>
          </cell>
          <cell r="AL151">
            <v>111086</v>
          </cell>
          <cell r="AM151">
            <v>11058.490612600001</v>
          </cell>
          <cell r="AN151">
            <v>775.74900000000002</v>
          </cell>
          <cell r="AR151">
            <v>120456</v>
          </cell>
          <cell r="AS151">
            <v>12819.1381446</v>
          </cell>
          <cell r="AT151">
            <v>1282.8409999999999</v>
          </cell>
          <cell r="AX151">
            <v>674096</v>
          </cell>
          <cell r="AY151">
            <v>67677.617511000019</v>
          </cell>
          <cell r="AZ151">
            <v>4652.2330000000002</v>
          </cell>
          <cell r="BA151">
            <v>6.8741087099347826</v>
          </cell>
          <cell r="BF151">
            <v>136231</v>
          </cell>
          <cell r="BG151">
            <v>13476.818236499999</v>
          </cell>
          <cell r="BH151">
            <v>1223.5149999999999</v>
          </cell>
          <cell r="BL151">
            <v>148591</v>
          </cell>
          <cell r="BM151">
            <v>14449.086716499998</v>
          </cell>
          <cell r="BN151">
            <v>1642.1179999999997</v>
          </cell>
          <cell r="BR151">
            <v>164305</v>
          </cell>
          <cell r="BS151">
            <v>16231.845898699999</v>
          </cell>
          <cell r="BT151">
            <v>1991.72</v>
          </cell>
          <cell r="BX151">
            <v>180951</v>
          </cell>
          <cell r="BY151">
            <v>17955.779347499996</v>
          </cell>
          <cell r="BZ151">
            <v>2610.3360000000002</v>
          </cell>
          <cell r="CD151">
            <v>158252</v>
          </cell>
          <cell r="CE151">
            <v>15604.308759800002</v>
          </cell>
          <cell r="CF151">
            <v>2125.1059999999998</v>
          </cell>
          <cell r="CJ151">
            <v>153574</v>
          </cell>
          <cell r="CK151">
            <v>14725.836911000002</v>
          </cell>
          <cell r="CL151">
            <v>1633.31</v>
          </cell>
          <cell r="CP151">
            <v>941904</v>
          </cell>
          <cell r="CQ151">
            <v>92443.675870000006</v>
          </cell>
          <cell r="CR151">
            <v>11226.105000000001</v>
          </cell>
          <cell r="CS151">
            <v>12.143724158899568</v>
          </cell>
          <cell r="CX151">
            <v>334368</v>
          </cell>
          <cell r="CY151">
            <v>32926.900501199998</v>
          </cell>
          <cell r="CZ151">
            <v>1800.3020000000001</v>
          </cell>
          <cell r="DA151">
            <v>5.4675720234717788</v>
          </cell>
          <cell r="DF151">
            <v>339728</v>
          </cell>
          <cell r="DG151">
            <v>34750.717009799992</v>
          </cell>
          <cell r="DH151">
            <v>2851.931</v>
          </cell>
          <cell r="DI151">
            <v>8.2068263489231938</v>
          </cell>
          <cell r="DN151">
            <v>449127</v>
          </cell>
          <cell r="DO151">
            <v>44157.750851700002</v>
          </cell>
          <cell r="DP151">
            <v>4857.3529999999992</v>
          </cell>
          <cell r="DQ151">
            <v>11.000000920139707</v>
          </cell>
          <cell r="DV151">
            <v>492777</v>
          </cell>
          <cell r="DW151">
            <v>48285.925018299997</v>
          </cell>
          <cell r="DX151">
            <v>6368.7520000000004</v>
          </cell>
          <cell r="DY151">
            <v>13.189665513472699</v>
          </cell>
        </row>
        <row r="152">
          <cell r="F152">
            <v>2045978</v>
          </cell>
          <cell r="G152">
            <v>241183.69338099999</v>
          </cell>
          <cell r="H152">
            <v>56196.996000000006</v>
          </cell>
          <cell r="I152">
            <v>23.300495656323299</v>
          </cell>
          <cell r="N152">
            <v>129316</v>
          </cell>
          <cell r="O152">
            <v>15082.258938300001</v>
          </cell>
          <cell r="P152">
            <v>2683.636</v>
          </cell>
          <cell r="T152">
            <v>150826</v>
          </cell>
          <cell r="U152">
            <v>17810.822894299999</v>
          </cell>
          <cell r="V152">
            <v>4038.2289999999994</v>
          </cell>
          <cell r="Z152">
            <v>158566</v>
          </cell>
          <cell r="AA152">
            <v>18574.018668599998</v>
          </cell>
          <cell r="AB152">
            <v>4134.5450000000001</v>
          </cell>
          <cell r="AF152">
            <v>146506</v>
          </cell>
          <cell r="AG152">
            <v>17855.088252599999</v>
          </cell>
          <cell r="AH152">
            <v>4256.8560000000007</v>
          </cell>
          <cell r="AL152">
            <v>152656</v>
          </cell>
          <cell r="AM152">
            <v>18640.490612599999</v>
          </cell>
          <cell r="AN152">
            <v>4578.7240000000002</v>
          </cell>
          <cell r="AR152">
            <v>158226</v>
          </cell>
          <cell r="AS152">
            <v>19731.138144600001</v>
          </cell>
          <cell r="AT152">
            <v>4743.9779999999992</v>
          </cell>
          <cell r="AX152">
            <v>896096</v>
          </cell>
          <cell r="AY152">
            <v>107693.81751100002</v>
          </cell>
          <cell r="AZ152">
            <v>24435.967999999997</v>
          </cell>
          <cell r="BA152">
            <v>22.690223603136801</v>
          </cell>
          <cell r="BF152">
            <v>173731</v>
          </cell>
          <cell r="BG152">
            <v>20687.0182365</v>
          </cell>
          <cell r="BH152">
            <v>4785.7970000000005</v>
          </cell>
          <cell r="BL152">
            <v>183366</v>
          </cell>
          <cell r="BM152">
            <v>21259.086716499998</v>
          </cell>
          <cell r="BN152">
            <v>5031.741</v>
          </cell>
          <cell r="BR152">
            <v>200082</v>
          </cell>
          <cell r="BS152">
            <v>23141.845898699998</v>
          </cell>
          <cell r="BT152">
            <v>5442.835</v>
          </cell>
          <cell r="BX152">
            <v>216677</v>
          </cell>
          <cell r="BY152">
            <v>24965.779347499996</v>
          </cell>
          <cell r="BZ152">
            <v>6169.6940000000004</v>
          </cell>
          <cell r="CD152">
            <v>191178</v>
          </cell>
          <cell r="CE152">
            <v>22220.308759800002</v>
          </cell>
          <cell r="CF152">
            <v>5486.277</v>
          </cell>
          <cell r="CJ152">
            <v>184848</v>
          </cell>
          <cell r="CK152">
            <v>21215.836911000002</v>
          </cell>
          <cell r="CL152">
            <v>4844.6839999999993</v>
          </cell>
          <cell r="CP152">
            <v>1149882</v>
          </cell>
          <cell r="CQ152">
            <v>133489.87586999999</v>
          </cell>
          <cell r="CR152">
            <v>31761.028000000006</v>
          </cell>
          <cell r="CS152">
            <v>23.792836567569136</v>
          </cell>
          <cell r="CX152">
            <v>438708</v>
          </cell>
          <cell r="CY152">
            <v>51467.100501199995</v>
          </cell>
          <cell r="CZ152">
            <v>10856.41</v>
          </cell>
          <cell r="DA152">
            <v>21.09388307147179</v>
          </cell>
          <cell r="DF152">
            <v>457388</v>
          </cell>
          <cell r="DG152">
            <v>56226.717009799992</v>
          </cell>
          <cell r="DH152">
            <v>13579.557999999999</v>
          </cell>
          <cell r="DI152">
            <v>24.15143320146748</v>
          </cell>
          <cell r="DN152">
            <v>557179</v>
          </cell>
          <cell r="DO152">
            <v>65087.950851700007</v>
          </cell>
          <cell r="DP152">
            <v>15260.372999999998</v>
          </cell>
          <cell r="DQ152">
            <v>23.445772681905559</v>
          </cell>
          <cell r="DV152">
            <v>592703</v>
          </cell>
          <cell r="DW152">
            <v>68401.925018299997</v>
          </cell>
          <cell r="DX152">
            <v>16500.655000000002</v>
          </cell>
          <cell r="DY152">
            <v>24.123085710797582</v>
          </cell>
        </row>
        <row r="153">
          <cell r="F153">
            <v>124</v>
          </cell>
          <cell r="G153">
            <v>3224</v>
          </cell>
          <cell r="H153">
            <v>788.22900000000004</v>
          </cell>
          <cell r="I153">
            <v>24.448790322580646</v>
          </cell>
          <cell r="N153">
            <v>7</v>
          </cell>
          <cell r="O153">
            <v>182</v>
          </cell>
          <cell r="P153">
            <v>44.768999999999998</v>
          </cell>
          <cell r="T153">
            <v>6</v>
          </cell>
          <cell r="U153">
            <v>156</v>
          </cell>
          <cell r="V153">
            <v>35.017000000000003</v>
          </cell>
          <cell r="Z153">
            <v>11</v>
          </cell>
          <cell r="AA153">
            <v>286</v>
          </cell>
          <cell r="AB153">
            <v>58.518000000000001</v>
          </cell>
          <cell r="AF153">
            <v>12</v>
          </cell>
          <cell r="AG153">
            <v>312</v>
          </cell>
          <cell r="AH153">
            <v>65.576999999999998</v>
          </cell>
          <cell r="AL153">
            <v>11</v>
          </cell>
          <cell r="AM153">
            <v>286</v>
          </cell>
          <cell r="AN153">
            <v>62.517000000000003</v>
          </cell>
          <cell r="AR153">
            <v>11</v>
          </cell>
          <cell r="AS153">
            <v>286</v>
          </cell>
          <cell r="AT153">
            <v>67.072999999999993</v>
          </cell>
          <cell r="AX153">
            <v>58</v>
          </cell>
          <cell r="AY153">
            <v>1508</v>
          </cell>
          <cell r="AZ153">
            <v>333.471</v>
          </cell>
          <cell r="BA153">
            <v>22.113461538461536</v>
          </cell>
          <cell r="BF153">
            <v>11</v>
          </cell>
          <cell r="BG153">
            <v>286</v>
          </cell>
          <cell r="BH153">
            <v>72.480999999999995</v>
          </cell>
          <cell r="BL153">
            <v>12</v>
          </cell>
          <cell r="BM153">
            <v>312</v>
          </cell>
          <cell r="BN153">
            <v>83.338999999999999</v>
          </cell>
          <cell r="BR153">
            <v>12</v>
          </cell>
          <cell r="BS153">
            <v>312</v>
          </cell>
          <cell r="BT153">
            <v>83.873000000000005</v>
          </cell>
          <cell r="BX153">
            <v>12</v>
          </cell>
          <cell r="BY153">
            <v>312</v>
          </cell>
          <cell r="BZ153">
            <v>84.143000000000001</v>
          </cell>
          <cell r="CD153">
            <v>9</v>
          </cell>
          <cell r="CE153">
            <v>234</v>
          </cell>
          <cell r="CF153">
            <v>62.097000000000001</v>
          </cell>
          <cell r="CJ153">
            <v>10</v>
          </cell>
          <cell r="CK153">
            <v>260</v>
          </cell>
          <cell r="CL153">
            <v>68.825000000000003</v>
          </cell>
          <cell r="CP153">
            <v>66</v>
          </cell>
          <cell r="CQ153">
            <v>1716</v>
          </cell>
          <cell r="CR153">
            <v>454.75799999999998</v>
          </cell>
          <cell r="CS153">
            <v>26.501048951048951</v>
          </cell>
          <cell r="CX153">
            <v>24</v>
          </cell>
          <cell r="CY153">
            <v>624</v>
          </cell>
          <cell r="CZ153">
            <v>138.304</v>
          </cell>
          <cell r="DA153">
            <v>22.164102564102564</v>
          </cell>
          <cell r="DF153">
            <v>34</v>
          </cell>
          <cell r="DG153">
            <v>884</v>
          </cell>
          <cell r="DH153">
            <v>195.16699999999997</v>
          </cell>
          <cell r="DI153">
            <v>22.077714932126693</v>
          </cell>
          <cell r="DN153">
            <v>35</v>
          </cell>
          <cell r="DO153">
            <v>910</v>
          </cell>
          <cell r="DP153">
            <v>239.69299999999998</v>
          </cell>
          <cell r="DQ153">
            <v>26.339890109890106</v>
          </cell>
          <cell r="DV153">
            <v>31</v>
          </cell>
          <cell r="DW153">
            <v>806</v>
          </cell>
          <cell r="DX153">
            <v>215.065</v>
          </cell>
          <cell r="DY153">
            <v>26.683002481389579</v>
          </cell>
        </row>
        <row r="154">
          <cell r="F154">
            <v>30</v>
          </cell>
          <cell r="G154">
            <v>360</v>
          </cell>
          <cell r="H154">
            <v>90</v>
          </cell>
          <cell r="I154">
            <v>25</v>
          </cell>
          <cell r="N154">
            <v>2</v>
          </cell>
          <cell r="O154">
            <v>24</v>
          </cell>
          <cell r="P154">
            <v>6</v>
          </cell>
          <cell r="T154">
            <v>2</v>
          </cell>
          <cell r="U154">
            <v>24</v>
          </cell>
          <cell r="V154">
            <v>6</v>
          </cell>
          <cell r="Z154">
            <v>2</v>
          </cell>
          <cell r="AA154">
            <v>24</v>
          </cell>
          <cell r="AB154">
            <v>6</v>
          </cell>
          <cell r="AF154">
            <v>3</v>
          </cell>
          <cell r="AG154">
            <v>36</v>
          </cell>
          <cell r="AH154">
            <v>9</v>
          </cell>
          <cell r="AL154">
            <v>3</v>
          </cell>
          <cell r="AM154">
            <v>36</v>
          </cell>
          <cell r="AN154">
            <v>9</v>
          </cell>
          <cell r="AR154">
            <v>3</v>
          </cell>
          <cell r="AS154">
            <v>36</v>
          </cell>
          <cell r="AT154">
            <v>9</v>
          </cell>
          <cell r="AX154">
            <v>15</v>
          </cell>
          <cell r="AY154">
            <v>180</v>
          </cell>
          <cell r="AZ154">
            <v>45</v>
          </cell>
          <cell r="BA154">
            <v>25</v>
          </cell>
          <cell r="BF154">
            <v>3</v>
          </cell>
          <cell r="BG154">
            <v>36</v>
          </cell>
          <cell r="BH154">
            <v>9</v>
          </cell>
          <cell r="BL154">
            <v>3</v>
          </cell>
          <cell r="BM154">
            <v>36</v>
          </cell>
          <cell r="BN154">
            <v>9</v>
          </cell>
          <cell r="BR154">
            <v>3</v>
          </cell>
          <cell r="BS154">
            <v>36</v>
          </cell>
          <cell r="BT154">
            <v>9</v>
          </cell>
          <cell r="BX154">
            <v>2</v>
          </cell>
          <cell r="BY154">
            <v>24</v>
          </cell>
          <cell r="BZ154">
            <v>6</v>
          </cell>
          <cell r="CD154">
            <v>2</v>
          </cell>
          <cell r="CE154">
            <v>24</v>
          </cell>
          <cell r="CF154">
            <v>6</v>
          </cell>
          <cell r="CJ154">
            <v>2</v>
          </cell>
          <cell r="CK154">
            <v>24</v>
          </cell>
          <cell r="CL154">
            <v>6</v>
          </cell>
          <cell r="CP154">
            <v>15</v>
          </cell>
          <cell r="CQ154">
            <v>180</v>
          </cell>
          <cell r="CR154">
            <v>45</v>
          </cell>
          <cell r="CS154">
            <v>25</v>
          </cell>
          <cell r="CX154">
            <v>6</v>
          </cell>
          <cell r="CY154">
            <v>72</v>
          </cell>
          <cell r="CZ154">
            <v>18</v>
          </cell>
          <cell r="DA154">
            <v>25</v>
          </cell>
          <cell r="DF154">
            <v>9</v>
          </cell>
          <cell r="DG154">
            <v>108</v>
          </cell>
          <cell r="DH154">
            <v>27</v>
          </cell>
          <cell r="DI154">
            <v>25</v>
          </cell>
          <cell r="DN154">
            <v>9</v>
          </cell>
          <cell r="DO154">
            <v>108</v>
          </cell>
          <cell r="DP154">
            <v>27</v>
          </cell>
          <cell r="DQ154">
            <v>25</v>
          </cell>
          <cell r="DV154">
            <v>6</v>
          </cell>
          <cell r="DW154">
            <v>72</v>
          </cell>
          <cell r="DX154">
            <v>18</v>
          </cell>
          <cell r="DY154">
            <v>25</v>
          </cell>
        </row>
        <row r="155">
          <cell r="F155">
            <v>80</v>
          </cell>
          <cell r="G155">
            <v>3040</v>
          </cell>
          <cell r="H155">
            <v>620.55799999999999</v>
          </cell>
          <cell r="I155">
            <v>20.413092105263157</v>
          </cell>
          <cell r="N155">
            <v>7</v>
          </cell>
          <cell r="O155">
            <v>266</v>
          </cell>
          <cell r="P155">
            <v>49.918999999999997</v>
          </cell>
          <cell r="T155">
            <v>7</v>
          </cell>
          <cell r="U155">
            <v>266</v>
          </cell>
          <cell r="V155">
            <v>48.822000000000003</v>
          </cell>
          <cell r="Z155">
            <v>7</v>
          </cell>
          <cell r="AA155">
            <v>266</v>
          </cell>
          <cell r="AB155">
            <v>46.414000000000001</v>
          </cell>
          <cell r="AF155">
            <v>7</v>
          </cell>
          <cell r="AG155">
            <v>266</v>
          </cell>
          <cell r="AH155">
            <v>47.085999999999999</v>
          </cell>
          <cell r="AL155">
            <v>7</v>
          </cell>
          <cell r="AM155">
            <v>266</v>
          </cell>
          <cell r="AN155">
            <v>48.427999999999997</v>
          </cell>
          <cell r="AR155">
            <v>7</v>
          </cell>
          <cell r="AS155">
            <v>266</v>
          </cell>
          <cell r="AT155">
            <v>54.02</v>
          </cell>
          <cell r="AX155">
            <v>42</v>
          </cell>
          <cell r="AY155">
            <v>1596</v>
          </cell>
          <cell r="AZ155">
            <v>294.68899999999996</v>
          </cell>
          <cell r="BA155">
            <v>18.464223057644109</v>
          </cell>
          <cell r="BF155">
            <v>8</v>
          </cell>
          <cell r="BG155">
            <v>304</v>
          </cell>
          <cell r="BH155">
            <v>65.738</v>
          </cell>
          <cell r="BL155">
            <v>8</v>
          </cell>
          <cell r="BM155">
            <v>304</v>
          </cell>
          <cell r="BN155">
            <v>69.733000000000004</v>
          </cell>
          <cell r="BR155">
            <v>7</v>
          </cell>
          <cell r="BS155">
            <v>266</v>
          </cell>
          <cell r="BT155">
            <v>61.655999999999999</v>
          </cell>
          <cell r="BX155">
            <v>6</v>
          </cell>
          <cell r="BY155">
            <v>228</v>
          </cell>
          <cell r="BZ155">
            <v>52.491</v>
          </cell>
          <cell r="CD155">
            <v>5</v>
          </cell>
          <cell r="CE155">
            <v>190</v>
          </cell>
          <cell r="CF155">
            <v>42.570999999999998</v>
          </cell>
          <cell r="CJ155">
            <v>4</v>
          </cell>
          <cell r="CK155">
            <v>152</v>
          </cell>
          <cell r="CL155">
            <v>33.68</v>
          </cell>
          <cell r="CP155">
            <v>38</v>
          </cell>
          <cell r="CQ155">
            <v>1444</v>
          </cell>
          <cell r="CR155">
            <v>325.86900000000003</v>
          </cell>
          <cell r="CS155">
            <v>22.567105263157895</v>
          </cell>
          <cell r="CX155">
            <v>21</v>
          </cell>
          <cell r="CY155">
            <v>798</v>
          </cell>
          <cell r="CZ155">
            <v>145.155</v>
          </cell>
          <cell r="DA155">
            <v>18.189849624060152</v>
          </cell>
          <cell r="DF155">
            <v>21</v>
          </cell>
          <cell r="DG155">
            <v>798</v>
          </cell>
          <cell r="DH155">
            <v>149.53399999999999</v>
          </cell>
          <cell r="DI155">
            <v>18.738596491228069</v>
          </cell>
          <cell r="DN155">
            <v>23</v>
          </cell>
          <cell r="DO155">
            <v>874</v>
          </cell>
          <cell r="DP155">
            <v>197.12700000000001</v>
          </cell>
          <cell r="DQ155">
            <v>22.554576659038901</v>
          </cell>
          <cell r="DV155">
            <v>15</v>
          </cell>
          <cell r="DW155">
            <v>570</v>
          </cell>
          <cell r="DX155">
            <v>128.74199999999999</v>
          </cell>
          <cell r="DY155">
            <v>22.586315789473684</v>
          </cell>
        </row>
        <row r="156">
          <cell r="F156">
            <v>174</v>
          </cell>
          <cell r="G156">
            <v>2088</v>
          </cell>
          <cell r="H156">
            <v>1105.77</v>
          </cell>
          <cell r="I156">
            <v>52.958333333333329</v>
          </cell>
          <cell r="N156">
            <v>12</v>
          </cell>
          <cell r="O156">
            <v>144</v>
          </cell>
          <cell r="P156">
            <v>76.260000000000005</v>
          </cell>
          <cell r="T156">
            <v>11</v>
          </cell>
          <cell r="U156">
            <v>132</v>
          </cell>
          <cell r="V156">
            <v>69.905000000000001</v>
          </cell>
          <cell r="Z156">
            <v>16</v>
          </cell>
          <cell r="AA156">
            <v>192</v>
          </cell>
          <cell r="AB156">
            <v>101.68</v>
          </cell>
          <cell r="AF156">
            <v>16</v>
          </cell>
          <cell r="AG156">
            <v>192</v>
          </cell>
          <cell r="AH156">
            <v>101.68</v>
          </cell>
          <cell r="AL156">
            <v>15</v>
          </cell>
          <cell r="AM156">
            <v>180</v>
          </cell>
          <cell r="AN156">
            <v>95.325000000000003</v>
          </cell>
          <cell r="AR156">
            <v>15</v>
          </cell>
          <cell r="AS156">
            <v>180</v>
          </cell>
          <cell r="AT156">
            <v>95.325000000000003</v>
          </cell>
          <cell r="AX156">
            <v>85</v>
          </cell>
          <cell r="AY156">
            <v>1020</v>
          </cell>
          <cell r="AZ156">
            <v>540.17500000000007</v>
          </cell>
          <cell r="BA156">
            <v>52.958333333333343</v>
          </cell>
          <cell r="BF156">
            <v>16</v>
          </cell>
          <cell r="BG156">
            <v>192</v>
          </cell>
          <cell r="BH156">
            <v>101.68</v>
          </cell>
          <cell r="BL156">
            <v>17</v>
          </cell>
          <cell r="BM156">
            <v>204</v>
          </cell>
          <cell r="BN156">
            <v>108.035</v>
          </cell>
          <cell r="BR156">
            <v>16</v>
          </cell>
          <cell r="BS156">
            <v>192</v>
          </cell>
          <cell r="BT156">
            <v>101.68</v>
          </cell>
          <cell r="BX156">
            <v>16</v>
          </cell>
          <cell r="BY156">
            <v>192</v>
          </cell>
          <cell r="BZ156">
            <v>101.68</v>
          </cell>
          <cell r="CD156">
            <v>12</v>
          </cell>
          <cell r="CE156">
            <v>144</v>
          </cell>
          <cell r="CF156">
            <v>76.260000000000005</v>
          </cell>
          <cell r="CJ156">
            <v>12</v>
          </cell>
          <cell r="CK156">
            <v>144</v>
          </cell>
          <cell r="CL156">
            <v>76.260000000000005</v>
          </cell>
          <cell r="CP156">
            <v>89</v>
          </cell>
          <cell r="CQ156">
            <v>1068</v>
          </cell>
          <cell r="CR156">
            <v>565.59500000000003</v>
          </cell>
          <cell r="CS156">
            <v>52.958333333333343</v>
          </cell>
          <cell r="CX156">
            <v>39</v>
          </cell>
          <cell r="CY156">
            <v>468</v>
          </cell>
          <cell r="CZ156">
            <v>247.84500000000003</v>
          </cell>
          <cell r="DA156">
            <v>52.958333333333343</v>
          </cell>
          <cell r="DF156">
            <v>46</v>
          </cell>
          <cell r="DG156">
            <v>552</v>
          </cell>
          <cell r="DH156">
            <v>292.33</v>
          </cell>
          <cell r="DI156">
            <v>52.958333333333329</v>
          </cell>
          <cell r="DN156">
            <v>49</v>
          </cell>
          <cell r="DO156">
            <v>588</v>
          </cell>
          <cell r="DP156">
            <v>311.39499999999998</v>
          </cell>
          <cell r="DQ156">
            <v>52.958333333333329</v>
          </cell>
          <cell r="DV156">
            <v>40</v>
          </cell>
          <cell r="DW156">
            <v>480</v>
          </cell>
          <cell r="DX156">
            <v>254.2</v>
          </cell>
          <cell r="DY156">
            <v>52.958333333333329</v>
          </cell>
        </row>
        <row r="157">
          <cell r="F157">
            <v>24</v>
          </cell>
          <cell r="G157">
            <v>384</v>
          </cell>
          <cell r="H157">
            <v>168</v>
          </cell>
          <cell r="I157">
            <v>43.75</v>
          </cell>
          <cell r="N157">
            <v>2</v>
          </cell>
          <cell r="O157">
            <v>32</v>
          </cell>
          <cell r="P157">
            <v>14</v>
          </cell>
          <cell r="T157">
            <v>2</v>
          </cell>
          <cell r="U157">
            <v>32</v>
          </cell>
          <cell r="V157">
            <v>14</v>
          </cell>
          <cell r="Z157">
            <v>2</v>
          </cell>
          <cell r="AA157">
            <v>32</v>
          </cell>
          <cell r="AB157">
            <v>14</v>
          </cell>
          <cell r="AF157">
            <v>2</v>
          </cell>
          <cell r="AG157">
            <v>32</v>
          </cell>
          <cell r="AH157">
            <v>14</v>
          </cell>
          <cell r="AL157">
            <v>2</v>
          </cell>
          <cell r="AM157">
            <v>32</v>
          </cell>
          <cell r="AN157">
            <v>14</v>
          </cell>
          <cell r="AR157">
            <v>2</v>
          </cell>
          <cell r="AS157">
            <v>32</v>
          </cell>
          <cell r="AT157">
            <v>14</v>
          </cell>
          <cell r="AX157">
            <v>12</v>
          </cell>
          <cell r="AY157">
            <v>192</v>
          </cell>
          <cell r="AZ157">
            <v>84</v>
          </cell>
          <cell r="BA157">
            <v>43.75</v>
          </cell>
          <cell r="BF157">
            <v>2</v>
          </cell>
          <cell r="BG157">
            <v>32</v>
          </cell>
          <cell r="BH157">
            <v>14</v>
          </cell>
          <cell r="BL157">
            <v>2</v>
          </cell>
          <cell r="BM157">
            <v>32</v>
          </cell>
          <cell r="BN157">
            <v>14</v>
          </cell>
          <cell r="BR157">
            <v>2</v>
          </cell>
          <cell r="BS157">
            <v>32</v>
          </cell>
          <cell r="BT157">
            <v>14</v>
          </cell>
          <cell r="BX157">
            <v>2</v>
          </cell>
          <cell r="BY157">
            <v>32</v>
          </cell>
          <cell r="BZ157">
            <v>14</v>
          </cell>
          <cell r="CD157">
            <v>2</v>
          </cell>
          <cell r="CE157">
            <v>32</v>
          </cell>
          <cell r="CF157">
            <v>14</v>
          </cell>
          <cell r="CJ157">
            <v>2</v>
          </cell>
          <cell r="CK157">
            <v>32</v>
          </cell>
          <cell r="CL157">
            <v>14</v>
          </cell>
          <cell r="CP157">
            <v>12</v>
          </cell>
          <cell r="CQ157">
            <v>192</v>
          </cell>
          <cell r="CR157">
            <v>84</v>
          </cell>
          <cell r="CS157">
            <v>43.75</v>
          </cell>
          <cell r="CX157">
            <v>6</v>
          </cell>
          <cell r="CY157">
            <v>96</v>
          </cell>
          <cell r="CZ157">
            <v>42</v>
          </cell>
          <cell r="DA157">
            <v>43.75</v>
          </cell>
          <cell r="DF157">
            <v>6</v>
          </cell>
          <cell r="DG157">
            <v>96</v>
          </cell>
          <cell r="DH157">
            <v>42</v>
          </cell>
          <cell r="DI157">
            <v>43.75</v>
          </cell>
          <cell r="DN157">
            <v>6</v>
          </cell>
          <cell r="DO157">
            <v>96</v>
          </cell>
          <cell r="DP157">
            <v>42</v>
          </cell>
          <cell r="DQ157">
            <v>43.75</v>
          </cell>
          <cell r="DV157">
            <v>6</v>
          </cell>
          <cell r="DW157">
            <v>96</v>
          </cell>
          <cell r="DX157">
            <v>42</v>
          </cell>
          <cell r="DY157">
            <v>43.75</v>
          </cell>
        </row>
        <row r="158">
          <cell r="F158">
            <v>24</v>
          </cell>
          <cell r="G158">
            <v>192</v>
          </cell>
          <cell r="H158">
            <v>72</v>
          </cell>
          <cell r="I158">
            <v>37.5</v>
          </cell>
          <cell r="N158">
            <v>2</v>
          </cell>
          <cell r="O158">
            <v>16</v>
          </cell>
          <cell r="P158">
            <v>6</v>
          </cell>
          <cell r="T158">
            <v>2</v>
          </cell>
          <cell r="U158">
            <v>16</v>
          </cell>
          <cell r="V158">
            <v>6</v>
          </cell>
          <cell r="Z158">
            <v>2</v>
          </cell>
          <cell r="AA158">
            <v>16</v>
          </cell>
          <cell r="AB158">
            <v>6</v>
          </cell>
          <cell r="AF158">
            <v>2</v>
          </cell>
          <cell r="AG158">
            <v>16</v>
          </cell>
          <cell r="AH158">
            <v>6</v>
          </cell>
          <cell r="AL158">
            <v>2</v>
          </cell>
          <cell r="AM158">
            <v>16</v>
          </cell>
          <cell r="AN158">
            <v>6</v>
          </cell>
          <cell r="AR158">
            <v>2</v>
          </cell>
          <cell r="AS158">
            <v>16</v>
          </cell>
          <cell r="AT158">
            <v>6</v>
          </cell>
          <cell r="AX158">
            <v>12</v>
          </cell>
          <cell r="AY158">
            <v>96</v>
          </cell>
          <cell r="AZ158">
            <v>36</v>
          </cell>
          <cell r="BA158">
            <v>37.5</v>
          </cell>
          <cell r="BF158">
            <v>2</v>
          </cell>
          <cell r="BG158">
            <v>16</v>
          </cell>
          <cell r="BH158">
            <v>6</v>
          </cell>
          <cell r="BL158">
            <v>2</v>
          </cell>
          <cell r="BM158">
            <v>16</v>
          </cell>
          <cell r="BN158">
            <v>6</v>
          </cell>
          <cell r="BR158">
            <v>2</v>
          </cell>
          <cell r="BS158">
            <v>16</v>
          </cell>
          <cell r="BT158">
            <v>6</v>
          </cell>
          <cell r="BX158">
            <v>2</v>
          </cell>
          <cell r="BY158">
            <v>16</v>
          </cell>
          <cell r="BZ158">
            <v>6</v>
          </cell>
          <cell r="CD158">
            <v>2</v>
          </cell>
          <cell r="CE158">
            <v>16</v>
          </cell>
          <cell r="CF158">
            <v>6</v>
          </cell>
          <cell r="CJ158">
            <v>2</v>
          </cell>
          <cell r="CK158">
            <v>16</v>
          </cell>
          <cell r="CL158">
            <v>6</v>
          </cell>
          <cell r="CP158">
            <v>12</v>
          </cell>
          <cell r="CQ158">
            <v>96</v>
          </cell>
          <cell r="CR158">
            <v>36</v>
          </cell>
          <cell r="CS158">
            <v>37.5</v>
          </cell>
          <cell r="CX158">
            <v>6</v>
          </cell>
          <cell r="CY158">
            <v>48</v>
          </cell>
          <cell r="CZ158">
            <v>18</v>
          </cell>
          <cell r="DA158">
            <v>37.5</v>
          </cell>
          <cell r="DF158">
            <v>6</v>
          </cell>
          <cell r="DG158">
            <v>48</v>
          </cell>
          <cell r="DH158">
            <v>18</v>
          </cell>
          <cell r="DI158">
            <v>37.5</v>
          </cell>
          <cell r="DN158">
            <v>6</v>
          </cell>
          <cell r="DO158">
            <v>48</v>
          </cell>
          <cell r="DP158">
            <v>18</v>
          </cell>
          <cell r="DQ158">
            <v>37.5</v>
          </cell>
          <cell r="DV158">
            <v>6</v>
          </cell>
          <cell r="DW158">
            <v>48</v>
          </cell>
          <cell r="DX158">
            <v>18</v>
          </cell>
          <cell r="DY158">
            <v>37.5</v>
          </cell>
        </row>
        <row r="159">
          <cell r="F159">
            <v>0</v>
          </cell>
          <cell r="G159">
            <v>100</v>
          </cell>
          <cell r="H159">
            <v>42.36</v>
          </cell>
          <cell r="I159">
            <v>42.36</v>
          </cell>
          <cell r="N159">
            <v>0</v>
          </cell>
          <cell r="O159">
            <v>5</v>
          </cell>
          <cell r="P159">
            <v>2.09</v>
          </cell>
          <cell r="T159">
            <v>0</v>
          </cell>
          <cell r="U159">
            <v>5</v>
          </cell>
          <cell r="V159">
            <v>2.0569999999999999</v>
          </cell>
          <cell r="Z159">
            <v>0</v>
          </cell>
          <cell r="AA159">
            <v>10</v>
          </cell>
          <cell r="AB159">
            <v>4.1079999999999997</v>
          </cell>
          <cell r="AF159">
            <v>0</v>
          </cell>
          <cell r="AG159">
            <v>10</v>
          </cell>
          <cell r="AH159">
            <v>4.1890000000000001</v>
          </cell>
          <cell r="AL159">
            <v>0</v>
          </cell>
          <cell r="AM159">
            <v>10</v>
          </cell>
          <cell r="AN159">
            <v>4.093</v>
          </cell>
          <cell r="AR159">
            <v>0</v>
          </cell>
          <cell r="AS159">
            <v>10</v>
          </cell>
          <cell r="AT159">
            <v>4.2770000000000001</v>
          </cell>
          <cell r="AX159">
            <v>0</v>
          </cell>
          <cell r="AY159">
            <v>50</v>
          </cell>
          <cell r="AZ159">
            <v>20.814</v>
          </cell>
          <cell r="BA159">
            <v>41.628</v>
          </cell>
          <cell r="BF159">
            <v>0</v>
          </cell>
          <cell r="BG159">
            <v>10</v>
          </cell>
          <cell r="BH159">
            <v>4.34</v>
          </cell>
          <cell r="BL159">
            <v>0</v>
          </cell>
          <cell r="BM159">
            <v>10</v>
          </cell>
          <cell r="BN159">
            <v>4.3079999999999998</v>
          </cell>
          <cell r="BR159">
            <v>0</v>
          </cell>
          <cell r="BS159">
            <v>10</v>
          </cell>
          <cell r="BT159">
            <v>4.3</v>
          </cell>
          <cell r="BX159">
            <v>0</v>
          </cell>
          <cell r="BY159">
            <v>10</v>
          </cell>
          <cell r="BZ159">
            <v>4.306</v>
          </cell>
          <cell r="CD159">
            <v>0</v>
          </cell>
          <cell r="CE159">
            <v>5</v>
          </cell>
          <cell r="CF159">
            <v>2.1389999999999998</v>
          </cell>
          <cell r="CJ159">
            <v>0</v>
          </cell>
          <cell r="CK159">
            <v>5</v>
          </cell>
          <cell r="CL159">
            <v>2.153</v>
          </cell>
          <cell r="CP159">
            <v>0</v>
          </cell>
          <cell r="CQ159">
            <v>50</v>
          </cell>
          <cell r="CR159">
            <v>21.545999999999999</v>
          </cell>
          <cell r="CS159">
            <v>43.091999999999999</v>
          </cell>
          <cell r="CX159">
            <v>0</v>
          </cell>
          <cell r="CY159">
            <v>20</v>
          </cell>
          <cell r="CZ159">
            <v>8.254999999999999</v>
          </cell>
          <cell r="DA159">
            <v>41.274999999999991</v>
          </cell>
          <cell r="DF159">
            <v>0</v>
          </cell>
          <cell r="DG159">
            <v>30</v>
          </cell>
          <cell r="DH159">
            <v>12.559000000000001</v>
          </cell>
          <cell r="DI159">
            <v>41.863333333333337</v>
          </cell>
          <cell r="DN159">
            <v>0</v>
          </cell>
          <cell r="DO159">
            <v>30</v>
          </cell>
          <cell r="DP159">
            <v>12.948</v>
          </cell>
          <cell r="DQ159">
            <v>43.160000000000004</v>
          </cell>
          <cell r="DV159">
            <v>0</v>
          </cell>
          <cell r="DW159">
            <v>20</v>
          </cell>
          <cell r="DX159">
            <v>8.5980000000000008</v>
          </cell>
          <cell r="DY159">
            <v>42.990000000000009</v>
          </cell>
        </row>
        <row r="160">
          <cell r="F160">
            <v>456</v>
          </cell>
          <cell r="G160">
            <v>9388</v>
          </cell>
          <cell r="H160">
            <v>2886.9169999999999</v>
          </cell>
          <cell r="I160">
            <v>30.751139752876011</v>
          </cell>
          <cell r="N160">
            <v>32</v>
          </cell>
          <cell r="O160">
            <v>669</v>
          </cell>
          <cell r="P160">
            <v>199.03799999999998</v>
          </cell>
          <cell r="T160">
            <v>30</v>
          </cell>
          <cell r="U160">
            <v>631</v>
          </cell>
          <cell r="V160">
            <v>181.80099999999999</v>
          </cell>
          <cell r="Z160">
            <v>40</v>
          </cell>
          <cell r="AA160">
            <v>826</v>
          </cell>
          <cell r="AB160">
            <v>236.72000000000003</v>
          </cell>
          <cell r="AF160">
            <v>42</v>
          </cell>
          <cell r="AG160">
            <v>864</v>
          </cell>
          <cell r="AH160">
            <v>247.53200000000001</v>
          </cell>
          <cell r="AL160">
            <v>40</v>
          </cell>
          <cell r="AM160">
            <v>826</v>
          </cell>
          <cell r="AN160">
            <v>239.36299999999997</v>
          </cell>
          <cell r="AR160">
            <v>40</v>
          </cell>
          <cell r="AS160">
            <v>826</v>
          </cell>
          <cell r="AT160">
            <v>249.69499999999999</v>
          </cell>
          <cell r="AX160">
            <v>224</v>
          </cell>
          <cell r="AY160">
            <v>4642</v>
          </cell>
          <cell r="AZ160">
            <v>1354.1490000000001</v>
          </cell>
          <cell r="BA160">
            <v>29.17167169323568</v>
          </cell>
          <cell r="BF160">
            <v>42</v>
          </cell>
          <cell r="BG160">
            <v>876</v>
          </cell>
          <cell r="BH160">
            <v>273.23899999999998</v>
          </cell>
          <cell r="BL160">
            <v>44</v>
          </cell>
          <cell r="BM160">
            <v>914</v>
          </cell>
          <cell r="BN160">
            <v>294.41499999999996</v>
          </cell>
          <cell r="BR160">
            <v>42</v>
          </cell>
          <cell r="BS160">
            <v>864</v>
          </cell>
          <cell r="BT160">
            <v>280.50900000000001</v>
          </cell>
          <cell r="BX160">
            <v>40</v>
          </cell>
          <cell r="BY160">
            <v>814</v>
          </cell>
          <cell r="BZ160">
            <v>268.62</v>
          </cell>
          <cell r="CD160">
            <v>32</v>
          </cell>
          <cell r="CE160">
            <v>645</v>
          </cell>
          <cell r="CF160">
            <v>209.06700000000001</v>
          </cell>
          <cell r="CJ160">
            <v>32</v>
          </cell>
          <cell r="CK160">
            <v>633</v>
          </cell>
          <cell r="CL160">
            <v>206.91799999999998</v>
          </cell>
          <cell r="CP160">
            <v>232</v>
          </cell>
          <cell r="CQ160">
            <v>4746</v>
          </cell>
          <cell r="CR160">
            <v>1532.768</v>
          </cell>
          <cell r="CS160">
            <v>32.295996628739992</v>
          </cell>
          <cell r="CX160">
            <v>102</v>
          </cell>
          <cell r="CY160">
            <v>2126</v>
          </cell>
          <cell r="CZ160">
            <v>617.55900000000008</v>
          </cell>
          <cell r="DA160">
            <v>29.047930385700848</v>
          </cell>
          <cell r="DF160">
            <v>122</v>
          </cell>
          <cell r="DG160">
            <v>2516</v>
          </cell>
          <cell r="DH160">
            <v>736.58999999999992</v>
          </cell>
          <cell r="DI160">
            <v>29.276232114467405</v>
          </cell>
          <cell r="DN160">
            <v>128</v>
          </cell>
          <cell r="DO160">
            <v>2654</v>
          </cell>
          <cell r="DP160">
            <v>848.1629999999999</v>
          </cell>
          <cell r="DQ160">
            <v>31.957912584777691</v>
          </cell>
          <cell r="DV160">
            <v>104</v>
          </cell>
          <cell r="DW160">
            <v>2092</v>
          </cell>
          <cell r="DX160">
            <v>684.60500000000002</v>
          </cell>
          <cell r="DY160">
            <v>32.724904397705544</v>
          </cell>
        </row>
        <row r="161">
          <cell r="F161">
            <v>2500</v>
          </cell>
          <cell r="G161">
            <v>400</v>
          </cell>
          <cell r="H161">
            <v>156.57300000000001</v>
          </cell>
          <cell r="I161">
            <v>39.143250000000002</v>
          </cell>
          <cell r="N161">
            <v>150</v>
          </cell>
          <cell r="O161">
            <v>24</v>
          </cell>
          <cell r="P161">
            <v>2.0089999999999999</v>
          </cell>
          <cell r="T161">
            <v>150</v>
          </cell>
          <cell r="U161">
            <v>24</v>
          </cell>
          <cell r="V161">
            <v>3.3639999999999999</v>
          </cell>
          <cell r="Z161">
            <v>200</v>
          </cell>
          <cell r="AA161">
            <v>32</v>
          </cell>
          <cell r="AB161">
            <v>7.68</v>
          </cell>
          <cell r="AF161">
            <v>200</v>
          </cell>
          <cell r="AG161">
            <v>32</v>
          </cell>
          <cell r="AH161">
            <v>9.7089999999999996</v>
          </cell>
          <cell r="AL161">
            <v>200</v>
          </cell>
          <cell r="AM161">
            <v>32</v>
          </cell>
          <cell r="AN161">
            <v>11.867000000000001</v>
          </cell>
          <cell r="AR161">
            <v>200</v>
          </cell>
          <cell r="AS161">
            <v>32</v>
          </cell>
          <cell r="AT161">
            <v>13.491</v>
          </cell>
          <cell r="AX161">
            <v>1100</v>
          </cell>
          <cell r="AY161">
            <v>176</v>
          </cell>
          <cell r="AZ161">
            <v>48.12</v>
          </cell>
          <cell r="BA161">
            <v>27.340909090909086</v>
          </cell>
          <cell r="BF161">
            <v>300</v>
          </cell>
          <cell r="BG161">
            <v>48</v>
          </cell>
          <cell r="BH161">
            <v>21.582999999999998</v>
          </cell>
          <cell r="BL161">
            <v>200</v>
          </cell>
          <cell r="BM161">
            <v>32</v>
          </cell>
          <cell r="BN161">
            <v>14.843999999999999</v>
          </cell>
          <cell r="BR161">
            <v>200</v>
          </cell>
          <cell r="BS161">
            <v>32</v>
          </cell>
          <cell r="BT161">
            <v>15.617000000000001</v>
          </cell>
          <cell r="BX161">
            <v>300</v>
          </cell>
          <cell r="BY161">
            <v>48</v>
          </cell>
          <cell r="BZ161">
            <v>23.943000000000001</v>
          </cell>
          <cell r="CD161">
            <v>250</v>
          </cell>
          <cell r="CE161">
            <v>40</v>
          </cell>
          <cell r="CF161">
            <v>20.173999999999999</v>
          </cell>
          <cell r="CJ161">
            <v>150</v>
          </cell>
          <cell r="CK161">
            <v>24</v>
          </cell>
          <cell r="CL161">
            <v>12.292</v>
          </cell>
          <cell r="CP161">
            <v>1400</v>
          </cell>
          <cell r="CQ161">
            <v>224</v>
          </cell>
          <cell r="CR161">
            <v>108.453</v>
          </cell>
          <cell r="CS161">
            <v>48.416517857142857</v>
          </cell>
          <cell r="CX161">
            <v>500</v>
          </cell>
          <cell r="CY161">
            <v>80</v>
          </cell>
          <cell r="CZ161">
            <v>13.052999999999999</v>
          </cell>
          <cell r="DA161">
            <v>16.31625</v>
          </cell>
          <cell r="DF161">
            <v>600</v>
          </cell>
          <cell r="DG161">
            <v>96</v>
          </cell>
          <cell r="DH161">
            <v>35.067</v>
          </cell>
          <cell r="DI161">
            <v>36.528125000000003</v>
          </cell>
          <cell r="DN161">
            <v>700</v>
          </cell>
          <cell r="DO161">
            <v>112</v>
          </cell>
          <cell r="DP161">
            <v>52.043999999999997</v>
          </cell>
          <cell r="DQ161">
            <v>46.467857142857142</v>
          </cell>
          <cell r="DV161">
            <v>700</v>
          </cell>
          <cell r="DW161">
            <v>112</v>
          </cell>
          <cell r="DX161">
            <v>56.409000000000006</v>
          </cell>
          <cell r="DY161">
            <v>50.365178571428579</v>
          </cell>
        </row>
        <row r="162">
          <cell r="F162">
            <v>0</v>
          </cell>
          <cell r="G162">
            <v>0</v>
          </cell>
          <cell r="H162">
            <v>0</v>
          </cell>
          <cell r="I162">
            <v>0</v>
          </cell>
          <cell r="N162">
            <v>0</v>
          </cell>
          <cell r="O162">
            <v>0</v>
          </cell>
          <cell r="T162">
            <v>0</v>
          </cell>
          <cell r="U162">
            <v>0</v>
          </cell>
          <cell r="Z162">
            <v>0</v>
          </cell>
          <cell r="AA162">
            <v>0</v>
          </cell>
          <cell r="AF162">
            <v>0</v>
          </cell>
          <cell r="AG162">
            <v>0</v>
          </cell>
          <cell r="AL162">
            <v>0</v>
          </cell>
          <cell r="AM162">
            <v>0</v>
          </cell>
          <cell r="AR162">
            <v>0</v>
          </cell>
          <cell r="AS162">
            <v>0</v>
          </cell>
          <cell r="AX162">
            <v>0</v>
          </cell>
          <cell r="AY162">
            <v>0</v>
          </cell>
          <cell r="AZ162">
            <v>0</v>
          </cell>
          <cell r="BA162">
            <v>0</v>
          </cell>
          <cell r="BF162">
            <v>0</v>
          </cell>
          <cell r="BG162">
            <v>0</v>
          </cell>
          <cell r="BL162">
            <v>0</v>
          </cell>
          <cell r="BM162">
            <v>0</v>
          </cell>
          <cell r="BR162">
            <v>0</v>
          </cell>
          <cell r="BS162">
            <v>0</v>
          </cell>
          <cell r="BX162">
            <v>0</v>
          </cell>
          <cell r="BY162">
            <v>0</v>
          </cell>
          <cell r="CD162">
            <v>0</v>
          </cell>
          <cell r="CE162">
            <v>0</v>
          </cell>
          <cell r="CJ162">
            <v>0</v>
          </cell>
          <cell r="CK162">
            <v>0</v>
          </cell>
          <cell r="CP162">
            <v>0</v>
          </cell>
          <cell r="CQ162">
            <v>0</v>
          </cell>
          <cell r="CR162">
            <v>0</v>
          </cell>
          <cell r="CS162">
            <v>0</v>
          </cell>
          <cell r="CX162">
            <v>0</v>
          </cell>
          <cell r="CY162">
            <v>0</v>
          </cell>
          <cell r="CZ162">
            <v>0</v>
          </cell>
          <cell r="DA162">
            <v>0</v>
          </cell>
          <cell r="DF162">
            <v>0</v>
          </cell>
          <cell r="DG162">
            <v>0</v>
          </cell>
          <cell r="DH162">
            <v>0</v>
          </cell>
          <cell r="DI162">
            <v>0</v>
          </cell>
          <cell r="DN162">
            <v>0</v>
          </cell>
          <cell r="DO162">
            <v>0</v>
          </cell>
          <cell r="DP162">
            <v>0</v>
          </cell>
          <cell r="DQ162">
            <v>0</v>
          </cell>
          <cell r="DV162">
            <v>0</v>
          </cell>
          <cell r="DW162">
            <v>0</v>
          </cell>
          <cell r="DX162">
            <v>0</v>
          </cell>
          <cell r="DY162">
            <v>0</v>
          </cell>
        </row>
        <row r="163">
          <cell r="F163">
            <v>0</v>
          </cell>
          <cell r="G163">
            <v>0</v>
          </cell>
          <cell r="H163">
            <v>0</v>
          </cell>
          <cell r="I163">
            <v>0</v>
          </cell>
          <cell r="N163">
            <v>0</v>
          </cell>
          <cell r="O163">
            <v>0</v>
          </cell>
          <cell r="T163">
            <v>0</v>
          </cell>
          <cell r="U163">
            <v>0</v>
          </cell>
          <cell r="Z163">
            <v>0</v>
          </cell>
          <cell r="AA163">
            <v>0</v>
          </cell>
          <cell r="AF163">
            <v>0</v>
          </cell>
          <cell r="AG163">
            <v>0</v>
          </cell>
          <cell r="AL163">
            <v>0</v>
          </cell>
          <cell r="AM163">
            <v>0</v>
          </cell>
          <cell r="AR163">
            <v>0</v>
          </cell>
          <cell r="AS163">
            <v>0</v>
          </cell>
          <cell r="AX163">
            <v>0</v>
          </cell>
          <cell r="AY163">
            <v>0</v>
          </cell>
          <cell r="AZ163">
            <v>0</v>
          </cell>
          <cell r="BA163">
            <v>0</v>
          </cell>
          <cell r="BF163">
            <v>0</v>
          </cell>
          <cell r="BG163">
            <v>0</v>
          </cell>
          <cell r="BL163">
            <v>0</v>
          </cell>
          <cell r="BM163">
            <v>0</v>
          </cell>
          <cell r="BR163">
            <v>0</v>
          </cell>
          <cell r="BS163">
            <v>0</v>
          </cell>
          <cell r="BX163">
            <v>0</v>
          </cell>
          <cell r="BY163">
            <v>0</v>
          </cell>
          <cell r="CD163">
            <v>0</v>
          </cell>
          <cell r="CE163">
            <v>0</v>
          </cell>
          <cell r="CJ163">
            <v>0</v>
          </cell>
          <cell r="CK163">
            <v>0</v>
          </cell>
          <cell r="CP163">
            <v>0</v>
          </cell>
          <cell r="CQ163">
            <v>0</v>
          </cell>
          <cell r="CR163">
            <v>0</v>
          </cell>
          <cell r="CS163">
            <v>0</v>
          </cell>
          <cell r="CX163">
            <v>0</v>
          </cell>
          <cell r="CY163">
            <v>0</v>
          </cell>
          <cell r="CZ163">
            <v>0</v>
          </cell>
          <cell r="DA163">
            <v>0</v>
          </cell>
          <cell r="DF163">
            <v>0</v>
          </cell>
          <cell r="DG163">
            <v>0</v>
          </cell>
          <cell r="DH163">
            <v>0</v>
          </cell>
          <cell r="DI163">
            <v>0</v>
          </cell>
          <cell r="DN163">
            <v>0</v>
          </cell>
          <cell r="DO163">
            <v>0</v>
          </cell>
          <cell r="DP163">
            <v>0</v>
          </cell>
          <cell r="DQ163">
            <v>0</v>
          </cell>
          <cell r="DV163">
            <v>0</v>
          </cell>
          <cell r="DW163">
            <v>0</v>
          </cell>
          <cell r="DX163">
            <v>0</v>
          </cell>
          <cell r="DY163">
            <v>0</v>
          </cell>
        </row>
        <row r="164">
          <cell r="F164">
            <v>0</v>
          </cell>
          <cell r="G164">
            <v>0</v>
          </cell>
          <cell r="H164">
            <v>0</v>
          </cell>
          <cell r="I164">
            <v>0</v>
          </cell>
          <cell r="N164">
            <v>0</v>
          </cell>
          <cell r="O164">
            <v>0</v>
          </cell>
          <cell r="T164">
            <v>0</v>
          </cell>
          <cell r="U164">
            <v>0</v>
          </cell>
          <cell r="Z164">
            <v>0</v>
          </cell>
          <cell r="AA164">
            <v>0</v>
          </cell>
          <cell r="AF164">
            <v>0</v>
          </cell>
          <cell r="AG164">
            <v>0</v>
          </cell>
          <cell r="AL164">
            <v>0</v>
          </cell>
          <cell r="AM164">
            <v>0</v>
          </cell>
          <cell r="AR164">
            <v>0</v>
          </cell>
          <cell r="AS164">
            <v>0</v>
          </cell>
          <cell r="AX164">
            <v>0</v>
          </cell>
          <cell r="AY164">
            <v>0</v>
          </cell>
          <cell r="AZ164">
            <v>0</v>
          </cell>
          <cell r="BA164">
            <v>0</v>
          </cell>
          <cell r="BF164">
            <v>0</v>
          </cell>
          <cell r="BG164">
            <v>0</v>
          </cell>
          <cell r="BL164">
            <v>0</v>
          </cell>
          <cell r="BM164">
            <v>0</v>
          </cell>
          <cell r="BR164">
            <v>0</v>
          </cell>
          <cell r="BS164">
            <v>0</v>
          </cell>
          <cell r="BX164">
            <v>0</v>
          </cell>
          <cell r="BY164">
            <v>0</v>
          </cell>
          <cell r="CD164">
            <v>0</v>
          </cell>
          <cell r="CE164">
            <v>0</v>
          </cell>
          <cell r="CJ164">
            <v>0</v>
          </cell>
          <cell r="CK164">
            <v>0</v>
          </cell>
          <cell r="CP164">
            <v>0</v>
          </cell>
          <cell r="CQ164">
            <v>0</v>
          </cell>
          <cell r="CR164">
            <v>0</v>
          </cell>
          <cell r="CS164">
            <v>0</v>
          </cell>
          <cell r="CX164">
            <v>0</v>
          </cell>
          <cell r="CY164">
            <v>0</v>
          </cell>
          <cell r="CZ164">
            <v>0</v>
          </cell>
          <cell r="DA164">
            <v>0</v>
          </cell>
          <cell r="DF164">
            <v>0</v>
          </cell>
          <cell r="DG164">
            <v>0</v>
          </cell>
          <cell r="DH164">
            <v>0</v>
          </cell>
          <cell r="DI164">
            <v>0</v>
          </cell>
          <cell r="DN164">
            <v>0</v>
          </cell>
          <cell r="DO164">
            <v>0</v>
          </cell>
          <cell r="DP164">
            <v>0</v>
          </cell>
          <cell r="DQ164">
            <v>0</v>
          </cell>
          <cell r="DV164">
            <v>0</v>
          </cell>
          <cell r="DW164">
            <v>0</v>
          </cell>
          <cell r="DX164">
            <v>0</v>
          </cell>
          <cell r="DY164">
            <v>0</v>
          </cell>
        </row>
        <row r="165">
          <cell r="F165">
            <v>0</v>
          </cell>
          <cell r="G165">
            <v>0</v>
          </cell>
          <cell r="H165">
            <v>0</v>
          </cell>
          <cell r="I165">
            <v>0</v>
          </cell>
          <cell r="N165">
            <v>0</v>
          </cell>
          <cell r="O165">
            <v>0</v>
          </cell>
          <cell r="T165">
            <v>0</v>
          </cell>
          <cell r="U165">
            <v>0</v>
          </cell>
          <cell r="Z165">
            <v>0</v>
          </cell>
          <cell r="AA165">
            <v>0</v>
          </cell>
          <cell r="AF165">
            <v>0</v>
          </cell>
          <cell r="AG165">
            <v>0</v>
          </cell>
          <cell r="AL165">
            <v>0</v>
          </cell>
          <cell r="AM165">
            <v>0</v>
          </cell>
          <cell r="AR165">
            <v>0</v>
          </cell>
          <cell r="AS165">
            <v>0</v>
          </cell>
          <cell r="AX165">
            <v>0</v>
          </cell>
          <cell r="AY165">
            <v>0</v>
          </cell>
          <cell r="AZ165">
            <v>0</v>
          </cell>
          <cell r="BA165">
            <v>0</v>
          </cell>
          <cell r="BF165">
            <v>0</v>
          </cell>
          <cell r="BG165">
            <v>0</v>
          </cell>
          <cell r="BL165">
            <v>0</v>
          </cell>
          <cell r="BM165">
            <v>0</v>
          </cell>
          <cell r="BR165">
            <v>0</v>
          </cell>
          <cell r="BS165">
            <v>0</v>
          </cell>
          <cell r="BX165">
            <v>0</v>
          </cell>
          <cell r="BY165">
            <v>0</v>
          </cell>
          <cell r="CD165">
            <v>0</v>
          </cell>
          <cell r="CE165">
            <v>0</v>
          </cell>
          <cell r="CJ165">
            <v>0</v>
          </cell>
          <cell r="CK165">
            <v>0</v>
          </cell>
          <cell r="CP165">
            <v>0</v>
          </cell>
          <cell r="CQ165">
            <v>0</v>
          </cell>
          <cell r="CR165">
            <v>0</v>
          </cell>
          <cell r="CS165">
            <v>0</v>
          </cell>
          <cell r="CX165">
            <v>0</v>
          </cell>
          <cell r="CY165">
            <v>0</v>
          </cell>
          <cell r="CZ165">
            <v>0</v>
          </cell>
          <cell r="DA165">
            <v>0</v>
          </cell>
          <cell r="DF165">
            <v>0</v>
          </cell>
          <cell r="DG165">
            <v>0</v>
          </cell>
          <cell r="DH165">
            <v>0</v>
          </cell>
          <cell r="DI165">
            <v>0</v>
          </cell>
          <cell r="DN165">
            <v>0</v>
          </cell>
          <cell r="DO165">
            <v>0</v>
          </cell>
          <cell r="DP165">
            <v>0</v>
          </cell>
          <cell r="DQ165">
            <v>0</v>
          </cell>
          <cell r="DV165">
            <v>0</v>
          </cell>
          <cell r="DW165">
            <v>0</v>
          </cell>
          <cell r="DX165">
            <v>0</v>
          </cell>
          <cell r="DY165">
            <v>0</v>
          </cell>
        </row>
        <row r="166">
          <cell r="F166">
            <v>0</v>
          </cell>
          <cell r="G166">
            <v>0</v>
          </cell>
          <cell r="H166">
            <v>0</v>
          </cell>
          <cell r="I166">
            <v>0</v>
          </cell>
          <cell r="N166">
            <v>0</v>
          </cell>
          <cell r="O166">
            <v>0</v>
          </cell>
          <cell r="T166">
            <v>0</v>
          </cell>
          <cell r="U166">
            <v>0</v>
          </cell>
          <cell r="Z166">
            <v>0</v>
          </cell>
          <cell r="AA166">
            <v>0</v>
          </cell>
          <cell r="AF166">
            <v>0</v>
          </cell>
          <cell r="AG166">
            <v>0</v>
          </cell>
          <cell r="AL166">
            <v>0</v>
          </cell>
          <cell r="AM166">
            <v>0</v>
          </cell>
          <cell r="AR166">
            <v>0</v>
          </cell>
          <cell r="AS166">
            <v>0</v>
          </cell>
          <cell r="AX166">
            <v>0</v>
          </cell>
          <cell r="AY166">
            <v>0</v>
          </cell>
          <cell r="AZ166">
            <v>0</v>
          </cell>
          <cell r="BA166">
            <v>0</v>
          </cell>
          <cell r="BF166">
            <v>0</v>
          </cell>
          <cell r="BG166">
            <v>0</v>
          </cell>
          <cell r="BL166">
            <v>0</v>
          </cell>
          <cell r="BM166">
            <v>0</v>
          </cell>
          <cell r="BR166">
            <v>0</v>
          </cell>
          <cell r="BS166">
            <v>0</v>
          </cell>
          <cell r="BX166">
            <v>0</v>
          </cell>
          <cell r="BY166">
            <v>0</v>
          </cell>
          <cell r="CD166">
            <v>0</v>
          </cell>
          <cell r="CE166">
            <v>0</v>
          </cell>
          <cell r="CJ166">
            <v>0</v>
          </cell>
          <cell r="CK166">
            <v>0</v>
          </cell>
          <cell r="CP166">
            <v>0</v>
          </cell>
          <cell r="CQ166">
            <v>0</v>
          </cell>
          <cell r="CR166">
            <v>0</v>
          </cell>
          <cell r="CS166">
            <v>0</v>
          </cell>
          <cell r="CX166">
            <v>0</v>
          </cell>
          <cell r="CY166">
            <v>0</v>
          </cell>
          <cell r="CZ166">
            <v>0</v>
          </cell>
          <cell r="DA166">
            <v>0</v>
          </cell>
          <cell r="DF166">
            <v>0</v>
          </cell>
          <cell r="DG166">
            <v>0</v>
          </cell>
          <cell r="DH166">
            <v>0</v>
          </cell>
          <cell r="DI166">
            <v>0</v>
          </cell>
          <cell r="DN166">
            <v>0</v>
          </cell>
          <cell r="DO166">
            <v>0</v>
          </cell>
          <cell r="DP166">
            <v>0</v>
          </cell>
          <cell r="DQ166">
            <v>0</v>
          </cell>
          <cell r="DV166">
            <v>0</v>
          </cell>
          <cell r="DW166">
            <v>0</v>
          </cell>
          <cell r="DX166">
            <v>0</v>
          </cell>
          <cell r="DY166">
            <v>0</v>
          </cell>
        </row>
        <row r="167">
          <cell r="F167">
            <v>0</v>
          </cell>
          <cell r="G167">
            <v>0</v>
          </cell>
          <cell r="H167">
            <v>0</v>
          </cell>
          <cell r="I167">
            <v>0</v>
          </cell>
          <cell r="N167">
            <v>0</v>
          </cell>
          <cell r="O167">
            <v>0</v>
          </cell>
          <cell r="T167">
            <v>0</v>
          </cell>
          <cell r="U167">
            <v>0</v>
          </cell>
          <cell r="Z167">
            <v>0</v>
          </cell>
          <cell r="AA167">
            <v>0</v>
          </cell>
          <cell r="AF167">
            <v>0</v>
          </cell>
          <cell r="AG167">
            <v>0</v>
          </cell>
          <cell r="AL167">
            <v>0</v>
          </cell>
          <cell r="AM167">
            <v>0</v>
          </cell>
          <cell r="AR167">
            <v>0</v>
          </cell>
          <cell r="AS167">
            <v>0</v>
          </cell>
          <cell r="AX167">
            <v>0</v>
          </cell>
          <cell r="AY167">
            <v>0</v>
          </cell>
          <cell r="AZ167">
            <v>0</v>
          </cell>
          <cell r="BA167">
            <v>0</v>
          </cell>
          <cell r="BF167">
            <v>0</v>
          </cell>
          <cell r="BG167">
            <v>0</v>
          </cell>
          <cell r="BL167">
            <v>0</v>
          </cell>
          <cell r="BM167">
            <v>0</v>
          </cell>
          <cell r="BR167">
            <v>0</v>
          </cell>
          <cell r="BS167">
            <v>0</v>
          </cell>
          <cell r="BX167">
            <v>0</v>
          </cell>
          <cell r="BY167">
            <v>0</v>
          </cell>
          <cell r="CD167">
            <v>0</v>
          </cell>
          <cell r="CE167">
            <v>0</v>
          </cell>
          <cell r="CJ167">
            <v>0</v>
          </cell>
          <cell r="CK167">
            <v>0</v>
          </cell>
          <cell r="CP167">
            <v>0</v>
          </cell>
          <cell r="CQ167">
            <v>0</v>
          </cell>
          <cell r="CR167">
            <v>0</v>
          </cell>
          <cell r="CS167">
            <v>0</v>
          </cell>
          <cell r="CX167">
            <v>0</v>
          </cell>
          <cell r="CY167">
            <v>0</v>
          </cell>
          <cell r="CZ167">
            <v>0</v>
          </cell>
          <cell r="DA167">
            <v>0</v>
          </cell>
          <cell r="DF167">
            <v>0</v>
          </cell>
          <cell r="DG167">
            <v>0</v>
          </cell>
          <cell r="DH167">
            <v>0</v>
          </cell>
          <cell r="DI167">
            <v>0</v>
          </cell>
          <cell r="DN167">
            <v>0</v>
          </cell>
          <cell r="DO167">
            <v>0</v>
          </cell>
          <cell r="DP167">
            <v>0</v>
          </cell>
          <cell r="DQ167">
            <v>0</v>
          </cell>
          <cell r="DV167">
            <v>0</v>
          </cell>
          <cell r="DW167">
            <v>0</v>
          </cell>
          <cell r="DX167">
            <v>0</v>
          </cell>
          <cell r="DY167">
            <v>0</v>
          </cell>
        </row>
        <row r="168">
          <cell r="F168">
            <v>4500</v>
          </cell>
          <cell r="G168">
            <v>362</v>
          </cell>
          <cell r="H168">
            <v>108.08</v>
          </cell>
          <cell r="I168">
            <v>29.856353591160222</v>
          </cell>
          <cell r="N168">
            <v>300</v>
          </cell>
          <cell r="O168">
            <v>24</v>
          </cell>
          <cell r="P168">
            <v>-2.8580000000000001</v>
          </cell>
          <cell r="T168">
            <v>300</v>
          </cell>
          <cell r="U168">
            <v>24</v>
          </cell>
          <cell r="V168">
            <v>1.5820000000000001</v>
          </cell>
          <cell r="Z168">
            <v>350</v>
          </cell>
          <cell r="AA168">
            <v>28</v>
          </cell>
          <cell r="AB168">
            <v>4.8719999999999999</v>
          </cell>
          <cell r="AF168">
            <v>350</v>
          </cell>
          <cell r="AG168">
            <v>28</v>
          </cell>
          <cell r="AH168">
            <v>6.657</v>
          </cell>
          <cell r="AL168">
            <v>400</v>
          </cell>
          <cell r="AM168">
            <v>32</v>
          </cell>
          <cell r="AN168">
            <v>9.5220000000000002</v>
          </cell>
          <cell r="AR168">
            <v>400</v>
          </cell>
          <cell r="AS168">
            <v>32</v>
          </cell>
          <cell r="AT168">
            <v>10.752000000000001</v>
          </cell>
          <cell r="AX168">
            <v>2100</v>
          </cell>
          <cell r="AY168">
            <v>168</v>
          </cell>
          <cell r="AZ168">
            <v>30.526999999999997</v>
          </cell>
          <cell r="BA168">
            <v>18.170833333333331</v>
          </cell>
          <cell r="BF168">
            <v>420</v>
          </cell>
          <cell r="BG168">
            <v>34</v>
          </cell>
          <cell r="BH168">
            <v>12.677</v>
          </cell>
          <cell r="BL168">
            <v>370</v>
          </cell>
          <cell r="BM168">
            <v>30</v>
          </cell>
          <cell r="BN168">
            <v>11.519</v>
          </cell>
          <cell r="BR168">
            <v>370</v>
          </cell>
          <cell r="BS168">
            <v>30</v>
          </cell>
          <cell r="BT168">
            <v>12.096</v>
          </cell>
          <cell r="BX168">
            <v>470</v>
          </cell>
          <cell r="BY168">
            <v>38</v>
          </cell>
          <cell r="BZ168">
            <v>15.557</v>
          </cell>
          <cell r="CD168">
            <v>420</v>
          </cell>
          <cell r="CE168">
            <v>34</v>
          </cell>
          <cell r="CF168">
            <v>14.108000000000001</v>
          </cell>
          <cell r="CJ168">
            <v>350</v>
          </cell>
          <cell r="CK168">
            <v>28</v>
          </cell>
          <cell r="CL168">
            <v>11.596</v>
          </cell>
          <cell r="CP168">
            <v>2400</v>
          </cell>
          <cell r="CQ168">
            <v>194</v>
          </cell>
          <cell r="CR168">
            <v>77.552999999999997</v>
          </cell>
          <cell r="CS168">
            <v>39.975773195876286</v>
          </cell>
          <cell r="CX168">
            <v>950</v>
          </cell>
          <cell r="CY168">
            <v>76</v>
          </cell>
          <cell r="CZ168">
            <v>3.5960000000000001</v>
          </cell>
          <cell r="DA168">
            <v>4.7315789473684218</v>
          </cell>
          <cell r="DF168">
            <v>1150</v>
          </cell>
          <cell r="DG168">
            <v>92</v>
          </cell>
          <cell r="DH168">
            <v>26.931000000000004</v>
          </cell>
          <cell r="DI168">
            <v>29.272826086956528</v>
          </cell>
          <cell r="DN168">
            <v>1160</v>
          </cell>
          <cell r="DO168">
            <v>94</v>
          </cell>
          <cell r="DP168">
            <v>36.292000000000002</v>
          </cell>
          <cell r="DQ168">
            <v>38.608510638297872</v>
          </cell>
          <cell r="DV168">
            <v>1240</v>
          </cell>
          <cell r="DW168">
            <v>100</v>
          </cell>
          <cell r="DX168">
            <v>41.260999999999996</v>
          </cell>
          <cell r="DY168">
            <v>41.260999999999996</v>
          </cell>
        </row>
        <row r="169">
          <cell r="F169">
            <v>1000</v>
          </cell>
          <cell r="G169">
            <v>152</v>
          </cell>
          <cell r="H169">
            <v>67.215000000000003</v>
          </cell>
          <cell r="I169">
            <v>44.220394736842103</v>
          </cell>
          <cell r="N169">
            <v>50</v>
          </cell>
          <cell r="O169">
            <v>8</v>
          </cell>
          <cell r="P169">
            <v>1.2769999999999999</v>
          </cell>
          <cell r="T169">
            <v>80</v>
          </cell>
          <cell r="U169">
            <v>12</v>
          </cell>
          <cell r="V169">
            <v>2.4830000000000001</v>
          </cell>
          <cell r="Z169">
            <v>90</v>
          </cell>
          <cell r="AA169">
            <v>14</v>
          </cell>
          <cell r="AB169">
            <v>5.0149999999999997</v>
          </cell>
          <cell r="AF169">
            <v>100</v>
          </cell>
          <cell r="AG169">
            <v>15</v>
          </cell>
          <cell r="AH169">
            <v>5.9349999999999996</v>
          </cell>
          <cell r="AL169">
            <v>100</v>
          </cell>
          <cell r="AM169">
            <v>15</v>
          </cell>
          <cell r="AN169">
            <v>6.7350000000000003</v>
          </cell>
          <cell r="AR169">
            <v>100</v>
          </cell>
          <cell r="AS169">
            <v>15</v>
          </cell>
          <cell r="AT169">
            <v>7.2590000000000003</v>
          </cell>
          <cell r="AX169">
            <v>520</v>
          </cell>
          <cell r="AY169">
            <v>79</v>
          </cell>
          <cell r="AZ169">
            <v>28.704000000000001</v>
          </cell>
          <cell r="BA169">
            <v>36.334177215189875</v>
          </cell>
          <cell r="BF169">
            <v>120</v>
          </cell>
          <cell r="BG169">
            <v>18</v>
          </cell>
          <cell r="BH169">
            <v>8.9749999999999996</v>
          </cell>
          <cell r="BL169">
            <v>60</v>
          </cell>
          <cell r="BM169">
            <v>9</v>
          </cell>
          <cell r="BN169">
            <v>4.5810000000000004</v>
          </cell>
          <cell r="BR169">
            <v>60</v>
          </cell>
          <cell r="BS169">
            <v>9</v>
          </cell>
          <cell r="BT169">
            <v>4.734</v>
          </cell>
          <cell r="BX169">
            <v>100</v>
          </cell>
          <cell r="BY169">
            <v>15</v>
          </cell>
          <cell r="BZ169">
            <v>7.9740000000000002</v>
          </cell>
          <cell r="CD169">
            <v>90</v>
          </cell>
          <cell r="CE169">
            <v>14</v>
          </cell>
          <cell r="CF169">
            <v>7.71</v>
          </cell>
          <cell r="CJ169">
            <v>50</v>
          </cell>
          <cell r="CK169">
            <v>8</v>
          </cell>
          <cell r="CL169">
            <v>4.5369999999999999</v>
          </cell>
          <cell r="CP169">
            <v>480</v>
          </cell>
          <cell r="CQ169">
            <v>73</v>
          </cell>
          <cell r="CR169">
            <v>38.510999999999996</v>
          </cell>
          <cell r="CS169">
            <v>52.754794520547946</v>
          </cell>
          <cell r="CX169">
            <v>220</v>
          </cell>
          <cell r="CY169">
            <v>34</v>
          </cell>
          <cell r="CZ169">
            <v>8.7749999999999986</v>
          </cell>
          <cell r="DA169">
            <v>25.808823529411761</v>
          </cell>
          <cell r="DF169">
            <v>300</v>
          </cell>
          <cell r="DG169">
            <v>45</v>
          </cell>
          <cell r="DH169">
            <v>19.929000000000002</v>
          </cell>
          <cell r="DI169">
            <v>44.286666666666669</v>
          </cell>
          <cell r="DN169">
            <v>240</v>
          </cell>
          <cell r="DO169">
            <v>36</v>
          </cell>
          <cell r="DP169">
            <v>18.29</v>
          </cell>
          <cell r="DQ169">
            <v>50.80555555555555</v>
          </cell>
          <cell r="DV169">
            <v>240</v>
          </cell>
          <cell r="DW169">
            <v>37</v>
          </cell>
          <cell r="DX169">
            <v>20.221</v>
          </cell>
          <cell r="DY169">
            <v>54.651351351351352</v>
          </cell>
        </row>
        <row r="170">
          <cell r="F170">
            <v>1000</v>
          </cell>
          <cell r="G170">
            <v>453</v>
          </cell>
          <cell r="H170">
            <v>278.44</v>
          </cell>
          <cell r="I170">
            <v>61.46578366445916</v>
          </cell>
          <cell r="N170">
            <v>50</v>
          </cell>
          <cell r="O170">
            <v>23</v>
          </cell>
          <cell r="P170">
            <v>0.23200000000000001</v>
          </cell>
          <cell r="T170">
            <v>70</v>
          </cell>
          <cell r="U170">
            <v>32</v>
          </cell>
          <cell r="V170">
            <v>11.78</v>
          </cell>
          <cell r="Z170">
            <v>90</v>
          </cell>
          <cell r="AA170">
            <v>41</v>
          </cell>
          <cell r="AB170">
            <v>21.295000000000002</v>
          </cell>
          <cell r="AF170">
            <v>100</v>
          </cell>
          <cell r="AG170">
            <v>45</v>
          </cell>
          <cell r="AH170">
            <v>27.097000000000001</v>
          </cell>
          <cell r="AL170">
            <v>100</v>
          </cell>
          <cell r="AM170">
            <v>45</v>
          </cell>
          <cell r="AN170">
            <v>29.405999999999999</v>
          </cell>
          <cell r="AR170">
            <v>100</v>
          </cell>
          <cell r="AS170">
            <v>45</v>
          </cell>
          <cell r="AT170">
            <v>30.568000000000001</v>
          </cell>
          <cell r="AX170">
            <v>510</v>
          </cell>
          <cell r="AY170">
            <v>231</v>
          </cell>
          <cell r="AZ170">
            <v>120.378</v>
          </cell>
          <cell r="BA170">
            <v>52.111688311688312</v>
          </cell>
          <cell r="BF170">
            <v>110</v>
          </cell>
          <cell r="BG170">
            <v>50</v>
          </cell>
          <cell r="BH170">
            <v>34.86</v>
          </cell>
          <cell r="BL170">
            <v>60</v>
          </cell>
          <cell r="BM170">
            <v>27</v>
          </cell>
          <cell r="BN170">
            <v>18.933</v>
          </cell>
          <cell r="BR170">
            <v>60</v>
          </cell>
          <cell r="BS170">
            <v>27</v>
          </cell>
          <cell r="BT170">
            <v>19.254999999999999</v>
          </cell>
          <cell r="BX170">
            <v>110</v>
          </cell>
          <cell r="BY170">
            <v>50</v>
          </cell>
          <cell r="BZ170">
            <v>35.96</v>
          </cell>
          <cell r="CD170">
            <v>90</v>
          </cell>
          <cell r="CE170">
            <v>41</v>
          </cell>
          <cell r="CF170">
            <v>29.591999999999999</v>
          </cell>
          <cell r="CJ170">
            <v>60</v>
          </cell>
          <cell r="CK170">
            <v>27</v>
          </cell>
          <cell r="CL170">
            <v>19.462</v>
          </cell>
          <cell r="CP170">
            <v>490</v>
          </cell>
          <cell r="CQ170">
            <v>222</v>
          </cell>
          <cell r="CR170">
            <v>158.06200000000001</v>
          </cell>
          <cell r="CS170">
            <v>71.199099099099101</v>
          </cell>
          <cell r="CX170">
            <v>210</v>
          </cell>
          <cell r="CY170">
            <v>96</v>
          </cell>
          <cell r="CZ170">
            <v>33.307000000000002</v>
          </cell>
          <cell r="DA170">
            <v>34.694791666666667</v>
          </cell>
          <cell r="DF170">
            <v>300</v>
          </cell>
          <cell r="DG170">
            <v>135</v>
          </cell>
          <cell r="DH170">
            <v>87.070999999999998</v>
          </cell>
          <cell r="DI170">
            <v>64.497037037037032</v>
          </cell>
          <cell r="DN170">
            <v>230</v>
          </cell>
          <cell r="DO170">
            <v>104</v>
          </cell>
          <cell r="DP170">
            <v>73.048000000000002</v>
          </cell>
          <cell r="DQ170">
            <v>70.238461538461536</v>
          </cell>
          <cell r="DV170">
            <v>260</v>
          </cell>
          <cell r="DW170">
            <v>118</v>
          </cell>
          <cell r="DX170">
            <v>85.013999999999996</v>
          </cell>
          <cell r="DY170">
            <v>72.045762711864398</v>
          </cell>
        </row>
        <row r="171">
          <cell r="F171">
            <v>500</v>
          </cell>
          <cell r="G171">
            <v>300</v>
          </cell>
          <cell r="H171">
            <v>140.85399999999998</v>
          </cell>
          <cell r="I171">
            <v>46.951333333333331</v>
          </cell>
          <cell r="N171">
            <v>0</v>
          </cell>
          <cell r="O171">
            <v>0</v>
          </cell>
          <cell r="P171">
            <v>0</v>
          </cell>
          <cell r="T171">
            <v>0</v>
          </cell>
          <cell r="U171">
            <v>0</v>
          </cell>
          <cell r="V171">
            <v>0</v>
          </cell>
          <cell r="Z171">
            <v>0</v>
          </cell>
          <cell r="AA171">
            <v>0</v>
          </cell>
          <cell r="AB171">
            <v>0</v>
          </cell>
          <cell r="AF171">
            <v>20</v>
          </cell>
          <cell r="AG171">
            <v>12</v>
          </cell>
          <cell r="AH171">
            <v>5.3150000000000004</v>
          </cell>
          <cell r="AL171">
            <v>30</v>
          </cell>
          <cell r="AM171">
            <v>18</v>
          </cell>
          <cell r="AN171">
            <v>8.2309999999999999</v>
          </cell>
          <cell r="AR171">
            <v>50</v>
          </cell>
          <cell r="AS171">
            <v>30</v>
          </cell>
          <cell r="AT171">
            <v>13.891</v>
          </cell>
          <cell r="AX171">
            <v>100</v>
          </cell>
          <cell r="AY171">
            <v>60</v>
          </cell>
          <cell r="AZ171">
            <v>27.437000000000001</v>
          </cell>
          <cell r="BA171">
            <v>45.728333333333339</v>
          </cell>
          <cell r="BF171">
            <v>80</v>
          </cell>
          <cell r="BG171">
            <v>48</v>
          </cell>
          <cell r="BH171">
            <v>22.431000000000001</v>
          </cell>
          <cell r="BL171">
            <v>50</v>
          </cell>
          <cell r="BM171">
            <v>30</v>
          </cell>
          <cell r="BN171">
            <v>14.045999999999999</v>
          </cell>
          <cell r="BR171">
            <v>60</v>
          </cell>
          <cell r="BS171">
            <v>36</v>
          </cell>
          <cell r="BT171">
            <v>17.015000000000001</v>
          </cell>
          <cell r="BX171">
            <v>90</v>
          </cell>
          <cell r="BY171">
            <v>54</v>
          </cell>
          <cell r="BZ171">
            <v>25.631</v>
          </cell>
          <cell r="CD171">
            <v>80</v>
          </cell>
          <cell r="CE171">
            <v>48</v>
          </cell>
          <cell r="CF171">
            <v>22.834</v>
          </cell>
          <cell r="CJ171">
            <v>40</v>
          </cell>
          <cell r="CK171">
            <v>24</v>
          </cell>
          <cell r="CL171">
            <v>11.46</v>
          </cell>
          <cell r="CP171">
            <v>400</v>
          </cell>
          <cell r="CQ171">
            <v>240</v>
          </cell>
          <cell r="CR171">
            <v>113.41699999999999</v>
          </cell>
          <cell r="CS171">
            <v>47.257083333333327</v>
          </cell>
          <cell r="CX171">
            <v>0</v>
          </cell>
          <cell r="CY171">
            <v>0</v>
          </cell>
          <cell r="CZ171">
            <v>0</v>
          </cell>
          <cell r="DA171">
            <v>0</v>
          </cell>
          <cell r="DF171">
            <v>100</v>
          </cell>
          <cell r="DG171">
            <v>60</v>
          </cell>
          <cell r="DH171">
            <v>27.436999999999998</v>
          </cell>
          <cell r="DI171">
            <v>45.728333333333332</v>
          </cell>
          <cell r="DN171">
            <v>190</v>
          </cell>
          <cell r="DO171">
            <v>114</v>
          </cell>
          <cell r="DP171">
            <v>53.492000000000004</v>
          </cell>
          <cell r="DQ171">
            <v>46.922807017543867</v>
          </cell>
          <cell r="DV171">
            <v>210</v>
          </cell>
          <cell r="DW171">
            <v>126</v>
          </cell>
          <cell r="DX171">
            <v>59.925000000000004</v>
          </cell>
          <cell r="DY171">
            <v>47.55952380952381</v>
          </cell>
        </row>
        <row r="172">
          <cell r="F172">
            <v>0</v>
          </cell>
          <cell r="G172">
            <v>0</v>
          </cell>
          <cell r="H172">
            <v>0</v>
          </cell>
          <cell r="I172">
            <v>0</v>
          </cell>
          <cell r="N172">
            <v>0</v>
          </cell>
          <cell r="O172">
            <v>0</v>
          </cell>
          <cell r="T172">
            <v>0</v>
          </cell>
          <cell r="U172">
            <v>0</v>
          </cell>
          <cell r="Z172">
            <v>0</v>
          </cell>
          <cell r="AA172">
            <v>0</v>
          </cell>
          <cell r="AF172">
            <v>0</v>
          </cell>
          <cell r="AG172">
            <v>0</v>
          </cell>
          <cell r="AL172">
            <v>0</v>
          </cell>
          <cell r="AM172">
            <v>0</v>
          </cell>
          <cell r="AR172">
            <v>0</v>
          </cell>
          <cell r="AS172">
            <v>0</v>
          </cell>
          <cell r="AX172">
            <v>0</v>
          </cell>
          <cell r="AY172">
            <v>0</v>
          </cell>
          <cell r="AZ172">
            <v>0</v>
          </cell>
          <cell r="BA172">
            <v>0</v>
          </cell>
          <cell r="BF172">
            <v>0</v>
          </cell>
          <cell r="BG172">
            <v>0</v>
          </cell>
          <cell r="BL172">
            <v>0</v>
          </cell>
          <cell r="BM172">
            <v>0</v>
          </cell>
          <cell r="BR172">
            <v>0</v>
          </cell>
          <cell r="BS172">
            <v>0</v>
          </cell>
          <cell r="BX172">
            <v>0</v>
          </cell>
          <cell r="BY172">
            <v>0</v>
          </cell>
          <cell r="CD172">
            <v>0</v>
          </cell>
          <cell r="CE172">
            <v>0</v>
          </cell>
          <cell r="CJ172">
            <v>0</v>
          </cell>
          <cell r="CK172">
            <v>0</v>
          </cell>
          <cell r="CP172">
            <v>0</v>
          </cell>
          <cell r="CQ172">
            <v>0</v>
          </cell>
          <cell r="CR172">
            <v>0</v>
          </cell>
          <cell r="CS172">
            <v>0</v>
          </cell>
          <cell r="CX172">
            <v>0</v>
          </cell>
          <cell r="CY172">
            <v>0</v>
          </cell>
          <cell r="CZ172">
            <v>0</v>
          </cell>
          <cell r="DA172">
            <v>0</v>
          </cell>
          <cell r="DF172">
            <v>0</v>
          </cell>
          <cell r="DG172">
            <v>0</v>
          </cell>
          <cell r="DH172">
            <v>0</v>
          </cell>
          <cell r="DI172">
            <v>0</v>
          </cell>
          <cell r="DN172">
            <v>0</v>
          </cell>
          <cell r="DO172">
            <v>0</v>
          </cell>
          <cell r="DP172">
            <v>0</v>
          </cell>
          <cell r="DQ172">
            <v>0</v>
          </cell>
          <cell r="DV172">
            <v>0</v>
          </cell>
          <cell r="DW172">
            <v>0</v>
          </cell>
          <cell r="DX172">
            <v>0</v>
          </cell>
          <cell r="DY172">
            <v>0</v>
          </cell>
        </row>
        <row r="173">
          <cell r="F173">
            <v>0</v>
          </cell>
          <cell r="G173">
            <v>0</v>
          </cell>
          <cell r="H173">
            <v>0</v>
          </cell>
          <cell r="I173">
            <v>0</v>
          </cell>
          <cell r="N173">
            <v>0</v>
          </cell>
          <cell r="O173">
            <v>0</v>
          </cell>
          <cell r="T173">
            <v>0</v>
          </cell>
          <cell r="U173">
            <v>0</v>
          </cell>
          <cell r="Z173">
            <v>0</v>
          </cell>
          <cell r="AA173">
            <v>0</v>
          </cell>
          <cell r="AF173">
            <v>0</v>
          </cell>
          <cell r="AG173">
            <v>0</v>
          </cell>
          <cell r="AL173">
            <v>0</v>
          </cell>
          <cell r="AM173">
            <v>0</v>
          </cell>
          <cell r="AR173">
            <v>0</v>
          </cell>
          <cell r="AS173">
            <v>0</v>
          </cell>
          <cell r="AX173">
            <v>0</v>
          </cell>
          <cell r="AY173">
            <v>0</v>
          </cell>
          <cell r="AZ173">
            <v>0</v>
          </cell>
          <cell r="BA173">
            <v>0</v>
          </cell>
          <cell r="BF173">
            <v>0</v>
          </cell>
          <cell r="BG173">
            <v>0</v>
          </cell>
          <cell r="BL173">
            <v>0</v>
          </cell>
          <cell r="BM173">
            <v>0</v>
          </cell>
          <cell r="BR173">
            <v>0</v>
          </cell>
          <cell r="BS173">
            <v>0</v>
          </cell>
          <cell r="BX173">
            <v>0</v>
          </cell>
          <cell r="BY173">
            <v>0</v>
          </cell>
          <cell r="CD173">
            <v>0</v>
          </cell>
          <cell r="CE173">
            <v>0</v>
          </cell>
          <cell r="CJ173">
            <v>0</v>
          </cell>
          <cell r="CK173">
            <v>0</v>
          </cell>
          <cell r="CP173">
            <v>0</v>
          </cell>
          <cell r="CQ173">
            <v>0</v>
          </cell>
          <cell r="CR173">
            <v>0</v>
          </cell>
          <cell r="CS173">
            <v>0</v>
          </cell>
          <cell r="CX173">
            <v>0</v>
          </cell>
          <cell r="CY173">
            <v>0</v>
          </cell>
          <cell r="CZ173">
            <v>0</v>
          </cell>
          <cell r="DA173">
            <v>0</v>
          </cell>
          <cell r="DF173">
            <v>0</v>
          </cell>
          <cell r="DG173">
            <v>0</v>
          </cell>
          <cell r="DH173">
            <v>0</v>
          </cell>
          <cell r="DI173">
            <v>0</v>
          </cell>
          <cell r="DN173">
            <v>0</v>
          </cell>
          <cell r="DO173">
            <v>0</v>
          </cell>
          <cell r="DP173">
            <v>0</v>
          </cell>
          <cell r="DQ173">
            <v>0</v>
          </cell>
          <cell r="DV173">
            <v>0</v>
          </cell>
          <cell r="DW173">
            <v>0</v>
          </cell>
          <cell r="DX173">
            <v>0</v>
          </cell>
          <cell r="DY173">
            <v>0</v>
          </cell>
        </row>
        <row r="174">
          <cell r="F174">
            <v>9500</v>
          </cell>
          <cell r="G174">
            <v>1667</v>
          </cell>
          <cell r="H174">
            <v>751.16200000000003</v>
          </cell>
          <cell r="I174">
            <v>45.060707858428316</v>
          </cell>
          <cell r="N174">
            <v>550</v>
          </cell>
          <cell r="O174">
            <v>79</v>
          </cell>
          <cell r="P174">
            <v>0.6599999999999997</v>
          </cell>
          <cell r="T174">
            <v>600</v>
          </cell>
          <cell r="U174">
            <v>92</v>
          </cell>
          <cell r="V174">
            <v>19.209</v>
          </cell>
          <cell r="Z174">
            <v>730</v>
          </cell>
          <cell r="AA174">
            <v>115</v>
          </cell>
          <cell r="AB174">
            <v>38.862000000000002</v>
          </cell>
          <cell r="AF174">
            <v>770</v>
          </cell>
          <cell r="AG174">
            <v>132</v>
          </cell>
          <cell r="AH174">
            <v>54.712999999999994</v>
          </cell>
          <cell r="AL174">
            <v>830</v>
          </cell>
          <cell r="AM174">
            <v>142</v>
          </cell>
          <cell r="AN174">
            <v>65.760999999999996</v>
          </cell>
          <cell r="AR174">
            <v>850</v>
          </cell>
          <cell r="AS174">
            <v>154</v>
          </cell>
          <cell r="AT174">
            <v>75.961000000000013</v>
          </cell>
          <cell r="AX174">
            <v>4330</v>
          </cell>
          <cell r="AY174">
            <v>714</v>
          </cell>
          <cell r="AZ174">
            <v>255.166</v>
          </cell>
          <cell r="BA174">
            <v>35.737535014005601</v>
          </cell>
          <cell r="BF174">
            <v>1030</v>
          </cell>
          <cell r="BG174">
            <v>198</v>
          </cell>
          <cell r="BH174">
            <v>100.526</v>
          </cell>
          <cell r="BL174">
            <v>740</v>
          </cell>
          <cell r="BM174">
            <v>128</v>
          </cell>
          <cell r="BN174">
            <v>63.922999999999995</v>
          </cell>
          <cell r="BR174">
            <v>750</v>
          </cell>
          <cell r="BS174">
            <v>134</v>
          </cell>
          <cell r="BT174">
            <v>68.716999999999999</v>
          </cell>
          <cell r="BX174">
            <v>1070</v>
          </cell>
          <cell r="BY174">
            <v>205</v>
          </cell>
          <cell r="BZ174">
            <v>109.065</v>
          </cell>
          <cell r="CD174">
            <v>930</v>
          </cell>
          <cell r="CE174">
            <v>177</v>
          </cell>
          <cell r="CF174">
            <v>94.418000000000006</v>
          </cell>
          <cell r="CJ174">
            <v>650</v>
          </cell>
          <cell r="CK174">
            <v>111</v>
          </cell>
          <cell r="CL174">
            <v>59.347000000000001</v>
          </cell>
          <cell r="CP174">
            <v>5170</v>
          </cell>
          <cell r="CQ174">
            <v>953</v>
          </cell>
          <cell r="CR174">
            <v>495.99599999999998</v>
          </cell>
          <cell r="CS174">
            <v>52.045750262329484</v>
          </cell>
          <cell r="CX174">
            <v>1880</v>
          </cell>
          <cell r="CY174">
            <v>286</v>
          </cell>
          <cell r="CZ174">
            <v>58.731000000000002</v>
          </cell>
          <cell r="DA174">
            <v>20.535314685314685</v>
          </cell>
          <cell r="DF174">
            <v>2450</v>
          </cell>
          <cell r="DG174">
            <v>428</v>
          </cell>
          <cell r="DH174">
            <v>196.435</v>
          </cell>
          <cell r="DI174">
            <v>45.896028037383182</v>
          </cell>
          <cell r="DN174">
            <v>2520</v>
          </cell>
          <cell r="DO174">
            <v>460</v>
          </cell>
          <cell r="DP174">
            <v>233.166</v>
          </cell>
          <cell r="DQ174">
            <v>50.688260869565212</v>
          </cell>
          <cell r="DV174">
            <v>2650</v>
          </cell>
          <cell r="DW174">
            <v>493</v>
          </cell>
          <cell r="DX174">
            <v>262.83</v>
          </cell>
          <cell r="DY174">
            <v>53.312373225152129</v>
          </cell>
        </row>
        <row r="175">
          <cell r="F175">
            <v>6000</v>
          </cell>
          <cell r="G175">
            <v>1920</v>
          </cell>
          <cell r="H175">
            <v>594.56900000000007</v>
          </cell>
          <cell r="I175">
            <v>30.967135416666668</v>
          </cell>
          <cell r="N175">
            <v>400</v>
          </cell>
          <cell r="O175">
            <v>128</v>
          </cell>
          <cell r="P175">
            <v>22.385999999999999</v>
          </cell>
          <cell r="T175">
            <v>400</v>
          </cell>
          <cell r="U175">
            <v>128</v>
          </cell>
          <cell r="V175">
            <v>20.143999999999998</v>
          </cell>
          <cell r="Z175">
            <v>500</v>
          </cell>
          <cell r="AA175">
            <v>160</v>
          </cell>
          <cell r="AB175">
            <v>32.790999999999997</v>
          </cell>
          <cell r="AF175">
            <v>500</v>
          </cell>
          <cell r="AG175">
            <v>160</v>
          </cell>
          <cell r="AH175">
            <v>39.252000000000002</v>
          </cell>
          <cell r="AL175">
            <v>500</v>
          </cell>
          <cell r="AM175">
            <v>160</v>
          </cell>
          <cell r="AN175">
            <v>47.521999999999998</v>
          </cell>
          <cell r="AR175">
            <v>500</v>
          </cell>
          <cell r="AS175">
            <v>160</v>
          </cell>
          <cell r="AT175">
            <v>52.423000000000002</v>
          </cell>
          <cell r="AX175">
            <v>2800</v>
          </cell>
          <cell r="AY175">
            <v>896</v>
          </cell>
          <cell r="AZ175">
            <v>214.518</v>
          </cell>
          <cell r="BA175">
            <v>23.94174107142857</v>
          </cell>
          <cell r="BF175">
            <v>550</v>
          </cell>
          <cell r="BG175">
            <v>176</v>
          </cell>
          <cell r="BH175">
            <v>62.182000000000002</v>
          </cell>
          <cell r="BL175">
            <v>550</v>
          </cell>
          <cell r="BM175">
            <v>176</v>
          </cell>
          <cell r="BN175">
            <v>62.744999999999997</v>
          </cell>
          <cell r="BR175">
            <v>550</v>
          </cell>
          <cell r="BS175">
            <v>176</v>
          </cell>
          <cell r="BT175">
            <v>65.385000000000005</v>
          </cell>
          <cell r="BX175">
            <v>550</v>
          </cell>
          <cell r="BY175">
            <v>176</v>
          </cell>
          <cell r="BZ175">
            <v>66.635999999999996</v>
          </cell>
          <cell r="CD175">
            <v>550</v>
          </cell>
          <cell r="CE175">
            <v>176</v>
          </cell>
          <cell r="CF175">
            <v>67.266000000000005</v>
          </cell>
          <cell r="CJ175">
            <v>450</v>
          </cell>
          <cell r="CK175">
            <v>144</v>
          </cell>
          <cell r="CL175">
            <v>55.837000000000003</v>
          </cell>
          <cell r="CP175">
            <v>3200</v>
          </cell>
          <cell r="CQ175">
            <v>1024</v>
          </cell>
          <cell r="CR175">
            <v>380.05100000000004</v>
          </cell>
          <cell r="CS175">
            <v>37.114355468750006</v>
          </cell>
          <cell r="CX175">
            <v>1300</v>
          </cell>
          <cell r="CY175">
            <v>416</v>
          </cell>
          <cell r="CZ175">
            <v>75.320999999999998</v>
          </cell>
          <cell r="DA175">
            <v>18.106009615384615</v>
          </cell>
          <cell r="DF175">
            <v>1500</v>
          </cell>
          <cell r="DG175">
            <v>480</v>
          </cell>
          <cell r="DH175">
            <v>139.197</v>
          </cell>
          <cell r="DI175">
            <v>28.999375000000001</v>
          </cell>
          <cell r="DN175">
            <v>1650</v>
          </cell>
          <cell r="DO175">
            <v>528</v>
          </cell>
          <cell r="DP175">
            <v>190.31200000000001</v>
          </cell>
          <cell r="DQ175">
            <v>36.043939393939397</v>
          </cell>
          <cell r="DV175">
            <v>1550</v>
          </cell>
          <cell r="DW175">
            <v>496</v>
          </cell>
          <cell r="DX175">
            <v>189.73899999999998</v>
          </cell>
          <cell r="DY175">
            <v>38.253830645161287</v>
          </cell>
        </row>
        <row r="176">
          <cell r="F176">
            <v>1000</v>
          </cell>
          <cell r="G176">
            <v>352</v>
          </cell>
          <cell r="H176">
            <v>172.124</v>
          </cell>
          <cell r="I176">
            <v>48.898863636363636</v>
          </cell>
          <cell r="N176">
            <v>50</v>
          </cell>
          <cell r="O176">
            <v>18</v>
          </cell>
          <cell r="P176">
            <v>9.9830000000000005</v>
          </cell>
          <cell r="T176">
            <v>70</v>
          </cell>
          <cell r="U176">
            <v>25</v>
          </cell>
          <cell r="V176">
            <v>13.775</v>
          </cell>
          <cell r="Z176">
            <v>100</v>
          </cell>
          <cell r="AA176">
            <v>35</v>
          </cell>
          <cell r="AB176">
            <v>18.963999999999999</v>
          </cell>
          <cell r="AF176">
            <v>100</v>
          </cell>
          <cell r="AG176">
            <v>35</v>
          </cell>
          <cell r="AH176">
            <v>18.963999999999999</v>
          </cell>
          <cell r="AL176">
            <v>100</v>
          </cell>
          <cell r="AM176">
            <v>35</v>
          </cell>
          <cell r="AN176">
            <v>18.963999999999999</v>
          </cell>
          <cell r="AR176">
            <v>100</v>
          </cell>
          <cell r="AS176">
            <v>35</v>
          </cell>
          <cell r="AT176">
            <v>18.963999999999999</v>
          </cell>
          <cell r="AX176">
            <v>520</v>
          </cell>
          <cell r="AY176">
            <v>183</v>
          </cell>
          <cell r="AZ176">
            <v>99.614000000000004</v>
          </cell>
          <cell r="BA176">
            <v>54.433879781420771</v>
          </cell>
          <cell r="BF176">
            <v>100</v>
          </cell>
          <cell r="BG176">
            <v>35</v>
          </cell>
          <cell r="BH176">
            <v>18.963999999999999</v>
          </cell>
          <cell r="BL176">
            <v>60</v>
          </cell>
          <cell r="BM176">
            <v>21</v>
          </cell>
          <cell r="BN176">
            <v>11.378</v>
          </cell>
          <cell r="BR176">
            <v>60</v>
          </cell>
          <cell r="BS176">
            <v>21</v>
          </cell>
          <cell r="BT176">
            <v>8.4120000000000008</v>
          </cell>
          <cell r="BX176">
            <v>110</v>
          </cell>
          <cell r="BY176">
            <v>39</v>
          </cell>
          <cell r="BZ176">
            <v>14.680999999999999</v>
          </cell>
          <cell r="CD176">
            <v>90</v>
          </cell>
          <cell r="CE176">
            <v>32</v>
          </cell>
          <cell r="CF176">
            <v>11.647</v>
          </cell>
          <cell r="CJ176">
            <v>60</v>
          </cell>
          <cell r="CK176">
            <v>21</v>
          </cell>
          <cell r="CL176">
            <v>7.4279999999999999</v>
          </cell>
          <cell r="CP176">
            <v>480</v>
          </cell>
          <cell r="CQ176">
            <v>169</v>
          </cell>
          <cell r="CR176">
            <v>72.509999999999991</v>
          </cell>
          <cell r="CS176">
            <v>42.905325443786978</v>
          </cell>
          <cell r="CX176">
            <v>220</v>
          </cell>
          <cell r="CY176">
            <v>78</v>
          </cell>
          <cell r="CZ176">
            <v>42.722000000000001</v>
          </cell>
          <cell r="DA176">
            <v>54.771794871794874</v>
          </cell>
          <cell r="DF176">
            <v>300</v>
          </cell>
          <cell r="DG176">
            <v>105</v>
          </cell>
          <cell r="DH176">
            <v>56.891999999999996</v>
          </cell>
          <cell r="DI176">
            <v>54.182857142857145</v>
          </cell>
          <cell r="DN176">
            <v>220</v>
          </cell>
          <cell r="DO176">
            <v>77</v>
          </cell>
          <cell r="DP176">
            <v>38.753999999999998</v>
          </cell>
          <cell r="DQ176">
            <v>50.329870129870123</v>
          </cell>
          <cell r="DV176">
            <v>260</v>
          </cell>
          <cell r="DW176">
            <v>92</v>
          </cell>
          <cell r="DX176">
            <v>33.756</v>
          </cell>
          <cell r="DY176">
            <v>36.69130434782609</v>
          </cell>
        </row>
        <row r="177">
          <cell r="F177">
            <v>0</v>
          </cell>
          <cell r="G177">
            <v>0</v>
          </cell>
          <cell r="H177">
            <v>0</v>
          </cell>
          <cell r="I177">
            <v>0</v>
          </cell>
          <cell r="AX177">
            <v>0</v>
          </cell>
          <cell r="AY177">
            <v>0</v>
          </cell>
          <cell r="AZ177">
            <v>0</v>
          </cell>
          <cell r="BA177">
            <v>0</v>
          </cell>
          <cell r="CP177">
            <v>0</v>
          </cell>
          <cell r="CQ177">
            <v>0</v>
          </cell>
          <cell r="CR177">
            <v>0</v>
          </cell>
          <cell r="CS177">
            <v>0</v>
          </cell>
          <cell r="CX177">
            <v>0</v>
          </cell>
          <cell r="CY177">
            <v>0</v>
          </cell>
          <cell r="CZ177">
            <v>0</v>
          </cell>
          <cell r="DA177">
            <v>0</v>
          </cell>
          <cell r="DF177">
            <v>0</v>
          </cell>
          <cell r="DG177">
            <v>0</v>
          </cell>
          <cell r="DH177">
            <v>0</v>
          </cell>
          <cell r="DI177">
            <v>0</v>
          </cell>
          <cell r="DN177">
            <v>0</v>
          </cell>
          <cell r="DO177">
            <v>0</v>
          </cell>
          <cell r="DP177">
            <v>0</v>
          </cell>
          <cell r="DQ177">
            <v>0</v>
          </cell>
          <cell r="DV177">
            <v>0</v>
          </cell>
          <cell r="DW177">
            <v>0</v>
          </cell>
          <cell r="DX177">
            <v>0</v>
          </cell>
          <cell r="DY177">
            <v>0</v>
          </cell>
        </row>
        <row r="178">
          <cell r="F178">
            <v>0</v>
          </cell>
          <cell r="G178">
            <v>0</v>
          </cell>
          <cell r="H178">
            <v>0</v>
          </cell>
          <cell r="I178">
            <v>0</v>
          </cell>
          <cell r="N178">
            <v>0</v>
          </cell>
          <cell r="O178">
            <v>0</v>
          </cell>
          <cell r="T178">
            <v>0</v>
          </cell>
          <cell r="U178">
            <v>0</v>
          </cell>
          <cell r="Z178">
            <v>0</v>
          </cell>
          <cell r="AA178">
            <v>0</v>
          </cell>
          <cell r="AF178">
            <v>0</v>
          </cell>
          <cell r="AG178">
            <v>0</v>
          </cell>
          <cell r="AL178">
            <v>0</v>
          </cell>
          <cell r="AM178">
            <v>0</v>
          </cell>
          <cell r="AR178">
            <v>0</v>
          </cell>
          <cell r="AS178">
            <v>0</v>
          </cell>
          <cell r="AX178">
            <v>0</v>
          </cell>
          <cell r="AY178">
            <v>0</v>
          </cell>
          <cell r="AZ178">
            <v>0</v>
          </cell>
          <cell r="BA178">
            <v>0</v>
          </cell>
          <cell r="BF178">
            <v>0</v>
          </cell>
          <cell r="BG178">
            <v>0</v>
          </cell>
          <cell r="BL178">
            <v>0</v>
          </cell>
          <cell r="BM178">
            <v>0</v>
          </cell>
          <cell r="BR178">
            <v>0</v>
          </cell>
          <cell r="BS178">
            <v>0</v>
          </cell>
          <cell r="BX178">
            <v>0</v>
          </cell>
          <cell r="BY178">
            <v>0</v>
          </cell>
          <cell r="CD178">
            <v>0</v>
          </cell>
          <cell r="CE178">
            <v>0</v>
          </cell>
          <cell r="CJ178">
            <v>0</v>
          </cell>
          <cell r="CK178">
            <v>0</v>
          </cell>
          <cell r="CP178">
            <v>0</v>
          </cell>
          <cell r="CQ178">
            <v>0</v>
          </cell>
          <cell r="CR178">
            <v>0</v>
          </cell>
          <cell r="CS178">
            <v>0</v>
          </cell>
          <cell r="CX178">
            <v>0</v>
          </cell>
          <cell r="CY178">
            <v>0</v>
          </cell>
          <cell r="CZ178">
            <v>0</v>
          </cell>
          <cell r="DA178">
            <v>0</v>
          </cell>
          <cell r="DF178">
            <v>0</v>
          </cell>
          <cell r="DG178">
            <v>0</v>
          </cell>
          <cell r="DH178">
            <v>0</v>
          </cell>
          <cell r="DI178">
            <v>0</v>
          </cell>
          <cell r="DN178">
            <v>0</v>
          </cell>
          <cell r="DO178">
            <v>0</v>
          </cell>
          <cell r="DP178">
            <v>0</v>
          </cell>
          <cell r="DQ178">
            <v>0</v>
          </cell>
          <cell r="DV178">
            <v>0</v>
          </cell>
          <cell r="DW178">
            <v>0</v>
          </cell>
          <cell r="DX178">
            <v>0</v>
          </cell>
          <cell r="DY178">
            <v>0</v>
          </cell>
        </row>
        <row r="179">
          <cell r="F179">
            <v>0</v>
          </cell>
          <cell r="G179">
            <v>0</v>
          </cell>
          <cell r="H179">
            <v>0</v>
          </cell>
          <cell r="I179">
            <v>0</v>
          </cell>
          <cell r="N179">
            <v>0</v>
          </cell>
          <cell r="O179">
            <v>0</v>
          </cell>
          <cell r="T179">
            <v>0</v>
          </cell>
          <cell r="U179">
            <v>0</v>
          </cell>
          <cell r="Z179">
            <v>0</v>
          </cell>
          <cell r="AA179">
            <v>0</v>
          </cell>
          <cell r="AF179">
            <v>0</v>
          </cell>
          <cell r="AG179">
            <v>0</v>
          </cell>
          <cell r="AL179">
            <v>0</v>
          </cell>
          <cell r="AM179">
            <v>0</v>
          </cell>
          <cell r="AR179">
            <v>0</v>
          </cell>
          <cell r="AS179">
            <v>0</v>
          </cell>
          <cell r="AX179">
            <v>0</v>
          </cell>
          <cell r="AY179">
            <v>0</v>
          </cell>
          <cell r="AZ179">
            <v>0</v>
          </cell>
          <cell r="BA179">
            <v>0</v>
          </cell>
          <cell r="BF179">
            <v>0</v>
          </cell>
          <cell r="BG179">
            <v>0</v>
          </cell>
          <cell r="BL179">
            <v>0</v>
          </cell>
          <cell r="BM179">
            <v>0</v>
          </cell>
          <cell r="BR179">
            <v>0</v>
          </cell>
          <cell r="BS179">
            <v>0</v>
          </cell>
          <cell r="BX179">
            <v>0</v>
          </cell>
          <cell r="BY179">
            <v>0</v>
          </cell>
          <cell r="CD179">
            <v>0</v>
          </cell>
          <cell r="CE179">
            <v>0</v>
          </cell>
          <cell r="CJ179">
            <v>0</v>
          </cell>
          <cell r="CK179">
            <v>0</v>
          </cell>
          <cell r="CP179">
            <v>0</v>
          </cell>
          <cell r="CQ179">
            <v>0</v>
          </cell>
          <cell r="CR179">
            <v>0</v>
          </cell>
          <cell r="CS179">
            <v>0</v>
          </cell>
          <cell r="CX179">
            <v>0</v>
          </cell>
          <cell r="CY179">
            <v>0</v>
          </cell>
          <cell r="CZ179">
            <v>0</v>
          </cell>
          <cell r="DA179">
            <v>0</v>
          </cell>
          <cell r="DF179">
            <v>0</v>
          </cell>
          <cell r="DG179">
            <v>0</v>
          </cell>
          <cell r="DH179">
            <v>0</v>
          </cell>
          <cell r="DI179">
            <v>0</v>
          </cell>
          <cell r="DN179">
            <v>0</v>
          </cell>
          <cell r="DO179">
            <v>0</v>
          </cell>
          <cell r="DP179">
            <v>0</v>
          </cell>
          <cell r="DQ179">
            <v>0</v>
          </cell>
          <cell r="DV179">
            <v>0</v>
          </cell>
          <cell r="DW179">
            <v>0</v>
          </cell>
          <cell r="DX179">
            <v>0</v>
          </cell>
          <cell r="DY179">
            <v>0</v>
          </cell>
        </row>
        <row r="180">
          <cell r="F180">
            <v>2500</v>
          </cell>
          <cell r="G180">
            <v>627</v>
          </cell>
          <cell r="H180">
            <v>220.452</v>
          </cell>
          <cell r="I180">
            <v>35.159808612440187</v>
          </cell>
          <cell r="N180">
            <v>100</v>
          </cell>
          <cell r="O180">
            <v>25</v>
          </cell>
          <cell r="P180">
            <v>12</v>
          </cell>
          <cell r="T180">
            <v>100</v>
          </cell>
          <cell r="U180">
            <v>25</v>
          </cell>
          <cell r="V180">
            <v>11.08</v>
          </cell>
          <cell r="Z180">
            <v>150</v>
          </cell>
          <cell r="AA180">
            <v>38</v>
          </cell>
          <cell r="AB180">
            <v>13.06</v>
          </cell>
          <cell r="AF180">
            <v>200</v>
          </cell>
          <cell r="AG180">
            <v>50</v>
          </cell>
          <cell r="AH180">
            <v>14.366</v>
          </cell>
          <cell r="AL180">
            <v>200</v>
          </cell>
          <cell r="AM180">
            <v>50</v>
          </cell>
          <cell r="AN180">
            <v>15.138999999999999</v>
          </cell>
          <cell r="AR180">
            <v>200</v>
          </cell>
          <cell r="AS180">
            <v>50</v>
          </cell>
          <cell r="AT180">
            <v>15.875999999999999</v>
          </cell>
          <cell r="AX180">
            <v>950</v>
          </cell>
          <cell r="AY180">
            <v>238</v>
          </cell>
          <cell r="AZ180">
            <v>81.521000000000001</v>
          </cell>
          <cell r="BA180">
            <v>34.252521008403363</v>
          </cell>
          <cell r="BF180">
            <v>250</v>
          </cell>
          <cell r="BG180">
            <v>63</v>
          </cell>
          <cell r="BH180">
            <v>21.492999999999999</v>
          </cell>
          <cell r="BL180">
            <v>200</v>
          </cell>
          <cell r="BM180">
            <v>50</v>
          </cell>
          <cell r="BN180">
            <v>16.885999999999999</v>
          </cell>
          <cell r="BR180">
            <v>200</v>
          </cell>
          <cell r="BS180">
            <v>50</v>
          </cell>
          <cell r="BT180">
            <v>17.684999999999999</v>
          </cell>
          <cell r="BX180">
            <v>350</v>
          </cell>
          <cell r="BY180">
            <v>88</v>
          </cell>
          <cell r="BZ180">
            <v>31.975000000000001</v>
          </cell>
          <cell r="CD180">
            <v>300</v>
          </cell>
          <cell r="CE180">
            <v>75</v>
          </cell>
          <cell r="CF180">
            <v>27.294</v>
          </cell>
          <cell r="CJ180">
            <v>250</v>
          </cell>
          <cell r="CK180">
            <v>63</v>
          </cell>
          <cell r="CL180">
            <v>23.597999999999999</v>
          </cell>
          <cell r="CP180">
            <v>1550</v>
          </cell>
          <cell r="CQ180">
            <v>389</v>
          </cell>
          <cell r="CR180">
            <v>138.93099999999998</v>
          </cell>
          <cell r="CS180">
            <v>35.714910025706935</v>
          </cell>
          <cell r="CX180">
            <v>350</v>
          </cell>
          <cell r="CY180">
            <v>88</v>
          </cell>
          <cell r="CZ180">
            <v>36.14</v>
          </cell>
          <cell r="DA180">
            <v>41.06818181818182</v>
          </cell>
          <cell r="DF180">
            <v>600</v>
          </cell>
          <cell r="DG180">
            <v>150</v>
          </cell>
          <cell r="DH180">
            <v>45.381</v>
          </cell>
          <cell r="DI180">
            <v>30.253999999999998</v>
          </cell>
          <cell r="DN180">
            <v>650</v>
          </cell>
          <cell r="DO180">
            <v>163</v>
          </cell>
          <cell r="DP180">
            <v>56.063999999999993</v>
          </cell>
          <cell r="DQ180">
            <v>34.395092024539878</v>
          </cell>
          <cell r="DV180">
            <v>900</v>
          </cell>
          <cell r="DW180">
            <v>226</v>
          </cell>
          <cell r="DX180">
            <v>82.867000000000004</v>
          </cell>
          <cell r="DY180">
            <v>36.666814159292038</v>
          </cell>
        </row>
        <row r="181">
          <cell r="F181">
            <v>0</v>
          </cell>
          <cell r="G181">
            <v>0</v>
          </cell>
          <cell r="H181">
            <v>0</v>
          </cell>
          <cell r="I181">
            <v>0</v>
          </cell>
          <cell r="AX181">
            <v>0</v>
          </cell>
          <cell r="AY181">
            <v>0</v>
          </cell>
          <cell r="AZ181">
            <v>0</v>
          </cell>
          <cell r="BA181">
            <v>0</v>
          </cell>
          <cell r="CP181">
            <v>0</v>
          </cell>
          <cell r="CQ181">
            <v>0</v>
          </cell>
          <cell r="CR181">
            <v>0</v>
          </cell>
          <cell r="CS181">
            <v>0</v>
          </cell>
          <cell r="CX181">
            <v>0</v>
          </cell>
          <cell r="CY181">
            <v>0</v>
          </cell>
          <cell r="CZ181">
            <v>0</v>
          </cell>
          <cell r="DA181">
            <v>0</v>
          </cell>
          <cell r="DF181">
            <v>0</v>
          </cell>
          <cell r="DG181">
            <v>0</v>
          </cell>
          <cell r="DH181">
            <v>0</v>
          </cell>
          <cell r="DI181">
            <v>0</v>
          </cell>
          <cell r="DN181">
            <v>0</v>
          </cell>
          <cell r="DO181">
            <v>0</v>
          </cell>
          <cell r="DP181">
            <v>0</v>
          </cell>
          <cell r="DQ181">
            <v>0</v>
          </cell>
          <cell r="DV181">
            <v>0</v>
          </cell>
          <cell r="DW181">
            <v>0</v>
          </cell>
          <cell r="DX181">
            <v>0</v>
          </cell>
          <cell r="DY181">
            <v>0</v>
          </cell>
        </row>
        <row r="182">
          <cell r="F182">
            <v>1000</v>
          </cell>
          <cell r="G182">
            <v>450</v>
          </cell>
          <cell r="H182">
            <v>195.19400000000002</v>
          </cell>
          <cell r="I182">
            <v>43.376444444444452</v>
          </cell>
          <cell r="N182">
            <v>0</v>
          </cell>
          <cell r="O182">
            <v>0</v>
          </cell>
          <cell r="P182">
            <v>0</v>
          </cell>
          <cell r="T182">
            <v>0</v>
          </cell>
          <cell r="U182">
            <v>0</v>
          </cell>
          <cell r="V182">
            <v>0</v>
          </cell>
          <cell r="Z182">
            <v>0</v>
          </cell>
          <cell r="AA182">
            <v>0</v>
          </cell>
          <cell r="AB182">
            <v>0</v>
          </cell>
          <cell r="AF182">
            <v>0</v>
          </cell>
          <cell r="AG182">
            <v>0</v>
          </cell>
          <cell r="AH182">
            <v>0</v>
          </cell>
          <cell r="AL182">
            <v>0</v>
          </cell>
          <cell r="AM182">
            <v>0</v>
          </cell>
          <cell r="AN182">
            <v>0</v>
          </cell>
          <cell r="AR182">
            <v>0</v>
          </cell>
          <cell r="AS182">
            <v>0</v>
          </cell>
          <cell r="AT182">
            <v>0</v>
          </cell>
          <cell r="AX182">
            <v>0</v>
          </cell>
          <cell r="AY182">
            <v>0</v>
          </cell>
          <cell r="AZ182">
            <v>0</v>
          </cell>
          <cell r="BA182">
            <v>0</v>
          </cell>
          <cell r="BF182">
            <v>100</v>
          </cell>
          <cell r="BG182">
            <v>45</v>
          </cell>
          <cell r="BH182">
            <v>18.850000000000001</v>
          </cell>
          <cell r="BL182">
            <v>100</v>
          </cell>
          <cell r="BM182">
            <v>45</v>
          </cell>
          <cell r="BN182">
            <v>19.542000000000002</v>
          </cell>
          <cell r="BR182">
            <v>200</v>
          </cell>
          <cell r="BS182">
            <v>90</v>
          </cell>
          <cell r="BT182">
            <v>38.820999999999998</v>
          </cell>
          <cell r="BX182">
            <v>200</v>
          </cell>
          <cell r="BY182">
            <v>90</v>
          </cell>
          <cell r="BZ182">
            <v>38.950000000000003</v>
          </cell>
          <cell r="CD182">
            <v>200</v>
          </cell>
          <cell r="CE182">
            <v>90</v>
          </cell>
          <cell r="CF182">
            <v>39.301000000000002</v>
          </cell>
          <cell r="CJ182">
            <v>200</v>
          </cell>
          <cell r="CK182">
            <v>90</v>
          </cell>
          <cell r="CL182">
            <v>39.729999999999997</v>
          </cell>
          <cell r="CP182">
            <v>1000</v>
          </cell>
          <cell r="CQ182">
            <v>450</v>
          </cell>
          <cell r="CR182">
            <v>195.19400000000002</v>
          </cell>
          <cell r="CS182">
            <v>43.376444444444452</v>
          </cell>
          <cell r="CX182">
            <v>0</v>
          </cell>
          <cell r="CY182">
            <v>0</v>
          </cell>
          <cell r="CZ182">
            <v>0</v>
          </cell>
          <cell r="DA182">
            <v>0</v>
          </cell>
          <cell r="DF182">
            <v>0</v>
          </cell>
          <cell r="DG182">
            <v>0</v>
          </cell>
          <cell r="DH182">
            <v>0</v>
          </cell>
          <cell r="DI182">
            <v>0</v>
          </cell>
          <cell r="DN182">
            <v>400</v>
          </cell>
          <cell r="DO182">
            <v>180</v>
          </cell>
          <cell r="DP182">
            <v>77.212999999999994</v>
          </cell>
          <cell r="DQ182">
            <v>42.896111111111104</v>
          </cell>
          <cell r="DV182">
            <v>600</v>
          </cell>
          <cell r="DW182">
            <v>270</v>
          </cell>
          <cell r="DX182">
            <v>117.98099999999999</v>
          </cell>
          <cell r="DY182">
            <v>43.696666666666665</v>
          </cell>
        </row>
        <row r="183">
          <cell r="F183">
            <v>1500</v>
          </cell>
          <cell r="G183">
            <v>600</v>
          </cell>
          <cell r="H183">
            <v>239.99699999999996</v>
          </cell>
          <cell r="I183">
            <v>39.999499999999991</v>
          </cell>
          <cell r="N183">
            <v>50</v>
          </cell>
          <cell r="O183">
            <v>20</v>
          </cell>
          <cell r="P183">
            <v>1.1439999999999999</v>
          </cell>
          <cell r="T183">
            <v>100</v>
          </cell>
          <cell r="U183">
            <v>40</v>
          </cell>
          <cell r="V183">
            <v>2.2879999999999998</v>
          </cell>
          <cell r="Z183">
            <v>100</v>
          </cell>
          <cell r="AA183">
            <v>40</v>
          </cell>
          <cell r="AB183">
            <v>2.2879999999999998</v>
          </cell>
          <cell r="AF183">
            <v>100</v>
          </cell>
          <cell r="AG183">
            <v>40</v>
          </cell>
          <cell r="AH183">
            <v>4.3730000000000002</v>
          </cell>
          <cell r="AL183">
            <v>150</v>
          </cell>
          <cell r="AM183">
            <v>60</v>
          </cell>
          <cell r="AN183">
            <v>18.783999999999999</v>
          </cell>
          <cell r="AR183">
            <v>150</v>
          </cell>
          <cell r="AS183">
            <v>60</v>
          </cell>
          <cell r="AT183">
            <v>26.434999999999999</v>
          </cell>
          <cell r="AX183">
            <v>650</v>
          </cell>
          <cell r="AY183">
            <v>260</v>
          </cell>
          <cell r="AZ183">
            <v>55.311999999999983</v>
          </cell>
          <cell r="BA183">
            <v>21.273846153846147</v>
          </cell>
          <cell r="BF183">
            <v>150</v>
          </cell>
          <cell r="BG183">
            <v>60</v>
          </cell>
          <cell r="BH183">
            <v>30.285</v>
          </cell>
          <cell r="BL183">
            <v>150</v>
          </cell>
          <cell r="BM183">
            <v>60</v>
          </cell>
          <cell r="BN183">
            <v>31.635999999999999</v>
          </cell>
          <cell r="BR183">
            <v>150</v>
          </cell>
          <cell r="BS183">
            <v>60</v>
          </cell>
          <cell r="BT183">
            <v>32.854999999999997</v>
          </cell>
          <cell r="BX183">
            <v>150</v>
          </cell>
          <cell r="BY183">
            <v>60</v>
          </cell>
          <cell r="BZ183">
            <v>33.441000000000003</v>
          </cell>
          <cell r="CD183">
            <v>150</v>
          </cell>
          <cell r="CE183">
            <v>60</v>
          </cell>
          <cell r="CF183">
            <v>33.750999999999998</v>
          </cell>
          <cell r="CJ183">
            <v>100</v>
          </cell>
          <cell r="CK183">
            <v>40</v>
          </cell>
          <cell r="CL183">
            <v>22.716999999999999</v>
          </cell>
          <cell r="CP183">
            <v>850</v>
          </cell>
          <cell r="CQ183">
            <v>340</v>
          </cell>
          <cell r="CR183">
            <v>184.68499999999997</v>
          </cell>
          <cell r="CS183">
            <v>54.31911764705881</v>
          </cell>
          <cell r="CX183">
            <v>250</v>
          </cell>
          <cell r="CY183">
            <v>100</v>
          </cell>
          <cell r="CZ183">
            <v>5.7199999999999989</v>
          </cell>
          <cell r="DA183">
            <v>5.7199999999999989</v>
          </cell>
          <cell r="DF183">
            <v>400</v>
          </cell>
          <cell r="DG183">
            <v>160</v>
          </cell>
          <cell r="DH183">
            <v>49.591999999999999</v>
          </cell>
          <cell r="DI183">
            <v>30.995000000000001</v>
          </cell>
          <cell r="DN183">
            <v>450</v>
          </cell>
          <cell r="DO183">
            <v>180</v>
          </cell>
          <cell r="DP183">
            <v>94.775999999999996</v>
          </cell>
          <cell r="DQ183">
            <v>52.653333333333329</v>
          </cell>
          <cell r="DV183">
            <v>400</v>
          </cell>
          <cell r="DW183">
            <v>160</v>
          </cell>
          <cell r="DX183">
            <v>89.909000000000006</v>
          </cell>
          <cell r="DY183">
            <v>56.193125000000002</v>
          </cell>
        </row>
        <row r="184">
          <cell r="F184">
            <v>0</v>
          </cell>
          <cell r="G184">
            <v>0</v>
          </cell>
          <cell r="H184">
            <v>0</v>
          </cell>
          <cell r="I184">
            <v>0</v>
          </cell>
          <cell r="N184">
            <v>0</v>
          </cell>
          <cell r="O184">
            <v>0</v>
          </cell>
          <cell r="T184">
            <v>0</v>
          </cell>
          <cell r="U184">
            <v>0</v>
          </cell>
          <cell r="Z184">
            <v>0</v>
          </cell>
          <cell r="AA184">
            <v>0</v>
          </cell>
          <cell r="AF184">
            <v>0</v>
          </cell>
          <cell r="AG184">
            <v>0</v>
          </cell>
          <cell r="AL184">
            <v>0</v>
          </cell>
          <cell r="AM184">
            <v>0</v>
          </cell>
          <cell r="AR184">
            <v>0</v>
          </cell>
          <cell r="AS184">
            <v>0</v>
          </cell>
          <cell r="AX184">
            <v>0</v>
          </cell>
          <cell r="AY184">
            <v>0</v>
          </cell>
          <cell r="AZ184">
            <v>0</v>
          </cell>
          <cell r="BA184">
            <v>0</v>
          </cell>
          <cell r="BF184">
            <v>0</v>
          </cell>
          <cell r="BG184">
            <v>0</v>
          </cell>
          <cell r="BL184">
            <v>0</v>
          </cell>
          <cell r="BM184">
            <v>0</v>
          </cell>
          <cell r="BR184">
            <v>0</v>
          </cell>
          <cell r="BS184">
            <v>0</v>
          </cell>
          <cell r="BX184">
            <v>0</v>
          </cell>
          <cell r="BY184">
            <v>0</v>
          </cell>
          <cell r="CD184">
            <v>0</v>
          </cell>
          <cell r="CE184">
            <v>0</v>
          </cell>
          <cell r="CJ184">
            <v>0</v>
          </cell>
          <cell r="CK184">
            <v>0</v>
          </cell>
          <cell r="CP184">
            <v>0</v>
          </cell>
          <cell r="CQ184">
            <v>0</v>
          </cell>
          <cell r="CR184">
            <v>0</v>
          </cell>
          <cell r="CS184">
            <v>0</v>
          </cell>
          <cell r="CX184">
            <v>0</v>
          </cell>
          <cell r="CY184">
            <v>0</v>
          </cell>
          <cell r="CZ184">
            <v>0</v>
          </cell>
          <cell r="DA184">
            <v>0</v>
          </cell>
          <cell r="DF184">
            <v>0</v>
          </cell>
          <cell r="DG184">
            <v>0</v>
          </cell>
          <cell r="DH184">
            <v>0</v>
          </cell>
          <cell r="DI184">
            <v>0</v>
          </cell>
          <cell r="DN184">
            <v>0</v>
          </cell>
          <cell r="DO184">
            <v>0</v>
          </cell>
          <cell r="DP184">
            <v>0</v>
          </cell>
          <cell r="DQ184">
            <v>0</v>
          </cell>
          <cell r="DV184">
            <v>0</v>
          </cell>
          <cell r="DW184">
            <v>0</v>
          </cell>
          <cell r="DX184">
            <v>0</v>
          </cell>
          <cell r="DY184">
            <v>0</v>
          </cell>
        </row>
        <row r="185">
          <cell r="F185">
            <v>12000</v>
          </cell>
          <cell r="G185">
            <v>3949</v>
          </cell>
          <cell r="H185">
            <v>1422.3360000000002</v>
          </cell>
          <cell r="I185">
            <v>36.017624715117755</v>
          </cell>
          <cell r="N185">
            <v>600</v>
          </cell>
          <cell r="O185">
            <v>191</v>
          </cell>
          <cell r="P185">
            <v>45.512999999999998</v>
          </cell>
          <cell r="T185">
            <v>670</v>
          </cell>
          <cell r="U185">
            <v>218</v>
          </cell>
          <cell r="V185">
            <v>47.286999999999992</v>
          </cell>
          <cell r="Z185">
            <v>850</v>
          </cell>
          <cell r="AA185">
            <v>273</v>
          </cell>
          <cell r="AB185">
            <v>67.102999999999994</v>
          </cell>
          <cell r="AF185">
            <v>900</v>
          </cell>
          <cell r="AG185">
            <v>285</v>
          </cell>
          <cell r="AH185">
            <v>76.954999999999998</v>
          </cell>
          <cell r="AL185">
            <v>950</v>
          </cell>
          <cell r="AM185">
            <v>305</v>
          </cell>
          <cell r="AN185">
            <v>100.40899999999999</v>
          </cell>
          <cell r="AR185">
            <v>950</v>
          </cell>
          <cell r="AS185">
            <v>305</v>
          </cell>
          <cell r="AT185">
            <v>113.69800000000001</v>
          </cell>
          <cell r="AX185">
            <v>4920</v>
          </cell>
          <cell r="AY185">
            <v>1577</v>
          </cell>
          <cell r="AZ185">
            <v>450.96500000000003</v>
          </cell>
          <cell r="BA185">
            <v>28.596385542168679</v>
          </cell>
          <cell r="BF185">
            <v>1150</v>
          </cell>
          <cell r="BG185">
            <v>379</v>
          </cell>
          <cell r="BH185">
            <v>151.774</v>
          </cell>
          <cell r="BL185">
            <v>1060</v>
          </cell>
          <cell r="BM185">
            <v>352</v>
          </cell>
          <cell r="BN185">
            <v>142.18699999999998</v>
          </cell>
          <cell r="BR185">
            <v>1160</v>
          </cell>
          <cell r="BS185">
            <v>397</v>
          </cell>
          <cell r="BT185">
            <v>163.15799999999999</v>
          </cell>
          <cell r="BX185">
            <v>1360</v>
          </cell>
          <cell r="BY185">
            <v>453</v>
          </cell>
          <cell r="BZ185">
            <v>185.68300000000002</v>
          </cell>
          <cell r="CD185">
            <v>1290</v>
          </cell>
          <cell r="CE185">
            <v>433</v>
          </cell>
          <cell r="CF185">
            <v>179.25900000000001</v>
          </cell>
          <cell r="CJ185">
            <v>1060</v>
          </cell>
          <cell r="CK185">
            <v>358</v>
          </cell>
          <cell r="CL185">
            <v>149.31</v>
          </cell>
          <cell r="CP185">
            <v>7080</v>
          </cell>
          <cell r="CQ185">
            <v>2372</v>
          </cell>
          <cell r="CR185">
            <v>971.37099999999987</v>
          </cell>
          <cell r="CS185">
            <v>40.95155986509274</v>
          </cell>
          <cell r="CX185">
            <v>2120</v>
          </cell>
          <cell r="CY185">
            <v>682</v>
          </cell>
          <cell r="CZ185">
            <v>159.90299999999999</v>
          </cell>
          <cell r="DA185">
            <v>23.446187683284457</v>
          </cell>
          <cell r="DF185">
            <v>2800</v>
          </cell>
          <cell r="DG185">
            <v>895</v>
          </cell>
          <cell r="DH185">
            <v>291.06200000000001</v>
          </cell>
          <cell r="DI185">
            <v>32.520893854748607</v>
          </cell>
          <cell r="DN185">
            <v>3370</v>
          </cell>
          <cell r="DO185">
            <v>1128</v>
          </cell>
          <cell r="DP185">
            <v>457.11899999999997</v>
          </cell>
          <cell r="DQ185">
            <v>40.524734042553192</v>
          </cell>
          <cell r="DV185">
            <v>3710</v>
          </cell>
          <cell r="DW185">
            <v>1244</v>
          </cell>
          <cell r="DX185">
            <v>514.25199999999995</v>
          </cell>
          <cell r="DY185">
            <v>41.338585209003206</v>
          </cell>
        </row>
        <row r="186">
          <cell r="F186">
            <v>0</v>
          </cell>
          <cell r="G186">
            <v>0</v>
          </cell>
          <cell r="H186">
            <v>0</v>
          </cell>
          <cell r="I186">
            <v>0</v>
          </cell>
          <cell r="N186">
            <v>0</v>
          </cell>
          <cell r="O186">
            <v>0</v>
          </cell>
          <cell r="T186">
            <v>0</v>
          </cell>
          <cell r="U186">
            <v>0</v>
          </cell>
          <cell r="Z186">
            <v>0</v>
          </cell>
          <cell r="AA186">
            <v>0</v>
          </cell>
          <cell r="AF186">
            <v>0</v>
          </cell>
          <cell r="AG186">
            <v>0</v>
          </cell>
          <cell r="AL186">
            <v>0</v>
          </cell>
          <cell r="AM186">
            <v>0</v>
          </cell>
          <cell r="AR186">
            <v>0</v>
          </cell>
          <cell r="AS186">
            <v>0</v>
          </cell>
          <cell r="AX186">
            <v>0</v>
          </cell>
          <cell r="AY186">
            <v>0</v>
          </cell>
          <cell r="AZ186">
            <v>0</v>
          </cell>
          <cell r="BA186">
            <v>0</v>
          </cell>
          <cell r="BF186">
            <v>0</v>
          </cell>
          <cell r="BG186">
            <v>0</v>
          </cell>
          <cell r="BL186">
            <v>0</v>
          </cell>
          <cell r="BM186">
            <v>0</v>
          </cell>
          <cell r="BR186">
            <v>0</v>
          </cell>
          <cell r="BS186">
            <v>0</v>
          </cell>
          <cell r="BX186">
            <v>0</v>
          </cell>
          <cell r="BY186">
            <v>0</v>
          </cell>
          <cell r="CD186">
            <v>0</v>
          </cell>
          <cell r="CE186">
            <v>0</v>
          </cell>
          <cell r="CJ186">
            <v>0</v>
          </cell>
          <cell r="CK186">
            <v>0</v>
          </cell>
          <cell r="CP186">
            <v>0</v>
          </cell>
          <cell r="CQ186">
            <v>0</v>
          </cell>
          <cell r="CR186">
            <v>0</v>
          </cell>
          <cell r="CS186">
            <v>0</v>
          </cell>
          <cell r="CX186">
            <v>0</v>
          </cell>
          <cell r="CY186">
            <v>0</v>
          </cell>
          <cell r="CZ186">
            <v>0</v>
          </cell>
          <cell r="DA186">
            <v>0</v>
          </cell>
          <cell r="DF186">
            <v>0</v>
          </cell>
          <cell r="DG186">
            <v>0</v>
          </cell>
          <cell r="DH186">
            <v>0</v>
          </cell>
          <cell r="DI186">
            <v>0</v>
          </cell>
          <cell r="DN186">
            <v>0</v>
          </cell>
          <cell r="DO186">
            <v>0</v>
          </cell>
          <cell r="DP186">
            <v>0</v>
          </cell>
          <cell r="DQ186">
            <v>0</v>
          </cell>
          <cell r="DV186">
            <v>0</v>
          </cell>
          <cell r="DW186">
            <v>0</v>
          </cell>
          <cell r="DX186">
            <v>0</v>
          </cell>
          <cell r="DY186">
            <v>0</v>
          </cell>
        </row>
        <row r="187">
          <cell r="F187">
            <v>3000</v>
          </cell>
          <cell r="G187">
            <v>693</v>
          </cell>
          <cell r="H187">
            <v>332.01499999999999</v>
          </cell>
          <cell r="I187">
            <v>47.90981240981241</v>
          </cell>
          <cell r="N187">
            <v>200</v>
          </cell>
          <cell r="O187">
            <v>46</v>
          </cell>
          <cell r="P187">
            <v>18.652999999999999</v>
          </cell>
          <cell r="T187">
            <v>200</v>
          </cell>
          <cell r="U187">
            <v>46</v>
          </cell>
          <cell r="V187">
            <v>19.805</v>
          </cell>
          <cell r="Z187">
            <v>200</v>
          </cell>
          <cell r="AA187">
            <v>46</v>
          </cell>
          <cell r="AB187">
            <v>19.300999999999998</v>
          </cell>
          <cell r="AF187">
            <v>250</v>
          </cell>
          <cell r="AG187">
            <v>58</v>
          </cell>
          <cell r="AH187">
            <v>24.558</v>
          </cell>
          <cell r="AL187">
            <v>250</v>
          </cell>
          <cell r="AM187">
            <v>58</v>
          </cell>
          <cell r="AN187">
            <v>24.904</v>
          </cell>
          <cell r="AR187">
            <v>250</v>
          </cell>
          <cell r="AS187">
            <v>58</v>
          </cell>
          <cell r="AT187">
            <v>25.378</v>
          </cell>
          <cell r="AX187">
            <v>1350</v>
          </cell>
          <cell r="AY187">
            <v>312</v>
          </cell>
          <cell r="AZ187">
            <v>132.59899999999999</v>
          </cell>
          <cell r="BA187">
            <v>42.499679487179485</v>
          </cell>
          <cell r="BF187">
            <v>300</v>
          </cell>
          <cell r="BG187">
            <v>69</v>
          </cell>
          <cell r="BH187">
            <v>32.442</v>
          </cell>
          <cell r="BL187">
            <v>250</v>
          </cell>
          <cell r="BM187">
            <v>58</v>
          </cell>
          <cell r="BN187">
            <v>29.581</v>
          </cell>
          <cell r="BR187">
            <v>250</v>
          </cell>
          <cell r="BS187">
            <v>58</v>
          </cell>
          <cell r="BT187">
            <v>30.57</v>
          </cell>
          <cell r="BX187">
            <v>300</v>
          </cell>
          <cell r="BY187">
            <v>69</v>
          </cell>
          <cell r="BZ187">
            <v>36.872999999999998</v>
          </cell>
          <cell r="CD187">
            <v>300</v>
          </cell>
          <cell r="CE187">
            <v>69</v>
          </cell>
          <cell r="CF187">
            <v>37.593000000000004</v>
          </cell>
          <cell r="CJ187">
            <v>250</v>
          </cell>
          <cell r="CK187">
            <v>58</v>
          </cell>
          <cell r="CL187">
            <v>32.356999999999999</v>
          </cell>
          <cell r="CP187">
            <v>1650</v>
          </cell>
          <cell r="CQ187">
            <v>381</v>
          </cell>
          <cell r="CR187">
            <v>199.416</v>
          </cell>
          <cell r="CS187">
            <v>52.340157480314964</v>
          </cell>
          <cell r="CX187">
            <v>600</v>
          </cell>
          <cell r="CY187">
            <v>138</v>
          </cell>
          <cell r="CZ187">
            <v>57.759</v>
          </cell>
          <cell r="DA187">
            <v>41.854347826086958</v>
          </cell>
          <cell r="DF187">
            <v>750</v>
          </cell>
          <cell r="DG187">
            <v>174</v>
          </cell>
          <cell r="DH187">
            <v>74.84</v>
          </cell>
          <cell r="DI187">
            <v>43.011494252873568</v>
          </cell>
          <cell r="DN187">
            <v>800</v>
          </cell>
          <cell r="DO187">
            <v>185</v>
          </cell>
          <cell r="DP187">
            <v>92.592999999999989</v>
          </cell>
          <cell r="DQ187">
            <v>50.050270270270268</v>
          </cell>
          <cell r="DV187">
            <v>850</v>
          </cell>
          <cell r="DW187">
            <v>196</v>
          </cell>
          <cell r="DX187">
            <v>106.82300000000001</v>
          </cell>
          <cell r="DY187">
            <v>54.501530612244899</v>
          </cell>
        </row>
        <row r="188">
          <cell r="F188">
            <v>2000</v>
          </cell>
          <cell r="G188">
            <v>131</v>
          </cell>
          <cell r="H188">
            <v>15.664999999999999</v>
          </cell>
          <cell r="I188">
            <v>11.958015267175572</v>
          </cell>
          <cell r="N188">
            <v>50</v>
          </cell>
          <cell r="O188">
            <v>3</v>
          </cell>
          <cell r="P188">
            <v>0.17299999999999999</v>
          </cell>
          <cell r="T188">
            <v>100</v>
          </cell>
          <cell r="U188">
            <v>7</v>
          </cell>
          <cell r="V188">
            <v>0.84499999999999997</v>
          </cell>
          <cell r="Z188">
            <v>150</v>
          </cell>
          <cell r="AA188">
            <v>10</v>
          </cell>
          <cell r="AB188">
            <v>0.377</v>
          </cell>
          <cell r="AF188">
            <v>150</v>
          </cell>
          <cell r="AG188">
            <v>10</v>
          </cell>
          <cell r="AH188">
            <v>0.23499999999999999</v>
          </cell>
          <cell r="AL188">
            <v>200</v>
          </cell>
          <cell r="AM188">
            <v>13</v>
          </cell>
          <cell r="AN188">
            <v>0.63400000000000001</v>
          </cell>
          <cell r="AR188">
            <v>200</v>
          </cell>
          <cell r="AS188">
            <v>13</v>
          </cell>
          <cell r="AT188">
            <v>1.123</v>
          </cell>
          <cell r="AX188">
            <v>850</v>
          </cell>
          <cell r="AY188">
            <v>56</v>
          </cell>
          <cell r="AZ188">
            <v>3.3869999999999996</v>
          </cell>
          <cell r="BA188">
            <v>6.0482142857142849</v>
          </cell>
          <cell r="BF188">
            <v>200</v>
          </cell>
          <cell r="BG188">
            <v>13</v>
          </cell>
          <cell r="BH188">
            <v>1.5289999999999999</v>
          </cell>
          <cell r="BL188">
            <v>150</v>
          </cell>
          <cell r="BM188">
            <v>10</v>
          </cell>
          <cell r="BN188">
            <v>1.5169999999999999</v>
          </cell>
          <cell r="BR188">
            <v>150</v>
          </cell>
          <cell r="BS188">
            <v>10</v>
          </cell>
          <cell r="BT188">
            <v>1.847</v>
          </cell>
          <cell r="BX188">
            <v>250</v>
          </cell>
          <cell r="BY188">
            <v>16</v>
          </cell>
          <cell r="BZ188">
            <v>2.593</v>
          </cell>
          <cell r="CD188">
            <v>250</v>
          </cell>
          <cell r="CE188">
            <v>16</v>
          </cell>
          <cell r="CF188">
            <v>2.6819999999999999</v>
          </cell>
          <cell r="CJ188">
            <v>150</v>
          </cell>
          <cell r="CK188">
            <v>10</v>
          </cell>
          <cell r="CL188">
            <v>2.11</v>
          </cell>
          <cell r="CP188">
            <v>1150</v>
          </cell>
          <cell r="CQ188">
            <v>75</v>
          </cell>
          <cell r="CR188">
            <v>12.277999999999999</v>
          </cell>
          <cell r="CS188">
            <v>16.370666666666665</v>
          </cell>
          <cell r="CX188">
            <v>300</v>
          </cell>
          <cell r="CY188">
            <v>20</v>
          </cell>
          <cell r="CZ188">
            <v>1.395</v>
          </cell>
          <cell r="DA188">
            <v>6.9750000000000005</v>
          </cell>
          <cell r="DF188">
            <v>550</v>
          </cell>
          <cell r="DG188">
            <v>36</v>
          </cell>
          <cell r="DH188">
            <v>1.992</v>
          </cell>
          <cell r="DI188">
            <v>5.5333333333333332</v>
          </cell>
          <cell r="DN188">
            <v>500</v>
          </cell>
          <cell r="DO188">
            <v>33</v>
          </cell>
          <cell r="DP188">
            <v>4.8929999999999998</v>
          </cell>
          <cell r="DQ188">
            <v>14.827272727272728</v>
          </cell>
          <cell r="DV188">
            <v>650</v>
          </cell>
          <cell r="DW188">
            <v>42</v>
          </cell>
          <cell r="DX188">
            <v>7.3849999999999998</v>
          </cell>
          <cell r="DY188">
            <v>17.583333333333336</v>
          </cell>
        </row>
        <row r="189">
          <cell r="F189">
            <v>3000</v>
          </cell>
          <cell r="G189">
            <v>196</v>
          </cell>
          <cell r="H189">
            <v>28.7</v>
          </cell>
          <cell r="I189">
            <v>14.642857142857144</v>
          </cell>
          <cell r="N189">
            <v>150</v>
          </cell>
          <cell r="O189">
            <v>10</v>
          </cell>
          <cell r="P189">
            <v>-0.78300000000000003</v>
          </cell>
          <cell r="T189">
            <v>150</v>
          </cell>
          <cell r="U189">
            <v>10</v>
          </cell>
          <cell r="V189">
            <v>-1.2190000000000001</v>
          </cell>
          <cell r="Z189">
            <v>200</v>
          </cell>
          <cell r="AA189">
            <v>13</v>
          </cell>
          <cell r="AB189">
            <v>-0.52300000000000002</v>
          </cell>
          <cell r="AF189">
            <v>250</v>
          </cell>
          <cell r="AG189">
            <v>16</v>
          </cell>
          <cell r="AH189">
            <v>-5.6000000000000001E-2</v>
          </cell>
          <cell r="AL189">
            <v>250</v>
          </cell>
          <cell r="AM189">
            <v>16</v>
          </cell>
          <cell r="AN189">
            <v>1.405</v>
          </cell>
          <cell r="AR189">
            <v>300</v>
          </cell>
          <cell r="AS189">
            <v>20</v>
          </cell>
          <cell r="AT189">
            <v>3.4580000000000002</v>
          </cell>
          <cell r="AX189">
            <v>1300</v>
          </cell>
          <cell r="AY189">
            <v>85</v>
          </cell>
          <cell r="AZ189">
            <v>2.2820000000000005</v>
          </cell>
          <cell r="BA189">
            <v>2.6847058823529419</v>
          </cell>
          <cell r="BF189">
            <v>300</v>
          </cell>
          <cell r="BG189">
            <v>20</v>
          </cell>
          <cell r="BH189">
            <v>4.2130000000000001</v>
          </cell>
          <cell r="BL189">
            <v>250</v>
          </cell>
          <cell r="BM189">
            <v>16</v>
          </cell>
          <cell r="BN189">
            <v>3.0739999999999998</v>
          </cell>
          <cell r="BR189">
            <v>250</v>
          </cell>
          <cell r="BS189">
            <v>16</v>
          </cell>
          <cell r="BT189">
            <v>3.61</v>
          </cell>
          <cell r="BX189">
            <v>350</v>
          </cell>
          <cell r="BY189">
            <v>23</v>
          </cell>
          <cell r="BZ189">
            <v>5.9189999999999996</v>
          </cell>
          <cell r="CD189">
            <v>300</v>
          </cell>
          <cell r="CE189">
            <v>20</v>
          </cell>
          <cell r="CF189">
            <v>5.51</v>
          </cell>
          <cell r="CJ189">
            <v>250</v>
          </cell>
          <cell r="CK189">
            <v>16</v>
          </cell>
          <cell r="CL189">
            <v>4.0919999999999996</v>
          </cell>
          <cell r="CP189">
            <v>1700</v>
          </cell>
          <cell r="CQ189">
            <v>111</v>
          </cell>
          <cell r="CR189">
            <v>26.417999999999999</v>
          </cell>
          <cell r="CS189">
            <v>23.799999999999997</v>
          </cell>
          <cell r="CX189">
            <v>500</v>
          </cell>
          <cell r="CY189">
            <v>33</v>
          </cell>
          <cell r="CZ189">
            <v>-2.5250000000000004</v>
          </cell>
          <cell r="DA189">
            <v>-7.6515151515151523</v>
          </cell>
          <cell r="DF189">
            <v>800</v>
          </cell>
          <cell r="DG189">
            <v>52</v>
          </cell>
          <cell r="DH189">
            <v>4.8070000000000004</v>
          </cell>
          <cell r="DI189">
            <v>9.2442307692307697</v>
          </cell>
          <cell r="DN189">
            <v>800</v>
          </cell>
          <cell r="DO189">
            <v>52</v>
          </cell>
          <cell r="DP189">
            <v>10.897</v>
          </cell>
          <cell r="DQ189">
            <v>20.955769230769231</v>
          </cell>
          <cell r="DV189">
            <v>900</v>
          </cell>
          <cell r="DW189">
            <v>59</v>
          </cell>
          <cell r="DX189">
            <v>15.520999999999997</v>
          </cell>
          <cell r="DY189">
            <v>26.306779661016943</v>
          </cell>
        </row>
        <row r="190">
          <cell r="F190">
            <v>3000</v>
          </cell>
          <cell r="G190">
            <v>196</v>
          </cell>
          <cell r="H190">
            <v>47.907000000000011</v>
          </cell>
          <cell r="I190">
            <v>24.442346938775515</v>
          </cell>
          <cell r="N190">
            <v>150</v>
          </cell>
          <cell r="O190">
            <v>10</v>
          </cell>
          <cell r="P190">
            <v>-0.45600000000000002</v>
          </cell>
          <cell r="T190">
            <v>150</v>
          </cell>
          <cell r="U190">
            <v>10</v>
          </cell>
          <cell r="V190">
            <v>-0.32900000000000001</v>
          </cell>
          <cell r="Z190">
            <v>200</v>
          </cell>
          <cell r="AA190">
            <v>13</v>
          </cell>
          <cell r="AB190">
            <v>0.81</v>
          </cell>
          <cell r="AF190">
            <v>250</v>
          </cell>
          <cell r="AG190">
            <v>16</v>
          </cell>
          <cell r="AH190">
            <v>1.734</v>
          </cell>
          <cell r="AL190">
            <v>250</v>
          </cell>
          <cell r="AM190">
            <v>16</v>
          </cell>
          <cell r="AN190">
            <v>3.133</v>
          </cell>
          <cell r="AR190">
            <v>300</v>
          </cell>
          <cell r="AS190">
            <v>20</v>
          </cell>
          <cell r="AT190">
            <v>5.4960000000000004</v>
          </cell>
          <cell r="AX190">
            <v>1300</v>
          </cell>
          <cell r="AY190">
            <v>85</v>
          </cell>
          <cell r="AZ190">
            <v>10.388000000000002</v>
          </cell>
          <cell r="BA190">
            <v>12.221176470588237</v>
          </cell>
          <cell r="BF190">
            <v>300</v>
          </cell>
          <cell r="BG190">
            <v>20</v>
          </cell>
          <cell r="BH190">
            <v>6.2149999999999999</v>
          </cell>
          <cell r="BL190">
            <v>250</v>
          </cell>
          <cell r="BM190">
            <v>16</v>
          </cell>
          <cell r="BN190">
            <v>4.74</v>
          </cell>
          <cell r="BR190">
            <v>250</v>
          </cell>
          <cell r="BS190">
            <v>16</v>
          </cell>
          <cell r="BT190">
            <v>5.2380000000000004</v>
          </cell>
          <cell r="BX190">
            <v>350</v>
          </cell>
          <cell r="BY190">
            <v>23</v>
          </cell>
          <cell r="BZ190">
            <v>8.1869999999999994</v>
          </cell>
          <cell r="CD190">
            <v>300</v>
          </cell>
          <cell r="CE190">
            <v>20</v>
          </cell>
          <cell r="CF190">
            <v>7.4450000000000003</v>
          </cell>
          <cell r="CJ190">
            <v>250</v>
          </cell>
          <cell r="CK190">
            <v>16</v>
          </cell>
          <cell r="CL190">
            <v>5.694</v>
          </cell>
          <cell r="CP190">
            <v>1700</v>
          </cell>
          <cell r="CQ190">
            <v>111</v>
          </cell>
          <cell r="CR190">
            <v>37.519000000000005</v>
          </cell>
          <cell r="CS190">
            <v>33.800900900900906</v>
          </cell>
          <cell r="CX190">
            <v>500</v>
          </cell>
          <cell r="CY190">
            <v>33</v>
          </cell>
          <cell r="CZ190">
            <v>2.5000000000000022E-2</v>
          </cell>
          <cell r="DA190">
            <v>7.5757575757575829E-2</v>
          </cell>
          <cell r="DF190">
            <v>800</v>
          </cell>
          <cell r="DG190">
            <v>52</v>
          </cell>
          <cell r="DH190">
            <v>10.363</v>
          </cell>
          <cell r="DI190">
            <v>19.928846153846152</v>
          </cell>
          <cell r="DN190">
            <v>800</v>
          </cell>
          <cell r="DO190">
            <v>52</v>
          </cell>
          <cell r="DP190">
            <v>16.193000000000001</v>
          </cell>
          <cell r="DQ190">
            <v>31.140384615384619</v>
          </cell>
          <cell r="DV190">
            <v>900</v>
          </cell>
          <cell r="DW190">
            <v>59</v>
          </cell>
          <cell r="DX190">
            <v>21.326000000000001</v>
          </cell>
          <cell r="DY190">
            <v>36.145762711864407</v>
          </cell>
        </row>
        <row r="191">
          <cell r="F191">
            <v>11000</v>
          </cell>
          <cell r="G191">
            <v>1216</v>
          </cell>
          <cell r="H191">
            <v>424.28700000000003</v>
          </cell>
          <cell r="I191">
            <v>34.89202302631579</v>
          </cell>
          <cell r="N191">
            <v>550</v>
          </cell>
          <cell r="O191">
            <v>69</v>
          </cell>
          <cell r="P191">
            <v>17.586999999999996</v>
          </cell>
          <cell r="T191">
            <v>600</v>
          </cell>
          <cell r="U191">
            <v>73</v>
          </cell>
          <cell r="V191">
            <v>19.101999999999997</v>
          </cell>
          <cell r="Z191">
            <v>750</v>
          </cell>
          <cell r="AA191">
            <v>82</v>
          </cell>
          <cell r="AB191">
            <v>19.964999999999996</v>
          </cell>
          <cell r="AF191">
            <v>900</v>
          </cell>
          <cell r="AG191">
            <v>100</v>
          </cell>
          <cell r="AH191">
            <v>26.470999999999997</v>
          </cell>
          <cell r="AL191">
            <v>950</v>
          </cell>
          <cell r="AM191">
            <v>103</v>
          </cell>
          <cell r="AN191">
            <v>30.076000000000001</v>
          </cell>
          <cell r="AR191">
            <v>1050</v>
          </cell>
          <cell r="AS191">
            <v>111</v>
          </cell>
          <cell r="AT191">
            <v>35.455000000000005</v>
          </cell>
          <cell r="AX191">
            <v>4800</v>
          </cell>
          <cell r="AY191">
            <v>538</v>
          </cell>
          <cell r="AZ191">
            <v>148.65600000000001</v>
          </cell>
          <cell r="BA191">
            <v>27.631226765799255</v>
          </cell>
          <cell r="BF191">
            <v>1100</v>
          </cell>
          <cell r="BG191">
            <v>122</v>
          </cell>
          <cell r="BH191">
            <v>44.399000000000001</v>
          </cell>
          <cell r="BL191">
            <v>900</v>
          </cell>
          <cell r="BM191">
            <v>100</v>
          </cell>
          <cell r="BN191">
            <v>38.911999999999999</v>
          </cell>
          <cell r="BR191">
            <v>900</v>
          </cell>
          <cell r="BS191">
            <v>100</v>
          </cell>
          <cell r="BT191">
            <v>41.265000000000001</v>
          </cell>
          <cell r="BX191">
            <v>1250</v>
          </cell>
          <cell r="BY191">
            <v>131</v>
          </cell>
          <cell r="BZ191">
            <v>53.571999999999989</v>
          </cell>
          <cell r="CD191">
            <v>1150</v>
          </cell>
          <cell r="CE191">
            <v>125</v>
          </cell>
          <cell r="CF191">
            <v>53.230000000000004</v>
          </cell>
          <cell r="CJ191">
            <v>900</v>
          </cell>
          <cell r="CK191">
            <v>100</v>
          </cell>
          <cell r="CL191">
            <v>44.253</v>
          </cell>
          <cell r="CP191">
            <v>6200</v>
          </cell>
          <cell r="CQ191">
            <v>678</v>
          </cell>
          <cell r="CR191">
            <v>275.63099999999997</v>
          </cell>
          <cell r="CS191">
            <v>40.653539823008842</v>
          </cell>
          <cell r="CX191">
            <v>1900</v>
          </cell>
          <cell r="CY191">
            <v>224</v>
          </cell>
          <cell r="CZ191">
            <v>56.654000000000003</v>
          </cell>
          <cell r="DA191">
            <v>25.291964285714286</v>
          </cell>
          <cell r="DF191">
            <v>2900</v>
          </cell>
          <cell r="DG191">
            <v>314</v>
          </cell>
          <cell r="DH191">
            <v>92.00200000000001</v>
          </cell>
          <cell r="DI191">
            <v>29.300000000000004</v>
          </cell>
          <cell r="DN191">
            <v>2900</v>
          </cell>
          <cell r="DO191">
            <v>322</v>
          </cell>
          <cell r="DP191">
            <v>124.57599999999999</v>
          </cell>
          <cell r="DQ191">
            <v>38.688198757763978</v>
          </cell>
          <cell r="DV191">
            <v>3300</v>
          </cell>
          <cell r="DW191">
            <v>356</v>
          </cell>
          <cell r="DX191">
            <v>151.05500000000001</v>
          </cell>
          <cell r="DY191">
            <v>42.431179775280903</v>
          </cell>
        </row>
        <row r="192">
          <cell r="F192">
            <v>0</v>
          </cell>
          <cell r="G192">
            <v>2668</v>
          </cell>
          <cell r="H192">
            <v>320.15999999999997</v>
          </cell>
          <cell r="I192">
            <v>11.999999999999998</v>
          </cell>
          <cell r="N192">
            <v>0</v>
          </cell>
          <cell r="O192">
            <v>150</v>
          </cell>
          <cell r="P192">
            <v>18</v>
          </cell>
          <cell r="T192">
            <v>0</v>
          </cell>
          <cell r="U192">
            <v>200</v>
          </cell>
          <cell r="V192">
            <v>24</v>
          </cell>
          <cell r="Z192">
            <v>0</v>
          </cell>
          <cell r="AA192">
            <v>200</v>
          </cell>
          <cell r="AB192">
            <v>24</v>
          </cell>
          <cell r="AF192">
            <v>0</v>
          </cell>
          <cell r="AG192">
            <v>200</v>
          </cell>
          <cell r="AH192">
            <v>24</v>
          </cell>
          <cell r="AL192">
            <v>0</v>
          </cell>
          <cell r="AM192">
            <v>200</v>
          </cell>
          <cell r="AN192">
            <v>24</v>
          </cell>
          <cell r="AR192">
            <v>0</v>
          </cell>
          <cell r="AS192">
            <v>200</v>
          </cell>
          <cell r="AT192">
            <v>24</v>
          </cell>
          <cell r="AX192">
            <v>0</v>
          </cell>
          <cell r="AY192">
            <v>1150</v>
          </cell>
          <cell r="AZ192">
            <v>138</v>
          </cell>
          <cell r="BA192">
            <v>12</v>
          </cell>
          <cell r="BF192">
            <v>0</v>
          </cell>
          <cell r="BG192">
            <v>250</v>
          </cell>
          <cell r="BH192">
            <v>30</v>
          </cell>
          <cell r="BL192">
            <v>0</v>
          </cell>
          <cell r="BM192">
            <v>200</v>
          </cell>
          <cell r="BN192">
            <v>24</v>
          </cell>
          <cell r="BR192">
            <v>0</v>
          </cell>
          <cell r="BS192">
            <v>270</v>
          </cell>
          <cell r="BT192">
            <v>32.4</v>
          </cell>
          <cell r="BX192">
            <v>0</v>
          </cell>
          <cell r="BY192">
            <v>300</v>
          </cell>
          <cell r="BZ192">
            <v>36</v>
          </cell>
          <cell r="CD192">
            <v>0</v>
          </cell>
          <cell r="CE192">
            <v>330</v>
          </cell>
          <cell r="CF192">
            <v>39.6</v>
          </cell>
          <cell r="CJ192">
            <v>0</v>
          </cell>
          <cell r="CK192">
            <v>168</v>
          </cell>
          <cell r="CL192">
            <v>20.16</v>
          </cell>
          <cell r="CP192">
            <v>0</v>
          </cell>
          <cell r="CQ192">
            <v>1518</v>
          </cell>
          <cell r="CR192">
            <v>182.16</v>
          </cell>
          <cell r="CS192">
            <v>12</v>
          </cell>
          <cell r="CX192">
            <v>0</v>
          </cell>
          <cell r="CY192">
            <v>550</v>
          </cell>
          <cell r="CZ192">
            <v>66</v>
          </cell>
          <cell r="DA192">
            <v>12</v>
          </cell>
          <cell r="DF192">
            <v>0</v>
          </cell>
          <cell r="DG192">
            <v>600</v>
          </cell>
          <cell r="DH192">
            <v>72</v>
          </cell>
          <cell r="DI192">
            <v>12</v>
          </cell>
          <cell r="DN192">
            <v>0</v>
          </cell>
          <cell r="DO192">
            <v>720</v>
          </cell>
          <cell r="DP192">
            <v>86.4</v>
          </cell>
          <cell r="DQ192">
            <v>12.000000000000002</v>
          </cell>
          <cell r="DV192">
            <v>0</v>
          </cell>
          <cell r="DW192">
            <v>798</v>
          </cell>
          <cell r="DX192">
            <v>95.759999999999991</v>
          </cell>
          <cell r="DY192">
            <v>11.999999999999998</v>
          </cell>
        </row>
        <row r="193">
          <cell r="F193">
            <v>0</v>
          </cell>
          <cell r="G193">
            <v>2500</v>
          </cell>
          <cell r="H193">
            <v>635</v>
          </cell>
          <cell r="I193">
            <v>25.4</v>
          </cell>
          <cell r="N193">
            <v>0</v>
          </cell>
          <cell r="O193">
            <v>130</v>
          </cell>
          <cell r="P193">
            <v>33</v>
          </cell>
          <cell r="T193">
            <v>0</v>
          </cell>
          <cell r="U193">
            <v>150</v>
          </cell>
          <cell r="V193">
            <v>38</v>
          </cell>
          <cell r="Z193">
            <v>0</v>
          </cell>
          <cell r="AA193">
            <v>170</v>
          </cell>
          <cell r="AB193">
            <v>43</v>
          </cell>
          <cell r="AF193">
            <v>0</v>
          </cell>
          <cell r="AG193">
            <v>260</v>
          </cell>
          <cell r="AH193">
            <v>66</v>
          </cell>
          <cell r="AL193">
            <v>0</v>
          </cell>
          <cell r="AM193">
            <v>220</v>
          </cell>
          <cell r="AN193">
            <v>56</v>
          </cell>
          <cell r="AR193">
            <v>0</v>
          </cell>
          <cell r="AS193">
            <v>210</v>
          </cell>
          <cell r="AT193">
            <v>53</v>
          </cell>
          <cell r="AX193">
            <v>0</v>
          </cell>
          <cell r="AY193">
            <v>1140</v>
          </cell>
          <cell r="AZ193">
            <v>289</v>
          </cell>
          <cell r="BA193">
            <v>25.350877192982459</v>
          </cell>
          <cell r="BF193">
            <v>0</v>
          </cell>
          <cell r="BG193">
            <v>170</v>
          </cell>
          <cell r="BH193">
            <v>43</v>
          </cell>
          <cell r="BL193">
            <v>0</v>
          </cell>
          <cell r="BM193">
            <v>170</v>
          </cell>
          <cell r="BN193">
            <v>43</v>
          </cell>
          <cell r="BR193">
            <v>0</v>
          </cell>
          <cell r="BS193">
            <v>230</v>
          </cell>
          <cell r="BT193">
            <v>59</v>
          </cell>
          <cell r="BX193">
            <v>0</v>
          </cell>
          <cell r="BY193">
            <v>270</v>
          </cell>
          <cell r="BZ193">
            <v>69</v>
          </cell>
          <cell r="CD193">
            <v>0</v>
          </cell>
          <cell r="CE193">
            <v>260</v>
          </cell>
          <cell r="CF193">
            <v>66</v>
          </cell>
          <cell r="CJ193">
            <v>0</v>
          </cell>
          <cell r="CK193">
            <v>260</v>
          </cell>
          <cell r="CL193">
            <v>66</v>
          </cell>
          <cell r="CP193">
            <v>0</v>
          </cell>
          <cell r="CQ193">
            <v>1360</v>
          </cell>
          <cell r="CR193">
            <v>346</v>
          </cell>
          <cell r="CS193">
            <v>25.441176470588232</v>
          </cell>
          <cell r="CX193">
            <v>0</v>
          </cell>
          <cell r="CY193">
            <v>450</v>
          </cell>
          <cell r="CZ193">
            <v>114</v>
          </cell>
          <cell r="DA193">
            <v>25.333333333333336</v>
          </cell>
          <cell r="DF193">
            <v>0</v>
          </cell>
          <cell r="DG193">
            <v>690</v>
          </cell>
          <cell r="DH193">
            <v>175</v>
          </cell>
          <cell r="DI193">
            <v>25.362318840579711</v>
          </cell>
          <cell r="DN193">
            <v>0</v>
          </cell>
          <cell r="DO193">
            <v>570</v>
          </cell>
          <cell r="DP193">
            <v>145</v>
          </cell>
          <cell r="DQ193">
            <v>25.438596491228072</v>
          </cell>
          <cell r="DV193">
            <v>0</v>
          </cell>
          <cell r="DW193">
            <v>790</v>
          </cell>
          <cell r="DX193">
            <v>201</v>
          </cell>
          <cell r="DY193">
            <v>25.443037974683548</v>
          </cell>
        </row>
        <row r="194">
          <cell r="F194">
            <v>0</v>
          </cell>
          <cell r="G194">
            <v>0</v>
          </cell>
          <cell r="H194">
            <v>0</v>
          </cell>
          <cell r="I194">
            <v>0</v>
          </cell>
          <cell r="N194">
            <v>0</v>
          </cell>
          <cell r="T194">
            <v>0</v>
          </cell>
          <cell r="U194">
            <v>0</v>
          </cell>
          <cell r="Z194">
            <v>0</v>
          </cell>
          <cell r="AA194">
            <v>0</v>
          </cell>
          <cell r="AF194">
            <v>0</v>
          </cell>
          <cell r="AG194">
            <v>0</v>
          </cell>
          <cell r="AL194">
            <v>0</v>
          </cell>
          <cell r="AM194">
            <v>0</v>
          </cell>
          <cell r="AR194">
            <v>0</v>
          </cell>
          <cell r="AS194">
            <v>0</v>
          </cell>
          <cell r="AX194">
            <v>0</v>
          </cell>
          <cell r="AY194">
            <v>0</v>
          </cell>
          <cell r="AZ194">
            <v>0</v>
          </cell>
          <cell r="BA194">
            <v>0</v>
          </cell>
          <cell r="BF194">
            <v>0</v>
          </cell>
          <cell r="BG194">
            <v>0</v>
          </cell>
          <cell r="BL194">
            <v>0</v>
          </cell>
          <cell r="BM194">
            <v>0</v>
          </cell>
          <cell r="BR194">
            <v>0</v>
          </cell>
          <cell r="BS194">
            <v>0</v>
          </cell>
          <cell r="BX194">
            <v>0</v>
          </cell>
          <cell r="BY194">
            <v>0</v>
          </cell>
          <cell r="CD194">
            <v>0</v>
          </cell>
          <cell r="CE194">
            <v>0</v>
          </cell>
          <cell r="CJ194">
            <v>0</v>
          </cell>
          <cell r="CK194">
            <v>0</v>
          </cell>
          <cell r="CP194">
            <v>0</v>
          </cell>
          <cell r="CQ194">
            <v>0</v>
          </cell>
          <cell r="CR194">
            <v>0</v>
          </cell>
          <cell r="CS194">
            <v>0</v>
          </cell>
          <cell r="CX194">
            <v>0</v>
          </cell>
          <cell r="CY194">
            <v>0</v>
          </cell>
          <cell r="CZ194">
            <v>0</v>
          </cell>
          <cell r="DA194">
            <v>0</v>
          </cell>
          <cell r="DF194">
            <v>0</v>
          </cell>
          <cell r="DG194">
            <v>0</v>
          </cell>
          <cell r="DH194">
            <v>0</v>
          </cell>
          <cell r="DI194">
            <v>0</v>
          </cell>
          <cell r="DN194">
            <v>0</v>
          </cell>
          <cell r="DO194">
            <v>0</v>
          </cell>
          <cell r="DP194">
            <v>0</v>
          </cell>
          <cell r="DQ194">
            <v>0</v>
          </cell>
          <cell r="DV194">
            <v>0</v>
          </cell>
          <cell r="DW194">
            <v>0</v>
          </cell>
          <cell r="DX194">
            <v>0</v>
          </cell>
          <cell r="DY194">
            <v>0</v>
          </cell>
        </row>
        <row r="195">
          <cell r="F195">
            <v>32500</v>
          </cell>
          <cell r="G195">
            <v>12000</v>
          </cell>
          <cell r="H195">
            <v>3552.9450000000006</v>
          </cell>
          <cell r="I195">
            <v>29.607875000000007</v>
          </cell>
          <cell r="N195">
            <v>1700</v>
          </cell>
          <cell r="O195">
            <v>619</v>
          </cell>
          <cell r="P195">
            <v>114.75999999999999</v>
          </cell>
          <cell r="T195">
            <v>1870</v>
          </cell>
          <cell r="U195">
            <v>733</v>
          </cell>
          <cell r="V195">
            <v>147.59799999999998</v>
          </cell>
          <cell r="Z195">
            <v>2330</v>
          </cell>
          <cell r="AA195">
            <v>840</v>
          </cell>
          <cell r="AB195">
            <v>192.93</v>
          </cell>
          <cell r="AF195">
            <v>2570</v>
          </cell>
          <cell r="AG195">
            <v>977</v>
          </cell>
          <cell r="AH195">
            <v>248.13900000000001</v>
          </cell>
          <cell r="AL195">
            <v>2730</v>
          </cell>
          <cell r="AM195">
            <v>970</v>
          </cell>
          <cell r="AN195">
            <v>276.24599999999998</v>
          </cell>
          <cell r="AR195">
            <v>2850</v>
          </cell>
          <cell r="AS195">
            <v>980</v>
          </cell>
          <cell r="AT195">
            <v>302.11400000000003</v>
          </cell>
          <cell r="AX195">
            <v>14050</v>
          </cell>
          <cell r="AY195">
            <v>5119</v>
          </cell>
          <cell r="AZ195">
            <v>1281.787</v>
          </cell>
          <cell r="BA195">
            <v>25.039792928306309</v>
          </cell>
          <cell r="BF195">
            <v>3280</v>
          </cell>
          <cell r="BG195">
            <v>1119</v>
          </cell>
          <cell r="BH195">
            <v>369.69900000000001</v>
          </cell>
          <cell r="BL195">
            <v>2700</v>
          </cell>
          <cell r="BM195">
            <v>950</v>
          </cell>
          <cell r="BN195">
            <v>312.02199999999999</v>
          </cell>
          <cell r="BR195">
            <v>2810</v>
          </cell>
          <cell r="BS195">
            <v>1131</v>
          </cell>
          <cell r="BT195">
            <v>364.53999999999996</v>
          </cell>
          <cell r="BX195">
            <v>3680</v>
          </cell>
          <cell r="BY195">
            <v>1359</v>
          </cell>
          <cell r="BZ195">
            <v>453.32000000000005</v>
          </cell>
          <cell r="CD195">
            <v>3370</v>
          </cell>
          <cell r="CE195">
            <v>1325</v>
          </cell>
          <cell r="CF195">
            <v>432.50700000000006</v>
          </cell>
          <cell r="CJ195">
            <v>2610</v>
          </cell>
          <cell r="CK195">
            <v>997</v>
          </cell>
          <cell r="CL195">
            <v>339.07000000000005</v>
          </cell>
          <cell r="CP195">
            <v>18450</v>
          </cell>
          <cell r="CQ195">
            <v>6881</v>
          </cell>
          <cell r="CR195">
            <v>2271.1579999999994</v>
          </cell>
          <cell r="CS195">
            <v>33.006220026158978</v>
          </cell>
          <cell r="CX195">
            <v>5900</v>
          </cell>
          <cell r="CY195">
            <v>2192</v>
          </cell>
          <cell r="CZ195">
            <v>455.28800000000001</v>
          </cell>
          <cell r="DA195">
            <v>20.770437956204379</v>
          </cell>
          <cell r="DF195">
            <v>8150</v>
          </cell>
          <cell r="DG195">
            <v>2927</v>
          </cell>
          <cell r="DH195">
            <v>826.49900000000002</v>
          </cell>
          <cell r="DI195">
            <v>28.237068670994191</v>
          </cell>
          <cell r="DN195">
            <v>8790</v>
          </cell>
          <cell r="DO195">
            <v>3200</v>
          </cell>
          <cell r="DP195">
            <v>1046.261</v>
          </cell>
          <cell r="DQ195">
            <v>32.695656249999999</v>
          </cell>
          <cell r="DV195">
            <v>9660</v>
          </cell>
          <cell r="DW195">
            <v>3681</v>
          </cell>
          <cell r="DX195">
            <v>1224.8969999999999</v>
          </cell>
          <cell r="DY195">
            <v>33.276202118989403</v>
          </cell>
        </row>
        <row r="196">
          <cell r="F196">
            <v>400</v>
          </cell>
          <cell r="G196">
            <v>400</v>
          </cell>
          <cell r="H196">
            <v>127.55799999999999</v>
          </cell>
          <cell r="I196">
            <v>31.889499999999998</v>
          </cell>
          <cell r="N196">
            <v>200</v>
          </cell>
          <cell r="O196">
            <v>200</v>
          </cell>
          <cell r="P196">
            <v>62.912999999999997</v>
          </cell>
          <cell r="T196">
            <v>200</v>
          </cell>
          <cell r="U196">
            <v>200</v>
          </cell>
          <cell r="V196">
            <v>64.644999999999996</v>
          </cell>
          <cell r="Z196">
            <v>0</v>
          </cell>
          <cell r="AA196">
            <v>0</v>
          </cell>
          <cell r="AB196">
            <v>0</v>
          </cell>
          <cell r="AF196">
            <v>0</v>
          </cell>
          <cell r="AG196">
            <v>0</v>
          </cell>
          <cell r="AH196">
            <v>0</v>
          </cell>
          <cell r="AL196">
            <v>0</v>
          </cell>
          <cell r="AM196">
            <v>0</v>
          </cell>
          <cell r="AN196">
            <v>0</v>
          </cell>
          <cell r="AR196">
            <v>0</v>
          </cell>
          <cell r="AS196">
            <v>0</v>
          </cell>
          <cell r="AT196">
            <v>0</v>
          </cell>
          <cell r="AX196">
            <v>400</v>
          </cell>
          <cell r="AY196">
            <v>400</v>
          </cell>
          <cell r="AZ196">
            <v>127.55799999999999</v>
          </cell>
          <cell r="BA196">
            <v>31.889499999999998</v>
          </cell>
          <cell r="BF196">
            <v>0</v>
          </cell>
          <cell r="BG196">
            <v>0</v>
          </cell>
          <cell r="BH196">
            <v>0</v>
          </cell>
          <cell r="BL196">
            <v>0</v>
          </cell>
          <cell r="BM196">
            <v>0</v>
          </cell>
          <cell r="BN196">
            <v>0</v>
          </cell>
          <cell r="BR196">
            <v>0</v>
          </cell>
          <cell r="BS196">
            <v>0</v>
          </cell>
          <cell r="BT196">
            <v>0</v>
          </cell>
          <cell r="BX196">
            <v>0</v>
          </cell>
          <cell r="BY196">
            <v>0</v>
          </cell>
          <cell r="BZ196">
            <v>0</v>
          </cell>
          <cell r="CD196">
            <v>0</v>
          </cell>
          <cell r="CE196">
            <v>0</v>
          </cell>
          <cell r="CF196">
            <v>0</v>
          </cell>
          <cell r="CJ196">
            <v>0</v>
          </cell>
          <cell r="CK196">
            <v>0</v>
          </cell>
          <cell r="CL196">
            <v>0</v>
          </cell>
          <cell r="CP196">
            <v>0</v>
          </cell>
          <cell r="CQ196">
            <v>0</v>
          </cell>
          <cell r="CR196">
            <v>0</v>
          </cell>
          <cell r="CS196">
            <v>0</v>
          </cell>
          <cell r="CX196">
            <v>400</v>
          </cell>
          <cell r="CY196">
            <v>400</v>
          </cell>
          <cell r="CZ196">
            <v>127.55799999999999</v>
          </cell>
          <cell r="DA196">
            <v>31.889499999999998</v>
          </cell>
          <cell r="DF196">
            <v>0</v>
          </cell>
          <cell r="DG196">
            <v>0</v>
          </cell>
          <cell r="DH196">
            <v>0</v>
          </cell>
          <cell r="DI196">
            <v>0</v>
          </cell>
          <cell r="DN196">
            <v>0</v>
          </cell>
          <cell r="DO196">
            <v>0</v>
          </cell>
          <cell r="DP196">
            <v>0</v>
          </cell>
          <cell r="DQ196">
            <v>0</v>
          </cell>
          <cell r="DV196">
            <v>0</v>
          </cell>
          <cell r="DW196">
            <v>0</v>
          </cell>
          <cell r="DX196">
            <v>0</v>
          </cell>
          <cell r="DY196">
            <v>0</v>
          </cell>
        </row>
        <row r="197">
          <cell r="F197">
            <v>0</v>
          </cell>
          <cell r="G197">
            <v>0</v>
          </cell>
          <cell r="H197">
            <v>0</v>
          </cell>
          <cell r="I197">
            <v>0</v>
          </cell>
          <cell r="N197">
            <v>0</v>
          </cell>
          <cell r="O197">
            <v>0</v>
          </cell>
          <cell r="T197">
            <v>0</v>
          </cell>
          <cell r="U197">
            <v>0</v>
          </cell>
          <cell r="Z197">
            <v>0</v>
          </cell>
          <cell r="AA197">
            <v>0</v>
          </cell>
          <cell r="AF197">
            <v>0</v>
          </cell>
          <cell r="AG197">
            <v>0</v>
          </cell>
          <cell r="AL197">
            <v>0</v>
          </cell>
          <cell r="AM197">
            <v>0</v>
          </cell>
          <cell r="AR197">
            <v>0</v>
          </cell>
          <cell r="AS197">
            <v>0</v>
          </cell>
          <cell r="AX197">
            <v>0</v>
          </cell>
          <cell r="AY197">
            <v>0</v>
          </cell>
          <cell r="AZ197">
            <v>0</v>
          </cell>
          <cell r="BA197">
            <v>0</v>
          </cell>
          <cell r="BF197">
            <v>0</v>
          </cell>
          <cell r="BG197">
            <v>0</v>
          </cell>
          <cell r="BL197">
            <v>0</v>
          </cell>
          <cell r="BM197">
            <v>0</v>
          </cell>
          <cell r="BR197">
            <v>0</v>
          </cell>
          <cell r="BS197">
            <v>0</v>
          </cell>
          <cell r="BX197">
            <v>0</v>
          </cell>
          <cell r="BY197">
            <v>0</v>
          </cell>
          <cell r="CD197">
            <v>0</v>
          </cell>
          <cell r="CE197">
            <v>0</v>
          </cell>
          <cell r="CJ197">
            <v>0</v>
          </cell>
          <cell r="CK197">
            <v>0</v>
          </cell>
          <cell r="CP197">
            <v>0</v>
          </cell>
          <cell r="CQ197">
            <v>0</v>
          </cell>
          <cell r="CR197">
            <v>0</v>
          </cell>
          <cell r="CS197">
            <v>0</v>
          </cell>
          <cell r="CX197">
            <v>0</v>
          </cell>
          <cell r="CY197">
            <v>0</v>
          </cell>
          <cell r="CZ197">
            <v>0</v>
          </cell>
          <cell r="DA197">
            <v>0</v>
          </cell>
          <cell r="DF197">
            <v>0</v>
          </cell>
          <cell r="DG197">
            <v>0</v>
          </cell>
          <cell r="DH197">
            <v>0</v>
          </cell>
          <cell r="DI197">
            <v>0</v>
          </cell>
          <cell r="DN197">
            <v>0</v>
          </cell>
          <cell r="DO197">
            <v>0</v>
          </cell>
          <cell r="DP197">
            <v>0</v>
          </cell>
          <cell r="DQ197">
            <v>0</v>
          </cell>
          <cell r="DV197">
            <v>0</v>
          </cell>
          <cell r="DW197">
            <v>0</v>
          </cell>
          <cell r="DX197">
            <v>0</v>
          </cell>
          <cell r="DY197">
            <v>0</v>
          </cell>
        </row>
        <row r="198">
          <cell r="F198">
            <v>0</v>
          </cell>
          <cell r="G198">
            <v>0</v>
          </cell>
          <cell r="H198">
            <v>0</v>
          </cell>
          <cell r="I198">
            <v>0</v>
          </cell>
          <cell r="N198">
            <v>0</v>
          </cell>
          <cell r="O198">
            <v>0</v>
          </cell>
          <cell r="T198">
            <v>0</v>
          </cell>
          <cell r="U198">
            <v>0</v>
          </cell>
          <cell r="Z198">
            <v>0</v>
          </cell>
          <cell r="AA198">
            <v>0</v>
          </cell>
          <cell r="AF198">
            <v>0</v>
          </cell>
          <cell r="AG198">
            <v>0</v>
          </cell>
          <cell r="AL198">
            <v>0</v>
          </cell>
          <cell r="AM198">
            <v>0</v>
          </cell>
          <cell r="AR198">
            <v>0</v>
          </cell>
          <cell r="AS198">
            <v>0</v>
          </cell>
          <cell r="AX198">
            <v>0</v>
          </cell>
          <cell r="AY198">
            <v>0</v>
          </cell>
          <cell r="AZ198">
            <v>0</v>
          </cell>
          <cell r="BA198">
            <v>0</v>
          </cell>
          <cell r="BF198">
            <v>0</v>
          </cell>
          <cell r="BG198">
            <v>0</v>
          </cell>
          <cell r="BL198">
            <v>0</v>
          </cell>
          <cell r="BM198">
            <v>0</v>
          </cell>
          <cell r="BR198">
            <v>0</v>
          </cell>
          <cell r="BS198">
            <v>0</v>
          </cell>
          <cell r="BX198">
            <v>0</v>
          </cell>
          <cell r="BY198">
            <v>0</v>
          </cell>
          <cell r="CD198">
            <v>0</v>
          </cell>
          <cell r="CE198">
            <v>0</v>
          </cell>
          <cell r="CJ198">
            <v>0</v>
          </cell>
          <cell r="CK198">
            <v>0</v>
          </cell>
          <cell r="CP198">
            <v>0</v>
          </cell>
          <cell r="CQ198">
            <v>0</v>
          </cell>
          <cell r="CR198">
            <v>0</v>
          </cell>
          <cell r="CS198">
            <v>0</v>
          </cell>
          <cell r="CX198">
            <v>0</v>
          </cell>
          <cell r="CY198">
            <v>0</v>
          </cell>
          <cell r="CZ198">
            <v>0</v>
          </cell>
          <cell r="DA198">
            <v>0</v>
          </cell>
          <cell r="DF198">
            <v>0</v>
          </cell>
          <cell r="DG198">
            <v>0</v>
          </cell>
          <cell r="DH198">
            <v>0</v>
          </cell>
          <cell r="DI198">
            <v>0</v>
          </cell>
          <cell r="DN198">
            <v>0</v>
          </cell>
          <cell r="DO198">
            <v>0</v>
          </cell>
          <cell r="DP198">
            <v>0</v>
          </cell>
          <cell r="DQ198">
            <v>0</v>
          </cell>
          <cell r="DV198">
            <v>0</v>
          </cell>
          <cell r="DW198">
            <v>0</v>
          </cell>
          <cell r="DX198">
            <v>0</v>
          </cell>
          <cell r="DY198">
            <v>0</v>
          </cell>
        </row>
        <row r="199">
          <cell r="F199">
            <v>0</v>
          </cell>
          <cell r="G199">
            <v>0</v>
          </cell>
          <cell r="H199">
            <v>0</v>
          </cell>
          <cell r="I199">
            <v>0</v>
          </cell>
          <cell r="N199">
            <v>0</v>
          </cell>
          <cell r="O199">
            <v>0</v>
          </cell>
          <cell r="T199">
            <v>0</v>
          </cell>
          <cell r="U199">
            <v>0</v>
          </cell>
          <cell r="Z199">
            <v>0</v>
          </cell>
          <cell r="AA199">
            <v>0</v>
          </cell>
          <cell r="AF199">
            <v>0</v>
          </cell>
          <cell r="AG199">
            <v>0</v>
          </cell>
          <cell r="AL199">
            <v>0</v>
          </cell>
          <cell r="AM199">
            <v>0</v>
          </cell>
          <cell r="AR199">
            <v>0</v>
          </cell>
          <cell r="AS199">
            <v>0</v>
          </cell>
          <cell r="AX199">
            <v>0</v>
          </cell>
          <cell r="AY199">
            <v>0</v>
          </cell>
          <cell r="AZ199">
            <v>0</v>
          </cell>
          <cell r="BA199">
            <v>0</v>
          </cell>
          <cell r="BF199">
            <v>0</v>
          </cell>
          <cell r="BG199">
            <v>0</v>
          </cell>
          <cell r="BL199">
            <v>0</v>
          </cell>
          <cell r="BM199">
            <v>0</v>
          </cell>
          <cell r="BR199">
            <v>0</v>
          </cell>
          <cell r="BS199">
            <v>0</v>
          </cell>
          <cell r="BX199">
            <v>0</v>
          </cell>
          <cell r="BY199">
            <v>0</v>
          </cell>
          <cell r="CD199">
            <v>0</v>
          </cell>
          <cell r="CE199">
            <v>0</v>
          </cell>
          <cell r="CJ199">
            <v>0</v>
          </cell>
          <cell r="CK199">
            <v>0</v>
          </cell>
          <cell r="CP199">
            <v>0</v>
          </cell>
          <cell r="CQ199">
            <v>0</v>
          </cell>
          <cell r="CR199">
            <v>0</v>
          </cell>
          <cell r="CS199">
            <v>0</v>
          </cell>
          <cell r="CX199">
            <v>0</v>
          </cell>
          <cell r="CY199">
            <v>0</v>
          </cell>
          <cell r="CZ199">
            <v>0</v>
          </cell>
          <cell r="DA199">
            <v>0</v>
          </cell>
          <cell r="DF199">
            <v>0</v>
          </cell>
          <cell r="DG199">
            <v>0</v>
          </cell>
          <cell r="DH199">
            <v>0</v>
          </cell>
          <cell r="DI199">
            <v>0</v>
          </cell>
          <cell r="DN199">
            <v>0</v>
          </cell>
          <cell r="DO199">
            <v>0</v>
          </cell>
          <cell r="DP199">
            <v>0</v>
          </cell>
          <cell r="DQ199">
            <v>0</v>
          </cell>
          <cell r="DV199">
            <v>0</v>
          </cell>
          <cell r="DW199">
            <v>0</v>
          </cell>
          <cell r="DX199">
            <v>0</v>
          </cell>
          <cell r="DY199">
            <v>0</v>
          </cell>
        </row>
        <row r="200">
          <cell r="F200">
            <v>0</v>
          </cell>
          <cell r="G200">
            <v>0</v>
          </cell>
          <cell r="H200">
            <v>0</v>
          </cell>
          <cell r="I200">
            <v>0</v>
          </cell>
          <cell r="AX200">
            <v>0</v>
          </cell>
          <cell r="AY200">
            <v>0</v>
          </cell>
          <cell r="AZ200">
            <v>0</v>
          </cell>
          <cell r="BA200">
            <v>0</v>
          </cell>
          <cell r="CP200">
            <v>0</v>
          </cell>
          <cell r="CQ200">
            <v>0</v>
          </cell>
          <cell r="CR200">
            <v>0</v>
          </cell>
          <cell r="CS200">
            <v>0</v>
          </cell>
          <cell r="CX200">
            <v>0</v>
          </cell>
          <cell r="CY200">
            <v>0</v>
          </cell>
          <cell r="CZ200">
            <v>0</v>
          </cell>
          <cell r="DA200">
            <v>0</v>
          </cell>
          <cell r="DF200">
            <v>0</v>
          </cell>
          <cell r="DG200">
            <v>0</v>
          </cell>
          <cell r="DH200">
            <v>0</v>
          </cell>
          <cell r="DI200">
            <v>0</v>
          </cell>
          <cell r="DN200">
            <v>0</v>
          </cell>
          <cell r="DO200">
            <v>0</v>
          </cell>
          <cell r="DP200">
            <v>0</v>
          </cell>
          <cell r="DQ200">
            <v>0</v>
          </cell>
          <cell r="DV200">
            <v>0</v>
          </cell>
          <cell r="DW200">
            <v>0</v>
          </cell>
          <cell r="DX200">
            <v>0</v>
          </cell>
          <cell r="DY200">
            <v>0</v>
          </cell>
        </row>
        <row r="201">
          <cell r="F201">
            <v>0</v>
          </cell>
          <cell r="G201">
            <v>0</v>
          </cell>
          <cell r="H201">
            <v>0</v>
          </cell>
          <cell r="I201">
            <v>0</v>
          </cell>
          <cell r="N201">
            <v>0</v>
          </cell>
          <cell r="O201">
            <v>0</v>
          </cell>
          <cell r="T201">
            <v>0</v>
          </cell>
          <cell r="U201">
            <v>0</v>
          </cell>
          <cell r="Z201">
            <v>0</v>
          </cell>
          <cell r="AA201">
            <v>0</v>
          </cell>
          <cell r="AF201">
            <v>0</v>
          </cell>
          <cell r="AG201">
            <v>0</v>
          </cell>
          <cell r="AL201">
            <v>0</v>
          </cell>
          <cell r="AM201">
            <v>0</v>
          </cell>
          <cell r="AR201">
            <v>0</v>
          </cell>
          <cell r="AS201">
            <v>0</v>
          </cell>
          <cell r="AX201">
            <v>0</v>
          </cell>
          <cell r="AY201">
            <v>0</v>
          </cell>
          <cell r="AZ201">
            <v>0</v>
          </cell>
          <cell r="BA201">
            <v>0</v>
          </cell>
          <cell r="BF201">
            <v>0</v>
          </cell>
          <cell r="BG201">
            <v>0</v>
          </cell>
          <cell r="BL201">
            <v>0</v>
          </cell>
          <cell r="BM201">
            <v>0</v>
          </cell>
          <cell r="BR201">
            <v>0</v>
          </cell>
          <cell r="BS201">
            <v>0</v>
          </cell>
          <cell r="BX201">
            <v>0</v>
          </cell>
          <cell r="BY201">
            <v>0</v>
          </cell>
          <cell r="CD201">
            <v>0</v>
          </cell>
          <cell r="CE201">
            <v>0</v>
          </cell>
          <cell r="CJ201">
            <v>0</v>
          </cell>
          <cell r="CK201">
            <v>0</v>
          </cell>
          <cell r="CP201">
            <v>0</v>
          </cell>
          <cell r="CQ201">
            <v>0</v>
          </cell>
          <cell r="CR201">
            <v>0</v>
          </cell>
          <cell r="CS201">
            <v>0</v>
          </cell>
          <cell r="CX201">
            <v>0</v>
          </cell>
          <cell r="CY201">
            <v>0</v>
          </cell>
          <cell r="CZ201">
            <v>0</v>
          </cell>
          <cell r="DA201">
            <v>0</v>
          </cell>
          <cell r="DF201">
            <v>0</v>
          </cell>
          <cell r="DG201">
            <v>0</v>
          </cell>
          <cell r="DH201">
            <v>0</v>
          </cell>
          <cell r="DI201">
            <v>0</v>
          </cell>
          <cell r="DN201">
            <v>0</v>
          </cell>
          <cell r="DO201">
            <v>0</v>
          </cell>
          <cell r="DP201">
            <v>0</v>
          </cell>
          <cell r="DQ201">
            <v>0</v>
          </cell>
          <cell r="DV201">
            <v>0</v>
          </cell>
          <cell r="DW201">
            <v>0</v>
          </cell>
          <cell r="DX201">
            <v>0</v>
          </cell>
          <cell r="DY201">
            <v>0</v>
          </cell>
        </row>
        <row r="202">
          <cell r="F202">
            <v>3500</v>
          </cell>
          <cell r="G202">
            <v>4200</v>
          </cell>
          <cell r="H202">
            <v>2459.192</v>
          </cell>
          <cell r="I202">
            <v>58.552190476190482</v>
          </cell>
          <cell r="N202">
            <v>0</v>
          </cell>
          <cell r="O202">
            <v>0</v>
          </cell>
          <cell r="P202">
            <v>0</v>
          </cell>
          <cell r="T202">
            <v>0</v>
          </cell>
          <cell r="U202">
            <v>0</v>
          </cell>
          <cell r="V202">
            <v>0</v>
          </cell>
          <cell r="Z202">
            <v>200</v>
          </cell>
          <cell r="AA202">
            <v>240</v>
          </cell>
          <cell r="AB202">
            <v>125.881</v>
          </cell>
          <cell r="AF202">
            <v>300</v>
          </cell>
          <cell r="AG202">
            <v>360</v>
          </cell>
          <cell r="AH202">
            <v>189.15700000000001</v>
          </cell>
          <cell r="AL202">
            <v>340</v>
          </cell>
          <cell r="AM202">
            <v>408</v>
          </cell>
          <cell r="AN202">
            <v>216.41900000000001</v>
          </cell>
          <cell r="AR202">
            <v>340</v>
          </cell>
          <cell r="AS202">
            <v>408</v>
          </cell>
          <cell r="AT202">
            <v>219.392</v>
          </cell>
          <cell r="AX202">
            <v>1180</v>
          </cell>
          <cell r="AY202">
            <v>1416</v>
          </cell>
          <cell r="AZ202">
            <v>750.84900000000005</v>
          </cell>
          <cell r="BA202">
            <v>53.026059322033902</v>
          </cell>
          <cell r="BF202">
            <v>300</v>
          </cell>
          <cell r="BG202">
            <v>360</v>
          </cell>
          <cell r="BH202">
            <v>205.19</v>
          </cell>
          <cell r="BL202">
            <v>230</v>
          </cell>
          <cell r="BM202">
            <v>276</v>
          </cell>
          <cell r="BN202">
            <v>166.614</v>
          </cell>
          <cell r="BR202">
            <v>420</v>
          </cell>
          <cell r="BS202">
            <v>504</v>
          </cell>
          <cell r="BT202">
            <v>307.58800000000002</v>
          </cell>
          <cell r="BX202">
            <v>420</v>
          </cell>
          <cell r="BY202">
            <v>504</v>
          </cell>
          <cell r="BZ202">
            <v>312.209</v>
          </cell>
          <cell r="CD202">
            <v>460</v>
          </cell>
          <cell r="CE202">
            <v>552</v>
          </cell>
          <cell r="CF202">
            <v>345.66500000000002</v>
          </cell>
          <cell r="CJ202">
            <v>490</v>
          </cell>
          <cell r="CK202">
            <v>588</v>
          </cell>
          <cell r="CL202">
            <v>371.077</v>
          </cell>
          <cell r="CP202">
            <v>2320</v>
          </cell>
          <cell r="CQ202">
            <v>2784</v>
          </cell>
          <cell r="CR202">
            <v>1708.3430000000001</v>
          </cell>
          <cell r="CS202">
            <v>61.362895114942532</v>
          </cell>
          <cell r="CX202">
            <v>200</v>
          </cell>
          <cell r="CY202">
            <v>240</v>
          </cell>
          <cell r="CZ202">
            <v>125.881</v>
          </cell>
          <cell r="DA202">
            <v>52.450416666666669</v>
          </cell>
          <cell r="DF202">
            <v>980</v>
          </cell>
          <cell r="DG202">
            <v>1176</v>
          </cell>
          <cell r="DH202">
            <v>624.96800000000007</v>
          </cell>
          <cell r="DI202">
            <v>53.143537414965991</v>
          </cell>
          <cell r="DN202">
            <v>950</v>
          </cell>
          <cell r="DO202">
            <v>1140</v>
          </cell>
          <cell r="DP202">
            <v>679.39200000000005</v>
          </cell>
          <cell r="DQ202">
            <v>59.595789473684214</v>
          </cell>
          <cell r="DV202">
            <v>1370</v>
          </cell>
          <cell r="DW202">
            <v>1644</v>
          </cell>
          <cell r="DX202">
            <v>1028.951</v>
          </cell>
          <cell r="DY202">
            <v>62.588260340632608</v>
          </cell>
        </row>
        <row r="203">
          <cell r="F203">
            <v>0</v>
          </cell>
          <cell r="G203">
            <v>0</v>
          </cell>
          <cell r="H203">
            <v>0</v>
          </cell>
          <cell r="I203">
            <v>0</v>
          </cell>
          <cell r="AX203">
            <v>0</v>
          </cell>
          <cell r="AY203">
            <v>0</v>
          </cell>
          <cell r="AZ203">
            <v>0</v>
          </cell>
          <cell r="BA203">
            <v>0</v>
          </cell>
          <cell r="CP203">
            <v>0</v>
          </cell>
          <cell r="CQ203">
            <v>0</v>
          </cell>
          <cell r="CR203">
            <v>0</v>
          </cell>
          <cell r="CS203">
            <v>0</v>
          </cell>
          <cell r="CX203">
            <v>0</v>
          </cell>
          <cell r="CY203">
            <v>0</v>
          </cell>
          <cell r="CZ203">
            <v>0</v>
          </cell>
          <cell r="DA203">
            <v>0</v>
          </cell>
          <cell r="DF203">
            <v>0</v>
          </cell>
          <cell r="DG203">
            <v>0</v>
          </cell>
          <cell r="DH203">
            <v>0</v>
          </cell>
          <cell r="DI203">
            <v>0</v>
          </cell>
          <cell r="DN203">
            <v>0</v>
          </cell>
          <cell r="DO203">
            <v>0</v>
          </cell>
          <cell r="DP203">
            <v>0</v>
          </cell>
          <cell r="DQ203">
            <v>0</v>
          </cell>
          <cell r="DV203">
            <v>0</v>
          </cell>
          <cell r="DW203">
            <v>0</v>
          </cell>
          <cell r="DX203">
            <v>0</v>
          </cell>
          <cell r="DY203">
            <v>0</v>
          </cell>
        </row>
        <row r="204">
          <cell r="F204">
            <v>0</v>
          </cell>
          <cell r="G204">
            <v>0</v>
          </cell>
          <cell r="H204">
            <v>0</v>
          </cell>
          <cell r="I204">
            <v>0</v>
          </cell>
          <cell r="N204">
            <v>0</v>
          </cell>
          <cell r="O204">
            <v>0</v>
          </cell>
          <cell r="T204">
            <v>0</v>
          </cell>
          <cell r="U204">
            <v>0</v>
          </cell>
          <cell r="Z204">
            <v>0</v>
          </cell>
          <cell r="AA204">
            <v>0</v>
          </cell>
          <cell r="AF204">
            <v>0</v>
          </cell>
          <cell r="AG204">
            <v>0</v>
          </cell>
          <cell r="AL204">
            <v>0</v>
          </cell>
          <cell r="AM204">
            <v>0</v>
          </cell>
          <cell r="AR204">
            <v>0</v>
          </cell>
          <cell r="AS204">
            <v>0</v>
          </cell>
          <cell r="AX204">
            <v>0</v>
          </cell>
          <cell r="AY204">
            <v>0</v>
          </cell>
          <cell r="AZ204">
            <v>0</v>
          </cell>
          <cell r="BA204">
            <v>0</v>
          </cell>
          <cell r="BF204">
            <v>0</v>
          </cell>
          <cell r="BG204">
            <v>0</v>
          </cell>
          <cell r="BL204">
            <v>0</v>
          </cell>
          <cell r="BM204">
            <v>0</v>
          </cell>
          <cell r="BR204">
            <v>0</v>
          </cell>
          <cell r="BS204">
            <v>0</v>
          </cell>
          <cell r="BX204">
            <v>0</v>
          </cell>
          <cell r="BY204">
            <v>0</v>
          </cell>
          <cell r="CD204">
            <v>0</v>
          </cell>
          <cell r="CE204">
            <v>0</v>
          </cell>
          <cell r="CJ204">
            <v>0</v>
          </cell>
          <cell r="CK204">
            <v>0</v>
          </cell>
          <cell r="CP204">
            <v>0</v>
          </cell>
          <cell r="CQ204">
            <v>0</v>
          </cell>
          <cell r="CR204">
            <v>0</v>
          </cell>
          <cell r="CS204">
            <v>0</v>
          </cell>
          <cell r="CX204">
            <v>0</v>
          </cell>
          <cell r="CY204">
            <v>0</v>
          </cell>
          <cell r="CZ204">
            <v>0</v>
          </cell>
          <cell r="DA204">
            <v>0</v>
          </cell>
          <cell r="DF204">
            <v>0</v>
          </cell>
          <cell r="DG204">
            <v>0</v>
          </cell>
          <cell r="DH204">
            <v>0</v>
          </cell>
          <cell r="DI204">
            <v>0</v>
          </cell>
          <cell r="DN204">
            <v>0</v>
          </cell>
          <cell r="DO204">
            <v>0</v>
          </cell>
          <cell r="DP204">
            <v>0</v>
          </cell>
          <cell r="DQ204">
            <v>0</v>
          </cell>
          <cell r="DV204">
            <v>0</v>
          </cell>
          <cell r="DW204">
            <v>0</v>
          </cell>
          <cell r="DX204">
            <v>0</v>
          </cell>
          <cell r="DY204">
            <v>0</v>
          </cell>
        </row>
        <row r="205">
          <cell r="F205">
            <v>0</v>
          </cell>
          <cell r="G205">
            <v>0</v>
          </cell>
          <cell r="H205">
            <v>0</v>
          </cell>
          <cell r="I205">
            <v>0</v>
          </cell>
          <cell r="N205">
            <v>0</v>
          </cell>
          <cell r="O205">
            <v>0</v>
          </cell>
          <cell r="T205">
            <v>0</v>
          </cell>
          <cell r="U205">
            <v>0</v>
          </cell>
          <cell r="Z205">
            <v>0</v>
          </cell>
          <cell r="AA205">
            <v>0</v>
          </cell>
          <cell r="AF205">
            <v>0</v>
          </cell>
          <cell r="AG205">
            <v>0</v>
          </cell>
          <cell r="AL205">
            <v>0</v>
          </cell>
          <cell r="AM205">
            <v>0</v>
          </cell>
          <cell r="AR205">
            <v>0</v>
          </cell>
          <cell r="AS205">
            <v>0</v>
          </cell>
          <cell r="AX205">
            <v>0</v>
          </cell>
          <cell r="AY205">
            <v>0</v>
          </cell>
          <cell r="AZ205">
            <v>0</v>
          </cell>
          <cell r="BA205">
            <v>0</v>
          </cell>
          <cell r="BF205">
            <v>0</v>
          </cell>
          <cell r="BG205">
            <v>0</v>
          </cell>
          <cell r="BL205">
            <v>0</v>
          </cell>
          <cell r="BM205">
            <v>0</v>
          </cell>
          <cell r="BR205">
            <v>0</v>
          </cell>
          <cell r="BS205">
            <v>0</v>
          </cell>
          <cell r="BX205">
            <v>0</v>
          </cell>
          <cell r="BY205">
            <v>0</v>
          </cell>
          <cell r="CD205">
            <v>0</v>
          </cell>
          <cell r="CE205">
            <v>0</v>
          </cell>
          <cell r="CJ205">
            <v>0</v>
          </cell>
          <cell r="CK205">
            <v>0</v>
          </cell>
          <cell r="CP205">
            <v>0</v>
          </cell>
          <cell r="CQ205">
            <v>0</v>
          </cell>
          <cell r="CR205">
            <v>0</v>
          </cell>
          <cell r="CS205">
            <v>0</v>
          </cell>
          <cell r="CX205">
            <v>0</v>
          </cell>
          <cell r="CY205">
            <v>0</v>
          </cell>
          <cell r="CZ205">
            <v>0</v>
          </cell>
          <cell r="DA205">
            <v>0</v>
          </cell>
          <cell r="DF205">
            <v>0</v>
          </cell>
          <cell r="DG205">
            <v>0</v>
          </cell>
          <cell r="DH205">
            <v>0</v>
          </cell>
          <cell r="DI205">
            <v>0</v>
          </cell>
          <cell r="DN205">
            <v>0</v>
          </cell>
          <cell r="DO205">
            <v>0</v>
          </cell>
          <cell r="DP205">
            <v>0</v>
          </cell>
          <cell r="DQ205">
            <v>0</v>
          </cell>
          <cell r="DV205">
            <v>0</v>
          </cell>
          <cell r="DW205">
            <v>0</v>
          </cell>
          <cell r="DX205">
            <v>0</v>
          </cell>
          <cell r="DY205">
            <v>0</v>
          </cell>
        </row>
        <row r="206">
          <cell r="F206">
            <v>2500</v>
          </cell>
          <cell r="G206">
            <v>250</v>
          </cell>
          <cell r="H206">
            <v>162.5</v>
          </cell>
          <cell r="I206">
            <v>65</v>
          </cell>
          <cell r="N206">
            <v>200</v>
          </cell>
          <cell r="O206">
            <v>20</v>
          </cell>
          <cell r="P206">
            <v>13</v>
          </cell>
          <cell r="T206">
            <v>200</v>
          </cell>
          <cell r="U206">
            <v>20</v>
          </cell>
          <cell r="V206">
            <v>13</v>
          </cell>
          <cell r="Z206">
            <v>300</v>
          </cell>
          <cell r="AA206">
            <v>30</v>
          </cell>
          <cell r="AB206">
            <v>19.5</v>
          </cell>
          <cell r="AF206">
            <v>250</v>
          </cell>
          <cell r="AG206">
            <v>25</v>
          </cell>
          <cell r="AH206">
            <v>16.25</v>
          </cell>
          <cell r="AL206">
            <v>300</v>
          </cell>
          <cell r="AM206">
            <v>30</v>
          </cell>
          <cell r="AN206">
            <v>19.5</v>
          </cell>
          <cell r="AR206">
            <v>250</v>
          </cell>
          <cell r="AS206">
            <v>25</v>
          </cell>
          <cell r="AT206">
            <v>16.25</v>
          </cell>
          <cell r="AX206">
            <v>1500</v>
          </cell>
          <cell r="AY206">
            <v>150</v>
          </cell>
          <cell r="AZ206">
            <v>97.5</v>
          </cell>
          <cell r="BA206">
            <v>65</v>
          </cell>
          <cell r="BF206">
            <v>200</v>
          </cell>
          <cell r="BG206">
            <v>20</v>
          </cell>
          <cell r="BH206">
            <v>13</v>
          </cell>
          <cell r="BL206">
            <v>200</v>
          </cell>
          <cell r="BM206">
            <v>20</v>
          </cell>
          <cell r="BN206">
            <v>13</v>
          </cell>
          <cell r="BR206">
            <v>200</v>
          </cell>
          <cell r="BS206">
            <v>20</v>
          </cell>
          <cell r="BT206">
            <v>13</v>
          </cell>
          <cell r="BX206">
            <v>200</v>
          </cell>
          <cell r="BY206">
            <v>20</v>
          </cell>
          <cell r="BZ206">
            <v>13</v>
          </cell>
          <cell r="CD206">
            <v>100</v>
          </cell>
          <cell r="CE206">
            <v>10</v>
          </cell>
          <cell r="CF206">
            <v>6.5</v>
          </cell>
          <cell r="CJ206">
            <v>100</v>
          </cell>
          <cell r="CK206">
            <v>10</v>
          </cell>
          <cell r="CL206">
            <v>6.5</v>
          </cell>
          <cell r="CP206">
            <v>1000</v>
          </cell>
          <cell r="CQ206">
            <v>100</v>
          </cell>
          <cell r="CR206">
            <v>65</v>
          </cell>
          <cell r="CS206">
            <v>65</v>
          </cell>
          <cell r="CX206">
            <v>700</v>
          </cell>
          <cell r="CY206">
            <v>70</v>
          </cell>
          <cell r="CZ206">
            <v>45.5</v>
          </cell>
          <cell r="DA206">
            <v>65</v>
          </cell>
          <cell r="DF206">
            <v>800</v>
          </cell>
          <cell r="DG206">
            <v>80</v>
          </cell>
          <cell r="DH206">
            <v>52</v>
          </cell>
          <cell r="DI206">
            <v>65</v>
          </cell>
          <cell r="DN206">
            <v>600</v>
          </cell>
          <cell r="DO206">
            <v>60</v>
          </cell>
          <cell r="DP206">
            <v>39</v>
          </cell>
          <cell r="DQ206">
            <v>65</v>
          </cell>
          <cell r="DV206">
            <v>400</v>
          </cell>
          <cell r="DW206">
            <v>40</v>
          </cell>
          <cell r="DX206">
            <v>26</v>
          </cell>
          <cell r="DY206">
            <v>65</v>
          </cell>
        </row>
        <row r="207">
          <cell r="F207">
            <v>2204</v>
          </cell>
          <cell r="G207">
            <v>551</v>
          </cell>
          <cell r="H207">
            <v>321.60199999999998</v>
          </cell>
          <cell r="I207">
            <v>58.366969147005442</v>
          </cell>
          <cell r="N207">
            <v>0</v>
          </cell>
          <cell r="O207">
            <v>0</v>
          </cell>
          <cell r="P207">
            <v>0</v>
          </cell>
          <cell r="T207">
            <v>0</v>
          </cell>
          <cell r="U207">
            <v>0</v>
          </cell>
          <cell r="V207">
            <v>0</v>
          </cell>
          <cell r="Z207">
            <v>200</v>
          </cell>
          <cell r="AA207">
            <v>50</v>
          </cell>
          <cell r="AB207">
            <v>28.776</v>
          </cell>
          <cell r="AF207">
            <v>150</v>
          </cell>
          <cell r="AG207">
            <v>37.5</v>
          </cell>
          <cell r="AH207">
            <v>22.082000000000001</v>
          </cell>
          <cell r="AL207">
            <v>210</v>
          </cell>
          <cell r="AM207">
            <v>52.5</v>
          </cell>
          <cell r="AN207">
            <v>30.716999999999999</v>
          </cell>
          <cell r="AR207">
            <v>260</v>
          </cell>
          <cell r="AS207">
            <v>65</v>
          </cell>
          <cell r="AT207">
            <v>37.408999999999999</v>
          </cell>
          <cell r="AX207">
            <v>820</v>
          </cell>
          <cell r="AY207">
            <v>205</v>
          </cell>
          <cell r="AZ207">
            <v>118.98399999999999</v>
          </cell>
          <cell r="BA207">
            <v>58.040975609756096</v>
          </cell>
          <cell r="BF207">
            <v>200</v>
          </cell>
          <cell r="BG207">
            <v>50</v>
          </cell>
          <cell r="BH207">
            <v>29.277999999999999</v>
          </cell>
          <cell r="BL207">
            <v>116</v>
          </cell>
          <cell r="BM207">
            <v>29</v>
          </cell>
          <cell r="BN207">
            <v>16.981999999999999</v>
          </cell>
          <cell r="BR207">
            <v>224</v>
          </cell>
          <cell r="BS207">
            <v>56</v>
          </cell>
          <cell r="BT207">
            <v>32.795999999999999</v>
          </cell>
          <cell r="BX207">
            <v>284</v>
          </cell>
          <cell r="BY207">
            <v>71</v>
          </cell>
          <cell r="BZ207">
            <v>41.578000000000003</v>
          </cell>
          <cell r="CD207">
            <v>292</v>
          </cell>
          <cell r="CE207">
            <v>73</v>
          </cell>
          <cell r="CF207">
            <v>42.749000000000002</v>
          </cell>
          <cell r="CJ207">
            <v>268</v>
          </cell>
          <cell r="CK207">
            <v>67</v>
          </cell>
          <cell r="CL207">
            <v>39.234999999999999</v>
          </cell>
          <cell r="CP207">
            <v>1384</v>
          </cell>
          <cell r="CQ207">
            <v>346</v>
          </cell>
          <cell r="CR207">
            <v>202.61799999999999</v>
          </cell>
          <cell r="CS207">
            <v>58.560115606936414</v>
          </cell>
          <cell r="CX207">
            <v>200</v>
          </cell>
          <cell r="CY207">
            <v>50</v>
          </cell>
          <cell r="CZ207">
            <v>28.776</v>
          </cell>
          <cell r="DA207">
            <v>57.552000000000007</v>
          </cell>
          <cell r="DF207">
            <v>620</v>
          </cell>
          <cell r="DG207">
            <v>155</v>
          </cell>
          <cell r="DH207">
            <v>90.207999999999998</v>
          </cell>
          <cell r="DI207">
            <v>58.198709677419359</v>
          </cell>
          <cell r="DN207">
            <v>540</v>
          </cell>
          <cell r="DO207">
            <v>135</v>
          </cell>
          <cell r="DP207">
            <v>79.055999999999997</v>
          </cell>
          <cell r="DQ207">
            <v>58.56</v>
          </cell>
          <cell r="DV207">
            <v>844</v>
          </cell>
          <cell r="DW207">
            <v>211</v>
          </cell>
          <cell r="DX207">
            <v>123.562</v>
          </cell>
          <cell r="DY207">
            <v>58.560189573459724</v>
          </cell>
        </row>
        <row r="208">
          <cell r="F208">
            <v>8604</v>
          </cell>
          <cell r="G208">
            <v>5401</v>
          </cell>
          <cell r="H208">
            <v>3070.8519999999999</v>
          </cell>
          <cell r="I208">
            <v>56.857100536937601</v>
          </cell>
          <cell r="N208">
            <v>400</v>
          </cell>
          <cell r="O208">
            <v>220</v>
          </cell>
          <cell r="P208">
            <v>75.912999999999997</v>
          </cell>
          <cell r="T208">
            <v>400</v>
          </cell>
          <cell r="U208">
            <v>220</v>
          </cell>
          <cell r="V208">
            <v>77.644999999999996</v>
          </cell>
          <cell r="Z208">
            <v>700</v>
          </cell>
          <cell r="AA208">
            <v>320</v>
          </cell>
          <cell r="AB208">
            <v>174.15700000000001</v>
          </cell>
          <cell r="AF208">
            <v>700</v>
          </cell>
          <cell r="AG208">
            <v>422.5</v>
          </cell>
          <cell r="AH208">
            <v>227.489</v>
          </cell>
          <cell r="AL208">
            <v>850</v>
          </cell>
          <cell r="AM208">
            <v>490.5</v>
          </cell>
          <cell r="AN208">
            <v>266.63600000000002</v>
          </cell>
          <cell r="AR208">
            <v>850</v>
          </cell>
          <cell r="AS208">
            <v>498</v>
          </cell>
          <cell r="AT208">
            <v>273.05099999999999</v>
          </cell>
          <cell r="AX208">
            <v>3900</v>
          </cell>
          <cell r="AY208">
            <v>2171</v>
          </cell>
          <cell r="AZ208">
            <v>1094.8910000000001</v>
          </cell>
          <cell r="BA208">
            <v>50.432565637954866</v>
          </cell>
          <cell r="BF208">
            <v>700</v>
          </cell>
          <cell r="BG208">
            <v>430</v>
          </cell>
          <cell r="BH208">
            <v>247.46799999999999</v>
          </cell>
          <cell r="BL208">
            <v>546</v>
          </cell>
          <cell r="BM208">
            <v>325</v>
          </cell>
          <cell r="BN208">
            <v>196.596</v>
          </cell>
          <cell r="BR208">
            <v>844</v>
          </cell>
          <cell r="BS208">
            <v>580</v>
          </cell>
          <cell r="BT208">
            <v>353.38400000000001</v>
          </cell>
          <cell r="BX208">
            <v>904</v>
          </cell>
          <cell r="BY208">
            <v>595</v>
          </cell>
          <cell r="BZ208">
            <v>366.78700000000003</v>
          </cell>
          <cell r="CD208">
            <v>852</v>
          </cell>
          <cell r="CE208">
            <v>635</v>
          </cell>
          <cell r="CF208">
            <v>394.91400000000004</v>
          </cell>
          <cell r="CJ208">
            <v>858</v>
          </cell>
          <cell r="CK208">
            <v>665</v>
          </cell>
          <cell r="CL208">
            <v>416.81200000000001</v>
          </cell>
          <cell r="CP208">
            <v>4704</v>
          </cell>
          <cell r="CQ208">
            <v>3230</v>
          </cell>
          <cell r="CR208">
            <v>1975.961</v>
          </cell>
          <cell r="CS208">
            <v>61.175263157894733</v>
          </cell>
          <cell r="CX208">
            <v>1500</v>
          </cell>
          <cell r="CY208">
            <v>760</v>
          </cell>
          <cell r="CZ208">
            <v>327.71499999999997</v>
          </cell>
          <cell r="DA208">
            <v>43.120394736842101</v>
          </cell>
          <cell r="DF208">
            <v>2400</v>
          </cell>
          <cell r="DG208">
            <v>1411</v>
          </cell>
          <cell r="DH208">
            <v>767.17600000000004</v>
          </cell>
          <cell r="DI208">
            <v>54.371084337349394</v>
          </cell>
          <cell r="DN208">
            <v>2090</v>
          </cell>
          <cell r="DO208">
            <v>1335</v>
          </cell>
          <cell r="DP208">
            <v>797.44800000000009</v>
          </cell>
          <cell r="DQ208">
            <v>59.733932584269667</v>
          </cell>
          <cell r="DV208">
            <v>2614</v>
          </cell>
          <cell r="DW208">
            <v>1895</v>
          </cell>
          <cell r="DX208">
            <v>1178.5129999999999</v>
          </cell>
          <cell r="DY208">
            <v>62.190659630606859</v>
          </cell>
        </row>
        <row r="209">
          <cell r="F209">
            <v>400</v>
          </cell>
          <cell r="G209">
            <v>600</v>
          </cell>
          <cell r="H209">
            <v>250.976</v>
          </cell>
          <cell r="I209">
            <v>41.829333333333338</v>
          </cell>
          <cell r="N209">
            <v>20</v>
          </cell>
          <cell r="O209">
            <v>30</v>
          </cell>
          <cell r="P209">
            <v>12.34</v>
          </cell>
          <cell r="T209">
            <v>20</v>
          </cell>
          <cell r="U209">
            <v>30</v>
          </cell>
          <cell r="V209">
            <v>11.798</v>
          </cell>
          <cell r="Z209">
            <v>30</v>
          </cell>
          <cell r="AA209">
            <v>45</v>
          </cell>
          <cell r="AB209">
            <v>17.048999999999999</v>
          </cell>
          <cell r="AF209">
            <v>30</v>
          </cell>
          <cell r="AG209">
            <v>45</v>
          </cell>
          <cell r="AH209">
            <v>16.794</v>
          </cell>
          <cell r="AL209">
            <v>30</v>
          </cell>
          <cell r="AM209">
            <v>45</v>
          </cell>
          <cell r="AN209">
            <v>16.850999999999999</v>
          </cell>
          <cell r="AR209">
            <v>30</v>
          </cell>
          <cell r="AS209">
            <v>45</v>
          </cell>
          <cell r="AT209">
            <v>17.085000000000001</v>
          </cell>
          <cell r="AX209">
            <v>160</v>
          </cell>
          <cell r="AY209">
            <v>240</v>
          </cell>
          <cell r="AZ209">
            <v>91.917000000000002</v>
          </cell>
          <cell r="BA209">
            <v>38.298749999999998</v>
          </cell>
          <cell r="BF209">
            <v>30</v>
          </cell>
          <cell r="BG209">
            <v>45</v>
          </cell>
          <cell r="BH209">
            <v>18.407</v>
          </cell>
          <cell r="BL209">
            <v>30</v>
          </cell>
          <cell r="BM209">
            <v>45</v>
          </cell>
          <cell r="BN209">
            <v>19.53</v>
          </cell>
          <cell r="BR209">
            <v>40</v>
          </cell>
          <cell r="BS209">
            <v>60</v>
          </cell>
          <cell r="BT209">
            <v>26.373000000000001</v>
          </cell>
          <cell r="BX209">
            <v>40</v>
          </cell>
          <cell r="BY209">
            <v>60</v>
          </cell>
          <cell r="BZ209">
            <v>26.782</v>
          </cell>
          <cell r="CD209">
            <v>50</v>
          </cell>
          <cell r="CE209">
            <v>75</v>
          </cell>
          <cell r="CF209">
            <v>33.832999999999998</v>
          </cell>
          <cell r="CJ209">
            <v>50</v>
          </cell>
          <cell r="CK209">
            <v>75</v>
          </cell>
          <cell r="CL209">
            <v>34.134</v>
          </cell>
          <cell r="CP209">
            <v>240</v>
          </cell>
          <cell r="CQ209">
            <v>360</v>
          </cell>
          <cell r="CR209">
            <v>159.059</v>
          </cell>
          <cell r="CS209">
            <v>44.183055555555555</v>
          </cell>
          <cell r="CX209">
            <v>70</v>
          </cell>
          <cell r="CY209">
            <v>105</v>
          </cell>
          <cell r="CZ209">
            <v>41.186999999999998</v>
          </cell>
          <cell r="DA209">
            <v>39.22571428571429</v>
          </cell>
          <cell r="DF209">
            <v>90</v>
          </cell>
          <cell r="DG209">
            <v>135</v>
          </cell>
          <cell r="DH209">
            <v>50.73</v>
          </cell>
          <cell r="DI209">
            <v>37.577777777777776</v>
          </cell>
          <cell r="DN209">
            <v>100</v>
          </cell>
          <cell r="DO209">
            <v>150</v>
          </cell>
          <cell r="DP209">
            <v>64.31</v>
          </cell>
          <cell r="DQ209">
            <v>42.873333333333335</v>
          </cell>
          <cell r="DV209">
            <v>140</v>
          </cell>
          <cell r="DW209">
            <v>210</v>
          </cell>
          <cell r="DX209">
            <v>94.748999999999995</v>
          </cell>
          <cell r="DY209">
            <v>45.118571428571421</v>
          </cell>
        </row>
        <row r="210">
          <cell r="F210">
            <v>0</v>
          </cell>
          <cell r="G210">
            <v>0</v>
          </cell>
          <cell r="H210">
            <v>0</v>
          </cell>
          <cell r="I210">
            <v>0</v>
          </cell>
          <cell r="N210">
            <v>0</v>
          </cell>
          <cell r="O210">
            <v>0</v>
          </cell>
          <cell r="T210">
            <v>0</v>
          </cell>
          <cell r="U210">
            <v>0</v>
          </cell>
          <cell r="Z210">
            <v>0</v>
          </cell>
          <cell r="AA210">
            <v>0</v>
          </cell>
          <cell r="AF210">
            <v>0</v>
          </cell>
          <cell r="AG210">
            <v>0</v>
          </cell>
          <cell r="AL210">
            <v>0</v>
          </cell>
          <cell r="AM210">
            <v>0</v>
          </cell>
          <cell r="AR210">
            <v>0</v>
          </cell>
          <cell r="AS210">
            <v>0</v>
          </cell>
          <cell r="AX210">
            <v>0</v>
          </cell>
          <cell r="AY210">
            <v>0</v>
          </cell>
          <cell r="AZ210">
            <v>0</v>
          </cell>
          <cell r="BA210">
            <v>0</v>
          </cell>
          <cell r="BF210">
            <v>0</v>
          </cell>
          <cell r="BG210">
            <v>0</v>
          </cell>
          <cell r="BL210">
            <v>0</v>
          </cell>
          <cell r="BM210">
            <v>0</v>
          </cell>
          <cell r="BR210">
            <v>0</v>
          </cell>
          <cell r="BS210">
            <v>0</v>
          </cell>
          <cell r="BX210">
            <v>0</v>
          </cell>
          <cell r="BY210">
            <v>0</v>
          </cell>
          <cell r="CD210">
            <v>0</v>
          </cell>
          <cell r="CE210">
            <v>0</v>
          </cell>
          <cell r="CJ210">
            <v>0</v>
          </cell>
          <cell r="CK210">
            <v>0</v>
          </cell>
          <cell r="CP210">
            <v>0</v>
          </cell>
          <cell r="CQ210">
            <v>0</v>
          </cell>
          <cell r="CR210">
            <v>0</v>
          </cell>
          <cell r="CS210">
            <v>0</v>
          </cell>
          <cell r="CX210">
            <v>0</v>
          </cell>
          <cell r="CY210">
            <v>0</v>
          </cell>
          <cell r="CZ210">
            <v>0</v>
          </cell>
          <cell r="DA210">
            <v>0</v>
          </cell>
          <cell r="DF210">
            <v>0</v>
          </cell>
          <cell r="DG210">
            <v>0</v>
          </cell>
          <cell r="DH210">
            <v>0</v>
          </cell>
          <cell r="DI210">
            <v>0</v>
          </cell>
          <cell r="DN210">
            <v>0</v>
          </cell>
          <cell r="DO210">
            <v>0</v>
          </cell>
          <cell r="DP210">
            <v>0</v>
          </cell>
          <cell r="DQ210">
            <v>0</v>
          </cell>
          <cell r="DV210">
            <v>0</v>
          </cell>
          <cell r="DW210">
            <v>0</v>
          </cell>
          <cell r="DX210">
            <v>0</v>
          </cell>
          <cell r="DY210">
            <v>0</v>
          </cell>
        </row>
        <row r="211">
          <cell r="F211">
            <v>400</v>
          </cell>
          <cell r="G211">
            <v>600</v>
          </cell>
          <cell r="H211">
            <v>250.976</v>
          </cell>
          <cell r="I211">
            <v>41.829333333333338</v>
          </cell>
          <cell r="N211">
            <v>20</v>
          </cell>
          <cell r="O211">
            <v>30</v>
          </cell>
          <cell r="P211">
            <v>12.34</v>
          </cell>
          <cell r="T211">
            <v>20</v>
          </cell>
          <cell r="U211">
            <v>30</v>
          </cell>
          <cell r="V211">
            <v>11.798</v>
          </cell>
          <cell r="Z211">
            <v>30</v>
          </cell>
          <cell r="AA211">
            <v>45</v>
          </cell>
          <cell r="AB211">
            <v>17.048999999999999</v>
          </cell>
          <cell r="AF211">
            <v>30</v>
          </cell>
          <cell r="AG211">
            <v>45</v>
          </cell>
          <cell r="AH211">
            <v>16.794</v>
          </cell>
          <cell r="AL211">
            <v>30</v>
          </cell>
          <cell r="AM211">
            <v>45</v>
          </cell>
          <cell r="AN211">
            <v>16.850999999999999</v>
          </cell>
          <cell r="AR211">
            <v>30</v>
          </cell>
          <cell r="AS211">
            <v>45</v>
          </cell>
          <cell r="AT211">
            <v>17.085000000000001</v>
          </cell>
          <cell r="AX211">
            <v>160</v>
          </cell>
          <cell r="AY211">
            <v>240</v>
          </cell>
          <cell r="AZ211">
            <v>91.917000000000002</v>
          </cell>
          <cell r="BA211">
            <v>38.298749999999998</v>
          </cell>
          <cell r="BF211">
            <v>30</v>
          </cell>
          <cell r="BG211">
            <v>45</v>
          </cell>
          <cell r="BH211">
            <v>18.407</v>
          </cell>
          <cell r="BL211">
            <v>30</v>
          </cell>
          <cell r="BM211">
            <v>45</v>
          </cell>
          <cell r="BN211">
            <v>19.53</v>
          </cell>
          <cell r="BR211">
            <v>40</v>
          </cell>
          <cell r="BS211">
            <v>60</v>
          </cell>
          <cell r="BT211">
            <v>26.373000000000001</v>
          </cell>
          <cell r="BX211">
            <v>40</v>
          </cell>
          <cell r="BY211">
            <v>60</v>
          </cell>
          <cell r="BZ211">
            <v>26.782</v>
          </cell>
          <cell r="CD211">
            <v>50</v>
          </cell>
          <cell r="CE211">
            <v>75</v>
          </cell>
          <cell r="CF211">
            <v>33.832999999999998</v>
          </cell>
          <cell r="CJ211">
            <v>50</v>
          </cell>
          <cell r="CK211">
            <v>75</v>
          </cell>
          <cell r="CL211">
            <v>34.134</v>
          </cell>
          <cell r="CP211">
            <v>240</v>
          </cell>
          <cell r="CQ211">
            <v>360</v>
          </cell>
          <cell r="CR211">
            <v>159.059</v>
          </cell>
          <cell r="CS211">
            <v>44.183055555555555</v>
          </cell>
          <cell r="CX211">
            <v>70</v>
          </cell>
          <cell r="CY211">
            <v>105</v>
          </cell>
          <cell r="CZ211">
            <v>41.186999999999998</v>
          </cell>
          <cell r="DA211">
            <v>39.22571428571429</v>
          </cell>
          <cell r="DF211">
            <v>90</v>
          </cell>
          <cell r="DG211">
            <v>135</v>
          </cell>
          <cell r="DH211">
            <v>50.73</v>
          </cell>
          <cell r="DI211">
            <v>37.577777777777776</v>
          </cell>
          <cell r="DN211">
            <v>100</v>
          </cell>
          <cell r="DO211">
            <v>150</v>
          </cell>
          <cell r="DP211">
            <v>64.31</v>
          </cell>
          <cell r="DQ211">
            <v>42.873333333333335</v>
          </cell>
          <cell r="DV211">
            <v>140</v>
          </cell>
          <cell r="DW211">
            <v>210</v>
          </cell>
          <cell r="DX211">
            <v>94.748999999999995</v>
          </cell>
          <cell r="DY211">
            <v>45.118571428571421</v>
          </cell>
        </row>
        <row r="212">
          <cell r="F212">
            <v>2500</v>
          </cell>
          <cell r="G212">
            <v>378</v>
          </cell>
          <cell r="H212">
            <v>110.10000000000001</v>
          </cell>
          <cell r="I212">
            <v>29.12698412698413</v>
          </cell>
          <cell r="N212">
            <v>150</v>
          </cell>
          <cell r="O212">
            <v>23</v>
          </cell>
          <cell r="P212">
            <v>6.9260000000000002</v>
          </cell>
          <cell r="T212">
            <v>150</v>
          </cell>
          <cell r="U212">
            <v>23</v>
          </cell>
          <cell r="V212">
            <v>6.9260000000000002</v>
          </cell>
          <cell r="Z212">
            <v>150</v>
          </cell>
          <cell r="AA212">
            <v>23</v>
          </cell>
          <cell r="AB212">
            <v>6.9260000000000002</v>
          </cell>
          <cell r="AF212">
            <v>200</v>
          </cell>
          <cell r="AG212">
            <v>30</v>
          </cell>
          <cell r="AH212">
            <v>8.5679999999999996</v>
          </cell>
          <cell r="AL212">
            <v>150</v>
          </cell>
          <cell r="AM212">
            <v>23</v>
          </cell>
          <cell r="AN212">
            <v>6.9260000000000002</v>
          </cell>
          <cell r="AR212">
            <v>200</v>
          </cell>
          <cell r="AS212">
            <v>30</v>
          </cell>
          <cell r="AT212">
            <v>8.5679999999999996</v>
          </cell>
          <cell r="AX212">
            <v>1000</v>
          </cell>
          <cell r="AY212">
            <v>152</v>
          </cell>
          <cell r="AZ212">
            <v>44.84</v>
          </cell>
          <cell r="BA212">
            <v>29.500000000000004</v>
          </cell>
          <cell r="BF212">
            <v>200</v>
          </cell>
          <cell r="BG212">
            <v>30</v>
          </cell>
          <cell r="BH212">
            <v>8.5679999999999996</v>
          </cell>
          <cell r="BL212">
            <v>200</v>
          </cell>
          <cell r="BM212">
            <v>30</v>
          </cell>
          <cell r="BN212">
            <v>8.5679999999999996</v>
          </cell>
          <cell r="BR212">
            <v>250</v>
          </cell>
          <cell r="BS212">
            <v>38</v>
          </cell>
          <cell r="BT212">
            <v>11.21</v>
          </cell>
          <cell r="BX212">
            <v>250</v>
          </cell>
          <cell r="BY212">
            <v>38</v>
          </cell>
          <cell r="BZ212">
            <v>11.21</v>
          </cell>
          <cell r="CD212">
            <v>300</v>
          </cell>
          <cell r="CE212">
            <v>45</v>
          </cell>
          <cell r="CF212">
            <v>12.852</v>
          </cell>
          <cell r="CJ212">
            <v>300</v>
          </cell>
          <cell r="CK212">
            <v>45</v>
          </cell>
          <cell r="CL212">
            <v>12.852</v>
          </cell>
          <cell r="CP212">
            <v>1500</v>
          </cell>
          <cell r="CQ212">
            <v>226</v>
          </cell>
          <cell r="CR212">
            <v>65.260000000000005</v>
          </cell>
          <cell r="CS212">
            <v>28.876106194690266</v>
          </cell>
          <cell r="CX212">
            <v>450</v>
          </cell>
          <cell r="CY212">
            <v>69</v>
          </cell>
          <cell r="CZ212">
            <v>20.777999999999999</v>
          </cell>
          <cell r="DA212">
            <v>30.11304347826087</v>
          </cell>
          <cell r="DF212">
            <v>550</v>
          </cell>
          <cell r="DG212">
            <v>83</v>
          </cell>
          <cell r="DH212">
            <v>24.061999999999998</v>
          </cell>
          <cell r="DI212">
            <v>28.99036144578313</v>
          </cell>
          <cell r="DN212">
            <v>650</v>
          </cell>
          <cell r="DO212">
            <v>98</v>
          </cell>
          <cell r="DP212">
            <v>28.346</v>
          </cell>
          <cell r="DQ212">
            <v>28.924489795918369</v>
          </cell>
          <cell r="DV212">
            <v>850</v>
          </cell>
          <cell r="DW212">
            <v>128</v>
          </cell>
          <cell r="DX212">
            <v>36.914000000000001</v>
          </cell>
          <cell r="DY212">
            <v>28.839062500000001</v>
          </cell>
        </row>
        <row r="213">
          <cell r="F213">
            <v>0</v>
          </cell>
          <cell r="G213">
            <v>0</v>
          </cell>
          <cell r="H213">
            <v>0</v>
          </cell>
          <cell r="I213">
            <v>0</v>
          </cell>
          <cell r="N213">
            <v>0</v>
          </cell>
          <cell r="T213">
            <v>0</v>
          </cell>
          <cell r="U213">
            <v>0</v>
          </cell>
          <cell r="Z213">
            <v>0</v>
          </cell>
          <cell r="AA213">
            <v>0</v>
          </cell>
          <cell r="AF213">
            <v>0</v>
          </cell>
          <cell r="AG213">
            <v>0</v>
          </cell>
          <cell r="AL213">
            <v>0</v>
          </cell>
          <cell r="AM213">
            <v>0</v>
          </cell>
          <cell r="AR213">
            <v>0</v>
          </cell>
          <cell r="AS213">
            <v>0</v>
          </cell>
          <cell r="AX213">
            <v>0</v>
          </cell>
          <cell r="AY213">
            <v>0</v>
          </cell>
          <cell r="AZ213">
            <v>0</v>
          </cell>
          <cell r="BA213">
            <v>0</v>
          </cell>
          <cell r="BF213">
            <v>0</v>
          </cell>
          <cell r="BG213">
            <v>0</v>
          </cell>
          <cell r="BL213">
            <v>0</v>
          </cell>
          <cell r="BM213">
            <v>0</v>
          </cell>
          <cell r="BR213">
            <v>0</v>
          </cell>
          <cell r="BS213">
            <v>0</v>
          </cell>
          <cell r="BX213">
            <v>0</v>
          </cell>
          <cell r="BY213">
            <v>0</v>
          </cell>
          <cell r="CD213">
            <v>0</v>
          </cell>
          <cell r="CE213">
            <v>0</v>
          </cell>
          <cell r="CJ213">
            <v>0</v>
          </cell>
          <cell r="CK213">
            <v>0</v>
          </cell>
          <cell r="CP213">
            <v>0</v>
          </cell>
          <cell r="CQ213">
            <v>0</v>
          </cell>
          <cell r="CR213">
            <v>0</v>
          </cell>
          <cell r="CS213">
            <v>0</v>
          </cell>
          <cell r="CX213">
            <v>0</v>
          </cell>
          <cell r="CY213">
            <v>0</v>
          </cell>
          <cell r="CZ213">
            <v>0</v>
          </cell>
          <cell r="DA213">
            <v>0</v>
          </cell>
          <cell r="DF213">
            <v>0</v>
          </cell>
          <cell r="DG213">
            <v>0</v>
          </cell>
          <cell r="DH213">
            <v>0</v>
          </cell>
          <cell r="DI213">
            <v>0</v>
          </cell>
          <cell r="DN213">
            <v>0</v>
          </cell>
          <cell r="DO213">
            <v>0</v>
          </cell>
          <cell r="DP213">
            <v>0</v>
          </cell>
          <cell r="DQ213">
            <v>0</v>
          </cell>
          <cell r="DV213">
            <v>0</v>
          </cell>
          <cell r="DW213">
            <v>0</v>
          </cell>
          <cell r="DX213">
            <v>0</v>
          </cell>
          <cell r="DY213">
            <v>0</v>
          </cell>
        </row>
        <row r="214">
          <cell r="F214">
            <v>11504</v>
          </cell>
          <cell r="G214">
            <v>6379</v>
          </cell>
          <cell r="H214">
            <v>3431.9279999999999</v>
          </cell>
          <cell r="I214">
            <v>53.800407587396137</v>
          </cell>
          <cell r="N214">
            <v>570</v>
          </cell>
          <cell r="O214">
            <v>273</v>
          </cell>
          <cell r="P214">
            <v>95.179000000000002</v>
          </cell>
          <cell r="T214">
            <v>570</v>
          </cell>
          <cell r="U214">
            <v>273</v>
          </cell>
          <cell r="V214">
            <v>96.369</v>
          </cell>
          <cell r="Z214">
            <v>880</v>
          </cell>
          <cell r="AA214">
            <v>388</v>
          </cell>
          <cell r="AB214">
            <v>198.13200000000001</v>
          </cell>
          <cell r="AF214">
            <v>930</v>
          </cell>
          <cell r="AG214">
            <v>497.5</v>
          </cell>
          <cell r="AH214">
            <v>252.85100000000003</v>
          </cell>
          <cell r="AL214">
            <v>1030</v>
          </cell>
          <cell r="AM214">
            <v>558.5</v>
          </cell>
          <cell r="AN214">
            <v>290.41300000000001</v>
          </cell>
          <cell r="AR214">
            <v>1080</v>
          </cell>
          <cell r="AS214">
            <v>573</v>
          </cell>
          <cell r="AT214">
            <v>298.70399999999995</v>
          </cell>
          <cell r="AX214">
            <v>5060</v>
          </cell>
          <cell r="AY214">
            <v>2563</v>
          </cell>
          <cell r="AZ214">
            <v>1231.6479999999999</v>
          </cell>
          <cell r="BA214">
            <v>48.054935622317593</v>
          </cell>
          <cell r="BF214">
            <v>930</v>
          </cell>
          <cell r="BG214">
            <v>505</v>
          </cell>
          <cell r="BH214">
            <v>274.44299999999998</v>
          </cell>
          <cell r="BL214">
            <v>776</v>
          </cell>
          <cell r="BM214">
            <v>400</v>
          </cell>
          <cell r="BN214">
            <v>224.69400000000002</v>
          </cell>
          <cell r="BR214">
            <v>1134</v>
          </cell>
          <cell r="BS214">
            <v>678</v>
          </cell>
          <cell r="BT214">
            <v>390.96699999999998</v>
          </cell>
          <cell r="BX214">
            <v>1194</v>
          </cell>
          <cell r="BY214">
            <v>693</v>
          </cell>
          <cell r="BZ214">
            <v>404.779</v>
          </cell>
          <cell r="CD214">
            <v>1202</v>
          </cell>
          <cell r="CE214">
            <v>755</v>
          </cell>
          <cell r="CF214">
            <v>441.59900000000005</v>
          </cell>
          <cell r="CJ214">
            <v>1208</v>
          </cell>
          <cell r="CK214">
            <v>785</v>
          </cell>
          <cell r="CL214">
            <v>463.798</v>
          </cell>
          <cell r="CP214">
            <v>6444</v>
          </cell>
          <cell r="CQ214">
            <v>3816</v>
          </cell>
          <cell r="CR214">
            <v>2200.2800000000002</v>
          </cell>
          <cell r="CS214">
            <v>57.659329140461224</v>
          </cell>
          <cell r="CX214">
            <v>2020</v>
          </cell>
          <cell r="CY214">
            <v>934</v>
          </cell>
          <cell r="CZ214">
            <v>389.68</v>
          </cell>
          <cell r="DA214">
            <v>41.721627408993577</v>
          </cell>
          <cell r="DF214">
            <v>3040</v>
          </cell>
          <cell r="DG214">
            <v>1629</v>
          </cell>
          <cell r="DH214">
            <v>841.96800000000007</v>
          </cell>
          <cell r="DI214">
            <v>51.686187845303877</v>
          </cell>
          <cell r="DN214">
            <v>2840</v>
          </cell>
          <cell r="DO214">
            <v>1583</v>
          </cell>
          <cell r="DP214">
            <v>890.10400000000004</v>
          </cell>
          <cell r="DQ214">
            <v>56.228932406822494</v>
          </cell>
          <cell r="DV214">
            <v>3604</v>
          </cell>
          <cell r="DW214">
            <v>2233</v>
          </cell>
          <cell r="DX214">
            <v>1310.1759999999999</v>
          </cell>
          <cell r="DY214">
            <v>58.673354231974919</v>
          </cell>
        </row>
        <row r="215">
          <cell r="F215">
            <v>0</v>
          </cell>
          <cell r="G215">
            <v>3500</v>
          </cell>
          <cell r="H215">
            <v>980</v>
          </cell>
          <cell r="I215">
            <v>28.000000000000004</v>
          </cell>
          <cell r="O215">
            <v>200</v>
          </cell>
          <cell r="P215">
            <v>56</v>
          </cell>
          <cell r="U215">
            <v>250</v>
          </cell>
          <cell r="V215">
            <v>70</v>
          </cell>
          <cell r="AA215">
            <v>300</v>
          </cell>
          <cell r="AB215">
            <v>84</v>
          </cell>
          <cell r="AG215">
            <v>300</v>
          </cell>
          <cell r="AH215">
            <v>84</v>
          </cell>
          <cell r="AM215">
            <v>320</v>
          </cell>
          <cell r="AN215">
            <v>90</v>
          </cell>
          <cell r="AS215">
            <v>330</v>
          </cell>
          <cell r="AT215">
            <v>92</v>
          </cell>
          <cell r="AX215">
            <v>0</v>
          </cell>
          <cell r="AY215">
            <v>1700</v>
          </cell>
          <cell r="AZ215">
            <v>476</v>
          </cell>
          <cell r="BA215">
            <v>28.000000000000004</v>
          </cell>
          <cell r="BG215">
            <v>280</v>
          </cell>
          <cell r="BH215">
            <v>78</v>
          </cell>
          <cell r="BM215">
            <v>250</v>
          </cell>
          <cell r="BN215">
            <v>70</v>
          </cell>
          <cell r="BS215">
            <v>320</v>
          </cell>
          <cell r="BT215">
            <v>90</v>
          </cell>
          <cell r="BY215">
            <v>350</v>
          </cell>
          <cell r="BZ215">
            <v>98</v>
          </cell>
          <cell r="CE215">
            <v>300</v>
          </cell>
          <cell r="CF215">
            <v>84</v>
          </cell>
          <cell r="CK215">
            <v>300</v>
          </cell>
          <cell r="CL215">
            <v>84</v>
          </cell>
          <cell r="CP215">
            <v>0</v>
          </cell>
          <cell r="CQ215">
            <v>1800</v>
          </cell>
          <cell r="CR215">
            <v>504</v>
          </cell>
          <cell r="CS215">
            <v>28.000000000000004</v>
          </cell>
          <cell r="CX215">
            <v>0</v>
          </cell>
          <cell r="CY215">
            <v>750</v>
          </cell>
          <cell r="CZ215">
            <v>210</v>
          </cell>
          <cell r="DA215">
            <v>28.000000000000004</v>
          </cell>
          <cell r="DF215">
            <v>0</v>
          </cell>
          <cell r="DG215">
            <v>950</v>
          </cell>
          <cell r="DH215">
            <v>266</v>
          </cell>
          <cell r="DI215">
            <v>28.000000000000004</v>
          </cell>
          <cell r="DN215">
            <v>0</v>
          </cell>
          <cell r="DO215">
            <v>850</v>
          </cell>
          <cell r="DP215">
            <v>238</v>
          </cell>
          <cell r="DQ215">
            <v>28.000000000000004</v>
          </cell>
          <cell r="DV215">
            <v>0</v>
          </cell>
          <cell r="DW215">
            <v>950</v>
          </cell>
          <cell r="DX215">
            <v>266</v>
          </cell>
          <cell r="DY215">
            <v>28.000000000000004</v>
          </cell>
        </row>
        <row r="216">
          <cell r="F216">
            <v>0</v>
          </cell>
          <cell r="G216">
            <v>1000</v>
          </cell>
          <cell r="H216">
            <v>349</v>
          </cell>
          <cell r="I216">
            <v>34.9</v>
          </cell>
          <cell r="O216">
            <v>30</v>
          </cell>
          <cell r="P216">
            <v>10</v>
          </cell>
          <cell r="U216">
            <v>50</v>
          </cell>
          <cell r="V216">
            <v>17</v>
          </cell>
          <cell r="AA216">
            <v>80</v>
          </cell>
          <cell r="AB216">
            <v>28</v>
          </cell>
          <cell r="AG216">
            <v>100</v>
          </cell>
          <cell r="AH216">
            <v>35</v>
          </cell>
          <cell r="AM216">
            <v>100</v>
          </cell>
          <cell r="AN216">
            <v>35</v>
          </cell>
          <cell r="AS216">
            <v>100</v>
          </cell>
          <cell r="AT216">
            <v>35</v>
          </cell>
          <cell r="AX216">
            <v>0</v>
          </cell>
          <cell r="AY216">
            <v>460</v>
          </cell>
          <cell r="AZ216">
            <v>160</v>
          </cell>
          <cell r="BA216">
            <v>34.782608695652172</v>
          </cell>
          <cell r="BG216">
            <v>100</v>
          </cell>
          <cell r="BH216">
            <v>35</v>
          </cell>
          <cell r="BM216">
            <v>80</v>
          </cell>
          <cell r="BN216">
            <v>28</v>
          </cell>
          <cell r="BS216">
            <v>100</v>
          </cell>
          <cell r="BT216">
            <v>35</v>
          </cell>
          <cell r="BY216">
            <v>100</v>
          </cell>
          <cell r="BZ216">
            <v>35</v>
          </cell>
          <cell r="CE216">
            <v>80</v>
          </cell>
          <cell r="CF216">
            <v>28</v>
          </cell>
          <cell r="CK216">
            <v>80</v>
          </cell>
          <cell r="CL216">
            <v>28</v>
          </cell>
          <cell r="CP216">
            <v>0</v>
          </cell>
          <cell r="CQ216">
            <v>540</v>
          </cell>
          <cell r="CR216">
            <v>189</v>
          </cell>
          <cell r="CS216">
            <v>35</v>
          </cell>
          <cell r="CX216">
            <v>0</v>
          </cell>
          <cell r="CY216">
            <v>160</v>
          </cell>
          <cell r="CZ216">
            <v>55</v>
          </cell>
          <cell r="DA216">
            <v>34.375</v>
          </cell>
          <cell r="DF216">
            <v>0</v>
          </cell>
          <cell r="DG216">
            <v>300</v>
          </cell>
          <cell r="DH216">
            <v>105</v>
          </cell>
          <cell r="DI216">
            <v>35</v>
          </cell>
          <cell r="DN216">
            <v>0</v>
          </cell>
          <cell r="DO216">
            <v>280</v>
          </cell>
          <cell r="DP216">
            <v>98</v>
          </cell>
          <cell r="DQ216">
            <v>35</v>
          </cell>
          <cell r="DV216">
            <v>0</v>
          </cell>
          <cell r="DW216">
            <v>260</v>
          </cell>
          <cell r="DX216">
            <v>91</v>
          </cell>
          <cell r="DY216">
            <v>35</v>
          </cell>
        </row>
        <row r="217">
          <cell r="F217">
            <v>0</v>
          </cell>
          <cell r="G217">
            <v>0</v>
          </cell>
          <cell r="H217">
            <v>0</v>
          </cell>
          <cell r="I217">
            <v>0</v>
          </cell>
          <cell r="N217">
            <v>0</v>
          </cell>
          <cell r="O217">
            <v>0</v>
          </cell>
          <cell r="T217">
            <v>0</v>
          </cell>
          <cell r="U217">
            <v>0</v>
          </cell>
          <cell r="Z217">
            <v>0</v>
          </cell>
          <cell r="AA217">
            <v>0</v>
          </cell>
          <cell r="AF217">
            <v>0</v>
          </cell>
          <cell r="AG217">
            <v>0</v>
          </cell>
          <cell r="AL217">
            <v>0</v>
          </cell>
          <cell r="AM217">
            <v>0</v>
          </cell>
          <cell r="AR217">
            <v>0</v>
          </cell>
          <cell r="AS217">
            <v>0</v>
          </cell>
          <cell r="AX217">
            <v>0</v>
          </cell>
          <cell r="AY217">
            <v>0</v>
          </cell>
          <cell r="AZ217">
            <v>0</v>
          </cell>
          <cell r="BA217">
            <v>0</v>
          </cell>
          <cell r="BF217">
            <v>0</v>
          </cell>
          <cell r="BG217">
            <v>0</v>
          </cell>
          <cell r="BL217">
            <v>0</v>
          </cell>
          <cell r="BM217">
            <v>0</v>
          </cell>
          <cell r="BR217">
            <v>0</v>
          </cell>
          <cell r="BS217">
            <v>0</v>
          </cell>
          <cell r="BX217">
            <v>0</v>
          </cell>
          <cell r="BY217">
            <v>0</v>
          </cell>
          <cell r="CD217">
            <v>0</v>
          </cell>
          <cell r="CE217">
            <v>0</v>
          </cell>
          <cell r="CJ217">
            <v>0</v>
          </cell>
          <cell r="CK217">
            <v>0</v>
          </cell>
          <cell r="CP217">
            <v>0</v>
          </cell>
          <cell r="CQ217">
            <v>0</v>
          </cell>
          <cell r="CR217">
            <v>0</v>
          </cell>
          <cell r="CS217">
            <v>0</v>
          </cell>
          <cell r="CX217">
            <v>0</v>
          </cell>
          <cell r="CY217">
            <v>0</v>
          </cell>
          <cell r="CZ217">
            <v>0</v>
          </cell>
          <cell r="DA217">
            <v>0</v>
          </cell>
          <cell r="DF217">
            <v>0</v>
          </cell>
          <cell r="DG217">
            <v>0</v>
          </cell>
          <cell r="DH217">
            <v>0</v>
          </cell>
          <cell r="DI217">
            <v>0</v>
          </cell>
          <cell r="DN217">
            <v>0</v>
          </cell>
          <cell r="DO217">
            <v>0</v>
          </cell>
          <cell r="DP217">
            <v>0</v>
          </cell>
          <cell r="DQ217">
            <v>0</v>
          </cell>
          <cell r="DV217">
            <v>0</v>
          </cell>
          <cell r="DW217">
            <v>0</v>
          </cell>
          <cell r="DX217">
            <v>0</v>
          </cell>
          <cell r="DY217">
            <v>0</v>
          </cell>
        </row>
        <row r="218">
          <cell r="F218">
            <v>0</v>
          </cell>
          <cell r="G218">
            <v>0</v>
          </cell>
          <cell r="H218">
            <v>0</v>
          </cell>
          <cell r="I218">
            <v>0</v>
          </cell>
          <cell r="N218">
            <v>0</v>
          </cell>
          <cell r="O218">
            <v>0</v>
          </cell>
          <cell r="T218">
            <v>0</v>
          </cell>
          <cell r="U218">
            <v>0</v>
          </cell>
          <cell r="Z218">
            <v>0</v>
          </cell>
          <cell r="AA218">
            <v>0</v>
          </cell>
          <cell r="AF218">
            <v>0</v>
          </cell>
          <cell r="AG218">
            <v>0</v>
          </cell>
          <cell r="AL218">
            <v>0</v>
          </cell>
          <cell r="AM218">
            <v>0</v>
          </cell>
          <cell r="AR218">
            <v>0</v>
          </cell>
          <cell r="AS218">
            <v>0</v>
          </cell>
          <cell r="AX218">
            <v>0</v>
          </cell>
          <cell r="AY218">
            <v>0</v>
          </cell>
          <cell r="AZ218">
            <v>0</v>
          </cell>
          <cell r="BA218">
            <v>0</v>
          </cell>
          <cell r="BF218">
            <v>0</v>
          </cell>
          <cell r="BG218">
            <v>0</v>
          </cell>
          <cell r="BL218">
            <v>0</v>
          </cell>
          <cell r="BM218">
            <v>0</v>
          </cell>
          <cell r="BR218">
            <v>0</v>
          </cell>
          <cell r="BS218">
            <v>0</v>
          </cell>
          <cell r="BX218">
            <v>0</v>
          </cell>
          <cell r="BY218">
            <v>0</v>
          </cell>
          <cell r="CD218">
            <v>0</v>
          </cell>
          <cell r="CE218">
            <v>0</v>
          </cell>
          <cell r="CJ218">
            <v>0</v>
          </cell>
          <cell r="CK218">
            <v>0</v>
          </cell>
          <cell r="CP218">
            <v>0</v>
          </cell>
          <cell r="CQ218">
            <v>0</v>
          </cell>
          <cell r="CR218">
            <v>0</v>
          </cell>
          <cell r="CS218">
            <v>0</v>
          </cell>
          <cell r="CX218">
            <v>0</v>
          </cell>
          <cell r="CY218">
            <v>0</v>
          </cell>
          <cell r="CZ218">
            <v>0</v>
          </cell>
          <cell r="DA218">
            <v>0</v>
          </cell>
          <cell r="DF218">
            <v>0</v>
          </cell>
          <cell r="DG218">
            <v>0</v>
          </cell>
          <cell r="DH218">
            <v>0</v>
          </cell>
          <cell r="DI218">
            <v>0</v>
          </cell>
          <cell r="DN218">
            <v>0</v>
          </cell>
          <cell r="DO218">
            <v>0</v>
          </cell>
          <cell r="DP218">
            <v>0</v>
          </cell>
          <cell r="DQ218">
            <v>0</v>
          </cell>
          <cell r="DV218">
            <v>0</v>
          </cell>
          <cell r="DW218">
            <v>0</v>
          </cell>
          <cell r="DX218">
            <v>0</v>
          </cell>
          <cell r="DY218">
            <v>0</v>
          </cell>
        </row>
        <row r="219">
          <cell r="F219">
            <v>0</v>
          </cell>
          <cell r="G219">
            <v>0</v>
          </cell>
          <cell r="H219">
            <v>0</v>
          </cell>
          <cell r="I219">
            <v>0</v>
          </cell>
          <cell r="N219">
            <v>0</v>
          </cell>
          <cell r="O219">
            <v>0</v>
          </cell>
          <cell r="T219">
            <v>0</v>
          </cell>
          <cell r="U219">
            <v>0</v>
          </cell>
          <cell r="Z219">
            <v>0</v>
          </cell>
          <cell r="AA219">
            <v>0</v>
          </cell>
          <cell r="AF219">
            <v>0</v>
          </cell>
          <cell r="AG219">
            <v>0</v>
          </cell>
          <cell r="AL219">
            <v>0</v>
          </cell>
          <cell r="AM219">
            <v>0</v>
          </cell>
          <cell r="AR219">
            <v>0</v>
          </cell>
          <cell r="AS219">
            <v>0</v>
          </cell>
          <cell r="AX219">
            <v>0</v>
          </cell>
          <cell r="AY219">
            <v>0</v>
          </cell>
          <cell r="AZ219">
            <v>0</v>
          </cell>
          <cell r="BA219">
            <v>0</v>
          </cell>
          <cell r="BF219">
            <v>0</v>
          </cell>
          <cell r="BG219">
            <v>0</v>
          </cell>
          <cell r="BL219">
            <v>0</v>
          </cell>
          <cell r="BM219">
            <v>0</v>
          </cell>
          <cell r="BR219">
            <v>0</v>
          </cell>
          <cell r="BS219">
            <v>0</v>
          </cell>
          <cell r="BX219">
            <v>0</v>
          </cell>
          <cell r="BY219">
            <v>0</v>
          </cell>
          <cell r="CD219">
            <v>0</v>
          </cell>
          <cell r="CE219">
            <v>0</v>
          </cell>
          <cell r="CJ219">
            <v>0</v>
          </cell>
          <cell r="CK219">
            <v>0</v>
          </cell>
          <cell r="CP219">
            <v>0</v>
          </cell>
          <cell r="CQ219">
            <v>0</v>
          </cell>
          <cell r="CR219">
            <v>0</v>
          </cell>
          <cell r="CS219">
            <v>0</v>
          </cell>
          <cell r="CX219">
            <v>0</v>
          </cell>
          <cell r="CY219">
            <v>0</v>
          </cell>
          <cell r="CZ219">
            <v>0</v>
          </cell>
          <cell r="DA219">
            <v>0</v>
          </cell>
          <cell r="DF219">
            <v>0</v>
          </cell>
          <cell r="DG219">
            <v>0</v>
          </cell>
          <cell r="DH219">
            <v>0</v>
          </cell>
          <cell r="DI219">
            <v>0</v>
          </cell>
          <cell r="DN219">
            <v>0</v>
          </cell>
          <cell r="DO219">
            <v>0</v>
          </cell>
          <cell r="DP219">
            <v>0</v>
          </cell>
          <cell r="DQ219">
            <v>0</v>
          </cell>
          <cell r="DV219">
            <v>0</v>
          </cell>
          <cell r="DW219">
            <v>0</v>
          </cell>
          <cell r="DX219">
            <v>0</v>
          </cell>
          <cell r="DY219">
            <v>0</v>
          </cell>
        </row>
        <row r="220">
          <cell r="F220">
            <v>0</v>
          </cell>
          <cell r="G220">
            <v>4500</v>
          </cell>
          <cell r="H220">
            <v>1329</v>
          </cell>
          <cell r="I220">
            <v>29.533333333333335</v>
          </cell>
          <cell r="N220">
            <v>0</v>
          </cell>
          <cell r="O220">
            <v>230</v>
          </cell>
          <cell r="P220">
            <v>66</v>
          </cell>
          <cell r="T220">
            <v>0</v>
          </cell>
          <cell r="U220">
            <v>300</v>
          </cell>
          <cell r="V220">
            <v>87</v>
          </cell>
          <cell r="Z220">
            <v>0</v>
          </cell>
          <cell r="AA220">
            <v>380</v>
          </cell>
          <cell r="AB220">
            <v>112</v>
          </cell>
          <cell r="AF220">
            <v>0</v>
          </cell>
          <cell r="AG220">
            <v>400</v>
          </cell>
          <cell r="AH220">
            <v>119</v>
          </cell>
          <cell r="AL220">
            <v>0</v>
          </cell>
          <cell r="AM220">
            <v>420</v>
          </cell>
          <cell r="AN220">
            <v>125</v>
          </cell>
          <cell r="AR220">
            <v>0</v>
          </cell>
          <cell r="AS220">
            <v>430</v>
          </cell>
          <cell r="AT220">
            <v>127</v>
          </cell>
          <cell r="AX220">
            <v>0</v>
          </cell>
          <cell r="AY220">
            <v>2160</v>
          </cell>
          <cell r="AZ220">
            <v>636</v>
          </cell>
          <cell r="BA220">
            <v>29.444444444444446</v>
          </cell>
          <cell r="BF220">
            <v>0</v>
          </cell>
          <cell r="BG220">
            <v>380</v>
          </cell>
          <cell r="BH220">
            <v>113</v>
          </cell>
          <cell r="BL220">
            <v>0</v>
          </cell>
          <cell r="BM220">
            <v>330</v>
          </cell>
          <cell r="BN220">
            <v>98</v>
          </cell>
          <cell r="BR220">
            <v>0</v>
          </cell>
          <cell r="BS220">
            <v>420</v>
          </cell>
          <cell r="BT220">
            <v>125</v>
          </cell>
          <cell r="BX220">
            <v>0</v>
          </cell>
          <cell r="BY220">
            <v>450</v>
          </cell>
          <cell r="BZ220">
            <v>133</v>
          </cell>
          <cell r="CD220">
            <v>0</v>
          </cell>
          <cell r="CE220">
            <v>380</v>
          </cell>
          <cell r="CF220">
            <v>112</v>
          </cell>
          <cell r="CJ220">
            <v>0</v>
          </cell>
          <cell r="CK220">
            <v>380</v>
          </cell>
          <cell r="CL220">
            <v>112</v>
          </cell>
          <cell r="CP220">
            <v>0</v>
          </cell>
          <cell r="CQ220">
            <v>2340</v>
          </cell>
          <cell r="CR220">
            <v>693</v>
          </cell>
          <cell r="CS220">
            <v>29.615384615384617</v>
          </cell>
          <cell r="CX220">
            <v>0</v>
          </cell>
          <cell r="CY220">
            <v>910</v>
          </cell>
          <cell r="CZ220">
            <v>265</v>
          </cell>
          <cell r="DA220">
            <v>29.120879120879124</v>
          </cell>
          <cell r="DF220">
            <v>0</v>
          </cell>
          <cell r="DG220">
            <v>1250</v>
          </cell>
          <cell r="DH220">
            <v>371</v>
          </cell>
          <cell r="DI220">
            <v>29.68</v>
          </cell>
          <cell r="DN220">
            <v>0</v>
          </cell>
          <cell r="DO220">
            <v>1130</v>
          </cell>
          <cell r="DP220">
            <v>336</v>
          </cell>
          <cell r="DQ220">
            <v>29.734513274336283</v>
          </cell>
          <cell r="DV220">
            <v>0</v>
          </cell>
          <cell r="DW220">
            <v>1210</v>
          </cell>
          <cell r="DX220">
            <v>357</v>
          </cell>
          <cell r="DY220">
            <v>29.504132231404963</v>
          </cell>
        </row>
        <row r="221">
          <cell r="F221">
            <v>0</v>
          </cell>
          <cell r="G221">
            <v>202</v>
          </cell>
          <cell r="H221">
            <v>116.84699999999999</v>
          </cell>
          <cell r="I221">
            <v>57.845049504950495</v>
          </cell>
          <cell r="O221">
            <v>0</v>
          </cell>
          <cell r="P221">
            <v>0</v>
          </cell>
          <cell r="U221">
            <v>0</v>
          </cell>
          <cell r="V221">
            <v>0</v>
          </cell>
          <cell r="AA221">
            <v>0</v>
          </cell>
          <cell r="AB221">
            <v>0</v>
          </cell>
          <cell r="AG221">
            <v>0</v>
          </cell>
          <cell r="AH221">
            <v>0</v>
          </cell>
          <cell r="AM221">
            <v>0</v>
          </cell>
          <cell r="AN221">
            <v>0</v>
          </cell>
          <cell r="AS221">
            <v>26</v>
          </cell>
          <cell r="AT221">
            <v>12.222</v>
          </cell>
          <cell r="AX221">
            <v>0</v>
          </cell>
          <cell r="AY221">
            <v>26</v>
          </cell>
          <cell r="AZ221">
            <v>12.222</v>
          </cell>
          <cell r="BA221">
            <v>47.007692307692309</v>
          </cell>
          <cell r="BG221">
            <v>26</v>
          </cell>
          <cell r="BH221">
            <v>14.478999999999999</v>
          </cell>
          <cell r="BM221">
            <v>26</v>
          </cell>
          <cell r="BN221">
            <v>15.4</v>
          </cell>
          <cell r="BS221">
            <v>39</v>
          </cell>
          <cell r="BT221">
            <v>23.24</v>
          </cell>
          <cell r="BY221">
            <v>39</v>
          </cell>
          <cell r="BZ221">
            <v>23.352</v>
          </cell>
          <cell r="CE221">
            <v>26</v>
          </cell>
          <cell r="CF221">
            <v>15.717000000000001</v>
          </cell>
          <cell r="CK221">
            <v>20</v>
          </cell>
          <cell r="CL221">
            <v>12.436999999999999</v>
          </cell>
          <cell r="CP221">
            <v>0</v>
          </cell>
          <cell r="CQ221">
            <v>176</v>
          </cell>
          <cell r="CR221">
            <v>104.625</v>
          </cell>
          <cell r="CS221">
            <v>59.446022727272727</v>
          </cell>
          <cell r="CX221">
            <v>0</v>
          </cell>
          <cell r="CY221">
            <v>0</v>
          </cell>
          <cell r="CZ221">
            <v>0</v>
          </cell>
          <cell r="DA221">
            <v>0</v>
          </cell>
          <cell r="DF221">
            <v>0</v>
          </cell>
          <cell r="DG221">
            <v>26</v>
          </cell>
          <cell r="DH221">
            <v>12.222</v>
          </cell>
          <cell r="DI221">
            <v>47.007692307692309</v>
          </cell>
          <cell r="DN221">
            <v>0</v>
          </cell>
          <cell r="DO221">
            <v>91</v>
          </cell>
          <cell r="DP221">
            <v>53.119</v>
          </cell>
          <cell r="DQ221">
            <v>58.372527472527466</v>
          </cell>
          <cell r="DV221">
            <v>0</v>
          </cell>
          <cell r="DW221">
            <v>85</v>
          </cell>
          <cell r="DX221">
            <v>51.506</v>
          </cell>
          <cell r="DY221">
            <v>60.595294117647057</v>
          </cell>
        </row>
        <row r="222">
          <cell r="F222">
            <v>0</v>
          </cell>
          <cell r="G222">
            <v>1048.0999999999999</v>
          </cell>
          <cell r="H222">
            <v>298.20799999999997</v>
          </cell>
          <cell r="I222">
            <v>28.452246923003532</v>
          </cell>
          <cell r="O222">
            <v>54.2</v>
          </cell>
          <cell r="P222">
            <v>15.48</v>
          </cell>
          <cell r="U222">
            <v>93</v>
          </cell>
          <cell r="V222">
            <v>25.9</v>
          </cell>
          <cell r="AA222">
            <v>118.2</v>
          </cell>
          <cell r="AB222">
            <v>33.78</v>
          </cell>
          <cell r="AG222">
            <v>111.5</v>
          </cell>
          <cell r="AH222">
            <v>31.423999999999999</v>
          </cell>
          <cell r="AM222">
            <v>104.2</v>
          </cell>
          <cell r="AN222">
            <v>29.98</v>
          </cell>
          <cell r="AS222">
            <v>79.2</v>
          </cell>
          <cell r="AT222">
            <v>22.32</v>
          </cell>
          <cell r="AX222">
            <v>0</v>
          </cell>
          <cell r="AY222">
            <v>560.29999999999995</v>
          </cell>
          <cell r="AZ222">
            <v>158.88399999999999</v>
          </cell>
          <cell r="BA222">
            <v>28.356951633053722</v>
          </cell>
          <cell r="BG222">
            <v>58.4</v>
          </cell>
          <cell r="BH222">
            <v>16.635999999999999</v>
          </cell>
          <cell r="BM222">
            <v>54.4</v>
          </cell>
          <cell r="BN222">
            <v>15.635999999999999</v>
          </cell>
          <cell r="BS222">
            <v>110.9</v>
          </cell>
          <cell r="BT222">
            <v>31.736000000000001</v>
          </cell>
          <cell r="BY222">
            <v>110.5</v>
          </cell>
          <cell r="BZ222">
            <v>31.744</v>
          </cell>
          <cell r="CE222">
            <v>86.1</v>
          </cell>
          <cell r="CF222">
            <v>24.408000000000001</v>
          </cell>
          <cell r="CK222">
            <v>67.5</v>
          </cell>
          <cell r="CL222">
            <v>19.164000000000001</v>
          </cell>
          <cell r="CP222">
            <v>0</v>
          </cell>
          <cell r="CQ222">
            <v>487.79999999999995</v>
          </cell>
          <cell r="CR222">
            <v>139.32400000000001</v>
          </cell>
          <cell r="CS222">
            <v>28.561705617056177</v>
          </cell>
          <cell r="CX222">
            <v>0</v>
          </cell>
          <cell r="CY222">
            <v>265.39999999999998</v>
          </cell>
          <cell r="CZ222">
            <v>75.16</v>
          </cell>
          <cell r="DA222">
            <v>28.319517709118315</v>
          </cell>
          <cell r="DF222">
            <v>0</v>
          </cell>
          <cell r="DG222">
            <v>294.89999999999998</v>
          </cell>
          <cell r="DH222">
            <v>83.72399999999999</v>
          </cell>
          <cell r="DI222">
            <v>28.390640895218716</v>
          </cell>
          <cell r="DN222">
            <v>0</v>
          </cell>
          <cell r="DO222">
            <v>223.7</v>
          </cell>
          <cell r="DP222">
            <v>64.007999999999996</v>
          </cell>
          <cell r="DQ222">
            <v>28.613321412606169</v>
          </cell>
          <cell r="DV222">
            <v>0</v>
          </cell>
          <cell r="DW222">
            <v>264.10000000000002</v>
          </cell>
          <cell r="DX222">
            <v>75.316000000000003</v>
          </cell>
          <cell r="DY222">
            <v>28.517985611510788</v>
          </cell>
        </row>
        <row r="223">
          <cell r="F223">
            <v>0</v>
          </cell>
          <cell r="G223">
            <v>0</v>
          </cell>
          <cell r="H223">
            <v>0</v>
          </cell>
          <cell r="I223">
            <v>0</v>
          </cell>
          <cell r="N223">
            <v>0</v>
          </cell>
          <cell r="O223">
            <v>0</v>
          </cell>
          <cell r="T223">
            <v>0</v>
          </cell>
          <cell r="U223">
            <v>0</v>
          </cell>
          <cell r="Z223">
            <v>0</v>
          </cell>
          <cell r="AA223">
            <v>0</v>
          </cell>
          <cell r="AF223">
            <v>0</v>
          </cell>
          <cell r="AG223">
            <v>0</v>
          </cell>
          <cell r="AL223">
            <v>0</v>
          </cell>
          <cell r="AM223">
            <v>0</v>
          </cell>
          <cell r="AR223">
            <v>0</v>
          </cell>
          <cell r="AS223">
            <v>0</v>
          </cell>
          <cell r="AX223">
            <v>0</v>
          </cell>
          <cell r="AY223">
            <v>0</v>
          </cell>
          <cell r="AZ223">
            <v>0</v>
          </cell>
          <cell r="BA223">
            <v>0</v>
          </cell>
          <cell r="BF223">
            <v>0</v>
          </cell>
          <cell r="BG223">
            <v>0</v>
          </cell>
          <cell r="BL223">
            <v>0</v>
          </cell>
          <cell r="BM223">
            <v>0</v>
          </cell>
          <cell r="BR223">
            <v>0</v>
          </cell>
          <cell r="BS223">
            <v>0</v>
          </cell>
          <cell r="BX223">
            <v>0</v>
          </cell>
          <cell r="BY223">
            <v>0</v>
          </cell>
          <cell r="CD223">
            <v>0</v>
          </cell>
          <cell r="CE223">
            <v>0</v>
          </cell>
          <cell r="CJ223">
            <v>0</v>
          </cell>
          <cell r="CK223">
            <v>0</v>
          </cell>
          <cell r="CP223">
            <v>0</v>
          </cell>
          <cell r="CQ223">
            <v>0</v>
          </cell>
          <cell r="CR223">
            <v>0</v>
          </cell>
          <cell r="CS223">
            <v>0</v>
          </cell>
          <cell r="CX223">
            <v>0</v>
          </cell>
          <cell r="CY223">
            <v>0</v>
          </cell>
          <cell r="CZ223">
            <v>0</v>
          </cell>
          <cell r="DA223">
            <v>0</v>
          </cell>
          <cell r="DF223">
            <v>0</v>
          </cell>
          <cell r="DG223">
            <v>0</v>
          </cell>
          <cell r="DH223">
            <v>0</v>
          </cell>
          <cell r="DI223">
            <v>0</v>
          </cell>
          <cell r="DN223">
            <v>0</v>
          </cell>
          <cell r="DO223">
            <v>0</v>
          </cell>
          <cell r="DP223">
            <v>0</v>
          </cell>
          <cell r="DQ223">
            <v>0</v>
          </cell>
          <cell r="DV223">
            <v>0</v>
          </cell>
          <cell r="DW223">
            <v>0</v>
          </cell>
          <cell r="DX223">
            <v>0</v>
          </cell>
          <cell r="DY223">
            <v>0</v>
          </cell>
        </row>
        <row r="224">
          <cell r="F224">
            <v>0</v>
          </cell>
          <cell r="G224">
            <v>1250.0999999999999</v>
          </cell>
          <cell r="H224">
            <v>415.05499999999995</v>
          </cell>
          <cell r="I224">
            <v>33.201743860491163</v>
          </cell>
          <cell r="N224">
            <v>0</v>
          </cell>
          <cell r="O224">
            <v>54.2</v>
          </cell>
          <cell r="P224">
            <v>15.48</v>
          </cell>
          <cell r="T224">
            <v>0</v>
          </cell>
          <cell r="U224">
            <v>93</v>
          </cell>
          <cell r="V224">
            <v>25.9</v>
          </cell>
          <cell r="Z224">
            <v>0</v>
          </cell>
          <cell r="AA224">
            <v>118.2</v>
          </cell>
          <cell r="AB224">
            <v>33.78</v>
          </cell>
          <cell r="AF224">
            <v>0</v>
          </cell>
          <cell r="AG224">
            <v>111.5</v>
          </cell>
          <cell r="AH224">
            <v>31.423999999999999</v>
          </cell>
          <cell r="AL224">
            <v>0</v>
          </cell>
          <cell r="AM224">
            <v>104.2</v>
          </cell>
          <cell r="AN224">
            <v>29.98</v>
          </cell>
          <cell r="AR224">
            <v>0</v>
          </cell>
          <cell r="AS224">
            <v>105.2</v>
          </cell>
          <cell r="AT224">
            <v>34.542000000000002</v>
          </cell>
          <cell r="AX224">
            <v>0</v>
          </cell>
          <cell r="AY224">
            <v>586.29999999999995</v>
          </cell>
          <cell r="AZ224">
            <v>171.10599999999999</v>
          </cell>
          <cell r="BA224">
            <v>29.184035476718407</v>
          </cell>
          <cell r="BF224">
            <v>0</v>
          </cell>
          <cell r="BG224">
            <v>84.4</v>
          </cell>
          <cell r="BH224">
            <v>31.114999999999998</v>
          </cell>
          <cell r="BL224">
            <v>0</v>
          </cell>
          <cell r="BM224">
            <v>80.400000000000006</v>
          </cell>
          <cell r="BN224">
            <v>31.036000000000001</v>
          </cell>
          <cell r="BR224">
            <v>0</v>
          </cell>
          <cell r="BS224">
            <v>149.9</v>
          </cell>
          <cell r="BT224">
            <v>54.975999999999999</v>
          </cell>
          <cell r="BX224">
            <v>0</v>
          </cell>
          <cell r="BY224">
            <v>149.5</v>
          </cell>
          <cell r="BZ224">
            <v>55.096000000000004</v>
          </cell>
          <cell r="CD224">
            <v>0</v>
          </cell>
          <cell r="CE224">
            <v>112.1</v>
          </cell>
          <cell r="CF224">
            <v>40.125</v>
          </cell>
          <cell r="CJ224">
            <v>0</v>
          </cell>
          <cell r="CK224">
            <v>87.5</v>
          </cell>
          <cell r="CL224">
            <v>31.600999999999999</v>
          </cell>
          <cell r="CP224">
            <v>0</v>
          </cell>
          <cell r="CQ224">
            <v>663.8</v>
          </cell>
          <cell r="CR224">
            <v>243.94900000000001</v>
          </cell>
          <cell r="CS224">
            <v>36.750376619463701</v>
          </cell>
          <cell r="CX224">
            <v>0</v>
          </cell>
          <cell r="CY224">
            <v>265.39999999999998</v>
          </cell>
          <cell r="CZ224">
            <v>75.16</v>
          </cell>
          <cell r="DA224">
            <v>28.319517709118315</v>
          </cell>
          <cell r="DF224">
            <v>0</v>
          </cell>
          <cell r="DG224">
            <v>320.89999999999998</v>
          </cell>
          <cell r="DH224">
            <v>95.945999999999984</v>
          </cell>
          <cell r="DI224">
            <v>29.899033966967899</v>
          </cell>
          <cell r="DN224">
            <v>0</v>
          </cell>
          <cell r="DO224">
            <v>314.7</v>
          </cell>
          <cell r="DP224">
            <v>117.127</v>
          </cell>
          <cell r="DQ224">
            <v>37.218620908802038</v>
          </cell>
          <cell r="DV224">
            <v>0</v>
          </cell>
          <cell r="DW224">
            <v>349.1</v>
          </cell>
          <cell r="DX224">
            <v>126.822</v>
          </cell>
          <cell r="DY224">
            <v>36.328272701231739</v>
          </cell>
        </row>
        <row r="225">
          <cell r="F225">
            <v>0</v>
          </cell>
          <cell r="G225">
            <v>1111</v>
          </cell>
          <cell r="H225">
            <v>333.45</v>
          </cell>
          <cell r="I225">
            <v>30.013501350135012</v>
          </cell>
          <cell r="N225">
            <v>0</v>
          </cell>
          <cell r="O225">
            <v>44</v>
          </cell>
          <cell r="P225">
            <v>13.122</v>
          </cell>
          <cell r="T225">
            <v>0</v>
          </cell>
          <cell r="U225">
            <v>60</v>
          </cell>
          <cell r="V225">
            <v>17.922000000000001</v>
          </cell>
          <cell r="Z225">
            <v>0</v>
          </cell>
          <cell r="AA225">
            <v>68</v>
          </cell>
          <cell r="AB225">
            <v>20.622</v>
          </cell>
          <cell r="AF225">
            <v>0</v>
          </cell>
          <cell r="AG225">
            <v>64</v>
          </cell>
          <cell r="AH225">
            <v>19.295999999999999</v>
          </cell>
          <cell r="AL225">
            <v>0</v>
          </cell>
          <cell r="AM225">
            <v>73</v>
          </cell>
          <cell r="AN225">
            <v>21.995999999999999</v>
          </cell>
          <cell r="AR225">
            <v>0</v>
          </cell>
          <cell r="AS225">
            <v>64</v>
          </cell>
          <cell r="AT225">
            <v>19.295999999999999</v>
          </cell>
          <cell r="AX225">
            <v>0</v>
          </cell>
          <cell r="AY225">
            <v>373</v>
          </cell>
          <cell r="AZ225">
            <v>112.254</v>
          </cell>
          <cell r="BA225">
            <v>30.094906166219843</v>
          </cell>
          <cell r="BF225">
            <v>0</v>
          </cell>
          <cell r="BG225">
            <v>76</v>
          </cell>
          <cell r="BH225">
            <v>22.745999999999999</v>
          </cell>
          <cell r="BL225">
            <v>0</v>
          </cell>
          <cell r="BM225">
            <v>93</v>
          </cell>
          <cell r="BN225">
            <v>27.795000000000002</v>
          </cell>
          <cell r="BR225">
            <v>0</v>
          </cell>
          <cell r="BS225">
            <v>112</v>
          </cell>
          <cell r="BT225">
            <v>33.494999999999997</v>
          </cell>
          <cell r="BX225">
            <v>0</v>
          </cell>
          <cell r="BY225">
            <v>147</v>
          </cell>
          <cell r="BZ225">
            <v>43.994999999999997</v>
          </cell>
          <cell r="CD225">
            <v>0</v>
          </cell>
          <cell r="CE225">
            <v>162</v>
          </cell>
          <cell r="CF225">
            <v>48.795000000000002</v>
          </cell>
          <cell r="CJ225">
            <v>0</v>
          </cell>
          <cell r="CK225">
            <v>148</v>
          </cell>
          <cell r="CL225">
            <v>44.37</v>
          </cell>
          <cell r="CP225">
            <v>0</v>
          </cell>
          <cell r="CQ225">
            <v>738</v>
          </cell>
          <cell r="CR225">
            <v>221.196</v>
          </cell>
          <cell r="CS225">
            <v>29.972357723577236</v>
          </cell>
          <cell r="CX225">
            <v>0</v>
          </cell>
          <cell r="CY225">
            <v>172</v>
          </cell>
          <cell r="CZ225">
            <v>51.665999999999997</v>
          </cell>
          <cell r="DA225">
            <v>30.038372093023252</v>
          </cell>
          <cell r="DF225">
            <v>0</v>
          </cell>
          <cell r="DG225">
            <v>201</v>
          </cell>
          <cell r="DH225">
            <v>60.588000000000001</v>
          </cell>
          <cell r="DI225">
            <v>30.143283582089552</v>
          </cell>
          <cell r="DN225">
            <v>0</v>
          </cell>
          <cell r="DO225">
            <v>281</v>
          </cell>
          <cell r="DP225">
            <v>84.036000000000001</v>
          </cell>
          <cell r="DQ225">
            <v>29.906049822064055</v>
          </cell>
          <cell r="DV225">
            <v>0</v>
          </cell>
          <cell r="DW225">
            <v>457</v>
          </cell>
          <cell r="DX225">
            <v>137.16</v>
          </cell>
          <cell r="DY225">
            <v>30.013129102844637</v>
          </cell>
        </row>
        <row r="226">
          <cell r="F226">
            <v>0</v>
          </cell>
          <cell r="G226">
            <v>0</v>
          </cell>
          <cell r="H226">
            <v>0</v>
          </cell>
          <cell r="I226">
            <v>0</v>
          </cell>
          <cell r="N226">
            <v>0</v>
          </cell>
          <cell r="O226">
            <v>0</v>
          </cell>
          <cell r="T226">
            <v>0</v>
          </cell>
          <cell r="U226">
            <v>0</v>
          </cell>
          <cell r="Z226">
            <v>0</v>
          </cell>
          <cell r="AA226">
            <v>0</v>
          </cell>
          <cell r="AF226">
            <v>0</v>
          </cell>
          <cell r="AG226">
            <v>0</v>
          </cell>
          <cell r="AL226">
            <v>0</v>
          </cell>
          <cell r="AM226">
            <v>0</v>
          </cell>
          <cell r="AR226">
            <v>0</v>
          </cell>
          <cell r="AS226">
            <v>0</v>
          </cell>
          <cell r="AX226">
            <v>0</v>
          </cell>
          <cell r="AY226">
            <v>0</v>
          </cell>
          <cell r="AZ226">
            <v>0</v>
          </cell>
          <cell r="BA226">
            <v>0</v>
          </cell>
          <cell r="BF226">
            <v>0</v>
          </cell>
          <cell r="BG226">
            <v>0</v>
          </cell>
          <cell r="BL226">
            <v>0</v>
          </cell>
          <cell r="BM226">
            <v>0</v>
          </cell>
          <cell r="BR226">
            <v>0</v>
          </cell>
          <cell r="BS226">
            <v>0</v>
          </cell>
          <cell r="BX226">
            <v>0</v>
          </cell>
          <cell r="BY226">
            <v>0</v>
          </cell>
          <cell r="CD226">
            <v>0</v>
          </cell>
          <cell r="CE226">
            <v>0</v>
          </cell>
          <cell r="CJ226">
            <v>0</v>
          </cell>
          <cell r="CK226">
            <v>0</v>
          </cell>
          <cell r="CP226">
            <v>0</v>
          </cell>
          <cell r="CQ226">
            <v>0</v>
          </cell>
          <cell r="CR226">
            <v>0</v>
          </cell>
          <cell r="CS226">
            <v>0</v>
          </cell>
          <cell r="CX226">
            <v>0</v>
          </cell>
          <cell r="CY226">
            <v>0</v>
          </cell>
          <cell r="CZ226">
            <v>0</v>
          </cell>
          <cell r="DA226">
            <v>0</v>
          </cell>
          <cell r="DF226">
            <v>0</v>
          </cell>
          <cell r="DG226">
            <v>0</v>
          </cell>
          <cell r="DH226">
            <v>0</v>
          </cell>
          <cell r="DI226">
            <v>0</v>
          </cell>
          <cell r="DN226">
            <v>0</v>
          </cell>
          <cell r="DO226">
            <v>0</v>
          </cell>
          <cell r="DP226">
            <v>0</v>
          </cell>
          <cell r="DQ226">
            <v>0</v>
          </cell>
          <cell r="DV226">
            <v>0</v>
          </cell>
          <cell r="DW226">
            <v>0</v>
          </cell>
          <cell r="DX226">
            <v>0</v>
          </cell>
          <cell r="DY226">
            <v>0</v>
          </cell>
        </row>
        <row r="227">
          <cell r="F227">
            <v>0</v>
          </cell>
          <cell r="G227">
            <v>1111</v>
          </cell>
          <cell r="H227">
            <v>333.45</v>
          </cell>
          <cell r="I227">
            <v>30.013501350135012</v>
          </cell>
          <cell r="N227">
            <v>0</v>
          </cell>
          <cell r="O227">
            <v>44</v>
          </cell>
          <cell r="P227">
            <v>13.122</v>
          </cell>
          <cell r="T227">
            <v>0</v>
          </cell>
          <cell r="U227">
            <v>60</v>
          </cell>
          <cell r="V227">
            <v>17.922000000000001</v>
          </cell>
          <cell r="Z227">
            <v>0</v>
          </cell>
          <cell r="AA227">
            <v>68</v>
          </cell>
          <cell r="AB227">
            <v>20.622</v>
          </cell>
          <cell r="AF227">
            <v>0</v>
          </cell>
          <cell r="AG227">
            <v>64</v>
          </cell>
          <cell r="AH227">
            <v>19.295999999999999</v>
          </cell>
          <cell r="AL227">
            <v>0</v>
          </cell>
          <cell r="AM227">
            <v>73</v>
          </cell>
          <cell r="AN227">
            <v>21.995999999999999</v>
          </cell>
          <cell r="AR227">
            <v>0</v>
          </cell>
          <cell r="AS227">
            <v>64</v>
          </cell>
          <cell r="AT227">
            <v>19.295999999999999</v>
          </cell>
          <cell r="AX227">
            <v>0</v>
          </cell>
          <cell r="AY227">
            <v>373</v>
          </cell>
          <cell r="AZ227">
            <v>112.254</v>
          </cell>
          <cell r="BA227">
            <v>30.094906166219843</v>
          </cell>
          <cell r="BF227">
            <v>0</v>
          </cell>
          <cell r="BG227">
            <v>76</v>
          </cell>
          <cell r="BH227">
            <v>22.745999999999999</v>
          </cell>
          <cell r="BL227">
            <v>0</v>
          </cell>
          <cell r="BM227">
            <v>93</v>
          </cell>
          <cell r="BN227">
            <v>27.795000000000002</v>
          </cell>
          <cell r="BR227">
            <v>0</v>
          </cell>
          <cell r="BS227">
            <v>112</v>
          </cell>
          <cell r="BT227">
            <v>33.494999999999997</v>
          </cell>
          <cell r="BX227">
            <v>0</v>
          </cell>
          <cell r="BY227">
            <v>147</v>
          </cell>
          <cell r="BZ227">
            <v>43.994999999999997</v>
          </cell>
          <cell r="CD227">
            <v>0</v>
          </cell>
          <cell r="CE227">
            <v>162</v>
          </cell>
          <cell r="CF227">
            <v>48.795000000000002</v>
          </cell>
          <cell r="CJ227">
            <v>0</v>
          </cell>
          <cell r="CK227">
            <v>148</v>
          </cell>
          <cell r="CL227">
            <v>44.37</v>
          </cell>
          <cell r="CP227">
            <v>0</v>
          </cell>
          <cell r="CQ227">
            <v>738</v>
          </cell>
          <cell r="CR227">
            <v>221.196</v>
          </cell>
          <cell r="CS227">
            <v>29.972357723577236</v>
          </cell>
          <cell r="CX227">
            <v>0</v>
          </cell>
          <cell r="CY227">
            <v>172</v>
          </cell>
          <cell r="CZ227">
            <v>51.665999999999997</v>
          </cell>
          <cell r="DA227">
            <v>30.038372093023252</v>
          </cell>
          <cell r="DF227">
            <v>0</v>
          </cell>
          <cell r="DG227">
            <v>201</v>
          </cell>
          <cell r="DH227">
            <v>60.588000000000001</v>
          </cell>
          <cell r="DI227">
            <v>30.143283582089552</v>
          </cell>
          <cell r="DN227">
            <v>0</v>
          </cell>
          <cell r="DO227">
            <v>281</v>
          </cell>
          <cell r="DP227">
            <v>84.036000000000001</v>
          </cell>
          <cell r="DQ227">
            <v>29.906049822064055</v>
          </cell>
          <cell r="DV227">
            <v>0</v>
          </cell>
          <cell r="DW227">
            <v>457</v>
          </cell>
          <cell r="DX227">
            <v>137.16</v>
          </cell>
          <cell r="DY227">
            <v>30.013129102844637</v>
          </cell>
        </row>
        <row r="228">
          <cell r="F228">
            <v>0</v>
          </cell>
          <cell r="G228">
            <v>0</v>
          </cell>
          <cell r="H228">
            <v>0</v>
          </cell>
          <cell r="I228">
            <v>0</v>
          </cell>
          <cell r="N228">
            <v>0</v>
          </cell>
          <cell r="O228">
            <v>0</v>
          </cell>
          <cell r="T228">
            <v>0</v>
          </cell>
          <cell r="U228">
            <v>0</v>
          </cell>
          <cell r="Z228">
            <v>0</v>
          </cell>
          <cell r="AA228">
            <v>0</v>
          </cell>
          <cell r="AF228">
            <v>0</v>
          </cell>
          <cell r="AG228">
            <v>0</v>
          </cell>
          <cell r="AL228">
            <v>0</v>
          </cell>
          <cell r="AM228">
            <v>0</v>
          </cell>
          <cell r="AR228">
            <v>0</v>
          </cell>
          <cell r="AS228">
            <v>0</v>
          </cell>
          <cell r="AX228">
            <v>0</v>
          </cell>
          <cell r="AY228">
            <v>0</v>
          </cell>
          <cell r="AZ228">
            <v>0</v>
          </cell>
          <cell r="BA228">
            <v>0</v>
          </cell>
          <cell r="BF228">
            <v>0</v>
          </cell>
          <cell r="BG228">
            <v>0</v>
          </cell>
          <cell r="BL228">
            <v>0</v>
          </cell>
          <cell r="BM228">
            <v>0</v>
          </cell>
          <cell r="BR228">
            <v>0</v>
          </cell>
          <cell r="BS228">
            <v>0</v>
          </cell>
          <cell r="BX228">
            <v>0</v>
          </cell>
          <cell r="BY228">
            <v>0</v>
          </cell>
          <cell r="CD228">
            <v>0</v>
          </cell>
          <cell r="CE228">
            <v>0</v>
          </cell>
          <cell r="CJ228">
            <v>0</v>
          </cell>
          <cell r="CK228">
            <v>0</v>
          </cell>
          <cell r="CP228">
            <v>0</v>
          </cell>
          <cell r="CQ228">
            <v>0</v>
          </cell>
          <cell r="CR228">
            <v>0</v>
          </cell>
          <cell r="CS228">
            <v>0</v>
          </cell>
          <cell r="CX228">
            <v>0</v>
          </cell>
          <cell r="CY228">
            <v>0</v>
          </cell>
          <cell r="CZ228">
            <v>0</v>
          </cell>
          <cell r="DA228">
            <v>0</v>
          </cell>
          <cell r="DF228">
            <v>0</v>
          </cell>
          <cell r="DG228">
            <v>0</v>
          </cell>
          <cell r="DH228">
            <v>0</v>
          </cell>
          <cell r="DI228">
            <v>0</v>
          </cell>
          <cell r="DN228">
            <v>0</v>
          </cell>
          <cell r="DO228">
            <v>0</v>
          </cell>
          <cell r="DP228">
            <v>0</v>
          </cell>
          <cell r="DQ228">
            <v>0</v>
          </cell>
          <cell r="DV228">
            <v>0</v>
          </cell>
          <cell r="DW228">
            <v>0</v>
          </cell>
          <cell r="DX228">
            <v>0</v>
          </cell>
          <cell r="DY228">
            <v>0</v>
          </cell>
        </row>
        <row r="229">
          <cell r="F229">
            <v>0</v>
          </cell>
          <cell r="G229">
            <v>0</v>
          </cell>
          <cell r="H229">
            <v>0</v>
          </cell>
          <cell r="I229">
            <v>0</v>
          </cell>
          <cell r="N229">
            <v>0</v>
          </cell>
          <cell r="O229">
            <v>0</v>
          </cell>
          <cell r="T229">
            <v>0</v>
          </cell>
          <cell r="U229">
            <v>0</v>
          </cell>
          <cell r="Z229">
            <v>0</v>
          </cell>
          <cell r="AA229">
            <v>0</v>
          </cell>
          <cell r="AF229">
            <v>0</v>
          </cell>
          <cell r="AG229">
            <v>0</v>
          </cell>
          <cell r="AL229">
            <v>0</v>
          </cell>
          <cell r="AM229">
            <v>0</v>
          </cell>
          <cell r="AR229">
            <v>0</v>
          </cell>
          <cell r="AS229">
            <v>0</v>
          </cell>
          <cell r="AX229">
            <v>0</v>
          </cell>
          <cell r="AY229">
            <v>0</v>
          </cell>
          <cell r="AZ229">
            <v>0</v>
          </cell>
          <cell r="BA229">
            <v>0</v>
          </cell>
          <cell r="BF229">
            <v>0</v>
          </cell>
          <cell r="BG229">
            <v>0</v>
          </cell>
          <cell r="BL229">
            <v>0</v>
          </cell>
          <cell r="BM229">
            <v>0</v>
          </cell>
          <cell r="BR229">
            <v>0</v>
          </cell>
          <cell r="BS229">
            <v>0</v>
          </cell>
          <cell r="BX229">
            <v>0</v>
          </cell>
          <cell r="BY229">
            <v>0</v>
          </cell>
          <cell r="CD229">
            <v>0</v>
          </cell>
          <cell r="CE229">
            <v>0</v>
          </cell>
          <cell r="CJ229">
            <v>0</v>
          </cell>
          <cell r="CK229">
            <v>0</v>
          </cell>
          <cell r="CP229">
            <v>0</v>
          </cell>
          <cell r="CQ229">
            <v>0</v>
          </cell>
          <cell r="CR229">
            <v>0</v>
          </cell>
          <cell r="CS229">
            <v>0</v>
          </cell>
          <cell r="CX229">
            <v>0</v>
          </cell>
          <cell r="CY229">
            <v>0</v>
          </cell>
          <cell r="CZ229">
            <v>0</v>
          </cell>
          <cell r="DA229">
            <v>0</v>
          </cell>
          <cell r="DF229">
            <v>0</v>
          </cell>
          <cell r="DG229">
            <v>0</v>
          </cell>
          <cell r="DH229">
            <v>0</v>
          </cell>
          <cell r="DI229">
            <v>0</v>
          </cell>
          <cell r="DN229">
            <v>0</v>
          </cell>
          <cell r="DO229">
            <v>0</v>
          </cell>
          <cell r="DP229">
            <v>0</v>
          </cell>
          <cell r="DQ229">
            <v>0</v>
          </cell>
          <cell r="DV229">
            <v>0</v>
          </cell>
          <cell r="DW229">
            <v>0</v>
          </cell>
          <cell r="DX229">
            <v>0</v>
          </cell>
          <cell r="DY229">
            <v>0</v>
          </cell>
        </row>
        <row r="230">
          <cell r="F230">
            <v>0</v>
          </cell>
          <cell r="G230">
            <v>0</v>
          </cell>
          <cell r="H230">
            <v>0</v>
          </cell>
          <cell r="I230">
            <v>0</v>
          </cell>
          <cell r="N230">
            <v>0</v>
          </cell>
          <cell r="O230">
            <v>0</v>
          </cell>
          <cell r="P230">
            <v>0</v>
          </cell>
          <cell r="T230">
            <v>0</v>
          </cell>
          <cell r="U230">
            <v>0</v>
          </cell>
          <cell r="V230">
            <v>0</v>
          </cell>
          <cell r="Z230">
            <v>0</v>
          </cell>
          <cell r="AA230">
            <v>0</v>
          </cell>
          <cell r="AB230">
            <v>0</v>
          </cell>
          <cell r="AF230">
            <v>0</v>
          </cell>
          <cell r="AG230">
            <v>0</v>
          </cell>
          <cell r="AH230">
            <v>0</v>
          </cell>
          <cell r="AL230">
            <v>0</v>
          </cell>
          <cell r="AM230">
            <v>0</v>
          </cell>
          <cell r="AN230">
            <v>0</v>
          </cell>
          <cell r="AR230">
            <v>0</v>
          </cell>
          <cell r="AS230">
            <v>0</v>
          </cell>
          <cell r="AT230">
            <v>0</v>
          </cell>
          <cell r="AX230">
            <v>0</v>
          </cell>
          <cell r="AY230">
            <v>0</v>
          </cell>
          <cell r="AZ230">
            <v>0</v>
          </cell>
          <cell r="BA230">
            <v>0</v>
          </cell>
          <cell r="BF230">
            <v>0</v>
          </cell>
          <cell r="BG230">
            <v>0</v>
          </cell>
          <cell r="BH230">
            <v>0</v>
          </cell>
          <cell r="BL230">
            <v>0</v>
          </cell>
          <cell r="BM230">
            <v>0</v>
          </cell>
          <cell r="BN230">
            <v>0</v>
          </cell>
          <cell r="BR230">
            <v>0</v>
          </cell>
          <cell r="BS230">
            <v>0</v>
          </cell>
          <cell r="BT230">
            <v>0</v>
          </cell>
          <cell r="BX230">
            <v>0</v>
          </cell>
          <cell r="BY230">
            <v>0</v>
          </cell>
          <cell r="BZ230">
            <v>0</v>
          </cell>
          <cell r="CD230">
            <v>0</v>
          </cell>
          <cell r="CE230">
            <v>0</v>
          </cell>
          <cell r="CF230">
            <v>0</v>
          </cell>
          <cell r="CJ230">
            <v>0</v>
          </cell>
          <cell r="CK230">
            <v>0</v>
          </cell>
          <cell r="CL230">
            <v>0</v>
          </cell>
          <cell r="CP230">
            <v>0</v>
          </cell>
          <cell r="CQ230">
            <v>0</v>
          </cell>
          <cell r="CR230">
            <v>0</v>
          </cell>
          <cell r="CS230">
            <v>0</v>
          </cell>
          <cell r="CX230">
            <v>0</v>
          </cell>
          <cell r="CY230">
            <v>0</v>
          </cell>
          <cell r="CZ230">
            <v>0</v>
          </cell>
          <cell r="DA230">
            <v>0</v>
          </cell>
          <cell r="DF230">
            <v>0</v>
          </cell>
          <cell r="DG230">
            <v>0</v>
          </cell>
          <cell r="DH230">
            <v>0</v>
          </cell>
          <cell r="DI230">
            <v>0</v>
          </cell>
          <cell r="DN230">
            <v>0</v>
          </cell>
          <cell r="DO230">
            <v>0</v>
          </cell>
          <cell r="DP230">
            <v>0</v>
          </cell>
          <cell r="DQ230">
            <v>0</v>
          </cell>
          <cell r="DV230">
            <v>0</v>
          </cell>
          <cell r="DW230">
            <v>0</v>
          </cell>
          <cell r="DX230">
            <v>0</v>
          </cell>
          <cell r="DY230">
            <v>0</v>
          </cell>
        </row>
        <row r="231">
          <cell r="F231">
            <v>6750</v>
          </cell>
          <cell r="G231">
            <v>1012</v>
          </cell>
          <cell r="H231">
            <v>133.495</v>
          </cell>
          <cell r="I231">
            <v>13.19120553359684</v>
          </cell>
          <cell r="N231">
            <v>0</v>
          </cell>
          <cell r="O231">
            <v>0</v>
          </cell>
          <cell r="P231">
            <v>0</v>
          </cell>
          <cell r="T231">
            <v>200</v>
          </cell>
          <cell r="U231">
            <v>30</v>
          </cell>
          <cell r="V231">
            <v>3.956</v>
          </cell>
          <cell r="Z231">
            <v>250</v>
          </cell>
          <cell r="AA231">
            <v>37</v>
          </cell>
          <cell r="AB231">
            <v>4.9450000000000003</v>
          </cell>
          <cell r="AF231">
            <v>300</v>
          </cell>
          <cell r="AG231">
            <v>45</v>
          </cell>
          <cell r="AH231">
            <v>5.931</v>
          </cell>
          <cell r="AL231">
            <v>500</v>
          </cell>
          <cell r="AM231">
            <v>75</v>
          </cell>
          <cell r="AN231">
            <v>9.89</v>
          </cell>
          <cell r="AR231">
            <v>600</v>
          </cell>
          <cell r="AS231">
            <v>90</v>
          </cell>
          <cell r="AT231">
            <v>11.868</v>
          </cell>
          <cell r="AX231">
            <v>1850</v>
          </cell>
          <cell r="AY231">
            <v>277</v>
          </cell>
          <cell r="AZ231">
            <v>36.590000000000003</v>
          </cell>
          <cell r="BA231">
            <v>13.209386281588447</v>
          </cell>
          <cell r="BF231">
            <v>700</v>
          </cell>
          <cell r="BG231">
            <v>105</v>
          </cell>
          <cell r="BH231">
            <v>13.846</v>
          </cell>
          <cell r="BL231">
            <v>750</v>
          </cell>
          <cell r="BM231">
            <v>113</v>
          </cell>
          <cell r="BN231">
            <v>14.827</v>
          </cell>
          <cell r="BR231">
            <v>800</v>
          </cell>
          <cell r="BS231">
            <v>120</v>
          </cell>
          <cell r="BT231">
            <v>15.824</v>
          </cell>
          <cell r="BX231">
            <v>850</v>
          </cell>
          <cell r="BY231">
            <v>127</v>
          </cell>
          <cell r="BZ231">
            <v>16.812999999999999</v>
          </cell>
          <cell r="CD231">
            <v>900</v>
          </cell>
          <cell r="CE231">
            <v>135</v>
          </cell>
          <cell r="CF231">
            <v>17.802</v>
          </cell>
          <cell r="CJ231">
            <v>900</v>
          </cell>
          <cell r="CK231">
            <v>135</v>
          </cell>
          <cell r="CL231">
            <v>17.792999999999999</v>
          </cell>
          <cell r="CP231">
            <v>4900</v>
          </cell>
          <cell r="CQ231">
            <v>735</v>
          </cell>
          <cell r="CR231">
            <v>96.905000000000001</v>
          </cell>
          <cell r="CS231">
            <v>13.184353741496599</v>
          </cell>
          <cell r="CX231">
            <v>450</v>
          </cell>
          <cell r="CY231">
            <v>67</v>
          </cell>
          <cell r="CZ231">
            <v>8.9009999999999998</v>
          </cell>
          <cell r="DA231">
            <v>13.28507462686567</v>
          </cell>
          <cell r="DF231">
            <v>1400</v>
          </cell>
          <cell r="DG231">
            <v>210</v>
          </cell>
          <cell r="DH231">
            <v>27.689</v>
          </cell>
          <cell r="DI231">
            <v>13.185238095238095</v>
          </cell>
          <cell r="DN231">
            <v>2250</v>
          </cell>
          <cell r="DO231">
            <v>338</v>
          </cell>
          <cell r="DP231">
            <v>44.497</v>
          </cell>
          <cell r="DQ231">
            <v>13.164792899408283</v>
          </cell>
          <cell r="DV231">
            <v>2650</v>
          </cell>
          <cell r="DW231">
            <v>397</v>
          </cell>
          <cell r="DX231">
            <v>52.407999999999994</v>
          </cell>
          <cell r="DY231">
            <v>13.201007556675062</v>
          </cell>
        </row>
        <row r="232">
          <cell r="F232">
            <v>0</v>
          </cell>
          <cell r="G232">
            <v>1000</v>
          </cell>
          <cell r="H232">
            <v>794.75700000000006</v>
          </cell>
          <cell r="I232">
            <v>79.475700000000003</v>
          </cell>
          <cell r="O232">
            <v>40</v>
          </cell>
          <cell r="P232">
            <v>30.494</v>
          </cell>
          <cell r="U232">
            <v>50</v>
          </cell>
          <cell r="V232">
            <v>37.814</v>
          </cell>
          <cell r="AA232">
            <v>50</v>
          </cell>
          <cell r="AB232">
            <v>36.72</v>
          </cell>
          <cell r="AG232">
            <v>70</v>
          </cell>
          <cell r="AH232">
            <v>55.106999999999999</v>
          </cell>
          <cell r="AM232">
            <v>70</v>
          </cell>
          <cell r="AN232">
            <v>54.527000000000001</v>
          </cell>
          <cell r="AS232">
            <v>80</v>
          </cell>
          <cell r="AT232">
            <v>64</v>
          </cell>
          <cell r="AX232">
            <v>0</v>
          </cell>
          <cell r="AY232">
            <v>360</v>
          </cell>
          <cell r="AZ232">
            <v>278.66200000000003</v>
          </cell>
          <cell r="BA232">
            <v>77.406111111111116</v>
          </cell>
          <cell r="BG232">
            <v>85</v>
          </cell>
          <cell r="BH232">
            <v>66.927000000000007</v>
          </cell>
          <cell r="BM232">
            <v>85</v>
          </cell>
          <cell r="BN232">
            <v>67.066999999999993</v>
          </cell>
          <cell r="BS232">
            <v>90</v>
          </cell>
          <cell r="BT232">
            <v>72.819999999999993</v>
          </cell>
          <cell r="BY232">
            <v>100</v>
          </cell>
          <cell r="BZ232">
            <v>80.027000000000001</v>
          </cell>
          <cell r="CE232">
            <v>120</v>
          </cell>
          <cell r="CF232">
            <v>96.427000000000007</v>
          </cell>
          <cell r="CK232">
            <v>160</v>
          </cell>
          <cell r="CL232">
            <v>132.827</v>
          </cell>
          <cell r="CP232">
            <v>0</v>
          </cell>
          <cell r="CQ232">
            <v>640</v>
          </cell>
          <cell r="CR232">
            <v>516.09500000000003</v>
          </cell>
          <cell r="CS232">
            <v>80.639843750000011</v>
          </cell>
          <cell r="CX232">
            <v>0</v>
          </cell>
          <cell r="CY232">
            <v>140</v>
          </cell>
          <cell r="CZ232">
            <v>105.02799999999999</v>
          </cell>
          <cell r="DA232">
            <v>75.02</v>
          </cell>
          <cell r="DF232">
            <v>0</v>
          </cell>
          <cell r="DG232">
            <v>220</v>
          </cell>
          <cell r="DH232">
            <v>173.63400000000001</v>
          </cell>
          <cell r="DI232">
            <v>78.924545454545452</v>
          </cell>
          <cell r="DN232">
            <v>0</v>
          </cell>
          <cell r="DO232">
            <v>260</v>
          </cell>
          <cell r="DP232">
            <v>206.81399999999999</v>
          </cell>
          <cell r="DQ232">
            <v>79.543846153846147</v>
          </cell>
          <cell r="DV232">
            <v>0</v>
          </cell>
          <cell r="DW232">
            <v>380</v>
          </cell>
          <cell r="DX232">
            <v>309.28100000000001</v>
          </cell>
          <cell r="DY232">
            <v>81.389736842105265</v>
          </cell>
        </row>
        <row r="233">
          <cell r="F233">
            <v>0</v>
          </cell>
          <cell r="G233">
            <v>0</v>
          </cell>
          <cell r="H233">
            <v>0</v>
          </cell>
          <cell r="I233">
            <v>0</v>
          </cell>
          <cell r="N233">
            <v>0</v>
          </cell>
          <cell r="O233">
            <v>0</v>
          </cell>
          <cell r="T233">
            <v>0</v>
          </cell>
          <cell r="U233">
            <v>0</v>
          </cell>
          <cell r="Z233">
            <v>0</v>
          </cell>
          <cell r="AA233">
            <v>0</v>
          </cell>
          <cell r="AF233">
            <v>0</v>
          </cell>
          <cell r="AG233">
            <v>0</v>
          </cell>
          <cell r="AL233">
            <v>0</v>
          </cell>
          <cell r="AM233">
            <v>0</v>
          </cell>
          <cell r="AR233">
            <v>0</v>
          </cell>
          <cell r="AS233">
            <v>0</v>
          </cell>
          <cell r="AX233">
            <v>0</v>
          </cell>
          <cell r="AY233">
            <v>0</v>
          </cell>
          <cell r="AZ233">
            <v>0</v>
          </cell>
          <cell r="BA233">
            <v>0</v>
          </cell>
          <cell r="BF233">
            <v>0</v>
          </cell>
          <cell r="BG233">
            <v>0</v>
          </cell>
          <cell r="BL233">
            <v>0</v>
          </cell>
          <cell r="BM233">
            <v>0</v>
          </cell>
          <cell r="BR233">
            <v>0</v>
          </cell>
          <cell r="BS233">
            <v>0</v>
          </cell>
          <cell r="BX233">
            <v>0</v>
          </cell>
          <cell r="BY233">
            <v>0</v>
          </cell>
          <cell r="CD233">
            <v>0</v>
          </cell>
          <cell r="CE233">
            <v>0</v>
          </cell>
          <cell r="CJ233">
            <v>0</v>
          </cell>
          <cell r="CK233">
            <v>0</v>
          </cell>
          <cell r="CP233">
            <v>0</v>
          </cell>
          <cell r="CQ233">
            <v>0</v>
          </cell>
          <cell r="CR233">
            <v>0</v>
          </cell>
          <cell r="CS233">
            <v>0</v>
          </cell>
          <cell r="CX233">
            <v>0</v>
          </cell>
          <cell r="CY233">
            <v>0</v>
          </cell>
          <cell r="CZ233">
            <v>0</v>
          </cell>
          <cell r="DA233">
            <v>0</v>
          </cell>
          <cell r="DF233">
            <v>0</v>
          </cell>
          <cell r="DG233">
            <v>0</v>
          </cell>
          <cell r="DH233">
            <v>0</v>
          </cell>
          <cell r="DI233">
            <v>0</v>
          </cell>
          <cell r="DN233">
            <v>0</v>
          </cell>
          <cell r="DO233">
            <v>0</v>
          </cell>
          <cell r="DP233">
            <v>0</v>
          </cell>
          <cell r="DQ233">
            <v>0</v>
          </cell>
          <cell r="DV233">
            <v>0</v>
          </cell>
          <cell r="DW233">
            <v>0</v>
          </cell>
          <cell r="DX233">
            <v>0</v>
          </cell>
          <cell r="DY233">
            <v>0</v>
          </cell>
        </row>
        <row r="234">
          <cell r="F234">
            <v>6750</v>
          </cell>
          <cell r="G234">
            <v>2012</v>
          </cell>
          <cell r="H234">
            <v>928.25200000000007</v>
          </cell>
          <cell r="I234">
            <v>46.135785288270384</v>
          </cell>
          <cell r="N234">
            <v>0</v>
          </cell>
          <cell r="O234">
            <v>40</v>
          </cell>
          <cell r="P234">
            <v>30.494</v>
          </cell>
          <cell r="T234">
            <v>200</v>
          </cell>
          <cell r="U234">
            <v>80</v>
          </cell>
          <cell r="V234">
            <v>41.77</v>
          </cell>
          <cell r="Z234">
            <v>250</v>
          </cell>
          <cell r="AA234">
            <v>87</v>
          </cell>
          <cell r="AB234">
            <v>41.664999999999999</v>
          </cell>
          <cell r="AF234">
            <v>300</v>
          </cell>
          <cell r="AG234">
            <v>115</v>
          </cell>
          <cell r="AH234">
            <v>61.037999999999997</v>
          </cell>
          <cell r="AL234">
            <v>500</v>
          </cell>
          <cell r="AM234">
            <v>145</v>
          </cell>
          <cell r="AN234">
            <v>64.417000000000002</v>
          </cell>
          <cell r="AR234">
            <v>600</v>
          </cell>
          <cell r="AS234">
            <v>170</v>
          </cell>
          <cell r="AT234">
            <v>75.867999999999995</v>
          </cell>
          <cell r="AX234">
            <v>1850</v>
          </cell>
          <cell r="AY234">
            <v>637</v>
          </cell>
          <cell r="AZ234">
            <v>315.25200000000007</v>
          </cell>
          <cell r="BA234">
            <v>49.490109890109899</v>
          </cell>
          <cell r="BF234">
            <v>700</v>
          </cell>
          <cell r="BG234">
            <v>190</v>
          </cell>
          <cell r="BH234">
            <v>80.77300000000001</v>
          </cell>
          <cell r="BL234">
            <v>750</v>
          </cell>
          <cell r="BM234">
            <v>198</v>
          </cell>
          <cell r="BN234">
            <v>81.893999999999991</v>
          </cell>
          <cell r="BR234">
            <v>800</v>
          </cell>
          <cell r="BS234">
            <v>210</v>
          </cell>
          <cell r="BT234">
            <v>88.643999999999991</v>
          </cell>
          <cell r="BX234">
            <v>850</v>
          </cell>
          <cell r="BY234">
            <v>227</v>
          </cell>
          <cell r="BZ234">
            <v>96.84</v>
          </cell>
          <cell r="CD234">
            <v>900</v>
          </cell>
          <cell r="CE234">
            <v>255</v>
          </cell>
          <cell r="CF234">
            <v>114.22900000000001</v>
          </cell>
          <cell r="CJ234">
            <v>900</v>
          </cell>
          <cell r="CK234">
            <v>295</v>
          </cell>
          <cell r="CL234">
            <v>150.62</v>
          </cell>
          <cell r="CP234">
            <v>4900</v>
          </cell>
          <cell r="CQ234">
            <v>1375</v>
          </cell>
          <cell r="CR234">
            <v>613</v>
          </cell>
          <cell r="CS234">
            <v>44.581818181818186</v>
          </cell>
          <cell r="CX234">
            <v>450</v>
          </cell>
          <cell r="CY234">
            <v>207</v>
          </cell>
          <cell r="CZ234">
            <v>113.92899999999999</v>
          </cell>
          <cell r="DA234">
            <v>55.038164251207725</v>
          </cell>
          <cell r="DF234">
            <v>1400</v>
          </cell>
          <cell r="DG234">
            <v>430</v>
          </cell>
          <cell r="DH234">
            <v>201.32300000000001</v>
          </cell>
          <cell r="DI234">
            <v>46.819302325581397</v>
          </cell>
          <cell r="DN234">
            <v>2250</v>
          </cell>
          <cell r="DO234">
            <v>598</v>
          </cell>
          <cell r="DP234">
            <v>251.31099999999998</v>
          </cell>
          <cell r="DQ234">
            <v>42.025250836120399</v>
          </cell>
          <cell r="DV234">
            <v>2650</v>
          </cell>
          <cell r="DW234">
            <v>777</v>
          </cell>
          <cell r="DX234">
            <v>361.68900000000002</v>
          </cell>
          <cell r="DY234">
            <v>46.549420849420855</v>
          </cell>
        </row>
        <row r="235">
          <cell r="F235">
            <v>6750</v>
          </cell>
          <cell r="G235">
            <v>8873.1</v>
          </cell>
          <cell r="H235">
            <v>3005.7569999999996</v>
          </cell>
          <cell r="I235">
            <v>33.874936606146662</v>
          </cell>
          <cell r="N235">
            <v>0</v>
          </cell>
          <cell r="O235">
            <v>368.2</v>
          </cell>
          <cell r="P235">
            <v>125.096</v>
          </cell>
          <cell r="T235">
            <v>200</v>
          </cell>
          <cell r="U235">
            <v>533</v>
          </cell>
          <cell r="V235">
            <v>172.59200000000001</v>
          </cell>
          <cell r="Z235">
            <v>250</v>
          </cell>
          <cell r="AA235">
            <v>653.20000000000005</v>
          </cell>
          <cell r="AB235">
            <v>208.06699999999998</v>
          </cell>
          <cell r="AF235">
            <v>300</v>
          </cell>
          <cell r="AG235">
            <v>690.5</v>
          </cell>
          <cell r="AH235">
            <v>230.75799999999998</v>
          </cell>
          <cell r="AL235">
            <v>500</v>
          </cell>
          <cell r="AM235">
            <v>742.2</v>
          </cell>
          <cell r="AN235">
            <v>241.393</v>
          </cell>
          <cell r="AR235">
            <v>600</v>
          </cell>
          <cell r="AS235">
            <v>769.2</v>
          </cell>
          <cell r="AT235">
            <v>256.70600000000002</v>
          </cell>
          <cell r="AX235">
            <v>1850</v>
          </cell>
          <cell r="AY235">
            <v>3756.3</v>
          </cell>
          <cell r="AZ235">
            <v>1234.6120000000001</v>
          </cell>
          <cell r="BA235">
            <v>32.867768815057367</v>
          </cell>
          <cell r="BF235">
            <v>700</v>
          </cell>
          <cell r="BG235">
            <v>730.4</v>
          </cell>
          <cell r="BH235">
            <v>247.63400000000001</v>
          </cell>
          <cell r="BL235">
            <v>750</v>
          </cell>
          <cell r="BM235">
            <v>701.4</v>
          </cell>
          <cell r="BN235">
            <v>238.72500000000002</v>
          </cell>
          <cell r="BR235">
            <v>800</v>
          </cell>
          <cell r="BS235">
            <v>891.9</v>
          </cell>
          <cell r="BT235">
            <v>302.11500000000001</v>
          </cell>
          <cell r="BX235">
            <v>850</v>
          </cell>
          <cell r="BY235">
            <v>973.5</v>
          </cell>
          <cell r="BZ235">
            <v>328.93100000000004</v>
          </cell>
          <cell r="CD235">
            <v>900</v>
          </cell>
          <cell r="CE235">
            <v>909.1</v>
          </cell>
          <cell r="CF235">
            <v>315.149</v>
          </cell>
          <cell r="CJ235">
            <v>900</v>
          </cell>
          <cell r="CK235">
            <v>910.5</v>
          </cell>
          <cell r="CL235">
            <v>338.59100000000001</v>
          </cell>
          <cell r="CP235">
            <v>4900</v>
          </cell>
          <cell r="CQ235">
            <v>5116.8</v>
          </cell>
          <cell r="CR235">
            <v>1771.145</v>
          </cell>
          <cell r="CS235">
            <v>34.614309724828018</v>
          </cell>
          <cell r="CX235">
            <v>450</v>
          </cell>
          <cell r="CY235">
            <v>1554.4</v>
          </cell>
          <cell r="CZ235">
            <v>505.75499999999994</v>
          </cell>
          <cell r="DA235">
            <v>32.53699176531137</v>
          </cell>
          <cell r="DF235">
            <v>1400</v>
          </cell>
          <cell r="DG235">
            <v>2201.9</v>
          </cell>
          <cell r="DH235">
            <v>728.85699999999997</v>
          </cell>
          <cell r="DI235">
            <v>33.101276170579951</v>
          </cell>
          <cell r="DN235">
            <v>2250</v>
          </cell>
          <cell r="DO235">
            <v>2323.6999999999998</v>
          </cell>
          <cell r="DP235">
            <v>788.47399999999993</v>
          </cell>
          <cell r="DQ235">
            <v>33.931832852777902</v>
          </cell>
          <cell r="DV235">
            <v>2650</v>
          </cell>
          <cell r="DW235">
            <v>2793.1</v>
          </cell>
          <cell r="DX235">
            <v>982.67100000000005</v>
          </cell>
          <cell r="DY235">
            <v>35.182091582829116</v>
          </cell>
        </row>
        <row r="236">
          <cell r="F236">
            <v>0</v>
          </cell>
          <cell r="G236">
            <v>0</v>
          </cell>
          <cell r="H236">
            <v>0</v>
          </cell>
          <cell r="I236">
            <v>0</v>
          </cell>
          <cell r="N236">
            <v>0</v>
          </cell>
          <cell r="AR236">
            <v>0</v>
          </cell>
          <cell r="AX236">
            <v>0</v>
          </cell>
          <cell r="AY236">
            <v>0</v>
          </cell>
          <cell r="AZ236">
            <v>0</v>
          </cell>
          <cell r="BA236">
            <v>0</v>
          </cell>
          <cell r="BF236">
            <v>0</v>
          </cell>
          <cell r="BL236">
            <v>0</v>
          </cell>
          <cell r="BR236">
            <v>0</v>
          </cell>
          <cell r="BX236">
            <v>0</v>
          </cell>
          <cell r="CD236">
            <v>0</v>
          </cell>
          <cell r="CJ236">
            <v>0</v>
          </cell>
          <cell r="CP236">
            <v>0</v>
          </cell>
          <cell r="CQ236">
            <v>0</v>
          </cell>
          <cell r="CR236">
            <v>0</v>
          </cell>
          <cell r="CS236">
            <v>0</v>
          </cell>
          <cell r="CX236">
            <v>0</v>
          </cell>
          <cell r="CY236">
            <v>0</v>
          </cell>
          <cell r="CZ236">
            <v>0</v>
          </cell>
          <cell r="DA236">
            <v>0</v>
          </cell>
          <cell r="DF236">
            <v>0</v>
          </cell>
          <cell r="DG236">
            <v>0</v>
          </cell>
          <cell r="DH236">
            <v>0</v>
          </cell>
          <cell r="DI236">
            <v>0</v>
          </cell>
          <cell r="DN236">
            <v>0</v>
          </cell>
          <cell r="DO236">
            <v>0</v>
          </cell>
          <cell r="DP236">
            <v>0</v>
          </cell>
          <cell r="DQ236">
            <v>0</v>
          </cell>
          <cell r="DV236">
            <v>0</v>
          </cell>
          <cell r="DW236">
            <v>0</v>
          </cell>
          <cell r="DX236">
            <v>0</v>
          </cell>
          <cell r="DY236">
            <v>0</v>
          </cell>
        </row>
        <row r="237">
          <cell r="F237">
            <v>51210</v>
          </cell>
          <cell r="G237">
            <v>36640.1</v>
          </cell>
          <cell r="H237">
            <v>12877.547</v>
          </cell>
          <cell r="I237">
            <v>35.146047636332874</v>
          </cell>
          <cell r="N237">
            <v>2302</v>
          </cell>
          <cell r="O237">
            <v>1929.2</v>
          </cell>
          <cell r="P237">
            <v>534.07299999999998</v>
          </cell>
          <cell r="T237">
            <v>2670</v>
          </cell>
          <cell r="U237">
            <v>2170</v>
          </cell>
          <cell r="V237">
            <v>598.36</v>
          </cell>
          <cell r="Z237">
            <v>3500</v>
          </cell>
          <cell r="AA237">
            <v>2707.2</v>
          </cell>
          <cell r="AB237">
            <v>835.84900000000005</v>
          </cell>
          <cell r="AF237">
            <v>3842</v>
          </cell>
          <cell r="AG237">
            <v>3029</v>
          </cell>
          <cell r="AH237">
            <v>979.28</v>
          </cell>
          <cell r="AL237">
            <v>4300</v>
          </cell>
          <cell r="AM237">
            <v>3096.7</v>
          </cell>
          <cell r="AN237">
            <v>1047.415</v>
          </cell>
          <cell r="AR237">
            <v>4570</v>
          </cell>
          <cell r="AS237">
            <v>3148.2</v>
          </cell>
          <cell r="AT237">
            <v>1107.2190000000001</v>
          </cell>
          <cell r="AX237">
            <v>21184</v>
          </cell>
          <cell r="AY237">
            <v>16080.3</v>
          </cell>
          <cell r="AZ237">
            <v>5102.1959999999999</v>
          </cell>
          <cell r="BA237">
            <v>31.729482658905617</v>
          </cell>
          <cell r="BF237">
            <v>4952</v>
          </cell>
          <cell r="BG237">
            <v>3230.4</v>
          </cell>
          <cell r="BH237">
            <v>1165.0149999999999</v>
          </cell>
          <cell r="BL237">
            <v>4270</v>
          </cell>
          <cell r="BM237">
            <v>2965.4</v>
          </cell>
          <cell r="BN237">
            <v>1069.8559999999998</v>
          </cell>
          <cell r="BR237">
            <v>4786</v>
          </cell>
          <cell r="BS237">
            <v>3564.9</v>
          </cell>
          <cell r="BT237">
            <v>1338.1310000000001</v>
          </cell>
          <cell r="BX237">
            <v>5764</v>
          </cell>
          <cell r="BY237">
            <v>3839.5</v>
          </cell>
          <cell r="BZ237">
            <v>1455.65</v>
          </cell>
          <cell r="CD237">
            <v>5504</v>
          </cell>
          <cell r="CE237">
            <v>3634.1</v>
          </cell>
          <cell r="CF237">
            <v>1398.3220000000001</v>
          </cell>
          <cell r="CJ237">
            <v>4750</v>
          </cell>
          <cell r="CK237">
            <v>3325.5</v>
          </cell>
          <cell r="CL237">
            <v>1348.377</v>
          </cell>
          <cell r="CP237">
            <v>30026</v>
          </cell>
          <cell r="CQ237">
            <v>20559.8</v>
          </cell>
          <cell r="CR237">
            <v>7775.3510000000006</v>
          </cell>
          <cell r="CS237">
            <v>37.81822293991187</v>
          </cell>
          <cell r="CX237">
            <v>8472</v>
          </cell>
          <cell r="CY237">
            <v>6806.4</v>
          </cell>
          <cell r="CZ237">
            <v>1968.2820000000002</v>
          </cell>
          <cell r="DA237">
            <v>28.918106488011286</v>
          </cell>
          <cell r="DF237">
            <v>12712</v>
          </cell>
          <cell r="DG237">
            <v>9273.9</v>
          </cell>
          <cell r="DH237">
            <v>3133.9139999999998</v>
          </cell>
          <cell r="DI237">
            <v>33.792837964610356</v>
          </cell>
          <cell r="DN237">
            <v>14008</v>
          </cell>
          <cell r="DO237">
            <v>9760.7000000000007</v>
          </cell>
          <cell r="DP237">
            <v>3573.0020000000004</v>
          </cell>
          <cell r="DQ237">
            <v>36.606001618736364</v>
          </cell>
          <cell r="DV237">
            <v>16018</v>
          </cell>
          <cell r="DW237">
            <v>10799.1</v>
          </cell>
          <cell r="DX237">
            <v>4202.3490000000002</v>
          </cell>
          <cell r="DY237">
            <v>38.913881712364919</v>
          </cell>
        </row>
        <row r="238">
          <cell r="F238">
            <v>0</v>
          </cell>
          <cell r="G238">
            <v>0</v>
          </cell>
          <cell r="H238">
            <v>0</v>
          </cell>
          <cell r="I238">
            <v>0</v>
          </cell>
          <cell r="N238">
            <v>0</v>
          </cell>
          <cell r="O238">
            <v>0</v>
          </cell>
          <cell r="P238">
            <v>0</v>
          </cell>
          <cell r="T238">
            <v>0</v>
          </cell>
          <cell r="U238">
            <v>0</v>
          </cell>
          <cell r="V238">
            <v>0</v>
          </cell>
          <cell r="Z238">
            <v>0</v>
          </cell>
          <cell r="AA238">
            <v>0</v>
          </cell>
          <cell r="AB238">
            <v>0</v>
          </cell>
          <cell r="AF238">
            <v>0</v>
          </cell>
          <cell r="AG238">
            <v>0</v>
          </cell>
          <cell r="AH238">
            <v>0</v>
          </cell>
          <cell r="AL238">
            <v>0</v>
          </cell>
          <cell r="AM238">
            <v>0</v>
          </cell>
          <cell r="AN238">
            <v>0</v>
          </cell>
          <cell r="AR238">
            <v>0</v>
          </cell>
          <cell r="AS238">
            <v>0</v>
          </cell>
          <cell r="AT238">
            <v>0</v>
          </cell>
          <cell r="AX238">
            <v>0</v>
          </cell>
          <cell r="AY238">
            <v>0</v>
          </cell>
          <cell r="AZ238">
            <v>0</v>
          </cell>
          <cell r="BA238">
            <v>0</v>
          </cell>
          <cell r="BF238">
            <v>0</v>
          </cell>
          <cell r="BG238">
            <v>0</v>
          </cell>
          <cell r="BH238">
            <v>0</v>
          </cell>
          <cell r="BL238">
            <v>0</v>
          </cell>
          <cell r="BM238">
            <v>0</v>
          </cell>
          <cell r="BN238">
            <v>0</v>
          </cell>
          <cell r="BR238">
            <v>0</v>
          </cell>
          <cell r="BS238">
            <v>0</v>
          </cell>
          <cell r="BT238">
            <v>0</v>
          </cell>
          <cell r="BX238">
            <v>0</v>
          </cell>
          <cell r="BY238">
            <v>0</v>
          </cell>
          <cell r="BZ238">
            <v>0</v>
          </cell>
          <cell r="CD238">
            <v>0</v>
          </cell>
          <cell r="CE238">
            <v>0</v>
          </cell>
          <cell r="CF238">
            <v>0</v>
          </cell>
          <cell r="CJ238">
            <v>0</v>
          </cell>
          <cell r="CK238">
            <v>0</v>
          </cell>
          <cell r="CL238">
            <v>0</v>
          </cell>
          <cell r="CP238">
            <v>0</v>
          </cell>
          <cell r="CQ238">
            <v>0</v>
          </cell>
          <cell r="CR238">
            <v>0</v>
          </cell>
          <cell r="CS238">
            <v>0</v>
          </cell>
          <cell r="CX238">
            <v>0</v>
          </cell>
          <cell r="CY238">
            <v>0</v>
          </cell>
          <cell r="CZ238">
            <v>0</v>
          </cell>
          <cell r="DA238">
            <v>0</v>
          </cell>
          <cell r="DF238">
            <v>0</v>
          </cell>
          <cell r="DG238">
            <v>0</v>
          </cell>
          <cell r="DH238">
            <v>0</v>
          </cell>
          <cell r="DI238">
            <v>0</v>
          </cell>
          <cell r="DN238">
            <v>0</v>
          </cell>
          <cell r="DO238">
            <v>0</v>
          </cell>
          <cell r="DP238">
            <v>0</v>
          </cell>
          <cell r="DQ238">
            <v>0</v>
          </cell>
          <cell r="DV238">
            <v>0</v>
          </cell>
          <cell r="DW238">
            <v>0</v>
          </cell>
          <cell r="DX238">
            <v>0</v>
          </cell>
          <cell r="DY238">
            <v>0</v>
          </cell>
        </row>
        <row r="239">
          <cell r="F239">
            <v>25</v>
          </cell>
          <cell r="G239">
            <v>400</v>
          </cell>
          <cell r="H239">
            <v>11.199</v>
          </cell>
          <cell r="I239">
            <v>2.79975</v>
          </cell>
          <cell r="N239">
            <v>2</v>
          </cell>
          <cell r="O239">
            <v>32</v>
          </cell>
          <cell r="P239">
            <v>5.6630000000000003</v>
          </cell>
          <cell r="T239">
            <v>2</v>
          </cell>
          <cell r="U239">
            <v>32</v>
          </cell>
          <cell r="V239">
            <v>5.6630000000000003</v>
          </cell>
          <cell r="Z239">
            <v>2</v>
          </cell>
          <cell r="AA239">
            <v>32</v>
          </cell>
          <cell r="AB239">
            <v>5.6630000000000003</v>
          </cell>
          <cell r="AF239">
            <v>2</v>
          </cell>
          <cell r="AG239">
            <v>32</v>
          </cell>
          <cell r="AH239">
            <v>5.6630000000000003</v>
          </cell>
          <cell r="AL239">
            <v>2</v>
          </cell>
          <cell r="AM239">
            <v>32</v>
          </cell>
          <cell r="AN239">
            <v>0.82299999999999995</v>
          </cell>
          <cell r="AR239">
            <v>2</v>
          </cell>
          <cell r="AS239">
            <v>32</v>
          </cell>
          <cell r="AT239">
            <v>-0.93300000000000005</v>
          </cell>
          <cell r="AX239">
            <v>12</v>
          </cell>
          <cell r="AY239">
            <v>192</v>
          </cell>
          <cell r="AZ239">
            <v>22.542000000000002</v>
          </cell>
          <cell r="BA239">
            <v>11.740625</v>
          </cell>
          <cell r="BF239">
            <v>2</v>
          </cell>
          <cell r="BG239">
            <v>32</v>
          </cell>
          <cell r="BH239">
            <v>-1.323</v>
          </cell>
          <cell r="BL239">
            <v>2</v>
          </cell>
          <cell r="BM239">
            <v>32</v>
          </cell>
          <cell r="BN239">
            <v>-1.284</v>
          </cell>
          <cell r="BR239">
            <v>2</v>
          </cell>
          <cell r="BS239">
            <v>32</v>
          </cell>
          <cell r="BT239">
            <v>-1.68</v>
          </cell>
          <cell r="BX239">
            <v>3</v>
          </cell>
          <cell r="BY239">
            <v>48</v>
          </cell>
          <cell r="BZ239">
            <v>-2.6749999999999998</v>
          </cell>
          <cell r="CD239">
            <v>2</v>
          </cell>
          <cell r="CE239">
            <v>32</v>
          </cell>
          <cell r="CF239">
            <v>-2.1509999999999998</v>
          </cell>
          <cell r="CJ239">
            <v>2</v>
          </cell>
          <cell r="CK239">
            <v>32</v>
          </cell>
          <cell r="CL239">
            <v>-2.23</v>
          </cell>
          <cell r="CP239">
            <v>13</v>
          </cell>
          <cell r="CQ239">
            <v>208</v>
          </cell>
          <cell r="CR239">
            <v>-11.343000000000002</v>
          </cell>
          <cell r="CS239">
            <v>-5.4533653846153856</v>
          </cell>
          <cell r="CX239">
            <v>6</v>
          </cell>
          <cell r="CY239">
            <v>96</v>
          </cell>
          <cell r="CZ239">
            <v>16.989000000000001</v>
          </cell>
          <cell r="DA239">
            <v>17.696875000000002</v>
          </cell>
          <cell r="DF239">
            <v>6</v>
          </cell>
          <cell r="DG239">
            <v>96</v>
          </cell>
          <cell r="DH239">
            <v>5.5530000000000008</v>
          </cell>
          <cell r="DI239">
            <v>5.7843750000000007</v>
          </cell>
          <cell r="DN239">
            <v>6</v>
          </cell>
          <cell r="DO239">
            <v>96</v>
          </cell>
          <cell r="DP239">
            <v>-4.2869999999999999</v>
          </cell>
          <cell r="DQ239">
            <v>-4.4656250000000002</v>
          </cell>
          <cell r="DV239">
            <v>7</v>
          </cell>
          <cell r="DW239">
            <v>112</v>
          </cell>
          <cell r="DX239">
            <v>-7.0559999999999992</v>
          </cell>
          <cell r="DY239">
            <v>-6.2999999999999989</v>
          </cell>
        </row>
        <row r="240">
          <cell r="F240">
            <v>135</v>
          </cell>
          <cell r="G240">
            <v>3375</v>
          </cell>
          <cell r="H240">
            <v>-287.12</v>
          </cell>
          <cell r="I240">
            <v>-8.5072592592592589</v>
          </cell>
          <cell r="N240">
            <v>8</v>
          </cell>
          <cell r="O240">
            <v>200</v>
          </cell>
          <cell r="P240">
            <v>-28.98</v>
          </cell>
          <cell r="T240">
            <v>8</v>
          </cell>
          <cell r="U240">
            <v>200</v>
          </cell>
          <cell r="V240">
            <v>-27.376999999999999</v>
          </cell>
          <cell r="Z240">
            <v>9</v>
          </cell>
          <cell r="AA240">
            <v>225</v>
          </cell>
          <cell r="AB240">
            <v>-32.378999999999998</v>
          </cell>
          <cell r="AF240">
            <v>9</v>
          </cell>
          <cell r="AG240">
            <v>225</v>
          </cell>
          <cell r="AH240">
            <v>-30.28</v>
          </cell>
          <cell r="AL240">
            <v>11</v>
          </cell>
          <cell r="AM240">
            <v>275</v>
          </cell>
          <cell r="AN240">
            <v>-34.533999999999999</v>
          </cell>
          <cell r="AR240">
            <v>11</v>
          </cell>
          <cell r="AS240">
            <v>275</v>
          </cell>
          <cell r="AT240">
            <v>-24.745999999999999</v>
          </cell>
          <cell r="AX240">
            <v>56</v>
          </cell>
          <cell r="AY240">
            <v>1400</v>
          </cell>
          <cell r="AZ240">
            <v>-178.29599999999999</v>
          </cell>
          <cell r="BA240">
            <v>-12.735428571428569</v>
          </cell>
          <cell r="BF240">
            <v>12</v>
          </cell>
          <cell r="BG240">
            <v>300</v>
          </cell>
          <cell r="BH240">
            <v>-19.975000000000001</v>
          </cell>
          <cell r="BL240">
            <v>13</v>
          </cell>
          <cell r="BM240">
            <v>325</v>
          </cell>
          <cell r="BN240">
            <v>-15.085000000000001</v>
          </cell>
          <cell r="BR240">
            <v>14</v>
          </cell>
          <cell r="BS240">
            <v>350</v>
          </cell>
          <cell r="BT240">
            <v>-15.5</v>
          </cell>
          <cell r="BX240">
            <v>14</v>
          </cell>
          <cell r="BY240">
            <v>350</v>
          </cell>
          <cell r="BZ240">
            <v>-17.11</v>
          </cell>
          <cell r="CD240">
            <v>14</v>
          </cell>
          <cell r="CE240">
            <v>350</v>
          </cell>
          <cell r="CF240">
            <v>-21.561</v>
          </cell>
          <cell r="CJ240">
            <v>12</v>
          </cell>
          <cell r="CK240">
            <v>300</v>
          </cell>
          <cell r="CL240">
            <v>-19.593</v>
          </cell>
          <cell r="CP240">
            <v>79</v>
          </cell>
          <cell r="CQ240">
            <v>1975</v>
          </cell>
          <cell r="CR240">
            <v>-108.82399999999998</v>
          </cell>
          <cell r="CS240">
            <v>-5.5100759493670886</v>
          </cell>
          <cell r="CX240">
            <v>25</v>
          </cell>
          <cell r="CY240">
            <v>625</v>
          </cell>
          <cell r="CZ240">
            <v>-88.73599999999999</v>
          </cell>
          <cell r="DA240">
            <v>-14.197759999999999</v>
          </cell>
          <cell r="DF240">
            <v>31</v>
          </cell>
          <cell r="DG240">
            <v>775</v>
          </cell>
          <cell r="DH240">
            <v>-89.559999999999988</v>
          </cell>
          <cell r="DI240">
            <v>-11.556129032258063</v>
          </cell>
          <cell r="DN240">
            <v>39</v>
          </cell>
          <cell r="DO240">
            <v>975</v>
          </cell>
          <cell r="DP240">
            <v>-50.56</v>
          </cell>
          <cell r="DQ240">
            <v>-5.1856410256410257</v>
          </cell>
          <cell r="DV240">
            <v>40</v>
          </cell>
          <cell r="DW240">
            <v>1000</v>
          </cell>
          <cell r="DX240">
            <v>-58.263999999999996</v>
          </cell>
          <cell r="DY240">
            <v>-5.8263999999999996</v>
          </cell>
        </row>
        <row r="241">
          <cell r="F241">
            <v>72</v>
          </cell>
          <cell r="G241">
            <v>576</v>
          </cell>
          <cell r="H241">
            <v>163.97800000000001</v>
          </cell>
          <cell r="I241">
            <v>28.468402777777779</v>
          </cell>
          <cell r="N241">
            <v>4</v>
          </cell>
          <cell r="O241">
            <v>32</v>
          </cell>
          <cell r="P241">
            <v>9.11</v>
          </cell>
          <cell r="T241">
            <v>4</v>
          </cell>
          <cell r="U241">
            <v>32</v>
          </cell>
          <cell r="V241">
            <v>9.11</v>
          </cell>
          <cell r="Z241">
            <v>5</v>
          </cell>
          <cell r="AA241">
            <v>40</v>
          </cell>
          <cell r="AB241">
            <v>11.387</v>
          </cell>
          <cell r="AF241">
            <v>5</v>
          </cell>
          <cell r="AG241">
            <v>40</v>
          </cell>
          <cell r="AH241">
            <v>11.387</v>
          </cell>
          <cell r="AL241">
            <v>6</v>
          </cell>
          <cell r="AM241">
            <v>48</v>
          </cell>
          <cell r="AN241">
            <v>13.664999999999999</v>
          </cell>
          <cell r="AR241">
            <v>6</v>
          </cell>
          <cell r="AS241">
            <v>48</v>
          </cell>
          <cell r="AT241">
            <v>13.664999999999999</v>
          </cell>
          <cell r="AX241">
            <v>30</v>
          </cell>
          <cell r="AY241">
            <v>240</v>
          </cell>
          <cell r="AZ241">
            <v>68.323999999999998</v>
          </cell>
          <cell r="BA241">
            <v>28.468333333333334</v>
          </cell>
          <cell r="BF241">
            <v>6</v>
          </cell>
          <cell r="BG241">
            <v>48</v>
          </cell>
          <cell r="BH241">
            <v>13.664999999999999</v>
          </cell>
          <cell r="BL241">
            <v>7</v>
          </cell>
          <cell r="BM241">
            <v>56</v>
          </cell>
          <cell r="BN241">
            <v>15.942</v>
          </cell>
          <cell r="BR241">
            <v>8</v>
          </cell>
          <cell r="BS241">
            <v>64</v>
          </cell>
          <cell r="BT241">
            <v>18.22</v>
          </cell>
          <cell r="BX241">
            <v>8</v>
          </cell>
          <cell r="BY241">
            <v>64</v>
          </cell>
          <cell r="BZ241">
            <v>18.22</v>
          </cell>
          <cell r="CD241">
            <v>7</v>
          </cell>
          <cell r="CE241">
            <v>56</v>
          </cell>
          <cell r="CF241">
            <v>15.942</v>
          </cell>
          <cell r="CJ241">
            <v>6</v>
          </cell>
          <cell r="CK241">
            <v>48</v>
          </cell>
          <cell r="CL241">
            <v>13.664999999999999</v>
          </cell>
          <cell r="CP241">
            <v>42</v>
          </cell>
          <cell r="CQ241">
            <v>336</v>
          </cell>
          <cell r="CR241">
            <v>95.653999999999996</v>
          </cell>
          <cell r="CS241">
            <v>28.468452380952382</v>
          </cell>
          <cell r="CX241">
            <v>13</v>
          </cell>
          <cell r="CY241">
            <v>104</v>
          </cell>
          <cell r="CZ241">
            <v>29.606999999999999</v>
          </cell>
          <cell r="DA241">
            <v>28.468269230769227</v>
          </cell>
          <cell r="DF241">
            <v>17</v>
          </cell>
          <cell r="DG241">
            <v>136</v>
          </cell>
          <cell r="DH241">
            <v>38.716999999999999</v>
          </cell>
          <cell r="DI241">
            <v>28.468382352941173</v>
          </cell>
          <cell r="DN241">
            <v>21</v>
          </cell>
          <cell r="DO241">
            <v>168</v>
          </cell>
          <cell r="DP241">
            <v>47.826999999999998</v>
          </cell>
          <cell r="DQ241">
            <v>28.468452380952382</v>
          </cell>
          <cell r="DV241">
            <v>21</v>
          </cell>
          <cell r="DW241">
            <v>168</v>
          </cell>
          <cell r="DX241">
            <v>47.826999999999998</v>
          </cell>
          <cell r="DY241">
            <v>28.468452380952382</v>
          </cell>
        </row>
        <row r="242">
          <cell r="F242">
            <v>0</v>
          </cell>
          <cell r="G242">
            <v>0</v>
          </cell>
          <cell r="H242">
            <v>0</v>
          </cell>
          <cell r="I242">
            <v>0</v>
          </cell>
          <cell r="AX242">
            <v>0</v>
          </cell>
          <cell r="AY242">
            <v>0</v>
          </cell>
          <cell r="AZ242">
            <v>0</v>
          </cell>
          <cell r="BA242">
            <v>0</v>
          </cell>
          <cell r="CP242">
            <v>0</v>
          </cell>
          <cell r="CQ242">
            <v>0</v>
          </cell>
          <cell r="CR242">
            <v>0</v>
          </cell>
          <cell r="CS242">
            <v>0</v>
          </cell>
          <cell r="CX242">
            <v>0</v>
          </cell>
          <cell r="CY242">
            <v>0</v>
          </cell>
          <cell r="CZ242">
            <v>0</v>
          </cell>
          <cell r="DA242">
            <v>0</v>
          </cell>
          <cell r="DF242">
            <v>0</v>
          </cell>
          <cell r="DG242">
            <v>0</v>
          </cell>
          <cell r="DH242">
            <v>0</v>
          </cell>
          <cell r="DI242">
            <v>0</v>
          </cell>
          <cell r="DN242">
            <v>0</v>
          </cell>
          <cell r="DO242">
            <v>0</v>
          </cell>
          <cell r="DP242">
            <v>0</v>
          </cell>
          <cell r="DQ242">
            <v>0</v>
          </cell>
          <cell r="DV242">
            <v>0</v>
          </cell>
          <cell r="DW242">
            <v>0</v>
          </cell>
          <cell r="DX242">
            <v>0</v>
          </cell>
          <cell r="DY242">
            <v>0</v>
          </cell>
        </row>
        <row r="243">
          <cell r="F243">
            <v>88</v>
          </cell>
          <cell r="G243">
            <v>880</v>
          </cell>
          <cell r="H243">
            <v>352</v>
          </cell>
          <cell r="I243">
            <v>40</v>
          </cell>
          <cell r="N243">
            <v>6</v>
          </cell>
          <cell r="O243">
            <v>60</v>
          </cell>
          <cell r="P243">
            <v>24</v>
          </cell>
          <cell r="T243">
            <v>6</v>
          </cell>
          <cell r="U243">
            <v>60</v>
          </cell>
          <cell r="V243">
            <v>24</v>
          </cell>
          <cell r="Z243">
            <v>6</v>
          </cell>
          <cell r="AA243">
            <v>60</v>
          </cell>
          <cell r="AB243">
            <v>24</v>
          </cell>
          <cell r="AF243">
            <v>6</v>
          </cell>
          <cell r="AG243">
            <v>60</v>
          </cell>
          <cell r="AH243">
            <v>24</v>
          </cell>
          <cell r="AL243">
            <v>7</v>
          </cell>
          <cell r="AM243">
            <v>70</v>
          </cell>
          <cell r="AN243">
            <v>28</v>
          </cell>
          <cell r="AR243">
            <v>7</v>
          </cell>
          <cell r="AS243">
            <v>70</v>
          </cell>
          <cell r="AT243">
            <v>28</v>
          </cell>
          <cell r="AX243">
            <v>38</v>
          </cell>
          <cell r="AY243">
            <v>380</v>
          </cell>
          <cell r="AZ243">
            <v>152</v>
          </cell>
          <cell r="BA243">
            <v>40</v>
          </cell>
          <cell r="BF243">
            <v>8</v>
          </cell>
          <cell r="BG243">
            <v>80</v>
          </cell>
          <cell r="BH243">
            <v>32</v>
          </cell>
          <cell r="BL243">
            <v>8</v>
          </cell>
          <cell r="BM243">
            <v>80</v>
          </cell>
          <cell r="BN243">
            <v>32</v>
          </cell>
          <cell r="BR243">
            <v>8</v>
          </cell>
          <cell r="BS243">
            <v>80</v>
          </cell>
          <cell r="BT243">
            <v>32</v>
          </cell>
          <cell r="BX243">
            <v>9</v>
          </cell>
          <cell r="BY243">
            <v>90</v>
          </cell>
          <cell r="BZ243">
            <v>36</v>
          </cell>
          <cell r="CD243">
            <v>9</v>
          </cell>
          <cell r="CE243">
            <v>90</v>
          </cell>
          <cell r="CF243">
            <v>36</v>
          </cell>
          <cell r="CJ243">
            <v>8</v>
          </cell>
          <cell r="CK243">
            <v>80</v>
          </cell>
          <cell r="CL243">
            <v>32</v>
          </cell>
          <cell r="CP243">
            <v>50</v>
          </cell>
          <cell r="CQ243">
            <v>500</v>
          </cell>
          <cell r="CR243">
            <v>200</v>
          </cell>
          <cell r="CS243">
            <v>40</v>
          </cell>
          <cell r="CX243">
            <v>18</v>
          </cell>
          <cell r="CY243">
            <v>180</v>
          </cell>
          <cell r="CZ243">
            <v>72</v>
          </cell>
          <cell r="DA243">
            <v>40</v>
          </cell>
          <cell r="DF243">
            <v>20</v>
          </cell>
          <cell r="DG243">
            <v>200</v>
          </cell>
          <cell r="DH243">
            <v>80</v>
          </cell>
          <cell r="DI243">
            <v>40</v>
          </cell>
          <cell r="DN243">
            <v>24</v>
          </cell>
          <cell r="DO243">
            <v>240</v>
          </cell>
          <cell r="DP243">
            <v>96</v>
          </cell>
          <cell r="DQ243">
            <v>40</v>
          </cell>
          <cell r="DV243">
            <v>26</v>
          </cell>
          <cell r="DW243">
            <v>260</v>
          </cell>
          <cell r="DX243">
            <v>104</v>
          </cell>
          <cell r="DY243">
            <v>40</v>
          </cell>
        </row>
        <row r="244">
          <cell r="F244">
            <v>0</v>
          </cell>
          <cell r="G244">
            <v>405</v>
          </cell>
          <cell r="H244">
            <v>40.816000000000003</v>
          </cell>
          <cell r="I244">
            <v>10.078024691358026</v>
          </cell>
          <cell r="N244">
            <v>0</v>
          </cell>
          <cell r="O244">
            <v>24</v>
          </cell>
          <cell r="P244">
            <v>2.1709999999999998</v>
          </cell>
          <cell r="T244">
            <v>0</v>
          </cell>
          <cell r="U244">
            <v>24</v>
          </cell>
          <cell r="V244">
            <v>1.91</v>
          </cell>
          <cell r="Z244">
            <v>0</v>
          </cell>
          <cell r="AA244">
            <v>27</v>
          </cell>
          <cell r="AB244">
            <v>2.125</v>
          </cell>
          <cell r="AF244">
            <v>0</v>
          </cell>
          <cell r="AG244">
            <v>27</v>
          </cell>
          <cell r="AH244">
            <v>2.488</v>
          </cell>
          <cell r="AL244">
            <v>0</v>
          </cell>
          <cell r="AM244">
            <v>33</v>
          </cell>
          <cell r="AN244">
            <v>2.516</v>
          </cell>
          <cell r="AR244">
            <v>0</v>
          </cell>
          <cell r="AS244">
            <v>33</v>
          </cell>
          <cell r="AT244">
            <v>3.524</v>
          </cell>
          <cell r="AX244">
            <v>0</v>
          </cell>
          <cell r="AY244">
            <v>168</v>
          </cell>
          <cell r="AZ244">
            <v>14.734</v>
          </cell>
          <cell r="BA244">
            <v>8.7702380952380956</v>
          </cell>
          <cell r="BF244">
            <v>0</v>
          </cell>
          <cell r="BG244">
            <v>36</v>
          </cell>
          <cell r="BH244">
            <v>4.17</v>
          </cell>
          <cell r="BL244">
            <v>0</v>
          </cell>
          <cell r="BM244">
            <v>39</v>
          </cell>
          <cell r="BN244">
            <v>4.3109999999999999</v>
          </cell>
          <cell r="BR244">
            <v>0</v>
          </cell>
          <cell r="BS244">
            <v>42</v>
          </cell>
          <cell r="BT244">
            <v>4.585</v>
          </cell>
          <cell r="BX244">
            <v>0</v>
          </cell>
          <cell r="BY244">
            <v>42</v>
          </cell>
          <cell r="BZ244">
            <v>4.6269999999999998</v>
          </cell>
          <cell r="CD244">
            <v>0</v>
          </cell>
          <cell r="CE244">
            <v>42</v>
          </cell>
          <cell r="CF244">
            <v>4.4260000000000002</v>
          </cell>
          <cell r="CJ244">
            <v>0</v>
          </cell>
          <cell r="CK244">
            <v>36</v>
          </cell>
          <cell r="CL244">
            <v>3.9630000000000001</v>
          </cell>
          <cell r="CP244">
            <v>0</v>
          </cell>
          <cell r="CQ244">
            <v>237</v>
          </cell>
          <cell r="CR244">
            <v>26.082000000000001</v>
          </cell>
          <cell r="CS244">
            <v>11.005063291139241</v>
          </cell>
          <cell r="CX244">
            <v>0</v>
          </cell>
          <cell r="CY244">
            <v>75</v>
          </cell>
          <cell r="CZ244">
            <v>6.2059999999999995</v>
          </cell>
          <cell r="DA244">
            <v>8.2746666666666666</v>
          </cell>
          <cell r="DF244">
            <v>0</v>
          </cell>
          <cell r="DG244">
            <v>93</v>
          </cell>
          <cell r="DH244">
            <v>8.5279999999999987</v>
          </cell>
          <cell r="DI244">
            <v>9.1698924731182778</v>
          </cell>
          <cell r="DN244">
            <v>0</v>
          </cell>
          <cell r="DO244">
            <v>117</v>
          </cell>
          <cell r="DP244">
            <v>13.065999999999999</v>
          </cell>
          <cell r="DQ244">
            <v>11.167521367521367</v>
          </cell>
          <cell r="DV244">
            <v>0</v>
          </cell>
          <cell r="DW244">
            <v>120</v>
          </cell>
          <cell r="DX244">
            <v>13.016000000000002</v>
          </cell>
          <cell r="DY244">
            <v>10.846666666666668</v>
          </cell>
        </row>
        <row r="245">
          <cell r="F245">
            <v>0</v>
          </cell>
          <cell r="G245">
            <v>0</v>
          </cell>
          <cell r="H245">
            <v>0</v>
          </cell>
          <cell r="I245">
            <v>0</v>
          </cell>
          <cell r="N245">
            <v>0</v>
          </cell>
          <cell r="T245">
            <v>0</v>
          </cell>
          <cell r="Z245">
            <v>0</v>
          </cell>
          <cell r="AF245">
            <v>0</v>
          </cell>
          <cell r="AL245">
            <v>0</v>
          </cell>
          <cell r="AR245">
            <v>0</v>
          </cell>
          <cell r="AX245">
            <v>0</v>
          </cell>
          <cell r="AY245">
            <v>0</v>
          </cell>
          <cell r="AZ245">
            <v>0</v>
          </cell>
          <cell r="BA245">
            <v>0</v>
          </cell>
          <cell r="CP245">
            <v>0</v>
          </cell>
          <cell r="CQ245">
            <v>0</v>
          </cell>
          <cell r="CR245">
            <v>0</v>
          </cell>
          <cell r="CS245">
            <v>0</v>
          </cell>
          <cell r="CX245">
            <v>0</v>
          </cell>
          <cell r="CY245">
            <v>0</v>
          </cell>
          <cell r="CZ245">
            <v>0</v>
          </cell>
          <cell r="DA245">
            <v>0</v>
          </cell>
          <cell r="DF245">
            <v>0</v>
          </cell>
          <cell r="DG245">
            <v>0</v>
          </cell>
          <cell r="DH245">
            <v>0</v>
          </cell>
          <cell r="DI245">
            <v>0</v>
          </cell>
          <cell r="DN245">
            <v>0</v>
          </cell>
          <cell r="DO245">
            <v>0</v>
          </cell>
          <cell r="DP245">
            <v>0</v>
          </cell>
          <cell r="DQ245">
            <v>0</v>
          </cell>
          <cell r="DV245">
            <v>0</v>
          </cell>
          <cell r="DW245">
            <v>0</v>
          </cell>
          <cell r="DX245">
            <v>0</v>
          </cell>
          <cell r="DY245">
            <v>0</v>
          </cell>
        </row>
        <row r="246">
          <cell r="F246">
            <v>320</v>
          </cell>
          <cell r="G246">
            <v>5636</v>
          </cell>
          <cell r="H246">
            <v>280.87300000000005</v>
          </cell>
          <cell r="I246">
            <v>4.9835521646557845</v>
          </cell>
          <cell r="N246">
            <v>20</v>
          </cell>
          <cell r="O246">
            <v>348</v>
          </cell>
          <cell r="P246">
            <v>11.963999999999999</v>
          </cell>
          <cell r="T246">
            <v>20</v>
          </cell>
          <cell r="U246">
            <v>348</v>
          </cell>
          <cell r="V246">
            <v>13.306000000000001</v>
          </cell>
          <cell r="Z246">
            <v>22</v>
          </cell>
          <cell r="AA246">
            <v>384</v>
          </cell>
          <cell r="AB246">
            <v>10.796000000000003</v>
          </cell>
          <cell r="AF246">
            <v>22</v>
          </cell>
          <cell r="AG246">
            <v>384</v>
          </cell>
          <cell r="AH246">
            <v>13.257999999999999</v>
          </cell>
          <cell r="AL246">
            <v>26</v>
          </cell>
          <cell r="AM246">
            <v>458</v>
          </cell>
          <cell r="AN246">
            <v>10.47</v>
          </cell>
          <cell r="AR246">
            <v>26</v>
          </cell>
          <cell r="AS246">
            <v>458</v>
          </cell>
          <cell r="AT246">
            <v>19.510000000000002</v>
          </cell>
          <cell r="AX246">
            <v>136</v>
          </cell>
          <cell r="AY246">
            <v>2380</v>
          </cell>
          <cell r="AZ246">
            <v>79.304000000000002</v>
          </cell>
          <cell r="BA246">
            <v>3.3321008403361345</v>
          </cell>
          <cell r="BF246">
            <v>28</v>
          </cell>
          <cell r="BG246">
            <v>496</v>
          </cell>
          <cell r="BH246">
            <v>28.536999999999999</v>
          </cell>
          <cell r="BL246">
            <v>30</v>
          </cell>
          <cell r="BM246">
            <v>532</v>
          </cell>
          <cell r="BN246">
            <v>35.884</v>
          </cell>
          <cell r="BR246">
            <v>32</v>
          </cell>
          <cell r="BS246">
            <v>568</v>
          </cell>
          <cell r="BT246">
            <v>37.625</v>
          </cell>
          <cell r="BX246">
            <v>34</v>
          </cell>
          <cell r="BY246">
            <v>594</v>
          </cell>
          <cell r="BZ246">
            <v>39.062000000000005</v>
          </cell>
          <cell r="CD246">
            <v>32</v>
          </cell>
          <cell r="CE246">
            <v>570</v>
          </cell>
          <cell r="CF246">
            <v>32.655999999999999</v>
          </cell>
          <cell r="CJ246">
            <v>28</v>
          </cell>
          <cell r="CK246">
            <v>496</v>
          </cell>
          <cell r="CL246">
            <v>27.805</v>
          </cell>
          <cell r="CP246">
            <v>184</v>
          </cell>
          <cell r="CQ246">
            <v>3256</v>
          </cell>
          <cell r="CR246">
            <v>201.56900000000002</v>
          </cell>
          <cell r="CS246">
            <v>6.1906941031941036</v>
          </cell>
          <cell r="CX246">
            <v>62</v>
          </cell>
          <cell r="CY246">
            <v>1080</v>
          </cell>
          <cell r="CZ246">
            <v>36.066000000000017</v>
          </cell>
          <cell r="DA246">
            <v>3.3394444444444464</v>
          </cell>
          <cell r="DF246">
            <v>74</v>
          </cell>
          <cell r="DG246">
            <v>1300</v>
          </cell>
          <cell r="DH246">
            <v>43.238000000000007</v>
          </cell>
          <cell r="DI246">
            <v>3.3260000000000005</v>
          </cell>
          <cell r="DN246">
            <v>90</v>
          </cell>
          <cell r="DO246">
            <v>1596</v>
          </cell>
          <cell r="DP246">
            <v>102.04599999999999</v>
          </cell>
          <cell r="DQ246">
            <v>6.3938596491228061</v>
          </cell>
          <cell r="DV246">
            <v>94</v>
          </cell>
          <cell r="DW246">
            <v>1660</v>
          </cell>
          <cell r="DX246">
            <v>99.52300000000001</v>
          </cell>
          <cell r="DY246">
            <v>5.995361445783133</v>
          </cell>
        </row>
        <row r="247">
          <cell r="F247">
            <v>0</v>
          </cell>
          <cell r="G247">
            <v>0</v>
          </cell>
          <cell r="H247">
            <v>0</v>
          </cell>
          <cell r="I247">
            <v>0</v>
          </cell>
          <cell r="O247">
            <v>0</v>
          </cell>
          <cell r="T247">
            <v>0</v>
          </cell>
          <cell r="U247">
            <v>0</v>
          </cell>
          <cell r="Z247">
            <v>0</v>
          </cell>
          <cell r="AA247">
            <v>0</v>
          </cell>
          <cell r="AF247">
            <v>0</v>
          </cell>
          <cell r="AG247">
            <v>0</v>
          </cell>
          <cell r="AL247">
            <v>0</v>
          </cell>
          <cell r="AM247">
            <v>0</v>
          </cell>
          <cell r="AR247">
            <v>0</v>
          </cell>
          <cell r="AS247">
            <v>0</v>
          </cell>
          <cell r="AX247">
            <v>0</v>
          </cell>
          <cell r="AY247">
            <v>0</v>
          </cell>
          <cell r="AZ247">
            <v>0</v>
          </cell>
          <cell r="BA247">
            <v>0</v>
          </cell>
          <cell r="BF247">
            <v>0</v>
          </cell>
          <cell r="BG247">
            <v>0</v>
          </cell>
          <cell r="BL247">
            <v>0</v>
          </cell>
          <cell r="BM247">
            <v>0</v>
          </cell>
          <cell r="BR247">
            <v>0</v>
          </cell>
          <cell r="BS247">
            <v>0</v>
          </cell>
          <cell r="BX247">
            <v>0</v>
          </cell>
          <cell r="BY247">
            <v>0</v>
          </cell>
          <cell r="CD247">
            <v>0</v>
          </cell>
          <cell r="CE247">
            <v>0</v>
          </cell>
          <cell r="CJ247">
            <v>0</v>
          </cell>
          <cell r="CK247">
            <v>0</v>
          </cell>
          <cell r="CP247">
            <v>0</v>
          </cell>
          <cell r="CQ247">
            <v>0</v>
          </cell>
          <cell r="CR247">
            <v>0</v>
          </cell>
          <cell r="CS247">
            <v>0</v>
          </cell>
          <cell r="CX247">
            <v>0</v>
          </cell>
          <cell r="CY247">
            <v>0</v>
          </cell>
          <cell r="CZ247">
            <v>0</v>
          </cell>
          <cell r="DA247">
            <v>0</v>
          </cell>
          <cell r="DF247">
            <v>0</v>
          </cell>
          <cell r="DG247">
            <v>0</v>
          </cell>
          <cell r="DH247">
            <v>0</v>
          </cell>
          <cell r="DI247">
            <v>0</v>
          </cell>
          <cell r="DN247">
            <v>0</v>
          </cell>
          <cell r="DO247">
            <v>0</v>
          </cell>
          <cell r="DP247">
            <v>0</v>
          </cell>
          <cell r="DQ247">
            <v>0</v>
          </cell>
          <cell r="DV247">
            <v>0</v>
          </cell>
          <cell r="DW247">
            <v>0</v>
          </cell>
          <cell r="DX247">
            <v>0</v>
          </cell>
          <cell r="DY247">
            <v>0</v>
          </cell>
        </row>
        <row r="248">
          <cell r="F248">
            <v>0</v>
          </cell>
          <cell r="G248">
            <v>0</v>
          </cell>
          <cell r="H248">
            <v>0</v>
          </cell>
          <cell r="I248">
            <v>0</v>
          </cell>
          <cell r="O248">
            <v>0</v>
          </cell>
          <cell r="T248">
            <v>0</v>
          </cell>
          <cell r="U248">
            <v>0</v>
          </cell>
          <cell r="Z248">
            <v>0</v>
          </cell>
          <cell r="AA248">
            <v>0</v>
          </cell>
          <cell r="AF248">
            <v>0</v>
          </cell>
          <cell r="AG248">
            <v>0</v>
          </cell>
          <cell r="AL248">
            <v>0</v>
          </cell>
          <cell r="AM248">
            <v>0</v>
          </cell>
          <cell r="AR248">
            <v>0</v>
          </cell>
          <cell r="AS248">
            <v>0</v>
          </cell>
          <cell r="AX248">
            <v>0</v>
          </cell>
          <cell r="AY248">
            <v>0</v>
          </cell>
          <cell r="AZ248">
            <v>0</v>
          </cell>
          <cell r="BA248">
            <v>0</v>
          </cell>
          <cell r="BF248">
            <v>0</v>
          </cell>
          <cell r="BG248">
            <v>0</v>
          </cell>
          <cell r="BL248">
            <v>0</v>
          </cell>
          <cell r="BM248">
            <v>0</v>
          </cell>
          <cell r="BR248">
            <v>0</v>
          </cell>
          <cell r="BS248">
            <v>0</v>
          </cell>
          <cell r="BX248">
            <v>0</v>
          </cell>
          <cell r="BY248">
            <v>0</v>
          </cell>
          <cell r="CD248">
            <v>0</v>
          </cell>
          <cell r="CE248">
            <v>0</v>
          </cell>
          <cell r="CJ248">
            <v>0</v>
          </cell>
          <cell r="CK248">
            <v>0</v>
          </cell>
          <cell r="CP248">
            <v>0</v>
          </cell>
          <cell r="CQ248">
            <v>0</v>
          </cell>
          <cell r="CR248">
            <v>0</v>
          </cell>
          <cell r="CS248">
            <v>0</v>
          </cell>
          <cell r="CX248">
            <v>0</v>
          </cell>
          <cell r="CY248">
            <v>0</v>
          </cell>
          <cell r="CZ248">
            <v>0</v>
          </cell>
          <cell r="DA248">
            <v>0</v>
          </cell>
          <cell r="DF248">
            <v>0</v>
          </cell>
          <cell r="DG248">
            <v>0</v>
          </cell>
          <cell r="DH248">
            <v>0</v>
          </cell>
          <cell r="DI248">
            <v>0</v>
          </cell>
          <cell r="DN248">
            <v>0</v>
          </cell>
          <cell r="DO248">
            <v>0</v>
          </cell>
          <cell r="DP248">
            <v>0</v>
          </cell>
          <cell r="DQ248">
            <v>0</v>
          </cell>
          <cell r="DV248">
            <v>0</v>
          </cell>
          <cell r="DW248">
            <v>0</v>
          </cell>
          <cell r="DX248">
            <v>0</v>
          </cell>
          <cell r="DY248">
            <v>0</v>
          </cell>
        </row>
        <row r="249">
          <cell r="F249">
            <v>0</v>
          </cell>
          <cell r="G249">
            <v>0</v>
          </cell>
          <cell r="H249">
            <v>0</v>
          </cell>
          <cell r="I249">
            <v>0</v>
          </cell>
          <cell r="N249">
            <v>0</v>
          </cell>
          <cell r="O249">
            <v>0</v>
          </cell>
          <cell r="P249">
            <v>0</v>
          </cell>
          <cell r="T249">
            <v>0</v>
          </cell>
          <cell r="U249">
            <v>0</v>
          </cell>
          <cell r="V249">
            <v>0</v>
          </cell>
          <cell r="Z249">
            <v>0</v>
          </cell>
          <cell r="AA249">
            <v>0</v>
          </cell>
          <cell r="AB249">
            <v>0</v>
          </cell>
          <cell r="AF249">
            <v>0</v>
          </cell>
          <cell r="AG249">
            <v>0</v>
          </cell>
          <cell r="AH249">
            <v>0</v>
          </cell>
          <cell r="AL249">
            <v>0</v>
          </cell>
          <cell r="AM249">
            <v>0</v>
          </cell>
          <cell r="AN249">
            <v>0</v>
          </cell>
          <cell r="AR249">
            <v>0</v>
          </cell>
          <cell r="AS249">
            <v>0</v>
          </cell>
          <cell r="AT249">
            <v>0</v>
          </cell>
          <cell r="AX249">
            <v>0</v>
          </cell>
          <cell r="AY249">
            <v>0</v>
          </cell>
          <cell r="AZ249">
            <v>0</v>
          </cell>
          <cell r="BA249">
            <v>0</v>
          </cell>
          <cell r="BF249">
            <v>0</v>
          </cell>
          <cell r="BG249">
            <v>0</v>
          </cell>
          <cell r="BH249">
            <v>0</v>
          </cell>
          <cell r="BL249">
            <v>0</v>
          </cell>
          <cell r="BM249">
            <v>0</v>
          </cell>
          <cell r="BN249">
            <v>0</v>
          </cell>
          <cell r="BR249">
            <v>0</v>
          </cell>
          <cell r="BS249">
            <v>0</v>
          </cell>
          <cell r="BT249">
            <v>0</v>
          </cell>
          <cell r="BX249">
            <v>0</v>
          </cell>
          <cell r="BY249">
            <v>0</v>
          </cell>
          <cell r="BZ249">
            <v>0</v>
          </cell>
          <cell r="CD249">
            <v>0</v>
          </cell>
          <cell r="CE249">
            <v>0</v>
          </cell>
          <cell r="CF249">
            <v>0</v>
          </cell>
          <cell r="CJ249">
            <v>0</v>
          </cell>
          <cell r="CK249">
            <v>0</v>
          </cell>
          <cell r="CL249">
            <v>0</v>
          </cell>
          <cell r="CP249">
            <v>0</v>
          </cell>
          <cell r="CQ249">
            <v>0</v>
          </cell>
          <cell r="CR249">
            <v>0</v>
          </cell>
          <cell r="CS249">
            <v>0</v>
          </cell>
          <cell r="CX249">
            <v>0</v>
          </cell>
          <cell r="CY249">
            <v>0</v>
          </cell>
          <cell r="CZ249">
            <v>0</v>
          </cell>
          <cell r="DA249">
            <v>0</v>
          </cell>
          <cell r="DF249">
            <v>0</v>
          </cell>
          <cell r="DG249">
            <v>0</v>
          </cell>
          <cell r="DH249">
            <v>0</v>
          </cell>
          <cell r="DI249">
            <v>0</v>
          </cell>
          <cell r="DN249">
            <v>0</v>
          </cell>
          <cell r="DO249">
            <v>0</v>
          </cell>
          <cell r="DP249">
            <v>0</v>
          </cell>
          <cell r="DQ249">
            <v>0</v>
          </cell>
          <cell r="DV249">
            <v>0</v>
          </cell>
          <cell r="DW249">
            <v>0</v>
          </cell>
          <cell r="DX249">
            <v>0</v>
          </cell>
          <cell r="DY249">
            <v>0</v>
          </cell>
        </row>
        <row r="250">
          <cell r="F250">
            <v>0</v>
          </cell>
          <cell r="G250">
            <v>0</v>
          </cell>
          <cell r="H250">
            <v>0</v>
          </cell>
          <cell r="I250">
            <v>0</v>
          </cell>
          <cell r="O250">
            <v>0</v>
          </cell>
          <cell r="T250">
            <v>0</v>
          </cell>
          <cell r="U250">
            <v>0</v>
          </cell>
          <cell r="Z250">
            <v>0</v>
          </cell>
          <cell r="AA250">
            <v>0</v>
          </cell>
          <cell r="AF250">
            <v>0</v>
          </cell>
          <cell r="AG250">
            <v>0</v>
          </cell>
          <cell r="AL250">
            <v>0</v>
          </cell>
          <cell r="AM250">
            <v>0</v>
          </cell>
          <cell r="AR250">
            <v>0</v>
          </cell>
          <cell r="AS250">
            <v>0</v>
          </cell>
          <cell r="AX250">
            <v>0</v>
          </cell>
          <cell r="AY250">
            <v>0</v>
          </cell>
          <cell r="AZ250">
            <v>0</v>
          </cell>
          <cell r="BA250">
            <v>0</v>
          </cell>
          <cell r="BF250">
            <v>0</v>
          </cell>
          <cell r="BG250">
            <v>0</v>
          </cell>
          <cell r="BL250">
            <v>0</v>
          </cell>
          <cell r="BM250">
            <v>0</v>
          </cell>
          <cell r="BR250">
            <v>0</v>
          </cell>
          <cell r="BS250">
            <v>0</v>
          </cell>
          <cell r="BX250">
            <v>0</v>
          </cell>
          <cell r="BY250">
            <v>0</v>
          </cell>
          <cell r="CD250">
            <v>0</v>
          </cell>
          <cell r="CE250">
            <v>0</v>
          </cell>
          <cell r="CJ250">
            <v>0</v>
          </cell>
          <cell r="CK250">
            <v>0</v>
          </cell>
          <cell r="CP250">
            <v>0</v>
          </cell>
          <cell r="CQ250">
            <v>0</v>
          </cell>
          <cell r="CR250">
            <v>0</v>
          </cell>
          <cell r="CS250">
            <v>0</v>
          </cell>
          <cell r="CX250">
            <v>0</v>
          </cell>
          <cell r="CY250">
            <v>0</v>
          </cell>
          <cell r="CZ250">
            <v>0</v>
          </cell>
          <cell r="DA250">
            <v>0</v>
          </cell>
          <cell r="DF250">
            <v>0</v>
          </cell>
          <cell r="DG250">
            <v>0</v>
          </cell>
          <cell r="DH250">
            <v>0</v>
          </cell>
          <cell r="DI250">
            <v>0</v>
          </cell>
          <cell r="DN250">
            <v>0</v>
          </cell>
          <cell r="DO250">
            <v>0</v>
          </cell>
          <cell r="DP250">
            <v>0</v>
          </cell>
          <cell r="DQ250">
            <v>0</v>
          </cell>
          <cell r="DV250">
            <v>0</v>
          </cell>
          <cell r="DW250">
            <v>0</v>
          </cell>
          <cell r="DX250">
            <v>0</v>
          </cell>
          <cell r="DY250">
            <v>0</v>
          </cell>
        </row>
        <row r="251">
          <cell r="F251">
            <v>0</v>
          </cell>
          <cell r="G251">
            <v>0</v>
          </cell>
          <cell r="H251">
            <v>0</v>
          </cell>
          <cell r="I251">
            <v>0</v>
          </cell>
          <cell r="O251">
            <v>0</v>
          </cell>
          <cell r="T251">
            <v>0</v>
          </cell>
          <cell r="U251">
            <v>0</v>
          </cell>
          <cell r="Z251">
            <v>0</v>
          </cell>
          <cell r="AA251">
            <v>0</v>
          </cell>
          <cell r="AF251">
            <v>0</v>
          </cell>
          <cell r="AG251">
            <v>0</v>
          </cell>
          <cell r="AL251">
            <v>0</v>
          </cell>
          <cell r="AM251">
            <v>0</v>
          </cell>
          <cell r="AR251">
            <v>0</v>
          </cell>
          <cell r="AS251">
            <v>0</v>
          </cell>
          <cell r="AX251">
            <v>0</v>
          </cell>
          <cell r="AY251">
            <v>0</v>
          </cell>
          <cell r="AZ251">
            <v>0</v>
          </cell>
          <cell r="BA251">
            <v>0</v>
          </cell>
          <cell r="BF251">
            <v>0</v>
          </cell>
          <cell r="BG251">
            <v>0</v>
          </cell>
          <cell r="BL251">
            <v>0</v>
          </cell>
          <cell r="BM251">
            <v>0</v>
          </cell>
          <cell r="BR251">
            <v>0</v>
          </cell>
          <cell r="BS251">
            <v>0</v>
          </cell>
          <cell r="BX251">
            <v>0</v>
          </cell>
          <cell r="BY251">
            <v>0</v>
          </cell>
          <cell r="CD251">
            <v>0</v>
          </cell>
          <cell r="CE251">
            <v>0</v>
          </cell>
          <cell r="CJ251">
            <v>0</v>
          </cell>
          <cell r="CK251">
            <v>0</v>
          </cell>
          <cell r="CP251">
            <v>0</v>
          </cell>
          <cell r="CQ251">
            <v>0</v>
          </cell>
          <cell r="CR251">
            <v>0</v>
          </cell>
          <cell r="CS251">
            <v>0</v>
          </cell>
          <cell r="CX251">
            <v>0</v>
          </cell>
          <cell r="CY251">
            <v>0</v>
          </cell>
          <cell r="CZ251">
            <v>0</v>
          </cell>
          <cell r="DA251">
            <v>0</v>
          </cell>
          <cell r="DF251">
            <v>0</v>
          </cell>
          <cell r="DG251">
            <v>0</v>
          </cell>
          <cell r="DH251">
            <v>0</v>
          </cell>
          <cell r="DI251">
            <v>0</v>
          </cell>
          <cell r="DN251">
            <v>0</v>
          </cell>
          <cell r="DO251">
            <v>0</v>
          </cell>
          <cell r="DP251">
            <v>0</v>
          </cell>
          <cell r="DQ251">
            <v>0</v>
          </cell>
          <cell r="DV251">
            <v>0</v>
          </cell>
          <cell r="DW251">
            <v>0</v>
          </cell>
          <cell r="DX251">
            <v>0</v>
          </cell>
          <cell r="DY251">
            <v>0</v>
          </cell>
        </row>
        <row r="252">
          <cell r="F252">
            <v>0</v>
          </cell>
          <cell r="G252">
            <v>0</v>
          </cell>
          <cell r="H252">
            <v>0</v>
          </cell>
          <cell r="I252">
            <v>0</v>
          </cell>
          <cell r="O252">
            <v>0</v>
          </cell>
          <cell r="T252">
            <v>0</v>
          </cell>
          <cell r="U252">
            <v>0</v>
          </cell>
          <cell r="Z252">
            <v>0</v>
          </cell>
          <cell r="AA252">
            <v>0</v>
          </cell>
          <cell r="AF252">
            <v>0</v>
          </cell>
          <cell r="AG252">
            <v>0</v>
          </cell>
          <cell r="AL252">
            <v>0</v>
          </cell>
          <cell r="AM252">
            <v>0</v>
          </cell>
          <cell r="AR252">
            <v>0</v>
          </cell>
          <cell r="AS252">
            <v>0</v>
          </cell>
          <cell r="AX252">
            <v>0</v>
          </cell>
          <cell r="AY252">
            <v>0</v>
          </cell>
          <cell r="AZ252">
            <v>0</v>
          </cell>
          <cell r="BA252">
            <v>0</v>
          </cell>
          <cell r="BF252">
            <v>0</v>
          </cell>
          <cell r="BG252">
            <v>0</v>
          </cell>
          <cell r="BL252">
            <v>0</v>
          </cell>
          <cell r="BM252">
            <v>0</v>
          </cell>
          <cell r="BR252">
            <v>0</v>
          </cell>
          <cell r="BS252">
            <v>0</v>
          </cell>
          <cell r="BX252">
            <v>0</v>
          </cell>
          <cell r="BY252">
            <v>0</v>
          </cell>
          <cell r="CD252">
            <v>0</v>
          </cell>
          <cell r="CE252">
            <v>0</v>
          </cell>
          <cell r="CJ252">
            <v>0</v>
          </cell>
          <cell r="CK252">
            <v>0</v>
          </cell>
          <cell r="CP252">
            <v>0</v>
          </cell>
          <cell r="CQ252">
            <v>0</v>
          </cell>
          <cell r="CR252">
            <v>0</v>
          </cell>
          <cell r="CS252">
            <v>0</v>
          </cell>
          <cell r="CX252">
            <v>0</v>
          </cell>
          <cell r="CY252">
            <v>0</v>
          </cell>
          <cell r="CZ252">
            <v>0</v>
          </cell>
          <cell r="DA252">
            <v>0</v>
          </cell>
          <cell r="DF252">
            <v>0</v>
          </cell>
          <cell r="DG252">
            <v>0</v>
          </cell>
          <cell r="DH252">
            <v>0</v>
          </cell>
          <cell r="DI252">
            <v>0</v>
          </cell>
          <cell r="DN252">
            <v>0</v>
          </cell>
          <cell r="DO252">
            <v>0</v>
          </cell>
          <cell r="DP252">
            <v>0</v>
          </cell>
          <cell r="DQ252">
            <v>0</v>
          </cell>
          <cell r="DV252">
            <v>0</v>
          </cell>
          <cell r="DW252">
            <v>0</v>
          </cell>
          <cell r="DX252">
            <v>0</v>
          </cell>
          <cell r="DY252">
            <v>0</v>
          </cell>
        </row>
        <row r="253">
          <cell r="F253">
            <v>0</v>
          </cell>
          <cell r="G253">
            <v>0</v>
          </cell>
          <cell r="H253">
            <v>0</v>
          </cell>
          <cell r="I253">
            <v>0</v>
          </cell>
          <cell r="O253">
            <v>0</v>
          </cell>
          <cell r="T253">
            <v>0</v>
          </cell>
          <cell r="U253">
            <v>0</v>
          </cell>
          <cell r="Z253">
            <v>0</v>
          </cell>
          <cell r="AA253">
            <v>0</v>
          </cell>
          <cell r="AF253">
            <v>0</v>
          </cell>
          <cell r="AG253">
            <v>0</v>
          </cell>
          <cell r="AL253">
            <v>0</v>
          </cell>
          <cell r="AM253">
            <v>0</v>
          </cell>
          <cell r="AR253">
            <v>0</v>
          </cell>
          <cell r="AS253">
            <v>0</v>
          </cell>
          <cell r="AX253">
            <v>0</v>
          </cell>
          <cell r="AY253">
            <v>0</v>
          </cell>
          <cell r="AZ253">
            <v>0</v>
          </cell>
          <cell r="BA253">
            <v>0</v>
          </cell>
          <cell r="BF253">
            <v>0</v>
          </cell>
          <cell r="BG253">
            <v>0</v>
          </cell>
          <cell r="BL253">
            <v>0</v>
          </cell>
          <cell r="BM253">
            <v>0</v>
          </cell>
          <cell r="BR253">
            <v>0</v>
          </cell>
          <cell r="BS253">
            <v>0</v>
          </cell>
          <cell r="BX253">
            <v>0</v>
          </cell>
          <cell r="BY253">
            <v>0</v>
          </cell>
          <cell r="CD253">
            <v>0</v>
          </cell>
          <cell r="CE253">
            <v>0</v>
          </cell>
          <cell r="CJ253">
            <v>0</v>
          </cell>
          <cell r="CK253">
            <v>0</v>
          </cell>
          <cell r="CP253">
            <v>0</v>
          </cell>
          <cell r="CQ253">
            <v>0</v>
          </cell>
          <cell r="CR253">
            <v>0</v>
          </cell>
          <cell r="CS253">
            <v>0</v>
          </cell>
          <cell r="CX253">
            <v>0</v>
          </cell>
          <cell r="CY253">
            <v>0</v>
          </cell>
          <cell r="CZ253">
            <v>0</v>
          </cell>
          <cell r="DA253">
            <v>0</v>
          </cell>
          <cell r="DF253">
            <v>0</v>
          </cell>
          <cell r="DG253">
            <v>0</v>
          </cell>
          <cell r="DH253">
            <v>0</v>
          </cell>
          <cell r="DI253">
            <v>0</v>
          </cell>
          <cell r="DN253">
            <v>0</v>
          </cell>
          <cell r="DO253">
            <v>0</v>
          </cell>
          <cell r="DP253">
            <v>0</v>
          </cell>
          <cell r="DQ253">
            <v>0</v>
          </cell>
          <cell r="DV253">
            <v>0</v>
          </cell>
          <cell r="DW253">
            <v>0</v>
          </cell>
          <cell r="DX253">
            <v>0</v>
          </cell>
          <cell r="DY253">
            <v>0</v>
          </cell>
        </row>
        <row r="254">
          <cell r="F254">
            <v>0</v>
          </cell>
          <cell r="G254">
            <v>0</v>
          </cell>
          <cell r="H254">
            <v>0</v>
          </cell>
          <cell r="I254">
            <v>0</v>
          </cell>
          <cell r="O254">
            <v>0</v>
          </cell>
          <cell r="T254">
            <v>0</v>
          </cell>
          <cell r="U254">
            <v>0</v>
          </cell>
          <cell r="Z254">
            <v>0</v>
          </cell>
          <cell r="AA254">
            <v>0</v>
          </cell>
          <cell r="AF254">
            <v>0</v>
          </cell>
          <cell r="AG254">
            <v>0</v>
          </cell>
          <cell r="AL254">
            <v>0</v>
          </cell>
          <cell r="AM254">
            <v>0</v>
          </cell>
          <cell r="AR254">
            <v>0</v>
          </cell>
          <cell r="AS254">
            <v>0</v>
          </cell>
          <cell r="AX254">
            <v>0</v>
          </cell>
          <cell r="AY254">
            <v>0</v>
          </cell>
          <cell r="AZ254">
            <v>0</v>
          </cell>
          <cell r="BA254">
            <v>0</v>
          </cell>
          <cell r="BF254">
            <v>0</v>
          </cell>
          <cell r="BG254">
            <v>0</v>
          </cell>
          <cell r="BL254">
            <v>0</v>
          </cell>
          <cell r="BM254">
            <v>0</v>
          </cell>
          <cell r="BR254">
            <v>0</v>
          </cell>
          <cell r="BS254">
            <v>0</v>
          </cell>
          <cell r="BX254">
            <v>0</v>
          </cell>
          <cell r="BY254">
            <v>0</v>
          </cell>
          <cell r="CD254">
            <v>0</v>
          </cell>
          <cell r="CE254">
            <v>0</v>
          </cell>
          <cell r="CJ254">
            <v>0</v>
          </cell>
          <cell r="CK254">
            <v>0</v>
          </cell>
          <cell r="CP254">
            <v>0</v>
          </cell>
          <cell r="CQ254">
            <v>0</v>
          </cell>
          <cell r="CR254">
            <v>0</v>
          </cell>
          <cell r="CS254">
            <v>0</v>
          </cell>
          <cell r="CX254">
            <v>0</v>
          </cell>
          <cell r="CY254">
            <v>0</v>
          </cell>
          <cell r="CZ254">
            <v>0</v>
          </cell>
          <cell r="DA254">
            <v>0</v>
          </cell>
          <cell r="DF254">
            <v>0</v>
          </cell>
          <cell r="DG254">
            <v>0</v>
          </cell>
          <cell r="DH254">
            <v>0</v>
          </cell>
          <cell r="DI254">
            <v>0</v>
          </cell>
          <cell r="DN254">
            <v>0</v>
          </cell>
          <cell r="DO254">
            <v>0</v>
          </cell>
          <cell r="DP254">
            <v>0</v>
          </cell>
          <cell r="DQ254">
            <v>0</v>
          </cell>
          <cell r="DV254">
            <v>0</v>
          </cell>
          <cell r="DW254">
            <v>0</v>
          </cell>
          <cell r="DX254">
            <v>0</v>
          </cell>
          <cell r="DY254">
            <v>0</v>
          </cell>
        </row>
        <row r="255">
          <cell r="F255">
            <v>0</v>
          </cell>
          <cell r="G255">
            <v>0</v>
          </cell>
          <cell r="H255">
            <v>0</v>
          </cell>
          <cell r="I255">
            <v>0</v>
          </cell>
          <cell r="O255">
            <v>0</v>
          </cell>
          <cell r="T255">
            <v>0</v>
          </cell>
          <cell r="U255">
            <v>0</v>
          </cell>
          <cell r="Z255">
            <v>0</v>
          </cell>
          <cell r="AA255">
            <v>0</v>
          </cell>
          <cell r="AF255">
            <v>0</v>
          </cell>
          <cell r="AG255">
            <v>0</v>
          </cell>
          <cell r="AL255">
            <v>0</v>
          </cell>
          <cell r="AM255">
            <v>0</v>
          </cell>
          <cell r="AR255">
            <v>0</v>
          </cell>
          <cell r="AS255">
            <v>0</v>
          </cell>
          <cell r="AX255">
            <v>0</v>
          </cell>
          <cell r="AY255">
            <v>0</v>
          </cell>
          <cell r="AZ255">
            <v>0</v>
          </cell>
          <cell r="BA255">
            <v>0</v>
          </cell>
          <cell r="BF255">
            <v>0</v>
          </cell>
          <cell r="BG255">
            <v>0</v>
          </cell>
          <cell r="BL255">
            <v>0</v>
          </cell>
          <cell r="BM255">
            <v>0</v>
          </cell>
          <cell r="BR255">
            <v>0</v>
          </cell>
          <cell r="BS255">
            <v>0</v>
          </cell>
          <cell r="BX255">
            <v>0</v>
          </cell>
          <cell r="BY255">
            <v>0</v>
          </cell>
          <cell r="CD255">
            <v>0</v>
          </cell>
          <cell r="CE255">
            <v>0</v>
          </cell>
          <cell r="CJ255">
            <v>0</v>
          </cell>
          <cell r="CK255">
            <v>0</v>
          </cell>
          <cell r="CP255">
            <v>0</v>
          </cell>
          <cell r="CQ255">
            <v>0</v>
          </cell>
          <cell r="CR255">
            <v>0</v>
          </cell>
          <cell r="CS255">
            <v>0</v>
          </cell>
          <cell r="CX255">
            <v>0</v>
          </cell>
          <cell r="CY255">
            <v>0</v>
          </cell>
          <cell r="CZ255">
            <v>0</v>
          </cell>
          <cell r="DA255">
            <v>0</v>
          </cell>
          <cell r="DF255">
            <v>0</v>
          </cell>
          <cell r="DG255">
            <v>0</v>
          </cell>
          <cell r="DH255">
            <v>0</v>
          </cell>
          <cell r="DI255">
            <v>0</v>
          </cell>
          <cell r="DN255">
            <v>0</v>
          </cell>
          <cell r="DO255">
            <v>0</v>
          </cell>
          <cell r="DP255">
            <v>0</v>
          </cell>
          <cell r="DQ255">
            <v>0</v>
          </cell>
          <cell r="DV255">
            <v>0</v>
          </cell>
          <cell r="DW255">
            <v>0</v>
          </cell>
          <cell r="DX255">
            <v>0</v>
          </cell>
          <cell r="DY255">
            <v>0</v>
          </cell>
        </row>
        <row r="256">
          <cell r="F256">
            <v>0</v>
          </cell>
          <cell r="G256">
            <v>0</v>
          </cell>
          <cell r="H256">
            <v>0</v>
          </cell>
          <cell r="I256">
            <v>0</v>
          </cell>
          <cell r="O256">
            <v>0</v>
          </cell>
          <cell r="T256">
            <v>0</v>
          </cell>
          <cell r="U256">
            <v>0</v>
          </cell>
          <cell r="Z256">
            <v>0</v>
          </cell>
          <cell r="AA256">
            <v>0</v>
          </cell>
          <cell r="AF256">
            <v>0</v>
          </cell>
          <cell r="AG256">
            <v>0</v>
          </cell>
          <cell r="AL256">
            <v>0</v>
          </cell>
          <cell r="AM256">
            <v>0</v>
          </cell>
          <cell r="AR256">
            <v>0</v>
          </cell>
          <cell r="AS256">
            <v>0</v>
          </cell>
          <cell r="AX256">
            <v>0</v>
          </cell>
          <cell r="AY256">
            <v>0</v>
          </cell>
          <cell r="AZ256">
            <v>0</v>
          </cell>
          <cell r="BA256">
            <v>0</v>
          </cell>
          <cell r="BF256">
            <v>0</v>
          </cell>
          <cell r="BG256">
            <v>0</v>
          </cell>
          <cell r="BL256">
            <v>0</v>
          </cell>
          <cell r="BM256">
            <v>0</v>
          </cell>
          <cell r="BR256">
            <v>0</v>
          </cell>
          <cell r="BS256">
            <v>0</v>
          </cell>
          <cell r="BX256">
            <v>0</v>
          </cell>
          <cell r="BY256">
            <v>0</v>
          </cell>
          <cell r="CD256">
            <v>0</v>
          </cell>
          <cell r="CE256">
            <v>0</v>
          </cell>
          <cell r="CJ256">
            <v>0</v>
          </cell>
          <cell r="CK256">
            <v>0</v>
          </cell>
          <cell r="CP256">
            <v>0</v>
          </cell>
          <cell r="CQ256">
            <v>0</v>
          </cell>
          <cell r="CR256">
            <v>0</v>
          </cell>
          <cell r="CS256">
            <v>0</v>
          </cell>
          <cell r="CX256">
            <v>0</v>
          </cell>
          <cell r="CY256">
            <v>0</v>
          </cell>
          <cell r="CZ256">
            <v>0</v>
          </cell>
          <cell r="DA256">
            <v>0</v>
          </cell>
          <cell r="DF256">
            <v>0</v>
          </cell>
          <cell r="DG256">
            <v>0</v>
          </cell>
          <cell r="DH256">
            <v>0</v>
          </cell>
          <cell r="DI256">
            <v>0</v>
          </cell>
          <cell r="DN256">
            <v>0</v>
          </cell>
          <cell r="DO256">
            <v>0</v>
          </cell>
          <cell r="DP256">
            <v>0</v>
          </cell>
          <cell r="DQ256">
            <v>0</v>
          </cell>
          <cell r="DV256">
            <v>0</v>
          </cell>
          <cell r="DW256">
            <v>0</v>
          </cell>
          <cell r="DX256">
            <v>0</v>
          </cell>
          <cell r="DY256">
            <v>0</v>
          </cell>
        </row>
        <row r="257">
          <cell r="F257">
            <v>0</v>
          </cell>
          <cell r="G257">
            <v>0</v>
          </cell>
          <cell r="H257">
            <v>0</v>
          </cell>
          <cell r="I257">
            <v>0</v>
          </cell>
          <cell r="O257">
            <v>0</v>
          </cell>
          <cell r="T257">
            <v>0</v>
          </cell>
          <cell r="U257">
            <v>0</v>
          </cell>
          <cell r="Z257">
            <v>0</v>
          </cell>
          <cell r="AA257">
            <v>0</v>
          </cell>
          <cell r="AF257">
            <v>0</v>
          </cell>
          <cell r="AG257">
            <v>0</v>
          </cell>
          <cell r="AL257">
            <v>0</v>
          </cell>
          <cell r="AM257">
            <v>0</v>
          </cell>
          <cell r="AR257">
            <v>0</v>
          </cell>
          <cell r="AS257">
            <v>0</v>
          </cell>
          <cell r="AX257">
            <v>0</v>
          </cell>
          <cell r="AY257">
            <v>0</v>
          </cell>
          <cell r="AZ257">
            <v>0</v>
          </cell>
          <cell r="BA257">
            <v>0</v>
          </cell>
          <cell r="BF257">
            <v>0</v>
          </cell>
          <cell r="BG257">
            <v>0</v>
          </cell>
          <cell r="BL257">
            <v>0</v>
          </cell>
          <cell r="BM257">
            <v>0</v>
          </cell>
          <cell r="BR257">
            <v>0</v>
          </cell>
          <cell r="BS257">
            <v>0</v>
          </cell>
          <cell r="BX257">
            <v>0</v>
          </cell>
          <cell r="BY257">
            <v>0</v>
          </cell>
          <cell r="CD257">
            <v>0</v>
          </cell>
          <cell r="CE257">
            <v>0</v>
          </cell>
          <cell r="CJ257">
            <v>0</v>
          </cell>
          <cell r="CK257">
            <v>0</v>
          </cell>
          <cell r="CP257">
            <v>0</v>
          </cell>
          <cell r="CQ257">
            <v>0</v>
          </cell>
          <cell r="CR257">
            <v>0</v>
          </cell>
          <cell r="CS257">
            <v>0</v>
          </cell>
          <cell r="CX257">
            <v>0</v>
          </cell>
          <cell r="CY257">
            <v>0</v>
          </cell>
          <cell r="CZ257">
            <v>0</v>
          </cell>
          <cell r="DA257">
            <v>0</v>
          </cell>
          <cell r="DF257">
            <v>0</v>
          </cell>
          <cell r="DG257">
            <v>0</v>
          </cell>
          <cell r="DH257">
            <v>0</v>
          </cell>
          <cell r="DI257">
            <v>0</v>
          </cell>
          <cell r="DN257">
            <v>0</v>
          </cell>
          <cell r="DO257">
            <v>0</v>
          </cell>
          <cell r="DP257">
            <v>0</v>
          </cell>
          <cell r="DQ257">
            <v>0</v>
          </cell>
          <cell r="DV257">
            <v>0</v>
          </cell>
          <cell r="DW257">
            <v>0</v>
          </cell>
          <cell r="DX257">
            <v>0</v>
          </cell>
          <cell r="DY257">
            <v>0</v>
          </cell>
        </row>
        <row r="258">
          <cell r="F258">
            <v>0</v>
          </cell>
          <cell r="G258">
            <v>0</v>
          </cell>
          <cell r="H258">
            <v>0</v>
          </cell>
          <cell r="I258">
            <v>0</v>
          </cell>
          <cell r="O258">
            <v>0</v>
          </cell>
          <cell r="T258">
            <v>0</v>
          </cell>
          <cell r="U258">
            <v>0</v>
          </cell>
          <cell r="Z258">
            <v>0</v>
          </cell>
          <cell r="AA258">
            <v>0</v>
          </cell>
          <cell r="AF258">
            <v>0</v>
          </cell>
          <cell r="AG258">
            <v>0</v>
          </cell>
          <cell r="AL258">
            <v>0</v>
          </cell>
          <cell r="AM258">
            <v>0</v>
          </cell>
          <cell r="AR258">
            <v>0</v>
          </cell>
          <cell r="AS258">
            <v>0</v>
          </cell>
          <cell r="AX258">
            <v>0</v>
          </cell>
          <cell r="AY258">
            <v>0</v>
          </cell>
          <cell r="AZ258">
            <v>0</v>
          </cell>
          <cell r="BA258">
            <v>0</v>
          </cell>
          <cell r="BF258">
            <v>0</v>
          </cell>
          <cell r="BG258">
            <v>0</v>
          </cell>
          <cell r="BL258">
            <v>0</v>
          </cell>
          <cell r="BM258">
            <v>0</v>
          </cell>
          <cell r="BR258">
            <v>0</v>
          </cell>
          <cell r="BS258">
            <v>0</v>
          </cell>
          <cell r="BX258">
            <v>0</v>
          </cell>
          <cell r="BY258">
            <v>0</v>
          </cell>
          <cell r="CD258">
            <v>0</v>
          </cell>
          <cell r="CE258">
            <v>0</v>
          </cell>
          <cell r="CJ258">
            <v>0</v>
          </cell>
          <cell r="CK258">
            <v>0</v>
          </cell>
          <cell r="CP258">
            <v>0</v>
          </cell>
          <cell r="CQ258">
            <v>0</v>
          </cell>
          <cell r="CR258">
            <v>0</v>
          </cell>
          <cell r="CS258">
            <v>0</v>
          </cell>
          <cell r="CX258">
            <v>0</v>
          </cell>
          <cell r="CY258">
            <v>0</v>
          </cell>
          <cell r="CZ258">
            <v>0</v>
          </cell>
          <cell r="DA258">
            <v>0</v>
          </cell>
          <cell r="DF258">
            <v>0</v>
          </cell>
          <cell r="DG258">
            <v>0</v>
          </cell>
          <cell r="DH258">
            <v>0</v>
          </cell>
          <cell r="DI258">
            <v>0</v>
          </cell>
          <cell r="DN258">
            <v>0</v>
          </cell>
          <cell r="DO258">
            <v>0</v>
          </cell>
          <cell r="DP258">
            <v>0</v>
          </cell>
          <cell r="DQ258">
            <v>0</v>
          </cell>
          <cell r="DV258">
            <v>0</v>
          </cell>
          <cell r="DW258">
            <v>0</v>
          </cell>
          <cell r="DX258">
            <v>0</v>
          </cell>
          <cell r="DY258">
            <v>0</v>
          </cell>
        </row>
        <row r="259">
          <cell r="F259">
            <v>0</v>
          </cell>
          <cell r="G259">
            <v>0</v>
          </cell>
          <cell r="H259">
            <v>0</v>
          </cell>
          <cell r="I259">
            <v>0</v>
          </cell>
          <cell r="AX259">
            <v>0</v>
          </cell>
          <cell r="AY259">
            <v>0</v>
          </cell>
          <cell r="AZ259">
            <v>0</v>
          </cell>
          <cell r="BA259">
            <v>0</v>
          </cell>
          <cell r="CP259">
            <v>0</v>
          </cell>
          <cell r="CQ259">
            <v>0</v>
          </cell>
          <cell r="CR259">
            <v>0</v>
          </cell>
          <cell r="CS259">
            <v>0</v>
          </cell>
          <cell r="CX259">
            <v>0</v>
          </cell>
          <cell r="CY259">
            <v>0</v>
          </cell>
          <cell r="CZ259">
            <v>0</v>
          </cell>
          <cell r="DA259">
            <v>0</v>
          </cell>
          <cell r="DF259">
            <v>0</v>
          </cell>
          <cell r="DG259">
            <v>0</v>
          </cell>
          <cell r="DH259">
            <v>0</v>
          </cell>
          <cell r="DI259">
            <v>0</v>
          </cell>
          <cell r="DN259">
            <v>0</v>
          </cell>
          <cell r="DO259">
            <v>0</v>
          </cell>
          <cell r="DP259">
            <v>0</v>
          </cell>
          <cell r="DQ259">
            <v>0</v>
          </cell>
          <cell r="DV259">
            <v>0</v>
          </cell>
          <cell r="DW259">
            <v>0</v>
          </cell>
          <cell r="DX259">
            <v>0</v>
          </cell>
          <cell r="DY259">
            <v>0</v>
          </cell>
        </row>
        <row r="260">
          <cell r="F260">
            <v>0</v>
          </cell>
          <cell r="G260">
            <v>0</v>
          </cell>
          <cell r="H260">
            <v>0</v>
          </cell>
          <cell r="I260">
            <v>0</v>
          </cell>
          <cell r="O260">
            <v>0</v>
          </cell>
          <cell r="T260">
            <v>0</v>
          </cell>
          <cell r="U260">
            <v>0</v>
          </cell>
          <cell r="Z260">
            <v>0</v>
          </cell>
          <cell r="AA260">
            <v>0</v>
          </cell>
          <cell r="AF260">
            <v>0</v>
          </cell>
          <cell r="AG260">
            <v>0</v>
          </cell>
          <cell r="AL260">
            <v>0</v>
          </cell>
          <cell r="AM260">
            <v>0</v>
          </cell>
          <cell r="AR260">
            <v>0</v>
          </cell>
          <cell r="AS260">
            <v>0</v>
          </cell>
          <cell r="AX260">
            <v>0</v>
          </cell>
          <cell r="AY260">
            <v>0</v>
          </cell>
          <cell r="AZ260">
            <v>0</v>
          </cell>
          <cell r="BA260">
            <v>0</v>
          </cell>
          <cell r="BF260">
            <v>0</v>
          </cell>
          <cell r="BG260">
            <v>0</v>
          </cell>
          <cell r="BL260">
            <v>0</v>
          </cell>
          <cell r="BM260">
            <v>0</v>
          </cell>
          <cell r="BR260">
            <v>0</v>
          </cell>
          <cell r="BS260">
            <v>0</v>
          </cell>
          <cell r="BX260">
            <v>0</v>
          </cell>
          <cell r="BY260">
            <v>0</v>
          </cell>
          <cell r="CD260">
            <v>0</v>
          </cell>
          <cell r="CE260">
            <v>0</v>
          </cell>
          <cell r="CJ260">
            <v>0</v>
          </cell>
          <cell r="CK260">
            <v>0</v>
          </cell>
          <cell r="CP260">
            <v>0</v>
          </cell>
          <cell r="CQ260">
            <v>0</v>
          </cell>
          <cell r="CR260">
            <v>0</v>
          </cell>
          <cell r="CS260">
            <v>0</v>
          </cell>
          <cell r="CX260">
            <v>0</v>
          </cell>
          <cell r="CY260">
            <v>0</v>
          </cell>
          <cell r="CZ260">
            <v>0</v>
          </cell>
          <cell r="DA260">
            <v>0</v>
          </cell>
          <cell r="DF260">
            <v>0</v>
          </cell>
          <cell r="DG260">
            <v>0</v>
          </cell>
          <cell r="DH260">
            <v>0</v>
          </cell>
          <cell r="DI260">
            <v>0</v>
          </cell>
          <cell r="DN260">
            <v>0</v>
          </cell>
          <cell r="DO260">
            <v>0</v>
          </cell>
          <cell r="DP260">
            <v>0</v>
          </cell>
          <cell r="DQ260">
            <v>0</v>
          </cell>
          <cell r="DV260">
            <v>0</v>
          </cell>
          <cell r="DW260">
            <v>0</v>
          </cell>
          <cell r="DX260">
            <v>0</v>
          </cell>
          <cell r="DY260">
            <v>0</v>
          </cell>
        </row>
        <row r="261">
          <cell r="F261">
            <v>0</v>
          </cell>
          <cell r="G261">
            <v>0</v>
          </cell>
          <cell r="H261">
            <v>0</v>
          </cell>
          <cell r="I261">
            <v>0</v>
          </cell>
          <cell r="O261">
            <v>0</v>
          </cell>
          <cell r="T261">
            <v>0</v>
          </cell>
          <cell r="U261">
            <v>0</v>
          </cell>
          <cell r="Z261">
            <v>0</v>
          </cell>
          <cell r="AA261">
            <v>0</v>
          </cell>
          <cell r="AF261">
            <v>0</v>
          </cell>
          <cell r="AG261">
            <v>0</v>
          </cell>
          <cell r="AL261">
            <v>0</v>
          </cell>
          <cell r="AM261">
            <v>0</v>
          </cell>
          <cell r="AR261">
            <v>0</v>
          </cell>
          <cell r="AS261">
            <v>0</v>
          </cell>
          <cell r="AX261">
            <v>0</v>
          </cell>
          <cell r="AY261">
            <v>0</v>
          </cell>
          <cell r="AZ261">
            <v>0</v>
          </cell>
          <cell r="BA261">
            <v>0</v>
          </cell>
          <cell r="BF261">
            <v>0</v>
          </cell>
          <cell r="BG261">
            <v>0</v>
          </cell>
          <cell r="BL261">
            <v>0</v>
          </cell>
          <cell r="BM261">
            <v>0</v>
          </cell>
          <cell r="BR261">
            <v>0</v>
          </cell>
          <cell r="BS261">
            <v>0</v>
          </cell>
          <cell r="BX261">
            <v>0</v>
          </cell>
          <cell r="BY261">
            <v>0</v>
          </cell>
          <cell r="CD261">
            <v>0</v>
          </cell>
          <cell r="CE261">
            <v>0</v>
          </cell>
          <cell r="CJ261">
            <v>0</v>
          </cell>
          <cell r="CK261">
            <v>0</v>
          </cell>
          <cell r="CP261">
            <v>0</v>
          </cell>
          <cell r="CQ261">
            <v>0</v>
          </cell>
          <cell r="CR261">
            <v>0</v>
          </cell>
          <cell r="CS261">
            <v>0</v>
          </cell>
          <cell r="CX261">
            <v>0</v>
          </cell>
          <cell r="CY261">
            <v>0</v>
          </cell>
          <cell r="CZ261">
            <v>0</v>
          </cell>
          <cell r="DA261">
            <v>0</v>
          </cell>
          <cell r="DF261">
            <v>0</v>
          </cell>
          <cell r="DG261">
            <v>0</v>
          </cell>
          <cell r="DH261">
            <v>0</v>
          </cell>
          <cell r="DI261">
            <v>0</v>
          </cell>
          <cell r="DN261">
            <v>0</v>
          </cell>
          <cell r="DO261">
            <v>0</v>
          </cell>
          <cell r="DP261">
            <v>0</v>
          </cell>
          <cell r="DQ261">
            <v>0</v>
          </cell>
          <cell r="DV261">
            <v>0</v>
          </cell>
          <cell r="DW261">
            <v>0</v>
          </cell>
          <cell r="DX261">
            <v>0</v>
          </cell>
          <cell r="DY261">
            <v>0</v>
          </cell>
        </row>
        <row r="262">
          <cell r="F262">
            <v>0</v>
          </cell>
          <cell r="G262">
            <v>0</v>
          </cell>
          <cell r="H262">
            <v>0</v>
          </cell>
          <cell r="I262">
            <v>0</v>
          </cell>
          <cell r="N262">
            <v>0</v>
          </cell>
          <cell r="O262">
            <v>0</v>
          </cell>
          <cell r="P262">
            <v>0</v>
          </cell>
          <cell r="T262">
            <v>0</v>
          </cell>
          <cell r="U262">
            <v>0</v>
          </cell>
          <cell r="V262">
            <v>0</v>
          </cell>
          <cell r="Z262">
            <v>0</v>
          </cell>
          <cell r="AA262">
            <v>0</v>
          </cell>
          <cell r="AB262">
            <v>0</v>
          </cell>
          <cell r="AF262">
            <v>0</v>
          </cell>
          <cell r="AG262">
            <v>0</v>
          </cell>
          <cell r="AH262">
            <v>0</v>
          </cell>
          <cell r="AL262">
            <v>0</v>
          </cell>
          <cell r="AM262">
            <v>0</v>
          </cell>
          <cell r="AN262">
            <v>0</v>
          </cell>
          <cell r="AR262">
            <v>0</v>
          </cell>
          <cell r="AS262">
            <v>0</v>
          </cell>
          <cell r="AT262">
            <v>0</v>
          </cell>
          <cell r="AX262">
            <v>0</v>
          </cell>
          <cell r="AY262">
            <v>0</v>
          </cell>
          <cell r="AZ262">
            <v>0</v>
          </cell>
          <cell r="BA262">
            <v>0</v>
          </cell>
          <cell r="BF262">
            <v>0</v>
          </cell>
          <cell r="BG262">
            <v>0</v>
          </cell>
          <cell r="BH262">
            <v>0</v>
          </cell>
          <cell r="BL262">
            <v>0</v>
          </cell>
          <cell r="BM262">
            <v>0</v>
          </cell>
          <cell r="BN262">
            <v>0</v>
          </cell>
          <cell r="BR262">
            <v>0</v>
          </cell>
          <cell r="BS262">
            <v>0</v>
          </cell>
          <cell r="BT262">
            <v>0</v>
          </cell>
          <cell r="BX262">
            <v>0</v>
          </cell>
          <cell r="BY262">
            <v>0</v>
          </cell>
          <cell r="BZ262">
            <v>0</v>
          </cell>
          <cell r="CD262">
            <v>0</v>
          </cell>
          <cell r="CE262">
            <v>0</v>
          </cell>
          <cell r="CF262">
            <v>0</v>
          </cell>
          <cell r="CJ262">
            <v>0</v>
          </cell>
          <cell r="CK262">
            <v>0</v>
          </cell>
          <cell r="CL262">
            <v>0</v>
          </cell>
          <cell r="CP262">
            <v>0</v>
          </cell>
          <cell r="CQ262">
            <v>0</v>
          </cell>
          <cell r="CR262">
            <v>0</v>
          </cell>
          <cell r="CS262">
            <v>0</v>
          </cell>
          <cell r="CX262">
            <v>0</v>
          </cell>
          <cell r="CY262">
            <v>0</v>
          </cell>
          <cell r="CZ262">
            <v>0</v>
          </cell>
          <cell r="DA262">
            <v>0</v>
          </cell>
          <cell r="DF262">
            <v>0</v>
          </cell>
          <cell r="DG262">
            <v>0</v>
          </cell>
          <cell r="DH262">
            <v>0</v>
          </cell>
          <cell r="DI262">
            <v>0</v>
          </cell>
          <cell r="DN262">
            <v>0</v>
          </cell>
          <cell r="DO262">
            <v>0</v>
          </cell>
          <cell r="DP262">
            <v>0</v>
          </cell>
          <cell r="DQ262">
            <v>0</v>
          </cell>
          <cell r="DV262">
            <v>0</v>
          </cell>
          <cell r="DW262">
            <v>0</v>
          </cell>
          <cell r="DX262">
            <v>0</v>
          </cell>
          <cell r="DY262">
            <v>0</v>
          </cell>
        </row>
        <row r="263">
          <cell r="F263">
            <v>0</v>
          </cell>
          <cell r="G263">
            <v>0</v>
          </cell>
          <cell r="H263">
            <v>0</v>
          </cell>
          <cell r="I263">
            <v>0</v>
          </cell>
          <cell r="O263">
            <v>0</v>
          </cell>
          <cell r="T263">
            <v>0</v>
          </cell>
          <cell r="U263">
            <v>0</v>
          </cell>
          <cell r="Z263">
            <v>0</v>
          </cell>
          <cell r="AA263">
            <v>0</v>
          </cell>
          <cell r="AF263">
            <v>0</v>
          </cell>
          <cell r="AG263">
            <v>0</v>
          </cell>
          <cell r="AL263">
            <v>0</v>
          </cell>
          <cell r="AM263">
            <v>0</v>
          </cell>
          <cell r="AR263">
            <v>0</v>
          </cell>
          <cell r="AS263">
            <v>0</v>
          </cell>
          <cell r="AX263">
            <v>0</v>
          </cell>
          <cell r="AY263">
            <v>0</v>
          </cell>
          <cell r="AZ263">
            <v>0</v>
          </cell>
          <cell r="BA263">
            <v>0</v>
          </cell>
          <cell r="BF263">
            <v>0</v>
          </cell>
          <cell r="BG263">
            <v>0</v>
          </cell>
          <cell r="BL263">
            <v>0</v>
          </cell>
          <cell r="BM263">
            <v>0</v>
          </cell>
          <cell r="BR263">
            <v>0</v>
          </cell>
          <cell r="BS263">
            <v>0</v>
          </cell>
          <cell r="BX263">
            <v>0</v>
          </cell>
          <cell r="BY263">
            <v>0</v>
          </cell>
          <cell r="CD263">
            <v>0</v>
          </cell>
          <cell r="CE263">
            <v>0</v>
          </cell>
          <cell r="CJ263">
            <v>0</v>
          </cell>
          <cell r="CK263">
            <v>0</v>
          </cell>
          <cell r="CP263">
            <v>0</v>
          </cell>
          <cell r="CQ263">
            <v>0</v>
          </cell>
          <cell r="CR263">
            <v>0</v>
          </cell>
          <cell r="CS263">
            <v>0</v>
          </cell>
          <cell r="CX263">
            <v>0</v>
          </cell>
          <cell r="CY263">
            <v>0</v>
          </cell>
          <cell r="CZ263">
            <v>0</v>
          </cell>
          <cell r="DA263">
            <v>0</v>
          </cell>
          <cell r="DF263">
            <v>0</v>
          </cell>
          <cell r="DG263">
            <v>0</v>
          </cell>
          <cell r="DH263">
            <v>0</v>
          </cell>
          <cell r="DI263">
            <v>0</v>
          </cell>
          <cell r="DN263">
            <v>0</v>
          </cell>
          <cell r="DO263">
            <v>0</v>
          </cell>
          <cell r="DP263">
            <v>0</v>
          </cell>
          <cell r="DQ263">
            <v>0</v>
          </cell>
          <cell r="DV263">
            <v>0</v>
          </cell>
          <cell r="DW263">
            <v>0</v>
          </cell>
          <cell r="DX263">
            <v>0</v>
          </cell>
          <cell r="DY263">
            <v>0</v>
          </cell>
        </row>
        <row r="264">
          <cell r="F264">
            <v>0</v>
          </cell>
          <cell r="G264">
            <v>0</v>
          </cell>
          <cell r="H264">
            <v>0</v>
          </cell>
          <cell r="I264">
            <v>0</v>
          </cell>
          <cell r="O264">
            <v>0</v>
          </cell>
          <cell r="T264">
            <v>0</v>
          </cell>
          <cell r="U264">
            <v>0</v>
          </cell>
          <cell r="Z264">
            <v>0</v>
          </cell>
          <cell r="AA264">
            <v>0</v>
          </cell>
          <cell r="AF264">
            <v>0</v>
          </cell>
          <cell r="AG264">
            <v>0</v>
          </cell>
          <cell r="AL264">
            <v>0</v>
          </cell>
          <cell r="AM264">
            <v>0</v>
          </cell>
          <cell r="AR264">
            <v>0</v>
          </cell>
          <cell r="AS264">
            <v>0</v>
          </cell>
          <cell r="AX264">
            <v>0</v>
          </cell>
          <cell r="AY264">
            <v>0</v>
          </cell>
          <cell r="AZ264">
            <v>0</v>
          </cell>
          <cell r="BA264">
            <v>0</v>
          </cell>
          <cell r="BF264">
            <v>0</v>
          </cell>
          <cell r="BG264">
            <v>0</v>
          </cell>
          <cell r="BL264">
            <v>0</v>
          </cell>
          <cell r="BM264">
            <v>0</v>
          </cell>
          <cell r="BR264">
            <v>0</v>
          </cell>
          <cell r="BS264">
            <v>0</v>
          </cell>
          <cell r="BX264">
            <v>0</v>
          </cell>
          <cell r="BY264">
            <v>0</v>
          </cell>
          <cell r="CD264">
            <v>0</v>
          </cell>
          <cell r="CE264">
            <v>0</v>
          </cell>
          <cell r="CJ264">
            <v>0</v>
          </cell>
          <cell r="CK264">
            <v>0</v>
          </cell>
          <cell r="CP264">
            <v>0</v>
          </cell>
          <cell r="CQ264">
            <v>0</v>
          </cell>
          <cell r="CR264">
            <v>0</v>
          </cell>
          <cell r="CS264">
            <v>0</v>
          </cell>
          <cell r="CX264">
            <v>0</v>
          </cell>
          <cell r="CY264">
            <v>0</v>
          </cell>
          <cell r="CZ264">
            <v>0</v>
          </cell>
          <cell r="DA264">
            <v>0</v>
          </cell>
          <cell r="DF264">
            <v>0</v>
          </cell>
          <cell r="DG264">
            <v>0</v>
          </cell>
          <cell r="DH264">
            <v>0</v>
          </cell>
          <cell r="DI264">
            <v>0</v>
          </cell>
          <cell r="DN264">
            <v>0</v>
          </cell>
          <cell r="DO264">
            <v>0</v>
          </cell>
          <cell r="DP264">
            <v>0</v>
          </cell>
          <cell r="DQ264">
            <v>0</v>
          </cell>
          <cell r="DV264">
            <v>0</v>
          </cell>
          <cell r="DW264">
            <v>0</v>
          </cell>
          <cell r="DX264">
            <v>0</v>
          </cell>
          <cell r="DY264">
            <v>0</v>
          </cell>
        </row>
        <row r="265">
          <cell r="F265">
            <v>0</v>
          </cell>
          <cell r="G265">
            <v>0</v>
          </cell>
          <cell r="H265">
            <v>0</v>
          </cell>
          <cell r="I265">
            <v>0</v>
          </cell>
          <cell r="N265">
            <v>0</v>
          </cell>
          <cell r="O265">
            <v>0</v>
          </cell>
          <cell r="P265">
            <v>0</v>
          </cell>
          <cell r="T265">
            <v>0</v>
          </cell>
          <cell r="U265">
            <v>0</v>
          </cell>
          <cell r="V265">
            <v>0</v>
          </cell>
          <cell r="Z265">
            <v>0</v>
          </cell>
          <cell r="AA265">
            <v>0</v>
          </cell>
          <cell r="AB265">
            <v>0</v>
          </cell>
          <cell r="AF265">
            <v>0</v>
          </cell>
          <cell r="AG265">
            <v>0</v>
          </cell>
          <cell r="AH265">
            <v>0</v>
          </cell>
          <cell r="AL265">
            <v>0</v>
          </cell>
          <cell r="AM265">
            <v>0</v>
          </cell>
          <cell r="AN265">
            <v>0</v>
          </cell>
          <cell r="AR265">
            <v>0</v>
          </cell>
          <cell r="AS265">
            <v>0</v>
          </cell>
          <cell r="AT265">
            <v>0</v>
          </cell>
          <cell r="AX265">
            <v>0</v>
          </cell>
          <cell r="AY265">
            <v>0</v>
          </cell>
          <cell r="AZ265">
            <v>0</v>
          </cell>
          <cell r="BA265">
            <v>0</v>
          </cell>
          <cell r="BF265">
            <v>0</v>
          </cell>
          <cell r="BG265">
            <v>0</v>
          </cell>
          <cell r="BH265">
            <v>0</v>
          </cell>
          <cell r="BL265">
            <v>0</v>
          </cell>
          <cell r="BM265">
            <v>0</v>
          </cell>
          <cell r="BN265">
            <v>0</v>
          </cell>
          <cell r="BR265">
            <v>0</v>
          </cell>
          <cell r="BS265">
            <v>0</v>
          </cell>
          <cell r="BT265">
            <v>0</v>
          </cell>
          <cell r="BX265">
            <v>0</v>
          </cell>
          <cell r="BY265">
            <v>0</v>
          </cell>
          <cell r="BZ265">
            <v>0</v>
          </cell>
          <cell r="CD265">
            <v>0</v>
          </cell>
          <cell r="CE265">
            <v>0</v>
          </cell>
          <cell r="CF265">
            <v>0</v>
          </cell>
          <cell r="CJ265">
            <v>0</v>
          </cell>
          <cell r="CK265">
            <v>0</v>
          </cell>
          <cell r="CL265">
            <v>0</v>
          </cell>
          <cell r="CP265">
            <v>0</v>
          </cell>
          <cell r="CQ265">
            <v>0</v>
          </cell>
          <cell r="CR265">
            <v>0</v>
          </cell>
          <cell r="CS265">
            <v>0</v>
          </cell>
          <cell r="CX265">
            <v>0</v>
          </cell>
          <cell r="CY265">
            <v>0</v>
          </cell>
          <cell r="CZ265">
            <v>0</v>
          </cell>
          <cell r="DA265">
            <v>0</v>
          </cell>
          <cell r="DF265">
            <v>0</v>
          </cell>
          <cell r="DG265">
            <v>0</v>
          </cell>
          <cell r="DH265">
            <v>0</v>
          </cell>
          <cell r="DI265">
            <v>0</v>
          </cell>
          <cell r="DN265">
            <v>0</v>
          </cell>
          <cell r="DO265">
            <v>0</v>
          </cell>
          <cell r="DP265">
            <v>0</v>
          </cell>
          <cell r="DQ265">
            <v>0</v>
          </cell>
          <cell r="DV265">
            <v>0</v>
          </cell>
          <cell r="DW265">
            <v>0</v>
          </cell>
          <cell r="DX265">
            <v>0</v>
          </cell>
          <cell r="DY265">
            <v>0</v>
          </cell>
        </row>
        <row r="266">
          <cell r="F266">
            <v>0</v>
          </cell>
          <cell r="G266">
            <v>0</v>
          </cell>
          <cell r="H266">
            <v>0</v>
          </cell>
          <cell r="I266">
            <v>0</v>
          </cell>
          <cell r="O266">
            <v>0</v>
          </cell>
          <cell r="T266">
            <v>0</v>
          </cell>
          <cell r="U266">
            <v>0</v>
          </cell>
          <cell r="Z266">
            <v>0</v>
          </cell>
          <cell r="AA266">
            <v>0</v>
          </cell>
          <cell r="AF266">
            <v>0</v>
          </cell>
          <cell r="AG266">
            <v>0</v>
          </cell>
          <cell r="AL266">
            <v>0</v>
          </cell>
          <cell r="AM266">
            <v>0</v>
          </cell>
          <cell r="AR266">
            <v>0</v>
          </cell>
          <cell r="AS266">
            <v>0</v>
          </cell>
          <cell r="AX266">
            <v>0</v>
          </cell>
          <cell r="AY266">
            <v>0</v>
          </cell>
          <cell r="AZ266">
            <v>0</v>
          </cell>
          <cell r="BA266">
            <v>0</v>
          </cell>
          <cell r="BF266">
            <v>0</v>
          </cell>
          <cell r="BG266">
            <v>0</v>
          </cell>
          <cell r="BL266">
            <v>0</v>
          </cell>
          <cell r="BM266">
            <v>0</v>
          </cell>
          <cell r="BR266">
            <v>0</v>
          </cell>
          <cell r="BS266">
            <v>0</v>
          </cell>
          <cell r="BX266">
            <v>0</v>
          </cell>
          <cell r="BY266">
            <v>0</v>
          </cell>
          <cell r="CD266">
            <v>0</v>
          </cell>
          <cell r="CE266">
            <v>0</v>
          </cell>
          <cell r="CJ266">
            <v>0</v>
          </cell>
          <cell r="CK266">
            <v>0</v>
          </cell>
          <cell r="CP266">
            <v>0</v>
          </cell>
          <cell r="CQ266">
            <v>0</v>
          </cell>
          <cell r="CR266">
            <v>0</v>
          </cell>
          <cell r="CS266">
            <v>0</v>
          </cell>
          <cell r="CX266">
            <v>0</v>
          </cell>
          <cell r="CY266">
            <v>0</v>
          </cell>
          <cell r="CZ266">
            <v>0</v>
          </cell>
          <cell r="DA266">
            <v>0</v>
          </cell>
          <cell r="DF266">
            <v>0</v>
          </cell>
          <cell r="DG266">
            <v>0</v>
          </cell>
          <cell r="DH266">
            <v>0</v>
          </cell>
          <cell r="DI266">
            <v>0</v>
          </cell>
          <cell r="DN266">
            <v>0</v>
          </cell>
          <cell r="DO266">
            <v>0</v>
          </cell>
          <cell r="DP266">
            <v>0</v>
          </cell>
          <cell r="DQ266">
            <v>0</v>
          </cell>
          <cell r="DV266">
            <v>0</v>
          </cell>
          <cell r="DW266">
            <v>0</v>
          </cell>
          <cell r="DX266">
            <v>0</v>
          </cell>
          <cell r="DY266">
            <v>0</v>
          </cell>
        </row>
        <row r="267">
          <cell r="F267">
            <v>0</v>
          </cell>
          <cell r="G267">
            <v>0</v>
          </cell>
          <cell r="H267">
            <v>0</v>
          </cell>
          <cell r="I267">
            <v>0</v>
          </cell>
          <cell r="O267">
            <v>0</v>
          </cell>
          <cell r="T267">
            <v>0</v>
          </cell>
          <cell r="U267">
            <v>0</v>
          </cell>
          <cell r="Z267">
            <v>0</v>
          </cell>
          <cell r="AA267">
            <v>0</v>
          </cell>
          <cell r="AF267">
            <v>0</v>
          </cell>
          <cell r="AG267">
            <v>0</v>
          </cell>
          <cell r="AL267">
            <v>0</v>
          </cell>
          <cell r="AM267">
            <v>0</v>
          </cell>
          <cell r="AR267">
            <v>0</v>
          </cell>
          <cell r="AS267">
            <v>0</v>
          </cell>
          <cell r="AX267">
            <v>0</v>
          </cell>
          <cell r="AY267">
            <v>0</v>
          </cell>
          <cell r="AZ267">
            <v>0</v>
          </cell>
          <cell r="BA267">
            <v>0</v>
          </cell>
          <cell r="BF267">
            <v>0</v>
          </cell>
          <cell r="BG267">
            <v>0</v>
          </cell>
          <cell r="BL267">
            <v>0</v>
          </cell>
          <cell r="BM267">
            <v>0</v>
          </cell>
          <cell r="BR267">
            <v>0</v>
          </cell>
          <cell r="BS267">
            <v>0</v>
          </cell>
          <cell r="BX267">
            <v>0</v>
          </cell>
          <cell r="BY267">
            <v>0</v>
          </cell>
          <cell r="CD267">
            <v>0</v>
          </cell>
          <cell r="CE267">
            <v>0</v>
          </cell>
          <cell r="CJ267">
            <v>0</v>
          </cell>
          <cell r="CK267">
            <v>0</v>
          </cell>
          <cell r="CP267">
            <v>0</v>
          </cell>
          <cell r="CQ267">
            <v>0</v>
          </cell>
          <cell r="CR267">
            <v>0</v>
          </cell>
          <cell r="CS267">
            <v>0</v>
          </cell>
          <cell r="CX267">
            <v>0</v>
          </cell>
          <cell r="CY267">
            <v>0</v>
          </cell>
          <cell r="CZ267">
            <v>0</v>
          </cell>
          <cell r="DA267">
            <v>0</v>
          </cell>
          <cell r="DF267">
            <v>0</v>
          </cell>
          <cell r="DG267">
            <v>0</v>
          </cell>
          <cell r="DH267">
            <v>0</v>
          </cell>
          <cell r="DI267">
            <v>0</v>
          </cell>
          <cell r="DN267">
            <v>0</v>
          </cell>
          <cell r="DO267">
            <v>0</v>
          </cell>
          <cell r="DP267">
            <v>0</v>
          </cell>
          <cell r="DQ267">
            <v>0</v>
          </cell>
          <cell r="DV267">
            <v>0</v>
          </cell>
          <cell r="DW267">
            <v>0</v>
          </cell>
          <cell r="DX267">
            <v>0</v>
          </cell>
          <cell r="DY267">
            <v>0</v>
          </cell>
        </row>
        <row r="268">
          <cell r="F268">
            <v>0</v>
          </cell>
          <cell r="G268">
            <v>0</v>
          </cell>
          <cell r="H268">
            <v>0</v>
          </cell>
          <cell r="I268">
            <v>0</v>
          </cell>
          <cell r="O268">
            <v>0</v>
          </cell>
          <cell r="T268">
            <v>0</v>
          </cell>
          <cell r="U268">
            <v>0</v>
          </cell>
          <cell r="Z268">
            <v>0</v>
          </cell>
          <cell r="AA268">
            <v>0</v>
          </cell>
          <cell r="AF268">
            <v>0</v>
          </cell>
          <cell r="AG268">
            <v>0</v>
          </cell>
          <cell r="AL268">
            <v>0</v>
          </cell>
          <cell r="AM268">
            <v>0</v>
          </cell>
          <cell r="AR268">
            <v>0</v>
          </cell>
          <cell r="AS268">
            <v>0</v>
          </cell>
          <cell r="AX268">
            <v>0</v>
          </cell>
          <cell r="AY268">
            <v>0</v>
          </cell>
          <cell r="AZ268">
            <v>0</v>
          </cell>
          <cell r="BA268">
            <v>0</v>
          </cell>
          <cell r="BF268">
            <v>0</v>
          </cell>
          <cell r="BG268">
            <v>0</v>
          </cell>
          <cell r="BL268">
            <v>0</v>
          </cell>
          <cell r="BM268">
            <v>0</v>
          </cell>
          <cell r="BR268">
            <v>0</v>
          </cell>
          <cell r="BS268">
            <v>0</v>
          </cell>
          <cell r="BX268">
            <v>0</v>
          </cell>
          <cell r="BY268">
            <v>0</v>
          </cell>
          <cell r="CD268">
            <v>0</v>
          </cell>
          <cell r="CE268">
            <v>0</v>
          </cell>
          <cell r="CJ268">
            <v>0</v>
          </cell>
          <cell r="CK268">
            <v>0</v>
          </cell>
          <cell r="CP268">
            <v>0</v>
          </cell>
          <cell r="CQ268">
            <v>0</v>
          </cell>
          <cell r="CR268">
            <v>0</v>
          </cell>
          <cell r="CS268">
            <v>0</v>
          </cell>
          <cell r="CX268">
            <v>0</v>
          </cell>
          <cell r="CY268">
            <v>0</v>
          </cell>
          <cell r="CZ268">
            <v>0</v>
          </cell>
          <cell r="DA268">
            <v>0</v>
          </cell>
          <cell r="DF268">
            <v>0</v>
          </cell>
          <cell r="DG268">
            <v>0</v>
          </cell>
          <cell r="DH268">
            <v>0</v>
          </cell>
          <cell r="DI268">
            <v>0</v>
          </cell>
          <cell r="DN268">
            <v>0</v>
          </cell>
          <cell r="DO268">
            <v>0</v>
          </cell>
          <cell r="DP268">
            <v>0</v>
          </cell>
          <cell r="DQ268">
            <v>0</v>
          </cell>
          <cell r="DV268">
            <v>0</v>
          </cell>
          <cell r="DW268">
            <v>0</v>
          </cell>
          <cell r="DX268">
            <v>0</v>
          </cell>
          <cell r="DY268">
            <v>0</v>
          </cell>
        </row>
        <row r="269">
          <cell r="F269">
            <v>0</v>
          </cell>
          <cell r="G269">
            <v>0</v>
          </cell>
          <cell r="H269">
            <v>0</v>
          </cell>
          <cell r="I269">
            <v>0</v>
          </cell>
          <cell r="O269">
            <v>0</v>
          </cell>
          <cell r="T269">
            <v>0</v>
          </cell>
          <cell r="U269">
            <v>0</v>
          </cell>
          <cell r="Z269">
            <v>0</v>
          </cell>
          <cell r="AA269">
            <v>0</v>
          </cell>
          <cell r="AF269">
            <v>0</v>
          </cell>
          <cell r="AG269">
            <v>0</v>
          </cell>
          <cell r="AL269">
            <v>0</v>
          </cell>
          <cell r="AM269">
            <v>0</v>
          </cell>
          <cell r="AR269">
            <v>0</v>
          </cell>
          <cell r="AS269">
            <v>0</v>
          </cell>
          <cell r="AX269">
            <v>0</v>
          </cell>
          <cell r="AY269">
            <v>0</v>
          </cell>
          <cell r="AZ269">
            <v>0</v>
          </cell>
          <cell r="BA269">
            <v>0</v>
          </cell>
          <cell r="BF269">
            <v>0</v>
          </cell>
          <cell r="BG269">
            <v>0</v>
          </cell>
          <cell r="BL269">
            <v>0</v>
          </cell>
          <cell r="BM269">
            <v>0</v>
          </cell>
          <cell r="BR269">
            <v>0</v>
          </cell>
          <cell r="BS269">
            <v>0</v>
          </cell>
          <cell r="BX269">
            <v>0</v>
          </cell>
          <cell r="BY269">
            <v>0</v>
          </cell>
          <cell r="CD269">
            <v>0</v>
          </cell>
          <cell r="CE269">
            <v>0</v>
          </cell>
          <cell r="CJ269">
            <v>0</v>
          </cell>
          <cell r="CK269">
            <v>0</v>
          </cell>
          <cell r="CP269">
            <v>0</v>
          </cell>
          <cell r="CQ269">
            <v>0</v>
          </cell>
          <cell r="CR269">
            <v>0</v>
          </cell>
          <cell r="CS269">
            <v>0</v>
          </cell>
          <cell r="CX269">
            <v>0</v>
          </cell>
          <cell r="CY269">
            <v>0</v>
          </cell>
          <cell r="CZ269">
            <v>0</v>
          </cell>
          <cell r="DA269">
            <v>0</v>
          </cell>
          <cell r="DF269">
            <v>0</v>
          </cell>
          <cell r="DG269">
            <v>0</v>
          </cell>
          <cell r="DH269">
            <v>0</v>
          </cell>
          <cell r="DI269">
            <v>0</v>
          </cell>
          <cell r="DN269">
            <v>0</v>
          </cell>
          <cell r="DO269">
            <v>0</v>
          </cell>
          <cell r="DP269">
            <v>0</v>
          </cell>
          <cell r="DQ269">
            <v>0</v>
          </cell>
          <cell r="DV269">
            <v>0</v>
          </cell>
          <cell r="DW269">
            <v>0</v>
          </cell>
          <cell r="DX269">
            <v>0</v>
          </cell>
          <cell r="DY269">
            <v>0</v>
          </cell>
        </row>
        <row r="270">
          <cell r="F270">
            <v>0</v>
          </cell>
          <cell r="G270">
            <v>0</v>
          </cell>
          <cell r="H270">
            <v>0</v>
          </cell>
          <cell r="I270">
            <v>0</v>
          </cell>
          <cell r="N270">
            <v>0</v>
          </cell>
          <cell r="O270">
            <v>0</v>
          </cell>
          <cell r="P270">
            <v>0</v>
          </cell>
          <cell r="T270">
            <v>0</v>
          </cell>
          <cell r="U270">
            <v>0</v>
          </cell>
          <cell r="V270">
            <v>0</v>
          </cell>
          <cell r="Z270">
            <v>0</v>
          </cell>
          <cell r="AA270">
            <v>0</v>
          </cell>
          <cell r="AB270">
            <v>0</v>
          </cell>
          <cell r="AF270">
            <v>0</v>
          </cell>
          <cell r="AG270">
            <v>0</v>
          </cell>
          <cell r="AH270">
            <v>0</v>
          </cell>
          <cell r="AL270">
            <v>0</v>
          </cell>
          <cell r="AM270">
            <v>0</v>
          </cell>
          <cell r="AN270">
            <v>0</v>
          </cell>
          <cell r="AR270">
            <v>0</v>
          </cell>
          <cell r="AS270">
            <v>0</v>
          </cell>
          <cell r="AT270">
            <v>0</v>
          </cell>
          <cell r="AX270">
            <v>0</v>
          </cell>
          <cell r="AY270">
            <v>0</v>
          </cell>
          <cell r="AZ270">
            <v>0</v>
          </cell>
          <cell r="BA270">
            <v>0</v>
          </cell>
          <cell r="BF270">
            <v>0</v>
          </cell>
          <cell r="BG270">
            <v>0</v>
          </cell>
          <cell r="BH270">
            <v>0</v>
          </cell>
          <cell r="BL270">
            <v>0</v>
          </cell>
          <cell r="BM270">
            <v>0</v>
          </cell>
          <cell r="BN270">
            <v>0</v>
          </cell>
          <cell r="BR270">
            <v>0</v>
          </cell>
          <cell r="BS270">
            <v>0</v>
          </cell>
          <cell r="BT270">
            <v>0</v>
          </cell>
          <cell r="BX270">
            <v>0</v>
          </cell>
          <cell r="BY270">
            <v>0</v>
          </cell>
          <cell r="BZ270">
            <v>0</v>
          </cell>
          <cell r="CD270">
            <v>0</v>
          </cell>
          <cell r="CE270">
            <v>0</v>
          </cell>
          <cell r="CF270">
            <v>0</v>
          </cell>
          <cell r="CJ270">
            <v>0</v>
          </cell>
          <cell r="CK270">
            <v>0</v>
          </cell>
          <cell r="CL270">
            <v>0</v>
          </cell>
          <cell r="CP270">
            <v>0</v>
          </cell>
          <cell r="CQ270">
            <v>0</v>
          </cell>
          <cell r="CR270">
            <v>0</v>
          </cell>
          <cell r="CS270">
            <v>0</v>
          </cell>
          <cell r="CX270">
            <v>0</v>
          </cell>
          <cell r="CY270">
            <v>0</v>
          </cell>
          <cell r="CZ270">
            <v>0</v>
          </cell>
          <cell r="DA270">
            <v>0</v>
          </cell>
          <cell r="DF270">
            <v>0</v>
          </cell>
          <cell r="DG270">
            <v>0</v>
          </cell>
          <cell r="DH270">
            <v>0</v>
          </cell>
          <cell r="DI270">
            <v>0</v>
          </cell>
          <cell r="DN270">
            <v>0</v>
          </cell>
          <cell r="DO270">
            <v>0</v>
          </cell>
          <cell r="DP270">
            <v>0</v>
          </cell>
          <cell r="DQ270">
            <v>0</v>
          </cell>
          <cell r="DV270">
            <v>0</v>
          </cell>
          <cell r="DW270">
            <v>0</v>
          </cell>
          <cell r="DX270">
            <v>0</v>
          </cell>
          <cell r="DY270">
            <v>0</v>
          </cell>
        </row>
        <row r="271">
          <cell r="F271">
            <v>2110</v>
          </cell>
          <cell r="G271">
            <v>338.91399999999999</v>
          </cell>
          <cell r="H271">
            <v>0.13299999999999956</v>
          </cell>
          <cell r="I271">
            <v>3.9242993797836495E-2</v>
          </cell>
          <cell r="N271">
            <v>140</v>
          </cell>
          <cell r="O271">
            <v>22.815999999999999</v>
          </cell>
          <cell r="P271">
            <v>4.6159999999999997</v>
          </cell>
          <cell r="T271">
            <v>140</v>
          </cell>
          <cell r="U271">
            <v>22.815999999999999</v>
          </cell>
          <cell r="V271">
            <v>3.3279999999999998</v>
          </cell>
          <cell r="Z271">
            <v>140</v>
          </cell>
          <cell r="AA271">
            <v>22.815999999999999</v>
          </cell>
          <cell r="AB271">
            <v>-0.46200000000000002</v>
          </cell>
          <cell r="AF271">
            <v>140</v>
          </cell>
          <cell r="AG271">
            <v>22.815999999999999</v>
          </cell>
          <cell r="AH271">
            <v>-2.1280000000000001</v>
          </cell>
          <cell r="AL271">
            <v>100</v>
          </cell>
          <cell r="AM271">
            <v>16.297000000000001</v>
          </cell>
          <cell r="AN271">
            <v>-1.133</v>
          </cell>
          <cell r="AR271">
            <v>170</v>
          </cell>
          <cell r="AS271">
            <v>27.704999999999998</v>
          </cell>
          <cell r="AT271">
            <v>-1.3</v>
          </cell>
          <cell r="AX271">
            <v>830</v>
          </cell>
          <cell r="AY271">
            <v>135.26599999999999</v>
          </cell>
          <cell r="AZ271">
            <v>2.9209999999999998</v>
          </cell>
          <cell r="BA271">
            <v>2.1594487897919654</v>
          </cell>
          <cell r="BF271">
            <v>150</v>
          </cell>
          <cell r="BG271">
            <v>23.864999999999998</v>
          </cell>
          <cell r="BH271">
            <v>-1.0389999999999999</v>
          </cell>
          <cell r="BL271">
            <v>210</v>
          </cell>
          <cell r="BM271">
            <v>33.411000000000001</v>
          </cell>
          <cell r="BN271">
            <v>-1.359</v>
          </cell>
          <cell r="BR271">
            <v>210</v>
          </cell>
          <cell r="BS271">
            <v>33.411000000000001</v>
          </cell>
          <cell r="BT271">
            <v>-0.52</v>
          </cell>
          <cell r="BX271">
            <v>240</v>
          </cell>
          <cell r="BY271">
            <v>38.183999999999997</v>
          </cell>
          <cell r="BZ271">
            <v>-0.23300000000000001</v>
          </cell>
          <cell r="CD271">
            <v>240</v>
          </cell>
          <cell r="CE271">
            <v>38.183999999999997</v>
          </cell>
          <cell r="CF271">
            <v>1.9E-2</v>
          </cell>
          <cell r="CJ271">
            <v>230</v>
          </cell>
          <cell r="CK271">
            <v>36.593000000000004</v>
          </cell>
          <cell r="CL271">
            <v>0.34399999999999997</v>
          </cell>
          <cell r="CP271">
            <v>1280</v>
          </cell>
          <cell r="CQ271">
            <v>203.64800000000002</v>
          </cell>
          <cell r="CR271">
            <v>-2.7880000000000003</v>
          </cell>
          <cell r="CS271">
            <v>-1.3690289126335637</v>
          </cell>
          <cell r="CX271">
            <v>420</v>
          </cell>
          <cell r="CY271">
            <v>68.447999999999993</v>
          </cell>
          <cell r="CZ271">
            <v>7.4819999999999993</v>
          </cell>
          <cell r="DA271">
            <v>10.930925666199158</v>
          </cell>
          <cell r="DF271">
            <v>410</v>
          </cell>
          <cell r="DG271">
            <v>66.817999999999998</v>
          </cell>
          <cell r="DH271">
            <v>-4.5609999999999999</v>
          </cell>
          <cell r="DI271">
            <v>-6.8260049687210032</v>
          </cell>
          <cell r="DN271">
            <v>570</v>
          </cell>
          <cell r="DO271">
            <v>90.686999999999998</v>
          </cell>
          <cell r="DP271">
            <v>-2.9179999999999997</v>
          </cell>
          <cell r="DQ271">
            <v>-3.2176607452005248</v>
          </cell>
          <cell r="DV271">
            <v>710</v>
          </cell>
          <cell r="DW271">
            <v>112.961</v>
          </cell>
          <cell r="DX271">
            <v>0.12999999999999995</v>
          </cell>
          <cell r="DY271">
            <v>0.11508396703286972</v>
          </cell>
        </row>
        <row r="272">
          <cell r="F272">
            <v>1587</v>
          </cell>
          <cell r="G272">
            <v>281.851</v>
          </cell>
          <cell r="H272">
            <v>83.205999999999989</v>
          </cell>
          <cell r="I272">
            <v>29.52127187769424</v>
          </cell>
          <cell r="N272">
            <v>0</v>
          </cell>
          <cell r="O272">
            <v>0</v>
          </cell>
          <cell r="P272">
            <v>0</v>
          </cell>
          <cell r="T272">
            <v>0</v>
          </cell>
          <cell r="U272">
            <v>0</v>
          </cell>
          <cell r="V272">
            <v>0</v>
          </cell>
          <cell r="Z272">
            <v>0</v>
          </cell>
          <cell r="AA272">
            <v>0</v>
          </cell>
          <cell r="AB272">
            <v>0</v>
          </cell>
          <cell r="AF272">
            <v>0</v>
          </cell>
          <cell r="AG272">
            <v>0</v>
          </cell>
          <cell r="AH272">
            <v>0</v>
          </cell>
          <cell r="AL272">
            <v>0</v>
          </cell>
          <cell r="AM272">
            <v>0</v>
          </cell>
          <cell r="AN272">
            <v>0</v>
          </cell>
          <cell r="AR272">
            <v>0</v>
          </cell>
          <cell r="AS272">
            <v>0</v>
          </cell>
          <cell r="AT272">
            <v>0</v>
          </cell>
          <cell r="AX272">
            <v>0</v>
          </cell>
          <cell r="AY272">
            <v>0</v>
          </cell>
          <cell r="AZ272">
            <v>0</v>
          </cell>
          <cell r="BA272">
            <v>0</v>
          </cell>
          <cell r="BF272">
            <v>100</v>
          </cell>
          <cell r="BG272">
            <v>17.760000000000002</v>
          </cell>
          <cell r="BH272">
            <v>5.0030000000000001</v>
          </cell>
          <cell r="BL272">
            <v>280</v>
          </cell>
          <cell r="BM272">
            <v>49.728000000000002</v>
          </cell>
          <cell r="BN272">
            <v>13.428000000000001</v>
          </cell>
          <cell r="BR272">
            <v>230</v>
          </cell>
          <cell r="BS272">
            <v>40.847999999999999</v>
          </cell>
          <cell r="BT272">
            <v>11.926</v>
          </cell>
          <cell r="BX272">
            <v>320</v>
          </cell>
          <cell r="BY272">
            <v>56.832000000000001</v>
          </cell>
          <cell r="BZ272">
            <v>16.972000000000001</v>
          </cell>
          <cell r="CD272">
            <v>300</v>
          </cell>
          <cell r="CE272">
            <v>53.28</v>
          </cell>
          <cell r="CF272">
            <v>16.164999999999999</v>
          </cell>
          <cell r="CJ272">
            <v>357</v>
          </cell>
          <cell r="CK272">
            <v>63.402999999999999</v>
          </cell>
          <cell r="CL272">
            <v>19.712</v>
          </cell>
          <cell r="CP272">
            <v>1587</v>
          </cell>
          <cell r="CQ272">
            <v>281.851</v>
          </cell>
          <cell r="CR272">
            <v>83.205999999999989</v>
          </cell>
          <cell r="CS272">
            <v>29.52127187769424</v>
          </cell>
          <cell r="CX272">
            <v>0</v>
          </cell>
          <cell r="CY272">
            <v>0</v>
          </cell>
          <cell r="CZ272">
            <v>0</v>
          </cell>
          <cell r="DA272">
            <v>0</v>
          </cell>
          <cell r="DF272">
            <v>0</v>
          </cell>
          <cell r="DG272">
            <v>0</v>
          </cell>
          <cell r="DH272">
            <v>0</v>
          </cell>
          <cell r="DI272">
            <v>0</v>
          </cell>
          <cell r="DN272">
            <v>610</v>
          </cell>
          <cell r="DO272">
            <v>108.336</v>
          </cell>
          <cell r="DP272">
            <v>30.356999999999999</v>
          </cell>
          <cell r="DQ272">
            <v>28.021156402303944</v>
          </cell>
          <cell r="DV272">
            <v>977</v>
          </cell>
          <cell r="DW272">
            <v>173.51499999999999</v>
          </cell>
          <cell r="DX272">
            <v>52.849000000000004</v>
          </cell>
          <cell r="DY272">
            <v>30.457885485404724</v>
          </cell>
        </row>
        <row r="273">
          <cell r="F273">
            <v>3697</v>
          </cell>
          <cell r="G273">
            <v>620.76499999999999</v>
          </cell>
          <cell r="H273">
            <v>83.338999999999984</v>
          </cell>
          <cell r="I273">
            <v>13.425209217658853</v>
          </cell>
          <cell r="N273">
            <v>140</v>
          </cell>
          <cell r="O273">
            <v>22.815999999999999</v>
          </cell>
          <cell r="P273">
            <v>4.6159999999999997</v>
          </cell>
          <cell r="T273">
            <v>140</v>
          </cell>
          <cell r="U273">
            <v>22.815999999999999</v>
          </cell>
          <cell r="V273">
            <v>3.3279999999999998</v>
          </cell>
          <cell r="Z273">
            <v>140</v>
          </cell>
          <cell r="AA273">
            <v>22.815999999999999</v>
          </cell>
          <cell r="AB273">
            <v>-0.46200000000000002</v>
          </cell>
          <cell r="AF273">
            <v>140</v>
          </cell>
          <cell r="AG273">
            <v>22.815999999999999</v>
          </cell>
          <cell r="AH273">
            <v>-2.1280000000000001</v>
          </cell>
          <cell r="AL273">
            <v>100</v>
          </cell>
          <cell r="AM273">
            <v>16.297000000000001</v>
          </cell>
          <cell r="AN273">
            <v>-1.133</v>
          </cell>
          <cell r="AR273">
            <v>170</v>
          </cell>
          <cell r="AS273">
            <v>27.704999999999998</v>
          </cell>
          <cell r="AT273">
            <v>-1.3</v>
          </cell>
          <cell r="AX273">
            <v>830</v>
          </cell>
          <cell r="AY273">
            <v>135.26599999999999</v>
          </cell>
          <cell r="AZ273">
            <v>2.9209999999999998</v>
          </cell>
          <cell r="BA273">
            <v>2.1594487897919654</v>
          </cell>
          <cell r="BF273">
            <v>250</v>
          </cell>
          <cell r="BG273">
            <v>41.625</v>
          </cell>
          <cell r="BH273">
            <v>3.9640000000000004</v>
          </cell>
          <cell r="BL273">
            <v>490</v>
          </cell>
          <cell r="BM273">
            <v>83.13900000000001</v>
          </cell>
          <cell r="BN273">
            <v>12.069000000000001</v>
          </cell>
          <cell r="BR273">
            <v>440</v>
          </cell>
          <cell r="BS273">
            <v>74.259</v>
          </cell>
          <cell r="BT273">
            <v>11.406000000000001</v>
          </cell>
          <cell r="BX273">
            <v>560</v>
          </cell>
          <cell r="BY273">
            <v>95.015999999999991</v>
          </cell>
          <cell r="BZ273">
            <v>16.739000000000001</v>
          </cell>
          <cell r="CD273">
            <v>540</v>
          </cell>
          <cell r="CE273">
            <v>91.463999999999999</v>
          </cell>
          <cell r="CF273">
            <v>16.183999999999997</v>
          </cell>
          <cell r="CJ273">
            <v>587</v>
          </cell>
          <cell r="CK273">
            <v>99.996000000000009</v>
          </cell>
          <cell r="CL273">
            <v>20.056000000000001</v>
          </cell>
          <cell r="CP273">
            <v>2867</v>
          </cell>
          <cell r="CQ273">
            <v>485.49900000000002</v>
          </cell>
          <cell r="CR273">
            <v>80.417999999999992</v>
          </cell>
          <cell r="CS273">
            <v>16.563988803272505</v>
          </cell>
          <cell r="CX273">
            <v>420</v>
          </cell>
          <cell r="CY273">
            <v>68.447999999999993</v>
          </cell>
          <cell r="CZ273">
            <v>7.4819999999999993</v>
          </cell>
          <cell r="DA273">
            <v>10.930925666199158</v>
          </cell>
          <cell r="DF273">
            <v>410</v>
          </cell>
          <cell r="DG273">
            <v>66.817999999999998</v>
          </cell>
          <cell r="DH273">
            <v>-4.5609999999999999</v>
          </cell>
          <cell r="DI273">
            <v>-6.8260049687210032</v>
          </cell>
          <cell r="DN273">
            <v>1180</v>
          </cell>
          <cell r="DO273">
            <v>199.023</v>
          </cell>
          <cell r="DP273">
            <v>27.439</v>
          </cell>
          <cell r="DQ273">
            <v>13.786848756173912</v>
          </cell>
          <cell r="DV273">
            <v>1687</v>
          </cell>
          <cell r="DW273">
            <v>286.476</v>
          </cell>
          <cell r="DX273">
            <v>52.979000000000006</v>
          </cell>
          <cell r="DY273">
            <v>18.49334673759757</v>
          </cell>
        </row>
        <row r="274">
          <cell r="F274">
            <v>0</v>
          </cell>
          <cell r="G274">
            <v>0</v>
          </cell>
          <cell r="H274">
            <v>0</v>
          </cell>
          <cell r="I274">
            <v>0</v>
          </cell>
          <cell r="AX274">
            <v>0</v>
          </cell>
          <cell r="AY274">
            <v>0</v>
          </cell>
          <cell r="AZ274">
            <v>0</v>
          </cell>
          <cell r="BA274">
            <v>0</v>
          </cell>
          <cell r="CP274">
            <v>0</v>
          </cell>
          <cell r="CQ274">
            <v>0</v>
          </cell>
          <cell r="CR274">
            <v>0</v>
          </cell>
          <cell r="CS274">
            <v>0</v>
          </cell>
          <cell r="CX274">
            <v>0</v>
          </cell>
          <cell r="CY274">
            <v>0</v>
          </cell>
          <cell r="CZ274">
            <v>0</v>
          </cell>
          <cell r="DA274">
            <v>0</v>
          </cell>
          <cell r="DF274">
            <v>0</v>
          </cell>
          <cell r="DG274">
            <v>0</v>
          </cell>
          <cell r="DH274">
            <v>0</v>
          </cell>
          <cell r="DI274">
            <v>0</v>
          </cell>
          <cell r="DN274">
            <v>0</v>
          </cell>
          <cell r="DO274">
            <v>0</v>
          </cell>
          <cell r="DP274">
            <v>0</v>
          </cell>
          <cell r="DQ274">
            <v>0</v>
          </cell>
          <cell r="DV274">
            <v>0</v>
          </cell>
          <cell r="DW274">
            <v>0</v>
          </cell>
          <cell r="DX274">
            <v>0</v>
          </cell>
          <cell r="DY274">
            <v>0</v>
          </cell>
        </row>
        <row r="275">
          <cell r="F275">
            <v>0</v>
          </cell>
          <cell r="G275">
            <v>0</v>
          </cell>
          <cell r="H275">
            <v>0</v>
          </cell>
          <cell r="I275">
            <v>0</v>
          </cell>
          <cell r="AX275">
            <v>0</v>
          </cell>
          <cell r="AY275">
            <v>0</v>
          </cell>
          <cell r="AZ275">
            <v>0</v>
          </cell>
          <cell r="BA275">
            <v>0</v>
          </cell>
          <cell r="CP275">
            <v>0</v>
          </cell>
          <cell r="CQ275">
            <v>0</v>
          </cell>
          <cell r="CR275">
            <v>0</v>
          </cell>
          <cell r="CS275">
            <v>0</v>
          </cell>
          <cell r="CX275">
            <v>0</v>
          </cell>
          <cell r="CY275">
            <v>0</v>
          </cell>
          <cell r="CZ275">
            <v>0</v>
          </cell>
          <cell r="DA275">
            <v>0</v>
          </cell>
          <cell r="DF275">
            <v>0</v>
          </cell>
          <cell r="DG275">
            <v>0</v>
          </cell>
          <cell r="DH275">
            <v>0</v>
          </cell>
          <cell r="DI275">
            <v>0</v>
          </cell>
          <cell r="DN275">
            <v>0</v>
          </cell>
          <cell r="DO275">
            <v>0</v>
          </cell>
          <cell r="DP275">
            <v>0</v>
          </cell>
          <cell r="DQ275">
            <v>0</v>
          </cell>
          <cell r="DV275">
            <v>0</v>
          </cell>
          <cell r="DW275">
            <v>0</v>
          </cell>
          <cell r="DX275">
            <v>0</v>
          </cell>
          <cell r="DY275">
            <v>0</v>
          </cell>
        </row>
        <row r="276">
          <cell r="F276">
            <v>0</v>
          </cell>
          <cell r="G276">
            <v>0</v>
          </cell>
          <cell r="H276">
            <v>0</v>
          </cell>
          <cell r="I276">
            <v>0</v>
          </cell>
          <cell r="AX276">
            <v>0</v>
          </cell>
          <cell r="AY276">
            <v>0</v>
          </cell>
          <cell r="AZ276">
            <v>0</v>
          </cell>
          <cell r="BA276">
            <v>0</v>
          </cell>
          <cell r="CP276">
            <v>0</v>
          </cell>
          <cell r="CQ276">
            <v>0</v>
          </cell>
          <cell r="CR276">
            <v>0</v>
          </cell>
          <cell r="CS276">
            <v>0</v>
          </cell>
          <cell r="CX276">
            <v>0</v>
          </cell>
          <cell r="CY276">
            <v>0</v>
          </cell>
          <cell r="CZ276">
            <v>0</v>
          </cell>
          <cell r="DA276">
            <v>0</v>
          </cell>
          <cell r="DF276">
            <v>0</v>
          </cell>
          <cell r="DG276">
            <v>0</v>
          </cell>
          <cell r="DH276">
            <v>0</v>
          </cell>
          <cell r="DI276">
            <v>0</v>
          </cell>
          <cell r="DN276">
            <v>0</v>
          </cell>
          <cell r="DO276">
            <v>0</v>
          </cell>
          <cell r="DP276">
            <v>0</v>
          </cell>
          <cell r="DQ276">
            <v>0</v>
          </cell>
          <cell r="DV276">
            <v>0</v>
          </cell>
          <cell r="DW276">
            <v>0</v>
          </cell>
          <cell r="DX276">
            <v>0</v>
          </cell>
          <cell r="DY276">
            <v>0</v>
          </cell>
        </row>
        <row r="277">
          <cell r="F277">
            <v>0</v>
          </cell>
          <cell r="G277">
            <v>0</v>
          </cell>
          <cell r="H277">
            <v>0</v>
          </cell>
          <cell r="I277">
            <v>0</v>
          </cell>
          <cell r="AX277">
            <v>0</v>
          </cell>
          <cell r="AY277">
            <v>0</v>
          </cell>
          <cell r="AZ277">
            <v>0</v>
          </cell>
          <cell r="BA277">
            <v>0</v>
          </cell>
          <cell r="CP277">
            <v>0</v>
          </cell>
          <cell r="CQ277">
            <v>0</v>
          </cell>
          <cell r="CR277">
            <v>0</v>
          </cell>
          <cell r="CS277">
            <v>0</v>
          </cell>
          <cell r="CX277">
            <v>0</v>
          </cell>
          <cell r="CY277">
            <v>0</v>
          </cell>
          <cell r="CZ277">
            <v>0</v>
          </cell>
          <cell r="DA277">
            <v>0</v>
          </cell>
          <cell r="DF277">
            <v>0</v>
          </cell>
          <cell r="DG277">
            <v>0</v>
          </cell>
          <cell r="DH277">
            <v>0</v>
          </cell>
          <cell r="DI277">
            <v>0</v>
          </cell>
          <cell r="DN277">
            <v>0</v>
          </cell>
          <cell r="DO277">
            <v>0</v>
          </cell>
          <cell r="DP277">
            <v>0</v>
          </cell>
          <cell r="DQ277">
            <v>0</v>
          </cell>
          <cell r="DV277">
            <v>0</v>
          </cell>
          <cell r="DW277">
            <v>0</v>
          </cell>
          <cell r="DX277">
            <v>0</v>
          </cell>
          <cell r="DY277">
            <v>0</v>
          </cell>
        </row>
        <row r="278">
          <cell r="F278">
            <v>0</v>
          </cell>
          <cell r="G278">
            <v>0</v>
          </cell>
          <cell r="H278">
            <v>0</v>
          </cell>
          <cell r="I278">
            <v>0</v>
          </cell>
          <cell r="N278">
            <v>0</v>
          </cell>
          <cell r="O278">
            <v>0</v>
          </cell>
          <cell r="P278">
            <v>0</v>
          </cell>
          <cell r="T278">
            <v>0</v>
          </cell>
          <cell r="U278">
            <v>0</v>
          </cell>
          <cell r="V278">
            <v>0</v>
          </cell>
          <cell r="Z278">
            <v>0</v>
          </cell>
          <cell r="AA278">
            <v>0</v>
          </cell>
          <cell r="AB278">
            <v>0</v>
          </cell>
          <cell r="AF278">
            <v>0</v>
          </cell>
          <cell r="AG278">
            <v>0</v>
          </cell>
          <cell r="AH278">
            <v>0</v>
          </cell>
          <cell r="AL278">
            <v>0</v>
          </cell>
          <cell r="AM278">
            <v>0</v>
          </cell>
          <cell r="AN278">
            <v>0</v>
          </cell>
          <cell r="AR278">
            <v>0</v>
          </cell>
          <cell r="AS278">
            <v>0</v>
          </cell>
          <cell r="AT278">
            <v>0</v>
          </cell>
          <cell r="AX278">
            <v>0</v>
          </cell>
          <cell r="AY278">
            <v>0</v>
          </cell>
          <cell r="AZ278">
            <v>0</v>
          </cell>
          <cell r="BA278">
            <v>0</v>
          </cell>
          <cell r="BF278">
            <v>0</v>
          </cell>
          <cell r="BG278">
            <v>0</v>
          </cell>
          <cell r="BH278">
            <v>0</v>
          </cell>
          <cell r="BL278">
            <v>0</v>
          </cell>
          <cell r="BM278">
            <v>0</v>
          </cell>
          <cell r="BN278">
            <v>0</v>
          </cell>
          <cell r="BR278">
            <v>0</v>
          </cell>
          <cell r="BS278">
            <v>0</v>
          </cell>
          <cell r="BT278">
            <v>0</v>
          </cell>
          <cell r="BX278">
            <v>0</v>
          </cell>
          <cell r="BY278">
            <v>0</v>
          </cell>
          <cell r="BZ278">
            <v>0</v>
          </cell>
          <cell r="CD278">
            <v>0</v>
          </cell>
          <cell r="CE278">
            <v>0</v>
          </cell>
          <cell r="CF278">
            <v>0</v>
          </cell>
          <cell r="CJ278">
            <v>0</v>
          </cell>
          <cell r="CK278">
            <v>0</v>
          </cell>
          <cell r="CL278">
            <v>0</v>
          </cell>
          <cell r="CP278">
            <v>0</v>
          </cell>
          <cell r="CQ278">
            <v>0</v>
          </cell>
          <cell r="CR278">
            <v>0</v>
          </cell>
          <cell r="CS278">
            <v>0</v>
          </cell>
          <cell r="CX278">
            <v>0</v>
          </cell>
          <cell r="CY278">
            <v>0</v>
          </cell>
          <cell r="CZ278">
            <v>0</v>
          </cell>
          <cell r="DA278">
            <v>0</v>
          </cell>
          <cell r="DF278">
            <v>0</v>
          </cell>
          <cell r="DG278">
            <v>0</v>
          </cell>
          <cell r="DH278">
            <v>0</v>
          </cell>
          <cell r="DI278">
            <v>0</v>
          </cell>
          <cell r="DN278">
            <v>0</v>
          </cell>
          <cell r="DO278">
            <v>0</v>
          </cell>
          <cell r="DP278">
            <v>0</v>
          </cell>
          <cell r="DQ278">
            <v>0</v>
          </cell>
          <cell r="DV278">
            <v>0</v>
          </cell>
          <cell r="DW278">
            <v>0</v>
          </cell>
          <cell r="DX278">
            <v>0</v>
          </cell>
          <cell r="DY278">
            <v>0</v>
          </cell>
        </row>
        <row r="279">
          <cell r="F279">
            <v>930</v>
          </cell>
          <cell r="G279">
            <v>194.45999999999998</v>
          </cell>
          <cell r="H279">
            <v>-59.905000000000001</v>
          </cell>
          <cell r="I279">
            <v>-30.805821248585829</v>
          </cell>
          <cell r="N279">
            <v>50</v>
          </cell>
          <cell r="O279">
            <v>10.612</v>
          </cell>
          <cell r="P279">
            <v>-12.997</v>
          </cell>
          <cell r="T279">
            <v>50</v>
          </cell>
          <cell r="U279">
            <v>10.612</v>
          </cell>
          <cell r="V279">
            <v>-12.997</v>
          </cell>
          <cell r="Z279">
            <v>50</v>
          </cell>
          <cell r="AA279">
            <v>10.612</v>
          </cell>
          <cell r="AB279">
            <v>-9.234</v>
          </cell>
          <cell r="AF279">
            <v>50</v>
          </cell>
          <cell r="AG279">
            <v>10.612</v>
          </cell>
          <cell r="AH279">
            <v>-6.6449999999999996</v>
          </cell>
          <cell r="AL279">
            <v>70</v>
          </cell>
          <cell r="AM279">
            <v>14.856999999999999</v>
          </cell>
          <cell r="AN279">
            <v>-6.1050000000000004</v>
          </cell>
          <cell r="AR279">
            <v>80</v>
          </cell>
          <cell r="AS279">
            <v>16.978999999999999</v>
          </cell>
          <cell r="AT279">
            <v>-4.5339999999999998</v>
          </cell>
          <cell r="AX279">
            <v>350</v>
          </cell>
          <cell r="AY279">
            <v>74.284000000000006</v>
          </cell>
          <cell r="AZ279">
            <v>-52.512</v>
          </cell>
          <cell r="BA279">
            <v>-70.690862096817611</v>
          </cell>
          <cell r="BF279">
            <v>90</v>
          </cell>
          <cell r="BG279">
            <v>18.648</v>
          </cell>
          <cell r="BH279">
            <v>-2.83</v>
          </cell>
          <cell r="BL279">
            <v>90</v>
          </cell>
          <cell r="BM279">
            <v>18.648</v>
          </cell>
          <cell r="BN279">
            <v>-1.8320000000000001</v>
          </cell>
          <cell r="BR279">
            <v>100</v>
          </cell>
          <cell r="BS279">
            <v>20.72</v>
          </cell>
          <cell r="BT279">
            <v>-1.411</v>
          </cell>
          <cell r="BX279">
            <v>90</v>
          </cell>
          <cell r="BY279">
            <v>18.648</v>
          </cell>
          <cell r="BZ279">
            <v>-0.45800000000000002</v>
          </cell>
          <cell r="CD279">
            <v>100</v>
          </cell>
          <cell r="CE279">
            <v>20.72</v>
          </cell>
          <cell r="CF279">
            <v>-0.63</v>
          </cell>
          <cell r="CJ279">
            <v>110</v>
          </cell>
          <cell r="CK279">
            <v>22.792000000000002</v>
          </cell>
          <cell r="CL279">
            <v>-0.23200000000000001</v>
          </cell>
          <cell r="CP279">
            <v>580</v>
          </cell>
          <cell r="CQ279">
            <v>120.17599999999999</v>
          </cell>
          <cell r="CR279">
            <v>-7.3929999999999998</v>
          </cell>
          <cell r="CS279">
            <v>-6.1518106776727466</v>
          </cell>
          <cell r="CX279">
            <v>150</v>
          </cell>
          <cell r="CY279">
            <v>31.835999999999999</v>
          </cell>
          <cell r="CZ279">
            <v>-35.228000000000002</v>
          </cell>
          <cell r="DA279">
            <v>-110.65460484985552</v>
          </cell>
          <cell r="DF279">
            <v>200</v>
          </cell>
          <cell r="DG279">
            <v>42.448</v>
          </cell>
          <cell r="DH279">
            <v>-17.283999999999999</v>
          </cell>
          <cell r="DI279">
            <v>-40.718055032039196</v>
          </cell>
          <cell r="DN279">
            <v>280</v>
          </cell>
          <cell r="DO279">
            <v>58.015999999999998</v>
          </cell>
          <cell r="DP279">
            <v>-6.0730000000000004</v>
          </cell>
          <cell r="DQ279">
            <v>-10.467801985659129</v>
          </cell>
          <cell r="DV279">
            <v>300</v>
          </cell>
          <cell r="DW279">
            <v>62.16</v>
          </cell>
          <cell r="DX279">
            <v>-1.32</v>
          </cell>
          <cell r="DY279">
            <v>-2.1235521235521237</v>
          </cell>
        </row>
        <row r="280">
          <cell r="F280">
            <v>0</v>
          </cell>
          <cell r="G280">
            <v>0</v>
          </cell>
          <cell r="H280">
            <v>0</v>
          </cell>
          <cell r="I280">
            <v>0</v>
          </cell>
          <cell r="O280">
            <v>0</v>
          </cell>
          <cell r="T280">
            <v>0</v>
          </cell>
          <cell r="U280">
            <v>0</v>
          </cell>
          <cell r="Z280">
            <v>0</v>
          </cell>
          <cell r="AA280">
            <v>0</v>
          </cell>
          <cell r="AF280">
            <v>0</v>
          </cell>
          <cell r="AG280">
            <v>0</v>
          </cell>
          <cell r="AL280">
            <v>0</v>
          </cell>
          <cell r="AM280">
            <v>0</v>
          </cell>
          <cell r="AR280">
            <v>0</v>
          </cell>
          <cell r="AS280">
            <v>0</v>
          </cell>
          <cell r="AX280">
            <v>0</v>
          </cell>
          <cell r="AY280">
            <v>0</v>
          </cell>
          <cell r="AZ280">
            <v>0</v>
          </cell>
          <cell r="BA280">
            <v>0</v>
          </cell>
          <cell r="BF280">
            <v>0</v>
          </cell>
          <cell r="BG280">
            <v>0</v>
          </cell>
          <cell r="BL280">
            <v>0</v>
          </cell>
          <cell r="BM280">
            <v>0</v>
          </cell>
          <cell r="BR280">
            <v>0</v>
          </cell>
          <cell r="BS280">
            <v>0</v>
          </cell>
          <cell r="BX280">
            <v>0</v>
          </cell>
          <cell r="BY280">
            <v>0</v>
          </cell>
          <cell r="CD280">
            <v>0</v>
          </cell>
          <cell r="CE280">
            <v>0</v>
          </cell>
          <cell r="CJ280">
            <v>0</v>
          </cell>
          <cell r="CK280">
            <v>0</v>
          </cell>
          <cell r="CP280">
            <v>0</v>
          </cell>
          <cell r="CQ280">
            <v>0</v>
          </cell>
          <cell r="CR280">
            <v>0</v>
          </cell>
          <cell r="CS280">
            <v>0</v>
          </cell>
          <cell r="CX280">
            <v>0</v>
          </cell>
          <cell r="CY280">
            <v>0</v>
          </cell>
          <cell r="CZ280">
            <v>0</v>
          </cell>
          <cell r="DA280">
            <v>0</v>
          </cell>
          <cell r="DF280">
            <v>0</v>
          </cell>
          <cell r="DG280">
            <v>0</v>
          </cell>
          <cell r="DH280">
            <v>0</v>
          </cell>
          <cell r="DI280">
            <v>0</v>
          </cell>
          <cell r="DN280">
            <v>0</v>
          </cell>
          <cell r="DO280">
            <v>0</v>
          </cell>
          <cell r="DP280">
            <v>0</v>
          </cell>
          <cell r="DQ280">
            <v>0</v>
          </cell>
          <cell r="DV280">
            <v>0</v>
          </cell>
          <cell r="DW280">
            <v>0</v>
          </cell>
          <cell r="DX280">
            <v>0</v>
          </cell>
          <cell r="DY280">
            <v>0</v>
          </cell>
        </row>
        <row r="281">
          <cell r="F281">
            <v>0</v>
          </cell>
          <cell r="G281">
            <v>0</v>
          </cell>
          <cell r="H281">
            <v>0</v>
          </cell>
          <cell r="I281">
            <v>0</v>
          </cell>
          <cell r="O281">
            <v>0</v>
          </cell>
          <cell r="T281">
            <v>0</v>
          </cell>
          <cell r="U281">
            <v>0</v>
          </cell>
          <cell r="Z281">
            <v>0</v>
          </cell>
          <cell r="AA281">
            <v>0</v>
          </cell>
          <cell r="AF281">
            <v>0</v>
          </cell>
          <cell r="AG281">
            <v>0</v>
          </cell>
          <cell r="AL281">
            <v>0</v>
          </cell>
          <cell r="AM281">
            <v>0</v>
          </cell>
          <cell r="AR281">
            <v>0</v>
          </cell>
          <cell r="AS281">
            <v>0</v>
          </cell>
          <cell r="AX281">
            <v>0</v>
          </cell>
          <cell r="AY281">
            <v>0</v>
          </cell>
          <cell r="AZ281">
            <v>0</v>
          </cell>
          <cell r="BA281">
            <v>0</v>
          </cell>
          <cell r="BF281">
            <v>0</v>
          </cell>
          <cell r="BG281">
            <v>0</v>
          </cell>
          <cell r="BL281">
            <v>0</v>
          </cell>
          <cell r="BM281">
            <v>0</v>
          </cell>
          <cell r="BR281">
            <v>0</v>
          </cell>
          <cell r="BS281">
            <v>0</v>
          </cell>
          <cell r="BX281">
            <v>0</v>
          </cell>
          <cell r="BY281">
            <v>0</v>
          </cell>
          <cell r="CD281">
            <v>0</v>
          </cell>
          <cell r="CE281">
            <v>0</v>
          </cell>
          <cell r="CJ281">
            <v>0</v>
          </cell>
          <cell r="CK281">
            <v>0</v>
          </cell>
          <cell r="CP281">
            <v>0</v>
          </cell>
          <cell r="CQ281">
            <v>0</v>
          </cell>
          <cell r="CR281">
            <v>0</v>
          </cell>
          <cell r="CS281">
            <v>0</v>
          </cell>
          <cell r="CX281">
            <v>0</v>
          </cell>
          <cell r="CY281">
            <v>0</v>
          </cell>
          <cell r="CZ281">
            <v>0</v>
          </cell>
          <cell r="DA281">
            <v>0</v>
          </cell>
          <cell r="DF281">
            <v>0</v>
          </cell>
          <cell r="DG281">
            <v>0</v>
          </cell>
          <cell r="DH281">
            <v>0</v>
          </cell>
          <cell r="DI281">
            <v>0</v>
          </cell>
          <cell r="DN281">
            <v>0</v>
          </cell>
          <cell r="DO281">
            <v>0</v>
          </cell>
          <cell r="DP281">
            <v>0</v>
          </cell>
          <cell r="DQ281">
            <v>0</v>
          </cell>
          <cell r="DV281">
            <v>0</v>
          </cell>
          <cell r="DW281">
            <v>0</v>
          </cell>
          <cell r="DX281">
            <v>0</v>
          </cell>
          <cell r="DY281">
            <v>0</v>
          </cell>
        </row>
        <row r="282">
          <cell r="F282">
            <v>560</v>
          </cell>
          <cell r="G282">
            <v>117.11599999999999</v>
          </cell>
          <cell r="H282">
            <v>-19.576000000000001</v>
          </cell>
          <cell r="I282">
            <v>-16.715051743570481</v>
          </cell>
          <cell r="N282">
            <v>30</v>
          </cell>
          <cell r="O282">
            <v>6.367</v>
          </cell>
          <cell r="P282">
            <v>-1.306</v>
          </cell>
          <cell r="T282">
            <v>30</v>
          </cell>
          <cell r="U282">
            <v>6.367</v>
          </cell>
          <cell r="V282">
            <v>-1.306</v>
          </cell>
          <cell r="Z282">
            <v>35</v>
          </cell>
          <cell r="AA282">
            <v>7.4279999999999999</v>
          </cell>
          <cell r="AB282">
            <v>-1.524</v>
          </cell>
          <cell r="AF282">
            <v>40</v>
          </cell>
          <cell r="AG282">
            <v>8.49</v>
          </cell>
          <cell r="AH282">
            <v>-1.74</v>
          </cell>
          <cell r="AL282">
            <v>40</v>
          </cell>
          <cell r="AM282">
            <v>8.49</v>
          </cell>
          <cell r="AN282">
            <v>-1.7410000000000001</v>
          </cell>
          <cell r="AR282">
            <v>40</v>
          </cell>
          <cell r="AS282">
            <v>8.49</v>
          </cell>
          <cell r="AT282">
            <v>-1.7410000000000001</v>
          </cell>
          <cell r="AX282">
            <v>215</v>
          </cell>
          <cell r="AY282">
            <v>45.631999999999991</v>
          </cell>
          <cell r="AZ282">
            <v>-9.3580000000000005</v>
          </cell>
          <cell r="BA282">
            <v>-20.50753856942497</v>
          </cell>
          <cell r="BF282">
            <v>50</v>
          </cell>
          <cell r="BG282">
            <v>10.36</v>
          </cell>
          <cell r="BH282">
            <v>-2.4279999999999999</v>
          </cell>
          <cell r="BL282">
            <v>50</v>
          </cell>
          <cell r="BM282">
            <v>10.36</v>
          </cell>
          <cell r="BN282">
            <v>-2.4289999999999998</v>
          </cell>
          <cell r="BR282">
            <v>100</v>
          </cell>
          <cell r="BS282">
            <v>20.72</v>
          </cell>
          <cell r="BT282">
            <v>-4.8579999999999997</v>
          </cell>
          <cell r="BX282">
            <v>45</v>
          </cell>
          <cell r="BY282">
            <v>9.3239999999999998</v>
          </cell>
          <cell r="BZ282">
            <v>-0.60399999999999998</v>
          </cell>
          <cell r="CD282">
            <v>50</v>
          </cell>
          <cell r="CE282">
            <v>10.36</v>
          </cell>
          <cell r="CF282">
            <v>-9.0999999999999998E-2</v>
          </cell>
          <cell r="CJ282">
            <v>50</v>
          </cell>
          <cell r="CK282">
            <v>10.36</v>
          </cell>
          <cell r="CL282">
            <v>0.192</v>
          </cell>
          <cell r="CP282">
            <v>345</v>
          </cell>
          <cell r="CQ282">
            <v>71.483999999999995</v>
          </cell>
          <cell r="CR282">
            <v>-10.218</v>
          </cell>
          <cell r="CS282">
            <v>-14.294107772368642</v>
          </cell>
          <cell r="CX282">
            <v>95</v>
          </cell>
          <cell r="CY282">
            <v>20.161999999999999</v>
          </cell>
          <cell r="CZ282">
            <v>-4.1360000000000001</v>
          </cell>
          <cell r="DA282">
            <v>-20.513837912905466</v>
          </cell>
          <cell r="DF282">
            <v>120</v>
          </cell>
          <cell r="DG282">
            <v>25.47</v>
          </cell>
          <cell r="DH282">
            <v>-5.2219999999999995</v>
          </cell>
          <cell r="DI282">
            <v>-20.502552021986649</v>
          </cell>
          <cell r="DN282">
            <v>200</v>
          </cell>
          <cell r="DO282">
            <v>41.44</v>
          </cell>
          <cell r="DP282">
            <v>-9.7149999999999999</v>
          </cell>
          <cell r="DQ282">
            <v>-23.44353281853282</v>
          </cell>
          <cell r="DV282">
            <v>145</v>
          </cell>
          <cell r="DW282">
            <v>30.043999999999997</v>
          </cell>
          <cell r="DX282">
            <v>-0.50299999999999989</v>
          </cell>
          <cell r="DY282">
            <v>-1.6742111569697775</v>
          </cell>
        </row>
        <row r="283">
          <cell r="F283">
            <v>1490</v>
          </cell>
          <cell r="G283">
            <v>356.69200000000001</v>
          </cell>
          <cell r="H283">
            <v>-61.483000000000004</v>
          </cell>
          <cell r="I283">
            <v>-17.236999988785843</v>
          </cell>
          <cell r="N283">
            <v>100</v>
          </cell>
          <cell r="O283">
            <v>24.256</v>
          </cell>
          <cell r="P283">
            <v>-15.930999999999999</v>
          </cell>
          <cell r="T283">
            <v>100</v>
          </cell>
          <cell r="U283">
            <v>24.256</v>
          </cell>
          <cell r="V283">
            <v>-15.932</v>
          </cell>
          <cell r="Z283">
            <v>100</v>
          </cell>
          <cell r="AA283">
            <v>24.256</v>
          </cell>
          <cell r="AB283">
            <v>-15.932</v>
          </cell>
          <cell r="AF283">
            <v>110</v>
          </cell>
          <cell r="AG283">
            <v>26.681999999999999</v>
          </cell>
          <cell r="AH283">
            <v>-13.529</v>
          </cell>
          <cell r="AL283">
            <v>110</v>
          </cell>
          <cell r="AM283">
            <v>26.681999999999999</v>
          </cell>
          <cell r="AN283">
            <v>-5.3070000000000004</v>
          </cell>
          <cell r="AR283">
            <v>150</v>
          </cell>
          <cell r="AS283">
            <v>36.384</v>
          </cell>
          <cell r="AT283">
            <v>-4.2560000000000002</v>
          </cell>
          <cell r="AX283">
            <v>670</v>
          </cell>
          <cell r="AY283">
            <v>162.51599999999999</v>
          </cell>
          <cell r="AZ283">
            <v>-70.887</v>
          </cell>
          <cell r="BA283">
            <v>-43.618474488665733</v>
          </cell>
          <cell r="BF283">
            <v>90</v>
          </cell>
          <cell r="BG283">
            <v>21.312000000000001</v>
          </cell>
          <cell r="BH283">
            <v>-1.0840000000000001</v>
          </cell>
          <cell r="BL283">
            <v>120</v>
          </cell>
          <cell r="BM283">
            <v>28.416</v>
          </cell>
          <cell r="BN283">
            <v>-0.106</v>
          </cell>
          <cell r="BR283">
            <v>140</v>
          </cell>
          <cell r="BS283">
            <v>33.152000000000001</v>
          </cell>
          <cell r="BT283">
            <v>1.5069999999999999</v>
          </cell>
          <cell r="BX283">
            <v>140</v>
          </cell>
          <cell r="BY283">
            <v>33.152000000000001</v>
          </cell>
          <cell r="BZ283">
            <v>2.25</v>
          </cell>
          <cell r="CD283">
            <v>160</v>
          </cell>
          <cell r="CE283">
            <v>37.887999999999998</v>
          </cell>
          <cell r="CF283">
            <v>3.2949999999999999</v>
          </cell>
          <cell r="CJ283">
            <v>170</v>
          </cell>
          <cell r="CK283">
            <v>40.256</v>
          </cell>
          <cell r="CL283">
            <v>3.5419999999999998</v>
          </cell>
          <cell r="CP283">
            <v>820</v>
          </cell>
          <cell r="CQ283">
            <v>194.17600000000002</v>
          </cell>
          <cell r="CR283">
            <v>9.4039999999999999</v>
          </cell>
          <cell r="CS283">
            <v>4.8430290046143698</v>
          </cell>
          <cell r="CX283">
            <v>300</v>
          </cell>
          <cell r="CY283">
            <v>72.768000000000001</v>
          </cell>
          <cell r="CZ283">
            <v>-47.795000000000002</v>
          </cell>
          <cell r="DA283">
            <v>-65.681343447669306</v>
          </cell>
          <cell r="DF283">
            <v>370</v>
          </cell>
          <cell r="DG283">
            <v>89.74799999999999</v>
          </cell>
          <cell r="DH283">
            <v>-23.091999999999999</v>
          </cell>
          <cell r="DI283">
            <v>-25.729821277354368</v>
          </cell>
          <cell r="DN283">
            <v>350</v>
          </cell>
          <cell r="DO283">
            <v>82.88</v>
          </cell>
          <cell r="DP283">
            <v>0.31699999999999973</v>
          </cell>
          <cell r="DQ283">
            <v>0.38248069498069465</v>
          </cell>
          <cell r="DV283">
            <v>470</v>
          </cell>
          <cell r="DW283">
            <v>111.29599999999999</v>
          </cell>
          <cell r="DX283">
            <v>9.0869999999999997</v>
          </cell>
          <cell r="DY283">
            <v>8.1647139160437039</v>
          </cell>
        </row>
        <row r="284">
          <cell r="F284">
            <v>1917</v>
          </cell>
          <cell r="G284">
            <v>429.39200000000005</v>
          </cell>
          <cell r="H284">
            <v>47.926000000000002</v>
          </cell>
          <cell r="I284">
            <v>11.161363043559264</v>
          </cell>
          <cell r="N284">
            <v>90</v>
          </cell>
          <cell r="O284">
            <v>20.466000000000001</v>
          </cell>
          <cell r="P284">
            <v>8.8970000000000002</v>
          </cell>
          <cell r="T284">
            <v>125</v>
          </cell>
          <cell r="U284">
            <v>28.425000000000001</v>
          </cell>
          <cell r="V284">
            <v>12.579000000000001</v>
          </cell>
          <cell r="Z284">
            <v>130</v>
          </cell>
          <cell r="AA284">
            <v>29.562000000000001</v>
          </cell>
          <cell r="AB284">
            <v>13.962999999999999</v>
          </cell>
          <cell r="AF284">
            <v>120</v>
          </cell>
          <cell r="AG284">
            <v>27.288</v>
          </cell>
          <cell r="AH284">
            <v>5.8520000000000003</v>
          </cell>
          <cell r="AL284">
            <v>112</v>
          </cell>
          <cell r="AM284">
            <v>25.469000000000001</v>
          </cell>
          <cell r="AN284">
            <v>1.8</v>
          </cell>
          <cell r="AR284">
            <v>130</v>
          </cell>
          <cell r="AS284">
            <v>29.562000000000001</v>
          </cell>
          <cell r="AT284">
            <v>1.7270000000000001</v>
          </cell>
          <cell r="AX284">
            <v>707</v>
          </cell>
          <cell r="AY284">
            <v>160.77200000000002</v>
          </cell>
          <cell r="AZ284">
            <v>44.817999999999998</v>
          </cell>
          <cell r="BA284">
            <v>27.876744706789736</v>
          </cell>
          <cell r="BF284">
            <v>190</v>
          </cell>
          <cell r="BG284">
            <v>42.18</v>
          </cell>
          <cell r="BH284">
            <v>0.27700000000000002</v>
          </cell>
          <cell r="BL284">
            <v>190</v>
          </cell>
          <cell r="BM284">
            <v>42.18</v>
          </cell>
          <cell r="BN284">
            <v>-0.377</v>
          </cell>
          <cell r="BR284">
            <v>190</v>
          </cell>
          <cell r="BS284">
            <v>42.18</v>
          </cell>
          <cell r="BT284">
            <v>0.13500000000000001</v>
          </cell>
          <cell r="BX284">
            <v>190</v>
          </cell>
          <cell r="BY284">
            <v>42.18</v>
          </cell>
          <cell r="BZ284">
            <v>0.45100000000000001</v>
          </cell>
          <cell r="CD284">
            <v>190</v>
          </cell>
          <cell r="CE284">
            <v>42.18</v>
          </cell>
          <cell r="CF284">
            <v>0.70399999999999996</v>
          </cell>
          <cell r="CJ284">
            <v>260</v>
          </cell>
          <cell r="CK284">
            <v>57.72</v>
          </cell>
          <cell r="CL284">
            <v>1.9179999999999999</v>
          </cell>
          <cell r="CP284">
            <v>1210</v>
          </cell>
          <cell r="CQ284">
            <v>268.62</v>
          </cell>
          <cell r="CR284">
            <v>3.1080000000000005</v>
          </cell>
          <cell r="CS284">
            <v>1.1570247933884299</v>
          </cell>
          <cell r="CX284">
            <v>345</v>
          </cell>
          <cell r="CY284">
            <v>78.453000000000003</v>
          </cell>
          <cell r="CZ284">
            <v>35.439</v>
          </cell>
          <cell r="DA284">
            <v>45.172268746893039</v>
          </cell>
          <cell r="DF284">
            <v>362</v>
          </cell>
          <cell r="DG284">
            <v>82.319000000000003</v>
          </cell>
          <cell r="DH284">
            <v>9.3789999999999996</v>
          </cell>
          <cell r="DI284">
            <v>11.393481456285912</v>
          </cell>
          <cell r="DN284">
            <v>570</v>
          </cell>
          <cell r="DO284">
            <v>126.53999999999999</v>
          </cell>
          <cell r="DP284">
            <v>3.5000000000000031E-2</v>
          </cell>
          <cell r="DQ284">
            <v>2.7659238185554002E-2</v>
          </cell>
          <cell r="DV284">
            <v>640</v>
          </cell>
          <cell r="DW284">
            <v>142.07999999999998</v>
          </cell>
          <cell r="DX284">
            <v>3.073</v>
          </cell>
          <cell r="DY284">
            <v>2.1628659909909911</v>
          </cell>
        </row>
        <row r="285">
          <cell r="F285">
            <v>950</v>
          </cell>
          <cell r="G285">
            <v>219.88400000000001</v>
          </cell>
          <cell r="H285">
            <v>-21.915999999999997</v>
          </cell>
          <cell r="I285">
            <v>-9.9670735478706938</v>
          </cell>
          <cell r="N285">
            <v>50</v>
          </cell>
          <cell r="O285">
            <v>11.749000000000001</v>
          </cell>
          <cell r="P285">
            <v>-8.4939999999999998</v>
          </cell>
          <cell r="T285">
            <v>50</v>
          </cell>
          <cell r="U285">
            <v>11.749000000000001</v>
          </cell>
          <cell r="V285">
            <v>-6.2140000000000004</v>
          </cell>
          <cell r="Z285">
            <v>50</v>
          </cell>
          <cell r="AA285">
            <v>11.749000000000001</v>
          </cell>
          <cell r="AB285">
            <v>-3.532</v>
          </cell>
          <cell r="AF285">
            <v>60</v>
          </cell>
          <cell r="AG285">
            <v>14.099</v>
          </cell>
          <cell r="AH285">
            <v>-3.0249999999999999</v>
          </cell>
          <cell r="AL285">
            <v>70</v>
          </cell>
          <cell r="AM285">
            <v>16.449000000000002</v>
          </cell>
          <cell r="AN285">
            <v>-2.2429999999999999</v>
          </cell>
          <cell r="AR285">
            <v>70</v>
          </cell>
          <cell r="AS285">
            <v>16.449000000000002</v>
          </cell>
          <cell r="AT285">
            <v>-1.0629999999999999</v>
          </cell>
          <cell r="AX285">
            <v>350</v>
          </cell>
          <cell r="AY285">
            <v>82.244</v>
          </cell>
          <cell r="AZ285">
            <v>-24.570999999999998</v>
          </cell>
          <cell r="BA285">
            <v>-29.875735615971983</v>
          </cell>
          <cell r="BF285">
            <v>100</v>
          </cell>
          <cell r="BG285">
            <v>22.94</v>
          </cell>
          <cell r="BH285">
            <v>-0.39900000000000002</v>
          </cell>
          <cell r="BL285">
            <v>100</v>
          </cell>
          <cell r="BM285">
            <v>22.94</v>
          </cell>
          <cell r="BN285">
            <v>-0.152</v>
          </cell>
          <cell r="BR285">
            <v>100</v>
          </cell>
          <cell r="BS285">
            <v>22.94</v>
          </cell>
          <cell r="BT285">
            <v>0.41799999999999998</v>
          </cell>
          <cell r="BX285">
            <v>100</v>
          </cell>
          <cell r="BY285">
            <v>22.94</v>
          </cell>
          <cell r="BZ285">
            <v>0.73199999999999998</v>
          </cell>
          <cell r="CD285">
            <v>100</v>
          </cell>
          <cell r="CE285">
            <v>22.94</v>
          </cell>
          <cell r="CF285">
            <v>0.92300000000000004</v>
          </cell>
          <cell r="CJ285">
            <v>100</v>
          </cell>
          <cell r="CK285">
            <v>22.94</v>
          </cell>
          <cell r="CL285">
            <v>1.133</v>
          </cell>
          <cell r="CP285">
            <v>600</v>
          </cell>
          <cell r="CQ285">
            <v>137.64000000000001</v>
          </cell>
          <cell r="CR285">
            <v>2.6550000000000002</v>
          </cell>
          <cell r="CS285">
            <v>1.9289450741063645</v>
          </cell>
          <cell r="CX285">
            <v>150</v>
          </cell>
          <cell r="CY285">
            <v>35.247</v>
          </cell>
          <cell r="CZ285">
            <v>-18.240000000000002</v>
          </cell>
          <cell r="DA285">
            <v>-51.749085028513079</v>
          </cell>
          <cell r="DF285">
            <v>200</v>
          </cell>
          <cell r="DG285">
            <v>46.997</v>
          </cell>
          <cell r="DH285">
            <v>-6.3309999999999995</v>
          </cell>
          <cell r="DI285">
            <v>-13.471072621656702</v>
          </cell>
          <cell r="DN285">
            <v>300</v>
          </cell>
          <cell r="DO285">
            <v>68.820000000000007</v>
          </cell>
          <cell r="DP285">
            <v>-0.13300000000000006</v>
          </cell>
          <cell r="DQ285">
            <v>-0.19325777390293528</v>
          </cell>
          <cell r="DV285">
            <v>300</v>
          </cell>
          <cell r="DW285">
            <v>68.820000000000007</v>
          </cell>
          <cell r="DX285">
            <v>2.7880000000000003</v>
          </cell>
          <cell r="DY285">
            <v>4.0511479221156641</v>
          </cell>
        </row>
        <row r="286">
          <cell r="F286">
            <v>1613.9680000000003</v>
          </cell>
          <cell r="G286">
            <v>361.73299999999995</v>
          </cell>
          <cell r="H286">
            <v>25.593000000000004</v>
          </cell>
          <cell r="I286">
            <v>7.075107883438891</v>
          </cell>
          <cell r="N286">
            <v>100</v>
          </cell>
          <cell r="O286">
            <v>22.74</v>
          </cell>
          <cell r="P286">
            <v>3.7010000000000001</v>
          </cell>
          <cell r="T286">
            <v>100</v>
          </cell>
          <cell r="U286">
            <v>22.74</v>
          </cell>
          <cell r="V286">
            <v>3.7010000000000001</v>
          </cell>
          <cell r="Z286">
            <v>100</v>
          </cell>
          <cell r="AA286">
            <v>22.74</v>
          </cell>
          <cell r="AB286">
            <v>3.7010000000000001</v>
          </cell>
          <cell r="AF286">
            <v>95.8</v>
          </cell>
          <cell r="AG286">
            <v>21.785</v>
          </cell>
          <cell r="AH286">
            <v>3.5070000000000001</v>
          </cell>
          <cell r="AL286">
            <v>109.833</v>
          </cell>
          <cell r="AM286">
            <v>24.975999999999999</v>
          </cell>
          <cell r="AN286">
            <v>2.0009999999999999</v>
          </cell>
          <cell r="AR286">
            <v>130</v>
          </cell>
          <cell r="AS286">
            <v>29.562000000000001</v>
          </cell>
          <cell r="AT286">
            <v>1.379</v>
          </cell>
          <cell r="AX286">
            <v>635.63300000000004</v>
          </cell>
          <cell r="AY286">
            <v>144.54299999999998</v>
          </cell>
          <cell r="AZ286">
            <v>17.990000000000002</v>
          </cell>
          <cell r="BA286">
            <v>12.446123298949106</v>
          </cell>
          <cell r="BF286">
            <v>159.667</v>
          </cell>
          <cell r="BG286">
            <v>35.445999999999998</v>
          </cell>
          <cell r="BH286">
            <v>0.84799999999999998</v>
          </cell>
          <cell r="BL286">
            <v>159.667</v>
          </cell>
          <cell r="BM286">
            <v>35.445999999999998</v>
          </cell>
          <cell r="BN286">
            <v>0.41499999999999998</v>
          </cell>
          <cell r="BR286">
            <v>159.667</v>
          </cell>
          <cell r="BS286">
            <v>35.445999999999998</v>
          </cell>
          <cell r="BT286">
            <v>1.1259999999999999</v>
          </cell>
          <cell r="BX286">
            <v>159.667</v>
          </cell>
          <cell r="BY286">
            <v>35.445999999999998</v>
          </cell>
          <cell r="BZ286">
            <v>1.429</v>
          </cell>
          <cell r="CD286">
            <v>159.667</v>
          </cell>
          <cell r="CE286">
            <v>35.445999999999998</v>
          </cell>
          <cell r="CF286">
            <v>1.6020000000000001</v>
          </cell>
          <cell r="CJ286">
            <v>180</v>
          </cell>
          <cell r="CK286">
            <v>39.96</v>
          </cell>
          <cell r="CL286">
            <v>2.1829999999999998</v>
          </cell>
          <cell r="CP286">
            <v>978.33500000000015</v>
          </cell>
          <cell r="CQ286">
            <v>217.19</v>
          </cell>
          <cell r="CR286">
            <v>7.6029999999999998</v>
          </cell>
          <cell r="CS286">
            <v>3.500621575578986</v>
          </cell>
          <cell r="CX286">
            <v>300</v>
          </cell>
          <cell r="CY286">
            <v>68.22</v>
          </cell>
          <cell r="CZ286">
            <v>11.103</v>
          </cell>
          <cell r="DA286">
            <v>16.275285839929641</v>
          </cell>
          <cell r="DF286">
            <v>335.63299999999998</v>
          </cell>
          <cell r="DG286">
            <v>76.322999999999993</v>
          </cell>
          <cell r="DH286">
            <v>6.8870000000000005</v>
          </cell>
          <cell r="DI286">
            <v>9.023492263144794</v>
          </cell>
          <cell r="DN286">
            <v>479.00099999999998</v>
          </cell>
          <cell r="DO286">
            <v>106.33799999999999</v>
          </cell>
          <cell r="DP286">
            <v>2.3889999999999998</v>
          </cell>
          <cell r="DQ286">
            <v>2.2466098666516205</v>
          </cell>
          <cell r="DV286">
            <v>499.334</v>
          </cell>
          <cell r="DW286">
            <v>110.852</v>
          </cell>
          <cell r="DX286">
            <v>5.2140000000000004</v>
          </cell>
          <cell r="DY286">
            <v>4.7035687222603109</v>
          </cell>
        </row>
        <row r="287">
          <cell r="F287">
            <v>1609.8360000000002</v>
          </cell>
          <cell r="G287">
            <v>372.82100000000003</v>
          </cell>
          <cell r="H287">
            <v>-6.5789999999999997</v>
          </cell>
          <cell r="I287">
            <v>-1.7646538151016169</v>
          </cell>
          <cell r="N287">
            <v>100</v>
          </cell>
          <cell r="O287">
            <v>23.498000000000001</v>
          </cell>
          <cell r="P287">
            <v>0.48399999999999999</v>
          </cell>
          <cell r="T287">
            <v>100</v>
          </cell>
          <cell r="U287">
            <v>23.498000000000001</v>
          </cell>
          <cell r="V287">
            <v>-5.4039999999999999</v>
          </cell>
          <cell r="Z287">
            <v>95.805999999999997</v>
          </cell>
          <cell r="AA287">
            <v>22.513000000000002</v>
          </cell>
          <cell r="AB287">
            <v>-3.7269999999999999</v>
          </cell>
          <cell r="AF287">
            <v>95.805999999999997</v>
          </cell>
          <cell r="AG287">
            <v>22.513000000000002</v>
          </cell>
          <cell r="AH287">
            <v>-2.9089999999999998</v>
          </cell>
          <cell r="AL287">
            <v>109.839</v>
          </cell>
          <cell r="AM287">
            <v>25.81</v>
          </cell>
          <cell r="AN287">
            <v>-1.256</v>
          </cell>
          <cell r="AR287">
            <v>130</v>
          </cell>
          <cell r="AS287">
            <v>30.547000000000001</v>
          </cell>
          <cell r="AT287">
            <v>-0.13400000000000001</v>
          </cell>
          <cell r="AX287">
            <v>631.45100000000002</v>
          </cell>
          <cell r="AY287">
            <v>148.37900000000002</v>
          </cell>
          <cell r="AZ287">
            <v>-12.946</v>
          </cell>
          <cell r="BA287">
            <v>-8.7249543398998508</v>
          </cell>
          <cell r="BF287">
            <v>159.67699999999999</v>
          </cell>
          <cell r="BG287">
            <v>36.630000000000003</v>
          </cell>
          <cell r="BH287">
            <v>0.13200000000000001</v>
          </cell>
          <cell r="BL287">
            <v>159.67699999999999</v>
          </cell>
          <cell r="BM287">
            <v>36.630000000000003</v>
          </cell>
          <cell r="BN287">
            <v>8.5000000000000006E-2</v>
          </cell>
          <cell r="BR287">
            <v>159.67699999999999</v>
          </cell>
          <cell r="BS287">
            <v>36.630000000000003</v>
          </cell>
          <cell r="BT287">
            <v>0.99</v>
          </cell>
          <cell r="BX287">
            <v>159.67699999999999</v>
          </cell>
          <cell r="BY287">
            <v>36.630000000000003</v>
          </cell>
          <cell r="BZ287">
            <v>1.375</v>
          </cell>
          <cell r="CD287">
            <v>159.67699999999999</v>
          </cell>
          <cell r="CE287">
            <v>36.630000000000003</v>
          </cell>
          <cell r="CF287">
            <v>1.5860000000000001</v>
          </cell>
          <cell r="CJ287">
            <v>180</v>
          </cell>
          <cell r="CK287">
            <v>41.292000000000002</v>
          </cell>
          <cell r="CL287">
            <v>2.1989999999999998</v>
          </cell>
          <cell r="CP287">
            <v>978.3850000000001</v>
          </cell>
          <cell r="CQ287">
            <v>224.44199999999998</v>
          </cell>
          <cell r="CR287">
            <v>6.367</v>
          </cell>
          <cell r="CS287">
            <v>2.8368130742017983</v>
          </cell>
          <cell r="CX287">
            <v>295.80599999999998</v>
          </cell>
          <cell r="CY287">
            <v>69.509</v>
          </cell>
          <cell r="CZ287">
            <v>-8.6470000000000002</v>
          </cell>
          <cell r="DA287">
            <v>-12.440115668474586</v>
          </cell>
          <cell r="DF287">
            <v>335.64499999999998</v>
          </cell>
          <cell r="DG287">
            <v>78.87</v>
          </cell>
          <cell r="DH287">
            <v>-4.2990000000000004</v>
          </cell>
          <cell r="DI287">
            <v>-5.4507417268923541</v>
          </cell>
          <cell r="DN287">
            <v>479.03099999999995</v>
          </cell>
          <cell r="DO287">
            <v>109.89000000000001</v>
          </cell>
          <cell r="DP287">
            <v>1.2070000000000001</v>
          </cell>
          <cell r="DQ287">
            <v>1.0983710983710984</v>
          </cell>
          <cell r="DV287">
            <v>499.35399999999998</v>
          </cell>
          <cell r="DW287">
            <v>114.55200000000001</v>
          </cell>
          <cell r="DX287">
            <v>5.16</v>
          </cell>
          <cell r="DY287">
            <v>4.5045045045045047</v>
          </cell>
        </row>
        <row r="288">
          <cell r="F288">
            <v>9070.8040000000001</v>
          </cell>
          <cell r="G288">
            <v>2052.098</v>
          </cell>
          <cell r="H288">
            <v>-95.939999999999984</v>
          </cell>
          <cell r="I288">
            <v>-4.6752153162275869</v>
          </cell>
          <cell r="N288">
            <v>520</v>
          </cell>
          <cell r="O288">
            <v>119.688</v>
          </cell>
          <cell r="P288">
            <v>-25.646000000000001</v>
          </cell>
          <cell r="T288">
            <v>555</v>
          </cell>
          <cell r="U288">
            <v>127.64699999999999</v>
          </cell>
          <cell r="V288">
            <v>-25.572999999999997</v>
          </cell>
          <cell r="Z288">
            <v>560.80600000000004</v>
          </cell>
          <cell r="AA288">
            <v>128.85999999999999</v>
          </cell>
          <cell r="AB288">
            <v>-16.285</v>
          </cell>
          <cell r="AF288">
            <v>571.60599999999999</v>
          </cell>
          <cell r="AG288">
            <v>131.46899999999999</v>
          </cell>
          <cell r="AH288">
            <v>-18.489000000000001</v>
          </cell>
          <cell r="AL288">
            <v>621.67200000000003</v>
          </cell>
          <cell r="AM288">
            <v>142.73299999999998</v>
          </cell>
          <cell r="AN288">
            <v>-12.851000000000001</v>
          </cell>
          <cell r="AR288">
            <v>730</v>
          </cell>
          <cell r="AS288">
            <v>167.97300000000001</v>
          </cell>
          <cell r="AT288">
            <v>-8.6220000000000017</v>
          </cell>
          <cell r="AX288">
            <v>3559.0839999999998</v>
          </cell>
          <cell r="AY288">
            <v>818.37000000000012</v>
          </cell>
          <cell r="AZ288">
            <v>-107.46600000000001</v>
          </cell>
          <cell r="BA288">
            <v>-13.131713039334286</v>
          </cell>
          <cell r="BF288">
            <v>839.34400000000005</v>
          </cell>
          <cell r="BG288">
            <v>187.51599999999999</v>
          </cell>
          <cell r="BH288">
            <v>-5.4840000000000009</v>
          </cell>
          <cell r="BL288">
            <v>869.34400000000005</v>
          </cell>
          <cell r="BM288">
            <v>194.62</v>
          </cell>
          <cell r="BN288">
            <v>-4.3959999999999999</v>
          </cell>
          <cell r="BR288">
            <v>949.34400000000005</v>
          </cell>
          <cell r="BS288">
            <v>211.78799999999998</v>
          </cell>
          <cell r="BT288">
            <v>-2.0930000000000009</v>
          </cell>
          <cell r="BX288">
            <v>884.34400000000005</v>
          </cell>
          <cell r="BY288">
            <v>198.32</v>
          </cell>
          <cell r="BZ288">
            <v>5.1749999999999998</v>
          </cell>
          <cell r="CD288">
            <v>919.34400000000005</v>
          </cell>
          <cell r="CE288">
            <v>206.16399999999999</v>
          </cell>
          <cell r="CF288">
            <v>7.3890000000000002</v>
          </cell>
          <cell r="CJ288">
            <v>1050</v>
          </cell>
          <cell r="CK288">
            <v>235.32</v>
          </cell>
          <cell r="CL288">
            <v>10.935</v>
          </cell>
          <cell r="CP288">
            <v>5511.72</v>
          </cell>
          <cell r="CQ288">
            <v>1233.7280000000001</v>
          </cell>
          <cell r="CR288">
            <v>11.526</v>
          </cell>
          <cell r="CS288">
            <v>0.93424158323390571</v>
          </cell>
          <cell r="CX288">
            <v>1635.806</v>
          </cell>
          <cell r="CY288">
            <v>376.19500000000005</v>
          </cell>
          <cell r="CZ288">
            <v>-67.504000000000005</v>
          </cell>
          <cell r="DA288">
            <v>-17.943885484921381</v>
          </cell>
          <cell r="DF288">
            <v>1923.278</v>
          </cell>
          <cell r="DG288">
            <v>442.17500000000001</v>
          </cell>
          <cell r="DH288">
            <v>-39.961999999999996</v>
          </cell>
          <cell r="DI288">
            <v>-9.0375982359925366</v>
          </cell>
          <cell r="DN288">
            <v>2658.0320000000002</v>
          </cell>
          <cell r="DO288">
            <v>593.92399999999998</v>
          </cell>
          <cell r="DP288">
            <v>-11.973000000000001</v>
          </cell>
          <cell r="DQ288">
            <v>-2.0159144941103579</v>
          </cell>
          <cell r="DV288">
            <v>2853.6879999999996</v>
          </cell>
          <cell r="DW288">
            <v>639.80399999999997</v>
          </cell>
          <cell r="DX288">
            <v>23.498999999999999</v>
          </cell>
          <cell r="DY288">
            <v>3.6728435583397419</v>
          </cell>
        </row>
        <row r="289">
          <cell r="F289">
            <v>0</v>
          </cell>
          <cell r="G289">
            <v>0</v>
          </cell>
          <cell r="H289">
            <v>0</v>
          </cell>
          <cell r="I289">
            <v>0</v>
          </cell>
          <cell r="AX289">
            <v>0</v>
          </cell>
          <cell r="AY289">
            <v>0</v>
          </cell>
          <cell r="AZ289">
            <v>0</v>
          </cell>
          <cell r="BA289">
            <v>0</v>
          </cell>
          <cell r="CP289">
            <v>0</v>
          </cell>
          <cell r="CQ289">
            <v>0</v>
          </cell>
          <cell r="CR289">
            <v>0</v>
          </cell>
          <cell r="CS289">
            <v>0</v>
          </cell>
          <cell r="CX289">
            <v>0</v>
          </cell>
          <cell r="CY289">
            <v>0</v>
          </cell>
          <cell r="CZ289">
            <v>0</v>
          </cell>
          <cell r="DA289">
            <v>0</v>
          </cell>
          <cell r="DF289">
            <v>0</v>
          </cell>
          <cell r="DG289">
            <v>0</v>
          </cell>
          <cell r="DH289">
            <v>0</v>
          </cell>
          <cell r="DI289">
            <v>0</v>
          </cell>
          <cell r="DN289">
            <v>0</v>
          </cell>
          <cell r="DO289">
            <v>0</v>
          </cell>
          <cell r="DP289">
            <v>0</v>
          </cell>
          <cell r="DQ289">
            <v>0</v>
          </cell>
          <cell r="DV289">
            <v>0</v>
          </cell>
          <cell r="DW289">
            <v>0</v>
          </cell>
          <cell r="DX289">
            <v>0</v>
          </cell>
          <cell r="DY289">
            <v>0</v>
          </cell>
        </row>
        <row r="290">
          <cell r="F290">
            <v>0</v>
          </cell>
          <cell r="G290">
            <v>0</v>
          </cell>
          <cell r="H290">
            <v>0</v>
          </cell>
          <cell r="I290">
            <v>0</v>
          </cell>
          <cell r="AX290">
            <v>0</v>
          </cell>
          <cell r="AY290">
            <v>0</v>
          </cell>
          <cell r="AZ290">
            <v>0</v>
          </cell>
          <cell r="BA290">
            <v>0</v>
          </cell>
          <cell r="CP290">
            <v>0</v>
          </cell>
          <cell r="CQ290">
            <v>0</v>
          </cell>
          <cell r="CR290">
            <v>0</v>
          </cell>
          <cell r="CS290">
            <v>0</v>
          </cell>
          <cell r="CX290">
            <v>0</v>
          </cell>
          <cell r="CY290">
            <v>0</v>
          </cell>
          <cell r="CZ290">
            <v>0</v>
          </cell>
          <cell r="DA290">
            <v>0</v>
          </cell>
          <cell r="DF290">
            <v>0</v>
          </cell>
          <cell r="DG290">
            <v>0</v>
          </cell>
          <cell r="DH290">
            <v>0</v>
          </cell>
          <cell r="DI290">
            <v>0</v>
          </cell>
          <cell r="DN290">
            <v>0</v>
          </cell>
          <cell r="DO290">
            <v>0</v>
          </cell>
          <cell r="DP290">
            <v>0</v>
          </cell>
          <cell r="DQ290">
            <v>0</v>
          </cell>
          <cell r="DV290">
            <v>0</v>
          </cell>
          <cell r="DW290">
            <v>0</v>
          </cell>
          <cell r="DX290">
            <v>0</v>
          </cell>
          <cell r="DY290">
            <v>0</v>
          </cell>
        </row>
        <row r="291">
          <cell r="F291">
            <v>0</v>
          </cell>
          <cell r="G291">
            <v>0</v>
          </cell>
          <cell r="H291">
            <v>0</v>
          </cell>
          <cell r="I291">
            <v>0</v>
          </cell>
          <cell r="N291">
            <v>0</v>
          </cell>
          <cell r="O291">
            <v>0</v>
          </cell>
          <cell r="P291">
            <v>0</v>
          </cell>
          <cell r="T291">
            <v>0</v>
          </cell>
          <cell r="U291">
            <v>0</v>
          </cell>
          <cell r="V291">
            <v>0</v>
          </cell>
          <cell r="Z291">
            <v>0</v>
          </cell>
          <cell r="AA291">
            <v>0</v>
          </cell>
          <cell r="AB291">
            <v>0</v>
          </cell>
          <cell r="AF291">
            <v>0</v>
          </cell>
          <cell r="AG291">
            <v>0</v>
          </cell>
          <cell r="AH291">
            <v>0</v>
          </cell>
          <cell r="AL291">
            <v>0</v>
          </cell>
          <cell r="AM291">
            <v>0</v>
          </cell>
          <cell r="AN291">
            <v>0</v>
          </cell>
          <cell r="AR291">
            <v>0</v>
          </cell>
          <cell r="AS291">
            <v>0</v>
          </cell>
          <cell r="AT291">
            <v>0</v>
          </cell>
          <cell r="AX291">
            <v>0</v>
          </cell>
          <cell r="AY291">
            <v>0</v>
          </cell>
          <cell r="AZ291">
            <v>0</v>
          </cell>
          <cell r="BA291">
            <v>0</v>
          </cell>
          <cell r="BF291">
            <v>0</v>
          </cell>
          <cell r="BG291">
            <v>0</v>
          </cell>
          <cell r="BH291">
            <v>0</v>
          </cell>
          <cell r="BL291">
            <v>0</v>
          </cell>
          <cell r="BM291">
            <v>0</v>
          </cell>
          <cell r="BN291">
            <v>0</v>
          </cell>
          <cell r="BR291">
            <v>0</v>
          </cell>
          <cell r="BS291">
            <v>0</v>
          </cell>
          <cell r="BT291">
            <v>0</v>
          </cell>
          <cell r="BX291">
            <v>0</v>
          </cell>
          <cell r="BY291">
            <v>0</v>
          </cell>
          <cell r="BZ291">
            <v>0</v>
          </cell>
          <cell r="CD291">
            <v>0</v>
          </cell>
          <cell r="CE291">
            <v>0</v>
          </cell>
          <cell r="CF291">
            <v>0</v>
          </cell>
          <cell r="CJ291">
            <v>0</v>
          </cell>
          <cell r="CK291">
            <v>0</v>
          </cell>
          <cell r="CL291">
            <v>0</v>
          </cell>
          <cell r="CP291">
            <v>0</v>
          </cell>
          <cell r="CQ291">
            <v>0</v>
          </cell>
          <cell r="CR291">
            <v>0</v>
          </cell>
          <cell r="CS291">
            <v>0</v>
          </cell>
          <cell r="CX291">
            <v>0</v>
          </cell>
          <cell r="CY291">
            <v>0</v>
          </cell>
          <cell r="CZ291">
            <v>0</v>
          </cell>
          <cell r="DA291">
            <v>0</v>
          </cell>
          <cell r="DF291">
            <v>0</v>
          </cell>
          <cell r="DG291">
            <v>0</v>
          </cell>
          <cell r="DH291">
            <v>0</v>
          </cell>
          <cell r="DI291">
            <v>0</v>
          </cell>
          <cell r="DN291">
            <v>0</v>
          </cell>
          <cell r="DO291">
            <v>0</v>
          </cell>
          <cell r="DP291">
            <v>0</v>
          </cell>
          <cell r="DQ291">
            <v>0</v>
          </cell>
          <cell r="DV291">
            <v>0</v>
          </cell>
          <cell r="DW291">
            <v>0</v>
          </cell>
          <cell r="DX291">
            <v>0</v>
          </cell>
          <cell r="DY291">
            <v>0</v>
          </cell>
        </row>
        <row r="292">
          <cell r="F292">
            <v>0</v>
          </cell>
          <cell r="G292">
            <v>0</v>
          </cell>
          <cell r="H292">
            <v>0</v>
          </cell>
          <cell r="I292">
            <v>0</v>
          </cell>
          <cell r="AX292">
            <v>0</v>
          </cell>
          <cell r="AY292">
            <v>0</v>
          </cell>
          <cell r="AZ292">
            <v>0</v>
          </cell>
          <cell r="BA292">
            <v>0</v>
          </cell>
          <cell r="CP292">
            <v>0</v>
          </cell>
          <cell r="CQ292">
            <v>0</v>
          </cell>
          <cell r="CR292">
            <v>0</v>
          </cell>
          <cell r="CS292">
            <v>0</v>
          </cell>
          <cell r="CX292">
            <v>0</v>
          </cell>
          <cell r="CY292">
            <v>0</v>
          </cell>
          <cell r="CZ292">
            <v>0</v>
          </cell>
          <cell r="DA292">
            <v>0</v>
          </cell>
          <cell r="DF292">
            <v>0</v>
          </cell>
          <cell r="DG292">
            <v>0</v>
          </cell>
          <cell r="DH292">
            <v>0</v>
          </cell>
          <cell r="DI292">
            <v>0</v>
          </cell>
          <cell r="DN292">
            <v>0</v>
          </cell>
          <cell r="DO292">
            <v>0</v>
          </cell>
          <cell r="DP292">
            <v>0</v>
          </cell>
          <cell r="DQ292">
            <v>0</v>
          </cell>
          <cell r="DV292">
            <v>0</v>
          </cell>
          <cell r="DW292">
            <v>0</v>
          </cell>
          <cell r="DX292">
            <v>0</v>
          </cell>
          <cell r="DY292">
            <v>0</v>
          </cell>
        </row>
        <row r="293">
          <cell r="F293">
            <v>1500</v>
          </cell>
          <cell r="G293">
            <v>363.96799999999996</v>
          </cell>
          <cell r="H293">
            <v>15.986000000000004</v>
          </cell>
          <cell r="I293">
            <v>4.3921443643397238</v>
          </cell>
          <cell r="N293">
            <v>100</v>
          </cell>
          <cell r="O293">
            <v>24.635000000000002</v>
          </cell>
          <cell r="P293">
            <v>-12.388999999999999</v>
          </cell>
          <cell r="T293">
            <v>100</v>
          </cell>
          <cell r="U293">
            <v>24.635000000000002</v>
          </cell>
          <cell r="V293">
            <v>-12.435</v>
          </cell>
          <cell r="Z293">
            <v>100</v>
          </cell>
          <cell r="AA293">
            <v>24.635000000000002</v>
          </cell>
          <cell r="AB293">
            <v>-12.435</v>
          </cell>
          <cell r="AF293">
            <v>100</v>
          </cell>
          <cell r="AG293">
            <v>24.635000000000002</v>
          </cell>
          <cell r="AH293">
            <v>-10.35</v>
          </cell>
          <cell r="AL293">
            <v>50</v>
          </cell>
          <cell r="AM293">
            <v>12.318</v>
          </cell>
          <cell r="AN293">
            <v>-1.099</v>
          </cell>
          <cell r="AR293">
            <v>100</v>
          </cell>
          <cell r="AS293">
            <v>24.635000000000002</v>
          </cell>
          <cell r="AT293">
            <v>2.9009999999999998</v>
          </cell>
          <cell r="AX293">
            <v>550</v>
          </cell>
          <cell r="AY293">
            <v>135.49300000000002</v>
          </cell>
          <cell r="AZ293">
            <v>-45.807000000000002</v>
          </cell>
          <cell r="BA293">
            <v>-33.807650579734741</v>
          </cell>
          <cell r="BF293">
            <v>150</v>
          </cell>
          <cell r="BG293">
            <v>36.075000000000003</v>
          </cell>
          <cell r="BH293">
            <v>7.3010000000000002</v>
          </cell>
          <cell r="BL293">
            <v>150</v>
          </cell>
          <cell r="BM293">
            <v>36.075000000000003</v>
          </cell>
          <cell r="BN293">
            <v>8.6519999999999992</v>
          </cell>
          <cell r="BR293">
            <v>150</v>
          </cell>
          <cell r="BS293">
            <v>36.075000000000003</v>
          </cell>
          <cell r="BT293">
            <v>9.8710000000000004</v>
          </cell>
          <cell r="BX293">
            <v>150</v>
          </cell>
          <cell r="BY293">
            <v>36.075000000000003</v>
          </cell>
          <cell r="BZ293">
            <v>10.457000000000001</v>
          </cell>
          <cell r="CD293">
            <v>170</v>
          </cell>
          <cell r="CE293">
            <v>40.884999999999998</v>
          </cell>
          <cell r="CF293">
            <v>12.202</v>
          </cell>
          <cell r="CJ293">
            <v>180</v>
          </cell>
          <cell r="CK293">
            <v>43.29</v>
          </cell>
          <cell r="CL293">
            <v>13.31</v>
          </cell>
          <cell r="CP293">
            <v>950</v>
          </cell>
          <cell r="CQ293">
            <v>228.47499999999997</v>
          </cell>
          <cell r="CR293">
            <v>61.793000000000006</v>
          </cell>
          <cell r="CS293">
            <v>27.045847466900103</v>
          </cell>
          <cell r="CX293">
            <v>300</v>
          </cell>
          <cell r="CY293">
            <v>73.905000000000001</v>
          </cell>
          <cell r="CZ293">
            <v>-37.259</v>
          </cell>
          <cell r="DA293">
            <v>-50.414721602056687</v>
          </cell>
          <cell r="DF293">
            <v>250</v>
          </cell>
          <cell r="DG293">
            <v>61.588000000000008</v>
          </cell>
          <cell r="DH293">
            <v>-8.548</v>
          </cell>
          <cell r="DI293">
            <v>-13.879327141650968</v>
          </cell>
          <cell r="DN293">
            <v>450</v>
          </cell>
          <cell r="DO293">
            <v>108.22500000000001</v>
          </cell>
          <cell r="DP293">
            <v>25.823999999999998</v>
          </cell>
          <cell r="DQ293">
            <v>23.861399861399857</v>
          </cell>
          <cell r="DV293">
            <v>500</v>
          </cell>
          <cell r="DW293">
            <v>120.25</v>
          </cell>
          <cell r="DX293">
            <v>35.969000000000001</v>
          </cell>
          <cell r="DY293">
            <v>29.911850311850312</v>
          </cell>
        </row>
        <row r="294">
          <cell r="F294">
            <v>1642</v>
          </cell>
          <cell r="G294">
            <v>425.27800000000002</v>
          </cell>
          <cell r="H294">
            <v>139.64400000000001</v>
          </cell>
          <cell r="I294">
            <v>32.835933201341241</v>
          </cell>
          <cell r="N294">
            <v>0</v>
          </cell>
          <cell r="O294">
            <v>0</v>
          </cell>
          <cell r="P294">
            <v>0</v>
          </cell>
          <cell r="T294">
            <v>0</v>
          </cell>
          <cell r="U294">
            <v>0</v>
          </cell>
          <cell r="V294">
            <v>0</v>
          </cell>
          <cell r="Z294">
            <v>0</v>
          </cell>
          <cell r="AA294">
            <v>0</v>
          </cell>
          <cell r="AB294">
            <v>0</v>
          </cell>
          <cell r="AF294">
            <v>0</v>
          </cell>
          <cell r="AG294">
            <v>0</v>
          </cell>
          <cell r="AH294">
            <v>0</v>
          </cell>
          <cell r="AL294">
            <v>0</v>
          </cell>
          <cell r="AM294">
            <v>0</v>
          </cell>
          <cell r="AN294">
            <v>0</v>
          </cell>
          <cell r="AR294">
            <v>0</v>
          </cell>
          <cell r="AS294">
            <v>0</v>
          </cell>
          <cell r="AT294">
            <v>0</v>
          </cell>
          <cell r="AX294">
            <v>0</v>
          </cell>
          <cell r="AY294">
            <v>0</v>
          </cell>
          <cell r="AZ294">
            <v>0</v>
          </cell>
          <cell r="BA294">
            <v>0</v>
          </cell>
          <cell r="BF294">
            <v>236</v>
          </cell>
          <cell r="BG294">
            <v>61.124000000000002</v>
          </cell>
          <cell r="BH294">
            <v>19.585999999999999</v>
          </cell>
          <cell r="BL294">
            <v>280</v>
          </cell>
          <cell r="BM294">
            <v>72.52</v>
          </cell>
          <cell r="BN294">
            <v>22.513000000000002</v>
          </cell>
          <cell r="BR294">
            <v>266</v>
          </cell>
          <cell r="BS294">
            <v>68.894000000000005</v>
          </cell>
          <cell r="BT294">
            <v>22.462</v>
          </cell>
          <cell r="BX294">
            <v>270</v>
          </cell>
          <cell r="BY294">
            <v>69.930000000000007</v>
          </cell>
          <cell r="BZ294">
            <v>23.241</v>
          </cell>
          <cell r="CD294">
            <v>260</v>
          </cell>
          <cell r="CE294">
            <v>67.34</v>
          </cell>
          <cell r="CF294">
            <v>22.617999999999999</v>
          </cell>
          <cell r="CJ294">
            <v>330</v>
          </cell>
          <cell r="CK294">
            <v>85.47</v>
          </cell>
          <cell r="CL294">
            <v>29.224</v>
          </cell>
          <cell r="CP294">
            <v>1642</v>
          </cell>
          <cell r="CQ294">
            <v>425.27800000000002</v>
          </cell>
          <cell r="CR294">
            <v>139.64400000000001</v>
          </cell>
          <cell r="CS294">
            <v>32.835933201341241</v>
          </cell>
          <cell r="CX294">
            <v>0</v>
          </cell>
          <cell r="CY294">
            <v>0</v>
          </cell>
          <cell r="CZ294">
            <v>0</v>
          </cell>
          <cell r="DA294">
            <v>0</v>
          </cell>
          <cell r="DF294">
            <v>0</v>
          </cell>
          <cell r="DG294">
            <v>0</v>
          </cell>
          <cell r="DH294">
            <v>0</v>
          </cell>
          <cell r="DI294">
            <v>0</v>
          </cell>
          <cell r="DN294">
            <v>782</v>
          </cell>
          <cell r="DO294">
            <v>202.53800000000001</v>
          </cell>
          <cell r="DP294">
            <v>64.561000000000007</v>
          </cell>
          <cell r="DQ294">
            <v>31.875993640699523</v>
          </cell>
          <cell r="DV294">
            <v>860</v>
          </cell>
          <cell r="DW294">
            <v>222.74</v>
          </cell>
          <cell r="DX294">
            <v>75.082999999999998</v>
          </cell>
          <cell r="DY294">
            <v>33.708808476250333</v>
          </cell>
        </row>
        <row r="295">
          <cell r="F295">
            <v>0</v>
          </cell>
          <cell r="G295">
            <v>0</v>
          </cell>
          <cell r="H295">
            <v>0</v>
          </cell>
          <cell r="I295">
            <v>0</v>
          </cell>
          <cell r="AX295">
            <v>0</v>
          </cell>
          <cell r="AY295">
            <v>0</v>
          </cell>
          <cell r="AZ295">
            <v>0</v>
          </cell>
          <cell r="BA295">
            <v>0</v>
          </cell>
          <cell r="CP295">
            <v>0</v>
          </cell>
          <cell r="CQ295">
            <v>0</v>
          </cell>
          <cell r="CR295">
            <v>0</v>
          </cell>
          <cell r="CS295">
            <v>0</v>
          </cell>
          <cell r="CX295">
            <v>0</v>
          </cell>
          <cell r="CY295">
            <v>0</v>
          </cell>
          <cell r="CZ295">
            <v>0</v>
          </cell>
          <cell r="DA295">
            <v>0</v>
          </cell>
          <cell r="DF295">
            <v>0</v>
          </cell>
          <cell r="DG295">
            <v>0</v>
          </cell>
          <cell r="DH295">
            <v>0</v>
          </cell>
          <cell r="DI295">
            <v>0</v>
          </cell>
          <cell r="DN295">
            <v>0</v>
          </cell>
          <cell r="DO295">
            <v>0</v>
          </cell>
          <cell r="DP295">
            <v>0</v>
          </cell>
          <cell r="DQ295">
            <v>0</v>
          </cell>
          <cell r="DV295">
            <v>0</v>
          </cell>
          <cell r="DW295">
            <v>0</v>
          </cell>
          <cell r="DX295">
            <v>0</v>
          </cell>
          <cell r="DY295">
            <v>0</v>
          </cell>
        </row>
        <row r="296">
          <cell r="F296">
            <v>0</v>
          </cell>
          <cell r="G296">
            <v>0</v>
          </cell>
          <cell r="H296">
            <v>0</v>
          </cell>
          <cell r="I296">
            <v>0</v>
          </cell>
          <cell r="AX296">
            <v>0</v>
          </cell>
          <cell r="AY296">
            <v>0</v>
          </cell>
          <cell r="AZ296">
            <v>0</v>
          </cell>
          <cell r="BA296">
            <v>0</v>
          </cell>
          <cell r="CP296">
            <v>0</v>
          </cell>
          <cell r="CQ296">
            <v>0</v>
          </cell>
          <cell r="CR296">
            <v>0</v>
          </cell>
          <cell r="CS296">
            <v>0</v>
          </cell>
          <cell r="CX296">
            <v>0</v>
          </cell>
          <cell r="CY296">
            <v>0</v>
          </cell>
          <cell r="CZ296">
            <v>0</v>
          </cell>
          <cell r="DA296">
            <v>0</v>
          </cell>
          <cell r="DF296">
            <v>0</v>
          </cell>
          <cell r="DG296">
            <v>0</v>
          </cell>
          <cell r="DH296">
            <v>0</v>
          </cell>
          <cell r="DI296">
            <v>0</v>
          </cell>
          <cell r="DN296">
            <v>0</v>
          </cell>
          <cell r="DO296">
            <v>0</v>
          </cell>
          <cell r="DP296">
            <v>0</v>
          </cell>
          <cell r="DQ296">
            <v>0</v>
          </cell>
          <cell r="DV296">
            <v>0</v>
          </cell>
          <cell r="DW296">
            <v>0</v>
          </cell>
          <cell r="DX296">
            <v>0</v>
          </cell>
          <cell r="DY296">
            <v>0</v>
          </cell>
        </row>
        <row r="297">
          <cell r="F297">
            <v>3142</v>
          </cell>
          <cell r="G297">
            <v>789.24599999999998</v>
          </cell>
          <cell r="H297">
            <v>155.63</v>
          </cell>
          <cell r="I297">
            <v>19.718820241090864</v>
          </cell>
          <cell r="N297">
            <v>100</v>
          </cell>
          <cell r="O297">
            <v>24.635000000000002</v>
          </cell>
          <cell r="P297">
            <v>-12.388999999999999</v>
          </cell>
          <cell r="T297">
            <v>100</v>
          </cell>
          <cell r="U297">
            <v>24.635000000000002</v>
          </cell>
          <cell r="V297">
            <v>-12.435</v>
          </cell>
          <cell r="Z297">
            <v>100</v>
          </cell>
          <cell r="AA297">
            <v>24.635000000000002</v>
          </cell>
          <cell r="AB297">
            <v>-12.435</v>
          </cell>
          <cell r="AF297">
            <v>100</v>
          </cell>
          <cell r="AG297">
            <v>24.635000000000002</v>
          </cell>
          <cell r="AH297">
            <v>-10.35</v>
          </cell>
          <cell r="AL297">
            <v>50</v>
          </cell>
          <cell r="AM297">
            <v>12.318</v>
          </cell>
          <cell r="AN297">
            <v>-1.099</v>
          </cell>
          <cell r="AR297">
            <v>100</v>
          </cell>
          <cell r="AS297">
            <v>24.635000000000002</v>
          </cell>
          <cell r="AT297">
            <v>2.9009999999999998</v>
          </cell>
          <cell r="AX297">
            <v>550</v>
          </cell>
          <cell r="AY297">
            <v>135.49300000000002</v>
          </cell>
          <cell r="AZ297">
            <v>-45.807000000000002</v>
          </cell>
          <cell r="BA297">
            <v>-33.807650579734741</v>
          </cell>
          <cell r="BF297">
            <v>386</v>
          </cell>
          <cell r="BG297">
            <v>97.199000000000012</v>
          </cell>
          <cell r="BH297">
            <v>26.887</v>
          </cell>
          <cell r="BL297">
            <v>430</v>
          </cell>
          <cell r="BM297">
            <v>108.595</v>
          </cell>
          <cell r="BN297">
            <v>31.164999999999999</v>
          </cell>
          <cell r="BR297">
            <v>416</v>
          </cell>
          <cell r="BS297">
            <v>104.96900000000001</v>
          </cell>
          <cell r="BT297">
            <v>32.332999999999998</v>
          </cell>
          <cell r="BX297">
            <v>420</v>
          </cell>
          <cell r="BY297">
            <v>106.00500000000001</v>
          </cell>
          <cell r="BZ297">
            <v>33.698</v>
          </cell>
          <cell r="CD297">
            <v>430</v>
          </cell>
          <cell r="CE297">
            <v>108.22499999999999</v>
          </cell>
          <cell r="CF297">
            <v>34.82</v>
          </cell>
          <cell r="CJ297">
            <v>510</v>
          </cell>
          <cell r="CK297">
            <v>128.76</v>
          </cell>
          <cell r="CL297">
            <v>42.533999999999999</v>
          </cell>
          <cell r="CP297">
            <v>2592</v>
          </cell>
          <cell r="CQ297">
            <v>653.75299999999993</v>
          </cell>
          <cell r="CR297">
            <v>201.43700000000001</v>
          </cell>
          <cell r="CS297">
            <v>30.812401625690445</v>
          </cell>
          <cell r="CX297">
            <v>300</v>
          </cell>
          <cell r="CY297">
            <v>73.905000000000001</v>
          </cell>
          <cell r="CZ297">
            <v>-37.259</v>
          </cell>
          <cell r="DA297">
            <v>-50.414721602056687</v>
          </cell>
          <cell r="DF297">
            <v>250</v>
          </cell>
          <cell r="DG297">
            <v>61.588000000000008</v>
          </cell>
          <cell r="DH297">
            <v>-8.548</v>
          </cell>
          <cell r="DI297">
            <v>-13.879327141650968</v>
          </cell>
          <cell r="DN297">
            <v>1232</v>
          </cell>
          <cell r="DO297">
            <v>310.76300000000003</v>
          </cell>
          <cell r="DP297">
            <v>90.385000000000005</v>
          </cell>
          <cell r="DQ297">
            <v>29.084865315368948</v>
          </cell>
          <cell r="DV297">
            <v>1360</v>
          </cell>
          <cell r="DW297">
            <v>342.99</v>
          </cell>
          <cell r="DX297">
            <v>111.05199999999999</v>
          </cell>
          <cell r="DY297">
            <v>32.377620338785384</v>
          </cell>
        </row>
        <row r="298">
          <cell r="F298">
            <v>300</v>
          </cell>
          <cell r="G298">
            <v>89.448000000000008</v>
          </cell>
          <cell r="H298">
            <v>49.753999999999998</v>
          </cell>
          <cell r="I298">
            <v>55.623378946426968</v>
          </cell>
          <cell r="N298">
            <v>0</v>
          </cell>
          <cell r="O298">
            <v>0</v>
          </cell>
          <cell r="P298">
            <v>0</v>
          </cell>
          <cell r="T298">
            <v>0</v>
          </cell>
          <cell r="U298">
            <v>0</v>
          </cell>
          <cell r="V298">
            <v>0</v>
          </cell>
          <cell r="Z298">
            <v>0</v>
          </cell>
          <cell r="AA298">
            <v>0</v>
          </cell>
          <cell r="AB298">
            <v>0</v>
          </cell>
          <cell r="AF298">
            <v>30</v>
          </cell>
          <cell r="AG298">
            <v>9.0960000000000001</v>
          </cell>
          <cell r="AH298">
            <v>3.7690000000000001</v>
          </cell>
          <cell r="AL298">
            <v>30</v>
          </cell>
          <cell r="AM298">
            <v>9.0960000000000001</v>
          </cell>
          <cell r="AN298">
            <v>4.4610000000000003</v>
          </cell>
          <cell r="AR298">
            <v>30</v>
          </cell>
          <cell r="AS298">
            <v>9.0960000000000001</v>
          </cell>
          <cell r="AT298">
            <v>4.8099999999999996</v>
          </cell>
          <cell r="AX298">
            <v>90</v>
          </cell>
          <cell r="AY298">
            <v>27.288</v>
          </cell>
          <cell r="AZ298">
            <v>13.040000000000001</v>
          </cell>
          <cell r="BA298">
            <v>47.786572852535912</v>
          </cell>
          <cell r="BF298">
            <v>30</v>
          </cell>
          <cell r="BG298">
            <v>8.8800000000000008</v>
          </cell>
          <cell r="BH298">
            <v>5.0060000000000002</v>
          </cell>
          <cell r="BL298">
            <v>30</v>
          </cell>
          <cell r="BM298">
            <v>8.8800000000000008</v>
          </cell>
          <cell r="BN298">
            <v>5.1020000000000003</v>
          </cell>
          <cell r="BR298">
            <v>30</v>
          </cell>
          <cell r="BS298">
            <v>8.8800000000000008</v>
          </cell>
          <cell r="BT298">
            <v>5.2629999999999999</v>
          </cell>
          <cell r="BX298">
            <v>40</v>
          </cell>
          <cell r="BY298">
            <v>11.84</v>
          </cell>
          <cell r="BZ298">
            <v>7.0759999999999996</v>
          </cell>
          <cell r="CD298">
            <v>40</v>
          </cell>
          <cell r="CE298">
            <v>11.84</v>
          </cell>
          <cell r="CF298">
            <v>7.1109999999999998</v>
          </cell>
          <cell r="CJ298">
            <v>40</v>
          </cell>
          <cell r="CK298">
            <v>11.84</v>
          </cell>
          <cell r="CL298">
            <v>7.1559999999999997</v>
          </cell>
          <cell r="CP298">
            <v>210</v>
          </cell>
          <cell r="CQ298">
            <v>62.160000000000004</v>
          </cell>
          <cell r="CR298">
            <v>36.713999999999999</v>
          </cell>
          <cell r="CS298">
            <v>59.063706563706553</v>
          </cell>
          <cell r="CX298">
            <v>0</v>
          </cell>
          <cell r="CY298">
            <v>0</v>
          </cell>
          <cell r="CZ298">
            <v>0</v>
          </cell>
          <cell r="DA298">
            <v>0</v>
          </cell>
          <cell r="DF298">
            <v>90</v>
          </cell>
          <cell r="DG298">
            <v>27.288</v>
          </cell>
          <cell r="DH298">
            <v>13.04</v>
          </cell>
          <cell r="DI298">
            <v>47.786572852535905</v>
          </cell>
          <cell r="DN298">
            <v>90</v>
          </cell>
          <cell r="DO298">
            <v>26.64</v>
          </cell>
          <cell r="DP298">
            <v>15.371</v>
          </cell>
          <cell r="DQ298">
            <v>57.698948948948946</v>
          </cell>
          <cell r="DV298">
            <v>120</v>
          </cell>
          <cell r="DW298">
            <v>35.519999999999996</v>
          </cell>
          <cell r="DX298">
            <v>21.343</v>
          </cell>
          <cell r="DY298">
            <v>60.087274774774777</v>
          </cell>
        </row>
        <row r="299">
          <cell r="F299">
            <v>0</v>
          </cell>
          <cell r="G299">
            <v>0</v>
          </cell>
          <cell r="H299">
            <v>0</v>
          </cell>
          <cell r="I299">
            <v>0</v>
          </cell>
          <cell r="O299">
            <v>0</v>
          </cell>
          <cell r="T299">
            <v>0</v>
          </cell>
          <cell r="U299">
            <v>0</v>
          </cell>
          <cell r="Z299">
            <v>0</v>
          </cell>
          <cell r="AA299">
            <v>0</v>
          </cell>
          <cell r="AF299">
            <v>0</v>
          </cell>
          <cell r="AG299">
            <v>0</v>
          </cell>
          <cell r="AL299">
            <v>0</v>
          </cell>
          <cell r="AM299">
            <v>0</v>
          </cell>
          <cell r="AR299">
            <v>0</v>
          </cell>
          <cell r="AS299">
            <v>0</v>
          </cell>
          <cell r="AX299">
            <v>0</v>
          </cell>
          <cell r="AY299">
            <v>0</v>
          </cell>
          <cell r="AZ299">
            <v>0</v>
          </cell>
          <cell r="BA299">
            <v>0</v>
          </cell>
          <cell r="BF299">
            <v>0</v>
          </cell>
          <cell r="BG299">
            <v>0</v>
          </cell>
          <cell r="BL299">
            <v>0</v>
          </cell>
          <cell r="BM299">
            <v>0</v>
          </cell>
          <cell r="BR299">
            <v>0</v>
          </cell>
          <cell r="BS299">
            <v>0</v>
          </cell>
          <cell r="BX299">
            <v>0</v>
          </cell>
          <cell r="BY299">
            <v>0</v>
          </cell>
          <cell r="CD299">
            <v>0</v>
          </cell>
          <cell r="CE299">
            <v>0</v>
          </cell>
          <cell r="CJ299">
            <v>0</v>
          </cell>
          <cell r="CK299">
            <v>0</v>
          </cell>
          <cell r="CP299">
            <v>0</v>
          </cell>
          <cell r="CQ299">
            <v>0</v>
          </cell>
          <cell r="CR299">
            <v>0</v>
          </cell>
          <cell r="CS299">
            <v>0</v>
          </cell>
          <cell r="CX299">
            <v>0</v>
          </cell>
          <cell r="CY299">
            <v>0</v>
          </cell>
          <cell r="CZ299">
            <v>0</v>
          </cell>
          <cell r="DA299">
            <v>0</v>
          </cell>
          <cell r="DF299">
            <v>0</v>
          </cell>
          <cell r="DG299">
            <v>0</v>
          </cell>
          <cell r="DH299">
            <v>0</v>
          </cell>
          <cell r="DI299">
            <v>0</v>
          </cell>
          <cell r="DN299">
            <v>0</v>
          </cell>
          <cell r="DO299">
            <v>0</v>
          </cell>
          <cell r="DP299">
            <v>0</v>
          </cell>
          <cell r="DQ299">
            <v>0</v>
          </cell>
          <cell r="DV299">
            <v>0</v>
          </cell>
          <cell r="DW299">
            <v>0</v>
          </cell>
          <cell r="DX299">
            <v>0</v>
          </cell>
          <cell r="DY299">
            <v>0</v>
          </cell>
        </row>
        <row r="300">
          <cell r="F300">
            <v>0</v>
          </cell>
          <cell r="G300">
            <v>0</v>
          </cell>
          <cell r="H300">
            <v>0</v>
          </cell>
          <cell r="I300">
            <v>0</v>
          </cell>
          <cell r="O300">
            <v>0</v>
          </cell>
          <cell r="T300">
            <v>0</v>
          </cell>
          <cell r="U300">
            <v>0</v>
          </cell>
          <cell r="Z300">
            <v>0</v>
          </cell>
          <cell r="AA300">
            <v>0</v>
          </cell>
          <cell r="AF300">
            <v>0</v>
          </cell>
          <cell r="AG300">
            <v>0</v>
          </cell>
          <cell r="AL300">
            <v>0</v>
          </cell>
          <cell r="AM300">
            <v>0</v>
          </cell>
          <cell r="AR300">
            <v>0</v>
          </cell>
          <cell r="AS300">
            <v>0</v>
          </cell>
          <cell r="AX300">
            <v>0</v>
          </cell>
          <cell r="AY300">
            <v>0</v>
          </cell>
          <cell r="AZ300">
            <v>0</v>
          </cell>
          <cell r="BA300">
            <v>0</v>
          </cell>
          <cell r="BF300">
            <v>0</v>
          </cell>
          <cell r="BG300">
            <v>0</v>
          </cell>
          <cell r="BL300">
            <v>0</v>
          </cell>
          <cell r="BM300">
            <v>0</v>
          </cell>
          <cell r="BR300">
            <v>0</v>
          </cell>
          <cell r="BS300">
            <v>0</v>
          </cell>
          <cell r="BX300">
            <v>0</v>
          </cell>
          <cell r="BY300">
            <v>0</v>
          </cell>
          <cell r="CD300">
            <v>0</v>
          </cell>
          <cell r="CE300">
            <v>0</v>
          </cell>
          <cell r="CJ300">
            <v>0</v>
          </cell>
          <cell r="CK300">
            <v>0</v>
          </cell>
          <cell r="CP300">
            <v>0</v>
          </cell>
          <cell r="CQ300">
            <v>0</v>
          </cell>
          <cell r="CR300">
            <v>0</v>
          </cell>
          <cell r="CS300">
            <v>0</v>
          </cell>
          <cell r="CX300">
            <v>0</v>
          </cell>
          <cell r="CY300">
            <v>0</v>
          </cell>
          <cell r="CZ300">
            <v>0</v>
          </cell>
          <cell r="DA300">
            <v>0</v>
          </cell>
          <cell r="DF300">
            <v>0</v>
          </cell>
          <cell r="DG300">
            <v>0</v>
          </cell>
          <cell r="DH300">
            <v>0</v>
          </cell>
          <cell r="DI300">
            <v>0</v>
          </cell>
          <cell r="DN300">
            <v>0</v>
          </cell>
          <cell r="DO300">
            <v>0</v>
          </cell>
          <cell r="DP300">
            <v>0</v>
          </cell>
          <cell r="DQ300">
            <v>0</v>
          </cell>
          <cell r="DV300">
            <v>0</v>
          </cell>
          <cell r="DW300">
            <v>0</v>
          </cell>
          <cell r="DX300">
            <v>0</v>
          </cell>
          <cell r="DY300">
            <v>0</v>
          </cell>
        </row>
        <row r="301">
          <cell r="F301">
            <v>300</v>
          </cell>
          <cell r="G301">
            <v>89.448000000000008</v>
          </cell>
          <cell r="H301">
            <v>49.753999999999998</v>
          </cell>
          <cell r="I301">
            <v>55.623378946426968</v>
          </cell>
          <cell r="N301">
            <v>0</v>
          </cell>
          <cell r="O301">
            <v>0</v>
          </cell>
          <cell r="P301">
            <v>0</v>
          </cell>
          <cell r="T301">
            <v>0</v>
          </cell>
          <cell r="U301">
            <v>0</v>
          </cell>
          <cell r="V301">
            <v>0</v>
          </cell>
          <cell r="Z301">
            <v>0</v>
          </cell>
          <cell r="AA301">
            <v>0</v>
          </cell>
          <cell r="AB301">
            <v>0</v>
          </cell>
          <cell r="AF301">
            <v>30</v>
          </cell>
          <cell r="AG301">
            <v>9.0960000000000001</v>
          </cell>
          <cell r="AH301">
            <v>3.7690000000000001</v>
          </cell>
          <cell r="AL301">
            <v>30</v>
          </cell>
          <cell r="AM301">
            <v>9.0960000000000001</v>
          </cell>
          <cell r="AN301">
            <v>4.4610000000000003</v>
          </cell>
          <cell r="AR301">
            <v>30</v>
          </cell>
          <cell r="AS301">
            <v>9.0960000000000001</v>
          </cell>
          <cell r="AT301">
            <v>4.8099999999999996</v>
          </cell>
          <cell r="AX301">
            <v>90</v>
          </cell>
          <cell r="AY301">
            <v>27.288</v>
          </cell>
          <cell r="AZ301">
            <v>13.040000000000001</v>
          </cell>
          <cell r="BA301">
            <v>47.786572852535912</v>
          </cell>
          <cell r="BF301">
            <v>30</v>
          </cell>
          <cell r="BG301">
            <v>8.8800000000000008</v>
          </cell>
          <cell r="BH301">
            <v>5.0060000000000002</v>
          </cell>
          <cell r="BL301">
            <v>30</v>
          </cell>
          <cell r="BM301">
            <v>8.8800000000000008</v>
          </cell>
          <cell r="BN301">
            <v>5.1020000000000003</v>
          </cell>
          <cell r="BR301">
            <v>30</v>
          </cell>
          <cell r="BS301">
            <v>8.8800000000000008</v>
          </cell>
          <cell r="BT301">
            <v>5.2629999999999999</v>
          </cell>
          <cell r="BX301">
            <v>40</v>
          </cell>
          <cell r="BY301">
            <v>11.84</v>
          </cell>
          <cell r="BZ301">
            <v>7.0759999999999996</v>
          </cell>
          <cell r="CD301">
            <v>40</v>
          </cell>
          <cell r="CE301">
            <v>11.84</v>
          </cell>
          <cell r="CF301">
            <v>7.1109999999999998</v>
          </cell>
          <cell r="CJ301">
            <v>40</v>
          </cell>
          <cell r="CK301">
            <v>11.84</v>
          </cell>
          <cell r="CL301">
            <v>7.1559999999999997</v>
          </cell>
          <cell r="CP301">
            <v>210</v>
          </cell>
          <cell r="CQ301">
            <v>62.160000000000004</v>
          </cell>
          <cell r="CR301">
            <v>36.713999999999999</v>
          </cell>
          <cell r="CS301">
            <v>59.063706563706553</v>
          </cell>
          <cell r="CX301">
            <v>0</v>
          </cell>
          <cell r="CY301">
            <v>0</v>
          </cell>
          <cell r="CZ301">
            <v>0</v>
          </cell>
          <cell r="DA301">
            <v>0</v>
          </cell>
          <cell r="DF301">
            <v>90</v>
          </cell>
          <cell r="DG301">
            <v>27.288</v>
          </cell>
          <cell r="DH301">
            <v>13.04</v>
          </cell>
          <cell r="DI301">
            <v>47.786572852535905</v>
          </cell>
          <cell r="DN301">
            <v>90</v>
          </cell>
          <cell r="DO301">
            <v>26.64</v>
          </cell>
          <cell r="DP301">
            <v>15.371</v>
          </cell>
          <cell r="DQ301">
            <v>57.698948948948946</v>
          </cell>
          <cell r="DV301">
            <v>120</v>
          </cell>
          <cell r="DW301">
            <v>35.519999999999996</v>
          </cell>
          <cell r="DX301">
            <v>21.343</v>
          </cell>
          <cell r="DY301">
            <v>60.087274774774777</v>
          </cell>
        </row>
        <row r="302">
          <cell r="F302">
            <v>1000</v>
          </cell>
          <cell r="G302">
            <v>303.39800000000002</v>
          </cell>
          <cell r="H302">
            <v>55.394000000000005</v>
          </cell>
          <cell r="I302">
            <v>18.257865905510254</v>
          </cell>
          <cell r="N302">
            <v>0</v>
          </cell>
          <cell r="O302">
            <v>0</v>
          </cell>
          <cell r="P302">
            <v>0</v>
          </cell>
          <cell r="T302">
            <v>0</v>
          </cell>
          <cell r="U302">
            <v>0</v>
          </cell>
          <cell r="V302">
            <v>0</v>
          </cell>
          <cell r="Z302">
            <v>0</v>
          </cell>
          <cell r="AA302">
            <v>0</v>
          </cell>
          <cell r="AB302">
            <v>0</v>
          </cell>
          <cell r="AF302">
            <v>0</v>
          </cell>
          <cell r="AG302">
            <v>0</v>
          </cell>
          <cell r="AH302">
            <v>0</v>
          </cell>
          <cell r="AL302">
            <v>0</v>
          </cell>
          <cell r="AM302">
            <v>0</v>
          </cell>
          <cell r="AN302">
            <v>0</v>
          </cell>
          <cell r="AR302">
            <v>0</v>
          </cell>
          <cell r="AS302">
            <v>0</v>
          </cell>
          <cell r="AT302">
            <v>0</v>
          </cell>
          <cell r="AX302">
            <v>0</v>
          </cell>
          <cell r="AY302">
            <v>0</v>
          </cell>
          <cell r="AZ302">
            <v>0</v>
          </cell>
          <cell r="BA302">
            <v>0</v>
          </cell>
          <cell r="BF302">
            <v>166</v>
          </cell>
          <cell r="BG302">
            <v>50.363999999999997</v>
          </cell>
          <cell r="BH302">
            <v>8.0380000000000003</v>
          </cell>
          <cell r="BL302">
            <v>166</v>
          </cell>
          <cell r="BM302">
            <v>50.363999999999997</v>
          </cell>
          <cell r="BN302">
            <v>9.1880000000000006</v>
          </cell>
          <cell r="BR302">
            <v>166</v>
          </cell>
          <cell r="BS302">
            <v>50.363999999999997</v>
          </cell>
          <cell r="BT302">
            <v>8.9689999999999994</v>
          </cell>
          <cell r="BX302">
            <v>166</v>
          </cell>
          <cell r="BY302">
            <v>50.363999999999997</v>
          </cell>
          <cell r="BZ302">
            <v>9.077</v>
          </cell>
          <cell r="CD302">
            <v>166</v>
          </cell>
          <cell r="CE302">
            <v>50.363999999999997</v>
          </cell>
          <cell r="CF302">
            <v>9.3680000000000003</v>
          </cell>
          <cell r="CJ302">
            <v>170</v>
          </cell>
          <cell r="CK302">
            <v>51.578000000000003</v>
          </cell>
          <cell r="CL302">
            <v>10.754</v>
          </cell>
          <cell r="CP302">
            <v>1000</v>
          </cell>
          <cell r="CQ302">
            <v>303.39800000000002</v>
          </cell>
          <cell r="CR302">
            <v>55.394000000000005</v>
          </cell>
          <cell r="CS302">
            <v>18.257865905510254</v>
          </cell>
          <cell r="CX302">
            <v>0</v>
          </cell>
          <cell r="CY302">
            <v>0</v>
          </cell>
          <cell r="CZ302">
            <v>0</v>
          </cell>
          <cell r="DA302">
            <v>0</v>
          </cell>
          <cell r="DF302">
            <v>0</v>
          </cell>
          <cell r="DG302">
            <v>0</v>
          </cell>
          <cell r="DH302">
            <v>0</v>
          </cell>
          <cell r="DI302">
            <v>0</v>
          </cell>
          <cell r="DN302">
            <v>498</v>
          </cell>
          <cell r="DO302">
            <v>151.09199999999998</v>
          </cell>
          <cell r="DP302">
            <v>26.195</v>
          </cell>
          <cell r="DQ302">
            <v>17.337119106239911</v>
          </cell>
          <cell r="DV302">
            <v>502</v>
          </cell>
          <cell r="DW302">
            <v>152.30599999999998</v>
          </cell>
          <cell r="DX302">
            <v>29.198999999999998</v>
          </cell>
          <cell r="DY302">
            <v>19.171273620211942</v>
          </cell>
        </row>
        <row r="303">
          <cell r="F303">
            <v>0</v>
          </cell>
          <cell r="G303">
            <v>0</v>
          </cell>
          <cell r="H303">
            <v>0</v>
          </cell>
          <cell r="I303">
            <v>0</v>
          </cell>
          <cell r="N303">
            <v>0</v>
          </cell>
          <cell r="O303">
            <v>0</v>
          </cell>
          <cell r="T303">
            <v>0</v>
          </cell>
          <cell r="U303">
            <v>0</v>
          </cell>
          <cell r="Z303">
            <v>0</v>
          </cell>
          <cell r="AA303">
            <v>0</v>
          </cell>
          <cell r="AF303">
            <v>0</v>
          </cell>
          <cell r="AG303">
            <v>0</v>
          </cell>
          <cell r="AL303">
            <v>0</v>
          </cell>
          <cell r="AM303">
            <v>0</v>
          </cell>
          <cell r="AR303">
            <v>0</v>
          </cell>
          <cell r="AS303">
            <v>0</v>
          </cell>
          <cell r="AX303">
            <v>0</v>
          </cell>
          <cell r="AY303">
            <v>0</v>
          </cell>
          <cell r="AZ303">
            <v>0</v>
          </cell>
          <cell r="BA303">
            <v>0</v>
          </cell>
          <cell r="BF303">
            <v>0</v>
          </cell>
          <cell r="BG303">
            <v>0</v>
          </cell>
          <cell r="BL303">
            <v>0</v>
          </cell>
          <cell r="BM303">
            <v>0</v>
          </cell>
          <cell r="BR303">
            <v>0</v>
          </cell>
          <cell r="BS303">
            <v>0</v>
          </cell>
          <cell r="BX303">
            <v>0</v>
          </cell>
          <cell r="BY303">
            <v>0</v>
          </cell>
          <cell r="CD303">
            <v>0</v>
          </cell>
          <cell r="CE303">
            <v>0</v>
          </cell>
          <cell r="CJ303">
            <v>0</v>
          </cell>
          <cell r="CK303">
            <v>0</v>
          </cell>
          <cell r="CP303">
            <v>0</v>
          </cell>
          <cell r="CQ303">
            <v>0</v>
          </cell>
          <cell r="CR303">
            <v>0</v>
          </cell>
          <cell r="CS303">
            <v>0</v>
          </cell>
          <cell r="CX303">
            <v>0</v>
          </cell>
          <cell r="CY303">
            <v>0</v>
          </cell>
          <cell r="CZ303">
            <v>0</v>
          </cell>
          <cell r="DA303">
            <v>0</v>
          </cell>
          <cell r="DF303">
            <v>0</v>
          </cell>
          <cell r="DG303">
            <v>0</v>
          </cell>
          <cell r="DH303">
            <v>0</v>
          </cell>
          <cell r="DI303">
            <v>0</v>
          </cell>
          <cell r="DN303">
            <v>0</v>
          </cell>
          <cell r="DO303">
            <v>0</v>
          </cell>
          <cell r="DP303">
            <v>0</v>
          </cell>
          <cell r="DQ303">
            <v>0</v>
          </cell>
          <cell r="DV303">
            <v>0</v>
          </cell>
          <cell r="DW303">
            <v>0</v>
          </cell>
          <cell r="DX303">
            <v>0</v>
          </cell>
          <cell r="DY303">
            <v>0</v>
          </cell>
        </row>
        <row r="304">
          <cell r="F304">
            <v>1000</v>
          </cell>
          <cell r="G304">
            <v>303.39800000000002</v>
          </cell>
          <cell r="H304">
            <v>55.394000000000005</v>
          </cell>
          <cell r="I304">
            <v>18.257865905510254</v>
          </cell>
          <cell r="N304">
            <v>0</v>
          </cell>
          <cell r="O304">
            <v>0</v>
          </cell>
          <cell r="P304">
            <v>0</v>
          </cell>
          <cell r="T304">
            <v>0</v>
          </cell>
          <cell r="U304">
            <v>0</v>
          </cell>
          <cell r="V304">
            <v>0</v>
          </cell>
          <cell r="Z304">
            <v>0</v>
          </cell>
          <cell r="AA304">
            <v>0</v>
          </cell>
          <cell r="AB304">
            <v>0</v>
          </cell>
          <cell r="AF304">
            <v>0</v>
          </cell>
          <cell r="AG304">
            <v>0</v>
          </cell>
          <cell r="AH304">
            <v>0</v>
          </cell>
          <cell r="AL304">
            <v>0</v>
          </cell>
          <cell r="AM304">
            <v>0</v>
          </cell>
          <cell r="AN304">
            <v>0</v>
          </cell>
          <cell r="AR304">
            <v>0</v>
          </cell>
          <cell r="AS304">
            <v>0</v>
          </cell>
          <cell r="AT304">
            <v>0</v>
          </cell>
          <cell r="AX304">
            <v>0</v>
          </cell>
          <cell r="AY304">
            <v>0</v>
          </cell>
          <cell r="AZ304">
            <v>0</v>
          </cell>
          <cell r="BA304">
            <v>0</v>
          </cell>
          <cell r="BF304">
            <v>166</v>
          </cell>
          <cell r="BG304">
            <v>50.363999999999997</v>
          </cell>
          <cell r="BH304">
            <v>8.0380000000000003</v>
          </cell>
          <cell r="BL304">
            <v>166</v>
          </cell>
          <cell r="BM304">
            <v>50.363999999999997</v>
          </cell>
          <cell r="BN304">
            <v>9.1880000000000006</v>
          </cell>
          <cell r="BR304">
            <v>166</v>
          </cell>
          <cell r="BS304">
            <v>50.363999999999997</v>
          </cell>
          <cell r="BT304">
            <v>8.9689999999999994</v>
          </cell>
          <cell r="BX304">
            <v>166</v>
          </cell>
          <cell r="BY304">
            <v>50.363999999999997</v>
          </cell>
          <cell r="BZ304">
            <v>9.077</v>
          </cell>
          <cell r="CD304">
            <v>166</v>
          </cell>
          <cell r="CE304">
            <v>50.363999999999997</v>
          </cell>
          <cell r="CF304">
            <v>9.3680000000000003</v>
          </cell>
          <cell r="CJ304">
            <v>170</v>
          </cell>
          <cell r="CK304">
            <v>51.578000000000003</v>
          </cell>
          <cell r="CL304">
            <v>10.754</v>
          </cell>
          <cell r="CP304">
            <v>1000</v>
          </cell>
          <cell r="CQ304">
            <v>303.39800000000002</v>
          </cell>
          <cell r="CR304">
            <v>55.394000000000005</v>
          </cell>
          <cell r="CS304">
            <v>18.257865905510254</v>
          </cell>
          <cell r="CX304">
            <v>0</v>
          </cell>
          <cell r="CY304">
            <v>0</v>
          </cell>
          <cell r="CZ304">
            <v>0</v>
          </cell>
          <cell r="DA304">
            <v>0</v>
          </cell>
          <cell r="DF304">
            <v>0</v>
          </cell>
          <cell r="DG304">
            <v>0</v>
          </cell>
          <cell r="DH304">
            <v>0</v>
          </cell>
          <cell r="DI304">
            <v>0</v>
          </cell>
          <cell r="DN304">
            <v>498</v>
          </cell>
          <cell r="DO304">
            <v>151.09199999999998</v>
          </cell>
          <cell r="DP304">
            <v>26.195</v>
          </cell>
          <cell r="DQ304">
            <v>17.337119106239911</v>
          </cell>
          <cell r="DV304">
            <v>502</v>
          </cell>
          <cell r="DW304">
            <v>152.30599999999998</v>
          </cell>
          <cell r="DX304">
            <v>29.198999999999998</v>
          </cell>
          <cell r="DY304">
            <v>19.171273620211942</v>
          </cell>
        </row>
        <row r="305">
          <cell r="F305">
            <v>17209.804</v>
          </cell>
          <cell r="G305">
            <v>3854.9549999999999</v>
          </cell>
          <cell r="H305">
            <v>248.17699999999999</v>
          </cell>
          <cell r="I305">
            <v>6.437870221571977</v>
          </cell>
          <cell r="N305">
            <v>760</v>
          </cell>
          <cell r="O305">
            <v>167.13899999999998</v>
          </cell>
          <cell r="P305">
            <v>-33.418999999999997</v>
          </cell>
          <cell r="T305">
            <v>795</v>
          </cell>
          <cell r="U305">
            <v>175.09799999999998</v>
          </cell>
          <cell r="V305">
            <v>-34.68</v>
          </cell>
          <cell r="Z305">
            <v>800.80600000000004</v>
          </cell>
          <cell r="AA305">
            <v>176.31099999999998</v>
          </cell>
          <cell r="AB305">
            <v>-29.182000000000002</v>
          </cell>
          <cell r="AF305">
            <v>841.60599999999999</v>
          </cell>
          <cell r="AG305">
            <v>188.01599999999999</v>
          </cell>
          <cell r="AH305">
            <v>-27.198</v>
          </cell>
          <cell r="AL305">
            <v>801.67200000000003</v>
          </cell>
          <cell r="AM305">
            <v>180.44399999999999</v>
          </cell>
          <cell r="AN305">
            <v>-10.622000000000002</v>
          </cell>
          <cell r="AR305">
            <v>1030</v>
          </cell>
          <cell r="AS305">
            <v>229.40899999999999</v>
          </cell>
          <cell r="AT305">
            <v>-2.211000000000003</v>
          </cell>
          <cell r="AX305">
            <v>5029.0839999999998</v>
          </cell>
          <cell r="AY305">
            <v>1116.4170000000001</v>
          </cell>
          <cell r="AZ305">
            <v>-137.31200000000001</v>
          </cell>
          <cell r="BA305">
            <v>-12.299346928611801</v>
          </cell>
          <cell r="BF305">
            <v>1671.3440000000001</v>
          </cell>
          <cell r="BG305">
            <v>385.584</v>
          </cell>
          <cell r="BH305">
            <v>38.411000000000001</v>
          </cell>
          <cell r="BL305">
            <v>1985.3440000000001</v>
          </cell>
          <cell r="BM305">
            <v>445.59800000000001</v>
          </cell>
          <cell r="BN305">
            <v>53.128</v>
          </cell>
          <cell r="BR305">
            <v>2001.3440000000001</v>
          </cell>
          <cell r="BS305">
            <v>450.25999999999993</v>
          </cell>
          <cell r="BT305">
            <v>55.878</v>
          </cell>
          <cell r="BX305">
            <v>2070.3440000000001</v>
          </cell>
          <cell r="BY305">
            <v>461.54499999999996</v>
          </cell>
          <cell r="BZ305">
            <v>71.765000000000001</v>
          </cell>
          <cell r="CD305">
            <v>2095.3440000000001</v>
          </cell>
          <cell r="CE305">
            <v>468.0569999999999</v>
          </cell>
          <cell r="CF305">
            <v>74.872</v>
          </cell>
          <cell r="CJ305">
            <v>2357</v>
          </cell>
          <cell r="CK305">
            <v>527.49400000000003</v>
          </cell>
          <cell r="CL305">
            <v>91.435000000000016</v>
          </cell>
          <cell r="CP305">
            <v>12180.720000000001</v>
          </cell>
          <cell r="CQ305">
            <v>2738.538</v>
          </cell>
          <cell r="CR305">
            <v>385.48899999999998</v>
          </cell>
          <cell r="CS305">
            <v>14.076452472085469</v>
          </cell>
          <cell r="CX305">
            <v>2355.806</v>
          </cell>
          <cell r="CY305">
            <v>518.548</v>
          </cell>
          <cell r="CZ305">
            <v>-97.281000000000006</v>
          </cell>
          <cell r="DA305">
            <v>-18.760269058987792</v>
          </cell>
          <cell r="DF305">
            <v>2673.2780000000002</v>
          </cell>
          <cell r="DG305">
            <v>597.86900000000003</v>
          </cell>
          <cell r="DH305">
            <v>-40.030999999999999</v>
          </cell>
          <cell r="DI305">
            <v>-6.6956139221133721</v>
          </cell>
          <cell r="DN305">
            <v>5658.0320000000002</v>
          </cell>
          <cell r="DO305">
            <v>1281.442</v>
          </cell>
          <cell r="DP305">
            <v>147.417</v>
          </cell>
          <cell r="DQ305">
            <v>11.503993157708269</v>
          </cell>
          <cell r="DV305">
            <v>6522.6880000000001</v>
          </cell>
          <cell r="DW305">
            <v>1457.096</v>
          </cell>
          <cell r="DX305">
            <v>238.072</v>
          </cell>
          <cell r="DY305">
            <v>16.33879991435019</v>
          </cell>
        </row>
        <row r="306">
          <cell r="F306">
            <v>508</v>
          </cell>
          <cell r="G306">
            <v>26.576999999999998</v>
          </cell>
          <cell r="H306">
            <v>-8.9640000000000004</v>
          </cell>
          <cell r="I306">
            <v>-33.728411784625806</v>
          </cell>
          <cell r="N306">
            <v>40</v>
          </cell>
          <cell r="O306">
            <v>2.1219999999999999</v>
          </cell>
          <cell r="P306">
            <v>0.16600000000000001</v>
          </cell>
          <cell r="T306">
            <v>31</v>
          </cell>
          <cell r="U306">
            <v>1.645</v>
          </cell>
          <cell r="V306">
            <v>0.129</v>
          </cell>
          <cell r="Z306">
            <v>31</v>
          </cell>
          <cell r="AA306">
            <v>1.645</v>
          </cell>
          <cell r="AB306">
            <v>-4.9000000000000002E-2</v>
          </cell>
          <cell r="AF306">
            <v>31</v>
          </cell>
          <cell r="AG306">
            <v>1.645</v>
          </cell>
          <cell r="AH306">
            <v>-0.33900000000000002</v>
          </cell>
          <cell r="AL306">
            <v>36</v>
          </cell>
          <cell r="AM306">
            <v>1.91</v>
          </cell>
          <cell r="AN306">
            <v>-0.56299999999999994</v>
          </cell>
          <cell r="AR306">
            <v>40</v>
          </cell>
          <cell r="AS306">
            <v>2.1219999999999999</v>
          </cell>
          <cell r="AT306">
            <v>-0.81899999999999995</v>
          </cell>
          <cell r="AX306">
            <v>209</v>
          </cell>
          <cell r="AY306">
            <v>11.088999999999999</v>
          </cell>
          <cell r="AZ306">
            <v>-1.4749999999999999</v>
          </cell>
          <cell r="BA306">
            <v>-13.301469925151052</v>
          </cell>
          <cell r="BF306">
            <v>50</v>
          </cell>
          <cell r="BG306">
            <v>2.59</v>
          </cell>
          <cell r="BH306">
            <v>-1.1850000000000001</v>
          </cell>
          <cell r="BL306">
            <v>50</v>
          </cell>
          <cell r="BM306">
            <v>2.59</v>
          </cell>
          <cell r="BN306">
            <v>-1.2849999999999999</v>
          </cell>
          <cell r="BR306">
            <v>49</v>
          </cell>
          <cell r="BS306">
            <v>2.5379999999999998</v>
          </cell>
          <cell r="BT306">
            <v>-1.2529999999999999</v>
          </cell>
          <cell r="BX306">
            <v>50</v>
          </cell>
          <cell r="BY306">
            <v>2.59</v>
          </cell>
          <cell r="BZ306">
            <v>-1.272</v>
          </cell>
          <cell r="CD306">
            <v>50</v>
          </cell>
          <cell r="CE306">
            <v>2.59</v>
          </cell>
          <cell r="CF306">
            <v>-1.2609999999999999</v>
          </cell>
          <cell r="CJ306">
            <v>50</v>
          </cell>
          <cell r="CK306">
            <v>2.59</v>
          </cell>
          <cell r="CL306">
            <v>-1.2330000000000001</v>
          </cell>
          <cell r="CP306">
            <v>299</v>
          </cell>
          <cell r="CQ306">
            <v>15.488</v>
          </cell>
          <cell r="CR306">
            <v>-7.4890000000000008</v>
          </cell>
          <cell r="CS306">
            <v>-48.353564049586787</v>
          </cell>
          <cell r="CX306">
            <v>102</v>
          </cell>
          <cell r="CY306">
            <v>5.4119999999999999</v>
          </cell>
          <cell r="CZ306">
            <v>0.24600000000000005</v>
          </cell>
          <cell r="DA306">
            <v>4.5454545454545459</v>
          </cell>
          <cell r="DF306">
            <v>107</v>
          </cell>
          <cell r="DG306">
            <v>5.6769999999999996</v>
          </cell>
          <cell r="DH306">
            <v>-1.7209999999999999</v>
          </cell>
          <cell r="DI306">
            <v>-30.315307380658794</v>
          </cell>
          <cell r="DN306">
            <v>149</v>
          </cell>
          <cell r="DO306">
            <v>7.718</v>
          </cell>
          <cell r="DP306">
            <v>-3.7229999999999999</v>
          </cell>
          <cell r="DQ306">
            <v>-48.237885462555063</v>
          </cell>
          <cell r="DV306">
            <v>150</v>
          </cell>
          <cell r="DW306">
            <v>7.77</v>
          </cell>
          <cell r="DX306">
            <v>-3.766</v>
          </cell>
          <cell r="DY306">
            <v>-48.468468468468473</v>
          </cell>
        </row>
        <row r="307">
          <cell r="F307">
            <v>1860</v>
          </cell>
          <cell r="G307">
            <v>291.61500000000001</v>
          </cell>
          <cell r="H307">
            <v>82.277999999999992</v>
          </cell>
          <cell r="I307">
            <v>28.21459801450542</v>
          </cell>
          <cell r="N307">
            <v>125</v>
          </cell>
          <cell r="O307">
            <v>19.898</v>
          </cell>
          <cell r="P307">
            <v>2.9209999999999998</v>
          </cell>
          <cell r="T307">
            <v>125</v>
          </cell>
          <cell r="U307">
            <v>19.898</v>
          </cell>
          <cell r="V307">
            <v>4.202</v>
          </cell>
          <cell r="Z307">
            <v>100</v>
          </cell>
          <cell r="AA307">
            <v>15.917999999999999</v>
          </cell>
          <cell r="AB307">
            <v>1.617</v>
          </cell>
          <cell r="AF307">
            <v>100</v>
          </cell>
          <cell r="AG307">
            <v>15.917999999999999</v>
          </cell>
          <cell r="AH307">
            <v>3.5950000000000002</v>
          </cell>
          <cell r="AL307">
            <v>100</v>
          </cell>
          <cell r="AM307">
            <v>15.917999999999999</v>
          </cell>
          <cell r="AN307">
            <v>2.4670000000000001</v>
          </cell>
          <cell r="AR307">
            <v>130</v>
          </cell>
          <cell r="AS307">
            <v>20.693000000000001</v>
          </cell>
          <cell r="AT307">
            <v>4.5039999999999996</v>
          </cell>
          <cell r="AX307">
            <v>680</v>
          </cell>
          <cell r="AY307">
            <v>108.24299999999999</v>
          </cell>
          <cell r="AZ307">
            <v>19.305999999999997</v>
          </cell>
          <cell r="BA307">
            <v>17.835795386306735</v>
          </cell>
          <cell r="BF307">
            <v>175</v>
          </cell>
          <cell r="BG307">
            <v>27.195</v>
          </cell>
          <cell r="BH307">
            <v>8.6180000000000003</v>
          </cell>
          <cell r="BL307">
            <v>180</v>
          </cell>
          <cell r="BM307">
            <v>27.972000000000001</v>
          </cell>
          <cell r="BN307">
            <v>9.7569999999999997</v>
          </cell>
          <cell r="BR307">
            <v>185</v>
          </cell>
          <cell r="BS307">
            <v>28.748999999999999</v>
          </cell>
          <cell r="BT307">
            <v>9.4529999999999994</v>
          </cell>
          <cell r="BX307">
            <v>190</v>
          </cell>
          <cell r="BY307">
            <v>29.526</v>
          </cell>
          <cell r="BZ307">
            <v>10.144</v>
          </cell>
          <cell r="CD307">
            <v>210</v>
          </cell>
          <cell r="CE307">
            <v>32.634</v>
          </cell>
          <cell r="CF307">
            <v>11.526</v>
          </cell>
          <cell r="CJ307">
            <v>240</v>
          </cell>
          <cell r="CK307">
            <v>37.295999999999999</v>
          </cell>
          <cell r="CL307">
            <v>13.474</v>
          </cell>
          <cell r="CP307">
            <v>1180</v>
          </cell>
          <cell r="CQ307">
            <v>183.37200000000001</v>
          </cell>
          <cell r="CR307">
            <v>62.971999999999994</v>
          </cell>
          <cell r="CS307">
            <v>34.341120781798736</v>
          </cell>
          <cell r="CX307">
            <v>350</v>
          </cell>
          <cell r="CY307">
            <v>55.713999999999999</v>
          </cell>
          <cell r="CZ307">
            <v>8.7399999999999984</v>
          </cell>
          <cell r="DA307">
            <v>15.687259934666328</v>
          </cell>
          <cell r="DF307">
            <v>330</v>
          </cell>
          <cell r="DG307">
            <v>52.528999999999996</v>
          </cell>
          <cell r="DH307">
            <v>10.565999999999999</v>
          </cell>
          <cell r="DI307">
            <v>20.114603361952444</v>
          </cell>
          <cell r="DN307">
            <v>540</v>
          </cell>
          <cell r="DO307">
            <v>83.915999999999997</v>
          </cell>
          <cell r="DP307">
            <v>27.827999999999999</v>
          </cell>
          <cell r="DQ307">
            <v>33.161733161733167</v>
          </cell>
          <cell r="DV307">
            <v>640</v>
          </cell>
          <cell r="DW307">
            <v>99.455999999999989</v>
          </cell>
          <cell r="DX307">
            <v>35.144000000000005</v>
          </cell>
          <cell r="DY307">
            <v>35.336229086229096</v>
          </cell>
        </row>
        <row r="308">
          <cell r="F308">
            <v>0</v>
          </cell>
          <cell r="G308">
            <v>0</v>
          </cell>
          <cell r="H308">
            <v>0</v>
          </cell>
          <cell r="I308">
            <v>0</v>
          </cell>
          <cell r="AX308">
            <v>0</v>
          </cell>
          <cell r="AY308">
            <v>0</v>
          </cell>
          <cell r="AZ308">
            <v>0</v>
          </cell>
          <cell r="BA308">
            <v>0</v>
          </cell>
          <cell r="CP308">
            <v>0</v>
          </cell>
          <cell r="CQ308">
            <v>0</v>
          </cell>
          <cell r="CR308">
            <v>0</v>
          </cell>
          <cell r="CS308">
            <v>0</v>
          </cell>
          <cell r="CX308">
            <v>0</v>
          </cell>
          <cell r="CY308">
            <v>0</v>
          </cell>
          <cell r="CZ308">
            <v>0</v>
          </cell>
          <cell r="DA308">
            <v>0</v>
          </cell>
          <cell r="DF308">
            <v>0</v>
          </cell>
          <cell r="DG308">
            <v>0</v>
          </cell>
          <cell r="DH308">
            <v>0</v>
          </cell>
          <cell r="DI308">
            <v>0</v>
          </cell>
          <cell r="DN308">
            <v>0</v>
          </cell>
          <cell r="DO308">
            <v>0</v>
          </cell>
          <cell r="DP308">
            <v>0</v>
          </cell>
          <cell r="DQ308">
            <v>0</v>
          </cell>
          <cell r="DV308">
            <v>0</v>
          </cell>
          <cell r="DW308">
            <v>0</v>
          </cell>
          <cell r="DX308">
            <v>0</v>
          </cell>
          <cell r="DY308">
            <v>0</v>
          </cell>
        </row>
        <row r="309">
          <cell r="F309">
            <v>0</v>
          </cell>
          <cell r="G309">
            <v>0</v>
          </cell>
          <cell r="H309">
            <v>0</v>
          </cell>
          <cell r="I309">
            <v>0</v>
          </cell>
          <cell r="AX309">
            <v>0</v>
          </cell>
          <cell r="AY309">
            <v>0</v>
          </cell>
          <cell r="AZ309">
            <v>0</v>
          </cell>
          <cell r="BA309">
            <v>0</v>
          </cell>
          <cell r="CP309">
            <v>0</v>
          </cell>
          <cell r="CQ309">
            <v>0</v>
          </cell>
          <cell r="CR309">
            <v>0</v>
          </cell>
          <cell r="CS309">
            <v>0</v>
          </cell>
          <cell r="CX309">
            <v>0</v>
          </cell>
          <cell r="CY309">
            <v>0</v>
          </cell>
          <cell r="CZ309">
            <v>0</v>
          </cell>
          <cell r="DA309">
            <v>0</v>
          </cell>
          <cell r="DF309">
            <v>0</v>
          </cell>
          <cell r="DG309">
            <v>0</v>
          </cell>
          <cell r="DH309">
            <v>0</v>
          </cell>
          <cell r="DI309">
            <v>0</v>
          </cell>
          <cell r="DN309">
            <v>0</v>
          </cell>
          <cell r="DO309">
            <v>0</v>
          </cell>
          <cell r="DP309">
            <v>0</v>
          </cell>
          <cell r="DQ309">
            <v>0</v>
          </cell>
          <cell r="DV309">
            <v>0</v>
          </cell>
          <cell r="DW309">
            <v>0</v>
          </cell>
          <cell r="DX309">
            <v>0</v>
          </cell>
          <cell r="DY309">
            <v>0</v>
          </cell>
        </row>
        <row r="310">
          <cell r="F310">
            <v>0</v>
          </cell>
          <cell r="G310">
            <v>0</v>
          </cell>
          <cell r="H310">
            <v>0</v>
          </cell>
          <cell r="I310">
            <v>0</v>
          </cell>
          <cell r="AX310">
            <v>0</v>
          </cell>
          <cell r="AY310">
            <v>0</v>
          </cell>
          <cell r="AZ310">
            <v>0</v>
          </cell>
          <cell r="BA310">
            <v>0</v>
          </cell>
          <cell r="CP310">
            <v>0</v>
          </cell>
          <cell r="CQ310">
            <v>0</v>
          </cell>
          <cell r="CR310">
            <v>0</v>
          </cell>
          <cell r="CS310">
            <v>0</v>
          </cell>
          <cell r="CX310">
            <v>0</v>
          </cell>
          <cell r="CY310">
            <v>0</v>
          </cell>
          <cell r="CZ310">
            <v>0</v>
          </cell>
          <cell r="DA310">
            <v>0</v>
          </cell>
          <cell r="DF310">
            <v>0</v>
          </cell>
          <cell r="DG310">
            <v>0</v>
          </cell>
          <cell r="DH310">
            <v>0</v>
          </cell>
          <cell r="DI310">
            <v>0</v>
          </cell>
          <cell r="DN310">
            <v>0</v>
          </cell>
          <cell r="DO310">
            <v>0</v>
          </cell>
          <cell r="DP310">
            <v>0</v>
          </cell>
          <cell r="DQ310">
            <v>0</v>
          </cell>
          <cell r="DV310">
            <v>0</v>
          </cell>
          <cell r="DW310">
            <v>0</v>
          </cell>
          <cell r="DX310">
            <v>0</v>
          </cell>
          <cell r="DY310">
            <v>0</v>
          </cell>
        </row>
        <row r="311">
          <cell r="F311">
            <v>0</v>
          </cell>
          <cell r="G311">
            <v>0</v>
          </cell>
          <cell r="H311">
            <v>0</v>
          </cell>
          <cell r="I311">
            <v>0</v>
          </cell>
          <cell r="AX311">
            <v>0</v>
          </cell>
          <cell r="AY311">
            <v>0</v>
          </cell>
          <cell r="AZ311">
            <v>0</v>
          </cell>
          <cell r="BA311">
            <v>0</v>
          </cell>
          <cell r="CP311">
            <v>0</v>
          </cell>
          <cell r="CQ311">
            <v>0</v>
          </cell>
          <cell r="CR311">
            <v>0</v>
          </cell>
          <cell r="CS311">
            <v>0</v>
          </cell>
          <cell r="CX311">
            <v>0</v>
          </cell>
          <cell r="CY311">
            <v>0</v>
          </cell>
          <cell r="CZ311">
            <v>0</v>
          </cell>
          <cell r="DA311">
            <v>0</v>
          </cell>
          <cell r="DF311">
            <v>0</v>
          </cell>
          <cell r="DG311">
            <v>0</v>
          </cell>
          <cell r="DH311">
            <v>0</v>
          </cell>
          <cell r="DI311">
            <v>0</v>
          </cell>
          <cell r="DN311">
            <v>0</v>
          </cell>
          <cell r="DO311">
            <v>0</v>
          </cell>
          <cell r="DP311">
            <v>0</v>
          </cell>
          <cell r="DQ311">
            <v>0</v>
          </cell>
          <cell r="DV311">
            <v>0</v>
          </cell>
          <cell r="DW311">
            <v>0</v>
          </cell>
          <cell r="DX311">
            <v>0</v>
          </cell>
          <cell r="DY311">
            <v>0</v>
          </cell>
        </row>
        <row r="312">
          <cell r="F312">
            <v>0</v>
          </cell>
          <cell r="G312">
            <v>0</v>
          </cell>
          <cell r="H312">
            <v>0</v>
          </cell>
          <cell r="I312">
            <v>0</v>
          </cell>
          <cell r="AX312">
            <v>0</v>
          </cell>
          <cell r="AY312">
            <v>0</v>
          </cell>
          <cell r="AZ312">
            <v>0</v>
          </cell>
          <cell r="BA312">
            <v>0</v>
          </cell>
          <cell r="CP312">
            <v>0</v>
          </cell>
          <cell r="CQ312">
            <v>0</v>
          </cell>
          <cell r="CR312">
            <v>0</v>
          </cell>
          <cell r="CS312">
            <v>0</v>
          </cell>
          <cell r="CX312">
            <v>0</v>
          </cell>
          <cell r="CY312">
            <v>0</v>
          </cell>
          <cell r="CZ312">
            <v>0</v>
          </cell>
          <cell r="DA312">
            <v>0</v>
          </cell>
          <cell r="DF312">
            <v>0</v>
          </cell>
          <cell r="DG312">
            <v>0</v>
          </cell>
          <cell r="DH312">
            <v>0</v>
          </cell>
          <cell r="DI312">
            <v>0</v>
          </cell>
          <cell r="DN312">
            <v>0</v>
          </cell>
          <cell r="DO312">
            <v>0</v>
          </cell>
          <cell r="DP312">
            <v>0</v>
          </cell>
          <cell r="DQ312">
            <v>0</v>
          </cell>
          <cell r="DV312">
            <v>0</v>
          </cell>
          <cell r="DW312">
            <v>0</v>
          </cell>
          <cell r="DX312">
            <v>0</v>
          </cell>
          <cell r="DY312">
            <v>0</v>
          </cell>
        </row>
        <row r="313">
          <cell r="F313">
            <v>2368</v>
          </cell>
          <cell r="G313">
            <v>318.19200000000001</v>
          </cell>
          <cell r="H313">
            <v>73.313999999999993</v>
          </cell>
          <cell r="I313">
            <v>23.04080555136521</v>
          </cell>
          <cell r="N313">
            <v>165</v>
          </cell>
          <cell r="O313">
            <v>22.02</v>
          </cell>
          <cell r="P313">
            <v>3.0869999999999997</v>
          </cell>
          <cell r="T313">
            <v>156</v>
          </cell>
          <cell r="U313">
            <v>21.542999999999999</v>
          </cell>
          <cell r="V313">
            <v>4.3309999999999995</v>
          </cell>
          <cell r="Z313">
            <v>131</v>
          </cell>
          <cell r="AA313">
            <v>17.562999999999999</v>
          </cell>
          <cell r="AB313">
            <v>1.5680000000000001</v>
          </cell>
          <cell r="AF313">
            <v>131</v>
          </cell>
          <cell r="AG313">
            <v>17.562999999999999</v>
          </cell>
          <cell r="AH313">
            <v>3.2560000000000002</v>
          </cell>
          <cell r="AL313">
            <v>136</v>
          </cell>
          <cell r="AM313">
            <v>17.827999999999999</v>
          </cell>
          <cell r="AN313">
            <v>1.9040000000000001</v>
          </cell>
          <cell r="AR313">
            <v>170</v>
          </cell>
          <cell r="AS313">
            <v>22.815000000000001</v>
          </cell>
          <cell r="AT313">
            <v>3.6849999999999996</v>
          </cell>
          <cell r="AX313">
            <v>889</v>
          </cell>
          <cell r="AY313">
            <v>119.33199999999999</v>
          </cell>
          <cell r="AZ313">
            <v>17.830999999999996</v>
          </cell>
          <cell r="BA313">
            <v>14.942345724533231</v>
          </cell>
          <cell r="BF313">
            <v>225</v>
          </cell>
          <cell r="BG313">
            <v>29.785</v>
          </cell>
          <cell r="BH313">
            <v>7.4329999999999998</v>
          </cell>
          <cell r="BL313">
            <v>230</v>
          </cell>
          <cell r="BM313">
            <v>30.562000000000001</v>
          </cell>
          <cell r="BN313">
            <v>8.4719999999999995</v>
          </cell>
          <cell r="BR313">
            <v>234</v>
          </cell>
          <cell r="BS313">
            <v>31.286999999999999</v>
          </cell>
          <cell r="BT313">
            <v>8.1999999999999993</v>
          </cell>
          <cell r="BX313">
            <v>240</v>
          </cell>
          <cell r="BY313">
            <v>32.116</v>
          </cell>
          <cell r="BZ313">
            <v>8.8719999999999999</v>
          </cell>
          <cell r="CD313">
            <v>260</v>
          </cell>
          <cell r="CE313">
            <v>35.224000000000004</v>
          </cell>
          <cell r="CF313">
            <v>10.265000000000001</v>
          </cell>
          <cell r="CJ313">
            <v>290</v>
          </cell>
          <cell r="CK313">
            <v>39.885999999999996</v>
          </cell>
          <cell r="CL313">
            <v>12.241</v>
          </cell>
          <cell r="CP313">
            <v>1479</v>
          </cell>
          <cell r="CQ313">
            <v>198.86</v>
          </cell>
          <cell r="CR313">
            <v>55.48299999999999</v>
          </cell>
          <cell r="CS313">
            <v>27.900533038318407</v>
          </cell>
          <cell r="CX313">
            <v>452</v>
          </cell>
          <cell r="CY313">
            <v>61.125999999999998</v>
          </cell>
          <cell r="CZ313">
            <v>8.9859999999999989</v>
          </cell>
          <cell r="DA313">
            <v>14.700781991296665</v>
          </cell>
          <cell r="DF313">
            <v>437</v>
          </cell>
          <cell r="DG313">
            <v>58.205999999999996</v>
          </cell>
          <cell r="DH313">
            <v>8.8449999999999989</v>
          </cell>
          <cell r="DI313">
            <v>15.196027900903687</v>
          </cell>
          <cell r="DN313">
            <v>689</v>
          </cell>
          <cell r="DO313">
            <v>91.634</v>
          </cell>
          <cell r="DP313">
            <v>24.105</v>
          </cell>
          <cell r="DQ313">
            <v>26.305738044830523</v>
          </cell>
          <cell r="DV313">
            <v>790</v>
          </cell>
          <cell r="DW313">
            <v>107.22599999999998</v>
          </cell>
          <cell r="DX313">
            <v>31.378000000000007</v>
          </cell>
          <cell r="DY313">
            <v>29.26342491559884</v>
          </cell>
        </row>
        <row r="314">
          <cell r="F314">
            <v>200</v>
          </cell>
          <cell r="G314">
            <v>164.38400000000001</v>
          </cell>
          <cell r="H314">
            <v>44.445000000000007</v>
          </cell>
          <cell r="I314">
            <v>27.037302900525599</v>
          </cell>
          <cell r="N314">
            <v>10</v>
          </cell>
          <cell r="O314">
            <v>8.3379999999999992</v>
          </cell>
          <cell r="P314">
            <v>0.434</v>
          </cell>
          <cell r="T314">
            <v>15</v>
          </cell>
          <cell r="U314">
            <v>12.507</v>
          </cell>
          <cell r="V314">
            <v>0.65100000000000002</v>
          </cell>
          <cell r="Z314">
            <v>15</v>
          </cell>
          <cell r="AA314">
            <v>12.507</v>
          </cell>
          <cell r="AB314">
            <v>0.65100000000000002</v>
          </cell>
          <cell r="AF314">
            <v>15</v>
          </cell>
          <cell r="AG314">
            <v>12.507</v>
          </cell>
          <cell r="AH314">
            <v>2.121</v>
          </cell>
          <cell r="AL314">
            <v>10</v>
          </cell>
          <cell r="AM314">
            <v>8.3379999999999992</v>
          </cell>
          <cell r="AN314">
            <v>1.843</v>
          </cell>
          <cell r="AR314">
            <v>15</v>
          </cell>
          <cell r="AS314">
            <v>12.507</v>
          </cell>
          <cell r="AT314">
            <v>3.0670000000000002</v>
          </cell>
          <cell r="AX314">
            <v>80</v>
          </cell>
          <cell r="AY314">
            <v>66.703999999999994</v>
          </cell>
          <cell r="AZ314">
            <v>8.7669999999999995</v>
          </cell>
          <cell r="BA314">
            <v>13.143139841688656</v>
          </cell>
          <cell r="BF314">
            <v>20</v>
          </cell>
          <cell r="BG314">
            <v>16.28</v>
          </cell>
          <cell r="BH314">
            <v>5.0119999999999996</v>
          </cell>
          <cell r="BL314">
            <v>20</v>
          </cell>
          <cell r="BM314">
            <v>16.28</v>
          </cell>
          <cell r="BN314">
            <v>5.8109999999999999</v>
          </cell>
          <cell r="BR314">
            <v>15</v>
          </cell>
          <cell r="BS314">
            <v>12.21</v>
          </cell>
          <cell r="BT314">
            <v>4.484</v>
          </cell>
          <cell r="BX314">
            <v>20</v>
          </cell>
          <cell r="BY314">
            <v>16.28</v>
          </cell>
          <cell r="BZ314">
            <v>6.1280000000000001</v>
          </cell>
          <cell r="CD314">
            <v>25</v>
          </cell>
          <cell r="CE314">
            <v>20.350000000000001</v>
          </cell>
          <cell r="CF314">
            <v>7.835</v>
          </cell>
          <cell r="CJ314">
            <v>20</v>
          </cell>
          <cell r="CK314">
            <v>16.28</v>
          </cell>
          <cell r="CL314">
            <v>6.4080000000000004</v>
          </cell>
          <cell r="CP314">
            <v>120</v>
          </cell>
          <cell r="CQ314">
            <v>97.68</v>
          </cell>
          <cell r="CR314">
            <v>35.678000000000004</v>
          </cell>
          <cell r="CS314">
            <v>36.525389025389025</v>
          </cell>
          <cell r="CX314">
            <v>40</v>
          </cell>
          <cell r="CY314">
            <v>33.351999999999997</v>
          </cell>
          <cell r="CZ314">
            <v>1.736</v>
          </cell>
          <cell r="DA314">
            <v>5.2050851523147044</v>
          </cell>
          <cell r="DF314">
            <v>40</v>
          </cell>
          <cell r="DG314">
            <v>33.351999999999997</v>
          </cell>
          <cell r="DH314">
            <v>7.0310000000000006</v>
          </cell>
          <cell r="DI314">
            <v>21.081194531062607</v>
          </cell>
          <cell r="DN314">
            <v>55</v>
          </cell>
          <cell r="DO314">
            <v>44.77</v>
          </cell>
          <cell r="DP314">
            <v>15.307</v>
          </cell>
          <cell r="DQ314">
            <v>34.190306008487823</v>
          </cell>
          <cell r="DV314">
            <v>65</v>
          </cell>
          <cell r="DW314">
            <v>52.910000000000004</v>
          </cell>
          <cell r="DX314">
            <v>20.371000000000002</v>
          </cell>
          <cell r="DY314">
            <v>38.501228501228503</v>
          </cell>
        </row>
        <row r="315">
          <cell r="F315">
            <v>1116</v>
          </cell>
          <cell r="G315">
            <v>1002.176</v>
          </cell>
          <cell r="H315">
            <v>397.94599999999997</v>
          </cell>
          <cell r="I315">
            <v>39.708194967750174</v>
          </cell>
          <cell r="N315">
            <v>80</v>
          </cell>
          <cell r="O315">
            <v>72.768000000000001</v>
          </cell>
          <cell r="P315">
            <v>23.283999999999999</v>
          </cell>
          <cell r="T315">
            <v>86</v>
          </cell>
          <cell r="U315">
            <v>78.225999999999999</v>
          </cell>
          <cell r="V315">
            <v>26.536999999999999</v>
          </cell>
          <cell r="Z315">
            <v>80</v>
          </cell>
          <cell r="AA315">
            <v>72.768000000000001</v>
          </cell>
          <cell r="AB315">
            <v>24.529</v>
          </cell>
          <cell r="AF315">
            <v>75</v>
          </cell>
          <cell r="AG315">
            <v>68.22</v>
          </cell>
          <cell r="AH315">
            <v>22.707999999999998</v>
          </cell>
          <cell r="AL315">
            <v>91</v>
          </cell>
          <cell r="AM315">
            <v>82.774000000000001</v>
          </cell>
          <cell r="AN315">
            <v>28.678000000000001</v>
          </cell>
          <cell r="AR315">
            <v>105</v>
          </cell>
          <cell r="AS315">
            <v>95.507999999999996</v>
          </cell>
          <cell r="AT315">
            <v>34.380000000000003</v>
          </cell>
          <cell r="AX315">
            <v>517</v>
          </cell>
          <cell r="AY315">
            <v>470.26400000000001</v>
          </cell>
          <cell r="AZ315">
            <v>160.11599999999999</v>
          </cell>
          <cell r="BA315">
            <v>34.048109147202425</v>
          </cell>
          <cell r="BF315">
            <v>95</v>
          </cell>
          <cell r="BG315">
            <v>84.36</v>
          </cell>
          <cell r="BH315">
            <v>32.390999999999998</v>
          </cell>
          <cell r="BL315">
            <v>85</v>
          </cell>
          <cell r="BM315">
            <v>75.48</v>
          </cell>
          <cell r="BN315">
            <v>31.875</v>
          </cell>
          <cell r="BR315">
            <v>84</v>
          </cell>
          <cell r="BS315">
            <v>74.591999999999999</v>
          </cell>
          <cell r="BT315">
            <v>33.643999999999998</v>
          </cell>
          <cell r="BX315">
            <v>95</v>
          </cell>
          <cell r="BY315">
            <v>84.36</v>
          </cell>
          <cell r="BZ315">
            <v>38.445999999999998</v>
          </cell>
          <cell r="CD315">
            <v>110</v>
          </cell>
          <cell r="CE315">
            <v>97.68</v>
          </cell>
          <cell r="CF315">
            <v>46.338999999999999</v>
          </cell>
          <cell r="CJ315">
            <v>130</v>
          </cell>
          <cell r="CK315">
            <v>115.44</v>
          </cell>
          <cell r="CL315">
            <v>55.134999999999998</v>
          </cell>
          <cell r="CP315">
            <v>599</v>
          </cell>
          <cell r="CQ315">
            <v>531.91200000000003</v>
          </cell>
          <cell r="CR315">
            <v>237.82999999999998</v>
          </cell>
          <cell r="CS315">
            <v>44.712283234820795</v>
          </cell>
          <cell r="CX315">
            <v>246</v>
          </cell>
          <cell r="CY315">
            <v>223.762</v>
          </cell>
          <cell r="CZ315">
            <v>74.349999999999994</v>
          </cell>
          <cell r="DA315">
            <v>33.227268258238659</v>
          </cell>
          <cell r="DF315">
            <v>271</v>
          </cell>
          <cell r="DG315">
            <v>246.50200000000001</v>
          </cell>
          <cell r="DH315">
            <v>85.765999999999991</v>
          </cell>
          <cell r="DI315">
            <v>34.793226829802592</v>
          </cell>
          <cell r="DN315">
            <v>264</v>
          </cell>
          <cell r="DO315">
            <v>234.43200000000002</v>
          </cell>
          <cell r="DP315">
            <v>97.91</v>
          </cell>
          <cell r="DQ315">
            <v>41.764776139776131</v>
          </cell>
          <cell r="DV315">
            <v>335</v>
          </cell>
          <cell r="DW315">
            <v>297.48</v>
          </cell>
          <cell r="DX315">
            <v>139.91999999999999</v>
          </cell>
          <cell r="DY315">
            <v>47.035094796288817</v>
          </cell>
        </row>
        <row r="316">
          <cell r="F316">
            <v>200</v>
          </cell>
          <cell r="G316">
            <v>164.285</v>
          </cell>
          <cell r="H316">
            <v>59.657999999999994</v>
          </cell>
          <cell r="I316">
            <v>36.313723103143921</v>
          </cell>
          <cell r="N316">
            <v>10</v>
          </cell>
          <cell r="O316">
            <v>8.3379999999999992</v>
          </cell>
          <cell r="P316">
            <v>2.19</v>
          </cell>
          <cell r="T316">
            <v>10</v>
          </cell>
          <cell r="U316">
            <v>8.3379999999999992</v>
          </cell>
          <cell r="V316">
            <v>2.3519999999999999</v>
          </cell>
          <cell r="Z316">
            <v>15</v>
          </cell>
          <cell r="AA316">
            <v>12.507</v>
          </cell>
          <cell r="AB316">
            <v>3.4260000000000002</v>
          </cell>
          <cell r="AF316">
            <v>15</v>
          </cell>
          <cell r="AG316">
            <v>12.507</v>
          </cell>
          <cell r="AH316">
            <v>3.468</v>
          </cell>
          <cell r="AL316">
            <v>10</v>
          </cell>
          <cell r="AM316">
            <v>8.3379999999999992</v>
          </cell>
          <cell r="AN316">
            <v>2.4039999999999999</v>
          </cell>
          <cell r="AR316">
            <v>15</v>
          </cell>
          <cell r="AS316">
            <v>12.507</v>
          </cell>
          <cell r="AT316">
            <v>3.7629999999999999</v>
          </cell>
          <cell r="AX316">
            <v>75</v>
          </cell>
          <cell r="AY316">
            <v>62.534999999999997</v>
          </cell>
          <cell r="AZ316">
            <v>17.603000000000002</v>
          </cell>
          <cell r="BA316">
            <v>28.149036539537864</v>
          </cell>
          <cell r="BF316">
            <v>20</v>
          </cell>
          <cell r="BG316">
            <v>16.28</v>
          </cell>
          <cell r="BH316">
            <v>5.7839999999999998</v>
          </cell>
          <cell r="BL316">
            <v>20</v>
          </cell>
          <cell r="BM316">
            <v>16.28</v>
          </cell>
          <cell r="BN316">
            <v>6.5469999999999997</v>
          </cell>
          <cell r="BR316">
            <v>20</v>
          </cell>
          <cell r="BS316">
            <v>16.28</v>
          </cell>
          <cell r="BT316">
            <v>6.7350000000000003</v>
          </cell>
          <cell r="BX316">
            <v>20</v>
          </cell>
          <cell r="BY316">
            <v>16.28</v>
          </cell>
          <cell r="BZ316">
            <v>6.915</v>
          </cell>
          <cell r="CD316">
            <v>20</v>
          </cell>
          <cell r="CE316">
            <v>16.28</v>
          </cell>
          <cell r="CF316">
            <v>7.0679999999999996</v>
          </cell>
          <cell r="CJ316">
            <v>25</v>
          </cell>
          <cell r="CK316">
            <v>20.350000000000001</v>
          </cell>
          <cell r="CL316">
            <v>9.0060000000000002</v>
          </cell>
          <cell r="CP316">
            <v>125</v>
          </cell>
          <cell r="CQ316">
            <v>101.75</v>
          </cell>
          <cell r="CR316">
            <v>42.054999999999993</v>
          </cell>
          <cell r="CS316">
            <v>41.331695331695322</v>
          </cell>
          <cell r="CX316">
            <v>35</v>
          </cell>
          <cell r="CY316">
            <v>29.183</v>
          </cell>
          <cell r="CZ316">
            <v>7.968</v>
          </cell>
          <cell r="DA316">
            <v>27.303567145255798</v>
          </cell>
          <cell r="DF316">
            <v>40</v>
          </cell>
          <cell r="DG316">
            <v>33.351999999999997</v>
          </cell>
          <cell r="DH316">
            <v>9.6349999999999998</v>
          </cell>
          <cell r="DI316">
            <v>28.888822259534663</v>
          </cell>
          <cell r="DN316">
            <v>60</v>
          </cell>
          <cell r="DO316">
            <v>48.84</v>
          </cell>
          <cell r="DP316">
            <v>19.065999999999999</v>
          </cell>
          <cell r="DQ316">
            <v>39.03767403767403</v>
          </cell>
          <cell r="DV316">
            <v>65</v>
          </cell>
          <cell r="DW316">
            <v>52.910000000000004</v>
          </cell>
          <cell r="DX316">
            <v>22.989000000000001</v>
          </cell>
          <cell r="DY316">
            <v>43.449253449253447</v>
          </cell>
        </row>
        <row r="317">
          <cell r="F317">
            <v>0</v>
          </cell>
          <cell r="G317">
            <v>0</v>
          </cell>
          <cell r="H317">
            <v>0</v>
          </cell>
          <cell r="I317">
            <v>0</v>
          </cell>
          <cell r="AX317">
            <v>0</v>
          </cell>
          <cell r="AY317">
            <v>0</v>
          </cell>
          <cell r="AZ317">
            <v>0</v>
          </cell>
          <cell r="BA317">
            <v>0</v>
          </cell>
          <cell r="CP317">
            <v>0</v>
          </cell>
          <cell r="CQ317">
            <v>0</v>
          </cell>
          <cell r="CR317">
            <v>0</v>
          </cell>
          <cell r="CS317">
            <v>0</v>
          </cell>
          <cell r="CX317">
            <v>0</v>
          </cell>
          <cell r="CY317">
            <v>0</v>
          </cell>
          <cell r="CZ317">
            <v>0</v>
          </cell>
          <cell r="DA317">
            <v>0</v>
          </cell>
          <cell r="DF317">
            <v>0</v>
          </cell>
          <cell r="DG317">
            <v>0</v>
          </cell>
          <cell r="DH317">
            <v>0</v>
          </cell>
          <cell r="DI317">
            <v>0</v>
          </cell>
          <cell r="DN317">
            <v>0</v>
          </cell>
          <cell r="DO317">
            <v>0</v>
          </cell>
          <cell r="DP317">
            <v>0</v>
          </cell>
          <cell r="DQ317">
            <v>0</v>
          </cell>
          <cell r="DV317">
            <v>0</v>
          </cell>
          <cell r="DW317">
            <v>0</v>
          </cell>
          <cell r="DX317">
            <v>0</v>
          </cell>
          <cell r="DY317">
            <v>0</v>
          </cell>
        </row>
        <row r="318">
          <cell r="F318">
            <v>244</v>
          </cell>
          <cell r="G318">
            <v>189.58799999999997</v>
          </cell>
          <cell r="H318">
            <v>46.305999999999997</v>
          </cell>
          <cell r="I318">
            <v>24.424541637656393</v>
          </cell>
          <cell r="N318">
            <v>0</v>
          </cell>
          <cell r="O318">
            <v>0</v>
          </cell>
          <cell r="P318">
            <v>0</v>
          </cell>
          <cell r="T318">
            <v>0</v>
          </cell>
          <cell r="U318">
            <v>0</v>
          </cell>
          <cell r="V318">
            <v>0</v>
          </cell>
          <cell r="Z318">
            <v>0</v>
          </cell>
          <cell r="AA318">
            <v>0</v>
          </cell>
          <cell r="AB318">
            <v>0</v>
          </cell>
          <cell r="AF318">
            <v>0</v>
          </cell>
          <cell r="AG318">
            <v>0</v>
          </cell>
          <cell r="AH318">
            <v>0</v>
          </cell>
          <cell r="AL318">
            <v>0</v>
          </cell>
          <cell r="AM318">
            <v>0</v>
          </cell>
          <cell r="AN318">
            <v>0</v>
          </cell>
          <cell r="AR318">
            <v>0</v>
          </cell>
          <cell r="AS318">
            <v>0</v>
          </cell>
          <cell r="AT318">
            <v>0</v>
          </cell>
          <cell r="AX318">
            <v>0</v>
          </cell>
          <cell r="AY318">
            <v>0</v>
          </cell>
          <cell r="AZ318">
            <v>0</v>
          </cell>
          <cell r="BA318">
            <v>0</v>
          </cell>
          <cell r="BF318">
            <v>40</v>
          </cell>
          <cell r="BG318">
            <v>31.08</v>
          </cell>
          <cell r="BH318">
            <v>6.9359999999999999</v>
          </cell>
          <cell r="BL318">
            <v>30</v>
          </cell>
          <cell r="BM318">
            <v>23.31</v>
          </cell>
          <cell r="BN318">
            <v>5.7549999999999999</v>
          </cell>
          <cell r="BR318">
            <v>30</v>
          </cell>
          <cell r="BS318">
            <v>23.31</v>
          </cell>
          <cell r="BT318">
            <v>5.5940000000000003</v>
          </cell>
          <cell r="BX318">
            <v>37</v>
          </cell>
          <cell r="BY318">
            <v>28.748999999999999</v>
          </cell>
          <cell r="BZ318">
            <v>6.9740000000000002</v>
          </cell>
          <cell r="CD318">
            <v>47</v>
          </cell>
          <cell r="CE318">
            <v>36.518999999999998</v>
          </cell>
          <cell r="CF318">
            <v>9.1</v>
          </cell>
          <cell r="CJ318">
            <v>60</v>
          </cell>
          <cell r="CK318">
            <v>46.62</v>
          </cell>
          <cell r="CL318">
            <v>11.946999999999999</v>
          </cell>
          <cell r="CP318">
            <v>244</v>
          </cell>
          <cell r="CQ318">
            <v>189.58799999999997</v>
          </cell>
          <cell r="CR318">
            <v>46.305999999999997</v>
          </cell>
          <cell r="CS318">
            <v>24.424541637656393</v>
          </cell>
          <cell r="CX318">
            <v>0</v>
          </cell>
          <cell r="CY318">
            <v>0</v>
          </cell>
          <cell r="CZ318">
            <v>0</v>
          </cell>
          <cell r="DA318">
            <v>0</v>
          </cell>
          <cell r="DF318">
            <v>0</v>
          </cell>
          <cell r="DG318">
            <v>0</v>
          </cell>
          <cell r="DH318">
            <v>0</v>
          </cell>
          <cell r="DI318">
            <v>0</v>
          </cell>
          <cell r="DN318">
            <v>100</v>
          </cell>
          <cell r="DO318">
            <v>77.7</v>
          </cell>
          <cell r="DP318">
            <v>18.285</v>
          </cell>
          <cell r="DQ318">
            <v>23.532818532818531</v>
          </cell>
          <cell r="DV318">
            <v>144</v>
          </cell>
          <cell r="DW318">
            <v>111.88800000000001</v>
          </cell>
          <cell r="DX318">
            <v>28.020999999999997</v>
          </cell>
          <cell r="DY318">
            <v>25.043793793793789</v>
          </cell>
        </row>
        <row r="319">
          <cell r="F319">
            <v>100</v>
          </cell>
          <cell r="G319">
            <v>74.63</v>
          </cell>
          <cell r="H319">
            <v>25.255999999999997</v>
          </cell>
          <cell r="I319">
            <v>33.841618652016614</v>
          </cell>
          <cell r="N319">
            <v>5</v>
          </cell>
          <cell r="O319">
            <v>3.79</v>
          </cell>
          <cell r="P319">
            <v>0.92400000000000004</v>
          </cell>
          <cell r="T319">
            <v>5</v>
          </cell>
          <cell r="U319">
            <v>3.79</v>
          </cell>
          <cell r="V319">
            <v>1.05</v>
          </cell>
          <cell r="Z319">
            <v>5</v>
          </cell>
          <cell r="AA319">
            <v>3.79</v>
          </cell>
          <cell r="AB319">
            <v>0.97</v>
          </cell>
          <cell r="AF319">
            <v>5</v>
          </cell>
          <cell r="AG319">
            <v>3.79</v>
          </cell>
          <cell r="AH319">
            <v>0.97499999999999998</v>
          </cell>
          <cell r="AL319">
            <v>5</v>
          </cell>
          <cell r="AM319">
            <v>3.79</v>
          </cell>
          <cell r="AN319">
            <v>1.0049999999999999</v>
          </cell>
          <cell r="AR319">
            <v>10</v>
          </cell>
          <cell r="AS319">
            <v>7.58</v>
          </cell>
          <cell r="AT319">
            <v>2.0979999999999999</v>
          </cell>
          <cell r="AX319">
            <v>35</v>
          </cell>
          <cell r="AY319">
            <v>26.529999999999998</v>
          </cell>
          <cell r="AZ319">
            <v>7.0219999999999994</v>
          </cell>
          <cell r="BA319">
            <v>26.468149264983037</v>
          </cell>
          <cell r="BF319">
            <v>10</v>
          </cell>
          <cell r="BG319">
            <v>7.4</v>
          </cell>
          <cell r="BH319">
            <v>2.3039999999999998</v>
          </cell>
          <cell r="BL319">
            <v>10</v>
          </cell>
          <cell r="BM319">
            <v>7.4</v>
          </cell>
          <cell r="BN319">
            <v>2.7090000000000001</v>
          </cell>
          <cell r="BR319">
            <v>10</v>
          </cell>
          <cell r="BS319">
            <v>7.4</v>
          </cell>
          <cell r="BT319">
            <v>2.7879999999999998</v>
          </cell>
          <cell r="BX319">
            <v>10</v>
          </cell>
          <cell r="BY319">
            <v>7.4</v>
          </cell>
          <cell r="BZ319">
            <v>2.8980000000000001</v>
          </cell>
          <cell r="CD319">
            <v>10</v>
          </cell>
          <cell r="CE319">
            <v>7.4</v>
          </cell>
          <cell r="CF319">
            <v>2.9790000000000001</v>
          </cell>
          <cell r="CJ319">
            <v>15</v>
          </cell>
          <cell r="CK319">
            <v>11.1</v>
          </cell>
          <cell r="CL319">
            <v>4.556</v>
          </cell>
          <cell r="CP319">
            <v>65</v>
          </cell>
          <cell r="CQ319">
            <v>48.099999999999994</v>
          </cell>
          <cell r="CR319">
            <v>18.233999999999998</v>
          </cell>
          <cell r="CS319">
            <v>37.908523908523911</v>
          </cell>
          <cell r="CX319">
            <v>15</v>
          </cell>
          <cell r="CY319">
            <v>11.370000000000001</v>
          </cell>
          <cell r="CZ319">
            <v>2.944</v>
          </cell>
          <cell r="DA319">
            <v>25.892700087950743</v>
          </cell>
          <cell r="DF319">
            <v>20</v>
          </cell>
          <cell r="DG319">
            <v>15.16</v>
          </cell>
          <cell r="DH319">
            <v>4.0779999999999994</v>
          </cell>
          <cell r="DI319">
            <v>26.899736147757253</v>
          </cell>
          <cell r="DN319">
            <v>30</v>
          </cell>
          <cell r="DO319">
            <v>22.200000000000003</v>
          </cell>
          <cell r="DP319">
            <v>7.8010000000000002</v>
          </cell>
          <cell r="DQ319">
            <v>35.139639639639633</v>
          </cell>
          <cell r="DV319">
            <v>35</v>
          </cell>
          <cell r="DW319">
            <v>25.9</v>
          </cell>
          <cell r="DX319">
            <v>10.433</v>
          </cell>
          <cell r="DY319">
            <v>40.281853281853287</v>
          </cell>
        </row>
        <row r="320">
          <cell r="F320">
            <v>0</v>
          </cell>
          <cell r="G320">
            <v>0</v>
          </cell>
          <cell r="H320">
            <v>0</v>
          </cell>
          <cell r="I320">
            <v>0</v>
          </cell>
          <cell r="AX320">
            <v>0</v>
          </cell>
          <cell r="AY320">
            <v>0</v>
          </cell>
          <cell r="AZ320">
            <v>0</v>
          </cell>
          <cell r="BA320">
            <v>0</v>
          </cell>
          <cell r="CP320">
            <v>0</v>
          </cell>
          <cell r="CQ320">
            <v>0</v>
          </cell>
          <cell r="CR320">
            <v>0</v>
          </cell>
          <cell r="CS320">
            <v>0</v>
          </cell>
          <cell r="CX320">
            <v>0</v>
          </cell>
          <cell r="CY320">
            <v>0</v>
          </cell>
          <cell r="CZ320">
            <v>0</v>
          </cell>
          <cell r="DA320">
            <v>0</v>
          </cell>
          <cell r="DF320">
            <v>0</v>
          </cell>
          <cell r="DG320">
            <v>0</v>
          </cell>
          <cell r="DH320">
            <v>0</v>
          </cell>
          <cell r="DI320">
            <v>0</v>
          </cell>
          <cell r="DN320">
            <v>0</v>
          </cell>
          <cell r="DO320">
            <v>0</v>
          </cell>
          <cell r="DP320">
            <v>0</v>
          </cell>
          <cell r="DQ320">
            <v>0</v>
          </cell>
          <cell r="DV320">
            <v>0</v>
          </cell>
          <cell r="DW320">
            <v>0</v>
          </cell>
          <cell r="DX320">
            <v>0</v>
          </cell>
          <cell r="DY320">
            <v>0</v>
          </cell>
        </row>
        <row r="321">
          <cell r="F321">
            <v>0</v>
          </cell>
          <cell r="G321">
            <v>0</v>
          </cell>
          <cell r="H321">
            <v>0</v>
          </cell>
          <cell r="I321">
            <v>0</v>
          </cell>
          <cell r="N321">
            <v>0</v>
          </cell>
          <cell r="O321">
            <v>0</v>
          </cell>
          <cell r="T321">
            <v>0</v>
          </cell>
          <cell r="U321">
            <v>0</v>
          </cell>
          <cell r="Z321">
            <v>0</v>
          </cell>
          <cell r="AA321">
            <v>0</v>
          </cell>
          <cell r="AF321">
            <v>0</v>
          </cell>
          <cell r="AG321">
            <v>0</v>
          </cell>
          <cell r="AL321">
            <v>0</v>
          </cell>
          <cell r="AM321">
            <v>0</v>
          </cell>
          <cell r="AR321">
            <v>0</v>
          </cell>
          <cell r="AS321">
            <v>0</v>
          </cell>
          <cell r="AX321">
            <v>0</v>
          </cell>
          <cell r="AY321">
            <v>0</v>
          </cell>
          <cell r="AZ321">
            <v>0</v>
          </cell>
          <cell r="BA321">
            <v>0</v>
          </cell>
          <cell r="BF321">
            <v>0</v>
          </cell>
          <cell r="BG321">
            <v>0</v>
          </cell>
          <cell r="BL321">
            <v>0</v>
          </cell>
          <cell r="BM321">
            <v>0</v>
          </cell>
          <cell r="BR321">
            <v>0</v>
          </cell>
          <cell r="BS321">
            <v>0</v>
          </cell>
          <cell r="BX321">
            <v>0</v>
          </cell>
          <cell r="BY321">
            <v>0</v>
          </cell>
          <cell r="CD321">
            <v>0</v>
          </cell>
          <cell r="CE321">
            <v>0</v>
          </cell>
          <cell r="CJ321">
            <v>0</v>
          </cell>
          <cell r="CK321">
            <v>0</v>
          </cell>
          <cell r="CP321">
            <v>0</v>
          </cell>
          <cell r="CQ321">
            <v>0</v>
          </cell>
          <cell r="CR321">
            <v>0</v>
          </cell>
          <cell r="CS321">
            <v>0</v>
          </cell>
          <cell r="CX321">
            <v>0</v>
          </cell>
          <cell r="CY321">
            <v>0</v>
          </cell>
          <cell r="CZ321">
            <v>0</v>
          </cell>
          <cell r="DA321">
            <v>0</v>
          </cell>
          <cell r="DF321">
            <v>0</v>
          </cell>
          <cell r="DG321">
            <v>0</v>
          </cell>
          <cell r="DH321">
            <v>0</v>
          </cell>
          <cell r="DI321">
            <v>0</v>
          </cell>
          <cell r="DN321">
            <v>0</v>
          </cell>
          <cell r="DO321">
            <v>0</v>
          </cell>
          <cell r="DP321">
            <v>0</v>
          </cell>
          <cell r="DQ321">
            <v>0</v>
          </cell>
          <cell r="DV321">
            <v>0</v>
          </cell>
          <cell r="DW321">
            <v>0</v>
          </cell>
          <cell r="DX321">
            <v>0</v>
          </cell>
          <cell r="DY321">
            <v>0</v>
          </cell>
        </row>
        <row r="322">
          <cell r="F322">
            <v>335</v>
          </cell>
          <cell r="G322">
            <v>275.06599999999997</v>
          </cell>
          <cell r="H322">
            <v>98.688999999999993</v>
          </cell>
          <cell r="I322">
            <v>35.878298299317258</v>
          </cell>
          <cell r="N322">
            <v>10</v>
          </cell>
          <cell r="O322">
            <v>8.3379999999999992</v>
          </cell>
          <cell r="P322">
            <v>1.921</v>
          </cell>
          <cell r="T322">
            <v>40</v>
          </cell>
          <cell r="U322">
            <v>33.351999999999997</v>
          </cell>
          <cell r="V322">
            <v>8.9629999999999992</v>
          </cell>
          <cell r="Z322">
            <v>5</v>
          </cell>
          <cell r="AA322">
            <v>4.1689999999999996</v>
          </cell>
          <cell r="AB322">
            <v>0.96899999999999997</v>
          </cell>
          <cell r="AF322">
            <v>30</v>
          </cell>
          <cell r="AG322">
            <v>25.013999999999999</v>
          </cell>
          <cell r="AH322">
            <v>6.8680000000000003</v>
          </cell>
          <cell r="AL322">
            <v>5</v>
          </cell>
          <cell r="AM322">
            <v>4.1689999999999996</v>
          </cell>
          <cell r="AN322">
            <v>1.028</v>
          </cell>
          <cell r="AR322">
            <v>30</v>
          </cell>
          <cell r="AS322">
            <v>25.013999999999999</v>
          </cell>
          <cell r="AT322">
            <v>7.431</v>
          </cell>
          <cell r="AX322">
            <v>120</v>
          </cell>
          <cell r="AY322">
            <v>100.05599999999998</v>
          </cell>
          <cell r="AZ322">
            <v>27.18</v>
          </cell>
          <cell r="BA322">
            <v>27.164787718877431</v>
          </cell>
          <cell r="BF322">
            <v>10</v>
          </cell>
          <cell r="BG322">
            <v>8.14</v>
          </cell>
          <cell r="BH322">
            <v>2.7690000000000001</v>
          </cell>
          <cell r="BL322">
            <v>30</v>
          </cell>
          <cell r="BM322">
            <v>24.42</v>
          </cell>
          <cell r="BN322">
            <v>9.2810000000000006</v>
          </cell>
          <cell r="BR322">
            <v>50</v>
          </cell>
          <cell r="BS322">
            <v>40.700000000000003</v>
          </cell>
          <cell r="BT322">
            <v>17.061</v>
          </cell>
          <cell r="BX322">
            <v>80</v>
          </cell>
          <cell r="BY322">
            <v>65.12</v>
          </cell>
          <cell r="BZ322">
            <v>27.271000000000001</v>
          </cell>
          <cell r="CD322">
            <v>30</v>
          </cell>
          <cell r="CE322">
            <v>24.42</v>
          </cell>
          <cell r="CF322">
            <v>10.019</v>
          </cell>
          <cell r="CJ322">
            <v>15</v>
          </cell>
          <cell r="CK322">
            <v>12.21</v>
          </cell>
          <cell r="CL322">
            <v>5.1079999999999997</v>
          </cell>
          <cell r="CP322">
            <v>215</v>
          </cell>
          <cell r="CQ322">
            <v>175.01</v>
          </cell>
          <cell r="CR322">
            <v>71.509</v>
          </cell>
          <cell r="CS322">
            <v>40.859950859950864</v>
          </cell>
          <cell r="CX322">
            <v>55</v>
          </cell>
          <cell r="CY322">
            <v>45.858999999999995</v>
          </cell>
          <cell r="CZ322">
            <v>11.852999999999998</v>
          </cell>
          <cell r="DA322">
            <v>25.846616803680845</v>
          </cell>
          <cell r="DF322">
            <v>65</v>
          </cell>
          <cell r="DG322">
            <v>54.197000000000003</v>
          </cell>
          <cell r="DH322">
            <v>15.327000000000002</v>
          </cell>
          <cell r="DI322">
            <v>28.280163108659153</v>
          </cell>
          <cell r="DN322">
            <v>90</v>
          </cell>
          <cell r="DO322">
            <v>73.260000000000005</v>
          </cell>
          <cell r="DP322">
            <v>29.111000000000001</v>
          </cell>
          <cell r="DQ322">
            <v>39.736554736554737</v>
          </cell>
          <cell r="DV322">
            <v>125</v>
          </cell>
          <cell r="DW322">
            <v>101.75</v>
          </cell>
          <cell r="DX322">
            <v>42.397999999999996</v>
          </cell>
          <cell r="DY322">
            <v>41.668796068796063</v>
          </cell>
        </row>
        <row r="323">
          <cell r="F323">
            <v>0</v>
          </cell>
          <cell r="G323">
            <v>0</v>
          </cell>
          <cell r="H323">
            <v>0</v>
          </cell>
          <cell r="I323">
            <v>0</v>
          </cell>
          <cell r="AX323">
            <v>0</v>
          </cell>
          <cell r="AY323">
            <v>0</v>
          </cell>
          <cell r="AZ323">
            <v>0</v>
          </cell>
          <cell r="BA323">
            <v>0</v>
          </cell>
          <cell r="CP323">
            <v>0</v>
          </cell>
          <cell r="CQ323">
            <v>0</v>
          </cell>
          <cell r="CR323">
            <v>0</v>
          </cell>
          <cell r="CS323">
            <v>0</v>
          </cell>
          <cell r="CX323">
            <v>0</v>
          </cell>
          <cell r="CY323">
            <v>0</v>
          </cell>
          <cell r="CZ323">
            <v>0</v>
          </cell>
          <cell r="DA323">
            <v>0</v>
          </cell>
          <cell r="DF323">
            <v>0</v>
          </cell>
          <cell r="DG323">
            <v>0</v>
          </cell>
          <cell r="DH323">
            <v>0</v>
          </cell>
          <cell r="DI323">
            <v>0</v>
          </cell>
          <cell r="DN323">
            <v>0</v>
          </cell>
          <cell r="DO323">
            <v>0</v>
          </cell>
          <cell r="DP323">
            <v>0</v>
          </cell>
          <cell r="DQ323">
            <v>0</v>
          </cell>
          <cell r="DV323">
            <v>0</v>
          </cell>
          <cell r="DW323">
            <v>0</v>
          </cell>
          <cell r="DX323">
            <v>0</v>
          </cell>
          <cell r="DY323">
            <v>0</v>
          </cell>
        </row>
        <row r="324">
          <cell r="F324">
            <v>0</v>
          </cell>
          <cell r="G324">
            <v>38.201999999999998</v>
          </cell>
          <cell r="H324">
            <v>15.876000000000001</v>
          </cell>
          <cell r="I324">
            <v>41.558033610805722</v>
          </cell>
          <cell r="O324">
            <v>2.1219999999999999</v>
          </cell>
          <cell r="P324">
            <v>-0.53100000000000003</v>
          </cell>
          <cell r="U324">
            <v>2.653</v>
          </cell>
          <cell r="V324">
            <v>0.23799999999999999</v>
          </cell>
          <cell r="AA324">
            <v>2.653</v>
          </cell>
          <cell r="AB324">
            <v>0.77700000000000002</v>
          </cell>
          <cell r="AG324">
            <v>2.1219999999999999</v>
          </cell>
          <cell r="AH324">
            <v>0.80200000000000005</v>
          </cell>
          <cell r="AM324">
            <v>2.653</v>
          </cell>
          <cell r="AN324">
            <v>1.157</v>
          </cell>
          <cell r="AS324">
            <v>3.714</v>
          </cell>
          <cell r="AT324">
            <v>1.7569999999999999</v>
          </cell>
          <cell r="AX324">
            <v>0</v>
          </cell>
          <cell r="AY324">
            <v>15.917000000000002</v>
          </cell>
          <cell r="AZ324">
            <v>4.2</v>
          </cell>
          <cell r="BA324">
            <v>26.386881950116226</v>
          </cell>
          <cell r="BG324">
            <v>3.714</v>
          </cell>
          <cell r="BH324">
            <v>1.87</v>
          </cell>
          <cell r="BM324">
            <v>3.1840000000000002</v>
          </cell>
          <cell r="BN324">
            <v>1.62</v>
          </cell>
          <cell r="BS324">
            <v>2.653</v>
          </cell>
          <cell r="BT324">
            <v>1.387</v>
          </cell>
          <cell r="BY324">
            <v>3.1840000000000002</v>
          </cell>
          <cell r="BZ324">
            <v>1.6879999999999999</v>
          </cell>
          <cell r="CE324">
            <v>4.7750000000000004</v>
          </cell>
          <cell r="CF324">
            <v>2.544</v>
          </cell>
          <cell r="CK324">
            <v>4.7750000000000004</v>
          </cell>
          <cell r="CL324">
            <v>2.5670000000000002</v>
          </cell>
          <cell r="CP324">
            <v>0</v>
          </cell>
          <cell r="CQ324">
            <v>22.285</v>
          </cell>
          <cell r="CR324">
            <v>11.676000000000002</v>
          </cell>
          <cell r="CS324">
            <v>52.393986986762407</v>
          </cell>
          <cell r="CX324">
            <v>0</v>
          </cell>
          <cell r="CY324">
            <v>7.4280000000000008</v>
          </cell>
          <cell r="CZ324">
            <v>0.48399999999999999</v>
          </cell>
          <cell r="DA324">
            <v>6.515885837372104</v>
          </cell>
          <cell r="DF324">
            <v>0</v>
          </cell>
          <cell r="DG324">
            <v>8.4890000000000008</v>
          </cell>
          <cell r="DH324">
            <v>3.7160000000000002</v>
          </cell>
          <cell r="DI324">
            <v>43.774296147956179</v>
          </cell>
          <cell r="DN324">
            <v>0</v>
          </cell>
          <cell r="DO324">
            <v>9.5510000000000002</v>
          </cell>
          <cell r="DP324">
            <v>4.8770000000000007</v>
          </cell>
          <cell r="DQ324">
            <v>51.062715945974247</v>
          </cell>
          <cell r="DV324">
            <v>0</v>
          </cell>
          <cell r="DW324">
            <v>12.734000000000002</v>
          </cell>
          <cell r="DX324">
            <v>6.7990000000000004</v>
          </cell>
          <cell r="DY324">
            <v>53.39249253965761</v>
          </cell>
        </row>
        <row r="325">
          <cell r="F325">
            <v>0</v>
          </cell>
          <cell r="G325">
            <v>0</v>
          </cell>
          <cell r="H325">
            <v>0</v>
          </cell>
          <cell r="I325">
            <v>0</v>
          </cell>
          <cell r="N325">
            <v>0</v>
          </cell>
          <cell r="T325">
            <v>0</v>
          </cell>
          <cell r="Z325">
            <v>0</v>
          </cell>
          <cell r="AF325">
            <v>0</v>
          </cell>
          <cell r="AL325">
            <v>0</v>
          </cell>
          <cell r="AR325">
            <v>0</v>
          </cell>
          <cell r="AX325">
            <v>0</v>
          </cell>
          <cell r="AY325">
            <v>0</v>
          </cell>
          <cell r="AZ325">
            <v>0</v>
          </cell>
          <cell r="BA325">
            <v>0</v>
          </cell>
          <cell r="CP325">
            <v>0</v>
          </cell>
          <cell r="CQ325">
            <v>0</v>
          </cell>
          <cell r="CR325">
            <v>0</v>
          </cell>
          <cell r="CS325">
            <v>0</v>
          </cell>
          <cell r="CX325">
            <v>0</v>
          </cell>
          <cell r="CY325">
            <v>0</v>
          </cell>
          <cell r="CZ325">
            <v>0</v>
          </cell>
          <cell r="DA325">
            <v>0</v>
          </cell>
          <cell r="DF325">
            <v>0</v>
          </cell>
          <cell r="DG325">
            <v>0</v>
          </cell>
          <cell r="DH325">
            <v>0</v>
          </cell>
          <cell r="DI325">
            <v>0</v>
          </cell>
          <cell r="DN325">
            <v>0</v>
          </cell>
          <cell r="DO325">
            <v>0</v>
          </cell>
          <cell r="DP325">
            <v>0</v>
          </cell>
          <cell r="DQ325">
            <v>0</v>
          </cell>
          <cell r="DV325">
            <v>0</v>
          </cell>
          <cell r="DW325">
            <v>0</v>
          </cell>
          <cell r="DX325">
            <v>0</v>
          </cell>
          <cell r="DY325">
            <v>0</v>
          </cell>
        </row>
        <row r="326">
          <cell r="F326">
            <v>2195</v>
          </cell>
          <cell r="G326">
            <v>1908.3310000000001</v>
          </cell>
          <cell r="H326">
            <v>688.17599999999993</v>
          </cell>
          <cell r="I326">
            <v>36.061668547018307</v>
          </cell>
          <cell r="N326">
            <v>115</v>
          </cell>
          <cell r="O326">
            <v>103.69399999999999</v>
          </cell>
          <cell r="P326">
            <v>28.222000000000001</v>
          </cell>
          <cell r="T326">
            <v>156</v>
          </cell>
          <cell r="U326">
            <v>138.86599999999999</v>
          </cell>
          <cell r="V326">
            <v>39.790999999999997</v>
          </cell>
          <cell r="Z326">
            <v>120</v>
          </cell>
          <cell r="AA326">
            <v>108.39400000000002</v>
          </cell>
          <cell r="AB326">
            <v>31.322000000000003</v>
          </cell>
          <cell r="AF326">
            <v>140</v>
          </cell>
          <cell r="AG326">
            <v>124.16000000000001</v>
          </cell>
          <cell r="AH326">
            <v>36.942</v>
          </cell>
          <cell r="AL326">
            <v>121</v>
          </cell>
          <cell r="AM326">
            <v>110.062</v>
          </cell>
          <cell r="AN326">
            <v>36.114999999999995</v>
          </cell>
          <cell r="AR326">
            <v>175</v>
          </cell>
          <cell r="AS326">
            <v>156.83000000000001</v>
          </cell>
          <cell r="AT326">
            <v>52.495999999999995</v>
          </cell>
          <cell r="AX326">
            <v>827</v>
          </cell>
          <cell r="AY326">
            <v>742.00599999999997</v>
          </cell>
          <cell r="AZ326">
            <v>224.88799999999998</v>
          </cell>
          <cell r="BA326">
            <v>30.308110716085849</v>
          </cell>
          <cell r="BF326">
            <v>195</v>
          </cell>
          <cell r="BG326">
            <v>167.25400000000002</v>
          </cell>
          <cell r="BH326">
            <v>57.065999999999995</v>
          </cell>
          <cell r="BL326">
            <v>195</v>
          </cell>
          <cell r="BM326">
            <v>166.35400000000001</v>
          </cell>
          <cell r="BN326">
            <v>63.597999999999999</v>
          </cell>
          <cell r="BR326">
            <v>209</v>
          </cell>
          <cell r="BS326">
            <v>177.14500000000001</v>
          </cell>
          <cell r="BT326">
            <v>71.692999999999998</v>
          </cell>
          <cell r="BX326">
            <v>262</v>
          </cell>
          <cell r="BY326">
            <v>221.37300000000002</v>
          </cell>
          <cell r="BZ326">
            <v>90.320000000000007</v>
          </cell>
          <cell r="CD326">
            <v>242</v>
          </cell>
          <cell r="CE326">
            <v>207.42400000000001</v>
          </cell>
          <cell r="CF326">
            <v>85.884</v>
          </cell>
          <cell r="CJ326">
            <v>265</v>
          </cell>
          <cell r="CK326">
            <v>226.77500000000001</v>
          </cell>
          <cell r="CL326">
            <v>94.727000000000004</v>
          </cell>
          <cell r="CP326">
            <v>1368</v>
          </cell>
          <cell r="CQ326">
            <v>1166.325</v>
          </cell>
          <cell r="CR326">
            <v>463.28799999999995</v>
          </cell>
          <cell r="CS326">
            <v>39.72203288105802</v>
          </cell>
          <cell r="CX326">
            <v>391</v>
          </cell>
          <cell r="CY326">
            <v>350.95399999999995</v>
          </cell>
          <cell r="CZ326">
            <v>99.334999999999994</v>
          </cell>
          <cell r="DA326">
            <v>28.304279193284593</v>
          </cell>
          <cell r="DF326">
            <v>436</v>
          </cell>
          <cell r="DG326">
            <v>391.05199999999996</v>
          </cell>
          <cell r="DH326">
            <v>125.553</v>
          </cell>
          <cell r="DI326">
            <v>32.106471773574874</v>
          </cell>
          <cell r="DN326">
            <v>599</v>
          </cell>
          <cell r="DO326">
            <v>510.75299999999999</v>
          </cell>
          <cell r="DP326">
            <v>192.35699999999997</v>
          </cell>
          <cell r="DQ326">
            <v>37.661452796165655</v>
          </cell>
          <cell r="DV326">
            <v>769</v>
          </cell>
          <cell r="DW326">
            <v>655.57200000000012</v>
          </cell>
          <cell r="DX326">
            <v>270.93099999999993</v>
          </cell>
          <cell r="DY326">
            <v>41.327420939271335</v>
          </cell>
        </row>
        <row r="327">
          <cell r="F327">
            <v>531</v>
          </cell>
          <cell r="G327">
            <v>471.52800000000008</v>
          </cell>
          <cell r="H327">
            <v>-12.386000000000001</v>
          </cell>
          <cell r="I327">
            <v>-2.6267793216945758</v>
          </cell>
          <cell r="N327">
            <v>0</v>
          </cell>
          <cell r="O327">
            <v>0</v>
          </cell>
          <cell r="P327">
            <v>0</v>
          </cell>
          <cell r="T327">
            <v>0</v>
          </cell>
          <cell r="U327">
            <v>0</v>
          </cell>
          <cell r="V327">
            <v>0</v>
          </cell>
          <cell r="Z327">
            <v>0</v>
          </cell>
          <cell r="AA327">
            <v>0</v>
          </cell>
          <cell r="AB327">
            <v>0</v>
          </cell>
          <cell r="AF327">
            <v>0</v>
          </cell>
          <cell r="AG327">
            <v>0</v>
          </cell>
          <cell r="AH327">
            <v>0</v>
          </cell>
          <cell r="AL327">
            <v>0</v>
          </cell>
          <cell r="AM327">
            <v>0</v>
          </cell>
          <cell r="AN327">
            <v>0</v>
          </cell>
          <cell r="AR327">
            <v>0</v>
          </cell>
          <cell r="AS327">
            <v>0</v>
          </cell>
          <cell r="AT327">
            <v>0</v>
          </cell>
          <cell r="AX327">
            <v>0</v>
          </cell>
          <cell r="AY327">
            <v>0</v>
          </cell>
          <cell r="AZ327">
            <v>0</v>
          </cell>
          <cell r="BA327">
            <v>0</v>
          </cell>
          <cell r="BF327">
            <v>53</v>
          </cell>
          <cell r="BG327">
            <v>47.064</v>
          </cell>
          <cell r="BH327">
            <v>-2.1179999999999999</v>
          </cell>
          <cell r="BL327">
            <v>53</v>
          </cell>
          <cell r="BM327">
            <v>47.064</v>
          </cell>
          <cell r="BN327">
            <v>-1.151</v>
          </cell>
          <cell r="BR327">
            <v>95</v>
          </cell>
          <cell r="BS327">
            <v>84.36</v>
          </cell>
          <cell r="BT327">
            <v>-2.5110000000000001</v>
          </cell>
          <cell r="BX327">
            <v>100</v>
          </cell>
          <cell r="BY327">
            <v>88.8</v>
          </cell>
          <cell r="BZ327">
            <v>-2.569</v>
          </cell>
          <cell r="CD327">
            <v>110</v>
          </cell>
          <cell r="CE327">
            <v>97.68</v>
          </cell>
          <cell r="CF327">
            <v>-2.2429999999999999</v>
          </cell>
          <cell r="CJ327">
            <v>120</v>
          </cell>
          <cell r="CK327">
            <v>106.56</v>
          </cell>
          <cell r="CL327">
            <v>-1.794</v>
          </cell>
          <cell r="CP327">
            <v>531</v>
          </cell>
          <cell r="CQ327">
            <v>471.52800000000008</v>
          </cell>
          <cell r="CR327">
            <v>-12.386000000000001</v>
          </cell>
          <cell r="CS327">
            <v>-2.6267793216945758</v>
          </cell>
          <cell r="CX327">
            <v>0</v>
          </cell>
          <cell r="CY327">
            <v>0</v>
          </cell>
          <cell r="CZ327">
            <v>0</v>
          </cell>
          <cell r="DA327">
            <v>0</v>
          </cell>
          <cell r="DF327">
            <v>0</v>
          </cell>
          <cell r="DG327">
            <v>0</v>
          </cell>
          <cell r="DH327">
            <v>0</v>
          </cell>
          <cell r="DI327">
            <v>0</v>
          </cell>
          <cell r="DN327">
            <v>201</v>
          </cell>
          <cell r="DO327">
            <v>178.488</v>
          </cell>
          <cell r="DP327">
            <v>-5.78</v>
          </cell>
          <cell r="DQ327">
            <v>-3.2383129398054775</v>
          </cell>
          <cell r="DV327">
            <v>330</v>
          </cell>
          <cell r="DW327">
            <v>293.04000000000002</v>
          </cell>
          <cell r="DX327">
            <v>-6.6059999999999999</v>
          </cell>
          <cell r="DY327">
            <v>-2.2542997542997543</v>
          </cell>
        </row>
        <row r="328">
          <cell r="F328">
            <v>242</v>
          </cell>
          <cell r="G328">
            <v>173.541</v>
          </cell>
          <cell r="H328">
            <v>-33.323</v>
          </cell>
          <cell r="I328">
            <v>-19.201802455903795</v>
          </cell>
          <cell r="N328">
            <v>13</v>
          </cell>
          <cell r="O328">
            <v>9.4600000000000009</v>
          </cell>
          <cell r="P328">
            <v>-1.86</v>
          </cell>
          <cell r="T328">
            <v>13</v>
          </cell>
          <cell r="U328">
            <v>9.4600000000000009</v>
          </cell>
          <cell r="V328">
            <v>-2.226</v>
          </cell>
          <cell r="Z328">
            <v>13</v>
          </cell>
          <cell r="AA328">
            <v>9.4600000000000009</v>
          </cell>
          <cell r="AB328">
            <v>-2.5680000000000001</v>
          </cell>
          <cell r="AF328">
            <v>13</v>
          </cell>
          <cell r="AG328">
            <v>9.4600000000000009</v>
          </cell>
          <cell r="AH328">
            <v>-2.649</v>
          </cell>
          <cell r="AL328">
            <v>18</v>
          </cell>
          <cell r="AM328">
            <v>13.098000000000001</v>
          </cell>
          <cell r="AN328">
            <v>-3.556</v>
          </cell>
          <cell r="AR328">
            <v>24</v>
          </cell>
          <cell r="AS328">
            <v>17.463999999999999</v>
          </cell>
          <cell r="AT328">
            <v>-4.4649999999999999</v>
          </cell>
          <cell r="AX328">
            <v>94</v>
          </cell>
          <cell r="AY328">
            <v>68.402000000000001</v>
          </cell>
          <cell r="AZ328">
            <v>-17.324000000000002</v>
          </cell>
          <cell r="BA328">
            <v>-25.326744832022456</v>
          </cell>
          <cell r="BF328">
            <v>24</v>
          </cell>
          <cell r="BG328">
            <v>17.05</v>
          </cell>
          <cell r="BH328">
            <v>-3.5059999999999998</v>
          </cell>
          <cell r="BL328">
            <v>23</v>
          </cell>
          <cell r="BM328">
            <v>16.338999999999999</v>
          </cell>
          <cell r="BN328">
            <v>-2.6030000000000002</v>
          </cell>
          <cell r="BR328">
            <v>23</v>
          </cell>
          <cell r="BS328">
            <v>16.338999999999999</v>
          </cell>
          <cell r="BT328">
            <v>-2.5030000000000001</v>
          </cell>
          <cell r="BX328">
            <v>25</v>
          </cell>
          <cell r="BY328">
            <v>17.760000000000002</v>
          </cell>
          <cell r="BZ328">
            <v>-2.5329999999999999</v>
          </cell>
          <cell r="CD328">
            <v>25</v>
          </cell>
          <cell r="CE328">
            <v>17.760000000000002</v>
          </cell>
          <cell r="CF328">
            <v>-2.3639999999999999</v>
          </cell>
          <cell r="CJ328">
            <v>28</v>
          </cell>
          <cell r="CK328">
            <v>19.890999999999998</v>
          </cell>
          <cell r="CL328">
            <v>-2.4900000000000002</v>
          </cell>
          <cell r="CP328">
            <v>148</v>
          </cell>
          <cell r="CQ328">
            <v>105.139</v>
          </cell>
          <cell r="CR328">
            <v>-15.999000000000001</v>
          </cell>
          <cell r="CS328">
            <v>-15.216998449671387</v>
          </cell>
          <cell r="CX328">
            <v>39</v>
          </cell>
          <cell r="CY328">
            <v>28.380000000000003</v>
          </cell>
          <cell r="CZ328">
            <v>-6.6539999999999999</v>
          </cell>
          <cell r="DA328">
            <v>-23.446088794926002</v>
          </cell>
          <cell r="DF328">
            <v>55</v>
          </cell>
          <cell r="DG328">
            <v>40.021999999999998</v>
          </cell>
          <cell r="DH328">
            <v>-10.67</v>
          </cell>
          <cell r="DI328">
            <v>-26.66033681475189</v>
          </cell>
          <cell r="DN328">
            <v>70</v>
          </cell>
          <cell r="DO328">
            <v>49.727999999999994</v>
          </cell>
          <cell r="DP328">
            <v>-8.6120000000000001</v>
          </cell>
          <cell r="DQ328">
            <v>-17.31821106821107</v>
          </cell>
          <cell r="DV328">
            <v>78</v>
          </cell>
          <cell r="DW328">
            <v>55.411000000000001</v>
          </cell>
          <cell r="DX328">
            <v>-7.3870000000000005</v>
          </cell>
          <cell r="DY328">
            <v>-13.331288011405679</v>
          </cell>
        </row>
        <row r="329">
          <cell r="F329">
            <v>773</v>
          </cell>
          <cell r="G329">
            <v>645.06900000000007</v>
          </cell>
          <cell r="H329">
            <v>-45.709000000000003</v>
          </cell>
          <cell r="I329">
            <v>-7.0859086392308406</v>
          </cell>
          <cell r="N329">
            <v>13</v>
          </cell>
          <cell r="O329">
            <v>9.4600000000000009</v>
          </cell>
          <cell r="P329">
            <v>-1.86</v>
          </cell>
          <cell r="T329">
            <v>13</v>
          </cell>
          <cell r="U329">
            <v>9.4600000000000009</v>
          </cell>
          <cell r="V329">
            <v>-2.226</v>
          </cell>
          <cell r="Z329">
            <v>13</v>
          </cell>
          <cell r="AA329">
            <v>9.4600000000000009</v>
          </cell>
          <cell r="AB329">
            <v>-2.5680000000000001</v>
          </cell>
          <cell r="AF329">
            <v>13</v>
          </cell>
          <cell r="AG329">
            <v>9.4600000000000009</v>
          </cell>
          <cell r="AH329">
            <v>-2.649</v>
          </cell>
          <cell r="AL329">
            <v>18</v>
          </cell>
          <cell r="AM329">
            <v>13.098000000000001</v>
          </cell>
          <cell r="AN329">
            <v>-3.556</v>
          </cell>
          <cell r="AR329">
            <v>24</v>
          </cell>
          <cell r="AS329">
            <v>17.463999999999999</v>
          </cell>
          <cell r="AT329">
            <v>-4.4649999999999999</v>
          </cell>
          <cell r="AX329">
            <v>94</v>
          </cell>
          <cell r="AY329">
            <v>68.402000000000001</v>
          </cell>
          <cell r="AZ329">
            <v>-17.324000000000002</v>
          </cell>
          <cell r="BA329">
            <v>-25.326744832022456</v>
          </cell>
          <cell r="BF329">
            <v>77</v>
          </cell>
          <cell r="BG329">
            <v>64.114000000000004</v>
          </cell>
          <cell r="BH329">
            <v>-5.6239999999999997</v>
          </cell>
          <cell r="BL329">
            <v>76</v>
          </cell>
          <cell r="BM329">
            <v>63.402999999999999</v>
          </cell>
          <cell r="BN329">
            <v>-3.7540000000000004</v>
          </cell>
          <cell r="BR329">
            <v>118</v>
          </cell>
          <cell r="BS329">
            <v>100.699</v>
          </cell>
          <cell r="BT329">
            <v>-5.0140000000000002</v>
          </cell>
          <cell r="BX329">
            <v>125</v>
          </cell>
          <cell r="BY329">
            <v>106.56</v>
          </cell>
          <cell r="BZ329">
            <v>-5.1020000000000003</v>
          </cell>
          <cell r="CD329">
            <v>135</v>
          </cell>
          <cell r="CE329">
            <v>115.44000000000001</v>
          </cell>
          <cell r="CF329">
            <v>-4.6069999999999993</v>
          </cell>
          <cell r="CJ329">
            <v>148</v>
          </cell>
          <cell r="CK329">
            <v>126.45099999999999</v>
          </cell>
          <cell r="CL329">
            <v>-4.2840000000000007</v>
          </cell>
          <cell r="CP329">
            <v>679</v>
          </cell>
          <cell r="CQ329">
            <v>576.66700000000003</v>
          </cell>
          <cell r="CR329">
            <v>-28.385000000000002</v>
          </cell>
          <cell r="CS329">
            <v>-4.9222514900280405</v>
          </cell>
          <cell r="CX329">
            <v>39</v>
          </cell>
          <cell r="CY329">
            <v>28.380000000000003</v>
          </cell>
          <cell r="CZ329">
            <v>-6.6539999999999999</v>
          </cell>
          <cell r="DA329">
            <v>-23.446088794926002</v>
          </cell>
          <cell r="DF329">
            <v>55</v>
          </cell>
          <cell r="DG329">
            <v>40.021999999999998</v>
          </cell>
          <cell r="DH329">
            <v>-10.67</v>
          </cell>
          <cell r="DI329">
            <v>-26.66033681475189</v>
          </cell>
          <cell r="DN329">
            <v>271</v>
          </cell>
          <cell r="DO329">
            <v>228.21600000000001</v>
          </cell>
          <cell r="DP329">
            <v>-14.391999999999999</v>
          </cell>
          <cell r="DQ329">
            <v>-6.3063063063063058</v>
          </cell>
          <cell r="DV329">
            <v>408</v>
          </cell>
          <cell r="DW329">
            <v>348.45100000000002</v>
          </cell>
          <cell r="DX329">
            <v>-13.993</v>
          </cell>
          <cell r="DY329">
            <v>-4.0157726624403427</v>
          </cell>
        </row>
        <row r="330">
          <cell r="F330">
            <v>2968</v>
          </cell>
          <cell r="G330">
            <v>2553.4</v>
          </cell>
          <cell r="H330">
            <v>642.46699999999987</v>
          </cell>
          <cell r="I330">
            <v>25.161235999060072</v>
          </cell>
          <cell r="N330">
            <v>128</v>
          </cell>
          <cell r="O330">
            <v>113.154</v>
          </cell>
          <cell r="P330">
            <v>26.362000000000002</v>
          </cell>
          <cell r="T330">
            <v>169</v>
          </cell>
          <cell r="U330">
            <v>148.32599999999999</v>
          </cell>
          <cell r="V330">
            <v>37.564999999999998</v>
          </cell>
          <cell r="Z330">
            <v>133</v>
          </cell>
          <cell r="AA330">
            <v>117.85400000000001</v>
          </cell>
          <cell r="AB330">
            <v>28.754000000000001</v>
          </cell>
          <cell r="AF330">
            <v>153</v>
          </cell>
          <cell r="AG330">
            <v>133.62</v>
          </cell>
          <cell r="AH330">
            <v>34.292999999999999</v>
          </cell>
          <cell r="AL330">
            <v>139</v>
          </cell>
          <cell r="AM330">
            <v>123.16</v>
          </cell>
          <cell r="AN330">
            <v>32.558999999999997</v>
          </cell>
          <cell r="AR330">
            <v>199</v>
          </cell>
          <cell r="AS330">
            <v>174.29400000000001</v>
          </cell>
          <cell r="AT330">
            <v>48.030999999999992</v>
          </cell>
          <cell r="AX330">
            <v>921</v>
          </cell>
          <cell r="AY330">
            <v>810.40800000000002</v>
          </cell>
          <cell r="AZ330">
            <v>207.56399999999996</v>
          </cell>
          <cell r="BA330">
            <v>25.612284182782002</v>
          </cell>
          <cell r="BF330">
            <v>272</v>
          </cell>
          <cell r="BG330">
            <v>231.36800000000002</v>
          </cell>
          <cell r="BH330">
            <v>51.441999999999993</v>
          </cell>
          <cell r="BL330">
            <v>271</v>
          </cell>
          <cell r="BM330">
            <v>229.75700000000001</v>
          </cell>
          <cell r="BN330">
            <v>59.844000000000001</v>
          </cell>
          <cell r="BR330">
            <v>327</v>
          </cell>
          <cell r="BS330">
            <v>277.84399999999999</v>
          </cell>
          <cell r="BT330">
            <v>66.679000000000002</v>
          </cell>
          <cell r="BX330">
            <v>387</v>
          </cell>
          <cell r="BY330">
            <v>327.93299999999999</v>
          </cell>
          <cell r="BZ330">
            <v>85.218000000000004</v>
          </cell>
          <cell r="CD330">
            <v>377</v>
          </cell>
          <cell r="CE330">
            <v>322.86400000000003</v>
          </cell>
          <cell r="CF330">
            <v>81.277000000000001</v>
          </cell>
          <cell r="CJ330">
            <v>413</v>
          </cell>
          <cell r="CK330">
            <v>353.226</v>
          </cell>
          <cell r="CL330">
            <v>90.442999999999998</v>
          </cell>
          <cell r="CP330">
            <v>2047</v>
          </cell>
          <cell r="CQ330">
            <v>1742.9920000000002</v>
          </cell>
          <cell r="CR330">
            <v>434.90299999999996</v>
          </cell>
          <cell r="CS330">
            <v>24.95152014467077</v>
          </cell>
          <cell r="CX330">
            <v>430</v>
          </cell>
          <cell r="CY330">
            <v>379.33399999999995</v>
          </cell>
          <cell r="CZ330">
            <v>92.680999999999997</v>
          </cell>
          <cell r="DA330">
            <v>24.432558115012103</v>
          </cell>
          <cell r="DF330">
            <v>491</v>
          </cell>
          <cell r="DG330">
            <v>431.07399999999996</v>
          </cell>
          <cell r="DH330">
            <v>114.883</v>
          </cell>
          <cell r="DI330">
            <v>26.650412690164565</v>
          </cell>
          <cell r="DN330">
            <v>870</v>
          </cell>
          <cell r="DO330">
            <v>738.96900000000005</v>
          </cell>
          <cell r="DP330">
            <v>177.96499999999997</v>
          </cell>
          <cell r="DQ330">
            <v>24.082877630861372</v>
          </cell>
          <cell r="DV330">
            <v>1177</v>
          </cell>
          <cell r="DW330">
            <v>1004.0230000000001</v>
          </cell>
          <cell r="DX330">
            <v>256.93799999999993</v>
          </cell>
          <cell r="DY330">
            <v>25.59084801842188</v>
          </cell>
        </row>
        <row r="331">
          <cell r="F331">
            <v>42530</v>
          </cell>
          <cell r="G331">
            <v>2172.0168000000003</v>
          </cell>
          <cell r="H331">
            <v>258.928</v>
          </cell>
          <cell r="I331">
            <v>11.921086429902381</v>
          </cell>
          <cell r="N331">
            <v>2010</v>
          </cell>
          <cell r="O331">
            <v>108.9246</v>
          </cell>
          <cell r="P331">
            <v>14.507</v>
          </cell>
          <cell r="T331">
            <v>2700</v>
          </cell>
          <cell r="U331">
            <v>143.262</v>
          </cell>
          <cell r="V331">
            <v>18.954999999999998</v>
          </cell>
          <cell r="Z331">
            <v>2100</v>
          </cell>
          <cell r="AA331">
            <v>120.52200000000001</v>
          </cell>
          <cell r="AB331">
            <v>16.876999999999999</v>
          </cell>
          <cell r="AF331">
            <v>2120</v>
          </cell>
          <cell r="AG331">
            <v>122.1896</v>
          </cell>
          <cell r="AH331">
            <v>17.177</v>
          </cell>
          <cell r="AL331">
            <v>2060</v>
          </cell>
          <cell r="AM331">
            <v>110.202</v>
          </cell>
          <cell r="AN331">
            <v>14.037000000000001</v>
          </cell>
          <cell r="AR331">
            <v>2230</v>
          </cell>
          <cell r="AS331">
            <v>126.3586</v>
          </cell>
          <cell r="AT331">
            <v>17.853000000000002</v>
          </cell>
          <cell r="AX331">
            <v>13220</v>
          </cell>
          <cell r="AY331">
            <v>731.45880000000011</v>
          </cell>
          <cell r="AZ331">
            <v>99.406000000000006</v>
          </cell>
          <cell r="BA331">
            <v>13.590102409048873</v>
          </cell>
          <cell r="BF331">
            <v>4440</v>
          </cell>
          <cell r="BG331">
            <v>221.11199999999999</v>
          </cell>
          <cell r="BH331">
            <v>25.202000000000002</v>
          </cell>
          <cell r="BL331">
            <v>4050</v>
          </cell>
          <cell r="BM331">
            <v>207.57</v>
          </cell>
          <cell r="BN331">
            <v>24.439</v>
          </cell>
          <cell r="BR331">
            <v>4430</v>
          </cell>
          <cell r="BS331">
            <v>219.85399999999998</v>
          </cell>
          <cell r="BT331">
            <v>24.943000000000001</v>
          </cell>
          <cell r="BX331">
            <v>4530</v>
          </cell>
          <cell r="BY331">
            <v>223.55400000000003</v>
          </cell>
          <cell r="BZ331">
            <v>25.456</v>
          </cell>
          <cell r="CD331">
            <v>5480</v>
          </cell>
          <cell r="CE331">
            <v>263.14400000000001</v>
          </cell>
          <cell r="CF331">
            <v>27.367999999999999</v>
          </cell>
          <cell r="CJ331">
            <v>6380</v>
          </cell>
          <cell r="CK331">
            <v>305.32400000000001</v>
          </cell>
          <cell r="CL331">
            <v>32.113999999999997</v>
          </cell>
          <cell r="CP331">
            <v>29310</v>
          </cell>
          <cell r="CQ331">
            <v>1440.5580000000002</v>
          </cell>
          <cell r="CR331">
            <v>159.52199999999999</v>
          </cell>
          <cell r="CS331">
            <v>11.07362563673243</v>
          </cell>
          <cell r="CX331">
            <v>6810</v>
          </cell>
          <cell r="CY331">
            <v>372.70859999999999</v>
          </cell>
          <cell r="CZ331">
            <v>50.338999999999999</v>
          </cell>
          <cell r="DA331">
            <v>13.506261996637587</v>
          </cell>
          <cell r="DF331">
            <v>6410</v>
          </cell>
          <cell r="DG331">
            <v>358.75019999999995</v>
          </cell>
          <cell r="DH331">
            <v>49.067</v>
          </cell>
          <cell r="DI331">
            <v>13.677204918631405</v>
          </cell>
          <cell r="DN331">
            <v>12920</v>
          </cell>
          <cell r="DO331">
            <v>648.53600000000006</v>
          </cell>
          <cell r="DP331">
            <v>74.584000000000003</v>
          </cell>
          <cell r="DQ331">
            <v>11.500363896530031</v>
          </cell>
          <cell r="DV331">
            <v>16390</v>
          </cell>
          <cell r="DW331">
            <v>792.02200000000005</v>
          </cell>
          <cell r="DX331">
            <v>84.937999999999988</v>
          </cell>
          <cell r="DY331">
            <v>10.724197055132304</v>
          </cell>
        </row>
        <row r="332">
          <cell r="F332">
            <v>3642</v>
          </cell>
          <cell r="G332">
            <v>462.82092</v>
          </cell>
          <cell r="H332">
            <v>40.841999999999999</v>
          </cell>
          <cell r="I332">
            <v>8.8245794939433591</v>
          </cell>
          <cell r="N332">
            <v>230</v>
          </cell>
          <cell r="O332">
            <v>29.637799999999999</v>
          </cell>
          <cell r="P332">
            <v>2.6150000000000002</v>
          </cell>
          <cell r="T332">
            <v>224</v>
          </cell>
          <cell r="U332">
            <v>28.864640000000001</v>
          </cell>
          <cell r="V332">
            <v>2.5470000000000002</v>
          </cell>
          <cell r="Z332">
            <v>224</v>
          </cell>
          <cell r="AA332">
            <v>28.864640000000001</v>
          </cell>
          <cell r="AB332">
            <v>2.5470000000000002</v>
          </cell>
          <cell r="AF332">
            <v>240</v>
          </cell>
          <cell r="AG332">
            <v>30.926400000000001</v>
          </cell>
          <cell r="AH332">
            <v>2.7280000000000002</v>
          </cell>
          <cell r="AL332">
            <v>324</v>
          </cell>
          <cell r="AM332">
            <v>41.750639999999997</v>
          </cell>
          <cell r="AN332">
            <v>3.6840000000000002</v>
          </cell>
          <cell r="AR332">
            <v>280</v>
          </cell>
          <cell r="AS332">
            <v>36.080800000000004</v>
          </cell>
          <cell r="AT332">
            <v>3.1869999999999998</v>
          </cell>
          <cell r="AX332">
            <v>1522</v>
          </cell>
          <cell r="AY332">
            <v>196.12492</v>
          </cell>
          <cell r="AZ332">
            <v>17.308</v>
          </cell>
          <cell r="BA332">
            <v>8.8249876660242865</v>
          </cell>
          <cell r="BF332">
            <v>336</v>
          </cell>
          <cell r="BG332">
            <v>42.268799999999999</v>
          </cell>
          <cell r="BH332">
            <v>3.73</v>
          </cell>
          <cell r="BL332">
            <v>336</v>
          </cell>
          <cell r="BM332">
            <v>42.268799999999999</v>
          </cell>
          <cell r="BN332">
            <v>3.73</v>
          </cell>
          <cell r="BR332">
            <v>336</v>
          </cell>
          <cell r="BS332">
            <v>42.268799999999999</v>
          </cell>
          <cell r="BT332">
            <v>3.73</v>
          </cell>
          <cell r="BX332">
            <v>336</v>
          </cell>
          <cell r="BY332">
            <v>42.268799999999999</v>
          </cell>
          <cell r="BZ332">
            <v>3.73</v>
          </cell>
          <cell r="CD332">
            <v>390</v>
          </cell>
          <cell r="CE332">
            <v>49.061999999999998</v>
          </cell>
          <cell r="CF332">
            <v>4.3289999999999997</v>
          </cell>
          <cell r="CJ332">
            <v>386</v>
          </cell>
          <cell r="CK332">
            <v>48.558799999999998</v>
          </cell>
          <cell r="CL332">
            <v>4.2850000000000001</v>
          </cell>
          <cell r="CP332">
            <v>2120</v>
          </cell>
          <cell r="CQ332">
            <v>266.69600000000003</v>
          </cell>
          <cell r="CR332">
            <v>23.534000000000002</v>
          </cell>
          <cell r="CS332">
            <v>8.8242793292737804</v>
          </cell>
          <cell r="CX332">
            <v>678</v>
          </cell>
          <cell r="CY332">
            <v>87.367080000000001</v>
          </cell>
          <cell r="CZ332">
            <v>7.7090000000000014</v>
          </cell>
          <cell r="DA332">
            <v>8.8236896551882023</v>
          </cell>
          <cell r="DF332">
            <v>844</v>
          </cell>
          <cell r="DG332">
            <v>108.75784000000002</v>
          </cell>
          <cell r="DH332">
            <v>9.5990000000000002</v>
          </cell>
          <cell r="DI332">
            <v>8.8260303808902414</v>
          </cell>
          <cell r="DN332">
            <v>1008</v>
          </cell>
          <cell r="DO332">
            <v>126.8064</v>
          </cell>
          <cell r="DP332">
            <v>11.19</v>
          </cell>
          <cell r="DQ332">
            <v>8.8244757362404425</v>
          </cell>
          <cell r="DV332">
            <v>1112</v>
          </cell>
          <cell r="DW332">
            <v>139.8896</v>
          </cell>
          <cell r="DX332">
            <v>12.343999999999999</v>
          </cell>
          <cell r="DY332">
            <v>8.8241012913040002</v>
          </cell>
        </row>
        <row r="333">
          <cell r="F333">
            <v>0</v>
          </cell>
          <cell r="G333">
            <v>640.29880000000003</v>
          </cell>
          <cell r="H333">
            <v>92.456000000000017</v>
          </cell>
          <cell r="I333">
            <v>14.439508554443648</v>
          </cell>
          <cell r="O333">
            <v>43.206000000000003</v>
          </cell>
          <cell r="P333">
            <v>5.8389999999999969</v>
          </cell>
          <cell r="U333">
            <v>42.448</v>
          </cell>
          <cell r="V333">
            <v>5.7320000000000029</v>
          </cell>
          <cell r="AA333">
            <v>42.448</v>
          </cell>
          <cell r="AB333">
            <v>5.7360000000000007</v>
          </cell>
          <cell r="AG333">
            <v>43.206000000000003</v>
          </cell>
          <cell r="AH333">
            <v>5.835</v>
          </cell>
          <cell r="AM333">
            <v>53.200400000000002</v>
          </cell>
          <cell r="AN333">
            <v>13.388</v>
          </cell>
          <cell r="AS333">
            <v>46.086399999999998</v>
          </cell>
          <cell r="AT333">
            <v>6.27</v>
          </cell>
          <cell r="AX333">
            <v>0</v>
          </cell>
          <cell r="AY333">
            <v>270.59480000000002</v>
          </cell>
          <cell r="AZ333">
            <v>42.800000000000004</v>
          </cell>
          <cell r="BA333">
            <v>15.81700756999026</v>
          </cell>
          <cell r="BG333">
            <v>56.536000000000001</v>
          </cell>
          <cell r="BH333">
            <v>7.6239999999999988</v>
          </cell>
          <cell r="BM333">
            <v>50.32</v>
          </cell>
          <cell r="BN333">
            <v>6.6429999999999971</v>
          </cell>
          <cell r="BS333">
            <v>58.756</v>
          </cell>
          <cell r="BT333">
            <v>7.772000000000002</v>
          </cell>
          <cell r="BY333">
            <v>58.756</v>
          </cell>
          <cell r="BZ333">
            <v>7.7700000000000067</v>
          </cell>
          <cell r="CE333">
            <v>74.739999999999995</v>
          </cell>
          <cell r="CF333">
            <v>10.248999999999999</v>
          </cell>
          <cell r="CK333">
            <v>70.596000000000004</v>
          </cell>
          <cell r="CL333">
            <v>9.5980000000000061</v>
          </cell>
          <cell r="CP333">
            <v>0</v>
          </cell>
          <cell r="CQ333">
            <v>369.70400000000001</v>
          </cell>
          <cell r="CR333">
            <v>49.656000000000006</v>
          </cell>
          <cell r="CS333">
            <v>13.431285568995738</v>
          </cell>
          <cell r="CX333">
            <v>0</v>
          </cell>
          <cell r="CY333">
            <v>128.102</v>
          </cell>
          <cell r="CZ333">
            <v>17.307000000000002</v>
          </cell>
          <cell r="DA333">
            <v>13.510327707608003</v>
          </cell>
          <cell r="DF333">
            <v>0</v>
          </cell>
          <cell r="DG333">
            <v>142.49279999999999</v>
          </cell>
          <cell r="DH333">
            <v>25.492999999999999</v>
          </cell>
          <cell r="DI333">
            <v>17.89072851400211</v>
          </cell>
          <cell r="DN333">
            <v>0</v>
          </cell>
          <cell r="DO333">
            <v>165.61199999999999</v>
          </cell>
          <cell r="DP333">
            <v>22.038999999999998</v>
          </cell>
          <cell r="DQ333">
            <v>13.307610559621283</v>
          </cell>
          <cell r="DV333">
            <v>0</v>
          </cell>
          <cell r="DW333">
            <v>204.09199999999998</v>
          </cell>
          <cell r="DX333">
            <v>27.617000000000012</v>
          </cell>
          <cell r="DY333">
            <v>13.531642592556306</v>
          </cell>
        </row>
        <row r="334">
          <cell r="F334">
            <v>46172</v>
          </cell>
          <cell r="G334">
            <v>3275.1365200000005</v>
          </cell>
          <cell r="H334">
            <v>392.226</v>
          </cell>
          <cell r="I334">
            <v>11.975867192247605</v>
          </cell>
          <cell r="N334">
            <v>2240</v>
          </cell>
          <cell r="O334">
            <v>181.76839999999999</v>
          </cell>
          <cell r="P334">
            <v>22.960999999999999</v>
          </cell>
          <cell r="T334">
            <v>2924</v>
          </cell>
          <cell r="U334">
            <v>214.57464000000002</v>
          </cell>
          <cell r="V334">
            <v>27.234000000000002</v>
          </cell>
          <cell r="Z334">
            <v>2324</v>
          </cell>
          <cell r="AA334">
            <v>191.83464000000001</v>
          </cell>
          <cell r="AB334">
            <v>25.16</v>
          </cell>
          <cell r="AF334">
            <v>2360</v>
          </cell>
          <cell r="AG334">
            <v>196.322</v>
          </cell>
          <cell r="AH334">
            <v>25.740000000000002</v>
          </cell>
          <cell r="AL334">
            <v>2384</v>
          </cell>
          <cell r="AM334">
            <v>205.15304</v>
          </cell>
          <cell r="AN334">
            <v>31.109000000000002</v>
          </cell>
          <cell r="AR334">
            <v>2510</v>
          </cell>
          <cell r="AS334">
            <v>208.5258</v>
          </cell>
          <cell r="AT334">
            <v>27.310000000000002</v>
          </cell>
          <cell r="AX334">
            <v>14742</v>
          </cell>
          <cell r="AY334">
            <v>1198.1785200000002</v>
          </cell>
          <cell r="AZ334">
            <v>159.51400000000001</v>
          </cell>
          <cell r="BA334">
            <v>13.313041198568639</v>
          </cell>
          <cell r="BF334">
            <v>4776</v>
          </cell>
          <cell r="BG334">
            <v>319.91680000000002</v>
          </cell>
          <cell r="BH334">
            <v>36.555999999999997</v>
          </cell>
          <cell r="BL334">
            <v>4386</v>
          </cell>
          <cell r="BM334">
            <v>300.15879999999999</v>
          </cell>
          <cell r="BN334">
            <v>34.811999999999998</v>
          </cell>
          <cell r="BR334">
            <v>4766</v>
          </cell>
          <cell r="BS334">
            <v>320.87879999999996</v>
          </cell>
          <cell r="BT334">
            <v>36.445000000000007</v>
          </cell>
          <cell r="BX334">
            <v>4866</v>
          </cell>
          <cell r="BY334">
            <v>324.5788</v>
          </cell>
          <cell r="BZ334">
            <v>36.956000000000003</v>
          </cell>
          <cell r="CD334">
            <v>5870</v>
          </cell>
          <cell r="CE334">
            <v>386.94600000000003</v>
          </cell>
          <cell r="CF334">
            <v>41.945999999999998</v>
          </cell>
          <cell r="CJ334">
            <v>6766</v>
          </cell>
          <cell r="CK334">
            <v>424.47880000000004</v>
          </cell>
          <cell r="CL334">
            <v>45.997000000000007</v>
          </cell>
          <cell r="CP334">
            <v>31430</v>
          </cell>
          <cell r="CQ334">
            <v>2076.9580000000005</v>
          </cell>
          <cell r="CR334">
            <v>232.71199999999999</v>
          </cell>
          <cell r="CS334">
            <v>11.204463450873822</v>
          </cell>
          <cell r="CX334">
            <v>7488</v>
          </cell>
          <cell r="CY334">
            <v>588.17768000000001</v>
          </cell>
          <cell r="CZ334">
            <v>75.355000000000004</v>
          </cell>
          <cell r="DA334">
            <v>12.811604819822472</v>
          </cell>
          <cell r="DF334">
            <v>7254</v>
          </cell>
          <cell r="DG334">
            <v>610.00083999999993</v>
          </cell>
          <cell r="DH334">
            <v>84.158999999999992</v>
          </cell>
          <cell r="DI334">
            <v>13.796538378537315</v>
          </cell>
          <cell r="DN334">
            <v>13928</v>
          </cell>
          <cell r="DO334">
            <v>940.95439999999996</v>
          </cell>
          <cell r="DP334">
            <v>107.813</v>
          </cell>
          <cell r="DQ334">
            <v>11.457834726103625</v>
          </cell>
          <cell r="DV334">
            <v>17502</v>
          </cell>
          <cell r="DW334">
            <v>1136.0036</v>
          </cell>
          <cell r="DX334">
            <v>124.899</v>
          </cell>
          <cell r="DY334">
            <v>10.994595439662339</v>
          </cell>
        </row>
        <row r="335">
          <cell r="F335">
            <v>68717.804000000004</v>
          </cell>
          <cell r="G335">
            <v>10001.68352</v>
          </cell>
          <cell r="H335">
            <v>1356.1839999999997</v>
          </cell>
          <cell r="I335">
            <v>13.559557221422654</v>
          </cell>
          <cell r="N335">
            <v>3293</v>
          </cell>
          <cell r="O335">
            <v>484.08139999999997</v>
          </cell>
          <cell r="P335">
            <v>18.991000000000003</v>
          </cell>
          <cell r="T335">
            <v>4044</v>
          </cell>
          <cell r="U335">
            <v>559.54164000000003</v>
          </cell>
          <cell r="V335">
            <v>34.450000000000003</v>
          </cell>
          <cell r="Z335">
            <v>3388.806</v>
          </cell>
          <cell r="AA335">
            <v>503.56263999999999</v>
          </cell>
          <cell r="AB335">
            <v>26.3</v>
          </cell>
          <cell r="AF335">
            <v>3485.6059999999998</v>
          </cell>
          <cell r="AG335">
            <v>535.52099999999996</v>
          </cell>
          <cell r="AH335">
            <v>36.091000000000001</v>
          </cell>
          <cell r="AL335">
            <v>3460.672</v>
          </cell>
          <cell r="AM335">
            <v>526.58504000000005</v>
          </cell>
          <cell r="AN335">
            <v>54.949999999999996</v>
          </cell>
          <cell r="AR335">
            <v>3909</v>
          </cell>
          <cell r="AS335">
            <v>635.04380000000003</v>
          </cell>
          <cell r="AT335">
            <v>76.814999999999998</v>
          </cell>
          <cell r="AX335">
            <v>21581.083999999999</v>
          </cell>
          <cell r="AY335">
            <v>3244.3355200000005</v>
          </cell>
          <cell r="AZ335">
            <v>247.59699999999995</v>
          </cell>
          <cell r="BA335">
            <v>7.6316705986068891</v>
          </cell>
          <cell r="BF335">
            <v>6944.3440000000001</v>
          </cell>
          <cell r="BG335">
            <v>966.65380000000005</v>
          </cell>
          <cell r="BH335">
            <v>133.84199999999998</v>
          </cell>
          <cell r="BL335">
            <v>6872.3440000000001</v>
          </cell>
          <cell r="BM335">
            <v>1006.0758000000001</v>
          </cell>
          <cell r="BN335">
            <v>156.256</v>
          </cell>
          <cell r="BR335">
            <v>7328.3440000000001</v>
          </cell>
          <cell r="BS335">
            <v>1080.2697999999998</v>
          </cell>
          <cell r="BT335">
            <v>167.202</v>
          </cell>
          <cell r="BX335">
            <v>7563.3440000000001</v>
          </cell>
          <cell r="BY335">
            <v>1146.1727999999998</v>
          </cell>
          <cell r="BZ335">
            <v>202.81100000000004</v>
          </cell>
          <cell r="CD335">
            <v>8602.344000000001</v>
          </cell>
          <cell r="CE335">
            <v>1213.0909999999999</v>
          </cell>
          <cell r="CF335">
            <v>208.35999999999999</v>
          </cell>
          <cell r="CJ335">
            <v>9826</v>
          </cell>
          <cell r="CK335">
            <v>1345.0848000000001</v>
          </cell>
          <cell r="CL335">
            <v>240.11600000000004</v>
          </cell>
          <cell r="CP335">
            <v>47136.72</v>
          </cell>
          <cell r="CQ335">
            <v>6757.3480000000009</v>
          </cell>
          <cell r="CR335">
            <v>1108.587</v>
          </cell>
          <cell r="CS335">
            <v>16.405652039823902</v>
          </cell>
          <cell r="CX335">
            <v>10725.806</v>
          </cell>
          <cell r="CY335">
            <v>1547.18568</v>
          </cell>
          <cell r="CZ335">
            <v>79.741</v>
          </cell>
          <cell r="DA335">
            <v>5.1539386016033966</v>
          </cell>
          <cell r="DF335">
            <v>10855.278</v>
          </cell>
          <cell r="DG335">
            <v>1697.1498399999998</v>
          </cell>
          <cell r="DH335">
            <v>167.85599999999999</v>
          </cell>
          <cell r="DI335">
            <v>9.8904643564059143</v>
          </cell>
          <cell r="DN335">
            <v>21145.031999999999</v>
          </cell>
          <cell r="DO335">
            <v>3052.9994000000002</v>
          </cell>
          <cell r="DP335">
            <v>457.29999999999995</v>
          </cell>
          <cell r="DQ335">
            <v>14.978712409835387</v>
          </cell>
          <cell r="DV335">
            <v>25991.688000000002</v>
          </cell>
          <cell r="DW335">
            <v>3704.3486000000003</v>
          </cell>
          <cell r="DX335">
            <v>651.28699999999992</v>
          </cell>
          <cell r="DY335">
            <v>17.581687641384502</v>
          </cell>
        </row>
        <row r="336">
          <cell r="F336">
            <v>69037.804000000004</v>
          </cell>
          <cell r="G336">
            <v>15637.68352</v>
          </cell>
          <cell r="H336">
            <v>1637.0569999999998</v>
          </cell>
          <cell r="I336">
            <v>10.468666909048686</v>
          </cell>
          <cell r="N336">
            <v>3313</v>
          </cell>
          <cell r="O336">
            <v>832.08140000000003</v>
          </cell>
          <cell r="P336">
            <v>30.955000000000002</v>
          </cell>
          <cell r="T336">
            <v>4064</v>
          </cell>
          <cell r="U336">
            <v>907.54164000000003</v>
          </cell>
          <cell r="V336">
            <v>47.756</v>
          </cell>
          <cell r="Z336">
            <v>3410.806</v>
          </cell>
          <cell r="AA336">
            <v>887.56263999999999</v>
          </cell>
          <cell r="AB336">
            <v>37.096000000000004</v>
          </cell>
          <cell r="AF336">
            <v>3507.6059999999998</v>
          </cell>
          <cell r="AG336">
            <v>919.52099999999996</v>
          </cell>
          <cell r="AH336">
            <v>49.349000000000004</v>
          </cell>
          <cell r="AL336">
            <v>3486.672</v>
          </cell>
          <cell r="AM336">
            <v>984.58504000000005</v>
          </cell>
          <cell r="AN336">
            <v>65.42</v>
          </cell>
          <cell r="AR336">
            <v>3935</v>
          </cell>
          <cell r="AS336">
            <v>1093.0437999999999</v>
          </cell>
          <cell r="AT336">
            <v>96.325000000000003</v>
          </cell>
          <cell r="AX336">
            <v>21717.083999999999</v>
          </cell>
          <cell r="AY336">
            <v>5624.3355200000005</v>
          </cell>
          <cell r="AZ336">
            <v>326.90099999999995</v>
          </cell>
          <cell r="BA336">
            <v>5.8122599343077583</v>
          </cell>
          <cell r="BF336">
            <v>6972.3440000000001</v>
          </cell>
          <cell r="BG336">
            <v>1462.6538</v>
          </cell>
          <cell r="BH336">
            <v>162.37899999999999</v>
          </cell>
          <cell r="BL336">
            <v>6902.3440000000001</v>
          </cell>
          <cell r="BM336">
            <v>1538.0758000000001</v>
          </cell>
          <cell r="BN336">
            <v>192.14</v>
          </cell>
          <cell r="BR336">
            <v>7360.3440000000001</v>
          </cell>
          <cell r="BS336">
            <v>1648.2697999999998</v>
          </cell>
          <cell r="BT336">
            <v>204.827</v>
          </cell>
          <cell r="BX336">
            <v>7597.3440000000001</v>
          </cell>
          <cell r="BY336">
            <v>1740.1727999999998</v>
          </cell>
          <cell r="BZ336">
            <v>241.87300000000005</v>
          </cell>
          <cell r="CD336">
            <v>8634.344000000001</v>
          </cell>
          <cell r="CE336">
            <v>1783.0909999999999</v>
          </cell>
          <cell r="CF336">
            <v>241.01599999999999</v>
          </cell>
          <cell r="CJ336">
            <v>9854</v>
          </cell>
          <cell r="CK336">
            <v>1841.0848000000001</v>
          </cell>
          <cell r="CL336">
            <v>267.92100000000005</v>
          </cell>
          <cell r="CP336">
            <v>47320.72</v>
          </cell>
          <cell r="CQ336">
            <v>10013.348000000002</v>
          </cell>
          <cell r="CR336">
            <v>1310.1559999999999</v>
          </cell>
          <cell r="CS336">
            <v>13.084095349527447</v>
          </cell>
          <cell r="CX336">
            <v>10787.806</v>
          </cell>
          <cell r="CY336">
            <v>2627.18568</v>
          </cell>
          <cell r="CZ336">
            <v>115.80700000000002</v>
          </cell>
          <cell r="DA336">
            <v>4.4080249402090228</v>
          </cell>
          <cell r="DF336">
            <v>10929.278</v>
          </cell>
          <cell r="DG336">
            <v>2997.14984</v>
          </cell>
          <cell r="DH336">
            <v>211.09399999999999</v>
          </cell>
          <cell r="DI336">
            <v>7.0431580424420828</v>
          </cell>
          <cell r="DN336">
            <v>21235.031999999999</v>
          </cell>
          <cell r="DO336">
            <v>4648.9994000000006</v>
          </cell>
          <cell r="DP336">
            <v>559.346</v>
          </cell>
          <cell r="DQ336">
            <v>12.031535215943455</v>
          </cell>
          <cell r="DV336">
            <v>26085.688000000002</v>
          </cell>
          <cell r="DW336">
            <v>5364.3486000000003</v>
          </cell>
          <cell r="DX336">
            <v>750.81</v>
          </cell>
          <cell r="DY336">
            <v>13.996293976867943</v>
          </cell>
        </row>
        <row r="337">
          <cell r="F337">
            <v>120247.804</v>
          </cell>
          <cell r="G337">
            <v>52277.783519999997</v>
          </cell>
          <cell r="H337">
            <v>14514.603999999999</v>
          </cell>
          <cell r="I337">
            <v>27.764382922713477</v>
          </cell>
          <cell r="N337">
            <v>5615</v>
          </cell>
          <cell r="O337">
            <v>2761.2813999999998</v>
          </cell>
          <cell r="P337">
            <v>565.02800000000002</v>
          </cell>
          <cell r="T337">
            <v>6734</v>
          </cell>
          <cell r="U337">
            <v>3077.5416399999999</v>
          </cell>
          <cell r="V337">
            <v>646.11599999999999</v>
          </cell>
          <cell r="Z337">
            <v>6910.8060000000005</v>
          </cell>
          <cell r="AA337">
            <v>3594.7626399999999</v>
          </cell>
          <cell r="AB337">
            <v>872.94500000000005</v>
          </cell>
          <cell r="AF337">
            <v>7349.6059999999998</v>
          </cell>
          <cell r="AG337">
            <v>3948.5209999999997</v>
          </cell>
          <cell r="AH337">
            <v>1028.6289999999999</v>
          </cell>
          <cell r="AL337">
            <v>7786.6720000000005</v>
          </cell>
          <cell r="AM337">
            <v>4081.2850399999998</v>
          </cell>
          <cell r="AN337">
            <v>1112.835</v>
          </cell>
          <cell r="AR337">
            <v>8505</v>
          </cell>
          <cell r="AS337">
            <v>4241.2438000000002</v>
          </cell>
          <cell r="AT337">
            <v>1203.5440000000001</v>
          </cell>
          <cell r="AX337">
            <v>42901.084000000003</v>
          </cell>
          <cell r="AY337">
            <v>21704.63552</v>
          </cell>
          <cell r="AZ337">
            <v>5429.0969999999998</v>
          </cell>
          <cell r="BA337">
            <v>25.013536831785505</v>
          </cell>
          <cell r="BF337">
            <v>11924.344000000001</v>
          </cell>
          <cell r="BG337">
            <v>4693.0537999999997</v>
          </cell>
          <cell r="BH337">
            <v>1327.3939999999998</v>
          </cell>
          <cell r="BL337">
            <v>11172.344000000001</v>
          </cell>
          <cell r="BM337">
            <v>4503.4758000000002</v>
          </cell>
          <cell r="BN337">
            <v>1261.9959999999996</v>
          </cell>
          <cell r="BR337">
            <v>12146.344000000001</v>
          </cell>
          <cell r="BS337">
            <v>5213.1697999999997</v>
          </cell>
          <cell r="BT337">
            <v>1542.9580000000001</v>
          </cell>
          <cell r="BX337">
            <v>13361.344000000001</v>
          </cell>
          <cell r="BY337">
            <v>5579.6728000000003</v>
          </cell>
          <cell r="BZ337">
            <v>1697.5230000000001</v>
          </cell>
          <cell r="CD337">
            <v>14138.344000000001</v>
          </cell>
          <cell r="CE337">
            <v>5417.1909999999998</v>
          </cell>
          <cell r="CF337">
            <v>1639.3380000000002</v>
          </cell>
          <cell r="CJ337">
            <v>14604</v>
          </cell>
          <cell r="CK337">
            <v>5166.5848000000005</v>
          </cell>
          <cell r="CL337">
            <v>1616.298</v>
          </cell>
          <cell r="CP337">
            <v>77346.720000000001</v>
          </cell>
          <cell r="CQ337">
            <v>30573.148000000001</v>
          </cell>
          <cell r="CR337">
            <v>9085.5070000000014</v>
          </cell>
          <cell r="CS337">
            <v>29.71727674232304</v>
          </cell>
          <cell r="CX337">
            <v>19259.806</v>
          </cell>
          <cell r="CY337">
            <v>9433.5856800000001</v>
          </cell>
          <cell r="CZ337">
            <v>2084.0889999999999</v>
          </cell>
          <cell r="DA337">
            <v>22.092225275681177</v>
          </cell>
          <cell r="DF337">
            <v>23641.277999999998</v>
          </cell>
          <cell r="DG337">
            <v>12271.04984</v>
          </cell>
          <cell r="DH337">
            <v>3345.0079999999998</v>
          </cell>
          <cell r="DI337">
            <v>27.259346540149004</v>
          </cell>
          <cell r="DN337">
            <v>35243.031999999999</v>
          </cell>
          <cell r="DO337">
            <v>14409.699400000001</v>
          </cell>
          <cell r="DP337">
            <v>4132.348</v>
          </cell>
          <cell r="DQ337">
            <v>28.677544793196724</v>
          </cell>
          <cell r="DV337">
            <v>42103.688000000002</v>
          </cell>
          <cell r="DW337">
            <v>16163.4486</v>
          </cell>
          <cell r="DX337">
            <v>4953.1589999999997</v>
          </cell>
          <cell r="DY337">
            <v>30.644196808346951</v>
          </cell>
        </row>
        <row r="338">
          <cell r="F338">
            <v>0</v>
          </cell>
          <cell r="G338">
            <v>5002.9830000000002</v>
          </cell>
          <cell r="H338">
            <v>1273.4670000000001</v>
          </cell>
          <cell r="I338">
            <v>25.454154051692761</v>
          </cell>
          <cell r="O338">
            <v>304.71199999999999</v>
          </cell>
          <cell r="P338">
            <v>70.525999999999996</v>
          </cell>
          <cell r="U338">
            <v>304.71199999999999</v>
          </cell>
          <cell r="V338">
            <v>61.301000000000002</v>
          </cell>
          <cell r="AA338">
            <v>319.49200000000002</v>
          </cell>
          <cell r="AB338">
            <v>62.973999999999997</v>
          </cell>
          <cell r="AF338">
            <v>0</v>
          </cell>
          <cell r="AG338">
            <v>394.85700000000003</v>
          </cell>
          <cell r="AH338">
            <v>75.421000000000006</v>
          </cell>
          <cell r="AL338">
            <v>0</v>
          </cell>
          <cell r="AM338">
            <v>414.36200000000002</v>
          </cell>
          <cell r="AN338">
            <v>86.75</v>
          </cell>
          <cell r="AR338">
            <v>0</v>
          </cell>
          <cell r="AS338">
            <v>414.80599999999998</v>
          </cell>
          <cell r="AT338">
            <v>94.509</v>
          </cell>
          <cell r="AX338">
            <v>0</v>
          </cell>
          <cell r="AY338">
            <v>2152.9409999999998</v>
          </cell>
          <cell r="AZ338">
            <v>451.48099999999999</v>
          </cell>
          <cell r="BA338">
            <v>20.970430680636394</v>
          </cell>
          <cell r="BF338">
            <v>0</v>
          </cell>
          <cell r="BG338">
            <v>404.94200000000001</v>
          </cell>
          <cell r="BH338">
            <v>103.601</v>
          </cell>
          <cell r="BL338">
            <v>0</v>
          </cell>
          <cell r="BM338">
            <v>434.90699999999998</v>
          </cell>
          <cell r="BN338">
            <v>115.834</v>
          </cell>
          <cell r="BR338">
            <v>0</v>
          </cell>
          <cell r="BS338">
            <v>405.38900000000001</v>
          </cell>
          <cell r="BT338">
            <v>105.69799999999999</v>
          </cell>
          <cell r="BX338">
            <v>0</v>
          </cell>
          <cell r="BY338">
            <v>544.46699999999998</v>
          </cell>
          <cell r="BZ338">
            <v>163.31100000000001</v>
          </cell>
          <cell r="CD338">
            <v>0</v>
          </cell>
          <cell r="CE338">
            <v>544.36300000000006</v>
          </cell>
          <cell r="CF338">
            <v>171.14699999999999</v>
          </cell>
          <cell r="CJ338">
            <v>0</v>
          </cell>
          <cell r="CK338">
            <v>515.97400000000005</v>
          </cell>
          <cell r="CL338">
            <v>162.39500000000001</v>
          </cell>
          <cell r="CP338">
            <v>0</v>
          </cell>
          <cell r="CQ338">
            <v>2850.0420000000004</v>
          </cell>
          <cell r="CR338">
            <v>821.98599999999999</v>
          </cell>
          <cell r="CS338">
            <v>28.841189007039191</v>
          </cell>
          <cell r="CX338">
            <v>0</v>
          </cell>
          <cell r="CY338">
            <v>928.91599999999994</v>
          </cell>
          <cell r="CZ338">
            <v>194.80099999999999</v>
          </cell>
          <cell r="DA338">
            <v>20.970787455485748</v>
          </cell>
          <cell r="DF338">
            <v>0</v>
          </cell>
          <cell r="DG338">
            <v>1224.0250000000001</v>
          </cell>
          <cell r="DH338">
            <v>256.68</v>
          </cell>
          <cell r="DI338">
            <v>20.970159923204182</v>
          </cell>
          <cell r="DN338">
            <v>0</v>
          </cell>
          <cell r="DO338">
            <v>1245.2379999999998</v>
          </cell>
          <cell r="DP338">
            <v>325.13299999999998</v>
          </cell>
          <cell r="DQ338">
            <v>26.11010907151886</v>
          </cell>
          <cell r="DV338">
            <v>0</v>
          </cell>
          <cell r="DW338">
            <v>1604.8040000000001</v>
          </cell>
          <cell r="DX338">
            <v>496.85299999999995</v>
          </cell>
          <cell r="DY338">
            <v>30.960354037003889</v>
          </cell>
        </row>
        <row r="339">
          <cell r="F339">
            <v>0</v>
          </cell>
          <cell r="G339">
            <v>800.23199999999997</v>
          </cell>
          <cell r="H339">
            <v>375.14699999999999</v>
          </cell>
          <cell r="I339">
            <v>46.879779863839488</v>
          </cell>
          <cell r="O339">
            <v>69.655000000000001</v>
          </cell>
          <cell r="P339">
            <v>31.52</v>
          </cell>
          <cell r="U339">
            <v>69.655000000000001</v>
          </cell>
          <cell r="V339">
            <v>31.363</v>
          </cell>
          <cell r="AA339">
            <v>60.28</v>
          </cell>
          <cell r="AB339">
            <v>27.341999999999999</v>
          </cell>
          <cell r="AF339">
            <v>0</v>
          </cell>
          <cell r="AG339">
            <v>69.966999999999999</v>
          </cell>
          <cell r="AH339">
            <v>32.661000000000001</v>
          </cell>
          <cell r="AL339">
            <v>0</v>
          </cell>
          <cell r="AM339">
            <v>69.966999999999999</v>
          </cell>
          <cell r="AN339">
            <v>32.472000000000001</v>
          </cell>
          <cell r="AR339">
            <v>0</v>
          </cell>
          <cell r="AS339">
            <v>60.39</v>
          </cell>
          <cell r="AT339">
            <v>28.164999999999999</v>
          </cell>
          <cell r="AX339">
            <v>0</v>
          </cell>
          <cell r="AY339">
            <v>399.91399999999999</v>
          </cell>
          <cell r="AZ339">
            <v>183.523</v>
          </cell>
          <cell r="BA339">
            <v>45.890616482543749</v>
          </cell>
          <cell r="BF339">
            <v>0</v>
          </cell>
          <cell r="BG339">
            <v>69.966999999999999</v>
          </cell>
          <cell r="BH339">
            <v>32.981999999999999</v>
          </cell>
          <cell r="BL339">
            <v>0</v>
          </cell>
          <cell r="BM339">
            <v>69.856999999999999</v>
          </cell>
          <cell r="BN339">
            <v>32.969000000000001</v>
          </cell>
          <cell r="BR339">
            <v>0</v>
          </cell>
          <cell r="BS339">
            <v>60.39</v>
          </cell>
          <cell r="BT339">
            <v>28.457000000000001</v>
          </cell>
          <cell r="BX339">
            <v>0</v>
          </cell>
          <cell r="BY339">
            <v>69.856999999999999</v>
          </cell>
          <cell r="BZ339">
            <v>33.747</v>
          </cell>
          <cell r="CD339">
            <v>0</v>
          </cell>
          <cell r="CE339">
            <v>69.856999999999999</v>
          </cell>
          <cell r="CF339">
            <v>33.917000000000002</v>
          </cell>
          <cell r="CJ339">
            <v>0</v>
          </cell>
          <cell r="CK339">
            <v>60.39</v>
          </cell>
          <cell r="CL339">
            <v>29.552</v>
          </cell>
          <cell r="CP339">
            <v>0</v>
          </cell>
          <cell r="CQ339">
            <v>400.31799999999998</v>
          </cell>
          <cell r="CR339">
            <v>191.624</v>
          </cell>
          <cell r="CS339">
            <v>47.867944983737928</v>
          </cell>
          <cell r="CX339">
            <v>0</v>
          </cell>
          <cell r="CY339">
            <v>199.59</v>
          </cell>
          <cell r="CZ339">
            <v>90.224999999999994</v>
          </cell>
          <cell r="DA339">
            <v>45.205170599729442</v>
          </cell>
          <cell r="DF339">
            <v>0</v>
          </cell>
          <cell r="DG339">
            <v>200.32400000000001</v>
          </cell>
          <cell r="DH339">
            <v>93.298000000000002</v>
          </cell>
          <cell r="DI339">
            <v>46.573550847626841</v>
          </cell>
          <cell r="DN339">
            <v>0</v>
          </cell>
          <cell r="DO339">
            <v>200.214</v>
          </cell>
          <cell r="DP339">
            <v>94.407999999999987</v>
          </cell>
          <cell r="DQ339">
            <v>47.153545706094476</v>
          </cell>
          <cell r="DV339">
            <v>0</v>
          </cell>
          <cell r="DW339">
            <v>200.10399999999998</v>
          </cell>
          <cell r="DX339">
            <v>97.216000000000008</v>
          </cell>
          <cell r="DY339">
            <v>48.582736976772082</v>
          </cell>
        </row>
        <row r="340">
          <cell r="F340">
            <v>0</v>
          </cell>
          <cell r="G340">
            <v>2399.9209999999994</v>
          </cell>
          <cell r="H340">
            <v>1031.345</v>
          </cell>
          <cell r="I340">
            <v>42.97412289821208</v>
          </cell>
          <cell r="O340">
            <v>180.00200000000001</v>
          </cell>
          <cell r="P340">
            <v>61.090999999999994</v>
          </cell>
          <cell r="U340">
            <v>199.94399999999999</v>
          </cell>
          <cell r="V340">
            <v>68.974000000000004</v>
          </cell>
          <cell r="AA340">
            <v>200.28</v>
          </cell>
          <cell r="AB340">
            <v>71.405000000000001</v>
          </cell>
          <cell r="AF340">
            <v>0</v>
          </cell>
          <cell r="AG340">
            <v>209.858</v>
          </cell>
          <cell r="AH340">
            <v>80.632000000000005</v>
          </cell>
          <cell r="AL340">
            <v>0</v>
          </cell>
          <cell r="AM340">
            <v>209.72499999999999</v>
          </cell>
          <cell r="AN340">
            <v>86.757999999999996</v>
          </cell>
          <cell r="AR340">
            <v>0</v>
          </cell>
          <cell r="AS340">
            <v>190.19</v>
          </cell>
          <cell r="AT340">
            <v>79.326999999999998</v>
          </cell>
          <cell r="AX340">
            <v>0</v>
          </cell>
          <cell r="AY340">
            <v>1189.9989999999998</v>
          </cell>
          <cell r="AZ340">
            <v>448.18699999999995</v>
          </cell>
          <cell r="BA340">
            <v>37.662804758659462</v>
          </cell>
          <cell r="BF340">
            <v>0</v>
          </cell>
          <cell r="BG340">
            <v>190.10899999999998</v>
          </cell>
          <cell r="BH340">
            <v>88.475999999999999</v>
          </cell>
          <cell r="BL340">
            <v>0</v>
          </cell>
          <cell r="BM340">
            <v>189.85899999999998</v>
          </cell>
          <cell r="BN340">
            <v>92.343999999999994</v>
          </cell>
          <cell r="BR340">
            <v>0</v>
          </cell>
          <cell r="BS340">
            <v>200.267</v>
          </cell>
          <cell r="BT340">
            <v>95.759</v>
          </cell>
          <cell r="BX340">
            <v>0</v>
          </cell>
          <cell r="BY340">
            <v>219.96</v>
          </cell>
          <cell r="BZ340">
            <v>103.63800000000001</v>
          </cell>
          <cell r="CD340">
            <v>0</v>
          </cell>
          <cell r="CE340">
            <v>219.84899999999999</v>
          </cell>
          <cell r="CF340">
            <v>106.301</v>
          </cell>
          <cell r="CJ340">
            <v>0</v>
          </cell>
          <cell r="CK340">
            <v>189.87799999999999</v>
          </cell>
          <cell r="CL340">
            <v>96.64</v>
          </cell>
          <cell r="CP340">
            <v>0</v>
          </cell>
          <cell r="CQ340">
            <v>1209.9219999999998</v>
          </cell>
          <cell r="CR340">
            <v>583.15800000000002</v>
          </cell>
          <cell r="CS340">
            <v>48.197983010475063</v>
          </cell>
          <cell r="CX340">
            <v>0</v>
          </cell>
          <cell r="CY340">
            <v>580.226</v>
          </cell>
          <cell r="CZ340">
            <v>201.47</v>
          </cell>
          <cell r="DA340">
            <v>34.722677025848547</v>
          </cell>
          <cell r="DF340">
            <v>0</v>
          </cell>
          <cell r="DG340">
            <v>609.77299999999991</v>
          </cell>
          <cell r="DH340">
            <v>246.71699999999998</v>
          </cell>
          <cell r="DI340">
            <v>40.460466435870401</v>
          </cell>
          <cell r="DN340">
            <v>0</v>
          </cell>
          <cell r="DO340">
            <v>580.2349999999999</v>
          </cell>
          <cell r="DP340">
            <v>276.57900000000001</v>
          </cell>
          <cell r="DQ340">
            <v>47.666721242255299</v>
          </cell>
          <cell r="DV340">
            <v>0</v>
          </cell>
          <cell r="DW340">
            <v>629.6869999999999</v>
          </cell>
          <cell r="DX340">
            <v>306.57900000000001</v>
          </cell>
          <cell r="DY340">
            <v>48.68752253103527</v>
          </cell>
        </row>
        <row r="341">
          <cell r="F341">
            <v>0</v>
          </cell>
          <cell r="G341">
            <v>800</v>
          </cell>
          <cell r="H341">
            <v>160</v>
          </cell>
          <cell r="I341">
            <v>20</v>
          </cell>
          <cell r="O341">
            <v>70</v>
          </cell>
          <cell r="P341">
            <v>14</v>
          </cell>
          <cell r="U341">
            <v>50</v>
          </cell>
          <cell r="V341">
            <v>10</v>
          </cell>
          <cell r="AA341">
            <v>60</v>
          </cell>
          <cell r="AB341">
            <v>12</v>
          </cell>
          <cell r="AF341">
            <v>0</v>
          </cell>
          <cell r="AG341">
            <v>60</v>
          </cell>
          <cell r="AH341">
            <v>12</v>
          </cell>
          <cell r="AL341">
            <v>0</v>
          </cell>
          <cell r="AM341">
            <v>70</v>
          </cell>
          <cell r="AN341">
            <v>14</v>
          </cell>
          <cell r="AR341">
            <v>0</v>
          </cell>
          <cell r="AS341">
            <v>70</v>
          </cell>
          <cell r="AT341">
            <v>14</v>
          </cell>
          <cell r="AX341">
            <v>0</v>
          </cell>
          <cell r="AY341">
            <v>380</v>
          </cell>
          <cell r="AZ341">
            <v>76</v>
          </cell>
          <cell r="BA341">
            <v>20</v>
          </cell>
          <cell r="BF341">
            <v>0</v>
          </cell>
          <cell r="BG341">
            <v>80</v>
          </cell>
          <cell r="BH341">
            <v>16</v>
          </cell>
          <cell r="BL341">
            <v>0</v>
          </cell>
          <cell r="BM341">
            <v>80</v>
          </cell>
          <cell r="BN341">
            <v>16</v>
          </cell>
          <cell r="BR341">
            <v>0</v>
          </cell>
          <cell r="BS341">
            <v>60</v>
          </cell>
          <cell r="BT341">
            <v>12</v>
          </cell>
          <cell r="BX341">
            <v>0</v>
          </cell>
          <cell r="BY341">
            <v>60</v>
          </cell>
          <cell r="BZ341">
            <v>12</v>
          </cell>
          <cell r="CD341">
            <v>0</v>
          </cell>
          <cell r="CE341">
            <v>60</v>
          </cell>
          <cell r="CF341">
            <v>12</v>
          </cell>
          <cell r="CJ341">
            <v>0</v>
          </cell>
          <cell r="CK341">
            <v>80</v>
          </cell>
          <cell r="CL341">
            <v>16</v>
          </cell>
          <cell r="CP341">
            <v>0</v>
          </cell>
          <cell r="CQ341">
            <v>420</v>
          </cell>
          <cell r="CR341">
            <v>84</v>
          </cell>
          <cell r="CS341">
            <v>20</v>
          </cell>
          <cell r="CX341">
            <v>0</v>
          </cell>
          <cell r="CY341">
            <v>180</v>
          </cell>
          <cell r="CZ341">
            <v>36</v>
          </cell>
          <cell r="DA341">
            <v>20</v>
          </cell>
          <cell r="DF341">
            <v>0</v>
          </cell>
          <cell r="DG341">
            <v>200</v>
          </cell>
          <cell r="DH341">
            <v>40</v>
          </cell>
          <cell r="DI341">
            <v>20</v>
          </cell>
          <cell r="DN341">
            <v>0</v>
          </cell>
          <cell r="DO341">
            <v>220</v>
          </cell>
          <cell r="DP341">
            <v>44</v>
          </cell>
          <cell r="DQ341">
            <v>20</v>
          </cell>
          <cell r="DV341">
            <v>0</v>
          </cell>
          <cell r="DW341">
            <v>200</v>
          </cell>
          <cell r="DX341">
            <v>40</v>
          </cell>
          <cell r="DY341">
            <v>20</v>
          </cell>
        </row>
        <row r="342">
          <cell r="F342">
            <v>0</v>
          </cell>
          <cell r="G342">
            <v>9003.1359999999986</v>
          </cell>
          <cell r="H342">
            <v>2839.9589999999998</v>
          </cell>
          <cell r="I342">
            <v>31.544108630592721</v>
          </cell>
          <cell r="N342">
            <v>0</v>
          </cell>
          <cell r="O342">
            <v>624.36899999999991</v>
          </cell>
          <cell r="P342">
            <v>177.137</v>
          </cell>
          <cell r="T342">
            <v>0</v>
          </cell>
          <cell r="U342">
            <v>624.31099999999992</v>
          </cell>
          <cell r="V342">
            <v>171.63800000000001</v>
          </cell>
          <cell r="Z342">
            <v>0</v>
          </cell>
          <cell r="AA342">
            <v>640.05200000000002</v>
          </cell>
          <cell r="AB342">
            <v>173.721</v>
          </cell>
          <cell r="AF342">
            <v>0</v>
          </cell>
          <cell r="AG342">
            <v>734.68200000000002</v>
          </cell>
          <cell r="AH342">
            <v>200.714</v>
          </cell>
          <cell r="AL342">
            <v>0</v>
          </cell>
          <cell r="AM342">
            <v>764.05399999999997</v>
          </cell>
          <cell r="AN342">
            <v>219.98000000000002</v>
          </cell>
          <cell r="AR342">
            <v>0</v>
          </cell>
          <cell r="AS342">
            <v>735.38599999999997</v>
          </cell>
          <cell r="AT342">
            <v>216.001</v>
          </cell>
          <cell r="AX342">
            <v>0</v>
          </cell>
          <cell r="AY342">
            <v>4122.8539999999994</v>
          </cell>
          <cell r="AZ342">
            <v>1159.191</v>
          </cell>
          <cell r="BA342">
            <v>28.116227254227294</v>
          </cell>
          <cell r="BF342">
            <v>0</v>
          </cell>
          <cell r="BG342">
            <v>745.01800000000003</v>
          </cell>
          <cell r="BH342">
            <v>241.059</v>
          </cell>
          <cell r="BL342">
            <v>0</v>
          </cell>
          <cell r="BM342">
            <v>774.62300000000005</v>
          </cell>
          <cell r="BN342">
            <v>257.14699999999999</v>
          </cell>
          <cell r="BR342">
            <v>0</v>
          </cell>
          <cell r="BS342">
            <v>726.04600000000005</v>
          </cell>
          <cell r="BT342">
            <v>241.91399999999999</v>
          </cell>
          <cell r="BX342">
            <v>0</v>
          </cell>
          <cell r="BY342">
            <v>894.28399999999999</v>
          </cell>
          <cell r="BZ342">
            <v>312.69600000000003</v>
          </cell>
          <cell r="CD342">
            <v>0</v>
          </cell>
          <cell r="CE342">
            <v>894.06899999999996</v>
          </cell>
          <cell r="CF342">
            <v>323.36500000000001</v>
          </cell>
          <cell r="CJ342">
            <v>0</v>
          </cell>
          <cell r="CK342">
            <v>846.24199999999996</v>
          </cell>
          <cell r="CL342">
            <v>304.58699999999999</v>
          </cell>
          <cell r="CP342">
            <v>0</v>
          </cell>
          <cell r="CQ342">
            <v>4880.2820000000002</v>
          </cell>
          <cell r="CR342">
            <v>1680.768</v>
          </cell>
          <cell r="CS342">
            <v>34.439977034114008</v>
          </cell>
          <cell r="CX342">
            <v>0</v>
          </cell>
          <cell r="CY342">
            <v>1888.732</v>
          </cell>
          <cell r="CZ342">
            <v>522.49599999999998</v>
          </cell>
          <cell r="DA342">
            <v>27.663850668067251</v>
          </cell>
          <cell r="DF342">
            <v>0</v>
          </cell>
          <cell r="DG342">
            <v>2234.1220000000003</v>
          </cell>
          <cell r="DH342">
            <v>636.69499999999994</v>
          </cell>
          <cell r="DI342">
            <v>28.498667485481988</v>
          </cell>
          <cell r="DN342">
            <v>0</v>
          </cell>
          <cell r="DO342">
            <v>2245.6869999999999</v>
          </cell>
          <cell r="DP342">
            <v>740.11999999999989</v>
          </cell>
          <cell r="DQ342">
            <v>32.957397892048171</v>
          </cell>
          <cell r="DV342">
            <v>0</v>
          </cell>
          <cell r="DW342">
            <v>2634.5950000000003</v>
          </cell>
          <cell r="DX342">
            <v>940.64799999999991</v>
          </cell>
          <cell r="DY342">
            <v>35.703703984862948</v>
          </cell>
        </row>
        <row r="343">
          <cell r="F343">
            <v>0</v>
          </cell>
          <cell r="G343">
            <v>13502.728999999999</v>
          </cell>
          <cell r="H343">
            <v>5493.3940000000002</v>
          </cell>
          <cell r="I343">
            <v>40.683583296384015</v>
          </cell>
          <cell r="O343">
            <v>952.875</v>
          </cell>
          <cell r="P343">
            <v>382.28</v>
          </cell>
          <cell r="U343">
            <v>967.81500000000005</v>
          </cell>
          <cell r="V343">
            <v>396.95499999999998</v>
          </cell>
          <cell r="AA343">
            <v>1089.8430000000001</v>
          </cell>
          <cell r="AB343">
            <v>451.86100000000005</v>
          </cell>
          <cell r="AF343">
            <v>0</v>
          </cell>
          <cell r="AG343">
            <v>1142.0989999999999</v>
          </cell>
          <cell r="AH343">
            <v>474.65899999999999</v>
          </cell>
          <cell r="AL343">
            <v>0</v>
          </cell>
          <cell r="AM343">
            <v>1146.1610000000001</v>
          </cell>
          <cell r="AN343">
            <v>467.43099999999998</v>
          </cell>
          <cell r="AR343">
            <v>0</v>
          </cell>
          <cell r="AS343">
            <v>1151.809</v>
          </cell>
          <cell r="AT343">
            <v>455.935</v>
          </cell>
          <cell r="AX343">
            <v>0</v>
          </cell>
          <cell r="AY343">
            <v>6450.6020000000008</v>
          </cell>
          <cell r="AZ343">
            <v>2629.1210000000001</v>
          </cell>
          <cell r="BA343">
            <v>40.757761833701714</v>
          </cell>
          <cell r="BF343">
            <v>0</v>
          </cell>
          <cell r="BG343">
            <v>1164.941</v>
          </cell>
          <cell r="BH343">
            <v>468.42500000000001</v>
          </cell>
          <cell r="BL343">
            <v>0</v>
          </cell>
          <cell r="BM343">
            <v>1192.4209999999998</v>
          </cell>
          <cell r="BN343">
            <v>478.15</v>
          </cell>
          <cell r="BR343">
            <v>0</v>
          </cell>
          <cell r="BS343">
            <v>1140.298</v>
          </cell>
          <cell r="BT343">
            <v>450.548</v>
          </cell>
          <cell r="BX343">
            <v>0</v>
          </cell>
          <cell r="BY343">
            <v>1211.086</v>
          </cell>
          <cell r="BZ343">
            <v>491.34300000000002</v>
          </cell>
          <cell r="CD343">
            <v>0</v>
          </cell>
          <cell r="CE343">
            <v>1206.2169999999999</v>
          </cell>
          <cell r="CF343">
            <v>495.52499999999998</v>
          </cell>
          <cell r="CJ343">
            <v>0</v>
          </cell>
          <cell r="CK343">
            <v>1137.164</v>
          </cell>
          <cell r="CL343">
            <v>480.28199999999998</v>
          </cell>
          <cell r="CP343">
            <v>0</v>
          </cell>
          <cell r="CQ343">
            <v>7052.1269999999995</v>
          </cell>
          <cell r="CR343">
            <v>2864.2730000000001</v>
          </cell>
          <cell r="CS343">
            <v>40.615731962853197</v>
          </cell>
          <cell r="CX343">
            <v>0</v>
          </cell>
          <cell r="CY343">
            <v>3010.5330000000004</v>
          </cell>
          <cell r="CZ343">
            <v>1231.096</v>
          </cell>
          <cell r="DA343">
            <v>40.89295815724325</v>
          </cell>
          <cell r="DF343">
            <v>0</v>
          </cell>
          <cell r="DG343">
            <v>3440.0690000000004</v>
          </cell>
          <cell r="DH343">
            <v>1398.0249999999999</v>
          </cell>
          <cell r="DI343">
            <v>40.639446476218929</v>
          </cell>
          <cell r="DN343">
            <v>0</v>
          </cell>
          <cell r="DO343">
            <v>3497.66</v>
          </cell>
          <cell r="DP343">
            <v>1397.123</v>
          </cell>
          <cell r="DQ343">
            <v>39.944505755276388</v>
          </cell>
          <cell r="DV343">
            <v>0</v>
          </cell>
          <cell r="DW343">
            <v>3554.4669999999996</v>
          </cell>
          <cell r="DX343">
            <v>1467.1499999999999</v>
          </cell>
          <cell r="DY343">
            <v>41.27623072601321</v>
          </cell>
        </row>
        <row r="344">
          <cell r="F344">
            <v>0</v>
          </cell>
          <cell r="G344">
            <v>700</v>
          </cell>
          <cell r="H344">
            <v>140</v>
          </cell>
          <cell r="I344">
            <v>20</v>
          </cell>
          <cell r="O344">
            <v>60</v>
          </cell>
          <cell r="P344">
            <v>12</v>
          </cell>
          <cell r="U344">
            <v>60</v>
          </cell>
          <cell r="V344">
            <v>12</v>
          </cell>
          <cell r="AA344">
            <v>60</v>
          </cell>
          <cell r="AB344">
            <v>12</v>
          </cell>
          <cell r="AF344">
            <v>0</v>
          </cell>
          <cell r="AG344">
            <v>50</v>
          </cell>
          <cell r="AH344">
            <v>10</v>
          </cell>
          <cell r="AL344">
            <v>0</v>
          </cell>
          <cell r="AM344">
            <v>60</v>
          </cell>
          <cell r="AN344">
            <v>12</v>
          </cell>
          <cell r="AR344">
            <v>0</v>
          </cell>
          <cell r="AS344">
            <v>60</v>
          </cell>
          <cell r="AT344">
            <v>12</v>
          </cell>
          <cell r="AX344">
            <v>0</v>
          </cell>
          <cell r="AY344">
            <v>350</v>
          </cell>
          <cell r="AZ344">
            <v>70</v>
          </cell>
          <cell r="BA344">
            <v>20</v>
          </cell>
          <cell r="BF344">
            <v>0</v>
          </cell>
          <cell r="BG344">
            <v>70</v>
          </cell>
          <cell r="BH344">
            <v>14</v>
          </cell>
          <cell r="BL344">
            <v>0</v>
          </cell>
          <cell r="BM344">
            <v>50</v>
          </cell>
          <cell r="BN344">
            <v>10</v>
          </cell>
          <cell r="BR344">
            <v>0</v>
          </cell>
          <cell r="BS344">
            <v>50</v>
          </cell>
          <cell r="BT344">
            <v>10</v>
          </cell>
          <cell r="BX344">
            <v>0</v>
          </cell>
          <cell r="BY344">
            <v>50</v>
          </cell>
          <cell r="BZ344">
            <v>10</v>
          </cell>
          <cell r="CD344">
            <v>0</v>
          </cell>
          <cell r="CE344">
            <v>60</v>
          </cell>
          <cell r="CF344">
            <v>12</v>
          </cell>
          <cell r="CJ344">
            <v>0</v>
          </cell>
          <cell r="CK344">
            <v>70</v>
          </cell>
          <cell r="CL344">
            <v>14</v>
          </cell>
          <cell r="CP344">
            <v>0</v>
          </cell>
          <cell r="CQ344">
            <v>350</v>
          </cell>
          <cell r="CR344">
            <v>70</v>
          </cell>
          <cell r="CS344">
            <v>20</v>
          </cell>
          <cell r="CX344">
            <v>0</v>
          </cell>
          <cell r="CY344">
            <v>180</v>
          </cell>
          <cell r="CZ344">
            <v>36</v>
          </cell>
          <cell r="DA344">
            <v>20</v>
          </cell>
          <cell r="DF344">
            <v>0</v>
          </cell>
          <cell r="DG344">
            <v>170</v>
          </cell>
          <cell r="DH344">
            <v>34</v>
          </cell>
          <cell r="DI344">
            <v>20</v>
          </cell>
          <cell r="DN344">
            <v>0</v>
          </cell>
          <cell r="DO344">
            <v>170</v>
          </cell>
          <cell r="DP344">
            <v>34</v>
          </cell>
          <cell r="DQ344">
            <v>20</v>
          </cell>
          <cell r="DV344">
            <v>0</v>
          </cell>
          <cell r="DW344">
            <v>180</v>
          </cell>
          <cell r="DX344">
            <v>36</v>
          </cell>
          <cell r="DY344">
            <v>20</v>
          </cell>
        </row>
        <row r="345">
          <cell r="F345">
            <v>0</v>
          </cell>
          <cell r="G345">
            <v>14202.728999999999</v>
          </cell>
          <cell r="H345">
            <v>5633.3940000000002</v>
          </cell>
          <cell r="I345">
            <v>39.664165950079031</v>
          </cell>
          <cell r="N345">
            <v>0</v>
          </cell>
          <cell r="O345">
            <v>1012.875</v>
          </cell>
          <cell r="P345">
            <v>394.28</v>
          </cell>
          <cell r="T345">
            <v>0</v>
          </cell>
          <cell r="U345">
            <v>1027.8150000000001</v>
          </cell>
          <cell r="V345">
            <v>408.95499999999998</v>
          </cell>
          <cell r="Z345">
            <v>0</v>
          </cell>
          <cell r="AA345">
            <v>1149.8430000000001</v>
          </cell>
          <cell r="AB345">
            <v>463.86100000000005</v>
          </cell>
          <cell r="AF345">
            <v>0</v>
          </cell>
          <cell r="AG345">
            <v>1192.0989999999999</v>
          </cell>
          <cell r="AH345">
            <v>484.65899999999999</v>
          </cell>
          <cell r="AL345">
            <v>0</v>
          </cell>
          <cell r="AM345">
            <v>1206.1610000000001</v>
          </cell>
          <cell r="AN345">
            <v>479.43099999999998</v>
          </cell>
          <cell r="AR345">
            <v>0</v>
          </cell>
          <cell r="AS345">
            <v>1211.809</v>
          </cell>
          <cell r="AT345">
            <v>467.935</v>
          </cell>
          <cell r="AX345">
            <v>0</v>
          </cell>
          <cell r="AY345">
            <v>6800.6020000000008</v>
          </cell>
          <cell r="AZ345">
            <v>2699.1210000000001</v>
          </cell>
          <cell r="BA345">
            <v>39.689442199381759</v>
          </cell>
          <cell r="BF345">
            <v>0</v>
          </cell>
          <cell r="BG345">
            <v>1234.941</v>
          </cell>
          <cell r="BH345">
            <v>482.42500000000001</v>
          </cell>
          <cell r="BL345">
            <v>0</v>
          </cell>
          <cell r="BM345">
            <v>1242.4209999999998</v>
          </cell>
          <cell r="BN345">
            <v>488.15</v>
          </cell>
          <cell r="BR345">
            <v>0</v>
          </cell>
          <cell r="BS345">
            <v>1190.298</v>
          </cell>
          <cell r="BT345">
            <v>460.548</v>
          </cell>
          <cell r="BX345">
            <v>0</v>
          </cell>
          <cell r="BY345">
            <v>1261.086</v>
          </cell>
          <cell r="BZ345">
            <v>501.34300000000002</v>
          </cell>
          <cell r="CD345">
            <v>0</v>
          </cell>
          <cell r="CE345">
            <v>1266.2169999999999</v>
          </cell>
          <cell r="CF345">
            <v>507.52499999999998</v>
          </cell>
          <cell r="CJ345">
            <v>0</v>
          </cell>
          <cell r="CK345">
            <v>1207.164</v>
          </cell>
          <cell r="CL345">
            <v>494.28199999999998</v>
          </cell>
          <cell r="CP345">
            <v>0</v>
          </cell>
          <cell r="CQ345">
            <v>7402.1269999999995</v>
          </cell>
          <cell r="CR345">
            <v>2934.2730000000001</v>
          </cell>
          <cell r="CS345">
            <v>39.640943744953312</v>
          </cell>
          <cell r="CX345">
            <v>0</v>
          </cell>
          <cell r="CY345">
            <v>3190.5330000000004</v>
          </cell>
          <cell r="CZ345">
            <v>1267.096</v>
          </cell>
          <cell r="DA345">
            <v>39.714242103121947</v>
          </cell>
          <cell r="DF345">
            <v>0</v>
          </cell>
          <cell r="DG345">
            <v>3610.0690000000004</v>
          </cell>
          <cell r="DH345">
            <v>1432.0249999999999</v>
          </cell>
          <cell r="DI345">
            <v>39.667524360337701</v>
          </cell>
          <cell r="DN345">
            <v>0</v>
          </cell>
          <cell r="DO345">
            <v>3667.66</v>
          </cell>
          <cell r="DP345">
            <v>1431.123</v>
          </cell>
          <cell r="DQ345">
            <v>39.020056384724867</v>
          </cell>
          <cell r="DV345">
            <v>0</v>
          </cell>
          <cell r="DW345">
            <v>3734.4669999999996</v>
          </cell>
          <cell r="DX345">
            <v>1503.1499999999999</v>
          </cell>
          <cell r="DY345">
            <v>40.250723865012063</v>
          </cell>
        </row>
        <row r="346">
          <cell r="F346">
            <v>0</v>
          </cell>
          <cell r="G346">
            <v>1503</v>
          </cell>
          <cell r="H346">
            <v>424</v>
          </cell>
          <cell r="I346">
            <v>28.210246174318033</v>
          </cell>
          <cell r="O346">
            <v>91</v>
          </cell>
          <cell r="P346">
            <v>26</v>
          </cell>
          <cell r="U346">
            <v>91</v>
          </cell>
          <cell r="V346">
            <v>26</v>
          </cell>
          <cell r="AA346">
            <v>91</v>
          </cell>
          <cell r="AB346">
            <v>26</v>
          </cell>
          <cell r="AF346">
            <v>0</v>
          </cell>
          <cell r="AG346">
            <v>110</v>
          </cell>
          <cell r="AH346">
            <v>32</v>
          </cell>
          <cell r="AL346">
            <v>0</v>
          </cell>
          <cell r="AM346">
            <v>140</v>
          </cell>
          <cell r="AN346">
            <v>40</v>
          </cell>
          <cell r="AR346">
            <v>0</v>
          </cell>
          <cell r="AS346">
            <v>120</v>
          </cell>
          <cell r="AT346">
            <v>34</v>
          </cell>
          <cell r="AX346">
            <v>0</v>
          </cell>
          <cell r="AY346">
            <v>643</v>
          </cell>
          <cell r="AZ346">
            <v>184</v>
          </cell>
          <cell r="BA346">
            <v>28.615863141524105</v>
          </cell>
          <cell r="BF346">
            <v>0</v>
          </cell>
          <cell r="BG346">
            <v>150</v>
          </cell>
          <cell r="BH346">
            <v>42</v>
          </cell>
          <cell r="BL346">
            <v>0</v>
          </cell>
          <cell r="BM346">
            <v>150</v>
          </cell>
          <cell r="BN346">
            <v>42</v>
          </cell>
          <cell r="BR346">
            <v>0</v>
          </cell>
          <cell r="BS346">
            <v>130</v>
          </cell>
          <cell r="BT346">
            <v>36</v>
          </cell>
          <cell r="BX346">
            <v>0</v>
          </cell>
          <cell r="BY346">
            <v>150</v>
          </cell>
          <cell r="BZ346">
            <v>42</v>
          </cell>
          <cell r="CD346">
            <v>0</v>
          </cell>
          <cell r="CE346">
            <v>150</v>
          </cell>
          <cell r="CF346">
            <v>42</v>
          </cell>
          <cell r="CJ346">
            <v>0</v>
          </cell>
          <cell r="CK346">
            <v>130</v>
          </cell>
          <cell r="CL346">
            <v>36</v>
          </cell>
          <cell r="CP346">
            <v>0</v>
          </cell>
          <cell r="CQ346">
            <v>860</v>
          </cell>
          <cell r="CR346">
            <v>240</v>
          </cell>
          <cell r="CS346">
            <v>27.906976744186046</v>
          </cell>
          <cell r="CX346">
            <v>0</v>
          </cell>
          <cell r="CY346">
            <v>273</v>
          </cell>
          <cell r="CZ346">
            <v>78</v>
          </cell>
          <cell r="DA346">
            <v>28.571428571428569</v>
          </cell>
          <cell r="DF346">
            <v>0</v>
          </cell>
          <cell r="DG346">
            <v>370</v>
          </cell>
          <cell r="DH346">
            <v>106</v>
          </cell>
          <cell r="DI346">
            <v>28.648648648648649</v>
          </cell>
          <cell r="DN346">
            <v>0</v>
          </cell>
          <cell r="DO346">
            <v>430</v>
          </cell>
          <cell r="DP346">
            <v>120</v>
          </cell>
          <cell r="DQ346">
            <v>27.906976744186046</v>
          </cell>
          <cell r="DV346">
            <v>0</v>
          </cell>
          <cell r="DW346">
            <v>430</v>
          </cell>
          <cell r="DX346">
            <v>120</v>
          </cell>
          <cell r="DY346">
            <v>27.906976744186046</v>
          </cell>
        </row>
        <row r="347">
          <cell r="F347">
            <v>0</v>
          </cell>
          <cell r="G347">
            <v>5500.7800000000007</v>
          </cell>
          <cell r="H347">
            <v>834.02200000000005</v>
          </cell>
          <cell r="I347">
            <v>15.161886132512114</v>
          </cell>
          <cell r="O347">
            <v>320</v>
          </cell>
          <cell r="P347">
            <v>51.871000000000002</v>
          </cell>
          <cell r="U347">
            <v>340</v>
          </cell>
          <cell r="V347">
            <v>47.273000000000003</v>
          </cell>
          <cell r="AA347">
            <v>340</v>
          </cell>
          <cell r="AB347">
            <v>46.109000000000002</v>
          </cell>
          <cell r="AF347">
            <v>0</v>
          </cell>
          <cell r="AG347">
            <v>360</v>
          </cell>
          <cell r="AH347">
            <v>50.838000000000001</v>
          </cell>
          <cell r="AL347">
            <v>0</v>
          </cell>
          <cell r="AM347">
            <v>356.25</v>
          </cell>
          <cell r="AN347">
            <v>37.67</v>
          </cell>
          <cell r="AR347">
            <v>0</v>
          </cell>
          <cell r="AS347">
            <v>447.52</v>
          </cell>
          <cell r="AT347">
            <v>53.661000000000001</v>
          </cell>
          <cell r="AX347">
            <v>0</v>
          </cell>
          <cell r="AY347">
            <v>2163.77</v>
          </cell>
          <cell r="AZ347">
            <v>287.42200000000003</v>
          </cell>
          <cell r="BA347">
            <v>13.283389639379417</v>
          </cell>
          <cell r="BF347">
            <v>0</v>
          </cell>
          <cell r="BG347">
            <v>439.26</v>
          </cell>
          <cell r="BH347">
            <v>69.287000000000006</v>
          </cell>
          <cell r="BL347">
            <v>0</v>
          </cell>
          <cell r="BM347">
            <v>544.63</v>
          </cell>
          <cell r="BN347">
            <v>77.855000000000004</v>
          </cell>
          <cell r="BR347">
            <v>0</v>
          </cell>
          <cell r="BS347">
            <v>612.54</v>
          </cell>
          <cell r="BT347">
            <v>76.852000000000004</v>
          </cell>
          <cell r="BX347">
            <v>0</v>
          </cell>
          <cell r="BY347">
            <v>562.86</v>
          </cell>
          <cell r="BZ347">
            <v>98.98</v>
          </cell>
          <cell r="CD347">
            <v>0</v>
          </cell>
          <cell r="CE347">
            <v>588.86</v>
          </cell>
          <cell r="CF347">
            <v>112.34699999999999</v>
          </cell>
          <cell r="CJ347">
            <v>0</v>
          </cell>
          <cell r="CK347">
            <v>588.86</v>
          </cell>
          <cell r="CL347">
            <v>111.279</v>
          </cell>
          <cell r="CP347">
            <v>0</v>
          </cell>
          <cell r="CQ347">
            <v>3337.01</v>
          </cell>
          <cell r="CR347">
            <v>546.6</v>
          </cell>
          <cell r="CS347">
            <v>16.379932933973826</v>
          </cell>
          <cell r="CX347">
            <v>0</v>
          </cell>
          <cell r="CY347">
            <v>1000</v>
          </cell>
          <cell r="CZ347">
            <v>145.25300000000001</v>
          </cell>
          <cell r="DA347">
            <v>14.525300000000001</v>
          </cell>
          <cell r="DF347">
            <v>0</v>
          </cell>
          <cell r="DG347">
            <v>1163.77</v>
          </cell>
          <cell r="DH347">
            <v>142.16900000000001</v>
          </cell>
          <cell r="DI347">
            <v>12.216245478058381</v>
          </cell>
          <cell r="DN347">
            <v>0</v>
          </cell>
          <cell r="DO347">
            <v>1596.4299999999998</v>
          </cell>
          <cell r="DP347">
            <v>223.994</v>
          </cell>
          <cell r="DQ347">
            <v>14.030931515944953</v>
          </cell>
          <cell r="DV347">
            <v>0</v>
          </cell>
          <cell r="DW347">
            <v>1740.58</v>
          </cell>
          <cell r="DX347">
            <v>322.60599999999999</v>
          </cell>
          <cell r="DY347">
            <v>18.534396580450196</v>
          </cell>
        </row>
        <row r="348">
          <cell r="F348">
            <v>0</v>
          </cell>
          <cell r="G348">
            <v>0</v>
          </cell>
          <cell r="H348">
            <v>0</v>
          </cell>
          <cell r="I348">
            <v>0</v>
          </cell>
          <cell r="N348">
            <v>0</v>
          </cell>
          <cell r="AR348">
            <v>0</v>
          </cell>
          <cell r="AX348">
            <v>0</v>
          </cell>
          <cell r="AY348">
            <v>0</v>
          </cell>
          <cell r="AZ348">
            <v>0</v>
          </cell>
          <cell r="BA348">
            <v>0</v>
          </cell>
          <cell r="BF348">
            <v>0</v>
          </cell>
          <cell r="BL348">
            <v>0</v>
          </cell>
          <cell r="BR348">
            <v>0</v>
          </cell>
          <cell r="BX348">
            <v>0</v>
          </cell>
          <cell r="CD348">
            <v>0</v>
          </cell>
          <cell r="CJ348">
            <v>0</v>
          </cell>
          <cell r="CP348">
            <v>0</v>
          </cell>
          <cell r="CQ348">
            <v>0</v>
          </cell>
          <cell r="CR348">
            <v>0</v>
          </cell>
          <cell r="CS348">
            <v>0</v>
          </cell>
          <cell r="CX348">
            <v>0</v>
          </cell>
          <cell r="CY348">
            <v>0</v>
          </cell>
          <cell r="CZ348">
            <v>0</v>
          </cell>
          <cell r="DA348">
            <v>0</v>
          </cell>
          <cell r="DF348">
            <v>0</v>
          </cell>
          <cell r="DG348">
            <v>0</v>
          </cell>
          <cell r="DH348">
            <v>0</v>
          </cell>
          <cell r="DI348">
            <v>0</v>
          </cell>
          <cell r="DN348">
            <v>0</v>
          </cell>
          <cell r="DO348">
            <v>0</v>
          </cell>
          <cell r="DP348">
            <v>0</v>
          </cell>
          <cell r="DQ348">
            <v>0</v>
          </cell>
          <cell r="DV348">
            <v>0</v>
          </cell>
          <cell r="DW348">
            <v>0</v>
          </cell>
          <cell r="DX348">
            <v>0</v>
          </cell>
          <cell r="DY348">
            <v>0</v>
          </cell>
        </row>
        <row r="349">
          <cell r="F349">
            <v>0</v>
          </cell>
          <cell r="G349">
            <v>30209.644999999997</v>
          </cell>
          <cell r="H349">
            <v>9731.375</v>
          </cell>
          <cell r="I349">
            <v>32.212808194204207</v>
          </cell>
          <cell r="N349">
            <v>0</v>
          </cell>
          <cell r="O349">
            <v>2048.2439999999997</v>
          </cell>
          <cell r="P349">
            <v>649.2879999999999</v>
          </cell>
          <cell r="T349">
            <v>0</v>
          </cell>
          <cell r="U349">
            <v>2083.1260000000002</v>
          </cell>
          <cell r="V349">
            <v>653.86599999999999</v>
          </cell>
          <cell r="Z349">
            <v>0</v>
          </cell>
          <cell r="AA349">
            <v>2220.895</v>
          </cell>
          <cell r="AB349">
            <v>709.69100000000014</v>
          </cell>
          <cell r="AF349">
            <v>0</v>
          </cell>
          <cell r="AG349">
            <v>2396.7809999999999</v>
          </cell>
          <cell r="AH349">
            <v>768.21100000000001</v>
          </cell>
          <cell r="AL349">
            <v>0</v>
          </cell>
          <cell r="AM349">
            <v>2466.4650000000001</v>
          </cell>
          <cell r="AN349">
            <v>777.08100000000002</v>
          </cell>
          <cell r="AR349">
            <v>0</v>
          </cell>
          <cell r="AS349">
            <v>2514.7149999999997</v>
          </cell>
          <cell r="AT349">
            <v>771.59699999999998</v>
          </cell>
          <cell r="AX349">
            <v>0</v>
          </cell>
          <cell r="AY349">
            <v>13730.226000000001</v>
          </cell>
          <cell r="AZ349">
            <v>4329.7340000000004</v>
          </cell>
          <cell r="BA349">
            <v>31.534324343969285</v>
          </cell>
          <cell r="BF349">
            <v>0</v>
          </cell>
          <cell r="BG349">
            <v>2569.2190000000001</v>
          </cell>
          <cell r="BH349">
            <v>834.77100000000007</v>
          </cell>
          <cell r="BL349">
            <v>0</v>
          </cell>
          <cell r="BM349">
            <v>2711.674</v>
          </cell>
          <cell r="BN349">
            <v>865.15200000000004</v>
          </cell>
          <cell r="BR349">
            <v>0</v>
          </cell>
          <cell r="BS349">
            <v>2658.884</v>
          </cell>
          <cell r="BT349">
            <v>815.31399999999996</v>
          </cell>
          <cell r="BX349">
            <v>0</v>
          </cell>
          <cell r="BY349">
            <v>2868.23</v>
          </cell>
          <cell r="BZ349">
            <v>955.01900000000001</v>
          </cell>
          <cell r="CD349">
            <v>0</v>
          </cell>
          <cell r="CE349">
            <v>2899.1460000000002</v>
          </cell>
          <cell r="CF349">
            <v>985.23699999999997</v>
          </cell>
          <cell r="CJ349">
            <v>0</v>
          </cell>
          <cell r="CK349">
            <v>2772.2660000000001</v>
          </cell>
          <cell r="CL349">
            <v>946.14799999999991</v>
          </cell>
          <cell r="CP349">
            <v>0</v>
          </cell>
          <cell r="CQ349">
            <v>16479.419000000002</v>
          </cell>
          <cell r="CR349">
            <v>5401.6410000000005</v>
          </cell>
          <cell r="CS349">
            <v>32.778103402795935</v>
          </cell>
          <cell r="CX349">
            <v>0</v>
          </cell>
          <cell r="CY349">
            <v>6352.2650000000003</v>
          </cell>
          <cell r="CZ349">
            <v>2012.845</v>
          </cell>
          <cell r="DA349">
            <v>31.687043912683109</v>
          </cell>
          <cell r="DF349">
            <v>0</v>
          </cell>
          <cell r="DG349">
            <v>7377.9610000000011</v>
          </cell>
          <cell r="DH349">
            <v>2316.8889999999997</v>
          </cell>
          <cell r="DI349">
            <v>31.402836095230096</v>
          </cell>
          <cell r="DN349">
            <v>0</v>
          </cell>
          <cell r="DO349">
            <v>7939.777</v>
          </cell>
          <cell r="DP349">
            <v>2515.2370000000001</v>
          </cell>
          <cell r="DQ349">
            <v>31.678937582251997</v>
          </cell>
          <cell r="DV349">
            <v>0</v>
          </cell>
          <cell r="DW349">
            <v>8539.6419999999998</v>
          </cell>
          <cell r="DX349">
            <v>2886.4039999999995</v>
          </cell>
          <cell r="DY349">
            <v>33.800058597304186</v>
          </cell>
        </row>
        <row r="350">
          <cell r="F350">
            <v>0</v>
          </cell>
          <cell r="G350">
            <v>1500</v>
          </cell>
          <cell r="H350">
            <v>300</v>
          </cell>
          <cell r="I350">
            <v>20</v>
          </cell>
          <cell r="N350">
            <v>0</v>
          </cell>
          <cell r="O350">
            <v>130</v>
          </cell>
          <cell r="P350">
            <v>26</v>
          </cell>
          <cell r="T350">
            <v>0</v>
          </cell>
          <cell r="U350">
            <v>110</v>
          </cell>
          <cell r="V350">
            <v>22</v>
          </cell>
          <cell r="Z350">
            <v>0</v>
          </cell>
          <cell r="AA350">
            <v>120</v>
          </cell>
          <cell r="AB350">
            <v>24</v>
          </cell>
          <cell r="AF350">
            <v>0</v>
          </cell>
          <cell r="AG350">
            <v>110</v>
          </cell>
          <cell r="AH350">
            <v>22</v>
          </cell>
          <cell r="AL350">
            <v>0</v>
          </cell>
          <cell r="AM350">
            <v>130</v>
          </cell>
          <cell r="AN350">
            <v>26</v>
          </cell>
          <cell r="AR350">
            <v>0</v>
          </cell>
          <cell r="AS350">
            <v>130</v>
          </cell>
          <cell r="AT350">
            <v>26</v>
          </cell>
          <cell r="AX350">
            <v>0</v>
          </cell>
          <cell r="AY350">
            <v>730</v>
          </cell>
          <cell r="AZ350">
            <v>146</v>
          </cell>
          <cell r="BA350">
            <v>20</v>
          </cell>
          <cell r="BF350">
            <v>0</v>
          </cell>
          <cell r="BG350">
            <v>150</v>
          </cell>
          <cell r="BH350">
            <v>30</v>
          </cell>
          <cell r="BL350">
            <v>0</v>
          </cell>
          <cell r="BM350">
            <v>130</v>
          </cell>
          <cell r="BN350">
            <v>26</v>
          </cell>
          <cell r="BR350">
            <v>0</v>
          </cell>
          <cell r="BS350">
            <v>110</v>
          </cell>
          <cell r="BT350">
            <v>22</v>
          </cell>
          <cell r="BX350">
            <v>0</v>
          </cell>
          <cell r="BY350">
            <v>110</v>
          </cell>
          <cell r="BZ350">
            <v>22</v>
          </cell>
          <cell r="CD350">
            <v>0</v>
          </cell>
          <cell r="CE350">
            <v>120</v>
          </cell>
          <cell r="CF350">
            <v>24</v>
          </cell>
          <cell r="CJ350">
            <v>0</v>
          </cell>
          <cell r="CK350">
            <v>150</v>
          </cell>
          <cell r="CL350">
            <v>30</v>
          </cell>
          <cell r="CP350">
            <v>0</v>
          </cell>
          <cell r="CQ350">
            <v>770</v>
          </cell>
          <cell r="CR350">
            <v>154</v>
          </cell>
          <cell r="CS350">
            <v>20</v>
          </cell>
          <cell r="CX350">
            <v>0</v>
          </cell>
          <cell r="CY350">
            <v>360</v>
          </cell>
          <cell r="CZ350">
            <v>72</v>
          </cell>
          <cell r="DA350">
            <v>20</v>
          </cell>
          <cell r="DF350">
            <v>0</v>
          </cell>
          <cell r="DG350">
            <v>370</v>
          </cell>
          <cell r="DH350">
            <v>74</v>
          </cell>
          <cell r="DI350">
            <v>20</v>
          </cell>
          <cell r="DN350">
            <v>0</v>
          </cell>
          <cell r="DO350">
            <v>390</v>
          </cell>
          <cell r="DP350">
            <v>78</v>
          </cell>
          <cell r="DQ350">
            <v>20</v>
          </cell>
          <cell r="DV350">
            <v>0</v>
          </cell>
          <cell r="DW350">
            <v>380</v>
          </cell>
          <cell r="DX350">
            <v>76</v>
          </cell>
          <cell r="DY350">
            <v>20</v>
          </cell>
        </row>
        <row r="351">
          <cell r="F351">
            <v>0</v>
          </cell>
          <cell r="G351">
            <v>1871.473</v>
          </cell>
          <cell r="H351">
            <v>78.224999999999994</v>
          </cell>
          <cell r="I351">
            <v>4.179862600208498</v>
          </cell>
          <cell r="O351">
            <v>132.41</v>
          </cell>
          <cell r="P351">
            <v>-0.437</v>
          </cell>
          <cell r="U351">
            <v>127.63200000000001</v>
          </cell>
          <cell r="V351">
            <v>-0.63600000000000001</v>
          </cell>
          <cell r="AA351">
            <v>174.64400000000001</v>
          </cell>
          <cell r="AB351">
            <v>-2.5529999999999999</v>
          </cell>
          <cell r="AF351">
            <v>0</v>
          </cell>
          <cell r="AG351">
            <v>189.047</v>
          </cell>
          <cell r="AH351">
            <v>11.587</v>
          </cell>
          <cell r="AL351">
            <v>0</v>
          </cell>
          <cell r="AM351">
            <v>169.416</v>
          </cell>
          <cell r="AN351">
            <v>1.3049999999999999</v>
          </cell>
          <cell r="AR351">
            <v>0</v>
          </cell>
          <cell r="AS351">
            <v>149.845</v>
          </cell>
          <cell r="AT351">
            <v>3.4009999999999998</v>
          </cell>
          <cell r="AX351">
            <v>0</v>
          </cell>
          <cell r="AY351">
            <v>942.99400000000003</v>
          </cell>
          <cell r="AZ351">
            <v>12.667</v>
          </cell>
          <cell r="BA351">
            <v>1.3432747186090261</v>
          </cell>
          <cell r="BF351">
            <v>0</v>
          </cell>
          <cell r="BG351">
            <v>162.922</v>
          </cell>
          <cell r="BH351">
            <v>6.351</v>
          </cell>
          <cell r="BL351">
            <v>0</v>
          </cell>
          <cell r="BM351">
            <v>140.16399999999999</v>
          </cell>
          <cell r="BN351">
            <v>7.3780000000000001</v>
          </cell>
          <cell r="BR351">
            <v>0</v>
          </cell>
          <cell r="BS351">
            <v>163.92099999999999</v>
          </cell>
          <cell r="BT351">
            <v>7.6959999999999997</v>
          </cell>
          <cell r="BX351">
            <v>0</v>
          </cell>
          <cell r="BY351">
            <v>158.904</v>
          </cell>
          <cell r="BZ351">
            <v>12.958</v>
          </cell>
          <cell r="CD351">
            <v>0</v>
          </cell>
          <cell r="CE351">
            <v>162.64400000000001</v>
          </cell>
          <cell r="CF351">
            <v>15.981999999999999</v>
          </cell>
          <cell r="CJ351">
            <v>0</v>
          </cell>
          <cell r="CK351">
            <v>139.92400000000001</v>
          </cell>
          <cell r="CL351">
            <v>15.193</v>
          </cell>
          <cell r="CP351">
            <v>0</v>
          </cell>
          <cell r="CQ351">
            <v>928.47900000000004</v>
          </cell>
          <cell r="CR351">
            <v>65.557999999999993</v>
          </cell>
          <cell r="CS351">
            <v>7.0607951283766237</v>
          </cell>
          <cell r="CX351">
            <v>0</v>
          </cell>
          <cell r="CY351">
            <v>434.68600000000004</v>
          </cell>
          <cell r="CZ351">
            <v>-3.6259999999999999</v>
          </cell>
          <cell r="DA351">
            <v>-0.83416535154111227</v>
          </cell>
          <cell r="DF351">
            <v>0</v>
          </cell>
          <cell r="DG351">
            <v>508.30799999999999</v>
          </cell>
          <cell r="DH351">
            <v>16.292999999999999</v>
          </cell>
          <cell r="DI351">
            <v>3.2053400694067378</v>
          </cell>
          <cell r="DN351">
            <v>0</v>
          </cell>
          <cell r="DO351">
            <v>467.00700000000001</v>
          </cell>
          <cell r="DP351">
            <v>21.424999999999997</v>
          </cell>
          <cell r="DQ351">
            <v>4.5877256657823109</v>
          </cell>
          <cell r="DV351">
            <v>0</v>
          </cell>
          <cell r="DW351">
            <v>461.47199999999998</v>
          </cell>
          <cell r="DX351">
            <v>44.132999999999996</v>
          </cell>
          <cell r="DY351">
            <v>9.5635271479092978</v>
          </cell>
        </row>
        <row r="352">
          <cell r="F352">
            <v>0</v>
          </cell>
          <cell r="G352">
            <v>128.02799999999999</v>
          </cell>
          <cell r="H352">
            <v>-69.781000000000006</v>
          </cell>
          <cell r="I352">
            <v>-54.50448339425752</v>
          </cell>
          <cell r="O352">
            <v>7.8259999999999996</v>
          </cell>
          <cell r="P352">
            <v>-7.7030000000000003</v>
          </cell>
          <cell r="U352">
            <v>7.8259999999999996</v>
          </cell>
          <cell r="V352">
            <v>-9.1039999999999992</v>
          </cell>
          <cell r="AA352">
            <v>7.8259999999999996</v>
          </cell>
          <cell r="AB352">
            <v>-8.9339999999999993</v>
          </cell>
          <cell r="AF352">
            <v>0</v>
          </cell>
          <cell r="AG352">
            <v>7.8259999999999996</v>
          </cell>
          <cell r="AH352">
            <v>-8.4819999999999993</v>
          </cell>
          <cell r="AL352">
            <v>0</v>
          </cell>
          <cell r="AM352">
            <v>7.8259999999999996</v>
          </cell>
          <cell r="AN352">
            <v>-7.2119999999999997</v>
          </cell>
          <cell r="AR352">
            <v>0</v>
          </cell>
          <cell r="AS352">
            <v>7.8259999999999996</v>
          </cell>
          <cell r="AT352">
            <v>-6.3760000000000003</v>
          </cell>
          <cell r="AX352">
            <v>0</v>
          </cell>
          <cell r="AY352">
            <v>46.955999999999996</v>
          </cell>
          <cell r="AZ352">
            <v>-47.811</v>
          </cell>
          <cell r="BA352">
            <v>-101.82085356503963</v>
          </cell>
          <cell r="BF352">
            <v>0</v>
          </cell>
          <cell r="BG352">
            <v>20.911999999999999</v>
          </cell>
          <cell r="BH352">
            <v>-3.9810000000000003</v>
          </cell>
          <cell r="BL352">
            <v>0</v>
          </cell>
          <cell r="BM352">
            <v>6.1120000000000001</v>
          </cell>
          <cell r="BN352">
            <v>-4.6619999999999999</v>
          </cell>
          <cell r="BR352">
            <v>0</v>
          </cell>
          <cell r="BS352">
            <v>20.911999999999999</v>
          </cell>
          <cell r="BT352">
            <v>-5.8009999999999993</v>
          </cell>
          <cell r="BX352">
            <v>0</v>
          </cell>
          <cell r="BY352">
            <v>6.1120000000000001</v>
          </cell>
          <cell r="BZ352">
            <v>-3.5819999999999999</v>
          </cell>
          <cell r="CD352">
            <v>0</v>
          </cell>
          <cell r="CE352">
            <v>20.911999999999999</v>
          </cell>
          <cell r="CF352">
            <v>-0.2110000000000003</v>
          </cell>
          <cell r="CJ352">
            <v>0</v>
          </cell>
          <cell r="CK352">
            <v>6.1120000000000001</v>
          </cell>
          <cell r="CL352">
            <v>-3.7330000000000001</v>
          </cell>
          <cell r="CP352">
            <v>0</v>
          </cell>
          <cell r="CQ352">
            <v>81.072000000000003</v>
          </cell>
          <cell r="CR352">
            <v>-21.97</v>
          </cell>
          <cell r="CS352">
            <v>-27.099368462601142</v>
          </cell>
          <cell r="CX352">
            <v>0</v>
          </cell>
          <cell r="CY352">
            <v>23.477999999999998</v>
          </cell>
          <cell r="CZ352">
            <v>-25.741</v>
          </cell>
          <cell r="DA352">
            <v>-109.63881080160152</v>
          </cell>
          <cell r="DF352">
            <v>0</v>
          </cell>
          <cell r="DG352">
            <v>23.477999999999998</v>
          </cell>
          <cell r="DH352">
            <v>-22.07</v>
          </cell>
          <cell r="DI352">
            <v>-94.002896328477732</v>
          </cell>
          <cell r="DN352">
            <v>0</v>
          </cell>
          <cell r="DO352">
            <v>47.936</v>
          </cell>
          <cell r="DP352">
            <v>-14.443999999999999</v>
          </cell>
          <cell r="DQ352">
            <v>-30.131842456608808</v>
          </cell>
          <cell r="DV352">
            <v>0</v>
          </cell>
          <cell r="DW352">
            <v>33.136000000000003</v>
          </cell>
          <cell r="DX352">
            <v>-7.5259999999999998</v>
          </cell>
          <cell r="DY352">
            <v>-22.712457749879285</v>
          </cell>
        </row>
        <row r="353">
          <cell r="F353">
            <v>0</v>
          </cell>
          <cell r="G353">
            <v>1999.501</v>
          </cell>
          <cell r="H353">
            <v>8.4439999999999884</v>
          </cell>
          <cell r="I353">
            <v>0.42230536518861395</v>
          </cell>
          <cell r="N353">
            <v>0</v>
          </cell>
          <cell r="O353">
            <v>140.23599999999999</v>
          </cell>
          <cell r="P353">
            <v>-8.14</v>
          </cell>
          <cell r="T353">
            <v>0</v>
          </cell>
          <cell r="U353">
            <v>135.458</v>
          </cell>
          <cell r="V353">
            <v>-9.7399999999999984</v>
          </cell>
          <cell r="Z353">
            <v>0</v>
          </cell>
          <cell r="AA353">
            <v>182.47</v>
          </cell>
          <cell r="AB353">
            <v>-11.486999999999998</v>
          </cell>
          <cell r="AF353">
            <v>0</v>
          </cell>
          <cell r="AG353">
            <v>196.87299999999999</v>
          </cell>
          <cell r="AH353">
            <v>3.1050000000000004</v>
          </cell>
          <cell r="AL353">
            <v>0</v>
          </cell>
          <cell r="AM353">
            <v>177.24199999999999</v>
          </cell>
          <cell r="AN353">
            <v>-5.907</v>
          </cell>
          <cell r="AR353">
            <v>0</v>
          </cell>
          <cell r="AS353">
            <v>157.67099999999999</v>
          </cell>
          <cell r="AT353">
            <v>-2.9750000000000005</v>
          </cell>
          <cell r="AX353">
            <v>0</v>
          </cell>
          <cell r="AY353">
            <v>989.95</v>
          </cell>
          <cell r="AZ353">
            <v>-35.143999999999998</v>
          </cell>
          <cell r="BA353">
            <v>-3.5500782867821599</v>
          </cell>
          <cell r="BF353">
            <v>0</v>
          </cell>
          <cell r="BG353">
            <v>183.834</v>
          </cell>
          <cell r="BH353">
            <v>2.3699999999999997</v>
          </cell>
          <cell r="BL353">
            <v>0</v>
          </cell>
          <cell r="BM353">
            <v>146.27599999999998</v>
          </cell>
          <cell r="BN353">
            <v>2.7160000000000002</v>
          </cell>
          <cell r="BR353">
            <v>0</v>
          </cell>
          <cell r="BS353">
            <v>184.833</v>
          </cell>
          <cell r="BT353">
            <v>1.8950000000000005</v>
          </cell>
          <cell r="BX353">
            <v>0</v>
          </cell>
          <cell r="BY353">
            <v>165.01599999999999</v>
          </cell>
          <cell r="BZ353">
            <v>9.3760000000000012</v>
          </cell>
          <cell r="CD353">
            <v>0</v>
          </cell>
          <cell r="CE353">
            <v>183.55600000000001</v>
          </cell>
          <cell r="CF353">
            <v>15.770999999999999</v>
          </cell>
          <cell r="CJ353">
            <v>0</v>
          </cell>
          <cell r="CK353">
            <v>146.036</v>
          </cell>
          <cell r="CL353">
            <v>11.459999999999999</v>
          </cell>
          <cell r="CP353">
            <v>0</v>
          </cell>
          <cell r="CQ353">
            <v>1009.551</v>
          </cell>
          <cell r="CR353">
            <v>43.587999999999994</v>
          </cell>
          <cell r="CS353">
            <v>4.3175629562052826</v>
          </cell>
          <cell r="CX353">
            <v>0</v>
          </cell>
          <cell r="CY353">
            <v>458.16400000000004</v>
          </cell>
          <cell r="CZ353">
            <v>-29.367000000000001</v>
          </cell>
          <cell r="DA353">
            <v>-6.4097135523524322</v>
          </cell>
          <cell r="DF353">
            <v>0</v>
          </cell>
          <cell r="DG353">
            <v>531.78599999999994</v>
          </cell>
          <cell r="DH353">
            <v>-5.777000000000001</v>
          </cell>
          <cell r="DI353">
            <v>-1.086339241725055</v>
          </cell>
          <cell r="DN353">
            <v>0</v>
          </cell>
          <cell r="DO353">
            <v>514.94299999999998</v>
          </cell>
          <cell r="DP353">
            <v>6.9809999999999981</v>
          </cell>
          <cell r="DQ353">
            <v>1.3556840271641712</v>
          </cell>
          <cell r="DV353">
            <v>0</v>
          </cell>
          <cell r="DW353">
            <v>494.608</v>
          </cell>
          <cell r="DX353">
            <v>36.606999999999999</v>
          </cell>
          <cell r="DY353">
            <v>7.401214699317439</v>
          </cell>
        </row>
        <row r="354">
          <cell r="F354">
            <v>0</v>
          </cell>
          <cell r="G354">
            <v>32209.145999999997</v>
          </cell>
          <cell r="H354">
            <v>9739.8189999999995</v>
          </cell>
          <cell r="I354">
            <v>30.239296006171664</v>
          </cell>
          <cell r="N354">
            <v>0</v>
          </cell>
          <cell r="O354">
            <v>2188.4799999999996</v>
          </cell>
          <cell r="P354">
            <v>641.14799999999991</v>
          </cell>
          <cell r="T354">
            <v>0</v>
          </cell>
          <cell r="U354">
            <v>2218.5840000000003</v>
          </cell>
          <cell r="V354">
            <v>644.12599999999998</v>
          </cell>
          <cell r="Z354">
            <v>0</v>
          </cell>
          <cell r="AA354">
            <v>2403.3649999999998</v>
          </cell>
          <cell r="AB354">
            <v>698.20400000000018</v>
          </cell>
          <cell r="AF354">
            <v>0</v>
          </cell>
          <cell r="AG354">
            <v>2593.654</v>
          </cell>
          <cell r="AH354">
            <v>771.31600000000003</v>
          </cell>
          <cell r="AL354">
            <v>0</v>
          </cell>
          <cell r="AM354">
            <v>2643.7070000000003</v>
          </cell>
          <cell r="AN354">
            <v>771.17399999999998</v>
          </cell>
          <cell r="AR354">
            <v>0</v>
          </cell>
          <cell r="AS354">
            <v>2672.3859999999995</v>
          </cell>
          <cell r="AT354">
            <v>768.62199999999996</v>
          </cell>
          <cell r="AX354">
            <v>0</v>
          </cell>
          <cell r="AY354">
            <v>14720.176000000001</v>
          </cell>
          <cell r="AZ354">
            <v>4294.59</v>
          </cell>
          <cell r="BA354">
            <v>29.174854974560084</v>
          </cell>
          <cell r="BF354">
            <v>0</v>
          </cell>
          <cell r="BG354">
            <v>2753.0529999999999</v>
          </cell>
          <cell r="BH354">
            <v>837.14100000000008</v>
          </cell>
          <cell r="BL354">
            <v>0</v>
          </cell>
          <cell r="BM354">
            <v>2857.95</v>
          </cell>
          <cell r="BN354">
            <v>867.86800000000005</v>
          </cell>
          <cell r="BR354">
            <v>0</v>
          </cell>
          <cell r="BS354">
            <v>2843.7170000000001</v>
          </cell>
          <cell r="BT354">
            <v>817.20899999999995</v>
          </cell>
          <cell r="BX354">
            <v>0</v>
          </cell>
          <cell r="BY354">
            <v>3033.2460000000001</v>
          </cell>
          <cell r="BZ354">
            <v>964.39499999999998</v>
          </cell>
          <cell r="CD354">
            <v>0</v>
          </cell>
          <cell r="CE354">
            <v>3082.7020000000002</v>
          </cell>
          <cell r="CF354">
            <v>1001.0079999999999</v>
          </cell>
          <cell r="CJ354">
            <v>0</v>
          </cell>
          <cell r="CK354">
            <v>2918.3020000000001</v>
          </cell>
          <cell r="CL354">
            <v>957.60799999999995</v>
          </cell>
          <cell r="CP354">
            <v>0</v>
          </cell>
          <cell r="CQ354">
            <v>17488.97</v>
          </cell>
          <cell r="CR354">
            <v>5445.2290000000003</v>
          </cell>
          <cell r="CS354">
            <v>31.135218369063473</v>
          </cell>
          <cell r="CX354">
            <v>0</v>
          </cell>
          <cell r="CY354">
            <v>6810.4290000000001</v>
          </cell>
          <cell r="CZ354">
            <v>1983.4780000000001</v>
          </cell>
          <cell r="DA354">
            <v>29.124127129142675</v>
          </cell>
          <cell r="DF354">
            <v>0</v>
          </cell>
          <cell r="DG354">
            <v>7909.7470000000012</v>
          </cell>
          <cell r="DH354">
            <v>2311.1119999999996</v>
          </cell>
          <cell r="DI354">
            <v>29.218532527020137</v>
          </cell>
          <cell r="DN354">
            <v>0</v>
          </cell>
          <cell r="DO354">
            <v>8454.7199999999993</v>
          </cell>
          <cell r="DP354">
            <v>2522.2180000000003</v>
          </cell>
          <cell r="DQ354">
            <v>29.832070133605846</v>
          </cell>
          <cell r="DV354">
            <v>0</v>
          </cell>
          <cell r="DW354">
            <v>9034.25</v>
          </cell>
          <cell r="DX354">
            <v>2923.0109999999995</v>
          </cell>
          <cell r="DY354">
            <v>32.35477211722057</v>
          </cell>
        </row>
        <row r="355">
          <cell r="F355">
            <v>120247.804</v>
          </cell>
          <cell r="G355">
            <v>84486.929519999991</v>
          </cell>
          <cell r="H355">
            <v>24254.422999999999</v>
          </cell>
          <cell r="I355">
            <v>28.707899716320522</v>
          </cell>
          <cell r="N355">
            <v>5615</v>
          </cell>
          <cell r="O355">
            <v>4949.7613999999994</v>
          </cell>
          <cell r="P355">
            <v>1206.1759999999999</v>
          </cell>
          <cell r="T355">
            <v>6734</v>
          </cell>
          <cell r="U355">
            <v>5296.1256400000002</v>
          </cell>
          <cell r="V355">
            <v>1290.242</v>
          </cell>
          <cell r="Z355">
            <v>6910.8060000000005</v>
          </cell>
          <cell r="AA355">
            <v>5998.1276399999997</v>
          </cell>
          <cell r="AB355">
            <v>1571.1490000000003</v>
          </cell>
          <cell r="AF355">
            <v>7349.6059999999998</v>
          </cell>
          <cell r="AG355">
            <v>6542.1749999999993</v>
          </cell>
          <cell r="AH355">
            <v>1799.9449999999999</v>
          </cell>
          <cell r="AL355">
            <v>7786.6720000000005</v>
          </cell>
          <cell r="AM355">
            <v>6724.9920400000001</v>
          </cell>
          <cell r="AN355">
            <v>1884.009</v>
          </cell>
          <cell r="AR355">
            <v>8505</v>
          </cell>
          <cell r="AS355">
            <v>6913.6297999999997</v>
          </cell>
          <cell r="AT355">
            <v>1972.1660000000002</v>
          </cell>
          <cell r="AX355">
            <v>42901.084000000003</v>
          </cell>
          <cell r="AY355">
            <v>36424.811520000003</v>
          </cell>
          <cell r="AZ355">
            <v>9723.6869999999999</v>
          </cell>
          <cell r="BA355">
            <v>26.695229417071804</v>
          </cell>
          <cell r="BF355">
            <v>11924.344000000001</v>
          </cell>
          <cell r="BG355">
            <v>7446.1067999999996</v>
          </cell>
          <cell r="BH355">
            <v>2164.5349999999999</v>
          </cell>
          <cell r="BL355">
            <v>11172.344000000001</v>
          </cell>
          <cell r="BM355">
            <v>7361.4258</v>
          </cell>
          <cell r="BN355">
            <v>2129.8639999999996</v>
          </cell>
          <cell r="BR355">
            <v>12146.344000000001</v>
          </cell>
          <cell r="BS355">
            <v>8056.8868000000002</v>
          </cell>
          <cell r="BT355">
            <v>2360.1669999999999</v>
          </cell>
          <cell r="BX355">
            <v>13361.344000000001</v>
          </cell>
          <cell r="BY355">
            <v>8612.9187999999995</v>
          </cell>
          <cell r="BZ355">
            <v>2661.9180000000001</v>
          </cell>
          <cell r="CD355">
            <v>14138.344000000001</v>
          </cell>
          <cell r="CE355">
            <v>8499.893</v>
          </cell>
          <cell r="CF355">
            <v>2640.346</v>
          </cell>
          <cell r="CJ355">
            <v>14604</v>
          </cell>
          <cell r="CK355">
            <v>8084.8868000000002</v>
          </cell>
          <cell r="CL355">
            <v>2573.9059999999999</v>
          </cell>
          <cell r="CP355">
            <v>77346.720000000001</v>
          </cell>
          <cell r="CQ355">
            <v>48062.118000000002</v>
          </cell>
          <cell r="CR355">
            <v>14530.736000000001</v>
          </cell>
          <cell r="CS355">
            <v>30.233241073562343</v>
          </cell>
          <cell r="CX355">
            <v>19259.806</v>
          </cell>
          <cell r="CY355">
            <v>16244.01468</v>
          </cell>
          <cell r="CZ355">
            <v>4067.567</v>
          </cell>
          <cell r="DA355">
            <v>25.040404605199484</v>
          </cell>
          <cell r="DF355">
            <v>23641.277999999998</v>
          </cell>
          <cell r="DG355">
            <v>20180.796840000003</v>
          </cell>
          <cell r="DH355">
            <v>5656.119999999999</v>
          </cell>
          <cell r="DI355">
            <v>28.027238195020637</v>
          </cell>
          <cell r="DN355">
            <v>35243.031999999999</v>
          </cell>
          <cell r="DO355">
            <v>22864.419399999999</v>
          </cell>
          <cell r="DP355">
            <v>6654.5660000000007</v>
          </cell>
          <cell r="DQ355">
            <v>29.10446088125903</v>
          </cell>
          <cell r="DV355">
            <v>42103.688000000002</v>
          </cell>
          <cell r="DW355">
            <v>25197.6986</v>
          </cell>
          <cell r="DX355">
            <v>7876.1699999999992</v>
          </cell>
          <cell r="DY355">
            <v>31.257497460502204</v>
          </cell>
        </row>
        <row r="356">
          <cell r="F356">
            <v>2166225.804</v>
          </cell>
          <cell r="G356">
            <v>325670.62290099997</v>
          </cell>
          <cell r="H356">
            <v>80451.419000000009</v>
          </cell>
          <cell r="I356">
            <v>24.703308601603986</v>
          </cell>
          <cell r="N356">
            <v>134931</v>
          </cell>
          <cell r="O356">
            <v>20032.020338300001</v>
          </cell>
          <cell r="P356">
            <v>3889.8119999999999</v>
          </cell>
          <cell r="T356">
            <v>157560</v>
          </cell>
          <cell r="U356">
            <v>23106.948534299998</v>
          </cell>
          <cell r="V356">
            <v>5328.4709999999995</v>
          </cell>
          <cell r="Z356">
            <v>165476.80600000001</v>
          </cell>
          <cell r="AA356">
            <v>24572.146308599997</v>
          </cell>
          <cell r="AB356">
            <v>5705.6940000000004</v>
          </cell>
          <cell r="AF356">
            <v>153855.606</v>
          </cell>
          <cell r="AG356">
            <v>24397.263252599998</v>
          </cell>
          <cell r="AH356">
            <v>6056.8010000000004</v>
          </cell>
          <cell r="AL356">
            <v>160442.67199999999</v>
          </cell>
          <cell r="AM356">
            <v>25365.4826526</v>
          </cell>
          <cell r="AN356">
            <v>6462.7330000000002</v>
          </cell>
          <cell r="AR356">
            <v>166731</v>
          </cell>
          <cell r="AS356">
            <v>26644.7679446</v>
          </cell>
          <cell r="AT356">
            <v>6716.1439999999993</v>
          </cell>
          <cell r="AX356">
            <v>938997.08400000003</v>
          </cell>
          <cell r="AY356">
            <v>144118.62903100002</v>
          </cell>
          <cell r="AZ356">
            <v>34159.654999999999</v>
          </cell>
          <cell r="BA356">
            <v>23.70245625404349</v>
          </cell>
          <cell r="BF356">
            <v>185655.34400000001</v>
          </cell>
          <cell r="BG356">
            <v>28133.125036500001</v>
          </cell>
          <cell r="BH356">
            <v>6950.3320000000003</v>
          </cell>
          <cell r="BL356">
            <v>194538.34400000001</v>
          </cell>
          <cell r="BM356">
            <v>28620.512516499999</v>
          </cell>
          <cell r="BN356">
            <v>7161.6049999999996</v>
          </cell>
          <cell r="BR356">
            <v>212228.34400000001</v>
          </cell>
          <cell r="BS356">
            <v>31198.732698699998</v>
          </cell>
          <cell r="BT356">
            <v>7803.0020000000004</v>
          </cell>
          <cell r="BX356">
            <v>230038.34400000001</v>
          </cell>
          <cell r="BY356">
            <v>33578.698147499992</v>
          </cell>
          <cell r="BZ356">
            <v>8831.612000000001</v>
          </cell>
          <cell r="CD356">
            <v>205316.34400000001</v>
          </cell>
          <cell r="CE356">
            <v>30720.201759800002</v>
          </cell>
          <cell r="CF356">
            <v>8126.6229999999996</v>
          </cell>
          <cell r="CJ356">
            <v>199452</v>
          </cell>
          <cell r="CK356">
            <v>29300.723711000002</v>
          </cell>
          <cell r="CL356">
            <v>7418.5899999999992</v>
          </cell>
          <cell r="CP356">
            <v>1227228.72</v>
          </cell>
          <cell r="CQ356">
            <v>181551.99387000001</v>
          </cell>
          <cell r="CR356">
            <v>46291.76400000001</v>
          </cell>
          <cell r="CS356">
            <v>25.497799838622072</v>
          </cell>
          <cell r="CX356">
            <v>457967.80599999998</v>
          </cell>
          <cell r="CY356">
            <v>67711.115181200003</v>
          </cell>
          <cell r="CZ356">
            <v>14923.976999999999</v>
          </cell>
          <cell r="DA356">
            <v>22.040660473634681</v>
          </cell>
          <cell r="DF356">
            <v>481029.27799999999</v>
          </cell>
          <cell r="DG356">
            <v>76407.513849799987</v>
          </cell>
          <cell r="DH356">
            <v>19235.678</v>
          </cell>
          <cell r="DI356">
            <v>25.175113062588352</v>
          </cell>
          <cell r="DN356">
            <v>592422.03200000001</v>
          </cell>
          <cell r="DO356">
            <v>87952.370251700006</v>
          </cell>
          <cell r="DP356">
            <v>21914.938999999998</v>
          </cell>
          <cell r="DQ356">
            <v>24.916825933495989</v>
          </cell>
          <cell r="DV356">
            <v>634806.68799999997</v>
          </cell>
          <cell r="DW356">
            <v>93599.6236183</v>
          </cell>
          <cell r="DX356">
            <v>24376.825000000001</v>
          </cell>
          <cell r="DY356">
            <v>26.043721179274058</v>
          </cell>
        </row>
        <row r="357">
          <cell r="F357">
            <v>481188</v>
          </cell>
          <cell r="G357">
            <v>147912.14499999999</v>
          </cell>
          <cell r="H357">
            <v>62927.58</v>
          </cell>
          <cell r="I357">
            <v>42.543889820541786</v>
          </cell>
          <cell r="N357">
            <v>30912</v>
          </cell>
          <cell r="O357">
            <v>9057.6440000000002</v>
          </cell>
          <cell r="P357">
            <v>3590.8599999999997</v>
          </cell>
          <cell r="T357">
            <v>42530</v>
          </cell>
          <cell r="U357">
            <v>11233.126</v>
          </cell>
          <cell r="V357">
            <v>4698.2459999999992</v>
          </cell>
          <cell r="Z357">
            <v>39370</v>
          </cell>
          <cell r="AA357">
            <v>11408.095000000001</v>
          </cell>
          <cell r="AB357">
            <v>4748.1289999999999</v>
          </cell>
          <cell r="AF357">
            <v>42162</v>
          </cell>
          <cell r="AG357">
            <v>12407.780999999999</v>
          </cell>
          <cell r="AH357">
            <v>5211.0060000000003</v>
          </cell>
          <cell r="AL357">
            <v>45870</v>
          </cell>
          <cell r="AM357">
            <v>13145.165000000001</v>
          </cell>
          <cell r="AN357">
            <v>5627.4709999999995</v>
          </cell>
          <cell r="AR357">
            <v>42340</v>
          </cell>
          <cell r="AS357">
            <v>12574.915000000001</v>
          </cell>
          <cell r="AT357">
            <v>5339.9529999999995</v>
          </cell>
          <cell r="AX357">
            <v>243184</v>
          </cell>
          <cell r="AY357">
            <v>69826.725999999995</v>
          </cell>
          <cell r="AZ357">
            <v>29215.664999999997</v>
          </cell>
          <cell r="BA357">
            <v>41.840233208127216</v>
          </cell>
          <cell r="BF357">
            <v>42452</v>
          </cell>
          <cell r="BG357">
            <v>13009.819</v>
          </cell>
          <cell r="BH357">
            <v>5562.0680000000002</v>
          </cell>
          <cell r="BL357">
            <v>39045</v>
          </cell>
          <cell r="BM357">
            <v>12487.074000000001</v>
          </cell>
          <cell r="BN357">
            <v>5324.6309999999994</v>
          </cell>
          <cell r="BR357">
            <v>40563</v>
          </cell>
          <cell r="BS357">
            <v>13133.784</v>
          </cell>
          <cell r="BT357">
            <v>5604.56</v>
          </cell>
          <cell r="BX357">
            <v>41490</v>
          </cell>
          <cell r="BY357">
            <v>13717.73</v>
          </cell>
          <cell r="BZ357">
            <v>5970.027</v>
          </cell>
          <cell r="CD357">
            <v>38430</v>
          </cell>
          <cell r="CE357">
            <v>13149.246000000001</v>
          </cell>
          <cell r="CF357">
            <v>5744.7300000000005</v>
          </cell>
          <cell r="CJ357">
            <v>36024</v>
          </cell>
          <cell r="CK357">
            <v>12587.766</v>
          </cell>
          <cell r="CL357">
            <v>5505.8990000000003</v>
          </cell>
          <cell r="CP357">
            <v>238004</v>
          </cell>
          <cell r="CQ357">
            <v>78085.418999999994</v>
          </cell>
          <cell r="CR357">
            <v>33711.915000000008</v>
          </cell>
          <cell r="CS357">
            <v>43.173124293538095</v>
          </cell>
          <cell r="CX357">
            <v>112812</v>
          </cell>
          <cell r="CY357">
            <v>31698.864999999998</v>
          </cell>
          <cell r="CZ357">
            <v>13037.234999999999</v>
          </cell>
          <cell r="DA357">
            <v>41.128396868468322</v>
          </cell>
          <cell r="DF357">
            <v>130372</v>
          </cell>
          <cell r="DG357">
            <v>38127.861000000004</v>
          </cell>
          <cell r="DH357">
            <v>16178.429999999997</v>
          </cell>
          <cell r="DI357">
            <v>42.432042017778009</v>
          </cell>
          <cell r="DN357">
            <v>122060</v>
          </cell>
          <cell r="DO357">
            <v>38630.677000000003</v>
          </cell>
          <cell r="DP357">
            <v>16491.258999999998</v>
          </cell>
          <cell r="DQ357">
            <v>42.689541785664268</v>
          </cell>
          <cell r="DV357">
            <v>115944</v>
          </cell>
          <cell r="DW357">
            <v>39454.741999999998</v>
          </cell>
          <cell r="DX357">
            <v>17220.656000000003</v>
          </cell>
          <cell r="DY357">
            <v>43.646606534646722</v>
          </cell>
        </row>
        <row r="358">
          <cell r="F358">
            <v>1685037.804</v>
          </cell>
          <cell r="G358">
            <v>177758.47790099998</v>
          </cell>
          <cell r="H358">
            <v>17523.839</v>
          </cell>
          <cell r="I358">
            <v>9.8582296647249912</v>
          </cell>
          <cell r="N358">
            <v>104019</v>
          </cell>
          <cell r="O358">
            <v>10974.3763383</v>
          </cell>
          <cell r="P358">
            <v>298.952</v>
          </cell>
          <cell r="T358">
            <v>115030</v>
          </cell>
          <cell r="U358">
            <v>11873.822534299998</v>
          </cell>
          <cell r="V358">
            <v>630.22500000000002</v>
          </cell>
          <cell r="Z358">
            <v>126106.806</v>
          </cell>
          <cell r="AA358">
            <v>13164.051308599997</v>
          </cell>
          <cell r="AB358">
            <v>957.56500000000005</v>
          </cell>
          <cell r="AF358">
            <v>111693.606</v>
          </cell>
          <cell r="AG358">
            <v>11989.482252600001</v>
          </cell>
          <cell r="AH358">
            <v>845.79500000000007</v>
          </cell>
          <cell r="AL358">
            <v>114572.67200000001</v>
          </cell>
          <cell r="AM358">
            <v>12220.317652600001</v>
          </cell>
          <cell r="AN358">
            <v>835.26199999999994</v>
          </cell>
          <cell r="AR358">
            <v>124391</v>
          </cell>
          <cell r="AS358">
            <v>14069.852944599999</v>
          </cell>
          <cell r="AT358">
            <v>1376.191</v>
          </cell>
          <cell r="AX358">
            <v>695813.08400000003</v>
          </cell>
          <cell r="AY358">
            <v>74291.903031000009</v>
          </cell>
          <cell r="AZ358">
            <v>4943.99</v>
          </cell>
          <cell r="BA358">
            <v>6.654816740845912</v>
          </cell>
          <cell r="BF358">
            <v>143203.34400000001</v>
          </cell>
          <cell r="BG358">
            <v>15123.3060365</v>
          </cell>
          <cell r="BH358">
            <v>1388.2639999999997</v>
          </cell>
          <cell r="BL358">
            <v>155493.34400000001</v>
          </cell>
          <cell r="BM358">
            <v>16133.438516499999</v>
          </cell>
          <cell r="BN358">
            <v>1836.9739999999997</v>
          </cell>
          <cell r="BR358">
            <v>171665.34400000001</v>
          </cell>
          <cell r="BS358">
            <v>18064.948698699998</v>
          </cell>
          <cell r="BT358">
            <v>2198.442</v>
          </cell>
          <cell r="BX358">
            <v>188548.34400000001</v>
          </cell>
          <cell r="BY358">
            <v>19860.968147499996</v>
          </cell>
          <cell r="BZ358">
            <v>2861.5850000000005</v>
          </cell>
          <cell r="CD358">
            <v>166886.34400000001</v>
          </cell>
          <cell r="CE358">
            <v>17570.955759800003</v>
          </cell>
          <cell r="CF358">
            <v>2381.893</v>
          </cell>
          <cell r="CJ358">
            <v>163428</v>
          </cell>
          <cell r="CK358">
            <v>16712.957711000003</v>
          </cell>
          <cell r="CL358">
            <v>1912.691</v>
          </cell>
          <cell r="CP358">
            <v>989224.72</v>
          </cell>
          <cell r="CQ358">
            <v>103466.57487000001</v>
          </cell>
          <cell r="CR358">
            <v>12579.849000000002</v>
          </cell>
          <cell r="CS358">
            <v>12.158370000945602</v>
          </cell>
          <cell r="CX358">
            <v>345155.80599999998</v>
          </cell>
          <cell r="CY358">
            <v>36012.250181199997</v>
          </cell>
          <cell r="CZ358">
            <v>1886.7420000000002</v>
          </cell>
          <cell r="DA358">
            <v>5.2391672014568087</v>
          </cell>
          <cell r="DF358">
            <v>350657.27799999999</v>
          </cell>
          <cell r="DG358">
            <v>38279.65284979999</v>
          </cell>
          <cell r="DH358">
            <v>3057.248</v>
          </cell>
          <cell r="DI358">
            <v>7.9866137030967721</v>
          </cell>
          <cell r="DN358">
            <v>470362.03200000001</v>
          </cell>
          <cell r="DO358">
            <v>49321.693251700002</v>
          </cell>
          <cell r="DP358">
            <v>5423.6799999999985</v>
          </cell>
          <cell r="DQ358">
            <v>10.996540553305227</v>
          </cell>
          <cell r="DV358">
            <v>518862.68800000002</v>
          </cell>
          <cell r="DW358">
            <v>54144.881618299994</v>
          </cell>
          <cell r="DX358">
            <v>7156.1689999999999</v>
          </cell>
          <cell r="DY358">
            <v>13.216704490090425</v>
          </cell>
        </row>
        <row r="359">
          <cell r="F359">
            <v>0</v>
          </cell>
          <cell r="G359">
            <v>42213.704601999998</v>
          </cell>
          <cell r="H359">
            <v>7263</v>
          </cell>
          <cell r="I359">
            <v>17.205312986569517</v>
          </cell>
          <cell r="O359">
            <v>3290.3767309999998</v>
          </cell>
          <cell r="P359">
            <v>245</v>
          </cell>
          <cell r="U359">
            <v>3288.269491</v>
          </cell>
          <cell r="V359">
            <v>397</v>
          </cell>
          <cell r="AA359">
            <v>3353.6497199999999</v>
          </cell>
          <cell r="AB359">
            <v>437</v>
          </cell>
          <cell r="AG359">
            <v>3289.4451490000001</v>
          </cell>
          <cell r="AH359">
            <v>454</v>
          </cell>
          <cell r="AM359">
            <v>3331.5775180000001</v>
          </cell>
          <cell r="AN359">
            <v>436</v>
          </cell>
          <cell r="AS359">
            <v>3302.0203689999998</v>
          </cell>
          <cell r="AT359">
            <v>458</v>
          </cell>
          <cell r="AX359">
            <v>0</v>
          </cell>
          <cell r="AY359">
            <v>19855.338978</v>
          </cell>
          <cell r="AZ359">
            <v>2427</v>
          </cell>
          <cell r="BA359">
            <v>12.223412567718691</v>
          </cell>
          <cell r="BG359">
            <v>3717.8698159999999</v>
          </cell>
          <cell r="BH359">
            <v>754</v>
          </cell>
          <cell r="BM359">
            <v>3723.789816</v>
          </cell>
          <cell r="BN359">
            <v>813</v>
          </cell>
          <cell r="BS359">
            <v>3724.5250799999999</v>
          </cell>
          <cell r="BT359">
            <v>793</v>
          </cell>
          <cell r="BY359">
            <v>3732.4478159999999</v>
          </cell>
          <cell r="BZ359">
            <v>831</v>
          </cell>
          <cell r="CE359">
            <v>3734.690016</v>
          </cell>
          <cell r="CF359">
            <v>826</v>
          </cell>
          <cell r="CK359">
            <v>3725.0430799999999</v>
          </cell>
          <cell r="CL359">
            <v>819</v>
          </cell>
          <cell r="CP359">
            <v>0</v>
          </cell>
          <cell r="CQ359">
            <v>22358.365623999998</v>
          </cell>
          <cell r="CR359">
            <v>4836</v>
          </cell>
          <cell r="CS359">
            <v>21.629487956887704</v>
          </cell>
          <cell r="CX359">
            <v>0</v>
          </cell>
          <cell r="CY359">
            <v>9932.2959419999988</v>
          </cell>
          <cell r="CZ359">
            <v>1079</v>
          </cell>
          <cell r="DA359">
            <v>10.863550646304333</v>
          </cell>
          <cell r="DF359">
            <v>0</v>
          </cell>
          <cell r="DG359">
            <v>9923.0430359999991</v>
          </cell>
          <cell r="DH359">
            <v>1348</v>
          </cell>
          <cell r="DI359">
            <v>13.584542514927778</v>
          </cell>
          <cell r="DN359">
            <v>0</v>
          </cell>
          <cell r="DO359">
            <v>11166.184712</v>
          </cell>
          <cell r="DP359">
            <v>2360</v>
          </cell>
          <cell r="DQ359">
            <v>21.135240557715036</v>
          </cell>
          <cell r="DV359">
            <v>0</v>
          </cell>
          <cell r="DW359">
            <v>11192.180912</v>
          </cell>
          <cell r="DX359">
            <v>2476</v>
          </cell>
          <cell r="DY359">
            <v>22.12258736226547</v>
          </cell>
        </row>
        <row r="360">
          <cell r="F360">
            <v>0</v>
          </cell>
          <cell r="G360">
            <v>56877.313567999998</v>
          </cell>
          <cell r="H360">
            <v>8762</v>
          </cell>
          <cell r="I360">
            <v>15.405087635731144</v>
          </cell>
          <cell r="O360">
            <v>3854.1757670000002</v>
          </cell>
          <cell r="P360">
            <v>214</v>
          </cell>
          <cell r="U360">
            <v>4039.2237289999998</v>
          </cell>
          <cell r="V360">
            <v>247</v>
          </cell>
          <cell r="AA360">
            <v>4015.9096199999999</v>
          </cell>
          <cell r="AB360">
            <v>231</v>
          </cell>
          <cell r="AG360">
            <v>4513.3876730000002</v>
          </cell>
          <cell r="AH360">
            <v>353</v>
          </cell>
          <cell r="AM360">
            <v>4596.4201300000004</v>
          </cell>
          <cell r="AN360">
            <v>460</v>
          </cell>
          <cell r="AS360">
            <v>4790.9392269999998</v>
          </cell>
          <cell r="AT360">
            <v>648</v>
          </cell>
          <cell r="AX360">
            <v>0</v>
          </cell>
          <cell r="AY360">
            <v>25810.056146000003</v>
          </cell>
          <cell r="AZ360">
            <v>2153</v>
          </cell>
          <cell r="BA360">
            <v>8.3417098661897651</v>
          </cell>
          <cell r="BG360">
            <v>4990.6468759999998</v>
          </cell>
          <cell r="BH360">
            <v>822</v>
          </cell>
          <cell r="BM360">
            <v>5329.7758519999998</v>
          </cell>
          <cell r="BN360">
            <v>1021</v>
          </cell>
          <cell r="BS360">
            <v>5179.402376</v>
          </cell>
          <cell r="BT360">
            <v>964</v>
          </cell>
          <cell r="BY360">
            <v>5398.439934</v>
          </cell>
          <cell r="BZ360">
            <v>1305</v>
          </cell>
          <cell r="CE360">
            <v>5104.1202519999997</v>
          </cell>
          <cell r="CF360">
            <v>1212</v>
          </cell>
          <cell r="CK360">
            <v>5064.8721320000004</v>
          </cell>
          <cell r="CL360">
            <v>1285</v>
          </cell>
          <cell r="CP360">
            <v>0</v>
          </cell>
          <cell r="CQ360">
            <v>31067.257421999999</v>
          </cell>
          <cell r="CR360">
            <v>6609</v>
          </cell>
          <cell r="CS360">
            <v>21.273200624783495</v>
          </cell>
          <cell r="CX360">
            <v>0</v>
          </cell>
          <cell r="CY360">
            <v>11909.309116</v>
          </cell>
          <cell r="CZ360">
            <v>692</v>
          </cell>
          <cell r="DA360">
            <v>5.8105805572743687</v>
          </cell>
          <cell r="DF360">
            <v>0</v>
          </cell>
          <cell r="DG360">
            <v>13900.747029999999</v>
          </cell>
          <cell r="DH360">
            <v>1461</v>
          </cell>
          <cell r="DI360">
            <v>10.510226514063827</v>
          </cell>
          <cell r="DN360">
            <v>0</v>
          </cell>
          <cell r="DO360">
            <v>15499.825104</v>
          </cell>
          <cell r="DP360">
            <v>2807</v>
          </cell>
          <cell r="DQ360">
            <v>18.109881764250389</v>
          </cell>
          <cell r="DV360">
            <v>0</v>
          </cell>
          <cell r="DW360">
            <v>15567.432317999999</v>
          </cell>
          <cell r="DX360">
            <v>3802</v>
          </cell>
          <cell r="DY360">
            <v>24.422781627281587</v>
          </cell>
        </row>
        <row r="361">
          <cell r="F361">
            <v>0</v>
          </cell>
          <cell r="G361">
            <v>99091.018169999996</v>
          </cell>
          <cell r="H361">
            <v>16025</v>
          </cell>
          <cell r="I361">
            <v>16.172000546515324</v>
          </cell>
          <cell r="N361">
            <v>0</v>
          </cell>
          <cell r="O361">
            <v>7144.552498</v>
          </cell>
          <cell r="P361">
            <v>459</v>
          </cell>
          <cell r="T361">
            <v>0</v>
          </cell>
          <cell r="U361">
            <v>7327.4932200000003</v>
          </cell>
          <cell r="V361">
            <v>644</v>
          </cell>
          <cell r="Z361">
            <v>0</v>
          </cell>
          <cell r="AA361">
            <v>7369.5593399999998</v>
          </cell>
          <cell r="AB361">
            <v>668</v>
          </cell>
          <cell r="AF361">
            <v>0</v>
          </cell>
          <cell r="AG361">
            <v>7802.8328220000003</v>
          </cell>
          <cell r="AH361">
            <v>807</v>
          </cell>
          <cell r="AL361">
            <v>0</v>
          </cell>
          <cell r="AM361">
            <v>7927.9976480000005</v>
          </cell>
          <cell r="AN361">
            <v>896</v>
          </cell>
          <cell r="AR361">
            <v>0</v>
          </cell>
          <cell r="AS361">
            <v>8092.9595959999997</v>
          </cell>
          <cell r="AT361">
            <v>1106</v>
          </cell>
          <cell r="AX361">
            <v>0</v>
          </cell>
          <cell r="AY361">
            <v>45665.395124000002</v>
          </cell>
          <cell r="AZ361">
            <v>4580</v>
          </cell>
          <cell r="BA361">
            <v>10.029476341031209</v>
          </cell>
          <cell r="BF361">
            <v>0</v>
          </cell>
          <cell r="BG361">
            <v>8708.5166919999992</v>
          </cell>
          <cell r="BH361">
            <v>1576</v>
          </cell>
          <cell r="BL361">
            <v>0</v>
          </cell>
          <cell r="BM361">
            <v>9053.5656679999993</v>
          </cell>
          <cell r="BN361">
            <v>1834</v>
          </cell>
          <cell r="BR361">
            <v>0</v>
          </cell>
          <cell r="BS361">
            <v>8903.9274559999994</v>
          </cell>
          <cell r="BT361">
            <v>1757</v>
          </cell>
          <cell r="BX361">
            <v>0</v>
          </cell>
          <cell r="BY361">
            <v>9130.8877499999999</v>
          </cell>
          <cell r="BZ361">
            <v>2136</v>
          </cell>
          <cell r="CD361">
            <v>0</v>
          </cell>
          <cell r="CE361">
            <v>8838.8102679999993</v>
          </cell>
          <cell r="CF361">
            <v>2038</v>
          </cell>
          <cell r="CJ361">
            <v>0</v>
          </cell>
          <cell r="CK361">
            <v>8789.9152119999999</v>
          </cell>
          <cell r="CL361">
            <v>2104</v>
          </cell>
          <cell r="CP361">
            <v>0</v>
          </cell>
          <cell r="CQ361">
            <v>53425.623045999993</v>
          </cell>
          <cell r="CR361">
            <v>11445</v>
          </cell>
          <cell r="CS361">
            <v>21.422305155235609</v>
          </cell>
          <cell r="CX361">
            <v>0</v>
          </cell>
          <cell r="CY361">
            <v>21841.605058000001</v>
          </cell>
          <cell r="CZ361">
            <v>1771</v>
          </cell>
          <cell r="DA361">
            <v>8.1083784607273159</v>
          </cell>
          <cell r="DF361">
            <v>0</v>
          </cell>
          <cell r="DG361">
            <v>23823.790065999998</v>
          </cell>
          <cell r="DH361">
            <v>2809</v>
          </cell>
          <cell r="DI361">
            <v>11.790735194602181</v>
          </cell>
          <cell r="DN361">
            <v>0</v>
          </cell>
          <cell r="DO361">
            <v>26666.009815999998</v>
          </cell>
          <cell r="DP361">
            <v>5167</v>
          </cell>
          <cell r="DQ361">
            <v>19.376727285608826</v>
          </cell>
          <cell r="DV361">
            <v>0</v>
          </cell>
          <cell r="DW361">
            <v>26759.613229999999</v>
          </cell>
          <cell r="DX361">
            <v>6278</v>
          </cell>
          <cell r="DY361">
            <v>23.460727724426832</v>
          </cell>
        </row>
        <row r="362">
          <cell r="F362">
            <v>0</v>
          </cell>
          <cell r="G362">
            <v>24308.676200000002</v>
          </cell>
          <cell r="H362">
            <v>5221</v>
          </cell>
          <cell r="I362">
            <v>21.477928115229901</v>
          </cell>
          <cell r="O362">
            <v>1847.81071</v>
          </cell>
          <cell r="P362">
            <v>305</v>
          </cell>
          <cell r="U362">
            <v>1920.3551</v>
          </cell>
          <cell r="V362">
            <v>347</v>
          </cell>
          <cell r="AA362">
            <v>1924.9372100000001</v>
          </cell>
          <cell r="AB362">
            <v>314</v>
          </cell>
          <cell r="AG362">
            <v>1916.9986759999999</v>
          </cell>
          <cell r="AH362">
            <v>265</v>
          </cell>
          <cell r="AM362">
            <v>1949.585096</v>
          </cell>
          <cell r="AN362">
            <v>328</v>
          </cell>
          <cell r="AS362">
            <v>1951.0283280000001</v>
          </cell>
          <cell r="AT362">
            <v>334</v>
          </cell>
          <cell r="AX362">
            <v>0</v>
          </cell>
          <cell r="AY362">
            <v>11510.715120000001</v>
          </cell>
          <cell r="AZ362">
            <v>1893</v>
          </cell>
          <cell r="BA362">
            <v>16.445546434477304</v>
          </cell>
          <cell r="BG362">
            <v>1872.30656</v>
          </cell>
          <cell r="BH362">
            <v>324</v>
          </cell>
          <cell r="BM362">
            <v>2156.7418400000001</v>
          </cell>
          <cell r="BN362">
            <v>559</v>
          </cell>
          <cell r="BS362">
            <v>2108.9230400000001</v>
          </cell>
          <cell r="BT362">
            <v>504</v>
          </cell>
          <cell r="BY362">
            <v>2197.8932399999999</v>
          </cell>
          <cell r="BZ362">
            <v>613</v>
          </cell>
          <cell r="CE362">
            <v>2277.9538400000001</v>
          </cell>
          <cell r="CF362">
            <v>702</v>
          </cell>
          <cell r="CK362">
            <v>2184.1425599999998</v>
          </cell>
          <cell r="CL362">
            <v>626</v>
          </cell>
          <cell r="CP362">
            <v>0</v>
          </cell>
          <cell r="CQ362">
            <v>12797.961080000001</v>
          </cell>
          <cell r="CR362">
            <v>3328</v>
          </cell>
          <cell r="CS362">
            <v>26.004142216066185</v>
          </cell>
          <cell r="CX362">
            <v>0</v>
          </cell>
          <cell r="CY362">
            <v>5693.1030200000005</v>
          </cell>
          <cell r="CZ362">
            <v>966</v>
          </cell>
          <cell r="DA362">
            <v>16.967899519935262</v>
          </cell>
          <cell r="DF362">
            <v>0</v>
          </cell>
          <cell r="DG362">
            <v>5817.6121000000003</v>
          </cell>
          <cell r="DH362">
            <v>927</v>
          </cell>
          <cell r="DI362">
            <v>15.934372798763945</v>
          </cell>
          <cell r="DN362">
            <v>0</v>
          </cell>
          <cell r="DO362">
            <v>6137.9714400000003</v>
          </cell>
          <cell r="DP362">
            <v>1387</v>
          </cell>
          <cell r="DQ362">
            <v>22.597042256684073</v>
          </cell>
          <cell r="DV362">
            <v>0</v>
          </cell>
          <cell r="DW362">
            <v>6659.9896399999998</v>
          </cell>
          <cell r="DX362">
            <v>1941</v>
          </cell>
          <cell r="DY362">
            <v>29.144189479550004</v>
          </cell>
        </row>
        <row r="363">
          <cell r="F363">
            <v>0</v>
          </cell>
          <cell r="G363">
            <v>21169.887500000001</v>
          </cell>
          <cell r="H363">
            <v>4714</v>
          </cell>
          <cell r="I363">
            <v>22.267477803082325</v>
          </cell>
          <cell r="O363">
            <v>563.952</v>
          </cell>
          <cell r="P363">
            <v>-96</v>
          </cell>
          <cell r="U363">
            <v>690.72749999999996</v>
          </cell>
          <cell r="V363">
            <v>-91</v>
          </cell>
          <cell r="AA363">
            <v>773.91800000000001</v>
          </cell>
          <cell r="AB363">
            <v>-102</v>
          </cell>
          <cell r="AG363">
            <v>856.91899999999998</v>
          </cell>
          <cell r="AH363">
            <v>-127</v>
          </cell>
          <cell r="AM363">
            <v>949.774</v>
          </cell>
          <cell r="AN363">
            <v>-177</v>
          </cell>
          <cell r="AS363">
            <v>1086.972</v>
          </cell>
          <cell r="AT363">
            <v>-31</v>
          </cell>
          <cell r="AX363">
            <v>0</v>
          </cell>
          <cell r="AY363">
            <v>4922.2624999999998</v>
          </cell>
          <cell r="AZ363">
            <v>-624</v>
          </cell>
          <cell r="BA363">
            <v>-12.677097168222948</v>
          </cell>
          <cell r="BG363">
            <v>1381.58</v>
          </cell>
          <cell r="BH363">
            <v>138</v>
          </cell>
          <cell r="BM363">
            <v>1827.06</v>
          </cell>
          <cell r="BN363">
            <v>389</v>
          </cell>
          <cell r="BS363">
            <v>2325.8200000000002</v>
          </cell>
          <cell r="BT363">
            <v>604</v>
          </cell>
          <cell r="BY363">
            <v>2976.28</v>
          </cell>
          <cell r="BZ363">
            <v>1047</v>
          </cell>
          <cell r="CE363">
            <v>3579.9349999999999</v>
          </cell>
          <cell r="CF363">
            <v>1406</v>
          </cell>
          <cell r="CK363">
            <v>4156.95</v>
          </cell>
          <cell r="CL363">
            <v>1754</v>
          </cell>
          <cell r="CP363">
            <v>0</v>
          </cell>
          <cell r="CQ363">
            <v>16247.625</v>
          </cell>
          <cell r="CR363">
            <v>5338</v>
          </cell>
          <cell r="CS363">
            <v>32.854032512444128</v>
          </cell>
          <cell r="CX363">
            <v>0</v>
          </cell>
          <cell r="CY363">
            <v>2028.5974999999999</v>
          </cell>
          <cell r="CZ363">
            <v>-289</v>
          </cell>
          <cell r="DA363">
            <v>-14.246295778240881</v>
          </cell>
          <cell r="DF363">
            <v>0</v>
          </cell>
          <cell r="DG363">
            <v>2893.665</v>
          </cell>
          <cell r="DH363">
            <v>-335</v>
          </cell>
          <cell r="DI363">
            <v>-11.577013925247048</v>
          </cell>
          <cell r="DN363">
            <v>0</v>
          </cell>
          <cell r="DO363">
            <v>5534.46</v>
          </cell>
          <cell r="DP363">
            <v>1131</v>
          </cell>
          <cell r="DQ363">
            <v>20.435598052926572</v>
          </cell>
          <cell r="DV363">
            <v>0</v>
          </cell>
          <cell r="DW363">
            <v>10713.165000000001</v>
          </cell>
          <cell r="DX363">
            <v>4207</v>
          </cell>
          <cell r="DY363">
            <v>39.269440916853235</v>
          </cell>
        </row>
        <row r="364">
          <cell r="F364">
            <v>0</v>
          </cell>
          <cell r="G364">
            <v>2546</v>
          </cell>
          <cell r="H364">
            <v>240.92000000000002</v>
          </cell>
          <cell r="I364">
            <v>9.4626865671641802</v>
          </cell>
          <cell r="O364">
            <v>216</v>
          </cell>
          <cell r="P364">
            <v>-184</v>
          </cell>
          <cell r="U364">
            <v>166</v>
          </cell>
          <cell r="V364">
            <v>-87.68</v>
          </cell>
          <cell r="AA364">
            <v>170</v>
          </cell>
          <cell r="AB364">
            <v>-87</v>
          </cell>
          <cell r="AG364">
            <v>410</v>
          </cell>
          <cell r="AH364">
            <v>295</v>
          </cell>
          <cell r="AM364">
            <v>345</v>
          </cell>
          <cell r="AN364">
            <v>93</v>
          </cell>
          <cell r="AS364">
            <v>184</v>
          </cell>
          <cell r="AT364">
            <v>-4.4000000000000004</v>
          </cell>
          <cell r="AX364">
            <v>0</v>
          </cell>
          <cell r="AY364">
            <v>1491</v>
          </cell>
          <cell r="AZ364">
            <v>24.920000000000016</v>
          </cell>
          <cell r="BA364">
            <v>1.6713615023474189</v>
          </cell>
          <cell r="BG364">
            <v>226</v>
          </cell>
          <cell r="BH364">
            <v>31</v>
          </cell>
          <cell r="BM364">
            <v>224</v>
          </cell>
          <cell r="BN364">
            <v>25</v>
          </cell>
          <cell r="BS364">
            <v>120</v>
          </cell>
          <cell r="BT364">
            <v>27</v>
          </cell>
          <cell r="BY364">
            <v>110</v>
          </cell>
          <cell r="BZ364">
            <v>22</v>
          </cell>
          <cell r="CE364">
            <v>115</v>
          </cell>
          <cell r="CF364">
            <v>-4</v>
          </cell>
          <cell r="CK364">
            <v>260</v>
          </cell>
          <cell r="CL364">
            <v>115</v>
          </cell>
          <cell r="CP364">
            <v>0</v>
          </cell>
          <cell r="CQ364">
            <v>1055</v>
          </cell>
          <cell r="CR364">
            <v>216</v>
          </cell>
          <cell r="CS364">
            <v>20.473933649289101</v>
          </cell>
          <cell r="CX364">
            <v>0</v>
          </cell>
          <cell r="CY364">
            <v>552</v>
          </cell>
          <cell r="CZ364">
            <v>-358.68</v>
          </cell>
          <cell r="DA364">
            <v>-64.978260869565219</v>
          </cell>
          <cell r="DF364">
            <v>0</v>
          </cell>
          <cell r="DG364">
            <v>939</v>
          </cell>
          <cell r="DH364">
            <v>383.6</v>
          </cell>
          <cell r="DI364">
            <v>40.851970181043669</v>
          </cell>
          <cell r="DN364">
            <v>0</v>
          </cell>
          <cell r="DO364">
            <v>570</v>
          </cell>
          <cell r="DP364">
            <v>83</v>
          </cell>
          <cell r="DQ364">
            <v>14.561403508771932</v>
          </cell>
          <cell r="DV364">
            <v>0</v>
          </cell>
          <cell r="DW364">
            <v>485</v>
          </cell>
          <cell r="DX364">
            <v>133</v>
          </cell>
          <cell r="DY364">
            <v>27.422680412371136</v>
          </cell>
        </row>
        <row r="365">
          <cell r="F365">
            <v>0</v>
          </cell>
          <cell r="G365">
            <v>0</v>
          </cell>
          <cell r="H365">
            <v>4000</v>
          </cell>
          <cell r="I365">
            <v>0</v>
          </cell>
          <cell r="N365">
            <v>0</v>
          </cell>
          <cell r="O365">
            <v>0</v>
          </cell>
          <cell r="P365">
            <v>300</v>
          </cell>
          <cell r="T365">
            <v>0</v>
          </cell>
          <cell r="U365">
            <v>0</v>
          </cell>
          <cell r="V365">
            <v>400</v>
          </cell>
          <cell r="Z365">
            <v>0</v>
          </cell>
          <cell r="AA365">
            <v>0</v>
          </cell>
          <cell r="AB365">
            <v>300</v>
          </cell>
          <cell r="AF365">
            <v>0</v>
          </cell>
          <cell r="AG365">
            <v>0</v>
          </cell>
          <cell r="AH365">
            <v>400</v>
          </cell>
          <cell r="AL365">
            <v>0</v>
          </cell>
          <cell r="AM365">
            <v>0</v>
          </cell>
          <cell r="AN365">
            <v>300</v>
          </cell>
          <cell r="AR365">
            <v>0</v>
          </cell>
          <cell r="AS365">
            <v>0</v>
          </cell>
          <cell r="AT365">
            <v>300</v>
          </cell>
          <cell r="AX365">
            <v>0</v>
          </cell>
          <cell r="AY365">
            <v>0</v>
          </cell>
          <cell r="AZ365">
            <v>2000</v>
          </cell>
          <cell r="BA365">
            <v>0</v>
          </cell>
          <cell r="BF365">
            <v>0</v>
          </cell>
          <cell r="BG365">
            <v>0</v>
          </cell>
          <cell r="BH365">
            <v>300</v>
          </cell>
          <cell r="BL365">
            <v>0</v>
          </cell>
          <cell r="BM365">
            <v>0</v>
          </cell>
          <cell r="BN365">
            <v>400</v>
          </cell>
          <cell r="BR365">
            <v>0</v>
          </cell>
          <cell r="BS365">
            <v>0</v>
          </cell>
          <cell r="BT365">
            <v>300</v>
          </cell>
          <cell r="BX365">
            <v>0</v>
          </cell>
          <cell r="BY365">
            <v>0</v>
          </cell>
          <cell r="BZ365">
            <v>400</v>
          </cell>
          <cell r="CD365">
            <v>0</v>
          </cell>
          <cell r="CE365">
            <v>0</v>
          </cell>
          <cell r="CF365">
            <v>300</v>
          </cell>
          <cell r="CJ365">
            <v>0</v>
          </cell>
          <cell r="CK365">
            <v>0</v>
          </cell>
          <cell r="CL365">
            <v>300</v>
          </cell>
          <cell r="CP365">
            <v>0</v>
          </cell>
          <cell r="CQ365">
            <v>0</v>
          </cell>
          <cell r="CR365">
            <v>2000</v>
          </cell>
          <cell r="CS365">
            <v>0</v>
          </cell>
          <cell r="CX365">
            <v>0</v>
          </cell>
          <cell r="CY365">
            <v>0</v>
          </cell>
          <cell r="CZ365">
            <v>1000</v>
          </cell>
          <cell r="DA365">
            <v>0</v>
          </cell>
          <cell r="DF365">
            <v>0</v>
          </cell>
          <cell r="DG365">
            <v>0</v>
          </cell>
          <cell r="DH365">
            <v>1000</v>
          </cell>
          <cell r="DI365">
            <v>0</v>
          </cell>
          <cell r="DN365">
            <v>0</v>
          </cell>
          <cell r="DO365">
            <v>0</v>
          </cell>
          <cell r="DP365">
            <v>1000</v>
          </cell>
          <cell r="DQ365">
            <v>0</v>
          </cell>
          <cell r="DV365">
            <v>0</v>
          </cell>
          <cell r="DW365">
            <v>0</v>
          </cell>
          <cell r="DX365">
            <v>1000</v>
          </cell>
          <cell r="DY365">
            <v>0</v>
          </cell>
        </row>
        <row r="366">
          <cell r="F366">
            <v>0</v>
          </cell>
          <cell r="G366">
            <v>2546</v>
          </cell>
          <cell r="H366">
            <v>4240.92</v>
          </cell>
          <cell r="I366">
            <v>166.57187745483111</v>
          </cell>
          <cell r="N366">
            <v>0</v>
          </cell>
          <cell r="O366">
            <v>216</v>
          </cell>
          <cell r="P366">
            <v>116</v>
          </cell>
          <cell r="T366">
            <v>0</v>
          </cell>
          <cell r="U366">
            <v>166</v>
          </cell>
          <cell r="V366">
            <v>312.32</v>
          </cell>
          <cell r="Z366">
            <v>0</v>
          </cell>
          <cell r="AA366">
            <v>170</v>
          </cell>
          <cell r="AB366">
            <v>213</v>
          </cell>
          <cell r="AF366">
            <v>0</v>
          </cell>
          <cell r="AG366">
            <v>410</v>
          </cell>
          <cell r="AH366">
            <v>695</v>
          </cell>
          <cell r="AL366">
            <v>0</v>
          </cell>
          <cell r="AM366">
            <v>345</v>
          </cell>
          <cell r="AN366">
            <v>393</v>
          </cell>
          <cell r="AR366">
            <v>0</v>
          </cell>
          <cell r="AS366">
            <v>184</v>
          </cell>
          <cell r="AT366">
            <v>295.60000000000002</v>
          </cell>
          <cell r="AX366">
            <v>0</v>
          </cell>
          <cell r="AY366">
            <v>1491</v>
          </cell>
          <cell r="AZ366">
            <v>2024.92</v>
          </cell>
          <cell r="BA366">
            <v>135.80952380952382</v>
          </cell>
          <cell r="BF366">
            <v>0</v>
          </cell>
          <cell r="BG366">
            <v>226</v>
          </cell>
          <cell r="BH366">
            <v>331</v>
          </cell>
          <cell r="BL366">
            <v>0</v>
          </cell>
          <cell r="BM366">
            <v>224</v>
          </cell>
          <cell r="BN366">
            <v>425</v>
          </cell>
          <cell r="BR366">
            <v>0</v>
          </cell>
          <cell r="BS366">
            <v>120</v>
          </cell>
          <cell r="BT366">
            <v>327</v>
          </cell>
          <cell r="BX366">
            <v>0</v>
          </cell>
          <cell r="BY366">
            <v>110</v>
          </cell>
          <cell r="BZ366">
            <v>422</v>
          </cell>
          <cell r="CD366">
            <v>0</v>
          </cell>
          <cell r="CE366">
            <v>115</v>
          </cell>
          <cell r="CF366">
            <v>296</v>
          </cell>
          <cell r="CJ366">
            <v>0</v>
          </cell>
          <cell r="CK366">
            <v>260</v>
          </cell>
          <cell r="CL366">
            <v>415</v>
          </cell>
          <cell r="CP366">
            <v>0</v>
          </cell>
          <cell r="CQ366">
            <v>1055</v>
          </cell>
          <cell r="CR366">
            <v>2216</v>
          </cell>
          <cell r="CS366">
            <v>210.04739336492889</v>
          </cell>
          <cell r="CX366">
            <v>0</v>
          </cell>
          <cell r="CY366">
            <v>552</v>
          </cell>
          <cell r="CZ366">
            <v>641.31999999999994</v>
          </cell>
          <cell r="DA366">
            <v>116.18115942028983</v>
          </cell>
          <cell r="DF366">
            <v>0</v>
          </cell>
          <cell r="DG366">
            <v>939</v>
          </cell>
          <cell r="DH366">
            <v>1383.6</v>
          </cell>
          <cell r="DI366">
            <v>147.34824281150159</v>
          </cell>
          <cell r="DN366">
            <v>0</v>
          </cell>
          <cell r="DO366">
            <v>570</v>
          </cell>
          <cell r="DP366">
            <v>1083</v>
          </cell>
          <cell r="DQ366">
            <v>190</v>
          </cell>
          <cell r="DV366">
            <v>0</v>
          </cell>
          <cell r="DW366">
            <v>485</v>
          </cell>
          <cell r="DX366">
            <v>1133</v>
          </cell>
          <cell r="DY366">
            <v>233.60824742268042</v>
          </cell>
        </row>
        <row r="367">
          <cell r="F367">
            <v>0</v>
          </cell>
          <cell r="G367">
            <v>12000</v>
          </cell>
          <cell r="H367">
            <v>9491</v>
          </cell>
          <cell r="I367">
            <v>79.091666666666669</v>
          </cell>
          <cell r="N367">
            <v>0</v>
          </cell>
          <cell r="O367">
            <v>0</v>
          </cell>
          <cell r="P367">
            <v>0</v>
          </cell>
          <cell r="T367">
            <v>0</v>
          </cell>
          <cell r="U367">
            <v>0</v>
          </cell>
          <cell r="V367">
            <v>0</v>
          </cell>
          <cell r="Z367">
            <v>0</v>
          </cell>
          <cell r="AA367">
            <v>0</v>
          </cell>
          <cell r="AB367">
            <v>0</v>
          </cell>
          <cell r="AF367">
            <v>0</v>
          </cell>
          <cell r="AG367">
            <v>0</v>
          </cell>
          <cell r="AH367">
            <v>0</v>
          </cell>
          <cell r="AL367">
            <v>0</v>
          </cell>
          <cell r="AM367">
            <v>2000</v>
          </cell>
          <cell r="AN367">
            <v>1582</v>
          </cell>
          <cell r="AR367">
            <v>0</v>
          </cell>
          <cell r="AS367">
            <v>2000</v>
          </cell>
          <cell r="AT367">
            <v>1582</v>
          </cell>
          <cell r="AX367">
            <v>0</v>
          </cell>
          <cell r="AY367">
            <v>4000</v>
          </cell>
          <cell r="AZ367">
            <v>3164</v>
          </cell>
          <cell r="BA367">
            <v>79.100000000000009</v>
          </cell>
          <cell r="BF367">
            <v>0</v>
          </cell>
          <cell r="BG367">
            <v>2000</v>
          </cell>
          <cell r="BH367">
            <v>1582</v>
          </cell>
          <cell r="BL367">
            <v>0</v>
          </cell>
          <cell r="BM367">
            <v>1200</v>
          </cell>
          <cell r="BN367">
            <v>949</v>
          </cell>
          <cell r="BR367">
            <v>0</v>
          </cell>
          <cell r="BS367">
            <v>1200</v>
          </cell>
          <cell r="BT367">
            <v>949</v>
          </cell>
          <cell r="BX367">
            <v>0</v>
          </cell>
          <cell r="BY367">
            <v>1200</v>
          </cell>
          <cell r="BZ367">
            <v>949</v>
          </cell>
          <cell r="CD367">
            <v>0</v>
          </cell>
          <cell r="CE367">
            <v>1200</v>
          </cell>
          <cell r="CF367">
            <v>949</v>
          </cell>
          <cell r="CJ367">
            <v>0</v>
          </cell>
          <cell r="CK367">
            <v>1200</v>
          </cell>
          <cell r="CL367">
            <v>949</v>
          </cell>
          <cell r="CP367">
            <v>0</v>
          </cell>
          <cell r="CQ367">
            <v>8000</v>
          </cell>
          <cell r="CR367">
            <v>6327</v>
          </cell>
          <cell r="CS367">
            <v>79.087500000000006</v>
          </cell>
          <cell r="CX367">
            <v>0</v>
          </cell>
          <cell r="CY367">
            <v>0</v>
          </cell>
          <cell r="CZ367">
            <v>0</v>
          </cell>
          <cell r="DA367">
            <v>0</v>
          </cell>
          <cell r="DF367">
            <v>0</v>
          </cell>
          <cell r="DG367">
            <v>4000</v>
          </cell>
          <cell r="DH367">
            <v>3164</v>
          </cell>
          <cell r="DI367">
            <v>79.100000000000009</v>
          </cell>
          <cell r="DN367">
            <v>0</v>
          </cell>
          <cell r="DO367">
            <v>4400</v>
          </cell>
          <cell r="DP367">
            <v>3480</v>
          </cell>
          <cell r="DQ367">
            <v>79.090909090909093</v>
          </cell>
          <cell r="DV367">
            <v>0</v>
          </cell>
          <cell r="DW367">
            <v>3600</v>
          </cell>
          <cell r="DX367">
            <v>2847</v>
          </cell>
          <cell r="DY367">
            <v>79.083333333333343</v>
          </cell>
        </row>
        <row r="368">
          <cell r="F368">
            <v>0</v>
          </cell>
          <cell r="G368">
            <v>0</v>
          </cell>
          <cell r="H368">
            <v>0</v>
          </cell>
          <cell r="I368">
            <v>0</v>
          </cell>
          <cell r="N368">
            <v>0</v>
          </cell>
          <cell r="O368">
            <v>0</v>
          </cell>
          <cell r="P368">
            <v>0</v>
          </cell>
          <cell r="T368">
            <v>0</v>
          </cell>
          <cell r="U368">
            <v>0</v>
          </cell>
          <cell r="V368">
            <v>0</v>
          </cell>
          <cell r="Z368">
            <v>0</v>
          </cell>
          <cell r="AA368">
            <v>0</v>
          </cell>
          <cell r="AB368">
            <v>0</v>
          </cell>
          <cell r="AF368">
            <v>0</v>
          </cell>
          <cell r="AG368">
            <v>0</v>
          </cell>
          <cell r="AH368">
            <v>0</v>
          </cell>
          <cell r="AL368">
            <v>0</v>
          </cell>
          <cell r="AR368">
            <v>0</v>
          </cell>
          <cell r="AX368">
            <v>0</v>
          </cell>
          <cell r="AY368">
            <v>0</v>
          </cell>
          <cell r="AZ368">
            <v>0</v>
          </cell>
          <cell r="BA368">
            <v>0</v>
          </cell>
          <cell r="BF368">
            <v>0</v>
          </cell>
          <cell r="BL368">
            <v>0</v>
          </cell>
          <cell r="BR368">
            <v>0</v>
          </cell>
          <cell r="BX368">
            <v>0</v>
          </cell>
          <cell r="CD368">
            <v>0</v>
          </cell>
          <cell r="CJ368">
            <v>0</v>
          </cell>
          <cell r="CP368">
            <v>0</v>
          </cell>
          <cell r="CQ368">
            <v>0</v>
          </cell>
          <cell r="CR368">
            <v>0</v>
          </cell>
          <cell r="CS368">
            <v>0</v>
          </cell>
          <cell r="CX368">
            <v>0</v>
          </cell>
          <cell r="CY368">
            <v>0</v>
          </cell>
          <cell r="CZ368">
            <v>0</v>
          </cell>
          <cell r="DA368">
            <v>0</v>
          </cell>
          <cell r="DF368">
            <v>0</v>
          </cell>
          <cell r="DG368">
            <v>0</v>
          </cell>
          <cell r="DH368">
            <v>0</v>
          </cell>
          <cell r="DI368">
            <v>0</v>
          </cell>
          <cell r="DN368">
            <v>0</v>
          </cell>
          <cell r="DO368">
            <v>0</v>
          </cell>
          <cell r="DP368">
            <v>0</v>
          </cell>
          <cell r="DQ368">
            <v>0</v>
          </cell>
          <cell r="DV368">
            <v>0</v>
          </cell>
          <cell r="DW368">
            <v>0</v>
          </cell>
          <cell r="DX368">
            <v>0</v>
          </cell>
          <cell r="DY368">
            <v>0</v>
          </cell>
        </row>
        <row r="369">
          <cell r="F369">
            <v>0</v>
          </cell>
          <cell r="G369">
            <v>159115.58186999999</v>
          </cell>
          <cell r="H369">
            <v>39691.919999999998</v>
          </cell>
          <cell r="I369">
            <v>24.945338183427531</v>
          </cell>
          <cell r="N369">
            <v>0</v>
          </cell>
          <cell r="O369">
            <v>9772.315208</v>
          </cell>
          <cell r="P369">
            <v>784</v>
          </cell>
          <cell r="T369">
            <v>0</v>
          </cell>
          <cell r="U369">
            <v>10104.57582</v>
          </cell>
          <cell r="V369">
            <v>1212.32</v>
          </cell>
          <cell r="Z369">
            <v>0</v>
          </cell>
          <cell r="AA369">
            <v>10238.41455</v>
          </cell>
          <cell r="AB369">
            <v>1093</v>
          </cell>
          <cell r="AF369">
            <v>0</v>
          </cell>
          <cell r="AG369">
            <v>10986.750498000001</v>
          </cell>
          <cell r="AH369">
            <v>1640</v>
          </cell>
          <cell r="AL369">
            <v>0</v>
          </cell>
          <cell r="AM369">
            <v>13172.356744000001</v>
          </cell>
          <cell r="AN369">
            <v>3022</v>
          </cell>
          <cell r="AR369">
            <v>0</v>
          </cell>
          <cell r="AS369">
            <v>13314.959923999999</v>
          </cell>
          <cell r="AT369">
            <v>3286.6</v>
          </cell>
          <cell r="AX369">
            <v>0</v>
          </cell>
          <cell r="AY369">
            <v>67589.372744000008</v>
          </cell>
          <cell r="AZ369">
            <v>11037.92</v>
          </cell>
          <cell r="BA369">
            <v>16.330851362990124</v>
          </cell>
          <cell r="BF369">
            <v>0</v>
          </cell>
          <cell r="BG369">
            <v>14188.403252</v>
          </cell>
          <cell r="BH369">
            <v>3951</v>
          </cell>
          <cell r="BL369">
            <v>0</v>
          </cell>
          <cell r="BM369">
            <v>14461.367507999999</v>
          </cell>
          <cell r="BN369">
            <v>4156</v>
          </cell>
          <cell r="BR369">
            <v>0</v>
          </cell>
          <cell r="BS369">
            <v>14658.670495999999</v>
          </cell>
          <cell r="BT369">
            <v>4141</v>
          </cell>
          <cell r="BX369">
            <v>0</v>
          </cell>
          <cell r="BY369">
            <v>15615.06099</v>
          </cell>
          <cell r="BZ369">
            <v>5167</v>
          </cell>
          <cell r="CD369">
            <v>0</v>
          </cell>
          <cell r="CE369">
            <v>16011.699107999999</v>
          </cell>
          <cell r="CF369">
            <v>5391</v>
          </cell>
          <cell r="CJ369">
            <v>0</v>
          </cell>
          <cell r="CK369">
            <v>16591.007771999997</v>
          </cell>
          <cell r="CL369">
            <v>5848</v>
          </cell>
          <cell r="CP369">
            <v>0</v>
          </cell>
          <cell r="CQ369">
            <v>91526.209126000002</v>
          </cell>
          <cell r="CR369">
            <v>28654</v>
          </cell>
          <cell r="CS369">
            <v>31.306879497820489</v>
          </cell>
          <cell r="CX369">
            <v>0</v>
          </cell>
          <cell r="CY369">
            <v>30115.305578</v>
          </cell>
          <cell r="CZ369">
            <v>3089.3199999999997</v>
          </cell>
          <cell r="DA369">
            <v>10.258305339119078</v>
          </cell>
          <cell r="DF369">
            <v>0</v>
          </cell>
          <cell r="DG369">
            <v>37474.067165999993</v>
          </cell>
          <cell r="DH369">
            <v>7948.6</v>
          </cell>
          <cell r="DI369">
            <v>21.210934924116589</v>
          </cell>
          <cell r="DN369">
            <v>0</v>
          </cell>
          <cell r="DO369">
            <v>43308.441255999998</v>
          </cell>
          <cell r="DP369">
            <v>12248</v>
          </cell>
          <cell r="DQ369">
            <v>28.280860831727921</v>
          </cell>
          <cell r="DV369">
            <v>0</v>
          </cell>
          <cell r="DW369">
            <v>48217.767869999996</v>
          </cell>
          <cell r="DX369">
            <v>16406</v>
          </cell>
          <cell r="DY369">
            <v>34.024801903381849</v>
          </cell>
        </row>
        <row r="370">
          <cell r="F370">
            <v>0</v>
          </cell>
          <cell r="G370">
            <v>147115.58186999999</v>
          </cell>
          <cell r="H370">
            <v>30200.92</v>
          </cell>
          <cell r="I370">
            <v>20.528702409434313</v>
          </cell>
          <cell r="N370">
            <v>0</v>
          </cell>
          <cell r="O370">
            <v>9772.315208</v>
          </cell>
          <cell r="P370">
            <v>784</v>
          </cell>
          <cell r="T370">
            <v>0</v>
          </cell>
          <cell r="U370">
            <v>10104.57582</v>
          </cell>
          <cell r="V370">
            <v>1212.32</v>
          </cell>
          <cell r="Z370">
            <v>0</v>
          </cell>
          <cell r="AA370">
            <v>10238.41455</v>
          </cell>
          <cell r="AB370">
            <v>1093</v>
          </cell>
          <cell r="AF370">
            <v>0</v>
          </cell>
          <cell r="AG370">
            <v>10986.750498000001</v>
          </cell>
          <cell r="AH370">
            <v>1640</v>
          </cell>
          <cell r="AL370">
            <v>0</v>
          </cell>
          <cell r="AM370">
            <v>11172.356744000001</v>
          </cell>
          <cell r="AN370">
            <v>1440</v>
          </cell>
          <cell r="AR370">
            <v>0</v>
          </cell>
          <cell r="AS370">
            <v>11314.959923999999</v>
          </cell>
          <cell r="AT370">
            <v>1704.6</v>
          </cell>
          <cell r="AX370">
            <v>0</v>
          </cell>
          <cell r="AY370">
            <v>63589.372744000008</v>
          </cell>
          <cell r="AZ370">
            <v>7873.92</v>
          </cell>
          <cell r="BA370">
            <v>12.382446406098488</v>
          </cell>
          <cell r="BF370">
            <v>0</v>
          </cell>
          <cell r="BG370">
            <v>12188.403252</v>
          </cell>
          <cell r="BH370">
            <v>2369</v>
          </cell>
          <cell r="BL370">
            <v>0</v>
          </cell>
          <cell r="BM370">
            <v>13261.367507999999</v>
          </cell>
          <cell r="BN370">
            <v>3207</v>
          </cell>
          <cell r="BR370">
            <v>0</v>
          </cell>
          <cell r="BS370">
            <v>13458.670495999999</v>
          </cell>
          <cell r="BT370">
            <v>3192</v>
          </cell>
          <cell r="BX370">
            <v>0</v>
          </cell>
          <cell r="BY370">
            <v>14415.06099</v>
          </cell>
          <cell r="BZ370">
            <v>4218</v>
          </cell>
          <cell r="CD370">
            <v>0</v>
          </cell>
          <cell r="CE370">
            <v>14811.699107999999</v>
          </cell>
          <cell r="CF370">
            <v>4442</v>
          </cell>
          <cell r="CJ370">
            <v>0</v>
          </cell>
          <cell r="CK370">
            <v>15391.007771999997</v>
          </cell>
          <cell r="CL370">
            <v>4899</v>
          </cell>
          <cell r="CP370">
            <v>0</v>
          </cell>
          <cell r="CQ370">
            <v>83526.209126000002</v>
          </cell>
          <cell r="CR370">
            <v>22327</v>
          </cell>
          <cell r="CS370">
            <v>26.730531929588146</v>
          </cell>
          <cell r="CX370">
            <v>0</v>
          </cell>
          <cell r="CY370">
            <v>30115.305578</v>
          </cell>
          <cell r="CZ370">
            <v>3089.3199999999997</v>
          </cell>
          <cell r="DA370">
            <v>10.258305339119078</v>
          </cell>
          <cell r="DF370">
            <v>0</v>
          </cell>
          <cell r="DG370">
            <v>33474.067165999993</v>
          </cell>
          <cell r="DH370">
            <v>4784.6000000000004</v>
          </cell>
          <cell r="DI370">
            <v>14.293452828044078</v>
          </cell>
          <cell r="DN370">
            <v>0</v>
          </cell>
          <cell r="DO370">
            <v>38908.441255999998</v>
          </cell>
          <cell r="DP370">
            <v>8768</v>
          </cell>
          <cell r="DQ370">
            <v>22.534955698457601</v>
          </cell>
          <cell r="DV370">
            <v>0</v>
          </cell>
          <cell r="DW370">
            <v>44617.767869999996</v>
          </cell>
          <cell r="DX370">
            <v>13559</v>
          </cell>
          <cell r="DY370">
            <v>30.389238743421704</v>
          </cell>
        </row>
        <row r="371">
          <cell r="F371">
            <v>2166225.804</v>
          </cell>
          <cell r="G371">
            <v>484786.20477099996</v>
          </cell>
          <cell r="H371">
            <v>120143.33899999999</v>
          </cell>
          <cell r="I371">
            <v>24.782747078529699</v>
          </cell>
          <cell r="N371">
            <v>134931</v>
          </cell>
          <cell r="O371">
            <v>29804.335546300001</v>
          </cell>
          <cell r="P371">
            <v>4673.8119999999999</v>
          </cell>
          <cell r="T371">
            <v>157560</v>
          </cell>
          <cell r="U371">
            <v>33211.524354299996</v>
          </cell>
          <cell r="V371">
            <v>6540.7909999999993</v>
          </cell>
          <cell r="Z371">
            <v>165476.80599999998</v>
          </cell>
          <cell r="AA371">
            <v>34810.560858600002</v>
          </cell>
          <cell r="AB371">
            <v>6798.6939999999995</v>
          </cell>
          <cell r="AF371">
            <v>153855.606</v>
          </cell>
          <cell r="AG371">
            <v>35384.013750600003</v>
          </cell>
          <cell r="AH371">
            <v>7696.8010000000004</v>
          </cell>
          <cell r="AL371">
            <v>160442.67200000002</v>
          </cell>
          <cell r="AM371">
            <v>38537.8393966</v>
          </cell>
          <cell r="AN371">
            <v>9484.7330000000002</v>
          </cell>
          <cell r="AR371">
            <v>166731</v>
          </cell>
          <cell r="AS371">
            <v>39959.727868599999</v>
          </cell>
          <cell r="AT371">
            <v>10002.743999999999</v>
          </cell>
          <cell r="AX371">
            <v>938997.08400000003</v>
          </cell>
          <cell r="AY371">
            <v>211708.00177500001</v>
          </cell>
          <cell r="AZ371">
            <v>45197.574999999997</v>
          </cell>
          <cell r="BA371">
            <v>21.349015918649723</v>
          </cell>
          <cell r="BF371">
            <v>185655.34400000001</v>
          </cell>
          <cell r="BG371">
            <v>42321.528288500005</v>
          </cell>
          <cell r="BH371">
            <v>10901.332</v>
          </cell>
          <cell r="BL371">
            <v>194538.34400000001</v>
          </cell>
          <cell r="BM371">
            <v>43081.880024500002</v>
          </cell>
          <cell r="BN371">
            <v>11317.605</v>
          </cell>
          <cell r="BR371">
            <v>212228.34400000001</v>
          </cell>
          <cell r="BS371">
            <v>45857.403194699997</v>
          </cell>
          <cell r="BT371">
            <v>11944.002</v>
          </cell>
          <cell r="BX371">
            <v>230038.34400000001</v>
          </cell>
          <cell r="BY371">
            <v>49193.75913749999</v>
          </cell>
          <cell r="BZ371">
            <v>13998.612000000001</v>
          </cell>
          <cell r="CD371">
            <v>205316.34400000001</v>
          </cell>
          <cell r="CE371">
            <v>46731.900867800003</v>
          </cell>
          <cell r="CF371">
            <v>13517.623</v>
          </cell>
          <cell r="CJ371">
            <v>199452</v>
          </cell>
          <cell r="CK371">
            <v>45891.731482999996</v>
          </cell>
          <cell r="CL371">
            <v>13266.59</v>
          </cell>
          <cell r="CP371">
            <v>1227228.72</v>
          </cell>
          <cell r="CQ371">
            <v>273078.20299600001</v>
          </cell>
          <cell r="CR371">
            <v>74945.76400000001</v>
          </cell>
          <cell r="CS371">
            <v>27.444799027441164</v>
          </cell>
          <cell r="CX371">
            <v>457967.80599999998</v>
          </cell>
          <cell r="CY371">
            <v>97826.420759200002</v>
          </cell>
          <cell r="CZ371">
            <v>18013.296999999999</v>
          </cell>
          <cell r="DA371">
            <v>18.413529658148057</v>
          </cell>
          <cell r="DF371">
            <v>481029.27799999999</v>
          </cell>
          <cell r="DG371">
            <v>113881.58101579998</v>
          </cell>
          <cell r="DH371">
            <v>27184.277999999998</v>
          </cell>
          <cell r="DI371">
            <v>23.870653847199787</v>
          </cell>
          <cell r="DN371">
            <v>592422.03200000001</v>
          </cell>
          <cell r="DO371">
            <v>131260.81150770001</v>
          </cell>
          <cell r="DP371">
            <v>34162.938999999998</v>
          </cell>
          <cell r="DQ371">
            <v>26.026761992093839</v>
          </cell>
          <cell r="DV371">
            <v>634806.68800000008</v>
          </cell>
          <cell r="DW371">
            <v>141817.3914883</v>
          </cell>
          <cell r="DX371">
            <v>40782.825000000004</v>
          </cell>
          <cell r="DY371">
            <v>28.757280451999151</v>
          </cell>
        </row>
        <row r="372">
          <cell r="F372">
            <v>481188</v>
          </cell>
          <cell r="G372">
            <v>162458.14499999999</v>
          </cell>
          <cell r="H372">
            <v>76659.5</v>
          </cell>
          <cell r="I372">
            <v>47.18723090184244</v>
          </cell>
          <cell r="N372">
            <v>30912</v>
          </cell>
          <cell r="O372">
            <v>9273.6440000000002</v>
          </cell>
          <cell r="P372">
            <v>3706.8599999999997</v>
          </cell>
          <cell r="T372">
            <v>42530</v>
          </cell>
          <cell r="U372">
            <v>11399.126</v>
          </cell>
          <cell r="V372">
            <v>5010.5659999999989</v>
          </cell>
          <cell r="Z372">
            <v>39370</v>
          </cell>
          <cell r="AA372">
            <v>11578.095000000001</v>
          </cell>
          <cell r="AB372">
            <v>4961.1289999999999</v>
          </cell>
          <cell r="AF372">
            <v>42162</v>
          </cell>
          <cell r="AG372">
            <v>12817.780999999999</v>
          </cell>
          <cell r="AH372">
            <v>5906.0060000000003</v>
          </cell>
          <cell r="AL372">
            <v>45870</v>
          </cell>
          <cell r="AM372">
            <v>15490.165000000001</v>
          </cell>
          <cell r="AN372">
            <v>7602.4709999999995</v>
          </cell>
          <cell r="AR372">
            <v>42340</v>
          </cell>
          <cell r="AS372">
            <v>14758.915000000001</v>
          </cell>
          <cell r="AT372">
            <v>7217.5529999999999</v>
          </cell>
          <cell r="AX372">
            <v>243184</v>
          </cell>
          <cell r="AY372">
            <v>75317.725999999995</v>
          </cell>
          <cell r="AZ372">
            <v>34404.584999999999</v>
          </cell>
          <cell r="BA372">
            <v>45.679266790396724</v>
          </cell>
          <cell r="BF372">
            <v>42452</v>
          </cell>
          <cell r="BG372">
            <v>15235.819</v>
          </cell>
          <cell r="BH372">
            <v>7475.0680000000002</v>
          </cell>
          <cell r="BL372">
            <v>39045</v>
          </cell>
          <cell r="BM372">
            <v>13911.074000000001</v>
          </cell>
          <cell r="BN372">
            <v>6698.6309999999994</v>
          </cell>
          <cell r="BR372">
            <v>40563</v>
          </cell>
          <cell r="BS372">
            <v>14453.784</v>
          </cell>
          <cell r="BT372">
            <v>6880.56</v>
          </cell>
          <cell r="BX372">
            <v>41490</v>
          </cell>
          <cell r="BY372">
            <v>15027.73</v>
          </cell>
          <cell r="BZ372">
            <v>7341.027</v>
          </cell>
          <cell r="CD372">
            <v>38430</v>
          </cell>
          <cell r="CE372">
            <v>14464.246000000001</v>
          </cell>
          <cell r="CF372">
            <v>6989.7300000000005</v>
          </cell>
          <cell r="CJ372">
            <v>36024</v>
          </cell>
          <cell r="CK372">
            <v>14047.766</v>
          </cell>
          <cell r="CL372">
            <v>6869.8990000000003</v>
          </cell>
          <cell r="CP372">
            <v>238004</v>
          </cell>
          <cell r="CQ372">
            <v>87140.418999999994</v>
          </cell>
          <cell r="CR372">
            <v>42254.915000000008</v>
          </cell>
          <cell r="CS372">
            <v>48.49060342480108</v>
          </cell>
          <cell r="CX372">
            <v>112812</v>
          </cell>
          <cell r="CY372">
            <v>32250.864999999998</v>
          </cell>
          <cell r="CZ372">
            <v>13678.554999999998</v>
          </cell>
          <cell r="DA372">
            <v>42.412986442379143</v>
          </cell>
          <cell r="DF372">
            <v>130372</v>
          </cell>
          <cell r="DG372">
            <v>43066.861000000004</v>
          </cell>
          <cell r="DH372">
            <v>20726.029999999995</v>
          </cell>
          <cell r="DI372">
            <v>48.125239496790797</v>
          </cell>
          <cell r="DN372">
            <v>122060</v>
          </cell>
          <cell r="DO372">
            <v>43600.677000000003</v>
          </cell>
          <cell r="DP372">
            <v>21054.258999999998</v>
          </cell>
          <cell r="DQ372">
            <v>48.288835056391434</v>
          </cell>
          <cell r="DV372">
            <v>115944</v>
          </cell>
          <cell r="DW372">
            <v>43539.741999999998</v>
          </cell>
          <cell r="DX372">
            <v>21200.656000000003</v>
          </cell>
          <cell r="DY372">
            <v>48.692654173283813</v>
          </cell>
        </row>
        <row r="373">
          <cell r="F373">
            <v>1685037.804</v>
          </cell>
          <cell r="G373">
            <v>322328.05977099994</v>
          </cell>
          <cell r="H373">
            <v>43483.838999999993</v>
          </cell>
          <cell r="I373">
            <v>13.490553391750431</v>
          </cell>
          <cell r="N373">
            <v>104019</v>
          </cell>
          <cell r="O373">
            <v>20530.6915463</v>
          </cell>
          <cell r="P373">
            <v>966.95200000000023</v>
          </cell>
          <cell r="T373">
            <v>115030</v>
          </cell>
          <cell r="U373">
            <v>21812.398354299996</v>
          </cell>
          <cell r="V373">
            <v>1530.2250000000004</v>
          </cell>
          <cell r="Z373">
            <v>126106.80599999998</v>
          </cell>
          <cell r="AA373">
            <v>23232.465858600001</v>
          </cell>
          <cell r="AB373">
            <v>1837.5649999999996</v>
          </cell>
          <cell r="AF373">
            <v>111693.606</v>
          </cell>
          <cell r="AG373">
            <v>22566.232750600004</v>
          </cell>
          <cell r="AH373">
            <v>1790.7950000000001</v>
          </cell>
          <cell r="AL373">
            <v>114572.67200000002</v>
          </cell>
          <cell r="AM373">
            <v>23047.674396599999</v>
          </cell>
          <cell r="AN373">
            <v>1882.2620000000006</v>
          </cell>
          <cell r="AR373">
            <v>124391</v>
          </cell>
          <cell r="AS373">
            <v>25200.812868599998</v>
          </cell>
          <cell r="AT373">
            <v>2785.1909999999989</v>
          </cell>
          <cell r="AX373">
            <v>695813.08400000003</v>
          </cell>
          <cell r="AY373">
            <v>136390.27577500002</v>
          </cell>
          <cell r="AZ373">
            <v>10792.989999999998</v>
          </cell>
          <cell r="BA373">
            <v>7.913313422582231</v>
          </cell>
          <cell r="BF373">
            <v>143203.34400000001</v>
          </cell>
          <cell r="BG373">
            <v>27085.709288500006</v>
          </cell>
          <cell r="BH373">
            <v>3426.2640000000001</v>
          </cell>
          <cell r="BL373">
            <v>155493.34400000001</v>
          </cell>
          <cell r="BM373">
            <v>29170.806024500002</v>
          </cell>
          <cell r="BN373">
            <v>4618.9740000000002</v>
          </cell>
          <cell r="BR373">
            <v>171665.34400000001</v>
          </cell>
          <cell r="BS373">
            <v>31403.619194699997</v>
          </cell>
          <cell r="BT373">
            <v>5063.442</v>
          </cell>
          <cell r="BX373">
            <v>188548.34400000001</v>
          </cell>
          <cell r="BY373">
            <v>34166.029137499994</v>
          </cell>
          <cell r="BZ373">
            <v>6657.5850000000009</v>
          </cell>
          <cell r="CD373">
            <v>166886.34400000001</v>
          </cell>
          <cell r="CE373">
            <v>32267.654867800004</v>
          </cell>
          <cell r="CF373">
            <v>6527.8929999999991</v>
          </cell>
          <cell r="CJ373">
            <v>163428</v>
          </cell>
          <cell r="CK373">
            <v>31843.965482999996</v>
          </cell>
          <cell r="CL373">
            <v>6396.6909999999998</v>
          </cell>
          <cell r="CP373">
            <v>989224.72</v>
          </cell>
          <cell r="CQ373">
            <v>185937.78399600001</v>
          </cell>
          <cell r="CR373">
            <v>32690.849000000002</v>
          </cell>
          <cell r="CS373">
            <v>17.58160622195178</v>
          </cell>
          <cell r="CX373">
            <v>345155.80599999998</v>
          </cell>
          <cell r="CY373">
            <v>65575.555759200011</v>
          </cell>
          <cell r="CZ373">
            <v>4334.7420000000002</v>
          </cell>
          <cell r="DA373">
            <v>6.6103015823725615</v>
          </cell>
          <cell r="DF373">
            <v>350657.27799999999</v>
          </cell>
          <cell r="DG373">
            <v>70814.720015799976</v>
          </cell>
          <cell r="DH373">
            <v>6458.2480000000032</v>
          </cell>
          <cell r="DI373">
            <v>9.1199230874019648</v>
          </cell>
          <cell r="DN373">
            <v>470362.03200000001</v>
          </cell>
          <cell r="DO373">
            <v>87660.134507700015</v>
          </cell>
          <cell r="DP373">
            <v>13108.68</v>
          </cell>
          <cell r="DQ373">
            <v>14.953981161012866</v>
          </cell>
          <cell r="DV373">
            <v>518862.68800000008</v>
          </cell>
          <cell r="DW373">
            <v>98277.649488299998</v>
          </cell>
          <cell r="DX373">
            <v>19582.169000000002</v>
          </cell>
          <cell r="DY373">
            <v>19.925353426702852</v>
          </cell>
        </row>
        <row r="374">
          <cell r="F374">
            <v>0</v>
          </cell>
          <cell r="G374">
            <v>62924</v>
          </cell>
          <cell r="H374">
            <v>15746.122000000001</v>
          </cell>
          <cell r="I374">
            <v>25.024032165787304</v>
          </cell>
          <cell r="O374">
            <v>94</v>
          </cell>
          <cell r="P374">
            <v>20.962</v>
          </cell>
          <cell r="U374">
            <v>0</v>
          </cell>
          <cell r="V374">
            <v>0</v>
          </cell>
          <cell r="AA374">
            <v>5130</v>
          </cell>
          <cell r="AB374">
            <v>1379.97</v>
          </cell>
          <cell r="AG374">
            <v>2000</v>
          </cell>
          <cell r="AH374">
            <v>500</v>
          </cell>
          <cell r="AM374">
            <v>9500</v>
          </cell>
          <cell r="AN374">
            <v>1520</v>
          </cell>
          <cell r="AS374">
            <v>5000</v>
          </cell>
          <cell r="AT374">
            <v>1197.5</v>
          </cell>
          <cell r="AX374">
            <v>0</v>
          </cell>
          <cell r="AY374">
            <v>21724</v>
          </cell>
          <cell r="AZ374">
            <v>4618.4320000000007</v>
          </cell>
          <cell r="BA374">
            <v>21.259583870373781</v>
          </cell>
          <cell r="BG374">
            <v>0</v>
          </cell>
          <cell r="BH374">
            <v>0</v>
          </cell>
          <cell r="BM374">
            <v>9700</v>
          </cell>
          <cell r="BN374">
            <v>1880.5</v>
          </cell>
          <cell r="BS374">
            <v>4900</v>
          </cell>
          <cell r="BT374">
            <v>1297.2</v>
          </cell>
          <cell r="BY374">
            <v>10000</v>
          </cell>
          <cell r="BZ374">
            <v>2000</v>
          </cell>
          <cell r="CE374">
            <v>6600</v>
          </cell>
          <cell r="CF374">
            <v>1287</v>
          </cell>
          <cell r="CK374">
            <v>10000</v>
          </cell>
          <cell r="CL374">
            <v>4662.99</v>
          </cell>
          <cell r="CP374">
            <v>0</v>
          </cell>
          <cell r="CQ374">
            <v>41200</v>
          </cell>
          <cell r="CR374">
            <v>11127.69</v>
          </cell>
          <cell r="CS374">
            <v>27.008956310679611</v>
          </cell>
          <cell r="CX374">
            <v>0</v>
          </cell>
          <cell r="CY374">
            <v>5224</v>
          </cell>
          <cell r="CZ374">
            <v>1400.932</v>
          </cell>
          <cell r="DA374">
            <v>26.817228177641656</v>
          </cell>
          <cell r="DF374">
            <v>0</v>
          </cell>
          <cell r="DG374">
            <v>16500</v>
          </cell>
          <cell r="DH374">
            <v>3217.5</v>
          </cell>
          <cell r="DI374">
            <v>19.5</v>
          </cell>
          <cell r="DN374">
            <v>0</v>
          </cell>
          <cell r="DO374">
            <v>14600</v>
          </cell>
          <cell r="DP374">
            <v>3177.7</v>
          </cell>
          <cell r="DQ374">
            <v>21.765068493150682</v>
          </cell>
          <cell r="DV374">
            <v>0</v>
          </cell>
          <cell r="DW374">
            <v>26600</v>
          </cell>
          <cell r="DX374">
            <v>7949.99</v>
          </cell>
          <cell r="DY374">
            <v>29.887180451127822</v>
          </cell>
        </row>
        <row r="375">
          <cell r="F375">
            <v>0</v>
          </cell>
          <cell r="G375">
            <v>4020</v>
          </cell>
          <cell r="H375">
            <v>834</v>
          </cell>
          <cell r="I375">
            <v>20.746268656716417</v>
          </cell>
          <cell r="O375">
            <v>0</v>
          </cell>
          <cell r="P375">
            <v>0</v>
          </cell>
          <cell r="U375">
            <v>0</v>
          </cell>
          <cell r="V375">
            <v>0</v>
          </cell>
          <cell r="AA375">
            <v>320</v>
          </cell>
          <cell r="AB375">
            <v>64</v>
          </cell>
          <cell r="AG375">
            <v>560</v>
          </cell>
          <cell r="AH375">
            <v>112</v>
          </cell>
          <cell r="AM375">
            <v>400</v>
          </cell>
          <cell r="AN375">
            <v>110</v>
          </cell>
          <cell r="AS375">
            <v>1140</v>
          </cell>
          <cell r="AT375">
            <v>228</v>
          </cell>
          <cell r="AX375">
            <v>0</v>
          </cell>
          <cell r="AY375">
            <v>2420</v>
          </cell>
          <cell r="AZ375">
            <v>514</v>
          </cell>
          <cell r="BA375">
            <v>21.239669421487601</v>
          </cell>
          <cell r="BG375">
            <v>0</v>
          </cell>
          <cell r="BH375">
            <v>0</v>
          </cell>
          <cell r="BM375">
            <v>0</v>
          </cell>
          <cell r="BN375">
            <v>0</v>
          </cell>
          <cell r="BS375">
            <v>800</v>
          </cell>
          <cell r="BT375">
            <v>160</v>
          </cell>
          <cell r="BY375">
            <v>0</v>
          </cell>
          <cell r="BZ375">
            <v>0</v>
          </cell>
          <cell r="CE375">
            <v>200</v>
          </cell>
          <cell r="CF375">
            <v>40</v>
          </cell>
          <cell r="CK375">
            <v>600</v>
          </cell>
          <cell r="CL375">
            <v>120</v>
          </cell>
          <cell r="CP375">
            <v>0</v>
          </cell>
          <cell r="CQ375">
            <v>1600</v>
          </cell>
          <cell r="CR375">
            <v>320</v>
          </cell>
          <cell r="CS375">
            <v>20</v>
          </cell>
          <cell r="CX375">
            <v>0</v>
          </cell>
          <cell r="CY375">
            <v>320</v>
          </cell>
          <cell r="CZ375">
            <v>64</v>
          </cell>
          <cell r="DA375">
            <v>20</v>
          </cell>
          <cell r="DF375">
            <v>0</v>
          </cell>
          <cell r="DG375">
            <v>2100</v>
          </cell>
          <cell r="DH375">
            <v>450</v>
          </cell>
          <cell r="DI375">
            <v>21.428571428571427</v>
          </cell>
          <cell r="DN375">
            <v>0</v>
          </cell>
          <cell r="DO375">
            <v>800</v>
          </cell>
          <cell r="DP375">
            <v>160</v>
          </cell>
          <cell r="DQ375">
            <v>20</v>
          </cell>
          <cell r="DV375">
            <v>0</v>
          </cell>
          <cell r="DW375">
            <v>800</v>
          </cell>
          <cell r="DX375">
            <v>160</v>
          </cell>
          <cell r="DY375">
            <v>20</v>
          </cell>
        </row>
        <row r="376">
          <cell r="F376">
            <v>0</v>
          </cell>
          <cell r="G376">
            <v>3500</v>
          </cell>
          <cell r="H376">
            <v>826</v>
          </cell>
          <cell r="I376">
            <v>23.599999999999998</v>
          </cell>
          <cell r="O376">
            <v>0</v>
          </cell>
          <cell r="P376">
            <v>0</v>
          </cell>
          <cell r="U376">
            <v>0</v>
          </cell>
          <cell r="V376">
            <v>0</v>
          </cell>
          <cell r="AA376">
            <v>0</v>
          </cell>
          <cell r="AB376">
            <v>0</v>
          </cell>
          <cell r="AG376">
            <v>0</v>
          </cell>
          <cell r="AH376">
            <v>0</v>
          </cell>
          <cell r="AM376">
            <v>700</v>
          </cell>
          <cell r="AN376">
            <v>266</v>
          </cell>
          <cell r="AS376">
            <v>0</v>
          </cell>
          <cell r="AT376">
            <v>0</v>
          </cell>
          <cell r="AX376">
            <v>0</v>
          </cell>
          <cell r="AY376">
            <v>700</v>
          </cell>
          <cell r="AZ376">
            <v>266</v>
          </cell>
          <cell r="BA376">
            <v>38</v>
          </cell>
          <cell r="BG376">
            <v>0</v>
          </cell>
          <cell r="BH376">
            <v>0</v>
          </cell>
          <cell r="BM376">
            <v>0</v>
          </cell>
          <cell r="BN376">
            <v>0</v>
          </cell>
          <cell r="BS376">
            <v>150</v>
          </cell>
          <cell r="BT376">
            <v>30</v>
          </cell>
          <cell r="BY376">
            <v>400</v>
          </cell>
          <cell r="BZ376">
            <v>80</v>
          </cell>
          <cell r="CE376">
            <v>1100</v>
          </cell>
          <cell r="CF376">
            <v>220</v>
          </cell>
          <cell r="CK376">
            <v>1150</v>
          </cell>
          <cell r="CL376">
            <v>230</v>
          </cell>
          <cell r="CP376">
            <v>0</v>
          </cell>
          <cell r="CQ376">
            <v>2800</v>
          </cell>
          <cell r="CR376">
            <v>560</v>
          </cell>
          <cell r="CS376">
            <v>20</v>
          </cell>
          <cell r="CX376">
            <v>0</v>
          </cell>
          <cell r="CY376">
            <v>0</v>
          </cell>
          <cell r="CZ376">
            <v>0</v>
          </cell>
          <cell r="DA376">
            <v>0</v>
          </cell>
          <cell r="DF376">
            <v>0</v>
          </cell>
          <cell r="DG376">
            <v>700</v>
          </cell>
          <cell r="DH376">
            <v>266</v>
          </cell>
          <cell r="DI376">
            <v>38</v>
          </cell>
          <cell r="DN376">
            <v>0</v>
          </cell>
          <cell r="DO376">
            <v>150</v>
          </cell>
          <cell r="DP376">
            <v>30</v>
          </cell>
          <cell r="DQ376">
            <v>20</v>
          </cell>
          <cell r="DV376">
            <v>0</v>
          </cell>
          <cell r="DW376">
            <v>2650</v>
          </cell>
          <cell r="DX376">
            <v>530</v>
          </cell>
          <cell r="DY376">
            <v>20</v>
          </cell>
        </row>
        <row r="377">
          <cell r="F377">
            <v>0</v>
          </cell>
          <cell r="G377">
            <v>0</v>
          </cell>
          <cell r="H377">
            <v>0</v>
          </cell>
          <cell r="I377">
            <v>0</v>
          </cell>
          <cell r="AA377">
            <v>0</v>
          </cell>
          <cell r="AB377">
            <v>0</v>
          </cell>
          <cell r="AG377">
            <v>0</v>
          </cell>
          <cell r="AH377">
            <v>0</v>
          </cell>
          <cell r="AM377">
            <v>0</v>
          </cell>
          <cell r="AN377">
            <v>0</v>
          </cell>
          <cell r="AX377">
            <v>0</v>
          </cell>
          <cell r="AY377">
            <v>0</v>
          </cell>
          <cell r="AZ377">
            <v>0</v>
          </cell>
          <cell r="BA377">
            <v>0</v>
          </cell>
          <cell r="BM377">
            <v>0</v>
          </cell>
          <cell r="BN377">
            <v>0</v>
          </cell>
          <cell r="BS377">
            <v>0</v>
          </cell>
          <cell r="BT377">
            <v>0</v>
          </cell>
          <cell r="CP377">
            <v>0</v>
          </cell>
          <cell r="CQ377">
            <v>0</v>
          </cell>
          <cell r="CR377">
            <v>0</v>
          </cell>
          <cell r="CS377">
            <v>0</v>
          </cell>
          <cell r="CX377">
            <v>0</v>
          </cell>
          <cell r="CY377">
            <v>0</v>
          </cell>
          <cell r="CZ377">
            <v>0</v>
          </cell>
          <cell r="DA377">
            <v>0</v>
          </cell>
          <cell r="DF377">
            <v>0</v>
          </cell>
          <cell r="DG377">
            <v>0</v>
          </cell>
          <cell r="DH377">
            <v>0</v>
          </cell>
          <cell r="DI377">
            <v>0</v>
          </cell>
          <cell r="DN377">
            <v>0</v>
          </cell>
          <cell r="DO377">
            <v>0</v>
          </cell>
          <cell r="DP377">
            <v>0</v>
          </cell>
          <cell r="DQ377">
            <v>0</v>
          </cell>
          <cell r="DV377">
            <v>0</v>
          </cell>
          <cell r="DW377">
            <v>0</v>
          </cell>
          <cell r="DX377">
            <v>0</v>
          </cell>
          <cell r="DY377">
            <v>0</v>
          </cell>
        </row>
        <row r="378">
          <cell r="F378">
            <v>0</v>
          </cell>
          <cell r="G378">
            <v>7908</v>
          </cell>
          <cell r="H378">
            <v>521.04330000000004</v>
          </cell>
          <cell r="I378">
            <v>6.5888125948406682</v>
          </cell>
          <cell r="O378">
            <v>154</v>
          </cell>
          <cell r="P378">
            <v>7.7</v>
          </cell>
          <cell r="U378">
            <v>617</v>
          </cell>
          <cell r="V378">
            <v>30.85</v>
          </cell>
          <cell r="AA378">
            <v>0</v>
          </cell>
          <cell r="AB378">
            <v>0</v>
          </cell>
          <cell r="AG378">
            <v>0</v>
          </cell>
          <cell r="AH378">
            <v>0</v>
          </cell>
          <cell r="AM378">
            <v>0</v>
          </cell>
          <cell r="AN378">
            <v>0</v>
          </cell>
          <cell r="AS378">
            <v>323</v>
          </cell>
          <cell r="AT378">
            <v>16.149999999999999</v>
          </cell>
          <cell r="AX378">
            <v>0</v>
          </cell>
          <cell r="AY378">
            <v>1094</v>
          </cell>
          <cell r="AZ378">
            <v>54.7</v>
          </cell>
          <cell r="BA378">
            <v>5</v>
          </cell>
          <cell r="BG378">
            <v>246</v>
          </cell>
          <cell r="BH378">
            <v>12.3</v>
          </cell>
          <cell r="BM378">
            <v>0</v>
          </cell>
          <cell r="BN378">
            <v>0</v>
          </cell>
          <cell r="BS378">
            <v>0</v>
          </cell>
          <cell r="BT378">
            <v>0</v>
          </cell>
          <cell r="BY378">
            <v>3627</v>
          </cell>
          <cell r="BZ378">
            <v>248.131</v>
          </cell>
          <cell r="CE378">
            <v>378</v>
          </cell>
          <cell r="CF378">
            <v>18.899999999999999</v>
          </cell>
          <cell r="CK378">
            <v>2563</v>
          </cell>
          <cell r="CL378">
            <v>187.01229999999998</v>
          </cell>
          <cell r="CP378">
            <v>0</v>
          </cell>
          <cell r="CQ378">
            <v>6814</v>
          </cell>
          <cell r="CR378">
            <v>466.3433</v>
          </cell>
          <cell r="CS378">
            <v>6.8438993249192839</v>
          </cell>
          <cell r="CX378">
            <v>0</v>
          </cell>
          <cell r="CY378">
            <v>771</v>
          </cell>
          <cell r="CZ378">
            <v>38.550000000000004</v>
          </cell>
          <cell r="DA378">
            <v>5</v>
          </cell>
          <cell r="DF378">
            <v>0</v>
          </cell>
          <cell r="DG378">
            <v>323</v>
          </cell>
          <cell r="DH378">
            <v>16.149999999999999</v>
          </cell>
          <cell r="DI378">
            <v>5</v>
          </cell>
          <cell r="DN378">
            <v>0</v>
          </cell>
          <cell r="DO378">
            <v>246</v>
          </cell>
          <cell r="DP378">
            <v>12.3</v>
          </cell>
          <cell r="DQ378">
            <v>5</v>
          </cell>
          <cell r="DV378">
            <v>0</v>
          </cell>
          <cell r="DW378">
            <v>6568</v>
          </cell>
          <cell r="DX378">
            <v>454.04329999999999</v>
          </cell>
          <cell r="DY378">
            <v>6.9129613276492083</v>
          </cell>
        </row>
        <row r="379">
          <cell r="F379">
            <v>0</v>
          </cell>
          <cell r="G379">
            <v>8928</v>
          </cell>
          <cell r="H379">
            <v>1785.1</v>
          </cell>
          <cell r="I379">
            <v>19.994399641577061</v>
          </cell>
          <cell r="O379">
            <v>0</v>
          </cell>
          <cell r="P379">
            <v>0</v>
          </cell>
          <cell r="U379">
            <v>48</v>
          </cell>
          <cell r="V379">
            <v>9.6</v>
          </cell>
          <cell r="AA379">
            <v>230</v>
          </cell>
          <cell r="AB379">
            <v>39.5</v>
          </cell>
          <cell r="AG379">
            <v>150</v>
          </cell>
          <cell r="AH379">
            <v>30</v>
          </cell>
          <cell r="AM379">
            <v>570</v>
          </cell>
          <cell r="AN379">
            <v>120</v>
          </cell>
          <cell r="AS379">
            <v>880</v>
          </cell>
          <cell r="AT379">
            <v>176</v>
          </cell>
          <cell r="AX379">
            <v>0</v>
          </cell>
          <cell r="AY379">
            <v>1878</v>
          </cell>
          <cell r="AZ379">
            <v>375.1</v>
          </cell>
          <cell r="BA379">
            <v>19.973375931842384</v>
          </cell>
          <cell r="BG379">
            <v>2320</v>
          </cell>
          <cell r="BH379">
            <v>464</v>
          </cell>
          <cell r="BM379">
            <v>380</v>
          </cell>
          <cell r="BN379">
            <v>76</v>
          </cell>
          <cell r="BS379">
            <v>500</v>
          </cell>
          <cell r="BT379">
            <v>100</v>
          </cell>
          <cell r="BY379">
            <v>250</v>
          </cell>
          <cell r="BZ379">
            <v>50</v>
          </cell>
          <cell r="CE379">
            <v>1400</v>
          </cell>
          <cell r="CF379">
            <v>280</v>
          </cell>
          <cell r="CK379">
            <v>2200</v>
          </cell>
          <cell r="CL379">
            <v>440</v>
          </cell>
          <cell r="CP379">
            <v>0</v>
          </cell>
          <cell r="CQ379">
            <v>7050</v>
          </cell>
          <cell r="CR379">
            <v>1410</v>
          </cell>
          <cell r="CS379">
            <v>20</v>
          </cell>
          <cell r="CX379">
            <v>0</v>
          </cell>
          <cell r="CY379">
            <v>278</v>
          </cell>
          <cell r="CZ379">
            <v>49.1</v>
          </cell>
          <cell r="DA379">
            <v>17.661870503597125</v>
          </cell>
          <cell r="DF379">
            <v>0</v>
          </cell>
          <cell r="DG379">
            <v>1600</v>
          </cell>
          <cell r="DH379">
            <v>326</v>
          </cell>
          <cell r="DI379">
            <v>20.375</v>
          </cell>
          <cell r="DN379">
            <v>0</v>
          </cell>
          <cell r="DO379">
            <v>3200</v>
          </cell>
          <cell r="DP379">
            <v>640</v>
          </cell>
          <cell r="DQ379">
            <v>20</v>
          </cell>
          <cell r="DV379">
            <v>0</v>
          </cell>
          <cell r="DW379">
            <v>3850</v>
          </cell>
          <cell r="DX379">
            <v>770</v>
          </cell>
          <cell r="DY379">
            <v>20</v>
          </cell>
        </row>
        <row r="380">
          <cell r="F380">
            <v>0</v>
          </cell>
          <cell r="G380">
            <v>7267</v>
          </cell>
          <cell r="H380">
            <v>1315.327</v>
          </cell>
          <cell r="I380">
            <v>18.099999999999998</v>
          </cell>
          <cell r="O380">
            <v>78</v>
          </cell>
          <cell r="P380">
            <v>14.118000000000002</v>
          </cell>
          <cell r="U380">
            <v>90</v>
          </cell>
          <cell r="V380">
            <v>16.29</v>
          </cell>
          <cell r="AA380">
            <v>159</v>
          </cell>
          <cell r="AB380">
            <v>28.779000000000003</v>
          </cell>
          <cell r="AG380">
            <v>800</v>
          </cell>
          <cell r="AH380">
            <v>144.80000000000001</v>
          </cell>
          <cell r="AM380">
            <v>650</v>
          </cell>
          <cell r="AN380">
            <v>117.65</v>
          </cell>
          <cell r="AS380">
            <v>640</v>
          </cell>
          <cell r="AT380">
            <v>115.84</v>
          </cell>
          <cell r="AX380">
            <v>0</v>
          </cell>
          <cell r="AY380">
            <v>2417</v>
          </cell>
          <cell r="AZ380">
            <v>437.47700000000003</v>
          </cell>
          <cell r="BA380">
            <v>18.100000000000001</v>
          </cell>
          <cell r="BG380">
            <v>420</v>
          </cell>
          <cell r="BH380">
            <v>76.02</v>
          </cell>
          <cell r="BM380">
            <v>470</v>
          </cell>
          <cell r="BN380">
            <v>85.07</v>
          </cell>
          <cell r="BS380">
            <v>610</v>
          </cell>
          <cell r="BT380">
            <v>110.41</v>
          </cell>
          <cell r="BY380">
            <v>710</v>
          </cell>
          <cell r="BZ380">
            <v>128.51</v>
          </cell>
          <cell r="CE380">
            <v>800</v>
          </cell>
          <cell r="CF380">
            <v>144.80000000000001</v>
          </cell>
          <cell r="CK380">
            <v>1840</v>
          </cell>
          <cell r="CL380">
            <v>333.04</v>
          </cell>
          <cell r="CP380">
            <v>0</v>
          </cell>
          <cell r="CQ380">
            <v>4850</v>
          </cell>
          <cell r="CR380">
            <v>877.84999999999991</v>
          </cell>
          <cell r="CS380">
            <v>18.099999999999998</v>
          </cell>
          <cell r="CX380">
            <v>0</v>
          </cell>
          <cell r="CY380">
            <v>327</v>
          </cell>
          <cell r="CZ380">
            <v>59.187000000000005</v>
          </cell>
          <cell r="DA380">
            <v>18.100000000000001</v>
          </cell>
          <cell r="DF380">
            <v>0</v>
          </cell>
          <cell r="DG380">
            <v>2090</v>
          </cell>
          <cell r="DH380">
            <v>378.29000000000008</v>
          </cell>
          <cell r="DI380">
            <v>18.100000000000005</v>
          </cell>
          <cell r="DN380">
            <v>0</v>
          </cell>
          <cell r="DO380">
            <v>1500</v>
          </cell>
          <cell r="DP380">
            <v>271.5</v>
          </cell>
          <cell r="DQ380">
            <v>18.099999999999998</v>
          </cell>
          <cell r="DV380">
            <v>0</v>
          </cell>
          <cell r="DW380">
            <v>3350</v>
          </cell>
          <cell r="DX380">
            <v>606.35</v>
          </cell>
          <cell r="DY380">
            <v>18.099999999999998</v>
          </cell>
        </row>
        <row r="381">
          <cell r="F381">
            <v>0</v>
          </cell>
          <cell r="G381">
            <v>2597</v>
          </cell>
          <cell r="H381">
            <v>519.4</v>
          </cell>
          <cell r="I381">
            <v>20</v>
          </cell>
          <cell r="O381">
            <v>0</v>
          </cell>
          <cell r="P381">
            <v>0</v>
          </cell>
          <cell r="U381">
            <v>0</v>
          </cell>
          <cell r="V381">
            <v>0</v>
          </cell>
          <cell r="AA381">
            <v>201</v>
          </cell>
          <cell r="AB381">
            <v>40.200000000000003</v>
          </cell>
          <cell r="AG381">
            <v>185</v>
          </cell>
          <cell r="AH381">
            <v>37</v>
          </cell>
          <cell r="AM381">
            <v>361</v>
          </cell>
          <cell r="AN381">
            <v>72.2</v>
          </cell>
          <cell r="AS381">
            <v>500</v>
          </cell>
          <cell r="AT381">
            <v>100</v>
          </cell>
          <cell r="AX381">
            <v>0</v>
          </cell>
          <cell r="AY381">
            <v>1247</v>
          </cell>
          <cell r="AZ381">
            <v>249.39999999999998</v>
          </cell>
          <cell r="BA381">
            <v>20</v>
          </cell>
          <cell r="BG381">
            <v>350</v>
          </cell>
          <cell r="BH381">
            <v>70</v>
          </cell>
          <cell r="BM381">
            <v>400</v>
          </cell>
          <cell r="BN381">
            <v>80</v>
          </cell>
          <cell r="BS381">
            <v>300</v>
          </cell>
          <cell r="BT381">
            <v>60</v>
          </cell>
          <cell r="BY381">
            <v>0</v>
          </cell>
          <cell r="BZ381">
            <v>0</v>
          </cell>
          <cell r="CE381">
            <v>100</v>
          </cell>
          <cell r="CF381">
            <v>20</v>
          </cell>
          <cell r="CK381">
            <v>200</v>
          </cell>
          <cell r="CL381">
            <v>40</v>
          </cell>
          <cell r="CP381">
            <v>0</v>
          </cell>
          <cell r="CQ381">
            <v>1350</v>
          </cell>
          <cell r="CR381">
            <v>270</v>
          </cell>
          <cell r="CS381">
            <v>20</v>
          </cell>
          <cell r="CX381">
            <v>0</v>
          </cell>
          <cell r="CY381">
            <v>201</v>
          </cell>
          <cell r="CZ381">
            <v>40.200000000000003</v>
          </cell>
          <cell r="DA381">
            <v>20</v>
          </cell>
          <cell r="DF381">
            <v>0</v>
          </cell>
          <cell r="DG381">
            <v>1046</v>
          </cell>
          <cell r="DH381">
            <v>209.2</v>
          </cell>
          <cell r="DI381">
            <v>20</v>
          </cell>
          <cell r="DN381">
            <v>0</v>
          </cell>
          <cell r="DO381">
            <v>1050</v>
          </cell>
          <cell r="DP381">
            <v>210</v>
          </cell>
          <cell r="DQ381">
            <v>20</v>
          </cell>
          <cell r="DV381">
            <v>0</v>
          </cell>
          <cell r="DW381">
            <v>300</v>
          </cell>
          <cell r="DX381">
            <v>60</v>
          </cell>
          <cell r="DY381">
            <v>20</v>
          </cell>
        </row>
        <row r="382">
          <cell r="F382">
            <v>0</v>
          </cell>
          <cell r="G382">
            <v>6000</v>
          </cell>
          <cell r="H382">
            <v>1437.559</v>
          </cell>
          <cell r="I382">
            <v>23.959316666666666</v>
          </cell>
          <cell r="O382">
            <v>13</v>
          </cell>
          <cell r="P382">
            <v>4.03</v>
          </cell>
          <cell r="U382">
            <v>690</v>
          </cell>
          <cell r="V382">
            <v>149.99400000000003</v>
          </cell>
          <cell r="AA382">
            <v>1672</v>
          </cell>
          <cell r="AB382">
            <v>401.78</v>
          </cell>
          <cell r="AG382">
            <v>327</v>
          </cell>
          <cell r="AH382">
            <v>61.443000000000012</v>
          </cell>
          <cell r="AM382">
            <v>872</v>
          </cell>
          <cell r="AN382">
            <v>286.846</v>
          </cell>
          <cell r="AS382">
            <v>140</v>
          </cell>
          <cell r="AT382">
            <v>28.98</v>
          </cell>
          <cell r="AX382">
            <v>0</v>
          </cell>
          <cell r="AY382">
            <v>3714</v>
          </cell>
          <cell r="AZ382">
            <v>933.07299999999998</v>
          </cell>
          <cell r="BA382">
            <v>25.123128702207865</v>
          </cell>
          <cell r="BG382">
            <v>525</v>
          </cell>
          <cell r="BH382">
            <v>108.675</v>
          </cell>
          <cell r="BM382">
            <v>993</v>
          </cell>
          <cell r="BN382">
            <v>236.83500000000001</v>
          </cell>
          <cell r="BS382">
            <v>0</v>
          </cell>
          <cell r="BT382">
            <v>0</v>
          </cell>
          <cell r="BY382">
            <v>345</v>
          </cell>
          <cell r="BZ382">
            <v>71.415000000000006</v>
          </cell>
          <cell r="CE382">
            <v>248</v>
          </cell>
          <cell r="CF382">
            <v>51.335999999999999</v>
          </cell>
          <cell r="CK382">
            <v>175</v>
          </cell>
          <cell r="CL382">
            <v>36.225000000000001</v>
          </cell>
          <cell r="CP382">
            <v>0</v>
          </cell>
          <cell r="CQ382">
            <v>2286</v>
          </cell>
          <cell r="CR382">
            <v>504.48600000000005</v>
          </cell>
          <cell r="CS382">
            <v>22.068503937007875</v>
          </cell>
          <cell r="CX382">
            <v>0</v>
          </cell>
          <cell r="CY382">
            <v>2375</v>
          </cell>
          <cell r="CZ382">
            <v>555.80399999999997</v>
          </cell>
          <cell r="DA382">
            <v>23.402273684210524</v>
          </cell>
          <cell r="DF382">
            <v>0</v>
          </cell>
          <cell r="DG382">
            <v>1339</v>
          </cell>
          <cell r="DH382">
            <v>377.26900000000001</v>
          </cell>
          <cell r="DI382">
            <v>28.175429424943989</v>
          </cell>
          <cell r="DN382">
            <v>0</v>
          </cell>
          <cell r="DO382">
            <v>1518</v>
          </cell>
          <cell r="DP382">
            <v>345.51</v>
          </cell>
          <cell r="DQ382">
            <v>22.760869565217391</v>
          </cell>
          <cell r="DV382">
            <v>0</v>
          </cell>
          <cell r="DW382">
            <v>768</v>
          </cell>
          <cell r="DX382">
            <v>158.976</v>
          </cell>
          <cell r="DY382">
            <v>20.7</v>
          </cell>
        </row>
        <row r="383">
          <cell r="F383">
            <v>0</v>
          </cell>
          <cell r="G383">
            <v>3009</v>
          </cell>
          <cell r="H383">
            <v>300.90000000000003</v>
          </cell>
          <cell r="I383">
            <v>10</v>
          </cell>
          <cell r="O383">
            <v>0</v>
          </cell>
          <cell r="P383">
            <v>0</v>
          </cell>
          <cell r="U383">
            <v>0</v>
          </cell>
          <cell r="V383">
            <v>0</v>
          </cell>
          <cell r="AA383">
            <v>0</v>
          </cell>
          <cell r="AB383">
            <v>0</v>
          </cell>
          <cell r="AG383">
            <v>0</v>
          </cell>
          <cell r="AH383">
            <v>0</v>
          </cell>
          <cell r="AM383">
            <v>1938</v>
          </cell>
          <cell r="AN383">
            <v>193.8</v>
          </cell>
          <cell r="AS383">
            <v>0</v>
          </cell>
          <cell r="AT383">
            <v>0</v>
          </cell>
          <cell r="AX383">
            <v>0</v>
          </cell>
          <cell r="AY383">
            <v>1938</v>
          </cell>
          <cell r="AZ383">
            <v>193.8</v>
          </cell>
          <cell r="BA383">
            <v>10</v>
          </cell>
          <cell r="BG383">
            <v>109</v>
          </cell>
          <cell r="BH383">
            <v>10.9</v>
          </cell>
          <cell r="BM383">
            <v>0</v>
          </cell>
          <cell r="BN383">
            <v>0</v>
          </cell>
          <cell r="BS383">
            <v>0</v>
          </cell>
          <cell r="BT383">
            <v>0</v>
          </cell>
          <cell r="BY383">
            <v>962</v>
          </cell>
          <cell r="BZ383">
            <v>96.2</v>
          </cell>
          <cell r="CE383">
            <v>0</v>
          </cell>
          <cell r="CF383">
            <v>0</v>
          </cell>
          <cell r="CK383">
            <v>0</v>
          </cell>
          <cell r="CL383">
            <v>0</v>
          </cell>
          <cell r="CP383">
            <v>0</v>
          </cell>
          <cell r="CQ383">
            <v>1071</v>
          </cell>
          <cell r="CR383">
            <v>107.10000000000001</v>
          </cell>
          <cell r="CS383">
            <v>10</v>
          </cell>
          <cell r="CX383">
            <v>0</v>
          </cell>
          <cell r="CY383">
            <v>0</v>
          </cell>
          <cell r="CZ383">
            <v>0</v>
          </cell>
          <cell r="DA383">
            <v>0</v>
          </cell>
          <cell r="DF383">
            <v>0</v>
          </cell>
          <cell r="DG383">
            <v>1938</v>
          </cell>
          <cell r="DH383">
            <v>193.8</v>
          </cell>
          <cell r="DI383">
            <v>10</v>
          </cell>
          <cell r="DN383">
            <v>0</v>
          </cell>
          <cell r="DO383">
            <v>109</v>
          </cell>
          <cell r="DP383">
            <v>10.9</v>
          </cell>
          <cell r="DQ383">
            <v>10</v>
          </cell>
          <cell r="DV383">
            <v>0</v>
          </cell>
          <cell r="DW383">
            <v>962</v>
          </cell>
          <cell r="DX383">
            <v>96.2</v>
          </cell>
          <cell r="DY383">
            <v>10</v>
          </cell>
        </row>
        <row r="384">
          <cell r="F384">
            <v>0</v>
          </cell>
          <cell r="G384">
            <v>106153</v>
          </cell>
          <cell r="H384">
            <v>23285.451300000008</v>
          </cell>
          <cell r="I384">
            <v>21.935744915358029</v>
          </cell>
          <cell r="N384">
            <v>0</v>
          </cell>
          <cell r="O384">
            <v>339</v>
          </cell>
          <cell r="P384">
            <v>46.81</v>
          </cell>
          <cell r="T384">
            <v>0</v>
          </cell>
          <cell r="U384">
            <v>1445</v>
          </cell>
          <cell r="V384">
            <v>206.73400000000004</v>
          </cell>
          <cell r="Z384">
            <v>0</v>
          </cell>
          <cell r="AA384">
            <v>7712</v>
          </cell>
          <cell r="AB384">
            <v>1954.229</v>
          </cell>
          <cell r="AF384">
            <v>0</v>
          </cell>
          <cell r="AG384">
            <v>4022</v>
          </cell>
          <cell r="AH384">
            <v>885.24299999999994</v>
          </cell>
          <cell r="AL384">
            <v>0</v>
          </cell>
          <cell r="AM384">
            <v>14991</v>
          </cell>
          <cell r="AN384">
            <v>2686.4960000000001</v>
          </cell>
          <cell r="AR384">
            <v>0</v>
          </cell>
          <cell r="AS384">
            <v>8623</v>
          </cell>
          <cell r="AT384">
            <v>1862.47</v>
          </cell>
          <cell r="AX384">
            <v>0</v>
          </cell>
          <cell r="AY384">
            <v>37132</v>
          </cell>
          <cell r="AZ384">
            <v>7641.9820000000009</v>
          </cell>
          <cell r="BA384">
            <v>20.580582785737374</v>
          </cell>
          <cell r="BF384">
            <v>0</v>
          </cell>
          <cell r="BG384">
            <v>3970</v>
          </cell>
          <cell r="BH384">
            <v>741.89499999999998</v>
          </cell>
          <cell r="BL384">
            <v>0</v>
          </cell>
          <cell r="BM384">
            <v>11943</v>
          </cell>
          <cell r="BN384">
            <v>2358.4049999999997</v>
          </cell>
          <cell r="BR384">
            <v>0</v>
          </cell>
          <cell r="BS384">
            <v>7260</v>
          </cell>
          <cell r="BT384">
            <v>1757.6100000000001</v>
          </cell>
          <cell r="BX384">
            <v>0</v>
          </cell>
          <cell r="BY384">
            <v>16294</v>
          </cell>
          <cell r="BZ384">
            <v>2674.2559999999994</v>
          </cell>
          <cell r="CD384">
            <v>0</v>
          </cell>
          <cell r="CE384">
            <v>10826</v>
          </cell>
          <cell r="CF384">
            <v>2062.0360000000001</v>
          </cell>
          <cell r="CJ384">
            <v>0</v>
          </cell>
          <cell r="CK384">
            <v>18728</v>
          </cell>
          <cell r="CL384">
            <v>6049.2673000000004</v>
          </cell>
          <cell r="CP384">
            <v>0</v>
          </cell>
          <cell r="CQ384">
            <v>69021</v>
          </cell>
          <cell r="CR384">
            <v>15643.469300000002</v>
          </cell>
          <cell r="CS384">
            <v>22.664796656090182</v>
          </cell>
          <cell r="CX384">
            <v>0</v>
          </cell>
          <cell r="CY384">
            <v>9496</v>
          </cell>
          <cell r="CZ384">
            <v>2207.7729999999997</v>
          </cell>
          <cell r="DA384">
            <v>23.249505054759894</v>
          </cell>
          <cell r="DF384">
            <v>0</v>
          </cell>
          <cell r="DG384">
            <v>27636</v>
          </cell>
          <cell r="DH384">
            <v>5434.2089999999998</v>
          </cell>
          <cell r="DI384">
            <v>19.66351498046027</v>
          </cell>
          <cell r="DN384">
            <v>0</v>
          </cell>
          <cell r="DO384">
            <v>23173</v>
          </cell>
          <cell r="DP384">
            <v>4857.91</v>
          </cell>
          <cell r="DQ384">
            <v>20.963664609675053</v>
          </cell>
          <cell r="DV384">
            <v>0</v>
          </cell>
          <cell r="DW384">
            <v>45848</v>
          </cell>
          <cell r="DX384">
            <v>10785.559300000001</v>
          </cell>
          <cell r="DY384">
            <v>23.524601509335199</v>
          </cell>
        </row>
        <row r="385">
          <cell r="F385">
            <v>0</v>
          </cell>
          <cell r="G385">
            <v>8133</v>
          </cell>
          <cell r="H385">
            <v>590</v>
          </cell>
          <cell r="I385">
            <v>7.2543956719537688</v>
          </cell>
          <cell r="O385">
            <v>154</v>
          </cell>
          <cell r="P385">
            <v>8</v>
          </cell>
          <cell r="U385">
            <v>617</v>
          </cell>
          <cell r="V385">
            <v>31</v>
          </cell>
          <cell r="AA385">
            <v>140</v>
          </cell>
          <cell r="AB385">
            <v>44</v>
          </cell>
          <cell r="AG385">
            <v>85</v>
          </cell>
          <cell r="AH385">
            <v>25</v>
          </cell>
          <cell r="AS385">
            <v>323</v>
          </cell>
          <cell r="AT385">
            <v>16</v>
          </cell>
          <cell r="AX385">
            <v>0</v>
          </cell>
          <cell r="AY385">
            <v>1319</v>
          </cell>
          <cell r="AZ385">
            <v>124</v>
          </cell>
          <cell r="BA385">
            <v>9.4010614101592118</v>
          </cell>
          <cell r="BG385">
            <v>246</v>
          </cell>
          <cell r="BH385">
            <v>12</v>
          </cell>
          <cell r="BY385">
            <v>3627</v>
          </cell>
          <cell r="BZ385">
            <v>248</v>
          </cell>
          <cell r="CE385">
            <v>378</v>
          </cell>
          <cell r="CF385">
            <v>19</v>
          </cell>
          <cell r="CK385">
            <v>2563</v>
          </cell>
          <cell r="CL385">
            <v>187</v>
          </cell>
          <cell r="CP385">
            <v>0</v>
          </cell>
          <cell r="CQ385">
            <v>6814</v>
          </cell>
          <cell r="CR385">
            <v>466</v>
          </cell>
          <cell r="CS385">
            <v>6.8388611681831524</v>
          </cell>
          <cell r="CX385">
            <v>0</v>
          </cell>
          <cell r="CY385">
            <v>911</v>
          </cell>
          <cell r="CZ385">
            <v>83</v>
          </cell>
          <cell r="DA385">
            <v>9.1108671789242592</v>
          </cell>
          <cell r="DF385">
            <v>0</v>
          </cell>
          <cell r="DG385">
            <v>408</v>
          </cell>
          <cell r="DH385">
            <v>41</v>
          </cell>
          <cell r="DI385">
            <v>10.049019607843137</v>
          </cell>
          <cell r="DN385">
            <v>0</v>
          </cell>
          <cell r="DO385">
            <v>246</v>
          </cell>
          <cell r="DP385">
            <v>12</v>
          </cell>
          <cell r="DQ385">
            <v>4.8780487804878048</v>
          </cell>
          <cell r="DV385">
            <v>0</v>
          </cell>
          <cell r="DW385">
            <v>6568</v>
          </cell>
          <cell r="DX385">
            <v>454</v>
          </cell>
          <cell r="DY385">
            <v>6.9123020706455538</v>
          </cell>
        </row>
        <row r="386">
          <cell r="F386">
            <v>0</v>
          </cell>
          <cell r="G386">
            <v>17200</v>
          </cell>
          <cell r="H386">
            <v>2210.0360000000001</v>
          </cell>
          <cell r="I386">
            <v>12.849046511627908</v>
          </cell>
          <cell r="O386">
            <v>10</v>
          </cell>
          <cell r="P386">
            <v>3.79</v>
          </cell>
          <cell r="U386">
            <v>720</v>
          </cell>
          <cell r="V386">
            <v>139.25</v>
          </cell>
          <cell r="AA386">
            <v>2123</v>
          </cell>
          <cell r="AB386">
            <v>126.84100000000001</v>
          </cell>
          <cell r="AG386">
            <v>1424</v>
          </cell>
          <cell r="AH386">
            <v>271.95999999999998</v>
          </cell>
          <cell r="AM386">
            <v>580</v>
          </cell>
          <cell r="AN386">
            <v>108</v>
          </cell>
          <cell r="AS386">
            <v>3809</v>
          </cell>
          <cell r="AT386">
            <v>311.983</v>
          </cell>
          <cell r="AX386">
            <v>0</v>
          </cell>
          <cell r="AY386">
            <v>8666</v>
          </cell>
          <cell r="AZ386">
            <v>961.82399999999996</v>
          </cell>
          <cell r="BA386">
            <v>11.098822986383567</v>
          </cell>
          <cell r="BG386">
            <v>500</v>
          </cell>
          <cell r="BH386">
            <v>89</v>
          </cell>
          <cell r="BM386">
            <v>1048</v>
          </cell>
          <cell r="BN386">
            <v>168.67199999999997</v>
          </cell>
          <cell r="BS386">
            <v>2660</v>
          </cell>
          <cell r="BT386">
            <v>268.83999999999997</v>
          </cell>
          <cell r="BY386">
            <v>1580</v>
          </cell>
          <cell r="BZ386">
            <v>206.64</v>
          </cell>
          <cell r="CE386">
            <v>1150</v>
          </cell>
          <cell r="CF386">
            <v>246</v>
          </cell>
          <cell r="CK386">
            <v>1596</v>
          </cell>
          <cell r="CL386">
            <v>269.06</v>
          </cell>
          <cell r="CP386">
            <v>0</v>
          </cell>
          <cell r="CQ386">
            <v>8534</v>
          </cell>
          <cell r="CR386">
            <v>1248.212</v>
          </cell>
          <cell r="CS386">
            <v>14.626341692055309</v>
          </cell>
          <cell r="CX386">
            <v>0</v>
          </cell>
          <cell r="CY386">
            <v>2853</v>
          </cell>
          <cell r="CZ386">
            <v>269.88099999999997</v>
          </cell>
          <cell r="DA386">
            <v>9.4595513494567118</v>
          </cell>
          <cell r="DF386">
            <v>0</v>
          </cell>
          <cell r="DG386">
            <v>5813</v>
          </cell>
          <cell r="DH386">
            <v>691.94299999999998</v>
          </cell>
          <cell r="DI386">
            <v>11.903371752967487</v>
          </cell>
          <cell r="DN386">
            <v>0</v>
          </cell>
          <cell r="DO386">
            <v>4208</v>
          </cell>
          <cell r="DP386">
            <v>526.51199999999994</v>
          </cell>
          <cell r="DQ386">
            <v>12.512167300380227</v>
          </cell>
          <cell r="DV386">
            <v>0</v>
          </cell>
          <cell r="DW386">
            <v>4326</v>
          </cell>
          <cell r="DX386">
            <v>721.7</v>
          </cell>
          <cell r="DY386">
            <v>16.68284789644013</v>
          </cell>
        </row>
        <row r="387">
          <cell r="F387">
            <v>0</v>
          </cell>
          <cell r="G387">
            <v>12650</v>
          </cell>
          <cell r="H387">
            <v>2372.3330000000001</v>
          </cell>
          <cell r="I387">
            <v>18.753620553359685</v>
          </cell>
          <cell r="O387">
            <v>7</v>
          </cell>
          <cell r="P387">
            <v>1.968</v>
          </cell>
          <cell r="U387">
            <v>89</v>
          </cell>
          <cell r="V387">
            <v>11.013</v>
          </cell>
          <cell r="AA387">
            <v>769</v>
          </cell>
          <cell r="AB387">
            <v>134.161</v>
          </cell>
          <cell r="AG387">
            <v>609</v>
          </cell>
          <cell r="AH387">
            <v>123.35299999999999</v>
          </cell>
          <cell r="AM387">
            <v>1603</v>
          </cell>
          <cell r="AN387">
            <v>274.40100000000001</v>
          </cell>
          <cell r="AS387">
            <v>534</v>
          </cell>
          <cell r="AT387">
            <v>112.568</v>
          </cell>
          <cell r="AX387">
            <v>0</v>
          </cell>
          <cell r="AY387">
            <v>3611</v>
          </cell>
          <cell r="AZ387">
            <v>657.46399999999994</v>
          </cell>
          <cell r="BA387">
            <v>18.207255607864855</v>
          </cell>
          <cell r="BG387">
            <v>493</v>
          </cell>
          <cell r="BH387">
            <v>102.001</v>
          </cell>
          <cell r="BM387">
            <v>1374</v>
          </cell>
          <cell r="BN387">
            <v>250.16800000000003</v>
          </cell>
          <cell r="BS387">
            <v>590</v>
          </cell>
          <cell r="BT387">
            <v>114.2</v>
          </cell>
          <cell r="BY387">
            <v>1490</v>
          </cell>
          <cell r="BZ387">
            <v>251.3</v>
          </cell>
          <cell r="CE387">
            <v>3290</v>
          </cell>
          <cell r="CF387">
            <v>713.2</v>
          </cell>
          <cell r="CK387">
            <v>1802</v>
          </cell>
          <cell r="CL387">
            <v>284</v>
          </cell>
          <cell r="CP387">
            <v>0</v>
          </cell>
          <cell r="CQ387">
            <v>9039</v>
          </cell>
          <cell r="CR387">
            <v>1714.8690000000001</v>
          </cell>
          <cell r="CS387">
            <v>18.971888483239301</v>
          </cell>
          <cell r="CX387">
            <v>0</v>
          </cell>
          <cell r="CY387">
            <v>865</v>
          </cell>
          <cell r="CZ387">
            <v>147.142</v>
          </cell>
          <cell r="DA387">
            <v>17.010635838150289</v>
          </cell>
          <cell r="DF387">
            <v>0</v>
          </cell>
          <cell r="DG387">
            <v>2746</v>
          </cell>
          <cell r="DH387">
            <v>510.322</v>
          </cell>
          <cell r="DI387">
            <v>18.584195193008014</v>
          </cell>
          <cell r="DN387">
            <v>0</v>
          </cell>
          <cell r="DO387">
            <v>2457</v>
          </cell>
          <cell r="DP387">
            <v>466.36900000000003</v>
          </cell>
          <cell r="DQ387">
            <v>18.981237281237281</v>
          </cell>
          <cell r="DV387">
            <v>0</v>
          </cell>
          <cell r="DW387">
            <v>6582</v>
          </cell>
          <cell r="DX387">
            <v>1248.5</v>
          </cell>
          <cell r="DY387">
            <v>18.968398663020359</v>
          </cell>
        </row>
        <row r="388">
          <cell r="F388">
            <v>0</v>
          </cell>
          <cell r="G388">
            <v>7850</v>
          </cell>
          <cell r="H388">
            <v>1482.6560000000002</v>
          </cell>
          <cell r="I388">
            <v>18.887337579617835</v>
          </cell>
          <cell r="O388">
            <v>2</v>
          </cell>
          <cell r="P388">
            <v>1.42</v>
          </cell>
          <cell r="U388">
            <v>3</v>
          </cell>
          <cell r="V388">
            <v>2.13</v>
          </cell>
          <cell r="AA388">
            <v>0</v>
          </cell>
          <cell r="AB388">
            <v>0</v>
          </cell>
          <cell r="AG388">
            <v>198</v>
          </cell>
          <cell r="AH388">
            <v>29.7</v>
          </cell>
          <cell r="AM388">
            <v>22</v>
          </cell>
          <cell r="AN388">
            <v>3.3</v>
          </cell>
          <cell r="AS388">
            <v>1526</v>
          </cell>
          <cell r="AT388">
            <v>198.37599999999998</v>
          </cell>
          <cell r="AX388">
            <v>0</v>
          </cell>
          <cell r="AY388">
            <v>1751</v>
          </cell>
          <cell r="AZ388">
            <v>234.92599999999996</v>
          </cell>
          <cell r="BA388">
            <v>13.416676185037119</v>
          </cell>
          <cell r="BG388">
            <v>330</v>
          </cell>
          <cell r="BH388">
            <v>42.9</v>
          </cell>
          <cell r="BM388">
            <v>370</v>
          </cell>
          <cell r="BN388">
            <v>202.2</v>
          </cell>
          <cell r="BS388">
            <v>792</v>
          </cell>
          <cell r="BT388">
            <v>277.5</v>
          </cell>
          <cell r="BY388">
            <v>1277</v>
          </cell>
          <cell r="BZ388">
            <v>140.31</v>
          </cell>
          <cell r="CE388">
            <v>533</v>
          </cell>
          <cell r="CF388">
            <v>111.39</v>
          </cell>
          <cell r="CK388">
            <v>2797</v>
          </cell>
          <cell r="CL388">
            <v>473.43</v>
          </cell>
          <cell r="CP388">
            <v>0</v>
          </cell>
          <cell r="CQ388">
            <v>6099</v>
          </cell>
          <cell r="CR388">
            <v>1247.7300000000002</v>
          </cell>
          <cell r="CS388">
            <v>20.45794392523365</v>
          </cell>
          <cell r="CX388">
            <v>0</v>
          </cell>
          <cell r="CY388">
            <v>5</v>
          </cell>
          <cell r="CZ388">
            <v>3.55</v>
          </cell>
          <cell r="DA388">
            <v>71</v>
          </cell>
          <cell r="DF388">
            <v>0</v>
          </cell>
          <cell r="DG388">
            <v>1746</v>
          </cell>
          <cell r="DH388">
            <v>231.37599999999998</v>
          </cell>
          <cell r="DI388">
            <v>13.251775486827032</v>
          </cell>
          <cell r="DN388">
            <v>0</v>
          </cell>
          <cell r="DO388">
            <v>1492</v>
          </cell>
          <cell r="DP388">
            <v>522.6</v>
          </cell>
          <cell r="DQ388">
            <v>35.026809651474537</v>
          </cell>
          <cell r="DV388">
            <v>0</v>
          </cell>
          <cell r="DW388">
            <v>4607</v>
          </cell>
          <cell r="DX388">
            <v>725.13</v>
          </cell>
          <cell r="DY388">
            <v>15.739743868026915</v>
          </cell>
        </row>
        <row r="389">
          <cell r="F389">
            <v>0</v>
          </cell>
          <cell r="G389">
            <v>11020</v>
          </cell>
          <cell r="H389">
            <v>1602.71</v>
          </cell>
          <cell r="I389">
            <v>14.543647912885662</v>
          </cell>
          <cell r="O389">
            <v>0</v>
          </cell>
          <cell r="P389">
            <v>0</v>
          </cell>
          <cell r="U389">
            <v>1120</v>
          </cell>
          <cell r="V389">
            <v>123.08</v>
          </cell>
          <cell r="AA389">
            <v>0</v>
          </cell>
          <cell r="AB389">
            <v>0</v>
          </cell>
          <cell r="AG389">
            <v>1130</v>
          </cell>
          <cell r="AH389">
            <v>129.38</v>
          </cell>
          <cell r="AM389">
            <v>5</v>
          </cell>
          <cell r="AN389">
            <v>5</v>
          </cell>
          <cell r="AS389">
            <v>605</v>
          </cell>
          <cell r="AT389">
            <v>65</v>
          </cell>
          <cell r="AX389">
            <v>0</v>
          </cell>
          <cell r="AY389">
            <v>2860</v>
          </cell>
          <cell r="AZ389">
            <v>322.45999999999998</v>
          </cell>
          <cell r="BA389">
            <v>11.274825174825175</v>
          </cell>
          <cell r="BG389">
            <v>35</v>
          </cell>
          <cell r="BH389">
            <v>29</v>
          </cell>
          <cell r="BM389">
            <v>1005</v>
          </cell>
          <cell r="BN389">
            <v>117</v>
          </cell>
          <cell r="BS389">
            <v>1405</v>
          </cell>
          <cell r="BT389">
            <v>187</v>
          </cell>
          <cell r="BY389">
            <v>1530</v>
          </cell>
          <cell r="BZ389">
            <v>193.5</v>
          </cell>
          <cell r="CE389">
            <v>1655</v>
          </cell>
          <cell r="CF389">
            <v>387</v>
          </cell>
          <cell r="CK389">
            <v>2530</v>
          </cell>
          <cell r="CL389">
            <v>366.75</v>
          </cell>
          <cell r="CP389">
            <v>0</v>
          </cell>
          <cell r="CQ389">
            <v>8160</v>
          </cell>
          <cell r="CR389">
            <v>1280.25</v>
          </cell>
          <cell r="CS389">
            <v>15.689338235294118</v>
          </cell>
          <cell r="CX389">
            <v>0</v>
          </cell>
          <cell r="CY389">
            <v>1120</v>
          </cell>
          <cell r="CZ389">
            <v>123.08</v>
          </cell>
          <cell r="DA389">
            <v>10.989285714285714</v>
          </cell>
          <cell r="DF389">
            <v>0</v>
          </cell>
          <cell r="DG389">
            <v>1740</v>
          </cell>
          <cell r="DH389">
            <v>199.38</v>
          </cell>
          <cell r="DI389">
            <v>11.458620689655172</v>
          </cell>
          <cell r="DN389">
            <v>0</v>
          </cell>
          <cell r="DO389">
            <v>2445</v>
          </cell>
          <cell r="DP389">
            <v>333</v>
          </cell>
          <cell r="DQ389">
            <v>13.61963190184049</v>
          </cell>
          <cell r="DV389">
            <v>0</v>
          </cell>
          <cell r="DW389">
            <v>5715</v>
          </cell>
          <cell r="DX389">
            <v>947.25</v>
          </cell>
          <cell r="DY389">
            <v>16.5748031496063</v>
          </cell>
        </row>
        <row r="390">
          <cell r="F390">
            <v>0</v>
          </cell>
          <cell r="G390">
            <v>15280</v>
          </cell>
          <cell r="H390">
            <v>2678.79</v>
          </cell>
          <cell r="I390">
            <v>17.531348167539267</v>
          </cell>
          <cell r="O390">
            <v>8</v>
          </cell>
          <cell r="P390">
            <v>6.8</v>
          </cell>
          <cell r="U390">
            <v>10</v>
          </cell>
          <cell r="V390">
            <v>8.8000000000000007</v>
          </cell>
          <cell r="AA390">
            <v>715</v>
          </cell>
          <cell r="AB390">
            <v>83.8</v>
          </cell>
          <cell r="AG390">
            <v>1658</v>
          </cell>
          <cell r="AH390">
            <v>299</v>
          </cell>
          <cell r="AM390">
            <v>16</v>
          </cell>
          <cell r="AN390">
            <v>14.5</v>
          </cell>
          <cell r="AS390">
            <v>3016</v>
          </cell>
          <cell r="AT390">
            <v>504.2</v>
          </cell>
          <cell r="AX390">
            <v>0</v>
          </cell>
          <cell r="AY390">
            <v>5423</v>
          </cell>
          <cell r="AZ390">
            <v>917.09999999999991</v>
          </cell>
          <cell r="BA390">
            <v>16.91130370643555</v>
          </cell>
          <cell r="BG390">
            <v>517</v>
          </cell>
          <cell r="BH390">
            <v>97</v>
          </cell>
          <cell r="BM390">
            <v>2566</v>
          </cell>
          <cell r="BN390">
            <v>494.2</v>
          </cell>
          <cell r="BS390">
            <v>973</v>
          </cell>
          <cell r="BT390">
            <v>207.09</v>
          </cell>
          <cell r="BY390">
            <v>2916</v>
          </cell>
          <cell r="BZ390">
            <v>421.2</v>
          </cell>
          <cell r="CE390">
            <v>468</v>
          </cell>
          <cell r="CF390">
            <v>122</v>
          </cell>
          <cell r="CK390">
            <v>2417</v>
          </cell>
          <cell r="CL390">
            <v>420.2</v>
          </cell>
          <cell r="CP390">
            <v>0</v>
          </cell>
          <cell r="CQ390">
            <v>9857</v>
          </cell>
          <cell r="CR390">
            <v>1761.69</v>
          </cell>
          <cell r="CS390">
            <v>17.872476412701634</v>
          </cell>
          <cell r="CX390">
            <v>0</v>
          </cell>
          <cell r="CY390">
            <v>733</v>
          </cell>
          <cell r="CZ390">
            <v>99.4</v>
          </cell>
          <cell r="DA390">
            <v>13.560709413369715</v>
          </cell>
          <cell r="DF390">
            <v>0</v>
          </cell>
          <cell r="DG390">
            <v>4690</v>
          </cell>
          <cell r="DH390">
            <v>817.7</v>
          </cell>
          <cell r="DI390">
            <v>17.434968017057571</v>
          </cell>
          <cell r="DN390">
            <v>0</v>
          </cell>
          <cell r="DO390">
            <v>4056</v>
          </cell>
          <cell r="DP390">
            <v>798.29000000000008</v>
          </cell>
          <cell r="DQ390">
            <v>19.681706114398423</v>
          </cell>
          <cell r="DV390">
            <v>0</v>
          </cell>
          <cell r="DW390">
            <v>5801</v>
          </cell>
          <cell r="DX390">
            <v>963.40000000000009</v>
          </cell>
          <cell r="DY390">
            <v>16.607481468712294</v>
          </cell>
        </row>
        <row r="391">
          <cell r="F391">
            <v>0</v>
          </cell>
          <cell r="G391">
            <v>1000</v>
          </cell>
          <cell r="H391">
            <v>100</v>
          </cell>
          <cell r="I391">
            <v>10</v>
          </cell>
          <cell r="O391">
            <v>0</v>
          </cell>
          <cell r="P391">
            <v>0</v>
          </cell>
          <cell r="U391">
            <v>0</v>
          </cell>
          <cell r="V391">
            <v>0</v>
          </cell>
          <cell r="AA391">
            <v>0</v>
          </cell>
          <cell r="AB391">
            <v>0</v>
          </cell>
          <cell r="AG391">
            <v>0</v>
          </cell>
          <cell r="AH391">
            <v>0</v>
          </cell>
          <cell r="AM391">
            <v>0</v>
          </cell>
          <cell r="AN391">
            <v>0</v>
          </cell>
          <cell r="AS391">
            <v>0</v>
          </cell>
          <cell r="AT391">
            <v>0</v>
          </cell>
          <cell r="AX391">
            <v>0</v>
          </cell>
          <cell r="AY391">
            <v>0</v>
          </cell>
          <cell r="AZ391">
            <v>0</v>
          </cell>
          <cell r="BA391">
            <v>0</v>
          </cell>
          <cell r="BG391">
            <v>0</v>
          </cell>
          <cell r="BH391">
            <v>0</v>
          </cell>
          <cell r="BM391">
            <v>0</v>
          </cell>
          <cell r="BN391">
            <v>0</v>
          </cell>
          <cell r="BS391">
            <v>0</v>
          </cell>
          <cell r="BT391">
            <v>0</v>
          </cell>
          <cell r="BY391">
            <v>0</v>
          </cell>
          <cell r="BZ391">
            <v>0</v>
          </cell>
          <cell r="CE391">
            <v>0</v>
          </cell>
          <cell r="CF391">
            <v>0</v>
          </cell>
          <cell r="CK391">
            <v>1000</v>
          </cell>
          <cell r="CL391">
            <v>100</v>
          </cell>
          <cell r="CP391">
            <v>0</v>
          </cell>
          <cell r="CQ391">
            <v>1000</v>
          </cell>
          <cell r="CR391">
            <v>100</v>
          </cell>
          <cell r="CS391">
            <v>10</v>
          </cell>
          <cell r="CX391">
            <v>0</v>
          </cell>
          <cell r="CY391">
            <v>0</v>
          </cell>
          <cell r="CZ391">
            <v>0</v>
          </cell>
          <cell r="DA391">
            <v>0</v>
          </cell>
          <cell r="DF391">
            <v>0</v>
          </cell>
          <cell r="DG391">
            <v>0</v>
          </cell>
          <cell r="DH391">
            <v>0</v>
          </cell>
          <cell r="DI391">
            <v>0</v>
          </cell>
          <cell r="DN391">
            <v>0</v>
          </cell>
          <cell r="DO391">
            <v>0</v>
          </cell>
          <cell r="DP391">
            <v>0</v>
          </cell>
          <cell r="DQ391">
            <v>0</v>
          </cell>
          <cell r="DV391">
            <v>0</v>
          </cell>
          <cell r="DW391">
            <v>1000</v>
          </cell>
          <cell r="DX391">
            <v>100</v>
          </cell>
          <cell r="DY391">
            <v>10</v>
          </cell>
        </row>
        <row r="392">
          <cell r="F392">
            <v>0</v>
          </cell>
          <cell r="G392">
            <v>9000</v>
          </cell>
          <cell r="H392">
            <v>1198.9009999999998</v>
          </cell>
          <cell r="I392">
            <v>13.32112222222222</v>
          </cell>
          <cell r="O392">
            <v>0</v>
          </cell>
          <cell r="P392">
            <v>0</v>
          </cell>
          <cell r="U392">
            <v>0</v>
          </cell>
          <cell r="V392">
            <v>0</v>
          </cell>
          <cell r="AA392">
            <v>0</v>
          </cell>
          <cell r="AB392">
            <v>0</v>
          </cell>
          <cell r="AG392">
            <v>0</v>
          </cell>
          <cell r="AH392">
            <v>0</v>
          </cell>
          <cell r="AM392">
            <v>5178</v>
          </cell>
          <cell r="AN392">
            <v>678.31799999999998</v>
          </cell>
          <cell r="AS392">
            <v>0</v>
          </cell>
          <cell r="AT392">
            <v>0</v>
          </cell>
          <cell r="AX392">
            <v>0</v>
          </cell>
          <cell r="AY392">
            <v>5178</v>
          </cell>
          <cell r="AZ392">
            <v>678.31799999999998</v>
          </cell>
          <cell r="BA392">
            <v>13.100000000000001</v>
          </cell>
          <cell r="BG392">
            <v>0</v>
          </cell>
          <cell r="BH392">
            <v>0</v>
          </cell>
          <cell r="BM392">
            <v>0</v>
          </cell>
          <cell r="BN392">
            <v>0</v>
          </cell>
          <cell r="BS392">
            <v>0</v>
          </cell>
          <cell r="BT392">
            <v>0</v>
          </cell>
          <cell r="BY392">
            <v>0</v>
          </cell>
          <cell r="BZ392">
            <v>0</v>
          </cell>
          <cell r="CE392">
            <v>1200</v>
          </cell>
          <cell r="CF392">
            <v>149</v>
          </cell>
          <cell r="CK392">
            <v>2622</v>
          </cell>
          <cell r="CL392">
            <v>371.58299999999997</v>
          </cell>
          <cell r="CP392">
            <v>0</v>
          </cell>
          <cell r="CQ392">
            <v>3822</v>
          </cell>
          <cell r="CR392">
            <v>520.58299999999997</v>
          </cell>
          <cell r="CS392">
            <v>13.620695970695969</v>
          </cell>
          <cell r="CX392">
            <v>0</v>
          </cell>
          <cell r="CY392">
            <v>0</v>
          </cell>
          <cell r="CZ392">
            <v>0</v>
          </cell>
          <cell r="DA392">
            <v>0</v>
          </cell>
          <cell r="DF392">
            <v>0</v>
          </cell>
          <cell r="DG392">
            <v>5178</v>
          </cell>
          <cell r="DH392">
            <v>678.31799999999998</v>
          </cell>
          <cell r="DI392">
            <v>13.100000000000001</v>
          </cell>
          <cell r="DN392">
            <v>0</v>
          </cell>
          <cell r="DO392">
            <v>0</v>
          </cell>
          <cell r="DP392">
            <v>0</v>
          </cell>
          <cell r="DQ392">
            <v>0</v>
          </cell>
          <cell r="DV392">
            <v>0</v>
          </cell>
          <cell r="DW392">
            <v>3822</v>
          </cell>
          <cell r="DX392">
            <v>520.58299999999997</v>
          </cell>
          <cell r="DY392">
            <v>13.620695970695969</v>
          </cell>
        </row>
        <row r="393">
          <cell r="F393">
            <v>0</v>
          </cell>
          <cell r="G393">
            <v>74000</v>
          </cell>
          <cell r="H393">
            <v>11645.426000000001</v>
          </cell>
          <cell r="I393">
            <v>15.737062162162163</v>
          </cell>
          <cell r="N393">
            <v>0</v>
          </cell>
          <cell r="O393">
            <v>27</v>
          </cell>
          <cell r="P393">
            <v>13.978</v>
          </cell>
          <cell r="T393">
            <v>0</v>
          </cell>
          <cell r="U393">
            <v>1942</v>
          </cell>
          <cell r="V393">
            <v>284.27300000000002</v>
          </cell>
          <cell r="Z393">
            <v>0</v>
          </cell>
          <cell r="AA393">
            <v>3607</v>
          </cell>
          <cell r="AB393">
            <v>344.80200000000002</v>
          </cell>
          <cell r="AF393">
            <v>0</v>
          </cell>
          <cell r="AG393">
            <v>5019</v>
          </cell>
          <cell r="AH393">
            <v>853.39300000000003</v>
          </cell>
          <cell r="AL393">
            <v>0</v>
          </cell>
          <cell r="AM393">
            <v>7404</v>
          </cell>
          <cell r="AN393">
            <v>1083.519</v>
          </cell>
          <cell r="AR393">
            <v>0</v>
          </cell>
          <cell r="AS393">
            <v>9490</v>
          </cell>
          <cell r="AT393">
            <v>1192.127</v>
          </cell>
          <cell r="AX393">
            <v>0</v>
          </cell>
          <cell r="AY393">
            <v>27489</v>
          </cell>
          <cell r="AZ393">
            <v>3772.0919999999996</v>
          </cell>
          <cell r="BA393">
            <v>13.722187056640836</v>
          </cell>
          <cell r="BF393">
            <v>0</v>
          </cell>
          <cell r="BG393">
            <v>1875</v>
          </cell>
          <cell r="BH393">
            <v>359.90100000000001</v>
          </cell>
          <cell r="BL393">
            <v>0</v>
          </cell>
          <cell r="BM393">
            <v>6363</v>
          </cell>
          <cell r="BN393">
            <v>1232.24</v>
          </cell>
          <cell r="BR393">
            <v>0</v>
          </cell>
          <cell r="BS393">
            <v>6420</v>
          </cell>
          <cell r="BT393">
            <v>1054.6299999999999</v>
          </cell>
          <cell r="BX393">
            <v>0</v>
          </cell>
          <cell r="BY393">
            <v>8793</v>
          </cell>
          <cell r="BZ393">
            <v>1212.95</v>
          </cell>
          <cell r="CD393">
            <v>0</v>
          </cell>
          <cell r="CE393">
            <v>8296</v>
          </cell>
          <cell r="CF393">
            <v>1728.5900000000001</v>
          </cell>
          <cell r="CJ393">
            <v>0</v>
          </cell>
          <cell r="CK393">
            <v>14764</v>
          </cell>
          <cell r="CL393">
            <v>2285.0230000000001</v>
          </cell>
          <cell r="CP393">
            <v>0</v>
          </cell>
          <cell r="CQ393">
            <v>46511</v>
          </cell>
          <cell r="CR393">
            <v>7873.3339999999998</v>
          </cell>
          <cell r="CS393">
            <v>111.23868471921998</v>
          </cell>
          <cell r="CX393">
            <v>0</v>
          </cell>
          <cell r="CY393">
            <v>5576</v>
          </cell>
          <cell r="CZ393">
            <v>643.053</v>
          </cell>
          <cell r="DA393">
            <v>11.532514347202296</v>
          </cell>
          <cell r="DF393">
            <v>0</v>
          </cell>
          <cell r="DG393">
            <v>21913</v>
          </cell>
          <cell r="DH393">
            <v>3129.0389999999998</v>
          </cell>
          <cell r="DI393">
            <v>14.279372974946378</v>
          </cell>
          <cell r="DN393">
            <v>0</v>
          </cell>
          <cell r="DO393">
            <v>14658</v>
          </cell>
          <cell r="DP393">
            <v>2646.7710000000002</v>
          </cell>
          <cell r="DQ393">
            <v>18.056835857552191</v>
          </cell>
          <cell r="DV393">
            <v>0</v>
          </cell>
          <cell r="DW393">
            <v>31853</v>
          </cell>
          <cell r="DX393">
            <v>5226.5629999999992</v>
          </cell>
          <cell r="DY393">
            <v>16.408385395410164</v>
          </cell>
        </row>
        <row r="394">
          <cell r="F394">
            <v>0</v>
          </cell>
          <cell r="G394">
            <v>0</v>
          </cell>
          <cell r="H394">
            <v>0</v>
          </cell>
          <cell r="I394">
            <v>0</v>
          </cell>
          <cell r="O394">
            <v>0</v>
          </cell>
          <cell r="P394">
            <v>0</v>
          </cell>
          <cell r="U394">
            <v>0</v>
          </cell>
          <cell r="V394">
            <v>0</v>
          </cell>
          <cell r="AA394">
            <v>0</v>
          </cell>
          <cell r="AB394">
            <v>0</v>
          </cell>
          <cell r="AG394">
            <v>0</v>
          </cell>
          <cell r="AH394">
            <v>0</v>
          </cell>
          <cell r="AS394">
            <v>0</v>
          </cell>
          <cell r="AT394">
            <v>0</v>
          </cell>
          <cell r="AX394">
            <v>0</v>
          </cell>
          <cell r="AY394">
            <v>0</v>
          </cell>
          <cell r="AZ394">
            <v>0</v>
          </cell>
          <cell r="BA394">
            <v>0</v>
          </cell>
          <cell r="CP394">
            <v>0</v>
          </cell>
          <cell r="CQ394">
            <v>0</v>
          </cell>
          <cell r="CR394">
            <v>0</v>
          </cell>
          <cell r="CS394">
            <v>0</v>
          </cell>
          <cell r="CX394">
            <v>0</v>
          </cell>
          <cell r="CY394">
            <v>0</v>
          </cell>
          <cell r="CZ394">
            <v>0</v>
          </cell>
          <cell r="DA394">
            <v>0</v>
          </cell>
          <cell r="DF394">
            <v>0</v>
          </cell>
          <cell r="DG394">
            <v>0</v>
          </cell>
          <cell r="DH394">
            <v>0</v>
          </cell>
          <cell r="DI394">
            <v>0</v>
          </cell>
          <cell r="DN394">
            <v>0</v>
          </cell>
          <cell r="DO394">
            <v>0</v>
          </cell>
          <cell r="DP394">
            <v>0</v>
          </cell>
          <cell r="DQ394">
            <v>0</v>
          </cell>
          <cell r="DV394">
            <v>0</v>
          </cell>
          <cell r="DW394">
            <v>0</v>
          </cell>
          <cell r="DX394">
            <v>0</v>
          </cell>
          <cell r="DY394">
            <v>0</v>
          </cell>
        </row>
        <row r="395">
          <cell r="F395">
            <v>0</v>
          </cell>
          <cell r="G395">
            <v>180153</v>
          </cell>
          <cell r="H395">
            <v>34930.877300000007</v>
          </cell>
          <cell r="I395">
            <v>19.389561816900084</v>
          </cell>
          <cell r="N395">
            <v>0</v>
          </cell>
          <cell r="O395">
            <v>366</v>
          </cell>
          <cell r="P395">
            <v>60.788000000000004</v>
          </cell>
          <cell r="T395">
            <v>0</v>
          </cell>
          <cell r="U395">
            <v>3387</v>
          </cell>
          <cell r="V395">
            <v>491.00700000000006</v>
          </cell>
          <cell r="Z395">
            <v>0</v>
          </cell>
          <cell r="AA395">
            <v>11319</v>
          </cell>
          <cell r="AB395">
            <v>2299.0309999999999</v>
          </cell>
          <cell r="AF395">
            <v>0</v>
          </cell>
          <cell r="AG395">
            <v>9041</v>
          </cell>
          <cell r="AH395">
            <v>1738.636</v>
          </cell>
          <cell r="AL395">
            <v>0</v>
          </cell>
          <cell r="AM395">
            <v>22395</v>
          </cell>
          <cell r="AN395">
            <v>3770.0150000000003</v>
          </cell>
          <cell r="AR395">
            <v>0</v>
          </cell>
          <cell r="AS395">
            <v>18113</v>
          </cell>
          <cell r="AT395">
            <v>3054.5969999999998</v>
          </cell>
          <cell r="AX395">
            <v>0</v>
          </cell>
          <cell r="AY395">
            <v>64621</v>
          </cell>
          <cell r="AZ395">
            <v>11414.074000000001</v>
          </cell>
          <cell r="BA395">
            <v>17.663103325544331</v>
          </cell>
          <cell r="BF395">
            <v>0</v>
          </cell>
          <cell r="BG395">
            <v>5845</v>
          </cell>
          <cell r="BH395">
            <v>1101.796</v>
          </cell>
          <cell r="BL395">
            <v>0</v>
          </cell>
          <cell r="BM395">
            <v>18306</v>
          </cell>
          <cell r="BN395">
            <v>3590.6449999999995</v>
          </cell>
          <cell r="BR395">
            <v>0</v>
          </cell>
          <cell r="BS395">
            <v>13680</v>
          </cell>
          <cell r="BT395">
            <v>2812.24</v>
          </cell>
          <cell r="BX395">
            <v>0</v>
          </cell>
          <cell r="BY395">
            <v>25087</v>
          </cell>
          <cell r="BZ395">
            <v>3887.2059999999992</v>
          </cell>
          <cell r="CD395">
            <v>0</v>
          </cell>
          <cell r="CE395">
            <v>19122</v>
          </cell>
          <cell r="CF395">
            <v>3790.6260000000002</v>
          </cell>
          <cell r="CJ395">
            <v>0</v>
          </cell>
          <cell r="CK395">
            <v>33492</v>
          </cell>
          <cell r="CL395">
            <v>8334.2903000000006</v>
          </cell>
          <cell r="CP395">
            <v>0</v>
          </cell>
          <cell r="CQ395">
            <v>115532</v>
          </cell>
          <cell r="CR395">
            <v>23516.803300000003</v>
          </cell>
          <cell r="CS395">
            <v>20.355229114011706</v>
          </cell>
          <cell r="CX395">
            <v>0</v>
          </cell>
          <cell r="CY395">
            <v>15072</v>
          </cell>
          <cell r="CZ395">
            <v>2850.8259999999996</v>
          </cell>
          <cell r="DA395">
            <v>18.914716029723987</v>
          </cell>
          <cell r="DF395">
            <v>0</v>
          </cell>
          <cell r="DG395">
            <v>49549</v>
          </cell>
          <cell r="DH395">
            <v>8563.2479999999996</v>
          </cell>
          <cell r="DI395">
            <v>17.282383095521602</v>
          </cell>
          <cell r="DN395">
            <v>0</v>
          </cell>
          <cell r="DO395">
            <v>37831</v>
          </cell>
          <cell r="DP395">
            <v>7504.6810000000005</v>
          </cell>
          <cell r="DQ395">
            <v>19.837384684517989</v>
          </cell>
          <cell r="DV395">
            <v>0</v>
          </cell>
          <cell r="DW395">
            <v>77701</v>
          </cell>
          <cell r="DX395">
            <v>16012.122299999999</v>
          </cell>
          <cell r="DY395">
            <v>20.60735679077489</v>
          </cell>
        </row>
        <row r="396">
          <cell r="F396">
            <v>0</v>
          </cell>
          <cell r="G396">
            <v>8133</v>
          </cell>
          <cell r="H396">
            <v>590</v>
          </cell>
          <cell r="I396">
            <v>7.2543956719537688</v>
          </cell>
          <cell r="N396">
            <v>0</v>
          </cell>
          <cell r="O396">
            <v>154</v>
          </cell>
          <cell r="P396">
            <v>8</v>
          </cell>
          <cell r="T396">
            <v>0</v>
          </cell>
          <cell r="U396">
            <v>617</v>
          </cell>
          <cell r="V396">
            <v>31</v>
          </cell>
          <cell r="Z396">
            <v>0</v>
          </cell>
          <cell r="AA396">
            <v>140</v>
          </cell>
          <cell r="AB396">
            <v>44</v>
          </cell>
          <cell r="AF396">
            <v>0</v>
          </cell>
          <cell r="AG396">
            <v>85</v>
          </cell>
          <cell r="AH396">
            <v>25</v>
          </cell>
          <cell r="AL396">
            <v>0</v>
          </cell>
          <cell r="AM396">
            <v>0</v>
          </cell>
          <cell r="AN396">
            <v>0</v>
          </cell>
          <cell r="AR396">
            <v>0</v>
          </cell>
          <cell r="AS396">
            <v>323</v>
          </cell>
          <cell r="AT396">
            <v>16</v>
          </cell>
          <cell r="AX396">
            <v>0</v>
          </cell>
          <cell r="AY396">
            <v>1319</v>
          </cell>
          <cell r="AZ396">
            <v>124</v>
          </cell>
          <cell r="BA396">
            <v>9.4010614101592118</v>
          </cell>
          <cell r="BF396">
            <v>0</v>
          </cell>
          <cell r="BG396">
            <v>246</v>
          </cell>
          <cell r="BH396">
            <v>12</v>
          </cell>
          <cell r="BL396">
            <v>0</v>
          </cell>
          <cell r="BM396">
            <v>0</v>
          </cell>
          <cell r="BN396">
            <v>0</v>
          </cell>
          <cell r="BR396">
            <v>0</v>
          </cell>
          <cell r="BS396">
            <v>0</v>
          </cell>
          <cell r="BT396">
            <v>0</v>
          </cell>
          <cell r="BX396">
            <v>0</v>
          </cell>
          <cell r="BY396">
            <v>3627</v>
          </cell>
          <cell r="BZ396">
            <v>248</v>
          </cell>
          <cell r="CD396">
            <v>0</v>
          </cell>
          <cell r="CE396">
            <v>378</v>
          </cell>
          <cell r="CF396">
            <v>19</v>
          </cell>
          <cell r="CJ396">
            <v>0</v>
          </cell>
          <cell r="CK396">
            <v>2563</v>
          </cell>
          <cell r="CL396">
            <v>187</v>
          </cell>
          <cell r="CP396">
            <v>0</v>
          </cell>
          <cell r="CQ396">
            <v>6814</v>
          </cell>
          <cell r="CR396">
            <v>466</v>
          </cell>
          <cell r="CS396">
            <v>6.8388611681831524</v>
          </cell>
          <cell r="CX396">
            <v>0</v>
          </cell>
          <cell r="CY396">
            <v>911</v>
          </cell>
          <cell r="CZ396">
            <v>83</v>
          </cell>
          <cell r="DA396">
            <v>9.1108671789242592</v>
          </cell>
          <cell r="DF396">
            <v>0</v>
          </cell>
          <cell r="DG396">
            <v>408</v>
          </cell>
          <cell r="DH396">
            <v>41</v>
          </cell>
          <cell r="DI396">
            <v>10.049019607843137</v>
          </cell>
          <cell r="DN396">
            <v>0</v>
          </cell>
          <cell r="DO396">
            <v>246</v>
          </cell>
          <cell r="DP396">
            <v>12</v>
          </cell>
          <cell r="DQ396">
            <v>4.8780487804878048</v>
          </cell>
          <cell r="DV396">
            <v>0</v>
          </cell>
          <cell r="DW396">
            <v>6568</v>
          </cell>
          <cell r="DX396">
            <v>454</v>
          </cell>
          <cell r="DY396">
            <v>6.9123020706455538</v>
          </cell>
        </row>
        <row r="397">
          <cell r="F397">
            <v>0</v>
          </cell>
          <cell r="G397">
            <v>29000</v>
          </cell>
          <cell r="H397">
            <v>2697</v>
          </cell>
          <cell r="I397">
            <v>9.3000000000000007</v>
          </cell>
          <cell r="O397">
            <v>0</v>
          </cell>
          <cell r="P397">
            <v>0</v>
          </cell>
          <cell r="U397">
            <v>0</v>
          </cell>
          <cell r="V397">
            <v>0</v>
          </cell>
          <cell r="AA397">
            <v>0</v>
          </cell>
          <cell r="AB397">
            <v>0</v>
          </cell>
          <cell r="AG397">
            <v>0</v>
          </cell>
          <cell r="AH397">
            <v>0</v>
          </cell>
          <cell r="AS397">
            <v>0</v>
          </cell>
          <cell r="AT397">
            <v>0</v>
          </cell>
          <cell r="AX397">
            <v>0</v>
          </cell>
          <cell r="AY397">
            <v>0</v>
          </cell>
          <cell r="AZ397">
            <v>0</v>
          </cell>
          <cell r="BA397">
            <v>0</v>
          </cell>
          <cell r="BG397">
            <v>0</v>
          </cell>
          <cell r="BH397">
            <v>0</v>
          </cell>
          <cell r="BM397">
            <v>0</v>
          </cell>
          <cell r="BN397">
            <v>0</v>
          </cell>
          <cell r="BS397">
            <v>0</v>
          </cell>
          <cell r="BT397">
            <v>0</v>
          </cell>
          <cell r="BY397">
            <v>21350</v>
          </cell>
          <cell r="BZ397">
            <v>1986</v>
          </cell>
          <cell r="CE397">
            <v>7650</v>
          </cell>
          <cell r="CF397">
            <v>711</v>
          </cell>
          <cell r="CK397">
            <v>0</v>
          </cell>
          <cell r="CL397">
            <v>0</v>
          </cell>
          <cell r="CP397">
            <v>0</v>
          </cell>
          <cell r="CQ397">
            <v>29000</v>
          </cell>
          <cell r="CR397">
            <v>2697</v>
          </cell>
          <cell r="CS397">
            <v>9.3000000000000007</v>
          </cell>
          <cell r="CX397">
            <v>0</v>
          </cell>
          <cell r="CY397">
            <v>0</v>
          </cell>
          <cell r="CZ397">
            <v>0</v>
          </cell>
          <cell r="DA397">
            <v>0</v>
          </cell>
          <cell r="DF397">
            <v>0</v>
          </cell>
          <cell r="DG397">
            <v>0</v>
          </cell>
          <cell r="DH397">
            <v>0</v>
          </cell>
          <cell r="DI397">
            <v>0</v>
          </cell>
          <cell r="DN397">
            <v>0</v>
          </cell>
          <cell r="DO397">
            <v>0</v>
          </cell>
          <cell r="DP397">
            <v>0</v>
          </cell>
          <cell r="DQ397">
            <v>0</v>
          </cell>
          <cell r="DV397">
            <v>0</v>
          </cell>
          <cell r="DW397">
            <v>29000</v>
          </cell>
          <cell r="DX397">
            <v>2697</v>
          </cell>
          <cell r="DY397">
            <v>9.3000000000000007</v>
          </cell>
        </row>
        <row r="398">
          <cell r="F398">
            <v>0</v>
          </cell>
          <cell r="G398">
            <v>9506</v>
          </cell>
          <cell r="H398">
            <v>930</v>
          </cell>
          <cell r="I398">
            <v>9.7832947612034502</v>
          </cell>
          <cell r="O398">
            <v>0</v>
          </cell>
          <cell r="P398">
            <v>0</v>
          </cell>
          <cell r="U398">
            <v>0</v>
          </cell>
          <cell r="V398">
            <v>0</v>
          </cell>
          <cell r="AA398">
            <v>0</v>
          </cell>
          <cell r="AB398">
            <v>0</v>
          </cell>
          <cell r="AG398">
            <v>0</v>
          </cell>
          <cell r="AH398">
            <v>0</v>
          </cell>
          <cell r="AM398">
            <v>506</v>
          </cell>
          <cell r="AN398">
            <v>30</v>
          </cell>
          <cell r="AS398">
            <v>0</v>
          </cell>
          <cell r="AT398">
            <v>0</v>
          </cell>
          <cell r="AX398">
            <v>0</v>
          </cell>
          <cell r="AY398">
            <v>506</v>
          </cell>
          <cell r="AZ398">
            <v>30</v>
          </cell>
          <cell r="BA398">
            <v>5.928853754940711</v>
          </cell>
          <cell r="BM398">
            <v>0</v>
          </cell>
          <cell r="BN398">
            <v>0</v>
          </cell>
          <cell r="BS398">
            <v>0</v>
          </cell>
          <cell r="BT398">
            <v>0</v>
          </cell>
          <cell r="BY398">
            <v>9000</v>
          </cell>
          <cell r="BZ398">
            <v>900</v>
          </cell>
          <cell r="CE398">
            <v>0</v>
          </cell>
          <cell r="CF398">
            <v>0</v>
          </cell>
          <cell r="CK398">
            <v>0</v>
          </cell>
          <cell r="CL398">
            <v>0</v>
          </cell>
          <cell r="CP398">
            <v>0</v>
          </cell>
          <cell r="CQ398">
            <v>9000</v>
          </cell>
          <cell r="CR398">
            <v>900</v>
          </cell>
          <cell r="CS398">
            <v>10</v>
          </cell>
          <cell r="CX398">
            <v>0</v>
          </cell>
          <cell r="CY398">
            <v>0</v>
          </cell>
          <cell r="CZ398">
            <v>0</v>
          </cell>
          <cell r="DA398">
            <v>0</v>
          </cell>
          <cell r="DF398">
            <v>0</v>
          </cell>
          <cell r="DG398">
            <v>506</v>
          </cell>
          <cell r="DH398">
            <v>30</v>
          </cell>
          <cell r="DI398">
            <v>5.928853754940711</v>
          </cell>
          <cell r="DN398">
            <v>0</v>
          </cell>
          <cell r="DO398">
            <v>0</v>
          </cell>
          <cell r="DP398">
            <v>0</v>
          </cell>
          <cell r="DQ398">
            <v>0</v>
          </cell>
          <cell r="DV398">
            <v>0</v>
          </cell>
          <cell r="DW398">
            <v>9000</v>
          </cell>
          <cell r="DX398">
            <v>900</v>
          </cell>
          <cell r="DY398">
            <v>10</v>
          </cell>
        </row>
        <row r="399">
          <cell r="F399">
            <v>0</v>
          </cell>
          <cell r="G399">
            <v>38506</v>
          </cell>
          <cell r="H399">
            <v>3627</v>
          </cell>
          <cell r="I399">
            <v>9.4193112761647537</v>
          </cell>
          <cell r="N399">
            <v>0</v>
          </cell>
          <cell r="O399">
            <v>0</v>
          </cell>
          <cell r="P399">
            <v>0</v>
          </cell>
          <cell r="T399">
            <v>0</v>
          </cell>
          <cell r="U399">
            <v>0</v>
          </cell>
          <cell r="V399">
            <v>0</v>
          </cell>
          <cell r="Z399">
            <v>0</v>
          </cell>
          <cell r="AA399">
            <v>0</v>
          </cell>
          <cell r="AB399">
            <v>0</v>
          </cell>
          <cell r="AF399">
            <v>0</v>
          </cell>
          <cell r="AG399">
            <v>0</v>
          </cell>
          <cell r="AH399">
            <v>0</v>
          </cell>
          <cell r="AL399">
            <v>0</v>
          </cell>
          <cell r="AM399">
            <v>506</v>
          </cell>
          <cell r="AN399">
            <v>30</v>
          </cell>
          <cell r="AR399">
            <v>0</v>
          </cell>
          <cell r="AS399">
            <v>0</v>
          </cell>
          <cell r="AT399">
            <v>0</v>
          </cell>
          <cell r="AX399">
            <v>0</v>
          </cell>
          <cell r="AY399">
            <v>506</v>
          </cell>
          <cell r="AZ399">
            <v>30</v>
          </cell>
          <cell r="BA399">
            <v>5.928853754940711</v>
          </cell>
          <cell r="BF399">
            <v>0</v>
          </cell>
          <cell r="BG399">
            <v>0</v>
          </cell>
          <cell r="BH399">
            <v>0</v>
          </cell>
          <cell r="BL399">
            <v>0</v>
          </cell>
          <cell r="BM399">
            <v>0</v>
          </cell>
          <cell r="BN399">
            <v>0</v>
          </cell>
          <cell r="BR399">
            <v>0</v>
          </cell>
          <cell r="BS399">
            <v>0</v>
          </cell>
          <cell r="BT399">
            <v>0</v>
          </cell>
          <cell r="BX399">
            <v>0</v>
          </cell>
          <cell r="BY399">
            <v>30350</v>
          </cell>
          <cell r="BZ399">
            <v>2886</v>
          </cell>
          <cell r="CD399">
            <v>0</v>
          </cell>
          <cell r="CE399">
            <v>7650</v>
          </cell>
          <cell r="CF399">
            <v>711</v>
          </cell>
          <cell r="CJ399">
            <v>0</v>
          </cell>
          <cell r="CK399">
            <v>0</v>
          </cell>
          <cell r="CL399">
            <v>0</v>
          </cell>
          <cell r="CP399">
            <v>0</v>
          </cell>
          <cell r="CQ399">
            <v>38000</v>
          </cell>
          <cell r="CR399">
            <v>3597</v>
          </cell>
          <cell r="CS399">
            <v>9.465789473684211</v>
          </cell>
          <cell r="CX399">
            <v>0</v>
          </cell>
          <cell r="CY399">
            <v>0</v>
          </cell>
          <cell r="CZ399">
            <v>0</v>
          </cell>
          <cell r="DA399">
            <v>0</v>
          </cell>
          <cell r="DF399">
            <v>0</v>
          </cell>
          <cell r="DG399">
            <v>506</v>
          </cell>
          <cell r="DH399">
            <v>30</v>
          </cell>
          <cell r="DI399">
            <v>5.928853754940711</v>
          </cell>
          <cell r="DN399">
            <v>0</v>
          </cell>
          <cell r="DO399">
            <v>0</v>
          </cell>
          <cell r="DP399">
            <v>0</v>
          </cell>
          <cell r="DQ399">
            <v>0</v>
          </cell>
          <cell r="DV399">
            <v>0</v>
          </cell>
          <cell r="DW399">
            <v>38000</v>
          </cell>
          <cell r="DX399">
            <v>3597</v>
          </cell>
          <cell r="DY399">
            <v>9.465789473684211</v>
          </cell>
        </row>
        <row r="400">
          <cell r="F400">
            <v>0</v>
          </cell>
          <cell r="G400">
            <v>0</v>
          </cell>
          <cell r="H400">
            <v>0</v>
          </cell>
          <cell r="I400">
            <v>0</v>
          </cell>
          <cell r="AX400">
            <v>0</v>
          </cell>
          <cell r="AY400">
            <v>0</v>
          </cell>
          <cell r="AZ400">
            <v>0</v>
          </cell>
          <cell r="BA400">
            <v>0</v>
          </cell>
          <cell r="CP400">
            <v>0</v>
          </cell>
          <cell r="CQ400">
            <v>0</v>
          </cell>
          <cell r="CR400">
            <v>0</v>
          </cell>
          <cell r="CS400">
            <v>0</v>
          </cell>
          <cell r="CX400">
            <v>0</v>
          </cell>
          <cell r="CY400">
            <v>0</v>
          </cell>
          <cell r="CZ400">
            <v>0</v>
          </cell>
          <cell r="DA400">
            <v>0</v>
          </cell>
          <cell r="DF400">
            <v>0</v>
          </cell>
          <cell r="DG400">
            <v>0</v>
          </cell>
          <cell r="DH400">
            <v>0</v>
          </cell>
          <cell r="DI400">
            <v>0</v>
          </cell>
          <cell r="DN400">
            <v>0</v>
          </cell>
          <cell r="DO400">
            <v>0</v>
          </cell>
          <cell r="DP400">
            <v>0</v>
          </cell>
          <cell r="DQ400">
            <v>0</v>
          </cell>
          <cell r="DV400">
            <v>0</v>
          </cell>
          <cell r="DW400">
            <v>0</v>
          </cell>
          <cell r="DX400">
            <v>0</v>
          </cell>
          <cell r="DY400">
            <v>0</v>
          </cell>
        </row>
        <row r="401">
          <cell r="F401">
            <v>0</v>
          </cell>
          <cell r="G401">
            <v>15019</v>
          </cell>
          <cell r="H401">
            <v>4053</v>
          </cell>
          <cell r="I401">
            <v>26.985817963912378</v>
          </cell>
          <cell r="O401">
            <v>447</v>
          </cell>
          <cell r="P401">
            <v>107</v>
          </cell>
          <cell r="U401">
            <v>1359</v>
          </cell>
          <cell r="V401">
            <v>379</v>
          </cell>
          <cell r="AA401">
            <v>916</v>
          </cell>
          <cell r="AB401">
            <v>220</v>
          </cell>
          <cell r="AG401">
            <v>851</v>
          </cell>
          <cell r="AH401">
            <v>195</v>
          </cell>
          <cell r="AM401">
            <v>875</v>
          </cell>
          <cell r="AN401">
            <v>191</v>
          </cell>
          <cell r="AS401">
            <v>1029</v>
          </cell>
          <cell r="AT401">
            <v>239</v>
          </cell>
          <cell r="AX401">
            <v>0</v>
          </cell>
          <cell r="AY401">
            <v>5477</v>
          </cell>
          <cell r="AZ401">
            <v>1331</v>
          </cell>
          <cell r="BA401">
            <v>24.301624977177287</v>
          </cell>
          <cell r="BG401">
            <v>1593</v>
          </cell>
          <cell r="BH401">
            <v>382</v>
          </cell>
          <cell r="BM401">
            <v>785</v>
          </cell>
          <cell r="BN401">
            <v>202</v>
          </cell>
          <cell r="BS401">
            <v>867</v>
          </cell>
          <cell r="BT401">
            <v>224</v>
          </cell>
          <cell r="BY401">
            <v>960</v>
          </cell>
          <cell r="BZ401">
            <v>257</v>
          </cell>
          <cell r="CE401">
            <v>1262</v>
          </cell>
          <cell r="CF401">
            <v>365</v>
          </cell>
          <cell r="CK401">
            <v>4075</v>
          </cell>
          <cell r="CL401">
            <v>1292</v>
          </cell>
          <cell r="CP401">
            <v>0</v>
          </cell>
          <cell r="CQ401">
            <v>9542</v>
          </cell>
          <cell r="CR401">
            <v>2722</v>
          </cell>
          <cell r="CS401">
            <v>28.526514357577028</v>
          </cell>
          <cell r="CX401">
            <v>0</v>
          </cell>
          <cell r="CY401">
            <v>2722</v>
          </cell>
          <cell r="CZ401">
            <v>706</v>
          </cell>
          <cell r="DA401">
            <v>25.936811168258632</v>
          </cell>
          <cell r="DF401">
            <v>0</v>
          </cell>
          <cell r="DG401">
            <v>2755</v>
          </cell>
          <cell r="DH401">
            <v>625</v>
          </cell>
          <cell r="DI401">
            <v>22.686025408348456</v>
          </cell>
          <cell r="DN401">
            <v>0</v>
          </cell>
          <cell r="DO401">
            <v>3245</v>
          </cell>
          <cell r="DP401">
            <v>808</v>
          </cell>
          <cell r="DQ401">
            <v>24.899845916795069</v>
          </cell>
          <cell r="DV401">
            <v>0</v>
          </cell>
          <cell r="DW401">
            <v>6297</v>
          </cell>
          <cell r="DX401">
            <v>1914</v>
          </cell>
          <cell r="DY401">
            <v>30.395426393520726</v>
          </cell>
        </row>
        <row r="402">
          <cell r="F402">
            <v>0</v>
          </cell>
          <cell r="G402">
            <v>8180</v>
          </cell>
          <cell r="H402">
            <v>-236</v>
          </cell>
          <cell r="I402">
            <v>-2.8850855745721269</v>
          </cell>
          <cell r="O402">
            <v>100</v>
          </cell>
          <cell r="P402">
            <v>-51</v>
          </cell>
          <cell r="U402">
            <v>780</v>
          </cell>
          <cell r="V402">
            <v>-380</v>
          </cell>
          <cell r="AA402">
            <v>360</v>
          </cell>
          <cell r="AB402">
            <v>-24</v>
          </cell>
          <cell r="AG402">
            <v>720</v>
          </cell>
          <cell r="AH402">
            <v>-39</v>
          </cell>
          <cell r="AM402">
            <v>720</v>
          </cell>
          <cell r="AN402">
            <v>-36</v>
          </cell>
          <cell r="AS402">
            <v>720</v>
          </cell>
          <cell r="AT402">
            <v>-26</v>
          </cell>
          <cell r="AX402">
            <v>0</v>
          </cell>
          <cell r="AY402">
            <v>3400</v>
          </cell>
          <cell r="AZ402">
            <v>-556</v>
          </cell>
          <cell r="BA402">
            <v>-16.352941176470591</v>
          </cell>
          <cell r="BG402">
            <v>580</v>
          </cell>
          <cell r="BH402">
            <v>-12</v>
          </cell>
          <cell r="BM402">
            <v>580</v>
          </cell>
          <cell r="BN402">
            <v>-4</v>
          </cell>
          <cell r="BS402">
            <v>1230</v>
          </cell>
          <cell r="BT402">
            <v>156</v>
          </cell>
          <cell r="BY402">
            <v>580</v>
          </cell>
          <cell r="BZ402">
            <v>-6</v>
          </cell>
          <cell r="CE402">
            <v>1230</v>
          </cell>
          <cell r="CF402">
            <v>186</v>
          </cell>
          <cell r="CK402">
            <v>580</v>
          </cell>
          <cell r="CL402">
            <v>0</v>
          </cell>
          <cell r="CP402">
            <v>0</v>
          </cell>
          <cell r="CQ402">
            <v>4780</v>
          </cell>
          <cell r="CR402">
            <v>320</v>
          </cell>
          <cell r="CS402">
            <v>6.6945606694560666</v>
          </cell>
          <cell r="CX402">
            <v>0</v>
          </cell>
          <cell r="CY402">
            <v>1240</v>
          </cell>
          <cell r="CZ402">
            <v>-455</v>
          </cell>
          <cell r="DA402">
            <v>-36.693548387096776</v>
          </cell>
          <cell r="DF402">
            <v>0</v>
          </cell>
          <cell r="DG402">
            <v>2160</v>
          </cell>
          <cell r="DH402">
            <v>-101</v>
          </cell>
          <cell r="DI402">
            <v>-4.6759259259259256</v>
          </cell>
          <cell r="DN402">
            <v>0</v>
          </cell>
          <cell r="DO402">
            <v>2390</v>
          </cell>
          <cell r="DP402">
            <v>140</v>
          </cell>
          <cell r="DQ402">
            <v>5.8577405857740583</v>
          </cell>
          <cell r="DV402">
            <v>0</v>
          </cell>
          <cell r="DW402">
            <v>2390</v>
          </cell>
          <cell r="DX402">
            <v>180</v>
          </cell>
          <cell r="DY402">
            <v>7.5313807531380759</v>
          </cell>
        </row>
        <row r="403">
          <cell r="F403">
            <v>0</v>
          </cell>
          <cell r="G403">
            <v>7000</v>
          </cell>
          <cell r="H403">
            <v>2366</v>
          </cell>
          <cell r="I403">
            <v>33.800000000000004</v>
          </cell>
          <cell r="O403">
            <v>358</v>
          </cell>
          <cell r="P403">
            <v>33</v>
          </cell>
          <cell r="U403">
            <v>280</v>
          </cell>
          <cell r="V403">
            <v>83</v>
          </cell>
          <cell r="AA403">
            <v>265</v>
          </cell>
          <cell r="AB403">
            <v>22</v>
          </cell>
          <cell r="AG403">
            <v>388</v>
          </cell>
          <cell r="AH403">
            <v>132</v>
          </cell>
          <cell r="AM403">
            <v>453</v>
          </cell>
          <cell r="AN403">
            <v>90</v>
          </cell>
          <cell r="AS403">
            <v>465</v>
          </cell>
          <cell r="AT403">
            <v>146</v>
          </cell>
          <cell r="AX403">
            <v>0</v>
          </cell>
          <cell r="AY403">
            <v>2209</v>
          </cell>
          <cell r="AZ403">
            <v>506</v>
          </cell>
          <cell r="BA403">
            <v>22.90629244001811</v>
          </cell>
          <cell r="BG403">
            <v>645</v>
          </cell>
          <cell r="BH403">
            <v>222</v>
          </cell>
          <cell r="BM403">
            <v>598</v>
          </cell>
          <cell r="BN403">
            <v>262</v>
          </cell>
          <cell r="BS403">
            <v>785</v>
          </cell>
          <cell r="BT403">
            <v>305</v>
          </cell>
          <cell r="BY403">
            <v>833</v>
          </cell>
          <cell r="BZ403">
            <v>332</v>
          </cell>
          <cell r="CE403">
            <v>1013</v>
          </cell>
          <cell r="CF403">
            <v>423</v>
          </cell>
          <cell r="CK403">
            <v>917</v>
          </cell>
          <cell r="CL403">
            <v>316</v>
          </cell>
          <cell r="CP403">
            <v>0</v>
          </cell>
          <cell r="CQ403">
            <v>4791</v>
          </cell>
          <cell r="CR403">
            <v>1860</v>
          </cell>
          <cell r="CS403">
            <v>38.822792736380713</v>
          </cell>
          <cell r="CX403">
            <v>0</v>
          </cell>
          <cell r="CY403">
            <v>903</v>
          </cell>
          <cell r="CZ403">
            <v>138</v>
          </cell>
          <cell r="DA403">
            <v>15.282392026578073</v>
          </cell>
          <cell r="DF403">
            <v>0</v>
          </cell>
          <cell r="DG403">
            <v>1306</v>
          </cell>
          <cell r="DH403">
            <v>368</v>
          </cell>
          <cell r="DI403">
            <v>28.177641653905056</v>
          </cell>
          <cell r="DN403">
            <v>0</v>
          </cell>
          <cell r="DO403">
            <v>2028</v>
          </cell>
          <cell r="DP403">
            <v>789</v>
          </cell>
          <cell r="DQ403">
            <v>38.905325443786978</v>
          </cell>
          <cell r="DV403">
            <v>0</v>
          </cell>
          <cell r="DW403">
            <v>2763</v>
          </cell>
          <cell r="DX403">
            <v>1071</v>
          </cell>
          <cell r="DY403">
            <v>38.762214983713356</v>
          </cell>
        </row>
        <row r="404">
          <cell r="F404">
            <v>0</v>
          </cell>
          <cell r="G404">
            <v>1820</v>
          </cell>
          <cell r="H404">
            <v>1572</v>
          </cell>
          <cell r="I404">
            <v>86.373626373626379</v>
          </cell>
          <cell r="O404">
            <v>0</v>
          </cell>
          <cell r="P404">
            <v>0</v>
          </cell>
          <cell r="U404">
            <v>0</v>
          </cell>
          <cell r="V404">
            <v>0</v>
          </cell>
          <cell r="AA404">
            <v>0</v>
          </cell>
          <cell r="AB404">
            <v>0</v>
          </cell>
          <cell r="AG404">
            <v>0</v>
          </cell>
          <cell r="AH404">
            <v>0</v>
          </cell>
          <cell r="AM404">
            <v>0</v>
          </cell>
          <cell r="AN404">
            <v>0</v>
          </cell>
          <cell r="AS404">
            <v>0</v>
          </cell>
          <cell r="AT404">
            <v>0</v>
          </cell>
          <cell r="AX404">
            <v>0</v>
          </cell>
          <cell r="AY404">
            <v>0</v>
          </cell>
          <cell r="AZ404">
            <v>0</v>
          </cell>
          <cell r="BA404">
            <v>0</v>
          </cell>
          <cell r="BG404">
            <v>0</v>
          </cell>
          <cell r="BH404">
            <v>0</v>
          </cell>
          <cell r="BM404">
            <v>60</v>
          </cell>
          <cell r="BN404">
            <v>12</v>
          </cell>
          <cell r="BS404">
            <v>60</v>
          </cell>
          <cell r="BT404">
            <v>12</v>
          </cell>
          <cell r="BY404">
            <v>100</v>
          </cell>
          <cell r="BZ404">
            <v>20</v>
          </cell>
          <cell r="CE404">
            <v>1600</v>
          </cell>
          <cell r="CF404">
            <v>1528</v>
          </cell>
          <cell r="CK404">
            <v>0</v>
          </cell>
          <cell r="CL404">
            <v>0</v>
          </cell>
          <cell r="CP404">
            <v>0</v>
          </cell>
          <cell r="CQ404">
            <v>1820</v>
          </cell>
          <cell r="CR404">
            <v>1572</v>
          </cell>
          <cell r="CS404">
            <v>86.373626373626379</v>
          </cell>
          <cell r="CX404">
            <v>0</v>
          </cell>
          <cell r="CY404">
            <v>0</v>
          </cell>
          <cell r="CZ404">
            <v>0</v>
          </cell>
          <cell r="DA404">
            <v>0</v>
          </cell>
          <cell r="DF404">
            <v>0</v>
          </cell>
          <cell r="DG404">
            <v>0</v>
          </cell>
          <cell r="DH404">
            <v>0</v>
          </cell>
          <cell r="DI404">
            <v>0</v>
          </cell>
          <cell r="DN404">
            <v>0</v>
          </cell>
          <cell r="DO404">
            <v>120</v>
          </cell>
          <cell r="DP404">
            <v>24</v>
          </cell>
          <cell r="DQ404">
            <v>20</v>
          </cell>
          <cell r="DV404">
            <v>0</v>
          </cell>
          <cell r="DW404">
            <v>1700</v>
          </cell>
          <cell r="DX404">
            <v>1548</v>
          </cell>
          <cell r="DY404">
            <v>91.058823529411768</v>
          </cell>
        </row>
        <row r="405">
          <cell r="F405">
            <v>0</v>
          </cell>
          <cell r="G405">
            <v>0</v>
          </cell>
          <cell r="H405">
            <v>0</v>
          </cell>
          <cell r="I405">
            <v>0</v>
          </cell>
          <cell r="O405">
            <v>0</v>
          </cell>
          <cell r="P405">
            <v>0</v>
          </cell>
          <cell r="U405">
            <v>0</v>
          </cell>
          <cell r="V405">
            <v>0</v>
          </cell>
          <cell r="AA405">
            <v>0</v>
          </cell>
          <cell r="AB405">
            <v>0</v>
          </cell>
          <cell r="AG405">
            <v>0</v>
          </cell>
          <cell r="AH405">
            <v>0</v>
          </cell>
          <cell r="AM405">
            <v>0</v>
          </cell>
          <cell r="AN405">
            <v>0</v>
          </cell>
          <cell r="AS405">
            <v>0</v>
          </cell>
          <cell r="AT405">
            <v>0</v>
          </cell>
          <cell r="AX405">
            <v>0</v>
          </cell>
          <cell r="AY405">
            <v>0</v>
          </cell>
          <cell r="AZ405">
            <v>0</v>
          </cell>
          <cell r="BA405">
            <v>0</v>
          </cell>
          <cell r="BG405">
            <v>0</v>
          </cell>
          <cell r="BH405">
            <v>0</v>
          </cell>
          <cell r="CK405">
            <v>0</v>
          </cell>
          <cell r="CL405">
            <v>0</v>
          </cell>
          <cell r="CP405">
            <v>0</v>
          </cell>
          <cell r="CQ405">
            <v>0</v>
          </cell>
          <cell r="CR405">
            <v>0</v>
          </cell>
          <cell r="CS405">
            <v>0</v>
          </cell>
          <cell r="CX405">
            <v>0</v>
          </cell>
          <cell r="CY405">
            <v>0</v>
          </cell>
          <cell r="CZ405">
            <v>0</v>
          </cell>
          <cell r="DA405">
            <v>0</v>
          </cell>
          <cell r="DF405">
            <v>0</v>
          </cell>
          <cell r="DG405">
            <v>0</v>
          </cell>
          <cell r="DH405">
            <v>0</v>
          </cell>
          <cell r="DI405">
            <v>0</v>
          </cell>
          <cell r="DN405">
            <v>0</v>
          </cell>
          <cell r="DO405">
            <v>0</v>
          </cell>
          <cell r="DP405">
            <v>0</v>
          </cell>
          <cell r="DQ405">
            <v>0</v>
          </cell>
          <cell r="DV405">
            <v>0</v>
          </cell>
          <cell r="DW405">
            <v>0</v>
          </cell>
          <cell r="DX405">
            <v>0</v>
          </cell>
          <cell r="DY405">
            <v>0</v>
          </cell>
        </row>
        <row r="406">
          <cell r="F406">
            <v>0</v>
          </cell>
          <cell r="G406">
            <v>32019</v>
          </cell>
          <cell r="H406">
            <v>7755</v>
          </cell>
          <cell r="I406">
            <v>24.219994378337862</v>
          </cell>
          <cell r="N406">
            <v>0</v>
          </cell>
          <cell r="O406">
            <v>905</v>
          </cell>
          <cell r="P406">
            <v>89</v>
          </cell>
          <cell r="T406">
            <v>0</v>
          </cell>
          <cell r="U406">
            <v>2419</v>
          </cell>
          <cell r="V406">
            <v>82</v>
          </cell>
          <cell r="Z406">
            <v>0</v>
          </cell>
          <cell r="AA406">
            <v>1541</v>
          </cell>
          <cell r="AB406">
            <v>218</v>
          </cell>
          <cell r="AF406">
            <v>0</v>
          </cell>
          <cell r="AG406">
            <v>1959</v>
          </cell>
          <cell r="AH406">
            <v>288</v>
          </cell>
          <cell r="AL406">
            <v>0</v>
          </cell>
          <cell r="AM406">
            <v>2048</v>
          </cell>
          <cell r="AN406">
            <v>245</v>
          </cell>
          <cell r="AR406">
            <v>0</v>
          </cell>
          <cell r="AS406">
            <v>2214</v>
          </cell>
          <cell r="AT406">
            <v>359</v>
          </cell>
          <cell r="AX406">
            <v>0</v>
          </cell>
          <cell r="AY406">
            <v>11086</v>
          </cell>
          <cell r="AZ406">
            <v>1281</v>
          </cell>
          <cell r="BA406">
            <v>11.555114558903121</v>
          </cell>
          <cell r="BF406">
            <v>0</v>
          </cell>
          <cell r="BG406">
            <v>2818</v>
          </cell>
          <cell r="BH406">
            <v>592</v>
          </cell>
          <cell r="BL406">
            <v>0</v>
          </cell>
          <cell r="BM406">
            <v>2023</v>
          </cell>
          <cell r="BN406">
            <v>472</v>
          </cell>
          <cell r="BR406">
            <v>0</v>
          </cell>
          <cell r="BS406">
            <v>2942</v>
          </cell>
          <cell r="BT406">
            <v>697</v>
          </cell>
          <cell r="BX406">
            <v>0</v>
          </cell>
          <cell r="BY406">
            <v>2473</v>
          </cell>
          <cell r="BZ406">
            <v>603</v>
          </cell>
          <cell r="CD406">
            <v>0</v>
          </cell>
          <cell r="CE406">
            <v>5105</v>
          </cell>
          <cell r="CF406">
            <v>2502</v>
          </cell>
          <cell r="CJ406">
            <v>0</v>
          </cell>
          <cell r="CK406">
            <v>5572</v>
          </cell>
          <cell r="CL406">
            <v>1608</v>
          </cell>
          <cell r="CP406">
            <v>0</v>
          </cell>
          <cell r="CQ406">
            <v>20933</v>
          </cell>
          <cell r="CR406">
            <v>6474</v>
          </cell>
          <cell r="CS406">
            <v>30.927244064395932</v>
          </cell>
          <cell r="CX406">
            <v>0</v>
          </cell>
          <cell r="CY406">
            <v>4865</v>
          </cell>
          <cell r="CZ406">
            <v>389</v>
          </cell>
          <cell r="DA406">
            <v>7.9958890030832483</v>
          </cell>
          <cell r="DF406">
            <v>0</v>
          </cell>
          <cell r="DG406">
            <v>6221</v>
          </cell>
          <cell r="DH406">
            <v>892</v>
          </cell>
          <cell r="DI406">
            <v>14.338530782832343</v>
          </cell>
          <cell r="DN406">
            <v>0</v>
          </cell>
          <cell r="DO406">
            <v>7783</v>
          </cell>
          <cell r="DP406">
            <v>1761</v>
          </cell>
          <cell r="DQ406">
            <v>22.626236669664653</v>
          </cell>
          <cell r="DV406">
            <v>0</v>
          </cell>
          <cell r="DW406">
            <v>13150</v>
          </cell>
          <cell r="DX406">
            <v>4713</v>
          </cell>
          <cell r="DY406">
            <v>35.840304182509506</v>
          </cell>
        </row>
        <row r="407">
          <cell r="F407">
            <v>0</v>
          </cell>
          <cell r="G407">
            <v>0</v>
          </cell>
          <cell r="H407">
            <v>0</v>
          </cell>
          <cell r="I407">
            <v>0</v>
          </cell>
          <cell r="O407">
            <v>0</v>
          </cell>
          <cell r="P407">
            <v>0</v>
          </cell>
          <cell r="U407">
            <v>0</v>
          </cell>
          <cell r="V407">
            <v>0</v>
          </cell>
          <cell r="AA407">
            <v>0</v>
          </cell>
          <cell r="AB407">
            <v>0</v>
          </cell>
          <cell r="AG407">
            <v>0</v>
          </cell>
          <cell r="AH407">
            <v>0</v>
          </cell>
          <cell r="AS407">
            <v>0</v>
          </cell>
          <cell r="AT407">
            <v>0</v>
          </cell>
          <cell r="AX407">
            <v>0</v>
          </cell>
          <cell r="AY407">
            <v>0</v>
          </cell>
          <cell r="AZ407">
            <v>0</v>
          </cell>
          <cell r="BA407">
            <v>0</v>
          </cell>
          <cell r="CP407">
            <v>0</v>
          </cell>
          <cell r="CQ407">
            <v>0</v>
          </cell>
          <cell r="CR407">
            <v>0</v>
          </cell>
          <cell r="CS407">
            <v>0</v>
          </cell>
          <cell r="CX407">
            <v>0</v>
          </cell>
          <cell r="CY407">
            <v>0</v>
          </cell>
          <cell r="CZ407">
            <v>0</v>
          </cell>
          <cell r="DA407">
            <v>0</v>
          </cell>
          <cell r="DF407">
            <v>0</v>
          </cell>
          <cell r="DG407">
            <v>0</v>
          </cell>
          <cell r="DH407">
            <v>0</v>
          </cell>
          <cell r="DI407">
            <v>0</v>
          </cell>
          <cell r="DN407">
            <v>0</v>
          </cell>
          <cell r="DO407">
            <v>0</v>
          </cell>
          <cell r="DP407">
            <v>0</v>
          </cell>
          <cell r="DQ407">
            <v>0</v>
          </cell>
          <cell r="DV407">
            <v>0</v>
          </cell>
          <cell r="DW407">
            <v>0</v>
          </cell>
          <cell r="DX407">
            <v>0</v>
          </cell>
          <cell r="DY407">
            <v>0</v>
          </cell>
        </row>
        <row r="408">
          <cell r="F408">
            <v>0</v>
          </cell>
          <cell r="G408">
            <v>6000</v>
          </cell>
          <cell r="H408">
            <v>970</v>
          </cell>
          <cell r="I408">
            <v>16.166666666666664</v>
          </cell>
          <cell r="O408">
            <v>0</v>
          </cell>
          <cell r="P408">
            <v>0</v>
          </cell>
          <cell r="U408">
            <v>240</v>
          </cell>
          <cell r="V408">
            <v>38</v>
          </cell>
          <cell r="AA408">
            <v>510</v>
          </cell>
          <cell r="AB408">
            <v>82</v>
          </cell>
          <cell r="AG408">
            <v>240</v>
          </cell>
          <cell r="AH408">
            <v>38</v>
          </cell>
          <cell r="AM408">
            <v>500</v>
          </cell>
          <cell r="AN408">
            <v>80</v>
          </cell>
          <cell r="AS408">
            <v>560</v>
          </cell>
          <cell r="AT408">
            <v>90</v>
          </cell>
          <cell r="AX408">
            <v>0</v>
          </cell>
          <cell r="AY408">
            <v>2050</v>
          </cell>
          <cell r="AZ408">
            <v>328</v>
          </cell>
          <cell r="BA408">
            <v>16</v>
          </cell>
          <cell r="BG408">
            <v>500</v>
          </cell>
          <cell r="BH408">
            <v>80</v>
          </cell>
          <cell r="BM408">
            <v>260</v>
          </cell>
          <cell r="BN408">
            <v>42</v>
          </cell>
          <cell r="BS408">
            <v>680</v>
          </cell>
          <cell r="BT408">
            <v>109</v>
          </cell>
          <cell r="BY408">
            <v>1010</v>
          </cell>
          <cell r="BZ408">
            <v>162</v>
          </cell>
          <cell r="CE408">
            <v>680</v>
          </cell>
          <cell r="CF408">
            <v>109</v>
          </cell>
          <cell r="CK408">
            <v>820</v>
          </cell>
          <cell r="CL408">
            <v>140</v>
          </cell>
          <cell r="CP408">
            <v>0</v>
          </cell>
          <cell r="CQ408">
            <v>3950</v>
          </cell>
          <cell r="CR408">
            <v>642</v>
          </cell>
          <cell r="CS408">
            <v>16.253164556962023</v>
          </cell>
          <cell r="CX408">
            <v>0</v>
          </cell>
          <cell r="CY408">
            <v>750</v>
          </cell>
          <cell r="CZ408">
            <v>120</v>
          </cell>
          <cell r="DA408">
            <v>16</v>
          </cell>
          <cell r="DF408">
            <v>0</v>
          </cell>
          <cell r="DG408">
            <v>1300</v>
          </cell>
          <cell r="DH408">
            <v>208</v>
          </cell>
          <cell r="DI408">
            <v>16</v>
          </cell>
          <cell r="DN408">
            <v>0</v>
          </cell>
          <cell r="DO408">
            <v>1440</v>
          </cell>
          <cell r="DP408">
            <v>231</v>
          </cell>
          <cell r="DQ408">
            <v>16.041666666666668</v>
          </cell>
          <cell r="DV408">
            <v>0</v>
          </cell>
          <cell r="DW408">
            <v>2510</v>
          </cell>
          <cell r="DX408">
            <v>411</v>
          </cell>
          <cell r="DY408">
            <v>16.374501992031874</v>
          </cell>
        </row>
        <row r="409">
          <cell r="F409">
            <v>0</v>
          </cell>
          <cell r="G409">
            <v>30047</v>
          </cell>
          <cell r="H409">
            <v>-1325</v>
          </cell>
          <cell r="I409">
            <v>-4.4097580457283589</v>
          </cell>
          <cell r="O409">
            <v>1726</v>
          </cell>
          <cell r="P409">
            <v>-134</v>
          </cell>
          <cell r="U409">
            <v>1983</v>
          </cell>
          <cell r="V409">
            <v>-147</v>
          </cell>
          <cell r="AA409">
            <v>1981</v>
          </cell>
          <cell r="AB409">
            <v>-130</v>
          </cell>
          <cell r="AG409">
            <v>2161</v>
          </cell>
          <cell r="AH409">
            <v>-167</v>
          </cell>
          <cell r="AM409">
            <v>2775</v>
          </cell>
          <cell r="AN409">
            <v>-262</v>
          </cell>
          <cell r="AS409">
            <v>2063</v>
          </cell>
          <cell r="AT409">
            <v>-91</v>
          </cell>
          <cell r="AX409">
            <v>0</v>
          </cell>
          <cell r="AY409">
            <v>12689</v>
          </cell>
          <cell r="AZ409">
            <v>-931</v>
          </cell>
          <cell r="BA409">
            <v>-7.3370635983923087</v>
          </cell>
          <cell r="BG409">
            <v>2156</v>
          </cell>
          <cell r="BH409">
            <v>-150</v>
          </cell>
          <cell r="BM409">
            <v>2786</v>
          </cell>
          <cell r="BN409">
            <v>-17</v>
          </cell>
          <cell r="BS409">
            <v>2969</v>
          </cell>
          <cell r="BT409">
            <v>-106</v>
          </cell>
          <cell r="BY409">
            <v>2483</v>
          </cell>
          <cell r="BZ409">
            <v>24</v>
          </cell>
          <cell r="CE409">
            <v>3670</v>
          </cell>
          <cell r="CF409">
            <v>-81</v>
          </cell>
          <cell r="CK409">
            <v>3294</v>
          </cell>
          <cell r="CL409">
            <v>-64</v>
          </cell>
          <cell r="CP409">
            <v>0</v>
          </cell>
          <cell r="CQ409">
            <v>17358</v>
          </cell>
          <cell r="CR409">
            <v>-394</v>
          </cell>
          <cell r="CS409">
            <v>-2.2698467565387714</v>
          </cell>
          <cell r="CX409">
            <v>0</v>
          </cell>
          <cell r="CY409">
            <v>5690</v>
          </cell>
          <cell r="CZ409">
            <v>-411</v>
          </cell>
          <cell r="DA409">
            <v>-7.2231985940246046</v>
          </cell>
          <cell r="DF409">
            <v>0</v>
          </cell>
          <cell r="DG409">
            <v>6999</v>
          </cell>
          <cell r="DH409">
            <v>-520</v>
          </cell>
          <cell r="DI409">
            <v>-7.429632804686384</v>
          </cell>
          <cell r="DN409">
            <v>0</v>
          </cell>
          <cell r="DO409">
            <v>7911</v>
          </cell>
          <cell r="DP409">
            <v>-273</v>
          </cell>
          <cell r="DQ409">
            <v>-3.4508911642017441</v>
          </cell>
          <cell r="DV409">
            <v>0</v>
          </cell>
          <cell r="DW409">
            <v>9447</v>
          </cell>
          <cell r="DX409">
            <v>-121</v>
          </cell>
          <cell r="DY409">
            <v>-1.2808298930877526</v>
          </cell>
        </row>
        <row r="410">
          <cell r="F410">
            <v>0</v>
          </cell>
          <cell r="G410">
            <v>11978</v>
          </cell>
          <cell r="H410">
            <v>2357</v>
          </cell>
          <cell r="I410">
            <v>19.677742527967943</v>
          </cell>
          <cell r="O410">
            <v>0</v>
          </cell>
          <cell r="P410">
            <v>0</v>
          </cell>
          <cell r="U410">
            <v>0</v>
          </cell>
          <cell r="V410">
            <v>0</v>
          </cell>
          <cell r="AA410">
            <v>0</v>
          </cell>
          <cell r="AB410">
            <v>0</v>
          </cell>
          <cell r="AG410">
            <v>0</v>
          </cell>
          <cell r="AH410">
            <v>0</v>
          </cell>
          <cell r="AM410">
            <v>0</v>
          </cell>
          <cell r="AN410">
            <v>0</v>
          </cell>
          <cell r="AS410">
            <v>1564</v>
          </cell>
          <cell r="AT410">
            <v>516</v>
          </cell>
          <cell r="AX410">
            <v>0</v>
          </cell>
          <cell r="AY410">
            <v>1564</v>
          </cell>
          <cell r="AZ410">
            <v>516</v>
          </cell>
          <cell r="BA410">
            <v>32.992327365728904</v>
          </cell>
          <cell r="BG410">
            <v>3000</v>
          </cell>
          <cell r="BH410">
            <v>683</v>
          </cell>
          <cell r="BM410">
            <v>2800</v>
          </cell>
          <cell r="BN410">
            <v>955</v>
          </cell>
          <cell r="BS410">
            <v>3114</v>
          </cell>
          <cell r="BT410">
            <v>-325</v>
          </cell>
          <cell r="BY410">
            <v>1500</v>
          </cell>
          <cell r="BZ410">
            <v>528</v>
          </cell>
          <cell r="CE410">
            <v>0</v>
          </cell>
          <cell r="CF410">
            <v>0</v>
          </cell>
          <cell r="CK410">
            <v>0</v>
          </cell>
          <cell r="CL410">
            <v>0</v>
          </cell>
          <cell r="CP410">
            <v>0</v>
          </cell>
          <cell r="CQ410">
            <v>10414</v>
          </cell>
          <cell r="CR410">
            <v>1841</v>
          </cell>
          <cell r="CS410">
            <v>17.678125600153638</v>
          </cell>
          <cell r="CX410">
            <v>0</v>
          </cell>
          <cell r="CY410">
            <v>0</v>
          </cell>
          <cell r="CZ410">
            <v>0</v>
          </cell>
          <cell r="DA410">
            <v>0</v>
          </cell>
          <cell r="DF410">
            <v>0</v>
          </cell>
          <cell r="DG410">
            <v>1564</v>
          </cell>
          <cell r="DH410">
            <v>516</v>
          </cell>
          <cell r="DI410">
            <v>32.992327365728904</v>
          </cell>
          <cell r="DN410">
            <v>0</v>
          </cell>
          <cell r="DO410">
            <v>8914</v>
          </cell>
          <cell r="DP410">
            <v>1313</v>
          </cell>
          <cell r="DQ410">
            <v>14.729638770473413</v>
          </cell>
          <cell r="DV410">
            <v>0</v>
          </cell>
          <cell r="DW410">
            <v>1500</v>
          </cell>
          <cell r="DX410">
            <v>528</v>
          </cell>
          <cell r="DY410">
            <v>35.199999999999996</v>
          </cell>
        </row>
        <row r="411">
          <cell r="F411">
            <v>0</v>
          </cell>
          <cell r="G411">
            <v>0</v>
          </cell>
          <cell r="H411">
            <v>0</v>
          </cell>
          <cell r="I411">
            <v>0</v>
          </cell>
          <cell r="AF411">
            <v>0</v>
          </cell>
          <cell r="AG411">
            <v>0</v>
          </cell>
          <cell r="AH411">
            <v>0</v>
          </cell>
          <cell r="AL411">
            <v>0</v>
          </cell>
          <cell r="AR411">
            <v>0</v>
          </cell>
          <cell r="AX411">
            <v>0</v>
          </cell>
          <cell r="BA411">
            <v>0</v>
          </cell>
          <cell r="CP411">
            <v>0</v>
          </cell>
          <cell r="CQ411">
            <v>0</v>
          </cell>
          <cell r="CR411">
            <v>0</v>
          </cell>
          <cell r="CS411">
            <v>0</v>
          </cell>
          <cell r="CX411">
            <v>0</v>
          </cell>
          <cell r="CY411">
            <v>0</v>
          </cell>
          <cell r="CZ411">
            <v>0</v>
          </cell>
          <cell r="DA411">
            <v>0</v>
          </cell>
          <cell r="DF411">
            <v>0</v>
          </cell>
          <cell r="DG411">
            <v>0</v>
          </cell>
          <cell r="DH411">
            <v>0</v>
          </cell>
          <cell r="DI411">
            <v>0</v>
          </cell>
          <cell r="DN411">
            <v>0</v>
          </cell>
          <cell r="DO411">
            <v>0</v>
          </cell>
          <cell r="DP411">
            <v>0</v>
          </cell>
          <cell r="DQ411">
            <v>0</v>
          </cell>
          <cell r="DV411">
            <v>0</v>
          </cell>
          <cell r="DW411">
            <v>0</v>
          </cell>
          <cell r="DX411">
            <v>0</v>
          </cell>
          <cell r="DY411">
            <v>0</v>
          </cell>
        </row>
        <row r="412">
          <cell r="F412">
            <v>0</v>
          </cell>
          <cell r="G412">
            <v>48025</v>
          </cell>
          <cell r="H412">
            <v>2002</v>
          </cell>
          <cell r="I412">
            <v>4.1686621551275378</v>
          </cell>
          <cell r="N412">
            <v>0</v>
          </cell>
          <cell r="O412">
            <v>1726</v>
          </cell>
          <cell r="P412">
            <v>-134</v>
          </cell>
          <cell r="T412">
            <v>0</v>
          </cell>
          <cell r="U412">
            <v>2223</v>
          </cell>
          <cell r="V412">
            <v>-109</v>
          </cell>
          <cell r="Z412">
            <v>0</v>
          </cell>
          <cell r="AA412">
            <v>2491</v>
          </cell>
          <cell r="AB412">
            <v>-48</v>
          </cell>
          <cell r="AF412">
            <v>0</v>
          </cell>
          <cell r="AG412">
            <v>2401</v>
          </cell>
          <cell r="AH412">
            <v>-129</v>
          </cell>
          <cell r="AL412">
            <v>0</v>
          </cell>
          <cell r="AM412">
            <v>3275</v>
          </cell>
          <cell r="AN412">
            <v>-182</v>
          </cell>
          <cell r="AR412">
            <v>0</v>
          </cell>
          <cell r="AS412">
            <v>4187</v>
          </cell>
          <cell r="AT412">
            <v>515</v>
          </cell>
          <cell r="AX412">
            <v>0</v>
          </cell>
          <cell r="AY412">
            <v>16303</v>
          </cell>
          <cell r="AZ412">
            <v>-87</v>
          </cell>
          <cell r="BA412">
            <v>-0.53364411458013861</v>
          </cell>
          <cell r="BF412">
            <v>0</v>
          </cell>
          <cell r="BG412">
            <v>5656</v>
          </cell>
          <cell r="BH412">
            <v>613</v>
          </cell>
          <cell r="BL412">
            <v>0</v>
          </cell>
          <cell r="BM412">
            <v>5846</v>
          </cell>
          <cell r="BN412">
            <v>980</v>
          </cell>
          <cell r="BR412">
            <v>0</v>
          </cell>
          <cell r="BS412">
            <v>6763</v>
          </cell>
          <cell r="BT412">
            <v>-322</v>
          </cell>
          <cell r="BX412">
            <v>0</v>
          </cell>
          <cell r="BY412">
            <v>4993</v>
          </cell>
          <cell r="BZ412">
            <v>714</v>
          </cell>
          <cell r="CD412">
            <v>0</v>
          </cell>
          <cell r="CE412">
            <v>4350</v>
          </cell>
          <cell r="CF412">
            <v>28</v>
          </cell>
          <cell r="CJ412">
            <v>0</v>
          </cell>
          <cell r="CK412">
            <v>4114</v>
          </cell>
          <cell r="CL412">
            <v>76</v>
          </cell>
          <cell r="CP412">
            <v>0</v>
          </cell>
          <cell r="CQ412">
            <v>31722</v>
          </cell>
          <cell r="CR412">
            <v>2089</v>
          </cell>
          <cell r="CS412">
            <v>6.5853350986696926</v>
          </cell>
          <cell r="CX412">
            <v>0</v>
          </cell>
          <cell r="CY412">
            <v>6440</v>
          </cell>
          <cell r="CZ412">
            <v>-291</v>
          </cell>
          <cell r="DA412">
            <v>-4.5186335403726705</v>
          </cell>
          <cell r="DF412">
            <v>0</v>
          </cell>
          <cell r="DG412">
            <v>9863</v>
          </cell>
          <cell r="DH412">
            <v>204</v>
          </cell>
          <cell r="DI412">
            <v>2.0683362060225083</v>
          </cell>
          <cell r="DN412">
            <v>0</v>
          </cell>
          <cell r="DO412">
            <v>18265</v>
          </cell>
          <cell r="DP412">
            <v>1271</v>
          </cell>
          <cell r="DQ412">
            <v>6.9586641116890222</v>
          </cell>
          <cell r="DV412">
            <v>0</v>
          </cell>
          <cell r="DW412">
            <v>13457</v>
          </cell>
          <cell r="DX412">
            <v>818</v>
          </cell>
          <cell r="DY412">
            <v>6.0786207921527824</v>
          </cell>
        </row>
        <row r="413">
          <cell r="F413">
            <v>0</v>
          </cell>
          <cell r="G413">
            <v>0</v>
          </cell>
          <cell r="H413">
            <v>0</v>
          </cell>
          <cell r="I413">
            <v>0</v>
          </cell>
          <cell r="O413">
            <v>0</v>
          </cell>
          <cell r="P413">
            <v>0</v>
          </cell>
          <cell r="U413">
            <v>0</v>
          </cell>
          <cell r="V413">
            <v>0</v>
          </cell>
          <cell r="AA413">
            <v>0</v>
          </cell>
          <cell r="AB413">
            <v>0</v>
          </cell>
          <cell r="AG413">
            <v>0</v>
          </cell>
          <cell r="AH413">
            <v>0</v>
          </cell>
          <cell r="AS413">
            <v>0</v>
          </cell>
          <cell r="AT413">
            <v>0</v>
          </cell>
          <cell r="AX413">
            <v>0</v>
          </cell>
          <cell r="AY413">
            <v>0</v>
          </cell>
          <cell r="AZ413">
            <v>0</v>
          </cell>
          <cell r="BA413">
            <v>0</v>
          </cell>
          <cell r="CP413">
            <v>0</v>
          </cell>
          <cell r="CQ413">
            <v>0</v>
          </cell>
          <cell r="CR413">
            <v>0</v>
          </cell>
          <cell r="CS413">
            <v>0</v>
          </cell>
          <cell r="CX413">
            <v>0</v>
          </cell>
          <cell r="CY413">
            <v>0</v>
          </cell>
          <cell r="CZ413">
            <v>0</v>
          </cell>
          <cell r="DA413">
            <v>0</v>
          </cell>
          <cell r="DF413">
            <v>0</v>
          </cell>
          <cell r="DG413">
            <v>0</v>
          </cell>
          <cell r="DH413">
            <v>0</v>
          </cell>
          <cell r="DI413">
            <v>0</v>
          </cell>
          <cell r="DN413">
            <v>0</v>
          </cell>
          <cell r="DO413">
            <v>0</v>
          </cell>
          <cell r="DP413">
            <v>0</v>
          </cell>
          <cell r="DQ413">
            <v>0</v>
          </cell>
          <cell r="DV413">
            <v>0</v>
          </cell>
          <cell r="DW413">
            <v>0</v>
          </cell>
          <cell r="DX413">
            <v>0</v>
          </cell>
          <cell r="DY413">
            <v>0</v>
          </cell>
        </row>
        <row r="414">
          <cell r="F414">
            <v>0</v>
          </cell>
          <cell r="G414">
            <v>15071</v>
          </cell>
          <cell r="H414">
            <v>-645</v>
          </cell>
          <cell r="I414">
            <v>-4.2797425519209078</v>
          </cell>
          <cell r="O414">
            <v>0</v>
          </cell>
          <cell r="P414">
            <v>0</v>
          </cell>
          <cell r="U414">
            <v>0</v>
          </cell>
          <cell r="V414">
            <v>0</v>
          </cell>
          <cell r="AA414">
            <v>0</v>
          </cell>
          <cell r="AB414">
            <v>0</v>
          </cell>
          <cell r="AG414">
            <v>0</v>
          </cell>
          <cell r="AH414">
            <v>0</v>
          </cell>
          <cell r="AS414">
            <v>4807</v>
          </cell>
          <cell r="AT414">
            <v>-272</v>
          </cell>
          <cell r="AX414">
            <v>0</v>
          </cell>
          <cell r="AY414">
            <v>4807</v>
          </cell>
          <cell r="AZ414">
            <v>-272</v>
          </cell>
          <cell r="BA414">
            <v>-5.6584148117328894</v>
          </cell>
          <cell r="BG414">
            <v>2091</v>
          </cell>
          <cell r="BH414">
            <v>-227</v>
          </cell>
          <cell r="BM414">
            <v>1526</v>
          </cell>
          <cell r="BN414">
            <v>79</v>
          </cell>
          <cell r="BS414">
            <v>814</v>
          </cell>
          <cell r="BT414">
            <v>-146</v>
          </cell>
          <cell r="BY414">
            <v>1372</v>
          </cell>
          <cell r="BZ414">
            <v>-11</v>
          </cell>
          <cell r="CE414">
            <v>908</v>
          </cell>
          <cell r="CF414">
            <v>2</v>
          </cell>
          <cell r="CK414">
            <v>3553</v>
          </cell>
          <cell r="CL414">
            <v>-70</v>
          </cell>
          <cell r="CP414">
            <v>0</v>
          </cell>
          <cell r="CQ414">
            <v>10264</v>
          </cell>
          <cell r="CR414">
            <v>-373</v>
          </cell>
          <cell r="CS414">
            <v>-3.6340607950116914</v>
          </cell>
          <cell r="CX414">
            <v>0</v>
          </cell>
          <cell r="CY414">
            <v>0</v>
          </cell>
          <cell r="CZ414">
            <v>0</v>
          </cell>
          <cell r="DA414">
            <v>0</v>
          </cell>
          <cell r="DF414">
            <v>0</v>
          </cell>
          <cell r="DG414">
            <v>4807</v>
          </cell>
          <cell r="DH414">
            <v>-272</v>
          </cell>
          <cell r="DI414">
            <v>-5.6584148117328894</v>
          </cell>
          <cell r="DN414">
            <v>0</v>
          </cell>
          <cell r="DO414">
            <v>4431</v>
          </cell>
          <cell r="DP414">
            <v>-294</v>
          </cell>
          <cell r="DQ414">
            <v>-6.6350710900473935</v>
          </cell>
          <cell r="DV414">
            <v>0</v>
          </cell>
          <cell r="DW414">
            <v>5833</v>
          </cell>
          <cell r="DX414">
            <v>-79</v>
          </cell>
          <cell r="DY414">
            <v>-1.3543631064632264</v>
          </cell>
        </row>
        <row r="415">
          <cell r="F415">
            <v>0</v>
          </cell>
          <cell r="G415">
            <v>13333</v>
          </cell>
          <cell r="H415">
            <v>0</v>
          </cell>
          <cell r="I415">
            <v>0</v>
          </cell>
          <cell r="O415">
            <v>0</v>
          </cell>
          <cell r="P415">
            <v>0</v>
          </cell>
          <cell r="U415">
            <v>0</v>
          </cell>
          <cell r="V415">
            <v>0</v>
          </cell>
          <cell r="AA415">
            <v>0</v>
          </cell>
          <cell r="AB415">
            <v>0</v>
          </cell>
          <cell r="AX415">
            <v>0</v>
          </cell>
          <cell r="AY415">
            <v>0</v>
          </cell>
          <cell r="AZ415">
            <v>0</v>
          </cell>
          <cell r="BA415">
            <v>0</v>
          </cell>
          <cell r="BM415">
            <v>1636</v>
          </cell>
          <cell r="BS415">
            <v>3614</v>
          </cell>
          <cell r="BY415">
            <v>306</v>
          </cell>
          <cell r="CE415">
            <v>1161</v>
          </cell>
          <cell r="CK415">
            <v>6616</v>
          </cell>
          <cell r="CP415">
            <v>0</v>
          </cell>
          <cell r="CQ415">
            <v>13333</v>
          </cell>
          <cell r="CR415">
            <v>0</v>
          </cell>
          <cell r="CS415">
            <v>0</v>
          </cell>
          <cell r="CX415">
            <v>0</v>
          </cell>
          <cell r="CY415">
            <v>0</v>
          </cell>
          <cell r="CZ415">
            <v>0</v>
          </cell>
          <cell r="DA415">
            <v>0</v>
          </cell>
          <cell r="DF415">
            <v>0</v>
          </cell>
          <cell r="DG415">
            <v>0</v>
          </cell>
          <cell r="DH415">
            <v>0</v>
          </cell>
          <cell r="DI415">
            <v>0</v>
          </cell>
          <cell r="DN415">
            <v>0</v>
          </cell>
          <cell r="DO415">
            <v>5250</v>
          </cell>
          <cell r="DP415">
            <v>0</v>
          </cell>
          <cell r="DQ415">
            <v>0</v>
          </cell>
          <cell r="DV415">
            <v>0</v>
          </cell>
          <cell r="DW415">
            <v>8083</v>
          </cell>
          <cell r="DX415">
            <v>0</v>
          </cell>
          <cell r="DY415">
            <v>0</v>
          </cell>
        </row>
        <row r="416">
          <cell r="F416">
            <v>0</v>
          </cell>
          <cell r="G416">
            <v>28404</v>
          </cell>
          <cell r="H416">
            <v>-645</v>
          </cell>
          <cell r="I416">
            <v>-2.2708069286016057</v>
          </cell>
          <cell r="N416">
            <v>0</v>
          </cell>
          <cell r="O416">
            <v>0</v>
          </cell>
          <cell r="P416">
            <v>0</v>
          </cell>
          <cell r="T416">
            <v>0</v>
          </cell>
          <cell r="U416">
            <v>0</v>
          </cell>
          <cell r="V416">
            <v>0</v>
          </cell>
          <cell r="Z416">
            <v>0</v>
          </cell>
          <cell r="AA416">
            <v>0</v>
          </cell>
          <cell r="AB416">
            <v>0</v>
          </cell>
          <cell r="AF416">
            <v>0</v>
          </cell>
          <cell r="AG416">
            <v>0</v>
          </cell>
          <cell r="AH416">
            <v>0</v>
          </cell>
          <cell r="AL416">
            <v>0</v>
          </cell>
          <cell r="AM416">
            <v>0</v>
          </cell>
          <cell r="AN416">
            <v>0</v>
          </cell>
          <cell r="AR416">
            <v>0</v>
          </cell>
          <cell r="AS416">
            <v>4807</v>
          </cell>
          <cell r="AT416">
            <v>-272</v>
          </cell>
          <cell r="AX416">
            <v>0</v>
          </cell>
          <cell r="AY416">
            <v>4807</v>
          </cell>
          <cell r="AZ416">
            <v>-272</v>
          </cell>
          <cell r="BA416">
            <v>-5.6584148117328894</v>
          </cell>
          <cell r="BF416">
            <v>0</v>
          </cell>
          <cell r="BG416">
            <v>2091</v>
          </cell>
          <cell r="BH416">
            <v>-227</v>
          </cell>
          <cell r="BL416">
            <v>0</v>
          </cell>
          <cell r="BM416">
            <v>3162</v>
          </cell>
          <cell r="BN416">
            <v>79</v>
          </cell>
          <cell r="BR416">
            <v>0</v>
          </cell>
          <cell r="BS416">
            <v>4428</v>
          </cell>
          <cell r="BT416">
            <v>-146</v>
          </cell>
          <cell r="BX416">
            <v>0</v>
          </cell>
          <cell r="BY416">
            <v>1678</v>
          </cell>
          <cell r="BZ416">
            <v>-11</v>
          </cell>
          <cell r="CD416">
            <v>0</v>
          </cell>
          <cell r="CE416">
            <v>2069</v>
          </cell>
          <cell r="CF416">
            <v>2</v>
          </cell>
          <cell r="CJ416">
            <v>0</v>
          </cell>
          <cell r="CK416">
            <v>10169</v>
          </cell>
          <cell r="CL416">
            <v>-70</v>
          </cell>
          <cell r="CP416">
            <v>0</v>
          </cell>
          <cell r="CQ416">
            <v>23597</v>
          </cell>
          <cell r="CR416">
            <v>-373</v>
          </cell>
          <cell r="CS416">
            <v>-1.5807094122134169</v>
          </cell>
          <cell r="CX416">
            <v>0</v>
          </cell>
          <cell r="CY416">
            <v>0</v>
          </cell>
          <cell r="CZ416">
            <v>0</v>
          </cell>
          <cell r="DA416">
            <v>0</v>
          </cell>
          <cell r="DF416">
            <v>0</v>
          </cell>
          <cell r="DG416">
            <v>4807</v>
          </cell>
          <cell r="DH416">
            <v>-272</v>
          </cell>
          <cell r="DI416">
            <v>-5.6584148117328894</v>
          </cell>
          <cell r="DN416">
            <v>0</v>
          </cell>
          <cell r="DO416">
            <v>9681</v>
          </cell>
          <cell r="DP416">
            <v>-294</v>
          </cell>
          <cell r="DQ416">
            <v>-3.0368763557483729</v>
          </cell>
          <cell r="DV416">
            <v>0</v>
          </cell>
          <cell r="DW416">
            <v>13916</v>
          </cell>
          <cell r="DX416">
            <v>-79</v>
          </cell>
          <cell r="DY416">
            <v>-0.56769186547858574</v>
          </cell>
        </row>
        <row r="417">
          <cell r="F417">
            <v>0</v>
          </cell>
          <cell r="G417">
            <v>0</v>
          </cell>
          <cell r="H417">
            <v>0</v>
          </cell>
          <cell r="I417">
            <v>0</v>
          </cell>
          <cell r="O417">
            <v>0</v>
          </cell>
          <cell r="P417">
            <v>0</v>
          </cell>
          <cell r="U417">
            <v>0</v>
          </cell>
          <cell r="V417">
            <v>0</v>
          </cell>
          <cell r="AA417">
            <v>0</v>
          </cell>
          <cell r="AB417">
            <v>0</v>
          </cell>
          <cell r="AG417">
            <v>0</v>
          </cell>
          <cell r="AH417">
            <v>0</v>
          </cell>
          <cell r="AS417">
            <v>0</v>
          </cell>
          <cell r="AT417">
            <v>0</v>
          </cell>
          <cell r="AX417">
            <v>0</v>
          </cell>
          <cell r="AY417">
            <v>0</v>
          </cell>
          <cell r="AZ417">
            <v>0</v>
          </cell>
          <cell r="BA417">
            <v>0</v>
          </cell>
          <cell r="CP417">
            <v>0</v>
          </cell>
          <cell r="CQ417">
            <v>0</v>
          </cell>
          <cell r="CR417">
            <v>0</v>
          </cell>
          <cell r="CS417">
            <v>0</v>
          </cell>
          <cell r="CX417">
            <v>0</v>
          </cell>
          <cell r="CY417">
            <v>0</v>
          </cell>
          <cell r="CZ417">
            <v>0</v>
          </cell>
          <cell r="DA417">
            <v>0</v>
          </cell>
          <cell r="DF417">
            <v>0</v>
          </cell>
          <cell r="DG417">
            <v>0</v>
          </cell>
          <cell r="DH417">
            <v>0</v>
          </cell>
          <cell r="DI417">
            <v>0</v>
          </cell>
          <cell r="DN417">
            <v>0</v>
          </cell>
          <cell r="DO417">
            <v>0</v>
          </cell>
          <cell r="DP417">
            <v>0</v>
          </cell>
          <cell r="DQ417">
            <v>0</v>
          </cell>
          <cell r="DV417">
            <v>0</v>
          </cell>
          <cell r="DW417">
            <v>0</v>
          </cell>
          <cell r="DX417">
            <v>0</v>
          </cell>
          <cell r="DY417">
            <v>0</v>
          </cell>
        </row>
        <row r="418">
          <cell r="F418">
            <v>0</v>
          </cell>
          <cell r="G418">
            <v>108448</v>
          </cell>
          <cell r="H418">
            <v>9112</v>
          </cell>
          <cell r="I418">
            <v>8.402183534966067</v>
          </cell>
          <cell r="N418">
            <v>0</v>
          </cell>
          <cell r="O418">
            <v>2631</v>
          </cell>
          <cell r="P418">
            <v>-45</v>
          </cell>
          <cell r="T418">
            <v>0</v>
          </cell>
          <cell r="U418">
            <v>4642</v>
          </cell>
          <cell r="V418">
            <v>-27</v>
          </cell>
          <cell r="Z418">
            <v>0</v>
          </cell>
          <cell r="AA418">
            <v>4032</v>
          </cell>
          <cell r="AB418">
            <v>170</v>
          </cell>
          <cell r="AF418">
            <v>0</v>
          </cell>
          <cell r="AG418">
            <v>4360</v>
          </cell>
          <cell r="AH418">
            <v>159</v>
          </cell>
          <cell r="AL418">
            <v>0</v>
          </cell>
          <cell r="AM418">
            <v>5323</v>
          </cell>
          <cell r="AN418">
            <v>63</v>
          </cell>
          <cell r="AR418">
            <v>0</v>
          </cell>
          <cell r="AS418">
            <v>11208</v>
          </cell>
          <cell r="AT418">
            <v>602</v>
          </cell>
          <cell r="AX418">
            <v>0</v>
          </cell>
          <cell r="AY418">
            <v>32196</v>
          </cell>
          <cell r="AZ418">
            <v>922</v>
          </cell>
          <cell r="BA418">
            <v>2.8637097776121259</v>
          </cell>
          <cell r="BF418">
            <v>0</v>
          </cell>
          <cell r="BG418">
            <v>10565</v>
          </cell>
          <cell r="BH418">
            <v>978</v>
          </cell>
          <cell r="BL418">
            <v>0</v>
          </cell>
          <cell r="BM418">
            <v>11031</v>
          </cell>
          <cell r="BN418">
            <v>1531</v>
          </cell>
          <cell r="BR418">
            <v>0</v>
          </cell>
          <cell r="BS418">
            <v>14133</v>
          </cell>
          <cell r="BT418">
            <v>229</v>
          </cell>
          <cell r="BX418">
            <v>0</v>
          </cell>
          <cell r="BY418">
            <v>9144</v>
          </cell>
          <cell r="BZ418">
            <v>1306</v>
          </cell>
          <cell r="CD418">
            <v>0</v>
          </cell>
          <cell r="CE418">
            <v>11524</v>
          </cell>
          <cell r="CF418">
            <v>2532</v>
          </cell>
          <cell r="CJ418">
            <v>0</v>
          </cell>
          <cell r="CK418">
            <v>19855</v>
          </cell>
          <cell r="CL418">
            <v>1614</v>
          </cell>
          <cell r="CP418">
            <v>0</v>
          </cell>
          <cell r="CQ418">
            <v>76252</v>
          </cell>
          <cell r="CR418">
            <v>8190</v>
          </cell>
          <cell r="CS418">
            <v>10.740701883229292</v>
          </cell>
          <cell r="CX418">
            <v>0</v>
          </cell>
          <cell r="CY418">
            <v>11305</v>
          </cell>
          <cell r="CZ418">
            <v>98</v>
          </cell>
          <cell r="DA418">
            <v>0.86687306501547989</v>
          </cell>
          <cell r="DF418">
            <v>0</v>
          </cell>
          <cell r="DG418">
            <v>20891</v>
          </cell>
          <cell r="DH418">
            <v>824</v>
          </cell>
          <cell r="DI418">
            <v>3.9442822267962279</v>
          </cell>
          <cell r="DN418">
            <v>0</v>
          </cell>
          <cell r="DO418">
            <v>35729</v>
          </cell>
          <cell r="DP418">
            <v>2738</v>
          </cell>
          <cell r="DQ418">
            <v>7.6632427439894766</v>
          </cell>
          <cell r="DV418">
            <v>0</v>
          </cell>
          <cell r="DW418">
            <v>40523</v>
          </cell>
          <cell r="DX418">
            <v>5452</v>
          </cell>
          <cell r="DY418">
            <v>13.454087801988992</v>
          </cell>
        </row>
        <row r="419">
          <cell r="F419">
            <v>0</v>
          </cell>
          <cell r="G419">
            <v>0</v>
          </cell>
          <cell r="H419">
            <v>0</v>
          </cell>
          <cell r="I419">
            <v>0</v>
          </cell>
          <cell r="N419">
            <v>0</v>
          </cell>
          <cell r="O419">
            <v>0</v>
          </cell>
          <cell r="P419">
            <v>0</v>
          </cell>
          <cell r="T419">
            <v>0</v>
          </cell>
          <cell r="U419">
            <v>0</v>
          </cell>
          <cell r="V419">
            <v>0</v>
          </cell>
          <cell r="Z419">
            <v>0</v>
          </cell>
          <cell r="AA419">
            <v>0</v>
          </cell>
          <cell r="AB419">
            <v>0</v>
          </cell>
          <cell r="AF419">
            <v>0</v>
          </cell>
          <cell r="AG419">
            <v>0</v>
          </cell>
          <cell r="AH419">
            <v>0</v>
          </cell>
          <cell r="AL419">
            <v>0</v>
          </cell>
          <cell r="AM419">
            <v>0</v>
          </cell>
          <cell r="AN419">
            <v>0</v>
          </cell>
          <cell r="AR419">
            <v>0</v>
          </cell>
          <cell r="AS419">
            <v>0</v>
          </cell>
          <cell r="AT419">
            <v>0</v>
          </cell>
          <cell r="AX419">
            <v>0</v>
          </cell>
          <cell r="AY419">
            <v>0</v>
          </cell>
          <cell r="AZ419">
            <v>0</v>
          </cell>
          <cell r="BA419">
            <v>0</v>
          </cell>
          <cell r="BF419">
            <v>0</v>
          </cell>
          <cell r="BG419">
            <v>0</v>
          </cell>
          <cell r="BH419">
            <v>0</v>
          </cell>
          <cell r="BL419">
            <v>0</v>
          </cell>
          <cell r="BM419">
            <v>0</v>
          </cell>
          <cell r="BN419">
            <v>0</v>
          </cell>
          <cell r="BR419">
            <v>0</v>
          </cell>
          <cell r="BS419">
            <v>0</v>
          </cell>
          <cell r="BT419">
            <v>0</v>
          </cell>
          <cell r="BX419">
            <v>0</v>
          </cell>
          <cell r="BY419">
            <v>0</v>
          </cell>
          <cell r="BZ419">
            <v>0</v>
          </cell>
          <cell r="CD419">
            <v>0</v>
          </cell>
          <cell r="CE419">
            <v>0</v>
          </cell>
          <cell r="CF419">
            <v>0</v>
          </cell>
          <cell r="CJ419">
            <v>0</v>
          </cell>
          <cell r="CK419">
            <v>0</v>
          </cell>
          <cell r="CL419">
            <v>0</v>
          </cell>
          <cell r="CP419">
            <v>0</v>
          </cell>
          <cell r="CQ419">
            <v>0</v>
          </cell>
          <cell r="CR419">
            <v>0</v>
          </cell>
          <cell r="CS419">
            <v>0</v>
          </cell>
          <cell r="CX419">
            <v>0</v>
          </cell>
          <cell r="CY419">
            <v>0</v>
          </cell>
          <cell r="CZ419">
            <v>0</v>
          </cell>
          <cell r="DA419">
            <v>0</v>
          </cell>
          <cell r="DF419">
            <v>0</v>
          </cell>
          <cell r="DG419">
            <v>0</v>
          </cell>
          <cell r="DH419">
            <v>0</v>
          </cell>
          <cell r="DI419">
            <v>0</v>
          </cell>
          <cell r="DN419">
            <v>0</v>
          </cell>
          <cell r="DO419">
            <v>0</v>
          </cell>
          <cell r="DP419">
            <v>0</v>
          </cell>
          <cell r="DQ419">
            <v>0</v>
          </cell>
          <cell r="DV419">
            <v>0</v>
          </cell>
          <cell r="DW419">
            <v>0</v>
          </cell>
          <cell r="DX419">
            <v>0</v>
          </cell>
          <cell r="DY419">
            <v>0</v>
          </cell>
        </row>
        <row r="420">
          <cell r="F420">
            <v>0</v>
          </cell>
          <cell r="G420">
            <v>327107</v>
          </cell>
          <cell r="H420">
            <v>47669.877300000007</v>
          </cell>
          <cell r="I420">
            <v>14.573175535833844</v>
          </cell>
          <cell r="N420">
            <v>0</v>
          </cell>
          <cell r="O420">
            <v>2997</v>
          </cell>
          <cell r="P420">
            <v>15.788000000000004</v>
          </cell>
          <cell r="T420">
            <v>0</v>
          </cell>
          <cell r="U420">
            <v>8029</v>
          </cell>
          <cell r="V420">
            <v>464.00700000000006</v>
          </cell>
          <cell r="Z420">
            <v>0</v>
          </cell>
          <cell r="AA420">
            <v>15351</v>
          </cell>
          <cell r="AB420">
            <v>2469.0309999999999</v>
          </cell>
          <cell r="AF420">
            <v>0</v>
          </cell>
          <cell r="AG420">
            <v>13401</v>
          </cell>
          <cell r="AH420">
            <v>1897.636</v>
          </cell>
          <cell r="AL420">
            <v>0</v>
          </cell>
          <cell r="AM420">
            <v>28224</v>
          </cell>
          <cell r="AN420">
            <v>3863.0150000000003</v>
          </cell>
          <cell r="AR420">
            <v>0</v>
          </cell>
          <cell r="AS420">
            <v>29321</v>
          </cell>
          <cell r="AT420">
            <v>3656.5969999999998</v>
          </cell>
          <cell r="AX420">
            <v>0</v>
          </cell>
          <cell r="AY420">
            <v>97323</v>
          </cell>
          <cell r="AZ420">
            <v>12366.074000000001</v>
          </cell>
          <cell r="BA420">
            <v>12.706219495905389</v>
          </cell>
          <cell r="BF420">
            <v>0</v>
          </cell>
          <cell r="BG420">
            <v>16410</v>
          </cell>
          <cell r="BH420">
            <v>2079.7960000000003</v>
          </cell>
          <cell r="BL420">
            <v>0</v>
          </cell>
          <cell r="BM420">
            <v>29337</v>
          </cell>
          <cell r="BN420">
            <v>5121.6449999999995</v>
          </cell>
          <cell r="BR420">
            <v>0</v>
          </cell>
          <cell r="BS420">
            <v>27813</v>
          </cell>
          <cell r="BT420">
            <v>3041.24</v>
          </cell>
          <cell r="BX420">
            <v>0</v>
          </cell>
          <cell r="BY420">
            <v>64581</v>
          </cell>
          <cell r="BZ420">
            <v>8079.2059999999992</v>
          </cell>
          <cell r="CD420">
            <v>0</v>
          </cell>
          <cell r="CE420">
            <v>38296</v>
          </cell>
          <cell r="CF420">
            <v>7033.6260000000002</v>
          </cell>
          <cell r="CJ420">
            <v>0</v>
          </cell>
          <cell r="CK420">
            <v>53347</v>
          </cell>
          <cell r="CL420">
            <v>9948.2903000000006</v>
          </cell>
          <cell r="CP420">
            <v>0</v>
          </cell>
          <cell r="CQ420">
            <v>229784</v>
          </cell>
          <cell r="CR420">
            <v>35303.8033</v>
          </cell>
          <cell r="CS420">
            <v>15.363908409636876</v>
          </cell>
          <cell r="CX420">
            <v>0</v>
          </cell>
          <cell r="CY420">
            <v>26377</v>
          </cell>
          <cell r="CZ420">
            <v>2948.8259999999996</v>
          </cell>
          <cell r="DA420">
            <v>11.179535201122189</v>
          </cell>
          <cell r="DF420">
            <v>0</v>
          </cell>
          <cell r="DG420">
            <v>70946</v>
          </cell>
          <cell r="DH420">
            <v>9417.2479999999996</v>
          </cell>
          <cell r="DI420">
            <v>13.273825162799877</v>
          </cell>
          <cell r="DN420">
            <v>0</v>
          </cell>
          <cell r="DO420">
            <v>73560</v>
          </cell>
          <cell r="DP420">
            <v>10242.681</v>
          </cell>
          <cell r="DQ420">
            <v>13.924253670473083</v>
          </cell>
          <cell r="DV420">
            <v>0</v>
          </cell>
          <cell r="DW420">
            <v>156224</v>
          </cell>
          <cell r="DX420">
            <v>25061.122299999999</v>
          </cell>
          <cell r="DY420">
            <v>16.041787625460877</v>
          </cell>
        </row>
        <row r="421">
          <cell r="F421">
            <v>0</v>
          </cell>
          <cell r="G421">
            <v>308098</v>
          </cell>
          <cell r="H421">
            <v>43804.076300000008</v>
          </cell>
          <cell r="I421">
            <v>14.217578919694384</v>
          </cell>
          <cell r="N421">
            <v>0</v>
          </cell>
          <cell r="O421">
            <v>2639</v>
          </cell>
          <cell r="P421">
            <v>-17.211999999999996</v>
          </cell>
          <cell r="T421">
            <v>0</v>
          </cell>
          <cell r="U421">
            <v>7749</v>
          </cell>
          <cell r="V421">
            <v>381.00700000000006</v>
          </cell>
          <cell r="Z421">
            <v>0</v>
          </cell>
          <cell r="AA421">
            <v>15086</v>
          </cell>
          <cell r="AB421">
            <v>2447.0309999999999</v>
          </cell>
          <cell r="AF421">
            <v>0</v>
          </cell>
          <cell r="AG421">
            <v>13013</v>
          </cell>
          <cell r="AH421">
            <v>1765.636</v>
          </cell>
          <cell r="AL421">
            <v>0</v>
          </cell>
          <cell r="AM421">
            <v>20655</v>
          </cell>
          <cell r="AN421">
            <v>2900.8970000000004</v>
          </cell>
          <cell r="AR421">
            <v>0</v>
          </cell>
          <cell r="AS421">
            <v>28856</v>
          </cell>
          <cell r="AT421">
            <v>3510.5969999999998</v>
          </cell>
          <cell r="AX421">
            <v>0</v>
          </cell>
          <cell r="AY421">
            <v>87998</v>
          </cell>
          <cell r="AZ421">
            <v>10987.956</v>
          </cell>
          <cell r="BA421">
            <v>12.486597422668696</v>
          </cell>
          <cell r="BF421">
            <v>0</v>
          </cell>
          <cell r="BG421">
            <v>15656</v>
          </cell>
          <cell r="BH421">
            <v>1846.8960000000002</v>
          </cell>
          <cell r="BL421">
            <v>0</v>
          </cell>
          <cell r="BM421">
            <v>28739</v>
          </cell>
          <cell r="BN421">
            <v>4859.6449999999995</v>
          </cell>
          <cell r="BR421">
            <v>0</v>
          </cell>
          <cell r="BS421">
            <v>27028</v>
          </cell>
          <cell r="BT421">
            <v>2736.24</v>
          </cell>
          <cell r="BX421">
            <v>0</v>
          </cell>
          <cell r="BY421">
            <v>62786</v>
          </cell>
          <cell r="BZ421">
            <v>7651.0059999999994</v>
          </cell>
          <cell r="CD421">
            <v>0</v>
          </cell>
          <cell r="CE421">
            <v>36083</v>
          </cell>
          <cell r="CF421">
            <v>6461.6260000000002</v>
          </cell>
          <cell r="CJ421">
            <v>0</v>
          </cell>
          <cell r="CK421">
            <v>49808</v>
          </cell>
          <cell r="CL421">
            <v>9260.7073</v>
          </cell>
          <cell r="CP421">
            <v>0</v>
          </cell>
          <cell r="CQ421">
            <v>220100</v>
          </cell>
          <cell r="CR421">
            <v>32816.120300000002</v>
          </cell>
          <cell r="CS421">
            <v>14.909641208541574</v>
          </cell>
          <cell r="CX421">
            <v>0</v>
          </cell>
          <cell r="CY421">
            <v>25474</v>
          </cell>
          <cell r="CZ421">
            <v>2810.8259999999996</v>
          </cell>
          <cell r="DA421">
            <v>11.034097511187877</v>
          </cell>
          <cell r="DF421">
            <v>0</v>
          </cell>
          <cell r="DG421">
            <v>62524</v>
          </cell>
          <cell r="DH421">
            <v>8177.1299999999992</v>
          </cell>
          <cell r="DI421">
            <v>13.078385899814471</v>
          </cell>
          <cell r="DN421">
            <v>0</v>
          </cell>
          <cell r="DO421">
            <v>71423</v>
          </cell>
          <cell r="DP421">
            <v>9442.7810000000009</v>
          </cell>
          <cell r="DQ421">
            <v>13.220924632121307</v>
          </cell>
          <cell r="DV421">
            <v>0</v>
          </cell>
          <cell r="DW421">
            <v>148677</v>
          </cell>
          <cell r="DX421">
            <v>23373.3393</v>
          </cell>
          <cell r="DY421">
            <v>15.720884400411631</v>
          </cell>
        </row>
        <row r="422">
          <cell r="F422">
            <v>0</v>
          </cell>
          <cell r="G422">
            <v>19009</v>
          </cell>
          <cell r="H422">
            <v>3865.8009999999999</v>
          </cell>
          <cell r="I422">
            <v>20.336687884686199</v>
          </cell>
          <cell r="N422">
            <v>0</v>
          </cell>
          <cell r="O422">
            <v>358</v>
          </cell>
          <cell r="P422">
            <v>33</v>
          </cell>
          <cell r="T422">
            <v>0</v>
          </cell>
          <cell r="U422">
            <v>280</v>
          </cell>
          <cell r="V422">
            <v>83</v>
          </cell>
          <cell r="Z422">
            <v>0</v>
          </cell>
          <cell r="AA422">
            <v>265</v>
          </cell>
          <cell r="AB422">
            <v>22</v>
          </cell>
          <cell r="AF422">
            <v>0</v>
          </cell>
          <cell r="AG422">
            <v>388</v>
          </cell>
          <cell r="AH422">
            <v>132</v>
          </cell>
          <cell r="AL422">
            <v>0</v>
          </cell>
          <cell r="AM422">
            <v>7569</v>
          </cell>
          <cell r="AN422">
            <v>962.11799999999994</v>
          </cell>
          <cell r="AR422">
            <v>0</v>
          </cell>
          <cell r="AS422">
            <v>465</v>
          </cell>
          <cell r="AT422">
            <v>146</v>
          </cell>
          <cell r="AX422">
            <v>0</v>
          </cell>
          <cell r="AY422">
            <v>9325</v>
          </cell>
          <cell r="AZ422">
            <v>1378.1179999999999</v>
          </cell>
          <cell r="BA422">
            <v>14.778745308310992</v>
          </cell>
          <cell r="BF422">
            <v>0</v>
          </cell>
          <cell r="BG422">
            <v>754</v>
          </cell>
          <cell r="BH422">
            <v>232.9</v>
          </cell>
          <cell r="BL422">
            <v>0</v>
          </cell>
          <cell r="BM422">
            <v>598</v>
          </cell>
          <cell r="BN422">
            <v>262</v>
          </cell>
          <cell r="BR422">
            <v>0</v>
          </cell>
          <cell r="BS422">
            <v>785</v>
          </cell>
          <cell r="BT422">
            <v>305</v>
          </cell>
          <cell r="BX422">
            <v>0</v>
          </cell>
          <cell r="BY422">
            <v>1795</v>
          </cell>
          <cell r="BZ422">
            <v>428.2</v>
          </cell>
          <cell r="CD422">
            <v>0</v>
          </cell>
          <cell r="CE422">
            <v>2213</v>
          </cell>
          <cell r="CF422">
            <v>572</v>
          </cell>
          <cell r="CJ422">
            <v>0</v>
          </cell>
          <cell r="CK422">
            <v>3539</v>
          </cell>
          <cell r="CL422">
            <v>687.58299999999997</v>
          </cell>
          <cell r="CP422">
            <v>0</v>
          </cell>
          <cell r="CQ422">
            <v>9684</v>
          </cell>
          <cell r="CR422">
            <v>2487.683</v>
          </cell>
          <cell r="CS422">
            <v>25.688589425857085</v>
          </cell>
          <cell r="CX422">
            <v>0</v>
          </cell>
          <cell r="CY422">
            <v>903</v>
          </cell>
          <cell r="CZ422">
            <v>138</v>
          </cell>
          <cell r="DA422">
            <v>15.282392026578073</v>
          </cell>
          <cell r="DF422">
            <v>0</v>
          </cell>
          <cell r="DG422">
            <v>8422</v>
          </cell>
          <cell r="DH422">
            <v>1240.1179999999999</v>
          </cell>
          <cell r="DI422">
            <v>14.724744716219423</v>
          </cell>
          <cell r="DN422">
            <v>0</v>
          </cell>
          <cell r="DO422">
            <v>2137</v>
          </cell>
          <cell r="DP422">
            <v>799.9</v>
          </cell>
          <cell r="DQ422">
            <v>37.430978006551243</v>
          </cell>
          <cell r="DV422">
            <v>0</v>
          </cell>
          <cell r="DW422">
            <v>7547</v>
          </cell>
          <cell r="DX422">
            <v>1687.7829999999999</v>
          </cell>
          <cell r="DY422">
            <v>22.363627931628461</v>
          </cell>
        </row>
        <row r="423">
          <cell r="F423">
            <v>2166225.804</v>
          </cell>
          <cell r="G423">
            <v>811893.20477099996</v>
          </cell>
          <cell r="H423">
            <v>167813.2163</v>
          </cell>
          <cell r="I423">
            <v>20.669370714505842</v>
          </cell>
          <cell r="N423">
            <v>134931</v>
          </cell>
          <cell r="O423">
            <v>32801.335546300004</v>
          </cell>
          <cell r="P423">
            <v>4689.5999999999995</v>
          </cell>
          <cell r="T423">
            <v>157560</v>
          </cell>
          <cell r="U423">
            <v>41240.524354299996</v>
          </cell>
          <cell r="V423">
            <v>7004.7979999999989</v>
          </cell>
          <cell r="Z423">
            <v>165476.80599999998</v>
          </cell>
          <cell r="AA423">
            <v>50161.560858600002</v>
          </cell>
          <cell r="AB423">
            <v>9267.7249999999985</v>
          </cell>
          <cell r="AF423">
            <v>153855.606</v>
          </cell>
          <cell r="AG423">
            <v>48785.013750600003</v>
          </cell>
          <cell r="AH423">
            <v>9594.4369999999999</v>
          </cell>
          <cell r="AL423">
            <v>160442.67200000002</v>
          </cell>
          <cell r="AM423">
            <v>66761.8393966</v>
          </cell>
          <cell r="AN423">
            <v>13347.748</v>
          </cell>
          <cell r="AR423">
            <v>166731</v>
          </cell>
          <cell r="AS423">
            <v>69280.727868599992</v>
          </cell>
          <cell r="AT423">
            <v>13659.340999999999</v>
          </cell>
          <cell r="AX423">
            <v>938997.08400000003</v>
          </cell>
          <cell r="AY423">
            <v>309031.00177500001</v>
          </cell>
          <cell r="AZ423">
            <v>57563.648999999998</v>
          </cell>
          <cell r="BA423">
            <v>18.627143771779593</v>
          </cell>
          <cell r="BF423">
            <v>185655.34400000001</v>
          </cell>
          <cell r="BG423">
            <v>58731.528288500005</v>
          </cell>
          <cell r="BH423">
            <v>12981.128000000001</v>
          </cell>
          <cell r="BL423">
            <v>194538.34400000001</v>
          </cell>
          <cell r="BM423">
            <v>72418.880024500002</v>
          </cell>
          <cell r="BN423">
            <v>16439.25</v>
          </cell>
          <cell r="BR423">
            <v>212228.34400000001</v>
          </cell>
          <cell r="BS423">
            <v>73670.403194699989</v>
          </cell>
          <cell r="BT423">
            <v>14985.242</v>
          </cell>
          <cell r="BX423">
            <v>230038.34400000001</v>
          </cell>
          <cell r="BY423">
            <v>113774.75913749999</v>
          </cell>
          <cell r="BZ423">
            <v>22077.817999999999</v>
          </cell>
          <cell r="CD423">
            <v>205316.34400000001</v>
          </cell>
          <cell r="CE423">
            <v>85027.900867799995</v>
          </cell>
          <cell r="CF423">
            <v>20551.249</v>
          </cell>
          <cell r="CJ423">
            <v>199452</v>
          </cell>
          <cell r="CK423">
            <v>99238.731482999996</v>
          </cell>
          <cell r="CL423">
            <v>23214.880300000001</v>
          </cell>
          <cell r="CP423">
            <v>1227228.72</v>
          </cell>
          <cell r="CQ423">
            <v>502862.20299600001</v>
          </cell>
          <cell r="CR423">
            <v>110249.56730000001</v>
          </cell>
          <cell r="CS423">
            <v>21.92440924037335</v>
          </cell>
          <cell r="CX423">
            <v>457967.80599999998</v>
          </cell>
          <cell r="CY423">
            <v>124203.4207592</v>
          </cell>
          <cell r="CZ423">
            <v>20962.123</v>
          </cell>
          <cell r="DA423">
            <v>16.877250941936953</v>
          </cell>
          <cell r="DF423">
            <v>481029.27799999999</v>
          </cell>
          <cell r="DG423">
            <v>184827.58101579998</v>
          </cell>
          <cell r="DH423">
            <v>36601.525999999998</v>
          </cell>
          <cell r="DI423">
            <v>19.803064996490498</v>
          </cell>
          <cell r="DN423">
            <v>592422.03200000001</v>
          </cell>
          <cell r="DO423">
            <v>204820.81150770001</v>
          </cell>
          <cell r="DP423">
            <v>44405.619999999995</v>
          </cell>
          <cell r="DQ423">
            <v>21.680228524204736</v>
          </cell>
          <cell r="DV423">
            <v>634806.68800000008</v>
          </cell>
          <cell r="DW423">
            <v>298041.3914883</v>
          </cell>
          <cell r="DX423">
            <v>65843.9473</v>
          </cell>
          <cell r="DY423">
            <v>22.092215772850057</v>
          </cell>
        </row>
        <row r="424">
          <cell r="F424">
            <v>481188</v>
          </cell>
          <cell r="G424">
            <v>470556.14500000002</v>
          </cell>
          <cell r="H424">
            <v>120463.57630000002</v>
          </cell>
          <cell r="I424">
            <v>25.600255693186202</v>
          </cell>
          <cell r="N424">
            <v>30912</v>
          </cell>
          <cell r="O424">
            <v>11912.644000000004</v>
          </cell>
          <cell r="P424">
            <v>3689.6479999999992</v>
          </cell>
          <cell r="T424">
            <v>42530</v>
          </cell>
          <cell r="U424">
            <v>19148.126</v>
          </cell>
          <cell r="V424">
            <v>5391.5729999999985</v>
          </cell>
          <cell r="Z424">
            <v>39370</v>
          </cell>
          <cell r="AA424">
            <v>26664.095000000001</v>
          </cell>
          <cell r="AB424">
            <v>7408.1599999999989</v>
          </cell>
          <cell r="AF424">
            <v>42162</v>
          </cell>
          <cell r="AG424">
            <v>25830.780999999999</v>
          </cell>
          <cell r="AH424">
            <v>7671.6419999999998</v>
          </cell>
          <cell r="AL424">
            <v>45870</v>
          </cell>
          <cell r="AM424">
            <v>36145.165000000001</v>
          </cell>
          <cell r="AN424">
            <v>10503.367999999999</v>
          </cell>
          <cell r="AR424">
            <v>42340</v>
          </cell>
          <cell r="AS424">
            <v>43614.914999999994</v>
          </cell>
          <cell r="AT424">
            <v>10728.15</v>
          </cell>
          <cell r="AX424">
            <v>243184</v>
          </cell>
          <cell r="AY424">
            <v>163315.726</v>
          </cell>
          <cell r="AZ424">
            <v>45392.540999999997</v>
          </cell>
          <cell r="BA424">
            <v>27.79434786335273</v>
          </cell>
          <cell r="BF424">
            <v>42452</v>
          </cell>
          <cell r="BG424">
            <v>30891.819</v>
          </cell>
          <cell r="BH424">
            <v>9321.9639999999999</v>
          </cell>
          <cell r="BL424">
            <v>39045</v>
          </cell>
          <cell r="BM424">
            <v>42650.074000000001</v>
          </cell>
          <cell r="BN424">
            <v>11558.276</v>
          </cell>
          <cell r="BR424">
            <v>40563</v>
          </cell>
          <cell r="BS424">
            <v>41481.783999999992</v>
          </cell>
          <cell r="BT424">
            <v>9616.7999999999993</v>
          </cell>
          <cell r="BX424">
            <v>41490</v>
          </cell>
          <cell r="BY424">
            <v>77813.73</v>
          </cell>
          <cell r="BZ424">
            <v>14992.032999999999</v>
          </cell>
          <cell r="CD424">
            <v>38430</v>
          </cell>
          <cell r="CE424">
            <v>50547.245999999992</v>
          </cell>
          <cell r="CF424">
            <v>13451.356</v>
          </cell>
          <cell r="CJ424">
            <v>36024</v>
          </cell>
          <cell r="CK424">
            <v>63855.766000000003</v>
          </cell>
          <cell r="CL424">
            <v>16130.606300000001</v>
          </cell>
          <cell r="CP424">
            <v>238004</v>
          </cell>
          <cell r="CQ424">
            <v>307240.41899999999</v>
          </cell>
          <cell r="CR424">
            <v>75071.035300000018</v>
          </cell>
          <cell r="CS424">
            <v>24.433971137111364</v>
          </cell>
          <cell r="CX424">
            <v>112812</v>
          </cell>
          <cell r="CY424">
            <v>57724.864999999991</v>
          </cell>
          <cell r="CZ424">
            <v>16489.381000000001</v>
          </cell>
          <cell r="DA424">
            <v>28.565473474905488</v>
          </cell>
          <cell r="DF424">
            <v>130372</v>
          </cell>
          <cell r="DG424">
            <v>105590.861</v>
          </cell>
          <cell r="DH424">
            <v>28903.159999999996</v>
          </cell>
          <cell r="DI424">
            <v>27.372785604996626</v>
          </cell>
          <cell r="DN424">
            <v>122060</v>
          </cell>
          <cell r="DO424">
            <v>115023.677</v>
          </cell>
          <cell r="DP424">
            <v>30497.039999999994</v>
          </cell>
          <cell r="DQ424">
            <v>26.51370639107633</v>
          </cell>
          <cell r="DV424">
            <v>115944</v>
          </cell>
          <cell r="DW424">
            <v>192216.742</v>
          </cell>
          <cell r="DX424">
            <v>44573.995299999995</v>
          </cell>
          <cell r="DY424">
            <v>23.189444809131139</v>
          </cell>
        </row>
        <row r="425">
          <cell r="F425">
            <v>1685037.804</v>
          </cell>
          <cell r="G425">
            <v>341337.05977099994</v>
          </cell>
          <cell r="H425">
            <v>47349.639999999992</v>
          </cell>
          <cell r="I425">
            <v>70.611675613972665</v>
          </cell>
          <cell r="N425">
            <v>104019</v>
          </cell>
          <cell r="O425">
            <v>20888.6915463</v>
          </cell>
          <cell r="P425">
            <v>999.95200000000023</v>
          </cell>
          <cell r="T425">
            <v>115030</v>
          </cell>
          <cell r="U425">
            <v>22092.398354299996</v>
          </cell>
          <cell r="V425">
            <v>1613.2250000000004</v>
          </cell>
          <cell r="Z425">
            <v>126106.80599999998</v>
          </cell>
          <cell r="AA425">
            <v>23497.465858600001</v>
          </cell>
          <cell r="AB425">
            <v>1859.5649999999996</v>
          </cell>
          <cell r="AF425">
            <v>111693.606</v>
          </cell>
          <cell r="AG425">
            <v>22954.232750600004</v>
          </cell>
          <cell r="AH425">
            <v>1922.7950000000001</v>
          </cell>
          <cell r="AL425">
            <v>114572.67200000002</v>
          </cell>
          <cell r="AM425">
            <v>30616.674396599999</v>
          </cell>
          <cell r="AN425">
            <v>2844.3800000000006</v>
          </cell>
          <cell r="AR425">
            <v>124391</v>
          </cell>
          <cell r="AS425">
            <v>25665.812868599998</v>
          </cell>
          <cell r="AT425">
            <v>2931.1909999999989</v>
          </cell>
          <cell r="AX425">
            <v>695813.08400000003</v>
          </cell>
          <cell r="AY425">
            <v>145715.27577500002</v>
          </cell>
          <cell r="AZ425">
            <v>12171.107999999998</v>
          </cell>
          <cell r="BA425">
            <v>53.919605862600342</v>
          </cell>
          <cell r="BF425">
            <v>143203.34400000001</v>
          </cell>
          <cell r="BG425">
            <v>27839.709288500006</v>
          </cell>
          <cell r="BH425">
            <v>3659.1640000000002</v>
          </cell>
          <cell r="BL425">
            <v>155493.34400000001</v>
          </cell>
          <cell r="BM425">
            <v>29768.806024500002</v>
          </cell>
          <cell r="BN425">
            <v>4880.9740000000002</v>
          </cell>
          <cell r="BR425">
            <v>171665.34400000001</v>
          </cell>
          <cell r="BS425">
            <v>32188.619194699997</v>
          </cell>
          <cell r="BT425">
            <v>5368.442</v>
          </cell>
          <cell r="BX425">
            <v>188548.34400000001</v>
          </cell>
          <cell r="BY425">
            <v>35961.029137499994</v>
          </cell>
          <cell r="BZ425">
            <v>7085.7850000000008</v>
          </cell>
          <cell r="CD425">
            <v>166886.34400000001</v>
          </cell>
          <cell r="CE425">
            <v>34480.654867800004</v>
          </cell>
          <cell r="CF425">
            <v>7099.8929999999991</v>
          </cell>
          <cell r="CJ425">
            <v>163428</v>
          </cell>
          <cell r="CK425">
            <v>35382.965482999993</v>
          </cell>
          <cell r="CL425">
            <v>7084.2739999999994</v>
          </cell>
          <cell r="CP425">
            <v>989224.72</v>
          </cell>
          <cell r="CQ425">
            <v>195621.78399600001</v>
          </cell>
          <cell r="CR425">
            <v>35178.531999999999</v>
          </cell>
          <cell r="CS425">
            <v>80.025094929028455</v>
          </cell>
          <cell r="CX425">
            <v>345155.80599999998</v>
          </cell>
          <cell r="CY425">
            <v>66478.555759200011</v>
          </cell>
          <cell r="CZ425">
            <v>4472.7420000000002</v>
          </cell>
          <cell r="DA425">
            <v>21.892693608950633</v>
          </cell>
          <cell r="DF425">
            <v>350657.27799999999</v>
          </cell>
          <cell r="DG425">
            <v>79236.720015799976</v>
          </cell>
          <cell r="DH425">
            <v>7698.3660000000036</v>
          </cell>
          <cell r="DI425">
            <v>60.397564741307022</v>
          </cell>
          <cell r="DN425">
            <v>470362.03200000001</v>
          </cell>
          <cell r="DO425">
            <v>89797.134507700015</v>
          </cell>
          <cell r="DP425">
            <v>13908.58</v>
          </cell>
          <cell r="DQ425">
            <v>63.859306604799841</v>
          </cell>
          <cell r="DV425">
            <v>518862.68800000008</v>
          </cell>
          <cell r="DW425">
            <v>105824.6494883</v>
          </cell>
          <cell r="DX425">
            <v>21269.952000000001</v>
          </cell>
          <cell r="DY425">
            <v>82.308264381112167</v>
          </cell>
        </row>
        <row r="426">
          <cell r="F426">
            <v>0</v>
          </cell>
          <cell r="G426">
            <v>48000</v>
          </cell>
          <cell r="H426">
            <v>17555</v>
          </cell>
          <cell r="I426">
            <v>36.572916666666664</v>
          </cell>
          <cell r="O426">
            <v>3664</v>
          </cell>
          <cell r="P426">
            <v>1258</v>
          </cell>
          <cell r="U426">
            <v>3841</v>
          </cell>
          <cell r="V426">
            <v>1328</v>
          </cell>
          <cell r="AA426">
            <v>3934</v>
          </cell>
          <cell r="AB426">
            <v>1375</v>
          </cell>
          <cell r="AG426">
            <v>3781</v>
          </cell>
          <cell r="AH426">
            <v>1265</v>
          </cell>
          <cell r="AM426">
            <v>4619</v>
          </cell>
          <cell r="AN426">
            <v>1829</v>
          </cell>
          <cell r="AS426">
            <v>2978</v>
          </cell>
          <cell r="AT426">
            <v>1061</v>
          </cell>
          <cell r="AX426">
            <v>0</v>
          </cell>
          <cell r="AY426">
            <v>22817</v>
          </cell>
          <cell r="AZ426">
            <v>8116</v>
          </cell>
          <cell r="BA426">
            <v>35.569969759389927</v>
          </cell>
          <cell r="BG426">
            <v>2686</v>
          </cell>
          <cell r="BH426">
            <v>923</v>
          </cell>
          <cell r="BM426">
            <v>3004</v>
          </cell>
          <cell r="BN426">
            <v>1087</v>
          </cell>
          <cell r="BS426">
            <v>4181</v>
          </cell>
          <cell r="BT426">
            <v>1608</v>
          </cell>
          <cell r="BY426">
            <v>5425</v>
          </cell>
          <cell r="BZ426">
            <v>1942</v>
          </cell>
          <cell r="CE426">
            <v>4876</v>
          </cell>
          <cell r="CF426">
            <v>1929</v>
          </cell>
          <cell r="CK426">
            <v>5011</v>
          </cell>
          <cell r="CL426">
            <v>1950</v>
          </cell>
          <cell r="CP426">
            <v>0</v>
          </cell>
          <cell r="CQ426">
            <v>25183</v>
          </cell>
          <cell r="CR426">
            <v>9439</v>
          </cell>
          <cell r="CS426">
            <v>37.481634435929003</v>
          </cell>
          <cell r="CX426">
            <v>0</v>
          </cell>
          <cell r="CY426">
            <v>11439</v>
          </cell>
          <cell r="CZ426">
            <v>3961</v>
          </cell>
          <cell r="DA426">
            <v>34.627152723140135</v>
          </cell>
          <cell r="DF426">
            <v>0</v>
          </cell>
          <cell r="DG426">
            <v>11378</v>
          </cell>
          <cell r="DH426">
            <v>4155</v>
          </cell>
          <cell r="DI426">
            <v>36.517841448409207</v>
          </cell>
          <cell r="DN426">
            <v>0</v>
          </cell>
          <cell r="DO426">
            <v>9871</v>
          </cell>
          <cell r="DP426">
            <v>3618</v>
          </cell>
          <cell r="DQ426">
            <v>36.652821396008513</v>
          </cell>
          <cell r="DV426">
            <v>0</v>
          </cell>
          <cell r="DW426">
            <v>15312</v>
          </cell>
          <cell r="DX426">
            <v>5821</v>
          </cell>
          <cell r="DY426">
            <v>38.015935214211076</v>
          </cell>
        </row>
        <row r="427">
          <cell r="F427">
            <v>0</v>
          </cell>
          <cell r="G427">
            <v>8950</v>
          </cell>
          <cell r="H427">
            <v>570</v>
          </cell>
          <cell r="I427">
            <v>6.3687150837988833</v>
          </cell>
          <cell r="O427">
            <v>459</v>
          </cell>
          <cell r="P427">
            <v>-5</v>
          </cell>
          <cell r="U427">
            <v>460</v>
          </cell>
          <cell r="AA427">
            <v>555</v>
          </cell>
          <cell r="AB427">
            <v>-6</v>
          </cell>
          <cell r="AG427">
            <v>569</v>
          </cell>
          <cell r="AH427">
            <v>17</v>
          </cell>
          <cell r="AM427">
            <v>600</v>
          </cell>
          <cell r="AN427">
            <v>27</v>
          </cell>
          <cell r="AS427">
            <v>1138</v>
          </cell>
          <cell r="AT427">
            <v>156</v>
          </cell>
          <cell r="AX427">
            <v>0</v>
          </cell>
          <cell r="AY427">
            <v>3781</v>
          </cell>
          <cell r="AZ427">
            <v>189</v>
          </cell>
          <cell r="BA427">
            <v>4.9986775985189098</v>
          </cell>
          <cell r="BG427">
            <v>913</v>
          </cell>
          <cell r="BH427">
            <v>57</v>
          </cell>
          <cell r="BM427">
            <v>760</v>
          </cell>
          <cell r="BN427">
            <v>46</v>
          </cell>
          <cell r="BS427">
            <v>578</v>
          </cell>
          <cell r="BT427">
            <v>1</v>
          </cell>
          <cell r="BY427">
            <v>845</v>
          </cell>
          <cell r="BZ427">
            <v>53</v>
          </cell>
          <cell r="CE427">
            <v>849</v>
          </cell>
          <cell r="CF427">
            <v>60</v>
          </cell>
          <cell r="CK427">
            <v>1224</v>
          </cell>
          <cell r="CL427">
            <v>164</v>
          </cell>
          <cell r="CP427">
            <v>0</v>
          </cell>
          <cell r="CQ427">
            <v>5169</v>
          </cell>
          <cell r="CR427">
            <v>381</v>
          </cell>
          <cell r="CS427">
            <v>7.3708647707486943</v>
          </cell>
          <cell r="CX427">
            <v>0</v>
          </cell>
          <cell r="CY427">
            <v>1474</v>
          </cell>
          <cell r="CZ427">
            <v>-11</v>
          </cell>
          <cell r="DA427">
            <v>-0.74626865671641784</v>
          </cell>
          <cell r="DF427">
            <v>0</v>
          </cell>
          <cell r="DG427">
            <v>2307</v>
          </cell>
          <cell r="DH427">
            <v>200</v>
          </cell>
          <cell r="DI427">
            <v>8.6692674469007365</v>
          </cell>
          <cell r="DN427">
            <v>0</v>
          </cell>
          <cell r="DO427">
            <v>2251</v>
          </cell>
          <cell r="DP427">
            <v>104</v>
          </cell>
          <cell r="DQ427">
            <v>4.6201688138605066</v>
          </cell>
          <cell r="DV427">
            <v>0</v>
          </cell>
          <cell r="DW427">
            <v>2918</v>
          </cell>
          <cell r="DX427">
            <v>277</v>
          </cell>
          <cell r="DY427">
            <v>9.4928032899246055</v>
          </cell>
        </row>
        <row r="428">
          <cell r="F428">
            <v>0</v>
          </cell>
          <cell r="G428">
            <v>56950</v>
          </cell>
          <cell r="H428">
            <v>18125</v>
          </cell>
          <cell r="I428">
            <v>31.826163301141353</v>
          </cell>
          <cell r="N428">
            <v>0</v>
          </cell>
          <cell r="O428">
            <v>4123</v>
          </cell>
          <cell r="P428">
            <v>1253</v>
          </cell>
          <cell r="T428">
            <v>0</v>
          </cell>
          <cell r="U428">
            <v>4301</v>
          </cell>
          <cell r="V428">
            <v>1328</v>
          </cell>
          <cell r="Z428">
            <v>0</v>
          </cell>
          <cell r="AA428">
            <v>4489</v>
          </cell>
          <cell r="AB428">
            <v>1369</v>
          </cell>
          <cell r="AF428">
            <v>0</v>
          </cell>
          <cell r="AG428">
            <v>4350</v>
          </cell>
          <cell r="AH428">
            <v>1282</v>
          </cell>
          <cell r="AL428">
            <v>0</v>
          </cell>
          <cell r="AM428">
            <v>5219</v>
          </cell>
          <cell r="AN428">
            <v>1856</v>
          </cell>
          <cell r="AR428">
            <v>0</v>
          </cell>
          <cell r="AS428">
            <v>4116</v>
          </cell>
          <cell r="AT428">
            <v>1217</v>
          </cell>
          <cell r="AX428">
            <v>0</v>
          </cell>
          <cell r="AY428">
            <v>26598</v>
          </cell>
          <cell r="AZ428">
            <v>8305</v>
          </cell>
          <cell r="BA428">
            <v>31.224152191894127</v>
          </cell>
          <cell r="BF428">
            <v>0</v>
          </cell>
          <cell r="BG428">
            <v>3599</v>
          </cell>
          <cell r="BH428">
            <v>980</v>
          </cell>
          <cell r="BL428">
            <v>0</v>
          </cell>
          <cell r="BM428">
            <v>3764</v>
          </cell>
          <cell r="BN428">
            <v>1133</v>
          </cell>
          <cell r="BR428">
            <v>0</v>
          </cell>
          <cell r="BS428">
            <v>4759</v>
          </cell>
          <cell r="BT428">
            <v>1609</v>
          </cell>
          <cell r="BX428">
            <v>0</v>
          </cell>
          <cell r="BY428">
            <v>6270</v>
          </cell>
          <cell r="BZ428">
            <v>1995</v>
          </cell>
          <cell r="CD428">
            <v>0</v>
          </cell>
          <cell r="CE428">
            <v>5725</v>
          </cell>
          <cell r="CF428">
            <v>1989</v>
          </cell>
          <cell r="CJ428">
            <v>0</v>
          </cell>
          <cell r="CK428">
            <v>6235</v>
          </cell>
          <cell r="CL428">
            <v>2114</v>
          </cell>
          <cell r="CP428">
            <v>0</v>
          </cell>
          <cell r="CQ428">
            <v>30352</v>
          </cell>
          <cell r="CR428">
            <v>9820</v>
          </cell>
          <cell r="CS428">
            <v>32.353716394306801</v>
          </cell>
          <cell r="CX428">
            <v>0</v>
          </cell>
          <cell r="CY428">
            <v>12913</v>
          </cell>
          <cell r="CZ428">
            <v>3950</v>
          </cell>
          <cell r="DA428">
            <v>30.589328583597926</v>
          </cell>
          <cell r="DF428">
            <v>0</v>
          </cell>
          <cell r="DG428">
            <v>13685</v>
          </cell>
          <cell r="DH428">
            <v>4355</v>
          </cell>
          <cell r="DI428">
            <v>31.823164048227987</v>
          </cell>
          <cell r="DN428">
            <v>0</v>
          </cell>
          <cell r="DO428">
            <v>12122</v>
          </cell>
          <cell r="DP428">
            <v>3722</v>
          </cell>
          <cell r="DQ428">
            <v>30.704504207226531</v>
          </cell>
          <cell r="DV428">
            <v>0</v>
          </cell>
          <cell r="DW428">
            <v>18230</v>
          </cell>
          <cell r="DX428">
            <v>6098</v>
          </cell>
          <cell r="DY428">
            <v>33.450356555128906</v>
          </cell>
        </row>
        <row r="429">
          <cell r="F429">
            <v>0</v>
          </cell>
          <cell r="G429">
            <v>57000</v>
          </cell>
          <cell r="H429">
            <v>0</v>
          </cell>
          <cell r="I429">
            <v>0</v>
          </cell>
          <cell r="U429">
            <v>7000</v>
          </cell>
          <cell r="AA429">
            <v>3300</v>
          </cell>
          <cell r="AG429">
            <v>200</v>
          </cell>
          <cell r="AS429">
            <v>22000</v>
          </cell>
          <cell r="AX429">
            <v>0</v>
          </cell>
          <cell r="AY429">
            <v>32500</v>
          </cell>
          <cell r="AZ429">
            <v>0</v>
          </cell>
          <cell r="BA429">
            <v>0</v>
          </cell>
          <cell r="BG429">
            <v>500</v>
          </cell>
          <cell r="BS429">
            <v>20000</v>
          </cell>
          <cell r="CE429">
            <v>4000</v>
          </cell>
          <cell r="CP429">
            <v>0</v>
          </cell>
          <cell r="CQ429">
            <v>24500</v>
          </cell>
          <cell r="CR429">
            <v>0</v>
          </cell>
          <cell r="CS429">
            <v>0</v>
          </cell>
          <cell r="CX429">
            <v>0</v>
          </cell>
          <cell r="CY429">
            <v>10300</v>
          </cell>
          <cell r="CZ429">
            <v>0</v>
          </cell>
          <cell r="DA429">
            <v>0</v>
          </cell>
          <cell r="DF429">
            <v>0</v>
          </cell>
          <cell r="DG429">
            <v>22200</v>
          </cell>
          <cell r="DH429">
            <v>0</v>
          </cell>
          <cell r="DI429">
            <v>0</v>
          </cell>
          <cell r="DN429">
            <v>0</v>
          </cell>
          <cell r="DO429">
            <v>20500</v>
          </cell>
          <cell r="DP429">
            <v>0</v>
          </cell>
          <cell r="DQ429">
            <v>0</v>
          </cell>
          <cell r="DV429">
            <v>0</v>
          </cell>
          <cell r="DW429">
            <v>4000</v>
          </cell>
          <cell r="DX429">
            <v>0</v>
          </cell>
          <cell r="DY429">
            <v>0</v>
          </cell>
        </row>
        <row r="430">
          <cell r="F430">
            <v>0</v>
          </cell>
          <cell r="G430">
            <v>4000</v>
          </cell>
          <cell r="H430">
            <v>0</v>
          </cell>
          <cell r="I430">
            <v>0</v>
          </cell>
          <cell r="AX430">
            <v>0</v>
          </cell>
          <cell r="AY430">
            <v>0</v>
          </cell>
          <cell r="AZ430">
            <v>0</v>
          </cell>
          <cell r="BA430">
            <v>0</v>
          </cell>
          <cell r="BS430">
            <v>2000</v>
          </cell>
          <cell r="CK430">
            <v>2000</v>
          </cell>
          <cell r="CP430">
            <v>0</v>
          </cell>
          <cell r="CQ430">
            <v>4000</v>
          </cell>
          <cell r="CR430">
            <v>0</v>
          </cell>
          <cell r="CS430">
            <v>0</v>
          </cell>
          <cell r="CX430">
            <v>0</v>
          </cell>
          <cell r="CY430">
            <v>0</v>
          </cell>
          <cell r="CZ430">
            <v>0</v>
          </cell>
          <cell r="DA430">
            <v>0</v>
          </cell>
          <cell r="DF430">
            <v>0</v>
          </cell>
          <cell r="DG430">
            <v>0</v>
          </cell>
          <cell r="DH430">
            <v>0</v>
          </cell>
          <cell r="DI430">
            <v>0</v>
          </cell>
          <cell r="DN430">
            <v>0</v>
          </cell>
          <cell r="DO430">
            <v>2000</v>
          </cell>
          <cell r="DP430">
            <v>0</v>
          </cell>
          <cell r="DQ430">
            <v>0</v>
          </cell>
          <cell r="DV430">
            <v>0</v>
          </cell>
          <cell r="DW430">
            <v>2000</v>
          </cell>
          <cell r="DX430">
            <v>0</v>
          </cell>
          <cell r="DY430">
            <v>0</v>
          </cell>
        </row>
        <row r="431">
          <cell r="F431">
            <v>0</v>
          </cell>
          <cell r="G431">
            <v>6000</v>
          </cell>
          <cell r="H431">
            <v>0</v>
          </cell>
          <cell r="I431">
            <v>0</v>
          </cell>
          <cell r="AA431">
            <v>700</v>
          </cell>
          <cell r="AG431">
            <v>150</v>
          </cell>
          <cell r="AM431">
            <v>850</v>
          </cell>
          <cell r="AS431">
            <v>400</v>
          </cell>
          <cell r="AX431">
            <v>0</v>
          </cell>
          <cell r="AY431">
            <v>2100</v>
          </cell>
          <cell r="AZ431">
            <v>0</v>
          </cell>
          <cell r="BA431">
            <v>0</v>
          </cell>
          <cell r="BG431">
            <v>100</v>
          </cell>
          <cell r="BM431">
            <v>500</v>
          </cell>
          <cell r="BS431">
            <v>1500</v>
          </cell>
          <cell r="BY431">
            <v>100</v>
          </cell>
          <cell r="CK431">
            <v>1700</v>
          </cell>
          <cell r="CP431">
            <v>0</v>
          </cell>
          <cell r="CQ431">
            <v>3900</v>
          </cell>
          <cell r="CR431">
            <v>0</v>
          </cell>
          <cell r="CS431">
            <v>0</v>
          </cell>
          <cell r="CX431">
            <v>0</v>
          </cell>
          <cell r="CY431">
            <v>700</v>
          </cell>
          <cell r="CZ431">
            <v>0</v>
          </cell>
          <cell r="DA431">
            <v>0</v>
          </cell>
          <cell r="DF431">
            <v>0</v>
          </cell>
          <cell r="DG431">
            <v>1400</v>
          </cell>
          <cell r="DH431">
            <v>0</v>
          </cell>
          <cell r="DI431">
            <v>0</v>
          </cell>
          <cell r="DN431">
            <v>0</v>
          </cell>
          <cell r="DO431">
            <v>2100</v>
          </cell>
          <cell r="DP431">
            <v>0</v>
          </cell>
          <cell r="DQ431">
            <v>0</v>
          </cell>
          <cell r="DV431">
            <v>0</v>
          </cell>
          <cell r="DW431">
            <v>1800</v>
          </cell>
          <cell r="DX431">
            <v>0</v>
          </cell>
          <cell r="DY431">
            <v>0</v>
          </cell>
        </row>
        <row r="432">
          <cell r="F432">
            <v>0</v>
          </cell>
          <cell r="G432">
            <v>0</v>
          </cell>
          <cell r="H432">
            <v>0</v>
          </cell>
          <cell r="I432">
            <v>0</v>
          </cell>
          <cell r="AA432">
            <v>0</v>
          </cell>
          <cell r="AB432">
            <v>0</v>
          </cell>
          <cell r="AG432">
            <v>0</v>
          </cell>
          <cell r="AH432">
            <v>0</v>
          </cell>
          <cell r="AM432">
            <v>0</v>
          </cell>
          <cell r="AN432">
            <v>0</v>
          </cell>
          <cell r="AX432">
            <v>0</v>
          </cell>
          <cell r="AY432">
            <v>0</v>
          </cell>
          <cell r="AZ432">
            <v>0</v>
          </cell>
          <cell r="BA432">
            <v>0</v>
          </cell>
          <cell r="BM432">
            <v>0</v>
          </cell>
          <cell r="BN432">
            <v>0</v>
          </cell>
          <cell r="BS432">
            <v>0</v>
          </cell>
          <cell r="BT432">
            <v>0</v>
          </cell>
          <cell r="CP432">
            <v>0</v>
          </cell>
          <cell r="CQ432">
            <v>0</v>
          </cell>
          <cell r="CR432">
            <v>0</v>
          </cell>
          <cell r="CS432">
            <v>0</v>
          </cell>
          <cell r="CX432">
            <v>0</v>
          </cell>
          <cell r="CY432">
            <v>0</v>
          </cell>
          <cell r="CZ432">
            <v>0</v>
          </cell>
          <cell r="DA432">
            <v>0</v>
          </cell>
          <cell r="DF432">
            <v>0</v>
          </cell>
          <cell r="DG432">
            <v>0</v>
          </cell>
          <cell r="DH432">
            <v>0</v>
          </cell>
          <cell r="DI432">
            <v>0</v>
          </cell>
          <cell r="DN432">
            <v>0</v>
          </cell>
          <cell r="DO432">
            <v>0</v>
          </cell>
          <cell r="DP432">
            <v>0</v>
          </cell>
          <cell r="DQ432">
            <v>0</v>
          </cell>
          <cell r="DV432">
            <v>0</v>
          </cell>
          <cell r="DW432">
            <v>0</v>
          </cell>
          <cell r="DX432">
            <v>0</v>
          </cell>
          <cell r="DY432">
            <v>0</v>
          </cell>
        </row>
        <row r="433">
          <cell r="F433">
            <v>0</v>
          </cell>
          <cell r="G433">
            <v>5192</v>
          </cell>
          <cell r="H433">
            <v>0</v>
          </cell>
          <cell r="I433">
            <v>0</v>
          </cell>
          <cell r="U433">
            <v>136</v>
          </cell>
          <cell r="AA433">
            <v>4309</v>
          </cell>
          <cell r="AM433">
            <v>187</v>
          </cell>
          <cell r="AX433">
            <v>0</v>
          </cell>
          <cell r="AY433">
            <v>4632</v>
          </cell>
          <cell r="AZ433">
            <v>0</v>
          </cell>
          <cell r="BA433">
            <v>0</v>
          </cell>
          <cell r="BG433">
            <v>467</v>
          </cell>
          <cell r="BS433">
            <v>93</v>
          </cell>
          <cell r="CP433">
            <v>0</v>
          </cell>
          <cell r="CQ433">
            <v>560</v>
          </cell>
          <cell r="CR433">
            <v>0</v>
          </cell>
          <cell r="CS433">
            <v>0</v>
          </cell>
          <cell r="CX433">
            <v>0</v>
          </cell>
          <cell r="CY433">
            <v>4445</v>
          </cell>
          <cell r="CZ433">
            <v>0</v>
          </cell>
          <cell r="DA433">
            <v>0</v>
          </cell>
          <cell r="DF433">
            <v>0</v>
          </cell>
          <cell r="DG433">
            <v>187</v>
          </cell>
          <cell r="DH433">
            <v>0</v>
          </cell>
          <cell r="DI433">
            <v>0</v>
          </cell>
          <cell r="DN433">
            <v>0</v>
          </cell>
          <cell r="DO433">
            <v>560</v>
          </cell>
          <cell r="DP433">
            <v>0</v>
          </cell>
          <cell r="DQ433">
            <v>0</v>
          </cell>
          <cell r="DV433">
            <v>0</v>
          </cell>
          <cell r="DW433">
            <v>0</v>
          </cell>
          <cell r="DX433">
            <v>0</v>
          </cell>
          <cell r="DY433">
            <v>0</v>
          </cell>
        </row>
        <row r="434">
          <cell r="F434">
            <v>0</v>
          </cell>
          <cell r="G434">
            <v>8500</v>
          </cell>
          <cell r="H434">
            <v>0</v>
          </cell>
          <cell r="I434">
            <v>0</v>
          </cell>
          <cell r="U434">
            <v>1100</v>
          </cell>
          <cell r="AA434">
            <v>1100</v>
          </cell>
          <cell r="AG434">
            <v>1450</v>
          </cell>
          <cell r="AM434">
            <v>500</v>
          </cell>
          <cell r="AS434">
            <v>1300</v>
          </cell>
          <cell r="AX434">
            <v>0</v>
          </cell>
          <cell r="AY434">
            <v>5450</v>
          </cell>
          <cell r="AZ434">
            <v>0</v>
          </cell>
          <cell r="BA434">
            <v>0</v>
          </cell>
          <cell r="BG434">
            <v>550</v>
          </cell>
          <cell r="BM434">
            <v>550</v>
          </cell>
          <cell r="BS434">
            <v>700</v>
          </cell>
          <cell r="BY434">
            <v>750</v>
          </cell>
          <cell r="CE434">
            <v>500</v>
          </cell>
          <cell r="CP434">
            <v>0</v>
          </cell>
          <cell r="CQ434">
            <v>3050</v>
          </cell>
          <cell r="CR434">
            <v>0</v>
          </cell>
          <cell r="CS434">
            <v>0</v>
          </cell>
          <cell r="CX434">
            <v>0</v>
          </cell>
          <cell r="CY434">
            <v>2200</v>
          </cell>
          <cell r="CZ434">
            <v>0</v>
          </cell>
          <cell r="DA434">
            <v>0</v>
          </cell>
          <cell r="DF434">
            <v>0</v>
          </cell>
          <cell r="DG434">
            <v>3250</v>
          </cell>
          <cell r="DH434">
            <v>0</v>
          </cell>
          <cell r="DI434">
            <v>0</v>
          </cell>
          <cell r="DN434">
            <v>0</v>
          </cell>
          <cell r="DO434">
            <v>1800</v>
          </cell>
          <cell r="DP434">
            <v>0</v>
          </cell>
          <cell r="DQ434">
            <v>0</v>
          </cell>
          <cell r="DV434">
            <v>0</v>
          </cell>
          <cell r="DW434">
            <v>1250</v>
          </cell>
          <cell r="DX434">
            <v>0</v>
          </cell>
          <cell r="DY434">
            <v>0</v>
          </cell>
        </row>
        <row r="435">
          <cell r="F435">
            <v>0</v>
          </cell>
          <cell r="G435">
            <v>8100</v>
          </cell>
          <cell r="H435">
            <v>0</v>
          </cell>
          <cell r="I435">
            <v>0</v>
          </cell>
          <cell r="O435">
            <v>600</v>
          </cell>
          <cell r="U435">
            <v>200</v>
          </cell>
          <cell r="AA435">
            <v>800</v>
          </cell>
          <cell r="AG435">
            <v>1100</v>
          </cell>
          <cell r="AM435">
            <v>800</v>
          </cell>
          <cell r="AS435">
            <v>300</v>
          </cell>
          <cell r="AX435">
            <v>0</v>
          </cell>
          <cell r="AY435">
            <v>3800</v>
          </cell>
          <cell r="AZ435">
            <v>0</v>
          </cell>
          <cell r="BA435">
            <v>0</v>
          </cell>
          <cell r="BG435">
            <v>1000</v>
          </cell>
          <cell r="BM435">
            <v>300</v>
          </cell>
          <cell r="BS435">
            <v>800</v>
          </cell>
          <cell r="BY435">
            <v>1400</v>
          </cell>
          <cell r="CE435">
            <v>400</v>
          </cell>
          <cell r="CK435">
            <v>400</v>
          </cell>
          <cell r="CP435">
            <v>0</v>
          </cell>
          <cell r="CQ435">
            <v>4300</v>
          </cell>
          <cell r="CR435">
            <v>0</v>
          </cell>
          <cell r="CS435">
            <v>0</v>
          </cell>
          <cell r="CX435">
            <v>0</v>
          </cell>
          <cell r="CY435">
            <v>1600</v>
          </cell>
          <cell r="CZ435">
            <v>0</v>
          </cell>
          <cell r="DA435">
            <v>0</v>
          </cell>
          <cell r="DF435">
            <v>0</v>
          </cell>
          <cell r="DG435">
            <v>2200</v>
          </cell>
          <cell r="DH435">
            <v>0</v>
          </cell>
          <cell r="DI435">
            <v>0</v>
          </cell>
          <cell r="DN435">
            <v>0</v>
          </cell>
          <cell r="DO435">
            <v>2100</v>
          </cell>
          <cell r="DP435">
            <v>0</v>
          </cell>
          <cell r="DQ435">
            <v>0</v>
          </cell>
          <cell r="DV435">
            <v>0</v>
          </cell>
          <cell r="DW435">
            <v>2200</v>
          </cell>
          <cell r="DX435">
            <v>0</v>
          </cell>
          <cell r="DY435">
            <v>0</v>
          </cell>
        </row>
        <row r="436">
          <cell r="F436">
            <v>0</v>
          </cell>
          <cell r="G436">
            <v>3200</v>
          </cell>
          <cell r="H436">
            <v>0</v>
          </cell>
          <cell r="I436">
            <v>0</v>
          </cell>
          <cell r="U436">
            <v>300</v>
          </cell>
          <cell r="AA436">
            <v>500</v>
          </cell>
          <cell r="AG436">
            <v>350</v>
          </cell>
          <cell r="AM436">
            <v>400</v>
          </cell>
          <cell r="AS436">
            <v>300</v>
          </cell>
          <cell r="AX436">
            <v>0</v>
          </cell>
          <cell r="AY436">
            <v>1850</v>
          </cell>
          <cell r="AZ436">
            <v>0</v>
          </cell>
          <cell r="BA436">
            <v>0</v>
          </cell>
          <cell r="BM436">
            <v>100</v>
          </cell>
          <cell r="BS436">
            <v>500</v>
          </cell>
          <cell r="BY436">
            <v>450</v>
          </cell>
          <cell r="CE436">
            <v>300</v>
          </cell>
          <cell r="CP436">
            <v>0</v>
          </cell>
          <cell r="CQ436">
            <v>1350</v>
          </cell>
          <cell r="CR436">
            <v>0</v>
          </cell>
          <cell r="CS436">
            <v>0</v>
          </cell>
          <cell r="CX436">
            <v>0</v>
          </cell>
          <cell r="CY436">
            <v>800</v>
          </cell>
          <cell r="CZ436">
            <v>0</v>
          </cell>
          <cell r="DA436">
            <v>0</v>
          </cell>
          <cell r="DF436">
            <v>0</v>
          </cell>
          <cell r="DG436">
            <v>1050</v>
          </cell>
          <cell r="DH436">
            <v>0</v>
          </cell>
          <cell r="DI436">
            <v>0</v>
          </cell>
          <cell r="DN436">
            <v>0</v>
          </cell>
          <cell r="DO436">
            <v>600</v>
          </cell>
          <cell r="DP436">
            <v>0</v>
          </cell>
          <cell r="DQ436">
            <v>0</v>
          </cell>
          <cell r="DV436">
            <v>0</v>
          </cell>
          <cell r="DW436">
            <v>750</v>
          </cell>
          <cell r="DX436">
            <v>0</v>
          </cell>
          <cell r="DY436">
            <v>0</v>
          </cell>
        </row>
        <row r="437">
          <cell r="F437">
            <v>0</v>
          </cell>
          <cell r="G437">
            <v>7000</v>
          </cell>
          <cell r="H437">
            <v>0</v>
          </cell>
          <cell r="I437">
            <v>0</v>
          </cell>
          <cell r="U437">
            <v>1150</v>
          </cell>
          <cell r="AG437">
            <v>1000</v>
          </cell>
          <cell r="AM437">
            <v>700</v>
          </cell>
          <cell r="AS437">
            <v>950</v>
          </cell>
          <cell r="AX437">
            <v>0</v>
          </cell>
          <cell r="AY437">
            <v>3800</v>
          </cell>
          <cell r="AZ437">
            <v>0</v>
          </cell>
          <cell r="BA437">
            <v>0</v>
          </cell>
          <cell r="BG437">
            <v>450</v>
          </cell>
          <cell r="BM437">
            <v>250</v>
          </cell>
          <cell r="BS437">
            <v>500</v>
          </cell>
          <cell r="BY437">
            <v>1300</v>
          </cell>
          <cell r="CE437">
            <v>700</v>
          </cell>
          <cell r="CP437">
            <v>0</v>
          </cell>
          <cell r="CQ437">
            <v>3200</v>
          </cell>
          <cell r="CR437">
            <v>0</v>
          </cell>
          <cell r="CS437">
            <v>0</v>
          </cell>
          <cell r="CX437">
            <v>0</v>
          </cell>
          <cell r="CY437">
            <v>1150</v>
          </cell>
          <cell r="CZ437">
            <v>0</v>
          </cell>
          <cell r="DA437">
            <v>0</v>
          </cell>
          <cell r="DF437">
            <v>0</v>
          </cell>
          <cell r="DG437">
            <v>2650</v>
          </cell>
          <cell r="DH437">
            <v>0</v>
          </cell>
          <cell r="DI437">
            <v>0</v>
          </cell>
          <cell r="DN437">
            <v>0</v>
          </cell>
          <cell r="DO437">
            <v>1200</v>
          </cell>
          <cell r="DP437">
            <v>0</v>
          </cell>
          <cell r="DQ437">
            <v>0</v>
          </cell>
          <cell r="DV437">
            <v>0</v>
          </cell>
          <cell r="DW437">
            <v>2000</v>
          </cell>
          <cell r="DX437">
            <v>0</v>
          </cell>
          <cell r="DY437">
            <v>0</v>
          </cell>
        </row>
        <row r="438">
          <cell r="F438">
            <v>0</v>
          </cell>
          <cell r="G438">
            <v>2500</v>
          </cell>
          <cell r="H438">
            <v>0</v>
          </cell>
          <cell r="I438">
            <v>0</v>
          </cell>
          <cell r="U438">
            <v>962</v>
          </cell>
          <cell r="AX438">
            <v>0</v>
          </cell>
          <cell r="AY438">
            <v>962</v>
          </cell>
          <cell r="AZ438">
            <v>0</v>
          </cell>
          <cell r="BA438">
            <v>0</v>
          </cell>
          <cell r="BY438">
            <v>45</v>
          </cell>
          <cell r="CE438">
            <v>800</v>
          </cell>
          <cell r="CK438">
            <v>693</v>
          </cell>
          <cell r="CP438">
            <v>0</v>
          </cell>
          <cell r="CQ438">
            <v>1538</v>
          </cell>
          <cell r="CR438">
            <v>0</v>
          </cell>
          <cell r="CS438">
            <v>0</v>
          </cell>
          <cell r="CX438">
            <v>0</v>
          </cell>
          <cell r="CY438">
            <v>962</v>
          </cell>
          <cell r="CZ438">
            <v>0</v>
          </cell>
          <cell r="DA438">
            <v>0</v>
          </cell>
          <cell r="DF438">
            <v>0</v>
          </cell>
          <cell r="DG438">
            <v>0</v>
          </cell>
          <cell r="DH438">
            <v>0</v>
          </cell>
          <cell r="DI438">
            <v>0</v>
          </cell>
          <cell r="DN438">
            <v>0</v>
          </cell>
          <cell r="DO438">
            <v>0</v>
          </cell>
          <cell r="DP438">
            <v>0</v>
          </cell>
          <cell r="DQ438">
            <v>0</v>
          </cell>
          <cell r="DV438">
            <v>0</v>
          </cell>
          <cell r="DW438">
            <v>1538</v>
          </cell>
          <cell r="DX438">
            <v>0</v>
          </cell>
          <cell r="DY438">
            <v>0</v>
          </cell>
        </row>
        <row r="439">
          <cell r="F439">
            <v>0</v>
          </cell>
          <cell r="G439">
            <v>101492</v>
          </cell>
          <cell r="H439">
            <v>0</v>
          </cell>
          <cell r="I439">
            <v>0</v>
          </cell>
          <cell r="N439">
            <v>0</v>
          </cell>
          <cell r="O439">
            <v>600</v>
          </cell>
          <cell r="P439">
            <v>0</v>
          </cell>
          <cell r="T439">
            <v>0</v>
          </cell>
          <cell r="U439">
            <v>10848</v>
          </cell>
          <cell r="V439">
            <v>0</v>
          </cell>
          <cell r="Z439">
            <v>0</v>
          </cell>
          <cell r="AA439">
            <v>10709</v>
          </cell>
          <cell r="AB439">
            <v>0</v>
          </cell>
          <cell r="AF439">
            <v>0</v>
          </cell>
          <cell r="AG439">
            <v>4250</v>
          </cell>
          <cell r="AH439">
            <v>0</v>
          </cell>
          <cell r="AL439">
            <v>0</v>
          </cell>
          <cell r="AM439">
            <v>3437</v>
          </cell>
          <cell r="AN439">
            <v>0</v>
          </cell>
          <cell r="AR439">
            <v>0</v>
          </cell>
          <cell r="AS439">
            <v>25250</v>
          </cell>
          <cell r="AT439">
            <v>0</v>
          </cell>
          <cell r="AX439">
            <v>0</v>
          </cell>
          <cell r="AY439">
            <v>55094</v>
          </cell>
          <cell r="AZ439">
            <v>0</v>
          </cell>
          <cell r="BA439">
            <v>0</v>
          </cell>
          <cell r="BF439">
            <v>0</v>
          </cell>
          <cell r="BG439">
            <v>3067</v>
          </cell>
          <cell r="BH439">
            <v>0</v>
          </cell>
          <cell r="BL439">
            <v>0</v>
          </cell>
          <cell r="BM439">
            <v>1700</v>
          </cell>
          <cell r="BN439">
            <v>0</v>
          </cell>
          <cell r="BR439">
            <v>0</v>
          </cell>
          <cell r="BS439">
            <v>26093</v>
          </cell>
          <cell r="BT439">
            <v>0</v>
          </cell>
          <cell r="BX439">
            <v>0</v>
          </cell>
          <cell r="BY439">
            <v>4045</v>
          </cell>
          <cell r="BZ439">
            <v>0</v>
          </cell>
          <cell r="CD439">
            <v>0</v>
          </cell>
          <cell r="CE439">
            <v>6700</v>
          </cell>
          <cell r="CF439">
            <v>0</v>
          </cell>
          <cell r="CJ439">
            <v>0</v>
          </cell>
          <cell r="CK439">
            <v>4793</v>
          </cell>
          <cell r="CL439">
            <v>0</v>
          </cell>
          <cell r="CP439">
            <v>0</v>
          </cell>
          <cell r="CQ439">
            <v>46398</v>
          </cell>
          <cell r="CR439">
            <v>0</v>
          </cell>
          <cell r="CS439">
            <v>0</v>
          </cell>
          <cell r="CX439">
            <v>0</v>
          </cell>
          <cell r="CY439">
            <v>22157</v>
          </cell>
          <cell r="CZ439">
            <v>0</v>
          </cell>
          <cell r="DA439">
            <v>0</v>
          </cell>
          <cell r="DF439">
            <v>0</v>
          </cell>
          <cell r="DG439">
            <v>32937</v>
          </cell>
          <cell r="DH439">
            <v>0</v>
          </cell>
          <cell r="DI439">
            <v>0</v>
          </cell>
          <cell r="DN439">
            <v>0</v>
          </cell>
          <cell r="DO439">
            <v>30860</v>
          </cell>
          <cell r="DP439">
            <v>0</v>
          </cell>
          <cell r="DQ439">
            <v>0</v>
          </cell>
          <cell r="DV439">
            <v>0</v>
          </cell>
          <cell r="DW439">
            <v>15538</v>
          </cell>
          <cell r="DX439">
            <v>0</v>
          </cell>
          <cell r="DY439">
            <v>0</v>
          </cell>
        </row>
        <row r="440">
          <cell r="F440">
            <v>0</v>
          </cell>
          <cell r="G440">
            <v>16500</v>
          </cell>
          <cell r="H440">
            <v>0</v>
          </cell>
          <cell r="I440">
            <v>0</v>
          </cell>
          <cell r="U440">
            <v>1000</v>
          </cell>
          <cell r="AA440">
            <v>50</v>
          </cell>
          <cell r="AG440">
            <v>2050</v>
          </cell>
          <cell r="AM440">
            <v>2050</v>
          </cell>
          <cell r="AS440">
            <v>2000</v>
          </cell>
          <cell r="AX440">
            <v>0</v>
          </cell>
          <cell r="AY440">
            <v>7150</v>
          </cell>
          <cell r="AZ440">
            <v>0</v>
          </cell>
          <cell r="BA440">
            <v>0</v>
          </cell>
          <cell r="BG440">
            <v>50</v>
          </cell>
          <cell r="BM440">
            <v>3050</v>
          </cell>
          <cell r="BS440">
            <v>2000</v>
          </cell>
          <cell r="CE440">
            <v>1500</v>
          </cell>
          <cell r="CK440">
            <v>2750</v>
          </cell>
          <cell r="CP440">
            <v>0</v>
          </cell>
          <cell r="CQ440">
            <v>9350</v>
          </cell>
          <cell r="CR440">
            <v>0</v>
          </cell>
          <cell r="CS440">
            <v>0</v>
          </cell>
          <cell r="CX440">
            <v>0</v>
          </cell>
          <cell r="CY440">
            <v>1050</v>
          </cell>
          <cell r="CZ440">
            <v>0</v>
          </cell>
          <cell r="DA440">
            <v>0</v>
          </cell>
          <cell r="DF440">
            <v>0</v>
          </cell>
          <cell r="DG440">
            <v>6100</v>
          </cell>
          <cell r="DH440">
            <v>0</v>
          </cell>
          <cell r="DI440">
            <v>0</v>
          </cell>
          <cell r="DN440">
            <v>0</v>
          </cell>
          <cell r="DO440">
            <v>5100</v>
          </cell>
          <cell r="DP440">
            <v>0</v>
          </cell>
          <cell r="DQ440">
            <v>0</v>
          </cell>
          <cell r="DV440">
            <v>0</v>
          </cell>
          <cell r="DW440">
            <v>4250</v>
          </cell>
          <cell r="DX440">
            <v>0</v>
          </cell>
          <cell r="DY440">
            <v>0</v>
          </cell>
        </row>
        <row r="441">
          <cell r="F441">
            <v>0</v>
          </cell>
          <cell r="G441">
            <v>14000</v>
          </cell>
          <cell r="H441">
            <v>0</v>
          </cell>
          <cell r="I441">
            <v>0</v>
          </cell>
          <cell r="U441">
            <v>750</v>
          </cell>
          <cell r="AA441">
            <v>500</v>
          </cell>
          <cell r="AG441">
            <v>900</v>
          </cell>
          <cell r="AS441">
            <v>50</v>
          </cell>
          <cell r="AX441">
            <v>0</v>
          </cell>
          <cell r="AY441">
            <v>2200</v>
          </cell>
          <cell r="AZ441">
            <v>0</v>
          </cell>
          <cell r="BA441">
            <v>0</v>
          </cell>
          <cell r="BG441">
            <v>500</v>
          </cell>
          <cell r="BM441">
            <v>6000</v>
          </cell>
          <cell r="BS441">
            <v>2000</v>
          </cell>
          <cell r="BY441">
            <v>1050</v>
          </cell>
          <cell r="CE441">
            <v>50</v>
          </cell>
          <cell r="CK441">
            <v>2200</v>
          </cell>
          <cell r="CP441">
            <v>0</v>
          </cell>
          <cell r="CQ441">
            <v>11800</v>
          </cell>
          <cell r="CR441">
            <v>0</v>
          </cell>
          <cell r="CS441">
            <v>0</v>
          </cell>
          <cell r="CX441">
            <v>0</v>
          </cell>
          <cell r="CY441">
            <v>1250</v>
          </cell>
          <cell r="CZ441">
            <v>0</v>
          </cell>
          <cell r="DA441">
            <v>0</v>
          </cell>
          <cell r="DF441">
            <v>0</v>
          </cell>
          <cell r="DG441">
            <v>950</v>
          </cell>
          <cell r="DH441">
            <v>0</v>
          </cell>
          <cell r="DI441">
            <v>0</v>
          </cell>
          <cell r="DN441">
            <v>0</v>
          </cell>
          <cell r="DO441">
            <v>8500</v>
          </cell>
          <cell r="DP441">
            <v>0</v>
          </cell>
          <cell r="DQ441">
            <v>0</v>
          </cell>
          <cell r="DV441">
            <v>0</v>
          </cell>
          <cell r="DW441">
            <v>3300</v>
          </cell>
          <cell r="DX441">
            <v>0</v>
          </cell>
          <cell r="DY441">
            <v>0</v>
          </cell>
        </row>
        <row r="442">
          <cell r="F442">
            <v>0</v>
          </cell>
          <cell r="G442">
            <v>8000</v>
          </cell>
          <cell r="H442">
            <v>0</v>
          </cell>
          <cell r="I442">
            <v>0</v>
          </cell>
          <cell r="U442">
            <v>1200</v>
          </cell>
          <cell r="AA442">
            <v>250</v>
          </cell>
          <cell r="AM442">
            <v>250</v>
          </cell>
          <cell r="AS442">
            <v>3380</v>
          </cell>
          <cell r="AX442">
            <v>0</v>
          </cell>
          <cell r="AY442">
            <v>5080</v>
          </cell>
          <cell r="AZ442">
            <v>0</v>
          </cell>
          <cell r="BA442">
            <v>0</v>
          </cell>
          <cell r="BG442">
            <v>250</v>
          </cell>
          <cell r="BM442">
            <v>750</v>
          </cell>
          <cell r="BS442">
            <v>300</v>
          </cell>
          <cell r="BY442">
            <v>950</v>
          </cell>
          <cell r="CE442">
            <v>230</v>
          </cell>
          <cell r="CK442">
            <v>440</v>
          </cell>
          <cell r="CP442">
            <v>0</v>
          </cell>
          <cell r="CQ442">
            <v>2920</v>
          </cell>
          <cell r="CR442">
            <v>0</v>
          </cell>
          <cell r="CS442">
            <v>0</v>
          </cell>
          <cell r="CX442">
            <v>0</v>
          </cell>
          <cell r="CY442">
            <v>1450</v>
          </cell>
          <cell r="CZ442">
            <v>0</v>
          </cell>
          <cell r="DA442">
            <v>0</v>
          </cell>
          <cell r="DF442">
            <v>0</v>
          </cell>
          <cell r="DG442">
            <v>3630</v>
          </cell>
          <cell r="DH442">
            <v>0</v>
          </cell>
          <cell r="DI442">
            <v>0</v>
          </cell>
          <cell r="DN442">
            <v>0</v>
          </cell>
          <cell r="DO442">
            <v>1300</v>
          </cell>
          <cell r="DP442">
            <v>0</v>
          </cell>
          <cell r="DQ442">
            <v>0</v>
          </cell>
          <cell r="DV442">
            <v>0</v>
          </cell>
          <cell r="DW442">
            <v>1620</v>
          </cell>
          <cell r="DX442">
            <v>0</v>
          </cell>
          <cell r="DY442">
            <v>0</v>
          </cell>
        </row>
        <row r="443">
          <cell r="F443">
            <v>0</v>
          </cell>
          <cell r="G443">
            <v>13610</v>
          </cell>
          <cell r="H443">
            <v>0</v>
          </cell>
          <cell r="I443">
            <v>0</v>
          </cell>
          <cell r="O443">
            <v>80</v>
          </cell>
          <cell r="U443">
            <v>200</v>
          </cell>
          <cell r="AA443">
            <v>2550</v>
          </cell>
          <cell r="AG443">
            <v>2550</v>
          </cell>
          <cell r="AM443">
            <v>60</v>
          </cell>
          <cell r="AS443">
            <v>2400</v>
          </cell>
          <cell r="AX443">
            <v>0</v>
          </cell>
          <cell r="AY443">
            <v>7840</v>
          </cell>
          <cell r="AZ443">
            <v>0</v>
          </cell>
          <cell r="BA443">
            <v>0</v>
          </cell>
          <cell r="BG443">
            <v>50</v>
          </cell>
          <cell r="BM443">
            <v>130</v>
          </cell>
          <cell r="BS443">
            <v>2000</v>
          </cell>
          <cell r="BY443">
            <v>2040</v>
          </cell>
          <cell r="CE443">
            <v>1500</v>
          </cell>
          <cell r="CK443">
            <v>50</v>
          </cell>
          <cell r="CP443">
            <v>0</v>
          </cell>
          <cell r="CQ443">
            <v>5770</v>
          </cell>
          <cell r="CR443">
            <v>0</v>
          </cell>
          <cell r="CS443">
            <v>0</v>
          </cell>
          <cell r="CX443">
            <v>0</v>
          </cell>
          <cell r="CY443">
            <v>2830</v>
          </cell>
          <cell r="CZ443">
            <v>0</v>
          </cell>
          <cell r="DA443">
            <v>0</v>
          </cell>
          <cell r="DF443">
            <v>0</v>
          </cell>
          <cell r="DG443">
            <v>5010</v>
          </cell>
          <cell r="DH443">
            <v>0</v>
          </cell>
          <cell r="DI443">
            <v>0</v>
          </cell>
          <cell r="DN443">
            <v>0</v>
          </cell>
          <cell r="DO443">
            <v>2180</v>
          </cell>
          <cell r="DP443">
            <v>0</v>
          </cell>
          <cell r="DQ443">
            <v>0</v>
          </cell>
          <cell r="DV443">
            <v>0</v>
          </cell>
          <cell r="DW443">
            <v>3590</v>
          </cell>
          <cell r="DX443">
            <v>0</v>
          </cell>
          <cell r="DY443">
            <v>0</v>
          </cell>
        </row>
        <row r="444">
          <cell r="F444">
            <v>0</v>
          </cell>
          <cell r="G444">
            <v>22890</v>
          </cell>
          <cell r="H444">
            <v>0</v>
          </cell>
          <cell r="I444">
            <v>0</v>
          </cell>
          <cell r="U444">
            <v>2500</v>
          </cell>
          <cell r="AA444">
            <v>60</v>
          </cell>
          <cell r="AG444">
            <v>1530</v>
          </cell>
          <cell r="AM444">
            <v>4000</v>
          </cell>
          <cell r="AS444">
            <v>3000</v>
          </cell>
          <cell r="AX444">
            <v>0</v>
          </cell>
          <cell r="AY444">
            <v>11090</v>
          </cell>
          <cell r="AZ444">
            <v>0</v>
          </cell>
          <cell r="BA444">
            <v>0</v>
          </cell>
          <cell r="BG444">
            <v>250</v>
          </cell>
          <cell r="BM444">
            <v>3000</v>
          </cell>
          <cell r="BS444">
            <v>50</v>
          </cell>
          <cell r="BY444">
            <v>1500</v>
          </cell>
          <cell r="CE444">
            <v>4000</v>
          </cell>
          <cell r="CK444">
            <v>3000</v>
          </cell>
          <cell r="CP444">
            <v>0</v>
          </cell>
          <cell r="CQ444">
            <v>11800</v>
          </cell>
          <cell r="CR444">
            <v>0</v>
          </cell>
          <cell r="CS444">
            <v>0</v>
          </cell>
          <cell r="CX444">
            <v>0</v>
          </cell>
          <cell r="CY444">
            <v>2560</v>
          </cell>
          <cell r="CZ444">
            <v>0</v>
          </cell>
          <cell r="DA444">
            <v>0</v>
          </cell>
          <cell r="DF444">
            <v>0</v>
          </cell>
          <cell r="DG444">
            <v>8530</v>
          </cell>
          <cell r="DH444">
            <v>0</v>
          </cell>
          <cell r="DI444">
            <v>0</v>
          </cell>
          <cell r="DN444">
            <v>0</v>
          </cell>
          <cell r="DO444">
            <v>3300</v>
          </cell>
          <cell r="DP444">
            <v>0</v>
          </cell>
          <cell r="DQ444">
            <v>0</v>
          </cell>
          <cell r="DV444">
            <v>0</v>
          </cell>
          <cell r="DW444">
            <v>8500</v>
          </cell>
          <cell r="DX444">
            <v>0</v>
          </cell>
          <cell r="DY444">
            <v>0</v>
          </cell>
        </row>
        <row r="445">
          <cell r="F445">
            <v>0</v>
          </cell>
          <cell r="G445">
            <v>10000</v>
          </cell>
          <cell r="H445">
            <v>0</v>
          </cell>
          <cell r="I445">
            <v>0</v>
          </cell>
          <cell r="AA445">
            <v>10000</v>
          </cell>
          <cell r="AX445">
            <v>0</v>
          </cell>
          <cell r="AY445">
            <v>10000</v>
          </cell>
          <cell r="AZ445">
            <v>0</v>
          </cell>
          <cell r="BA445">
            <v>0</v>
          </cell>
          <cell r="CP445">
            <v>0</v>
          </cell>
          <cell r="CQ445">
            <v>0</v>
          </cell>
          <cell r="CR445">
            <v>0</v>
          </cell>
          <cell r="CS445">
            <v>0</v>
          </cell>
          <cell r="CX445">
            <v>0</v>
          </cell>
          <cell r="CY445">
            <v>10000</v>
          </cell>
          <cell r="CZ445">
            <v>0</v>
          </cell>
          <cell r="DA445">
            <v>0</v>
          </cell>
          <cell r="DF445">
            <v>0</v>
          </cell>
          <cell r="DG445">
            <v>0</v>
          </cell>
          <cell r="DH445">
            <v>0</v>
          </cell>
          <cell r="DI445">
            <v>0</v>
          </cell>
          <cell r="DN445">
            <v>0</v>
          </cell>
          <cell r="DO445">
            <v>0</v>
          </cell>
          <cell r="DP445">
            <v>0</v>
          </cell>
          <cell r="DQ445">
            <v>0</v>
          </cell>
          <cell r="DV445">
            <v>0</v>
          </cell>
          <cell r="DW445">
            <v>0</v>
          </cell>
          <cell r="DX445">
            <v>0</v>
          </cell>
          <cell r="DY445">
            <v>0</v>
          </cell>
        </row>
        <row r="446">
          <cell r="F446">
            <v>0</v>
          </cell>
          <cell r="G446">
            <v>8000</v>
          </cell>
          <cell r="H446">
            <v>0</v>
          </cell>
          <cell r="I446">
            <v>0</v>
          </cell>
          <cell r="AS446">
            <v>500</v>
          </cell>
          <cell r="AX446">
            <v>0</v>
          </cell>
          <cell r="AY446">
            <v>500</v>
          </cell>
          <cell r="AZ446">
            <v>0</v>
          </cell>
          <cell r="BA446">
            <v>0</v>
          </cell>
          <cell r="BS446">
            <v>1800</v>
          </cell>
          <cell r="CE446">
            <v>4000</v>
          </cell>
          <cell r="CK446">
            <v>1700</v>
          </cell>
          <cell r="CP446">
            <v>0</v>
          </cell>
          <cell r="CQ446">
            <v>7500</v>
          </cell>
          <cell r="CR446">
            <v>0</v>
          </cell>
          <cell r="CS446">
            <v>0</v>
          </cell>
          <cell r="CX446">
            <v>0</v>
          </cell>
          <cell r="CY446">
            <v>0</v>
          </cell>
          <cell r="CZ446">
            <v>0</v>
          </cell>
          <cell r="DA446">
            <v>0</v>
          </cell>
          <cell r="DF446">
            <v>0</v>
          </cell>
          <cell r="DG446">
            <v>500</v>
          </cell>
          <cell r="DH446">
            <v>0</v>
          </cell>
          <cell r="DI446">
            <v>0</v>
          </cell>
          <cell r="DN446">
            <v>0</v>
          </cell>
          <cell r="DO446">
            <v>1800</v>
          </cell>
          <cell r="DP446">
            <v>0</v>
          </cell>
          <cell r="DQ446">
            <v>0</v>
          </cell>
          <cell r="DV446">
            <v>0</v>
          </cell>
          <cell r="DW446">
            <v>5700</v>
          </cell>
          <cell r="DX446">
            <v>0</v>
          </cell>
          <cell r="DY446">
            <v>0</v>
          </cell>
        </row>
        <row r="447">
          <cell r="F447">
            <v>0</v>
          </cell>
          <cell r="G447">
            <v>93000</v>
          </cell>
          <cell r="H447">
            <v>0</v>
          </cell>
          <cell r="I447">
            <v>0</v>
          </cell>
          <cell r="N447">
            <v>0</v>
          </cell>
          <cell r="O447">
            <v>80</v>
          </cell>
          <cell r="P447">
            <v>0</v>
          </cell>
          <cell r="T447">
            <v>0</v>
          </cell>
          <cell r="U447">
            <v>5650</v>
          </cell>
          <cell r="V447">
            <v>0</v>
          </cell>
          <cell r="Z447">
            <v>0</v>
          </cell>
          <cell r="AA447">
            <v>13410</v>
          </cell>
          <cell r="AB447">
            <v>0</v>
          </cell>
          <cell r="AF447">
            <v>0</v>
          </cell>
          <cell r="AG447">
            <v>7030</v>
          </cell>
          <cell r="AH447">
            <v>0</v>
          </cell>
          <cell r="AL447">
            <v>0</v>
          </cell>
          <cell r="AM447">
            <v>6360</v>
          </cell>
          <cell r="AN447">
            <v>0</v>
          </cell>
          <cell r="AR447">
            <v>0</v>
          </cell>
          <cell r="AS447">
            <v>11330</v>
          </cell>
          <cell r="AT447">
            <v>0</v>
          </cell>
          <cell r="AX447">
            <v>0</v>
          </cell>
          <cell r="AY447">
            <v>43860</v>
          </cell>
          <cell r="AZ447">
            <v>0</v>
          </cell>
          <cell r="BA447">
            <v>0</v>
          </cell>
          <cell r="BF447">
            <v>0</v>
          </cell>
          <cell r="BG447">
            <v>1100</v>
          </cell>
          <cell r="BH447">
            <v>0</v>
          </cell>
          <cell r="BL447">
            <v>0</v>
          </cell>
          <cell r="BM447">
            <v>12930</v>
          </cell>
          <cell r="BN447">
            <v>0</v>
          </cell>
          <cell r="BR447">
            <v>0</v>
          </cell>
          <cell r="BS447">
            <v>8150</v>
          </cell>
          <cell r="BT447">
            <v>0</v>
          </cell>
          <cell r="BX447">
            <v>0</v>
          </cell>
          <cell r="BY447">
            <v>5540</v>
          </cell>
          <cell r="BZ447">
            <v>0</v>
          </cell>
          <cell r="CD447">
            <v>0</v>
          </cell>
          <cell r="CE447">
            <v>11280</v>
          </cell>
          <cell r="CF447">
            <v>0</v>
          </cell>
          <cell r="CJ447">
            <v>0</v>
          </cell>
          <cell r="CK447">
            <v>10140</v>
          </cell>
          <cell r="CL447">
            <v>0</v>
          </cell>
          <cell r="CP447">
            <v>0</v>
          </cell>
          <cell r="CQ447">
            <v>49140</v>
          </cell>
          <cell r="CR447">
            <v>0</v>
          </cell>
          <cell r="CS447">
            <v>0</v>
          </cell>
          <cell r="CX447">
            <v>0</v>
          </cell>
          <cell r="CY447">
            <v>19140</v>
          </cell>
          <cell r="CZ447">
            <v>0</v>
          </cell>
          <cell r="DA447">
            <v>0</v>
          </cell>
          <cell r="DF447">
            <v>0</v>
          </cell>
          <cell r="DG447">
            <v>24720</v>
          </cell>
          <cell r="DH447">
            <v>0</v>
          </cell>
          <cell r="DI447">
            <v>0</v>
          </cell>
          <cell r="DN447">
            <v>0</v>
          </cell>
          <cell r="DO447">
            <v>22180</v>
          </cell>
          <cell r="DP447">
            <v>0</v>
          </cell>
          <cell r="DQ447">
            <v>0</v>
          </cell>
          <cell r="DV447">
            <v>0</v>
          </cell>
          <cell r="DW447">
            <v>26960</v>
          </cell>
          <cell r="DX447">
            <v>0</v>
          </cell>
          <cell r="DY447">
            <v>0</v>
          </cell>
        </row>
        <row r="448">
          <cell r="F448">
            <v>0</v>
          </cell>
          <cell r="G448">
            <v>194492</v>
          </cell>
          <cell r="H448">
            <v>0</v>
          </cell>
          <cell r="I448">
            <v>0</v>
          </cell>
          <cell r="N448">
            <v>0</v>
          </cell>
          <cell r="O448">
            <v>680</v>
          </cell>
          <cell r="P448">
            <v>0</v>
          </cell>
          <cell r="T448">
            <v>0</v>
          </cell>
          <cell r="U448">
            <v>16498</v>
          </cell>
          <cell r="V448">
            <v>0</v>
          </cell>
          <cell r="Z448">
            <v>0</v>
          </cell>
          <cell r="AA448">
            <v>24119</v>
          </cell>
          <cell r="AB448">
            <v>0</v>
          </cell>
          <cell r="AF448">
            <v>0</v>
          </cell>
          <cell r="AG448">
            <v>11280</v>
          </cell>
          <cell r="AH448">
            <v>0</v>
          </cell>
          <cell r="AL448">
            <v>0</v>
          </cell>
          <cell r="AM448">
            <v>9797</v>
          </cell>
          <cell r="AN448">
            <v>0</v>
          </cell>
          <cell r="AR448">
            <v>0</v>
          </cell>
          <cell r="AS448">
            <v>36580</v>
          </cell>
          <cell r="AT448">
            <v>0</v>
          </cell>
          <cell r="AX448">
            <v>0</v>
          </cell>
          <cell r="AY448">
            <v>98954</v>
          </cell>
          <cell r="AZ448">
            <v>0</v>
          </cell>
          <cell r="BA448">
            <v>0</v>
          </cell>
          <cell r="BF448">
            <v>0</v>
          </cell>
          <cell r="BG448">
            <v>4167</v>
          </cell>
          <cell r="BH448">
            <v>0</v>
          </cell>
          <cell r="BL448">
            <v>0</v>
          </cell>
          <cell r="BM448">
            <v>14630</v>
          </cell>
          <cell r="BN448">
            <v>0</v>
          </cell>
          <cell r="BR448">
            <v>0</v>
          </cell>
          <cell r="BS448">
            <v>34243</v>
          </cell>
          <cell r="BT448">
            <v>0</v>
          </cell>
          <cell r="BX448">
            <v>0</v>
          </cell>
          <cell r="BY448">
            <v>9585</v>
          </cell>
          <cell r="BZ448">
            <v>0</v>
          </cell>
          <cell r="CD448">
            <v>0</v>
          </cell>
          <cell r="CE448">
            <v>17980</v>
          </cell>
          <cell r="CF448">
            <v>0</v>
          </cell>
          <cell r="CJ448">
            <v>0</v>
          </cell>
          <cell r="CK448">
            <v>14933</v>
          </cell>
          <cell r="CL448">
            <v>0</v>
          </cell>
          <cell r="CP448">
            <v>0</v>
          </cell>
          <cell r="CQ448">
            <v>95538</v>
          </cell>
          <cell r="CR448">
            <v>0</v>
          </cell>
          <cell r="CS448">
            <v>0</v>
          </cell>
          <cell r="CX448">
            <v>0</v>
          </cell>
          <cell r="CY448">
            <v>41297</v>
          </cell>
          <cell r="CZ448">
            <v>0</v>
          </cell>
          <cell r="DA448">
            <v>0</v>
          </cell>
          <cell r="DF448">
            <v>0</v>
          </cell>
          <cell r="DG448">
            <v>57657</v>
          </cell>
          <cell r="DH448">
            <v>0</v>
          </cell>
          <cell r="DI448">
            <v>0</v>
          </cell>
          <cell r="DN448">
            <v>0</v>
          </cell>
          <cell r="DO448">
            <v>53040</v>
          </cell>
          <cell r="DP448">
            <v>0</v>
          </cell>
          <cell r="DQ448">
            <v>0</v>
          </cell>
          <cell r="DV448">
            <v>0</v>
          </cell>
          <cell r="DW448">
            <v>42498</v>
          </cell>
          <cell r="DX448">
            <v>0</v>
          </cell>
          <cell r="DY448">
            <v>0</v>
          </cell>
        </row>
        <row r="449">
          <cell r="F449">
            <v>0</v>
          </cell>
          <cell r="G449">
            <v>2500</v>
          </cell>
          <cell r="H449">
            <v>0</v>
          </cell>
          <cell r="I449">
            <v>0</v>
          </cell>
          <cell r="AX449">
            <v>0</v>
          </cell>
          <cell r="AY449">
            <v>0</v>
          </cell>
          <cell r="AZ449">
            <v>0</v>
          </cell>
          <cell r="BA449">
            <v>0</v>
          </cell>
          <cell r="BF449">
            <v>0</v>
          </cell>
          <cell r="BG449">
            <v>500</v>
          </cell>
          <cell r="BH449">
            <v>0</v>
          </cell>
          <cell r="BL449">
            <v>0</v>
          </cell>
          <cell r="BM449">
            <v>2000</v>
          </cell>
          <cell r="BN449">
            <v>0</v>
          </cell>
          <cell r="BR449">
            <v>0</v>
          </cell>
          <cell r="BS449">
            <v>0</v>
          </cell>
          <cell r="BT449">
            <v>0</v>
          </cell>
          <cell r="BX449">
            <v>0</v>
          </cell>
          <cell r="BY449">
            <v>0</v>
          </cell>
          <cell r="BZ449">
            <v>0</v>
          </cell>
          <cell r="CD449">
            <v>0</v>
          </cell>
          <cell r="CE449">
            <v>0</v>
          </cell>
          <cell r="CF449">
            <v>0</v>
          </cell>
          <cell r="CJ449">
            <v>0</v>
          </cell>
          <cell r="CK449">
            <v>0</v>
          </cell>
          <cell r="CL449">
            <v>0</v>
          </cell>
          <cell r="CP449">
            <v>0</v>
          </cell>
          <cell r="CQ449">
            <v>2500</v>
          </cell>
          <cell r="CR449">
            <v>0</v>
          </cell>
          <cell r="CS449">
            <v>0</v>
          </cell>
          <cell r="CX449">
            <v>0</v>
          </cell>
          <cell r="CY449">
            <v>0</v>
          </cell>
          <cell r="CZ449">
            <v>0</v>
          </cell>
          <cell r="DA449">
            <v>0</v>
          </cell>
          <cell r="DF449">
            <v>0</v>
          </cell>
          <cell r="DG449">
            <v>0</v>
          </cell>
          <cell r="DH449">
            <v>0</v>
          </cell>
          <cell r="DI449">
            <v>0</v>
          </cell>
          <cell r="DN449">
            <v>0</v>
          </cell>
          <cell r="DO449">
            <v>2500</v>
          </cell>
          <cell r="DP449">
            <v>0</v>
          </cell>
          <cell r="DQ449">
            <v>0</v>
          </cell>
          <cell r="DV449">
            <v>0</v>
          </cell>
          <cell r="DW449">
            <v>0</v>
          </cell>
          <cell r="DX449">
            <v>0</v>
          </cell>
          <cell r="DY449">
            <v>0</v>
          </cell>
        </row>
        <row r="450">
          <cell r="F450">
            <v>0</v>
          </cell>
          <cell r="G450">
            <v>0</v>
          </cell>
          <cell r="H450">
            <v>0</v>
          </cell>
          <cell r="I450">
            <v>0</v>
          </cell>
          <cell r="AX450">
            <v>0</v>
          </cell>
          <cell r="AY450">
            <v>0</v>
          </cell>
          <cell r="AZ450">
            <v>0</v>
          </cell>
          <cell r="BA450">
            <v>0</v>
          </cell>
          <cell r="BF450">
            <v>0</v>
          </cell>
          <cell r="BH450">
            <v>0</v>
          </cell>
          <cell r="BL450">
            <v>0</v>
          </cell>
          <cell r="BN450">
            <v>0</v>
          </cell>
          <cell r="BR450">
            <v>0</v>
          </cell>
          <cell r="BS450">
            <v>0</v>
          </cell>
          <cell r="BT450">
            <v>0</v>
          </cell>
          <cell r="BX450">
            <v>0</v>
          </cell>
          <cell r="BY450">
            <v>0</v>
          </cell>
          <cell r="BZ450">
            <v>0</v>
          </cell>
          <cell r="CD450">
            <v>0</v>
          </cell>
          <cell r="CE450">
            <v>0</v>
          </cell>
          <cell r="CF450">
            <v>0</v>
          </cell>
          <cell r="CJ450">
            <v>0</v>
          </cell>
          <cell r="CK450">
            <v>0</v>
          </cell>
          <cell r="CL450">
            <v>0</v>
          </cell>
          <cell r="CP450">
            <v>0</v>
          </cell>
          <cell r="CQ450">
            <v>0</v>
          </cell>
          <cell r="CR450">
            <v>0</v>
          </cell>
          <cell r="CS450">
            <v>0</v>
          </cell>
          <cell r="CX450">
            <v>0</v>
          </cell>
          <cell r="CY450">
            <v>0</v>
          </cell>
          <cell r="CZ450">
            <v>0</v>
          </cell>
          <cell r="DA450">
            <v>0</v>
          </cell>
          <cell r="DF450">
            <v>0</v>
          </cell>
          <cell r="DG450">
            <v>0</v>
          </cell>
          <cell r="DH450">
            <v>0</v>
          </cell>
          <cell r="DI450">
            <v>0</v>
          </cell>
          <cell r="DN450">
            <v>0</v>
          </cell>
          <cell r="DO450">
            <v>0</v>
          </cell>
          <cell r="DP450">
            <v>0</v>
          </cell>
          <cell r="DQ450">
            <v>0</v>
          </cell>
          <cell r="DV450">
            <v>0</v>
          </cell>
          <cell r="DW450">
            <v>0</v>
          </cell>
          <cell r="DX450">
            <v>0</v>
          </cell>
          <cell r="DY450">
            <v>0</v>
          </cell>
        </row>
        <row r="451">
          <cell r="F451">
            <v>0</v>
          </cell>
          <cell r="G451">
            <v>2500</v>
          </cell>
          <cell r="H451">
            <v>0</v>
          </cell>
          <cell r="I451">
            <v>0</v>
          </cell>
          <cell r="N451">
            <v>0</v>
          </cell>
          <cell r="O451">
            <v>0</v>
          </cell>
          <cell r="P451">
            <v>0</v>
          </cell>
          <cell r="T451">
            <v>0</v>
          </cell>
          <cell r="U451">
            <v>0</v>
          </cell>
          <cell r="V451">
            <v>0</v>
          </cell>
          <cell r="Z451">
            <v>0</v>
          </cell>
          <cell r="AA451">
            <v>0</v>
          </cell>
          <cell r="AB451">
            <v>0</v>
          </cell>
          <cell r="AF451">
            <v>0</v>
          </cell>
          <cell r="AG451">
            <v>0</v>
          </cell>
          <cell r="AH451">
            <v>0</v>
          </cell>
          <cell r="AL451">
            <v>0</v>
          </cell>
          <cell r="AM451">
            <v>0</v>
          </cell>
          <cell r="AN451">
            <v>0</v>
          </cell>
          <cell r="AR451">
            <v>0</v>
          </cell>
          <cell r="AS451">
            <v>0</v>
          </cell>
          <cell r="AT451">
            <v>0</v>
          </cell>
          <cell r="AX451">
            <v>0</v>
          </cell>
          <cell r="AY451">
            <v>0</v>
          </cell>
          <cell r="AZ451">
            <v>0</v>
          </cell>
          <cell r="BA451">
            <v>0</v>
          </cell>
          <cell r="BF451">
            <v>0</v>
          </cell>
          <cell r="BG451">
            <v>500</v>
          </cell>
          <cell r="BH451">
            <v>0</v>
          </cell>
          <cell r="BL451">
            <v>0</v>
          </cell>
          <cell r="BM451">
            <v>2000</v>
          </cell>
          <cell r="BN451">
            <v>0</v>
          </cell>
          <cell r="BR451">
            <v>0</v>
          </cell>
          <cell r="BS451">
            <v>0</v>
          </cell>
          <cell r="BT451">
            <v>0</v>
          </cell>
          <cell r="BX451">
            <v>0</v>
          </cell>
          <cell r="BY451">
            <v>0</v>
          </cell>
          <cell r="BZ451">
            <v>0</v>
          </cell>
          <cell r="CD451">
            <v>0</v>
          </cell>
          <cell r="CE451">
            <v>0</v>
          </cell>
          <cell r="CF451">
            <v>0</v>
          </cell>
          <cell r="CJ451">
            <v>0</v>
          </cell>
          <cell r="CK451">
            <v>0</v>
          </cell>
          <cell r="CL451">
            <v>0</v>
          </cell>
          <cell r="CP451">
            <v>0</v>
          </cell>
          <cell r="CQ451">
            <v>2500</v>
          </cell>
          <cell r="CR451">
            <v>0</v>
          </cell>
          <cell r="CS451">
            <v>0</v>
          </cell>
          <cell r="CX451">
            <v>0</v>
          </cell>
          <cell r="CY451">
            <v>0</v>
          </cell>
          <cell r="CZ451">
            <v>0</v>
          </cell>
          <cell r="DA451">
            <v>0</v>
          </cell>
          <cell r="DF451">
            <v>0</v>
          </cell>
          <cell r="DG451">
            <v>0</v>
          </cell>
          <cell r="DH451">
            <v>0</v>
          </cell>
          <cell r="DI451">
            <v>0</v>
          </cell>
          <cell r="DN451">
            <v>0</v>
          </cell>
          <cell r="DO451">
            <v>2500</v>
          </cell>
          <cell r="DP451">
            <v>0</v>
          </cell>
          <cell r="DQ451">
            <v>0</v>
          </cell>
          <cell r="DV451">
            <v>0</v>
          </cell>
          <cell r="DW451">
            <v>0</v>
          </cell>
          <cell r="DX451">
            <v>0</v>
          </cell>
          <cell r="DY451">
            <v>0</v>
          </cell>
        </row>
        <row r="452">
          <cell r="F452">
            <v>0</v>
          </cell>
          <cell r="G452">
            <v>196992</v>
          </cell>
          <cell r="H452">
            <v>0</v>
          </cell>
          <cell r="I452">
            <v>0</v>
          </cell>
          <cell r="N452">
            <v>0</v>
          </cell>
          <cell r="O452">
            <v>680</v>
          </cell>
          <cell r="P452">
            <v>0</v>
          </cell>
          <cell r="T452">
            <v>0</v>
          </cell>
          <cell r="U452">
            <v>16498</v>
          </cell>
          <cell r="V452">
            <v>0</v>
          </cell>
          <cell r="Z452">
            <v>0</v>
          </cell>
          <cell r="AA452">
            <v>24119</v>
          </cell>
          <cell r="AB452">
            <v>0</v>
          </cell>
          <cell r="AF452">
            <v>0</v>
          </cell>
          <cell r="AG452">
            <v>11280</v>
          </cell>
          <cell r="AH452">
            <v>0</v>
          </cell>
          <cell r="AL452">
            <v>0</v>
          </cell>
          <cell r="AM452">
            <v>9797</v>
          </cell>
          <cell r="AN452">
            <v>0</v>
          </cell>
          <cell r="AR452">
            <v>0</v>
          </cell>
          <cell r="AS452">
            <v>36580</v>
          </cell>
          <cell r="AT452">
            <v>0</v>
          </cell>
          <cell r="AX452">
            <v>0</v>
          </cell>
          <cell r="AY452">
            <v>98954</v>
          </cell>
          <cell r="AZ452">
            <v>0</v>
          </cell>
          <cell r="BA452">
            <v>0</v>
          </cell>
          <cell r="BF452">
            <v>0</v>
          </cell>
          <cell r="BG452">
            <v>4667</v>
          </cell>
          <cell r="BH452">
            <v>0</v>
          </cell>
          <cell r="BL452">
            <v>0</v>
          </cell>
          <cell r="BM452">
            <v>16630</v>
          </cell>
          <cell r="BN452">
            <v>0</v>
          </cell>
          <cell r="BR452">
            <v>0</v>
          </cell>
          <cell r="BS452">
            <v>34243</v>
          </cell>
          <cell r="BT452">
            <v>0</v>
          </cell>
          <cell r="BX452">
            <v>0</v>
          </cell>
          <cell r="BY452">
            <v>9585</v>
          </cell>
          <cell r="BZ452">
            <v>0</v>
          </cell>
          <cell r="CD452">
            <v>0</v>
          </cell>
          <cell r="CE452">
            <v>17980</v>
          </cell>
          <cell r="CF452">
            <v>0</v>
          </cell>
          <cell r="CJ452">
            <v>0</v>
          </cell>
          <cell r="CK452">
            <v>14933</v>
          </cell>
          <cell r="CL452">
            <v>0</v>
          </cell>
          <cell r="CP452">
            <v>0</v>
          </cell>
          <cell r="CQ452">
            <v>98038</v>
          </cell>
          <cell r="CR452">
            <v>0</v>
          </cell>
          <cell r="CS452">
            <v>0</v>
          </cell>
          <cell r="CX452">
            <v>0</v>
          </cell>
          <cell r="CY452">
            <v>41297</v>
          </cell>
          <cell r="CZ452">
            <v>0</v>
          </cell>
          <cell r="DA452">
            <v>0</v>
          </cell>
          <cell r="DF452">
            <v>0</v>
          </cell>
          <cell r="DG452">
            <v>57657</v>
          </cell>
          <cell r="DH452">
            <v>0</v>
          </cell>
          <cell r="DI452">
            <v>0</v>
          </cell>
          <cell r="DN452">
            <v>0</v>
          </cell>
          <cell r="DO452">
            <v>55540</v>
          </cell>
          <cell r="DP452">
            <v>0</v>
          </cell>
          <cell r="DQ452">
            <v>0</v>
          </cell>
          <cell r="DV452">
            <v>0</v>
          </cell>
          <cell r="DW452">
            <v>42498</v>
          </cell>
          <cell r="DX452">
            <v>0</v>
          </cell>
          <cell r="DY452">
            <v>0</v>
          </cell>
        </row>
        <row r="455">
          <cell r="F455">
            <v>0</v>
          </cell>
          <cell r="G455">
            <v>241183.69338099999</v>
          </cell>
          <cell r="H455">
            <v>56196.996000000006</v>
          </cell>
          <cell r="I455">
            <v>23.300495656323299</v>
          </cell>
          <cell r="O455">
            <v>15082.258938300001</v>
          </cell>
          <cell r="P455">
            <v>2683.636</v>
          </cell>
          <cell r="U455">
            <v>17810.822894299999</v>
          </cell>
          <cell r="V455">
            <v>4038.2289999999994</v>
          </cell>
          <cell r="AA455">
            <v>18574.018668599998</v>
          </cell>
          <cell r="AB455">
            <v>4134.5450000000001</v>
          </cell>
          <cell r="AG455">
            <v>17855.088252599999</v>
          </cell>
          <cell r="AH455">
            <v>4256.8560000000007</v>
          </cell>
          <cell r="AM455">
            <v>18640.490612599999</v>
          </cell>
          <cell r="AN455">
            <v>4578.7240000000002</v>
          </cell>
          <cell r="AS455">
            <v>19731.138144600001</v>
          </cell>
          <cell r="AT455">
            <v>4743.9779999999992</v>
          </cell>
          <cell r="AY455">
            <v>107693.81751100002</v>
          </cell>
          <cell r="AZ455">
            <v>24435.967999999997</v>
          </cell>
          <cell r="BA455">
            <v>22.690223603136801</v>
          </cell>
          <cell r="BG455">
            <v>20687.0182365</v>
          </cell>
          <cell r="BH455">
            <v>4785.7970000000005</v>
          </cell>
          <cell r="BM455">
            <v>21259.086716499998</v>
          </cell>
          <cell r="BN455">
            <v>5031.741</v>
          </cell>
          <cell r="BS455">
            <v>23141.845898699998</v>
          </cell>
          <cell r="BT455">
            <v>5442.835</v>
          </cell>
          <cell r="BY455">
            <v>24965.779347499996</v>
          </cell>
          <cell r="BZ455">
            <v>6169.6940000000004</v>
          </cell>
          <cell r="CE455">
            <v>22220.308759800002</v>
          </cell>
          <cell r="CF455">
            <v>5486.277</v>
          </cell>
          <cell r="CK455">
            <v>21215.836911000002</v>
          </cell>
          <cell r="CL455">
            <v>4844.6839999999993</v>
          </cell>
          <cell r="CQ455">
            <v>133489.87586999999</v>
          </cell>
          <cell r="CR455">
            <v>31761.028000000006</v>
          </cell>
          <cell r="CS455">
            <v>23.792836567569136</v>
          </cell>
          <cell r="CY455">
            <v>51467.100501199995</v>
          </cell>
          <cell r="CZ455">
            <v>10856.41</v>
          </cell>
          <cell r="DA455">
            <v>21.09388307147179</v>
          </cell>
          <cell r="DG455">
            <v>56226.717009799992</v>
          </cell>
          <cell r="DH455">
            <v>13579.557999999999</v>
          </cell>
          <cell r="DI455">
            <v>24.15143320146748</v>
          </cell>
          <cell r="DO455">
            <v>65087.950851700007</v>
          </cell>
          <cell r="DP455">
            <v>15260.372999999998</v>
          </cell>
          <cell r="DQ455">
            <v>23.445772681905559</v>
          </cell>
          <cell r="DW455">
            <v>68401.925018299997</v>
          </cell>
          <cell r="DX455">
            <v>16500.655000000002</v>
          </cell>
          <cell r="DY455">
            <v>24.123085710797582</v>
          </cell>
        </row>
        <row r="456">
          <cell r="F456">
            <v>0</v>
          </cell>
          <cell r="G456">
            <v>159115.58186999999</v>
          </cell>
          <cell r="H456">
            <v>39691.919999999998</v>
          </cell>
          <cell r="I456">
            <v>24.945338183427531</v>
          </cell>
          <cell r="O456">
            <v>9772.315208</v>
          </cell>
          <cell r="P456">
            <v>784</v>
          </cell>
          <cell r="U456">
            <v>10104.57582</v>
          </cell>
          <cell r="V456">
            <v>1212.32</v>
          </cell>
          <cell r="AA456">
            <v>10238.41455</v>
          </cell>
          <cell r="AB456">
            <v>1093</v>
          </cell>
          <cell r="AG456">
            <v>10986.750498000001</v>
          </cell>
          <cell r="AH456">
            <v>1640</v>
          </cell>
          <cell r="AM456">
            <v>13172.356744000001</v>
          </cell>
          <cell r="AN456">
            <v>3022</v>
          </cell>
          <cell r="AS456">
            <v>13314.959923999999</v>
          </cell>
          <cell r="AT456">
            <v>3286.6</v>
          </cell>
          <cell r="AY456">
            <v>67589.372744000008</v>
          </cell>
          <cell r="AZ456">
            <v>11037.92</v>
          </cell>
          <cell r="BA456">
            <v>16.330851362990124</v>
          </cell>
          <cell r="BG456">
            <v>14188.403252</v>
          </cell>
          <cell r="BH456">
            <v>3951</v>
          </cell>
          <cell r="BM456">
            <v>14461.367507999999</v>
          </cell>
          <cell r="BN456">
            <v>4156</v>
          </cell>
          <cell r="BS456">
            <v>14658.670495999999</v>
          </cell>
          <cell r="BT456">
            <v>4141</v>
          </cell>
          <cell r="BY456">
            <v>15615.06099</v>
          </cell>
          <cell r="BZ456">
            <v>5167</v>
          </cell>
          <cell r="CE456">
            <v>16011.699107999999</v>
          </cell>
          <cell r="CF456">
            <v>5391</v>
          </cell>
          <cell r="CK456">
            <v>16591.007771999997</v>
          </cell>
          <cell r="CL456">
            <v>5848</v>
          </cell>
          <cell r="CQ456">
            <v>91526.209126000002</v>
          </cell>
          <cell r="CR456">
            <v>28654</v>
          </cell>
          <cell r="CS456">
            <v>31.306879497820489</v>
          </cell>
          <cell r="CX456">
            <v>0</v>
          </cell>
          <cell r="CY456">
            <v>30115.305578</v>
          </cell>
          <cell r="CZ456">
            <v>3089.3199999999997</v>
          </cell>
          <cell r="DA456">
            <v>10.258305339119078</v>
          </cell>
          <cell r="DF456">
            <v>0</v>
          </cell>
          <cell r="DG456">
            <v>37474.067166000001</v>
          </cell>
          <cell r="DH456">
            <v>7948.6</v>
          </cell>
          <cell r="DI456">
            <v>21.210934924116582</v>
          </cell>
          <cell r="DN456">
            <v>0</v>
          </cell>
          <cell r="DO456">
            <v>43308.441255999998</v>
          </cell>
          <cell r="DP456">
            <v>12248</v>
          </cell>
          <cell r="DQ456">
            <v>28.280860831727921</v>
          </cell>
          <cell r="DV456">
            <v>0</v>
          </cell>
          <cell r="DW456">
            <v>48217.767869999996</v>
          </cell>
          <cell r="DX456">
            <v>16406</v>
          </cell>
          <cell r="DY456">
            <v>34.024801903381849</v>
          </cell>
        </row>
        <row r="457">
          <cell r="F457">
            <v>0</v>
          </cell>
          <cell r="G457">
            <v>52277.783519999997</v>
          </cell>
          <cell r="H457">
            <v>14514.603999999999</v>
          </cell>
          <cell r="I457">
            <v>27.764382922713477</v>
          </cell>
          <cell r="O457">
            <v>2761.2813999999998</v>
          </cell>
          <cell r="P457">
            <v>565.02800000000002</v>
          </cell>
          <cell r="U457">
            <v>3077.5416399999999</v>
          </cell>
          <cell r="V457">
            <v>646.11599999999999</v>
          </cell>
          <cell r="AA457">
            <v>3594.7626399999999</v>
          </cell>
          <cell r="AB457">
            <v>872.94500000000005</v>
          </cell>
          <cell r="AG457">
            <v>3948.5209999999997</v>
          </cell>
          <cell r="AH457">
            <v>1028.6289999999999</v>
          </cell>
          <cell r="AM457">
            <v>4081.2850399999998</v>
          </cell>
          <cell r="AN457">
            <v>1112.835</v>
          </cell>
          <cell r="AS457">
            <v>4241.2438000000002</v>
          </cell>
          <cell r="AT457">
            <v>1203.5440000000001</v>
          </cell>
          <cell r="AY457">
            <v>21704.63552</v>
          </cell>
          <cell r="AZ457">
            <v>5429.0969999999998</v>
          </cell>
          <cell r="BA457">
            <v>25.013536831785505</v>
          </cell>
          <cell r="BG457">
            <v>4693.0537999999997</v>
          </cell>
          <cell r="BH457">
            <v>1327.3939999999998</v>
          </cell>
          <cell r="BM457">
            <v>4503.4758000000002</v>
          </cell>
          <cell r="BN457">
            <v>1261.9959999999996</v>
          </cell>
          <cell r="BS457">
            <v>5213.1697999999997</v>
          </cell>
          <cell r="BT457">
            <v>1542.9580000000001</v>
          </cell>
          <cell r="BY457">
            <v>5579.6728000000003</v>
          </cell>
          <cell r="BZ457">
            <v>1697.5230000000001</v>
          </cell>
          <cell r="CE457">
            <v>5417.1909999999998</v>
          </cell>
          <cell r="CF457">
            <v>1639.3380000000002</v>
          </cell>
          <cell r="CK457">
            <v>5166.5848000000005</v>
          </cell>
          <cell r="CL457">
            <v>1616.298</v>
          </cell>
          <cell r="CQ457">
            <v>30573.148000000001</v>
          </cell>
          <cell r="CR457">
            <v>9085.5070000000014</v>
          </cell>
          <cell r="CS457">
            <v>29.71727674232304</v>
          </cell>
          <cell r="CX457">
            <v>0</v>
          </cell>
          <cell r="CY457">
            <v>9433.5856800000001</v>
          </cell>
          <cell r="CZ457">
            <v>2084.0889999999999</v>
          </cell>
          <cell r="DA457">
            <v>22.092225275681177</v>
          </cell>
          <cell r="DF457">
            <v>0</v>
          </cell>
          <cell r="DG457">
            <v>12271.04984</v>
          </cell>
          <cell r="DH457">
            <v>3345.0079999999998</v>
          </cell>
          <cell r="DI457">
            <v>27.259346540149004</v>
          </cell>
          <cell r="DN457">
            <v>0</v>
          </cell>
          <cell r="DO457">
            <v>14409.6994</v>
          </cell>
          <cell r="DP457">
            <v>4132.348</v>
          </cell>
          <cell r="DQ457">
            <v>28.677544793196731</v>
          </cell>
          <cell r="DV457">
            <v>0</v>
          </cell>
          <cell r="DW457">
            <v>16163.4486</v>
          </cell>
          <cell r="DX457">
            <v>4953.1590000000006</v>
          </cell>
          <cell r="DY457">
            <v>30.644196808346958</v>
          </cell>
        </row>
        <row r="458">
          <cell r="F458">
            <v>0</v>
          </cell>
          <cell r="G458">
            <v>30709.145999999997</v>
          </cell>
          <cell r="H458">
            <v>9439.8189999999995</v>
          </cell>
          <cell r="I458">
            <v>30.739438341919378</v>
          </cell>
          <cell r="O458">
            <v>2058.4799999999996</v>
          </cell>
          <cell r="P458">
            <v>615.14799999999991</v>
          </cell>
          <cell r="U458">
            <v>2108.5840000000003</v>
          </cell>
          <cell r="V458">
            <v>622.12599999999998</v>
          </cell>
          <cell r="AA458">
            <v>2283.3649999999998</v>
          </cell>
          <cell r="AB458">
            <v>674.20400000000018</v>
          </cell>
          <cell r="AG458">
            <v>2483.654</v>
          </cell>
          <cell r="AH458">
            <v>749.31600000000003</v>
          </cell>
          <cell r="AM458">
            <v>2513.7070000000003</v>
          </cell>
          <cell r="AN458">
            <v>745.17399999999998</v>
          </cell>
          <cell r="AS458">
            <v>2542.3859999999995</v>
          </cell>
          <cell r="AT458">
            <v>742.62199999999996</v>
          </cell>
          <cell r="AY458">
            <v>13990.176000000001</v>
          </cell>
          <cell r="AZ458">
            <v>4148.59</v>
          </cell>
          <cell r="BA458">
            <v>29.653594064863796</v>
          </cell>
          <cell r="BG458">
            <v>2603.0529999999999</v>
          </cell>
          <cell r="BH458">
            <v>807.14100000000008</v>
          </cell>
          <cell r="BM458">
            <v>2727.95</v>
          </cell>
          <cell r="BN458">
            <v>841.86800000000005</v>
          </cell>
          <cell r="BS458">
            <v>2733.7170000000001</v>
          </cell>
          <cell r="BT458">
            <v>795.20899999999995</v>
          </cell>
          <cell r="BY458">
            <v>2923.2460000000001</v>
          </cell>
          <cell r="BZ458">
            <v>942.39499999999998</v>
          </cell>
          <cell r="CE458">
            <v>2962.7020000000002</v>
          </cell>
          <cell r="CF458">
            <v>977.00799999999992</v>
          </cell>
          <cell r="CK458">
            <v>2768.3020000000001</v>
          </cell>
          <cell r="CL458">
            <v>927.60799999999995</v>
          </cell>
          <cell r="CQ458">
            <v>16718.97</v>
          </cell>
          <cell r="CR458">
            <v>5291.2290000000003</v>
          </cell>
          <cell r="CS458">
            <v>31.648056070439743</v>
          </cell>
          <cell r="CX458">
            <v>0</v>
          </cell>
          <cell r="CY458">
            <v>6450.4290000000001</v>
          </cell>
          <cell r="CZ458">
            <v>1911.4780000000001</v>
          </cell>
          <cell r="DA458">
            <v>29.633346867316888</v>
          </cell>
          <cell r="DF458">
            <v>0</v>
          </cell>
          <cell r="DG458">
            <v>7539.7470000000003</v>
          </cell>
          <cell r="DH458">
            <v>2237.1120000000001</v>
          </cell>
          <cell r="DI458">
            <v>29.670916013494882</v>
          </cell>
          <cell r="DN458">
            <v>0</v>
          </cell>
          <cell r="DO458">
            <v>8064.7199999999993</v>
          </cell>
          <cell r="DP458">
            <v>2444.2179999999998</v>
          </cell>
          <cell r="DQ458">
            <v>30.307537025463997</v>
          </cell>
          <cell r="DV458">
            <v>0</v>
          </cell>
          <cell r="DW458">
            <v>8654.25</v>
          </cell>
          <cell r="DX458">
            <v>2847.0109999999995</v>
          </cell>
          <cell r="DY458">
            <v>32.89725857237773</v>
          </cell>
        </row>
        <row r="459">
          <cell r="F459">
            <v>0</v>
          </cell>
          <cell r="G459">
            <v>483286.20477099996</v>
          </cell>
          <cell r="H459">
            <v>119843.33899999999</v>
          </cell>
          <cell r="I459">
            <v>24.797591534148278</v>
          </cell>
          <cell r="N459">
            <v>0</v>
          </cell>
          <cell r="O459">
            <v>29674.335546300001</v>
          </cell>
          <cell r="P459">
            <v>4647.8119999999999</v>
          </cell>
          <cell r="T459">
            <v>0</v>
          </cell>
          <cell r="U459">
            <v>33101.524354299996</v>
          </cell>
          <cell r="V459">
            <v>6518.7909999999993</v>
          </cell>
          <cell r="Z459">
            <v>0</v>
          </cell>
          <cell r="AA459">
            <v>34690.560858599994</v>
          </cell>
          <cell r="AB459">
            <v>6774.6939999999995</v>
          </cell>
          <cell r="AF459">
            <v>0</v>
          </cell>
          <cell r="AG459">
            <v>35274.013750600003</v>
          </cell>
          <cell r="AH459">
            <v>7674.8010000000004</v>
          </cell>
          <cell r="AL459">
            <v>0</v>
          </cell>
          <cell r="AM459">
            <v>38407.8393966</v>
          </cell>
          <cell r="AN459">
            <v>9458.7330000000002</v>
          </cell>
          <cell r="AR459">
            <v>0</v>
          </cell>
          <cell r="AS459">
            <v>39829.727868599992</v>
          </cell>
          <cell r="AT459">
            <v>9976.7439999999988</v>
          </cell>
          <cell r="AX459">
            <v>0</v>
          </cell>
          <cell r="AY459">
            <v>210978.00177500004</v>
          </cell>
          <cell r="AZ459">
            <v>45051.574999999997</v>
          </cell>
          <cell r="BA459">
            <v>21.353683616761987</v>
          </cell>
          <cell r="BF459">
            <v>0</v>
          </cell>
          <cell r="BG459">
            <v>42171.528288499998</v>
          </cell>
          <cell r="BH459">
            <v>10871.332</v>
          </cell>
          <cell r="BL459">
            <v>0</v>
          </cell>
          <cell r="BM459">
            <v>42951.880024499995</v>
          </cell>
          <cell r="BN459">
            <v>11291.605</v>
          </cell>
          <cell r="BR459">
            <v>0</v>
          </cell>
          <cell r="BS459">
            <v>45747.403194699997</v>
          </cell>
          <cell r="BT459">
            <v>11922.002</v>
          </cell>
          <cell r="BX459">
            <v>0</v>
          </cell>
          <cell r="BY459">
            <v>49083.759137499997</v>
          </cell>
          <cell r="BZ459">
            <v>13976.612000000001</v>
          </cell>
          <cell r="CD459">
            <v>0</v>
          </cell>
          <cell r="CE459">
            <v>46611.900867799995</v>
          </cell>
          <cell r="CF459">
            <v>13493.623</v>
          </cell>
          <cell r="CJ459">
            <v>0</v>
          </cell>
          <cell r="CK459">
            <v>45741.731483000003</v>
          </cell>
          <cell r="CL459">
            <v>13236.59</v>
          </cell>
          <cell r="CP459">
            <v>0</v>
          </cell>
          <cell r="CQ459">
            <v>272308.20299599995</v>
          </cell>
          <cell r="CR459">
            <v>74791.76400000001</v>
          </cell>
          <cell r="CS459">
            <v>27.465850524193964</v>
          </cell>
          <cell r="CX459">
            <v>0</v>
          </cell>
          <cell r="CY459">
            <v>97466.420759200002</v>
          </cell>
          <cell r="CZ459">
            <v>17941.296999999999</v>
          </cell>
          <cell r="DA459">
            <v>18.407669903387205</v>
          </cell>
          <cell r="DF459">
            <v>0</v>
          </cell>
          <cell r="DG459">
            <v>113511.58101579998</v>
          </cell>
          <cell r="DH459">
            <v>27110.277999999998</v>
          </cell>
          <cell r="DI459">
            <v>23.883270550364767</v>
          </cell>
          <cell r="DN459">
            <v>0</v>
          </cell>
          <cell r="DO459">
            <v>130870.8115077</v>
          </cell>
          <cell r="DP459">
            <v>34084.938999999998</v>
          </cell>
          <cell r="DQ459">
            <v>26.044721972244023</v>
          </cell>
          <cell r="DV459">
            <v>0</v>
          </cell>
          <cell r="DW459">
            <v>141437.3914883</v>
          </cell>
          <cell r="DX459">
            <v>40706.824999999997</v>
          </cell>
          <cell r="DY459">
            <v>28.780808647314</v>
          </cell>
        </row>
        <row r="460">
          <cell r="F460">
            <v>0</v>
          </cell>
          <cell r="G460">
            <v>0</v>
          </cell>
          <cell r="H460">
            <v>0</v>
          </cell>
          <cell r="I460">
            <v>0</v>
          </cell>
          <cell r="O460">
            <v>0</v>
          </cell>
          <cell r="P460">
            <v>0</v>
          </cell>
          <cell r="U460">
            <v>0</v>
          </cell>
          <cell r="V460">
            <v>0</v>
          </cell>
          <cell r="AA460">
            <v>0</v>
          </cell>
          <cell r="AB460">
            <v>0</v>
          </cell>
          <cell r="AG460">
            <v>0</v>
          </cell>
          <cell r="AH460">
            <v>0</v>
          </cell>
          <cell r="AM460">
            <v>0</v>
          </cell>
          <cell r="AN460">
            <v>0</v>
          </cell>
          <cell r="AS460">
            <v>0</v>
          </cell>
          <cell r="AT460">
            <v>0</v>
          </cell>
          <cell r="AY460">
            <v>0</v>
          </cell>
          <cell r="AZ460">
            <v>0</v>
          </cell>
          <cell r="BA460">
            <v>0</v>
          </cell>
          <cell r="BG460">
            <v>0</v>
          </cell>
          <cell r="BH460">
            <v>0</v>
          </cell>
          <cell r="BM460">
            <v>0</v>
          </cell>
          <cell r="BN460">
            <v>0</v>
          </cell>
          <cell r="BS460">
            <v>0</v>
          </cell>
          <cell r="BT460">
            <v>0</v>
          </cell>
          <cell r="BY460">
            <v>0</v>
          </cell>
          <cell r="BZ460">
            <v>0</v>
          </cell>
          <cell r="CE460">
            <v>0</v>
          </cell>
          <cell r="CF460">
            <v>0</v>
          </cell>
          <cell r="CK460">
            <v>0</v>
          </cell>
          <cell r="CL460">
            <v>0</v>
          </cell>
          <cell r="CQ460">
            <v>0</v>
          </cell>
          <cell r="CR460">
            <v>0</v>
          </cell>
          <cell r="CS460">
            <v>0</v>
          </cell>
          <cell r="CX460">
            <v>0</v>
          </cell>
          <cell r="CY460">
            <v>0</v>
          </cell>
          <cell r="CZ460">
            <v>0</v>
          </cell>
          <cell r="DA460">
            <v>0</v>
          </cell>
          <cell r="DF460">
            <v>0</v>
          </cell>
          <cell r="DG460">
            <v>0</v>
          </cell>
          <cell r="DH460">
            <v>0</v>
          </cell>
          <cell r="DI460">
            <v>0</v>
          </cell>
          <cell r="DN460">
            <v>0</v>
          </cell>
          <cell r="DO460">
            <v>0</v>
          </cell>
          <cell r="DP460">
            <v>0</v>
          </cell>
          <cell r="DQ460">
            <v>0</v>
          </cell>
          <cell r="DV460">
            <v>0</v>
          </cell>
          <cell r="DW460">
            <v>0</v>
          </cell>
          <cell r="DX460">
            <v>0</v>
          </cell>
          <cell r="DY460">
            <v>0</v>
          </cell>
        </row>
        <row r="461">
          <cell r="F461">
            <v>0</v>
          </cell>
          <cell r="G461">
            <v>1500</v>
          </cell>
          <cell r="H461">
            <v>300</v>
          </cell>
          <cell r="I461">
            <v>20</v>
          </cell>
          <cell r="O461">
            <v>130</v>
          </cell>
          <cell r="P461">
            <v>26</v>
          </cell>
          <cell r="U461">
            <v>110</v>
          </cell>
          <cell r="V461">
            <v>22</v>
          </cell>
          <cell r="AA461">
            <v>120</v>
          </cell>
          <cell r="AB461">
            <v>24</v>
          </cell>
          <cell r="AG461">
            <v>110</v>
          </cell>
          <cell r="AH461">
            <v>22</v>
          </cell>
          <cell r="AM461">
            <v>130</v>
          </cell>
          <cell r="AN461">
            <v>26</v>
          </cell>
          <cell r="AS461">
            <v>130</v>
          </cell>
          <cell r="AT461">
            <v>26</v>
          </cell>
          <cell r="AY461">
            <v>730</v>
          </cell>
          <cell r="AZ461">
            <v>146</v>
          </cell>
          <cell r="BA461">
            <v>20</v>
          </cell>
          <cell r="BG461">
            <v>150</v>
          </cell>
          <cell r="BH461">
            <v>30</v>
          </cell>
          <cell r="BM461">
            <v>130</v>
          </cell>
          <cell r="BN461">
            <v>26</v>
          </cell>
          <cell r="BS461">
            <v>110</v>
          </cell>
          <cell r="BT461">
            <v>22</v>
          </cell>
          <cell r="BY461">
            <v>110</v>
          </cell>
          <cell r="BZ461">
            <v>22</v>
          </cell>
          <cell r="CE461">
            <v>120</v>
          </cell>
          <cell r="CF461">
            <v>24</v>
          </cell>
          <cell r="CK461">
            <v>150</v>
          </cell>
          <cell r="CL461">
            <v>30</v>
          </cell>
          <cell r="CQ461">
            <v>770</v>
          </cell>
          <cell r="CR461">
            <v>154</v>
          </cell>
          <cell r="CS461">
            <v>20</v>
          </cell>
          <cell r="CX461">
            <v>0</v>
          </cell>
          <cell r="CY461">
            <v>360</v>
          </cell>
          <cell r="CZ461">
            <v>72</v>
          </cell>
          <cell r="DA461">
            <v>20</v>
          </cell>
          <cell r="DF461">
            <v>0</v>
          </cell>
          <cell r="DG461">
            <v>370</v>
          </cell>
          <cell r="DH461">
            <v>74</v>
          </cell>
          <cell r="DI461">
            <v>20</v>
          </cell>
          <cell r="DN461">
            <v>0</v>
          </cell>
          <cell r="DO461">
            <v>390</v>
          </cell>
          <cell r="DP461">
            <v>78</v>
          </cell>
          <cell r="DQ461">
            <v>20</v>
          </cell>
          <cell r="DV461">
            <v>0</v>
          </cell>
          <cell r="DW461">
            <v>380</v>
          </cell>
          <cell r="DX461">
            <v>76</v>
          </cell>
          <cell r="DY461">
            <v>20</v>
          </cell>
        </row>
        <row r="462">
          <cell r="G462">
            <v>1500</v>
          </cell>
          <cell r="H462">
            <v>300</v>
          </cell>
          <cell r="I462">
            <v>20</v>
          </cell>
          <cell r="O462">
            <v>130</v>
          </cell>
          <cell r="P462">
            <v>26</v>
          </cell>
          <cell r="U462">
            <v>110</v>
          </cell>
          <cell r="V462">
            <v>22</v>
          </cell>
          <cell r="AA462">
            <v>120</v>
          </cell>
          <cell r="AB462">
            <v>24</v>
          </cell>
          <cell r="AG462">
            <v>110</v>
          </cell>
          <cell r="AH462">
            <v>22</v>
          </cell>
          <cell r="AM462">
            <v>130</v>
          </cell>
          <cell r="AN462">
            <v>26</v>
          </cell>
          <cell r="AS462">
            <v>130</v>
          </cell>
          <cell r="AT462">
            <v>26</v>
          </cell>
          <cell r="AY462">
            <v>730</v>
          </cell>
          <cell r="AZ462">
            <v>146</v>
          </cell>
          <cell r="BA462">
            <v>20</v>
          </cell>
          <cell r="BG462">
            <v>150</v>
          </cell>
          <cell r="BH462">
            <v>30</v>
          </cell>
          <cell r="BM462">
            <v>130</v>
          </cell>
          <cell r="BN462">
            <v>26</v>
          </cell>
          <cell r="BS462">
            <v>110</v>
          </cell>
          <cell r="BT462">
            <v>22</v>
          </cell>
          <cell r="BY462">
            <v>110</v>
          </cell>
          <cell r="BZ462">
            <v>22</v>
          </cell>
          <cell r="CE462">
            <v>120</v>
          </cell>
          <cell r="CF462">
            <v>24</v>
          </cell>
          <cell r="CK462">
            <v>150</v>
          </cell>
          <cell r="CL462">
            <v>30</v>
          </cell>
          <cell r="CQ462">
            <v>770</v>
          </cell>
          <cell r="CR462">
            <v>154</v>
          </cell>
          <cell r="CS462">
            <v>20</v>
          </cell>
          <cell r="CY462">
            <v>360</v>
          </cell>
          <cell r="CZ462">
            <v>72</v>
          </cell>
          <cell r="DA462">
            <v>20</v>
          </cell>
          <cell r="DG462">
            <v>370</v>
          </cell>
          <cell r="DH462">
            <v>74</v>
          </cell>
          <cell r="DI462">
            <v>20</v>
          </cell>
          <cell r="DO462">
            <v>390</v>
          </cell>
          <cell r="DP462">
            <v>78</v>
          </cell>
          <cell r="DQ462">
            <v>20</v>
          </cell>
          <cell r="DW462">
            <v>380</v>
          </cell>
          <cell r="DX462">
            <v>76</v>
          </cell>
          <cell r="DY462">
            <v>20</v>
          </cell>
        </row>
        <row r="463">
          <cell r="I463">
            <v>0</v>
          </cell>
          <cell r="BA463">
            <v>0</v>
          </cell>
          <cell r="CS463">
            <v>0</v>
          </cell>
          <cell r="DA463">
            <v>0</v>
          </cell>
          <cell r="DI463">
            <v>0</v>
          </cell>
          <cell r="DQ463">
            <v>0</v>
          </cell>
          <cell r="DY463">
            <v>0</v>
          </cell>
        </row>
        <row r="464">
          <cell r="F464">
            <v>0</v>
          </cell>
          <cell r="G464">
            <v>0</v>
          </cell>
          <cell r="H464">
            <v>0</v>
          </cell>
          <cell r="I464">
            <v>0</v>
          </cell>
          <cell r="AX464">
            <v>0</v>
          </cell>
          <cell r="AY464">
            <v>0</v>
          </cell>
          <cell r="AZ464">
            <v>0</v>
          </cell>
          <cell r="BA464">
            <v>0</v>
          </cell>
          <cell r="CP464">
            <v>0</v>
          </cell>
          <cell r="CQ464">
            <v>0</v>
          </cell>
          <cell r="CR464">
            <v>0</v>
          </cell>
          <cell r="CS464">
            <v>0</v>
          </cell>
          <cell r="CX464">
            <v>0</v>
          </cell>
          <cell r="CY464">
            <v>0</v>
          </cell>
          <cell r="CZ464">
            <v>0</v>
          </cell>
          <cell r="DA464">
            <v>0</v>
          </cell>
          <cell r="DF464">
            <v>0</v>
          </cell>
          <cell r="DG464">
            <v>0</v>
          </cell>
          <cell r="DH464">
            <v>0</v>
          </cell>
          <cell r="DI464">
            <v>0</v>
          </cell>
          <cell r="DN464">
            <v>0</v>
          </cell>
          <cell r="DO464">
            <v>0</v>
          </cell>
          <cell r="DP464">
            <v>0</v>
          </cell>
          <cell r="DQ464">
            <v>0</v>
          </cell>
          <cell r="DV464">
            <v>0</v>
          </cell>
          <cell r="DW464">
            <v>0</v>
          </cell>
          <cell r="DX464">
            <v>0</v>
          </cell>
          <cell r="DY464">
            <v>0</v>
          </cell>
        </row>
        <row r="465">
          <cell r="F465">
            <v>0</v>
          </cell>
          <cell r="G465">
            <v>0</v>
          </cell>
          <cell r="H465">
            <v>0</v>
          </cell>
          <cell r="I465">
            <v>0</v>
          </cell>
          <cell r="AX465">
            <v>0</v>
          </cell>
          <cell r="AY465">
            <v>0</v>
          </cell>
          <cell r="AZ465">
            <v>0</v>
          </cell>
          <cell r="BA465">
            <v>0</v>
          </cell>
          <cell r="CP465">
            <v>0</v>
          </cell>
          <cell r="CQ465">
            <v>0</v>
          </cell>
          <cell r="CR465">
            <v>0</v>
          </cell>
          <cell r="CS465">
            <v>0</v>
          </cell>
          <cell r="CX465">
            <v>0</v>
          </cell>
          <cell r="CY465">
            <v>0</v>
          </cell>
          <cell r="CZ465">
            <v>0</v>
          </cell>
          <cell r="DA465">
            <v>0</v>
          </cell>
          <cell r="DF465">
            <v>0</v>
          </cell>
          <cell r="DG465">
            <v>0</v>
          </cell>
          <cell r="DH465">
            <v>0</v>
          </cell>
          <cell r="DI465">
            <v>0</v>
          </cell>
          <cell r="DN465">
            <v>0</v>
          </cell>
          <cell r="DO465">
            <v>0</v>
          </cell>
          <cell r="DP465">
            <v>0</v>
          </cell>
          <cell r="DQ465">
            <v>0</v>
          </cell>
          <cell r="DV465">
            <v>0</v>
          </cell>
          <cell r="DW465">
            <v>0</v>
          </cell>
          <cell r="DX465">
            <v>0</v>
          </cell>
          <cell r="DY465">
            <v>0</v>
          </cell>
        </row>
        <row r="466">
          <cell r="F466">
            <v>0</v>
          </cell>
          <cell r="G466">
            <v>0</v>
          </cell>
          <cell r="H466">
            <v>0</v>
          </cell>
          <cell r="I466">
            <v>0</v>
          </cell>
          <cell r="AX466">
            <v>0</v>
          </cell>
          <cell r="AY466">
            <v>0</v>
          </cell>
          <cell r="AZ466">
            <v>0</v>
          </cell>
          <cell r="BA466">
            <v>0</v>
          </cell>
          <cell r="CP466">
            <v>0</v>
          </cell>
          <cell r="CQ466">
            <v>0</v>
          </cell>
          <cell r="CR466">
            <v>0</v>
          </cell>
          <cell r="CS466">
            <v>0</v>
          </cell>
          <cell r="CX466">
            <v>0</v>
          </cell>
          <cell r="CY466">
            <v>0</v>
          </cell>
          <cell r="CZ466">
            <v>0</v>
          </cell>
          <cell r="DA466">
            <v>0</v>
          </cell>
          <cell r="DF466">
            <v>0</v>
          </cell>
          <cell r="DG466">
            <v>0</v>
          </cell>
          <cell r="DH466">
            <v>0</v>
          </cell>
          <cell r="DI466">
            <v>0</v>
          </cell>
          <cell r="DN466">
            <v>0</v>
          </cell>
          <cell r="DO466">
            <v>0</v>
          </cell>
          <cell r="DP466">
            <v>0</v>
          </cell>
          <cell r="DQ466">
            <v>0</v>
          </cell>
          <cell r="DV466">
            <v>0</v>
          </cell>
          <cell r="DW466">
            <v>0</v>
          </cell>
          <cell r="DX466">
            <v>0</v>
          </cell>
          <cell r="DY466">
            <v>0</v>
          </cell>
        </row>
        <row r="467">
          <cell r="F467">
            <v>0</v>
          </cell>
          <cell r="G467">
            <v>0</v>
          </cell>
          <cell r="H467">
            <v>0</v>
          </cell>
          <cell r="I467">
            <v>0</v>
          </cell>
          <cell r="AX467">
            <v>0</v>
          </cell>
          <cell r="AY467">
            <v>0</v>
          </cell>
          <cell r="AZ467">
            <v>0</v>
          </cell>
          <cell r="BA467">
            <v>0</v>
          </cell>
          <cell r="CP467">
            <v>0</v>
          </cell>
          <cell r="CQ467">
            <v>0</v>
          </cell>
          <cell r="CR467">
            <v>0</v>
          </cell>
          <cell r="CS467">
            <v>0</v>
          </cell>
          <cell r="CX467">
            <v>0</v>
          </cell>
          <cell r="CY467">
            <v>0</v>
          </cell>
          <cell r="CZ467">
            <v>0</v>
          </cell>
          <cell r="DA467">
            <v>0</v>
          </cell>
          <cell r="DF467">
            <v>0</v>
          </cell>
          <cell r="DG467">
            <v>0</v>
          </cell>
          <cell r="DH467">
            <v>0</v>
          </cell>
          <cell r="DI467">
            <v>0</v>
          </cell>
          <cell r="DN467">
            <v>0</v>
          </cell>
          <cell r="DO467">
            <v>0</v>
          </cell>
          <cell r="DP467">
            <v>0</v>
          </cell>
          <cell r="DQ467">
            <v>0</v>
          </cell>
          <cell r="DV467">
            <v>0</v>
          </cell>
          <cell r="DW467">
            <v>0</v>
          </cell>
          <cell r="DX467">
            <v>0</v>
          </cell>
          <cell r="DY467">
            <v>0</v>
          </cell>
        </row>
        <row r="468">
          <cell r="F468">
            <v>0</v>
          </cell>
          <cell r="G468">
            <v>0</v>
          </cell>
          <cell r="H468">
            <v>0</v>
          </cell>
          <cell r="I468">
            <v>0</v>
          </cell>
          <cell r="O468">
            <v>0</v>
          </cell>
          <cell r="P468">
            <v>0</v>
          </cell>
          <cell r="U468">
            <v>0</v>
          </cell>
          <cell r="V468">
            <v>0</v>
          </cell>
          <cell r="AA468">
            <v>0</v>
          </cell>
          <cell r="AB468">
            <v>0</v>
          </cell>
          <cell r="AG468">
            <v>0</v>
          </cell>
          <cell r="AH468">
            <v>0</v>
          </cell>
          <cell r="AS468">
            <v>0</v>
          </cell>
          <cell r="AT468">
            <v>0</v>
          </cell>
          <cell r="AY468">
            <v>0</v>
          </cell>
          <cell r="AZ468">
            <v>0</v>
          </cell>
          <cell r="BA468">
            <v>0</v>
          </cell>
          <cell r="BG468">
            <v>0</v>
          </cell>
          <cell r="BH468">
            <v>0</v>
          </cell>
          <cell r="BM468">
            <v>0</v>
          </cell>
          <cell r="BN468">
            <v>0</v>
          </cell>
          <cell r="CP468">
            <v>0</v>
          </cell>
          <cell r="CQ468">
            <v>0</v>
          </cell>
          <cell r="CR468">
            <v>0</v>
          </cell>
          <cell r="CS468">
            <v>0</v>
          </cell>
          <cell r="CX468">
            <v>0</v>
          </cell>
          <cell r="CY468">
            <v>0</v>
          </cell>
          <cell r="CZ468">
            <v>0</v>
          </cell>
          <cell r="DA468">
            <v>0</v>
          </cell>
          <cell r="DF468">
            <v>0</v>
          </cell>
          <cell r="DG468">
            <v>0</v>
          </cell>
          <cell r="DH468">
            <v>0</v>
          </cell>
          <cell r="DI468">
            <v>0</v>
          </cell>
          <cell r="DN468">
            <v>0</v>
          </cell>
          <cell r="DO468">
            <v>0</v>
          </cell>
          <cell r="DP468">
            <v>0</v>
          </cell>
          <cell r="DQ468">
            <v>0</v>
          </cell>
          <cell r="DV468">
            <v>0</v>
          </cell>
          <cell r="DW468">
            <v>0</v>
          </cell>
          <cell r="DX468">
            <v>0</v>
          </cell>
          <cell r="DY468">
            <v>0</v>
          </cell>
        </row>
        <row r="469">
          <cell r="I469">
            <v>0</v>
          </cell>
          <cell r="BA469">
            <v>0</v>
          </cell>
          <cell r="CS469">
            <v>0</v>
          </cell>
          <cell r="DA469">
            <v>0</v>
          </cell>
          <cell r="DI469">
            <v>0</v>
          </cell>
          <cell r="DQ469">
            <v>0</v>
          </cell>
          <cell r="DY469">
            <v>0</v>
          </cell>
        </row>
        <row r="470">
          <cell r="F470">
            <v>0</v>
          </cell>
          <cell r="G470">
            <v>0</v>
          </cell>
          <cell r="H470">
            <v>0</v>
          </cell>
          <cell r="I470">
            <v>0</v>
          </cell>
          <cell r="AX470">
            <v>0</v>
          </cell>
          <cell r="AY470">
            <v>0</v>
          </cell>
          <cell r="AZ470">
            <v>0</v>
          </cell>
          <cell r="BA470">
            <v>0</v>
          </cell>
          <cell r="CP470">
            <v>0</v>
          </cell>
          <cell r="CQ470">
            <v>0</v>
          </cell>
          <cell r="CR470">
            <v>0</v>
          </cell>
          <cell r="CS470">
            <v>0</v>
          </cell>
          <cell r="CX470">
            <v>0</v>
          </cell>
          <cell r="CY470">
            <v>0</v>
          </cell>
          <cell r="CZ470">
            <v>0</v>
          </cell>
          <cell r="DA470">
            <v>0</v>
          </cell>
          <cell r="DF470">
            <v>0</v>
          </cell>
          <cell r="DG470">
            <v>0</v>
          </cell>
          <cell r="DH470">
            <v>0</v>
          </cell>
          <cell r="DI470">
            <v>0</v>
          </cell>
          <cell r="DN470">
            <v>0</v>
          </cell>
          <cell r="DO470">
            <v>0</v>
          </cell>
          <cell r="DP470">
            <v>0</v>
          </cell>
          <cell r="DQ470">
            <v>0</v>
          </cell>
          <cell r="DV470">
            <v>0</v>
          </cell>
          <cell r="DW470">
            <v>0</v>
          </cell>
          <cell r="DX470">
            <v>0</v>
          </cell>
          <cell r="DY470">
            <v>0</v>
          </cell>
        </row>
        <row r="471">
          <cell r="G471">
            <v>160121.293381</v>
          </cell>
          <cell r="H471">
            <v>15878.338000000002</v>
          </cell>
          <cell r="I471">
            <v>9.9164437563081318</v>
          </cell>
          <cell r="U471">
            <v>10830.822894299998</v>
          </cell>
          <cell r="V471">
            <v>592.20900000000006</v>
          </cell>
          <cell r="AA471">
            <v>12094.018668599998</v>
          </cell>
          <cell r="AB471">
            <v>931.95600000000002</v>
          </cell>
          <cell r="AG471">
            <v>10873.0882526</v>
          </cell>
          <cell r="AH471">
            <v>793.34100000000001</v>
          </cell>
          <cell r="AM471">
            <v>11058.490612600001</v>
          </cell>
          <cell r="AN471">
            <v>775.74900000000002</v>
          </cell>
          <cell r="AS471">
            <v>12819.1381446</v>
          </cell>
          <cell r="AT471">
            <v>1282.8409999999999</v>
          </cell>
          <cell r="AY471">
            <v>67677.617511000019</v>
          </cell>
          <cell r="AZ471">
            <v>4652.2330000000002</v>
          </cell>
          <cell r="BA471">
            <v>6.8741087099347826</v>
          </cell>
          <cell r="BG471">
            <v>13476.818236499999</v>
          </cell>
          <cell r="BH471">
            <v>1223.5149999999999</v>
          </cell>
          <cell r="BM471">
            <v>14449.086716499998</v>
          </cell>
          <cell r="BN471">
            <v>1642.1179999999997</v>
          </cell>
          <cell r="BS471">
            <v>16231.845898699999</v>
          </cell>
          <cell r="BT471">
            <v>1991.72</v>
          </cell>
          <cell r="BY471">
            <v>17955.779347499996</v>
          </cell>
          <cell r="BZ471">
            <v>2610.3360000000002</v>
          </cell>
          <cell r="CE471">
            <v>15604.308759800002</v>
          </cell>
          <cell r="CF471">
            <v>2125.1059999999998</v>
          </cell>
          <cell r="CK471">
            <v>14725.836911000002</v>
          </cell>
          <cell r="CL471">
            <v>1633.31</v>
          </cell>
          <cell r="CQ471">
            <v>92443.675870000006</v>
          </cell>
          <cell r="CR471">
            <v>11226.105000000001</v>
          </cell>
          <cell r="CS471">
            <v>12.143724158899568</v>
          </cell>
          <cell r="CY471">
            <v>32926.900501199998</v>
          </cell>
          <cell r="CZ471">
            <v>1800.3020000000001</v>
          </cell>
          <cell r="DA471">
            <v>5.4675720234717788</v>
          </cell>
          <cell r="DG471">
            <v>34750.717009799992</v>
          </cell>
          <cell r="DH471">
            <v>2851.931</v>
          </cell>
          <cell r="DI471">
            <v>8.2068263489231938</v>
          </cell>
          <cell r="DO471">
            <v>44157.750851700002</v>
          </cell>
          <cell r="DP471">
            <v>4857.3529999999992</v>
          </cell>
          <cell r="DQ471">
            <v>11.000000920139707</v>
          </cell>
          <cell r="DW471">
            <v>48285.925018299997</v>
          </cell>
          <cell r="DX471">
            <v>6368.7520000000004</v>
          </cell>
          <cell r="DY471">
            <v>13.189665513472699</v>
          </cell>
        </row>
        <row r="472">
          <cell r="I472">
            <v>0</v>
          </cell>
          <cell r="BA472">
            <v>0</v>
          </cell>
          <cell r="CS472">
            <v>0</v>
          </cell>
          <cell r="DA472">
            <v>0</v>
          </cell>
          <cell r="DI472">
            <v>0</v>
          </cell>
          <cell r="DQ472">
            <v>0</v>
          </cell>
          <cell r="DY472">
            <v>0</v>
          </cell>
        </row>
        <row r="473">
          <cell r="F473">
            <v>2045978</v>
          </cell>
          <cell r="G473">
            <v>241183.69338099999</v>
          </cell>
          <cell r="H473">
            <v>56196.996000000006</v>
          </cell>
          <cell r="I473">
            <v>23.300495656323299</v>
          </cell>
          <cell r="N473">
            <v>129316</v>
          </cell>
          <cell r="O473">
            <v>15082.258938300001</v>
          </cell>
          <cell r="P473">
            <v>2683.636</v>
          </cell>
          <cell r="T473">
            <v>150826</v>
          </cell>
          <cell r="U473">
            <v>17810.822894299999</v>
          </cell>
          <cell r="V473">
            <v>4038.2289999999994</v>
          </cell>
          <cell r="Z473">
            <v>158566</v>
          </cell>
          <cell r="AA473">
            <v>18574.018668599998</v>
          </cell>
          <cell r="AB473">
            <v>4134.5450000000001</v>
          </cell>
          <cell r="AF473">
            <v>146506</v>
          </cell>
          <cell r="AG473">
            <v>17855.088252599999</v>
          </cell>
          <cell r="AH473">
            <v>4256.8560000000007</v>
          </cell>
          <cell r="AL473">
            <v>152656</v>
          </cell>
          <cell r="AM473">
            <v>18640.490612599999</v>
          </cell>
          <cell r="AN473">
            <v>4578.7240000000002</v>
          </cell>
          <cell r="AR473">
            <v>158226</v>
          </cell>
          <cell r="AS473">
            <v>19731.138144600001</v>
          </cell>
          <cell r="AT473">
            <v>4743.9779999999992</v>
          </cell>
          <cell r="AX473">
            <v>896096</v>
          </cell>
          <cell r="AY473">
            <v>107693.81751100002</v>
          </cell>
          <cell r="AZ473">
            <v>24435.967999999997</v>
          </cell>
          <cell r="BA473">
            <v>22.690223603136801</v>
          </cell>
          <cell r="BF473">
            <v>173731</v>
          </cell>
          <cell r="BG473">
            <v>20687.0182365</v>
          </cell>
          <cell r="BH473">
            <v>4785.7970000000005</v>
          </cell>
          <cell r="BL473">
            <v>183366</v>
          </cell>
          <cell r="BM473">
            <v>21259.086716499998</v>
          </cell>
          <cell r="BN473">
            <v>5031.741</v>
          </cell>
          <cell r="BR473">
            <v>200082</v>
          </cell>
          <cell r="BS473">
            <v>23141.845898699998</v>
          </cell>
          <cell r="BT473">
            <v>5442.835</v>
          </cell>
          <cell r="BX473">
            <v>216677</v>
          </cell>
          <cell r="BY473">
            <v>24965.779347499996</v>
          </cell>
          <cell r="BZ473">
            <v>6169.6940000000004</v>
          </cell>
          <cell r="CD473">
            <v>191178</v>
          </cell>
          <cell r="CE473">
            <v>22220.308759800002</v>
          </cell>
          <cell r="CF473">
            <v>5486.277</v>
          </cell>
          <cell r="CJ473">
            <v>184848</v>
          </cell>
          <cell r="CK473">
            <v>21215.836911000002</v>
          </cell>
          <cell r="CL473">
            <v>4844.6839999999993</v>
          </cell>
          <cell r="CP473">
            <v>1149882</v>
          </cell>
          <cell r="CQ473">
            <v>133489.87586999999</v>
          </cell>
          <cell r="CR473">
            <v>31761.028000000006</v>
          </cell>
          <cell r="CS473">
            <v>23.792836567569136</v>
          </cell>
          <cell r="CX473">
            <v>438708</v>
          </cell>
          <cell r="CY473">
            <v>51467.100501199995</v>
          </cell>
          <cell r="CZ473">
            <v>10856.41</v>
          </cell>
          <cell r="DA473">
            <v>21.09388307147179</v>
          </cell>
          <cell r="DF473">
            <v>457388</v>
          </cell>
          <cell r="DG473">
            <v>56226.717009799992</v>
          </cell>
          <cell r="DH473">
            <v>13579.557999999999</v>
          </cell>
          <cell r="DI473">
            <v>24.15143320146748</v>
          </cell>
          <cell r="DN473">
            <v>557179</v>
          </cell>
          <cell r="DO473">
            <v>65087.950851700007</v>
          </cell>
          <cell r="DP473">
            <v>15260.372999999998</v>
          </cell>
          <cell r="DQ473">
            <v>23.445772681905559</v>
          </cell>
          <cell r="DV473">
            <v>592703</v>
          </cell>
          <cell r="DW473">
            <v>68401.925018299997</v>
          </cell>
          <cell r="DX473">
            <v>16500.655000000002</v>
          </cell>
          <cell r="DY473">
            <v>24.123085710797582</v>
          </cell>
        </row>
        <row r="475">
          <cell r="F475">
            <v>51210</v>
          </cell>
          <cell r="G475">
            <v>66849.744999999995</v>
          </cell>
          <cell r="H475">
            <v>22608.921999999999</v>
          </cell>
          <cell r="I475">
            <v>33.820505972012313</v>
          </cell>
          <cell r="N475">
            <v>2302</v>
          </cell>
          <cell r="O475">
            <v>3977.4439999999995</v>
          </cell>
          <cell r="P475">
            <v>1183.3609999999999</v>
          </cell>
          <cell r="T475">
            <v>2670</v>
          </cell>
          <cell r="U475">
            <v>4253.1260000000002</v>
          </cell>
          <cell r="V475">
            <v>1252.2260000000001</v>
          </cell>
          <cell r="Z475">
            <v>3500</v>
          </cell>
          <cell r="AA475">
            <v>4928.0949999999993</v>
          </cell>
          <cell r="AB475">
            <v>1545.5400000000002</v>
          </cell>
          <cell r="AF475">
            <v>3842</v>
          </cell>
          <cell r="AG475">
            <v>5425.7809999999999</v>
          </cell>
          <cell r="AH475">
            <v>1747.491</v>
          </cell>
          <cell r="AL475">
            <v>4300</v>
          </cell>
          <cell r="AM475">
            <v>5563.165</v>
          </cell>
          <cell r="AN475">
            <v>1824.4960000000001</v>
          </cell>
          <cell r="AR475">
            <v>4570</v>
          </cell>
          <cell r="AS475">
            <v>5662.9149999999991</v>
          </cell>
          <cell r="AT475">
            <v>1878.816</v>
          </cell>
          <cell r="AX475">
            <v>21184</v>
          </cell>
          <cell r="AY475">
            <v>29810.525999999998</v>
          </cell>
          <cell r="AZ475">
            <v>9431.93</v>
          </cell>
          <cell r="BA475">
            <v>31.639596027255614</v>
          </cell>
          <cell r="BF475">
            <v>4952</v>
          </cell>
          <cell r="BG475">
            <v>5799.6190000000006</v>
          </cell>
          <cell r="BH475">
            <v>1999.7860000000001</v>
          </cell>
          <cell r="BL475">
            <v>4270</v>
          </cell>
          <cell r="BM475">
            <v>5677.0740000000005</v>
          </cell>
          <cell r="BN475">
            <v>1935.0079999999998</v>
          </cell>
          <cell r="BR475">
            <v>4786</v>
          </cell>
          <cell r="BS475">
            <v>6223.7839999999997</v>
          </cell>
          <cell r="BT475">
            <v>2153.4450000000002</v>
          </cell>
          <cell r="BX475">
            <v>5764</v>
          </cell>
          <cell r="BY475">
            <v>6707.73</v>
          </cell>
          <cell r="BZ475">
            <v>2410.6689999999999</v>
          </cell>
          <cell r="CD475">
            <v>5504</v>
          </cell>
          <cell r="CE475">
            <v>6533.2460000000001</v>
          </cell>
          <cell r="CF475">
            <v>2383.5590000000002</v>
          </cell>
          <cell r="CJ475">
            <v>4750</v>
          </cell>
          <cell r="CK475">
            <v>6097.7659999999996</v>
          </cell>
          <cell r="CL475">
            <v>2294.5249999999996</v>
          </cell>
          <cell r="CP475">
            <v>30026</v>
          </cell>
          <cell r="CQ475">
            <v>37039.218999999997</v>
          </cell>
          <cell r="CR475">
            <v>13176.992000000002</v>
          </cell>
          <cell r="CS475">
            <v>35.575782523924175</v>
          </cell>
          <cell r="CX475">
            <v>8472</v>
          </cell>
          <cell r="CY475">
            <v>13158.665000000001</v>
          </cell>
          <cell r="CZ475">
            <v>3981.1270000000004</v>
          </cell>
          <cell r="DA475">
            <v>30.254794084354302</v>
          </cell>
          <cell r="DF475">
            <v>12712</v>
          </cell>
          <cell r="DG475">
            <v>16651.861000000001</v>
          </cell>
          <cell r="DH475">
            <v>5450.8029999999999</v>
          </cell>
          <cell r="DI475">
            <v>32.733896829909881</v>
          </cell>
          <cell r="DN475">
            <v>14008</v>
          </cell>
          <cell r="DO475">
            <v>17700.476999999999</v>
          </cell>
          <cell r="DP475">
            <v>6088.2390000000005</v>
          </cell>
          <cell r="DQ475">
            <v>34.395903568022497</v>
          </cell>
          <cell r="DV475">
            <v>16018</v>
          </cell>
          <cell r="DW475">
            <v>19338.741999999998</v>
          </cell>
          <cell r="DX475">
            <v>7088.7529999999997</v>
          </cell>
          <cell r="DY475">
            <v>36.655709042501314</v>
          </cell>
        </row>
        <row r="476">
          <cell r="F476">
            <v>69037.804000000004</v>
          </cell>
          <cell r="G476">
            <v>17637.184519999999</v>
          </cell>
          <cell r="H476">
            <v>1645.5009999999997</v>
          </cell>
          <cell r="I476">
            <v>9.3297260576599097</v>
          </cell>
          <cell r="N476">
            <v>3313</v>
          </cell>
          <cell r="O476">
            <v>972.31740000000002</v>
          </cell>
          <cell r="P476">
            <v>22.815000000000001</v>
          </cell>
          <cell r="T476">
            <v>4064</v>
          </cell>
          <cell r="U476">
            <v>1042.99964</v>
          </cell>
          <cell r="V476">
            <v>38.016000000000005</v>
          </cell>
          <cell r="Z476">
            <v>3410.806</v>
          </cell>
          <cell r="AA476">
            <v>1070.0326399999999</v>
          </cell>
          <cell r="AB476">
            <v>25.609000000000005</v>
          </cell>
          <cell r="AF476">
            <v>3507.6059999999998</v>
          </cell>
          <cell r="AG476">
            <v>1116.394</v>
          </cell>
          <cell r="AH476">
            <v>52.454000000000008</v>
          </cell>
          <cell r="AL476">
            <v>3486.672</v>
          </cell>
          <cell r="AM476">
            <v>1161.8270400000001</v>
          </cell>
          <cell r="AN476">
            <v>59.513000000000005</v>
          </cell>
          <cell r="AR476">
            <v>3935</v>
          </cell>
          <cell r="AS476">
            <v>1250.7148</v>
          </cell>
          <cell r="AT476">
            <v>93.350000000000009</v>
          </cell>
          <cell r="AX476">
            <v>21717.083999999999</v>
          </cell>
          <cell r="AY476">
            <v>6614.2855200000004</v>
          </cell>
          <cell r="AZ476">
            <v>291.75699999999995</v>
          </cell>
          <cell r="BA476">
            <v>4.4110130885308374</v>
          </cell>
          <cell r="BF476">
            <v>6972.3440000000001</v>
          </cell>
          <cell r="BG476">
            <v>1646.4878000000001</v>
          </cell>
          <cell r="BH476">
            <v>164.749</v>
          </cell>
          <cell r="BL476">
            <v>6902.3440000000001</v>
          </cell>
          <cell r="BM476">
            <v>1684.3518000000001</v>
          </cell>
          <cell r="BN476">
            <v>194.85599999999999</v>
          </cell>
          <cell r="BR476">
            <v>7360.3440000000001</v>
          </cell>
          <cell r="BS476">
            <v>1833.1027999999999</v>
          </cell>
          <cell r="BT476">
            <v>206.72200000000001</v>
          </cell>
          <cell r="BX476">
            <v>7597.3440000000001</v>
          </cell>
          <cell r="BY476">
            <v>1905.1887999999999</v>
          </cell>
          <cell r="BZ476">
            <v>251.24900000000005</v>
          </cell>
          <cell r="CD476">
            <v>8634.344000000001</v>
          </cell>
          <cell r="CE476">
            <v>1966.6469999999999</v>
          </cell>
          <cell r="CF476">
            <v>256.78699999999998</v>
          </cell>
          <cell r="CJ476">
            <v>9854</v>
          </cell>
          <cell r="CK476">
            <v>1987.1208000000001</v>
          </cell>
          <cell r="CL476">
            <v>279.38100000000003</v>
          </cell>
          <cell r="CP476">
            <v>47320.72</v>
          </cell>
          <cell r="CQ476">
            <v>11022.899000000001</v>
          </cell>
          <cell r="CR476">
            <v>1353.7439999999999</v>
          </cell>
          <cell r="CS476">
            <v>12.281197532518441</v>
          </cell>
          <cell r="CX476">
            <v>10787.806</v>
          </cell>
          <cell r="CY476">
            <v>3085.3496800000003</v>
          </cell>
          <cell r="CZ476">
            <v>86.440000000000012</v>
          </cell>
          <cell r="DA476">
            <v>2.8016273345068625</v>
          </cell>
          <cell r="DF476">
            <v>10929.278</v>
          </cell>
          <cell r="DG476">
            <v>3528.9358400000001</v>
          </cell>
          <cell r="DH476">
            <v>205.31700000000001</v>
          </cell>
          <cell r="DI476">
            <v>5.8180995435723197</v>
          </cell>
          <cell r="DN476">
            <v>21235.031999999999</v>
          </cell>
          <cell r="DO476">
            <v>5163.9424000000008</v>
          </cell>
          <cell r="DP476">
            <v>566.327</v>
          </cell>
          <cell r="DQ476">
            <v>10.966950367223305</v>
          </cell>
          <cell r="DV476">
            <v>26085.688000000002</v>
          </cell>
          <cell r="DW476">
            <v>5858.9566000000004</v>
          </cell>
          <cell r="DX476">
            <v>787.41699999999992</v>
          </cell>
          <cell r="DY476">
            <v>13.439543143227922</v>
          </cell>
        </row>
        <row r="477">
          <cell r="F477">
            <v>120247.804</v>
          </cell>
          <cell r="G477">
            <v>84486.929519999991</v>
          </cell>
          <cell r="H477">
            <v>24254.422999999999</v>
          </cell>
          <cell r="I477">
            <v>28.707899716320522</v>
          </cell>
          <cell r="N477">
            <v>5615</v>
          </cell>
          <cell r="O477">
            <v>4949.7613999999994</v>
          </cell>
          <cell r="P477">
            <v>1206.1759999999999</v>
          </cell>
          <cell r="T477">
            <v>6734</v>
          </cell>
          <cell r="U477">
            <v>5296.1256400000002</v>
          </cell>
          <cell r="V477">
            <v>1290.2420000000002</v>
          </cell>
          <cell r="Z477">
            <v>6910.8060000000005</v>
          </cell>
          <cell r="AA477">
            <v>5998.1276399999988</v>
          </cell>
          <cell r="AB477">
            <v>1571.1490000000001</v>
          </cell>
          <cell r="AF477">
            <v>7349.6059999999998</v>
          </cell>
          <cell r="AG477">
            <v>6542.1750000000002</v>
          </cell>
          <cell r="AH477">
            <v>1799.9449999999999</v>
          </cell>
          <cell r="AL477">
            <v>7786.6720000000005</v>
          </cell>
          <cell r="AM477">
            <v>6724.9920400000001</v>
          </cell>
          <cell r="AN477">
            <v>1884.009</v>
          </cell>
          <cell r="AR477">
            <v>8505</v>
          </cell>
          <cell r="AS477">
            <v>6913.6297999999988</v>
          </cell>
          <cell r="AT477">
            <v>1972.1659999999999</v>
          </cell>
          <cell r="AX477">
            <v>42901.084000000003</v>
          </cell>
          <cell r="AY477">
            <v>36424.811519999996</v>
          </cell>
          <cell r="AZ477">
            <v>9723.6869999999999</v>
          </cell>
          <cell r="BA477">
            <v>26.695229417071808</v>
          </cell>
          <cell r="BF477">
            <v>11924.344000000001</v>
          </cell>
          <cell r="BG477">
            <v>7446.1068000000005</v>
          </cell>
          <cell r="BH477">
            <v>2164.5349999999999</v>
          </cell>
          <cell r="BL477">
            <v>11172.344000000001</v>
          </cell>
          <cell r="BM477">
            <v>7361.4258000000009</v>
          </cell>
          <cell r="BN477">
            <v>2129.8639999999996</v>
          </cell>
          <cell r="BR477">
            <v>12146.344000000001</v>
          </cell>
          <cell r="BS477">
            <v>8056.8867999999993</v>
          </cell>
          <cell r="BT477">
            <v>2360.1670000000004</v>
          </cell>
          <cell r="BX477">
            <v>13361.344000000001</v>
          </cell>
          <cell r="BY477">
            <v>8612.9187999999995</v>
          </cell>
          <cell r="BZ477">
            <v>2661.9180000000001</v>
          </cell>
          <cell r="CD477">
            <v>14138.344000000001</v>
          </cell>
          <cell r="CE477">
            <v>8499.893</v>
          </cell>
          <cell r="CF477">
            <v>2640.346</v>
          </cell>
          <cell r="CJ477">
            <v>14604</v>
          </cell>
          <cell r="CK477">
            <v>8084.8868000000002</v>
          </cell>
          <cell r="CL477">
            <v>2573.9059999999995</v>
          </cell>
          <cell r="CP477">
            <v>77346.720000000001</v>
          </cell>
          <cell r="CQ477">
            <v>48062.118000000002</v>
          </cell>
          <cell r="CR477">
            <v>14530.736000000003</v>
          </cell>
          <cell r="CS477">
            <v>30.233241073562343</v>
          </cell>
          <cell r="CX477">
            <v>19259.806</v>
          </cell>
          <cell r="CY477">
            <v>16244.01468</v>
          </cell>
          <cell r="CZ477">
            <v>4067.5670000000005</v>
          </cell>
          <cell r="DA477">
            <v>25.040404605199484</v>
          </cell>
          <cell r="DF477">
            <v>23641.277999999998</v>
          </cell>
          <cell r="DG477">
            <v>20180.796840000003</v>
          </cell>
          <cell r="DH477">
            <v>5656.12</v>
          </cell>
          <cell r="DI477">
            <v>28.027238195020644</v>
          </cell>
          <cell r="DN477">
            <v>35243.031999999999</v>
          </cell>
          <cell r="DO477">
            <v>22864.419399999999</v>
          </cell>
          <cell r="DP477">
            <v>6654.5660000000007</v>
          </cell>
          <cell r="DQ477">
            <v>29.10446088125903</v>
          </cell>
          <cell r="DV477">
            <v>42103.688000000002</v>
          </cell>
          <cell r="DW477">
            <v>25197.6986</v>
          </cell>
          <cell r="DX477">
            <v>7876.17</v>
          </cell>
          <cell r="DY477">
            <v>31.257497460502208</v>
          </cell>
        </row>
        <row r="478">
          <cell r="F478">
            <v>120247.804</v>
          </cell>
          <cell r="G478">
            <v>52277.783519999997</v>
          </cell>
          <cell r="H478">
            <v>14514.603999999999</v>
          </cell>
          <cell r="I478">
            <v>27.764382922713477</v>
          </cell>
          <cell r="N478">
            <v>5615</v>
          </cell>
          <cell r="O478">
            <v>2761.2813999999998</v>
          </cell>
          <cell r="P478">
            <v>565.02800000000002</v>
          </cell>
          <cell r="T478">
            <v>6734</v>
          </cell>
          <cell r="U478">
            <v>3077.5416399999999</v>
          </cell>
          <cell r="V478">
            <v>646.11599999999999</v>
          </cell>
          <cell r="Z478">
            <v>6910.8060000000005</v>
          </cell>
          <cell r="AA478">
            <v>3594.7626399999999</v>
          </cell>
          <cell r="AB478">
            <v>872.94500000000005</v>
          </cell>
          <cell r="AF478">
            <v>7349.6059999999998</v>
          </cell>
          <cell r="AG478">
            <v>3948.5209999999997</v>
          </cell>
          <cell r="AH478">
            <v>1028.6289999999999</v>
          </cell>
          <cell r="AL478">
            <v>7786.6720000000005</v>
          </cell>
          <cell r="AM478">
            <v>4081.2850399999998</v>
          </cell>
          <cell r="AN478">
            <v>1112.835</v>
          </cell>
          <cell r="AR478">
            <v>8505</v>
          </cell>
          <cell r="AS478">
            <v>4241.2438000000002</v>
          </cell>
          <cell r="AT478">
            <v>1203.5440000000001</v>
          </cell>
          <cell r="AX478">
            <v>42901.084000000003</v>
          </cell>
          <cell r="AY478">
            <v>21704.63552</v>
          </cell>
          <cell r="AZ478">
            <v>5429.0969999999998</v>
          </cell>
          <cell r="BA478">
            <v>25.013536831785505</v>
          </cell>
          <cell r="BF478">
            <v>11924.344000000001</v>
          </cell>
          <cell r="BG478">
            <v>4693.0537999999997</v>
          </cell>
          <cell r="BH478">
            <v>1327.3939999999998</v>
          </cell>
          <cell r="BL478">
            <v>11172.344000000001</v>
          </cell>
          <cell r="BM478">
            <v>4503.4758000000002</v>
          </cell>
          <cell r="BN478">
            <v>1261.9959999999996</v>
          </cell>
          <cell r="BR478">
            <v>12146.344000000001</v>
          </cell>
          <cell r="BS478">
            <v>5213.1697999999997</v>
          </cell>
          <cell r="BT478">
            <v>1542.9580000000001</v>
          </cell>
          <cell r="BX478">
            <v>13361.344000000001</v>
          </cell>
          <cell r="BY478">
            <v>5579.6728000000003</v>
          </cell>
          <cell r="BZ478">
            <v>1697.5230000000001</v>
          </cell>
          <cell r="CD478">
            <v>14138.344000000001</v>
          </cell>
          <cell r="CE478">
            <v>5417.1909999999998</v>
          </cell>
          <cell r="CF478">
            <v>1639.3380000000002</v>
          </cell>
          <cell r="CJ478">
            <v>14604</v>
          </cell>
          <cell r="CK478">
            <v>5166.5848000000005</v>
          </cell>
          <cell r="CL478">
            <v>1616.298</v>
          </cell>
          <cell r="CP478">
            <v>77346.720000000001</v>
          </cell>
          <cell r="CQ478">
            <v>30573.148000000001</v>
          </cell>
          <cell r="CR478">
            <v>9085.5070000000014</v>
          </cell>
          <cell r="CS478">
            <v>29.71727674232304</v>
          </cell>
          <cell r="CX478">
            <v>19259.806</v>
          </cell>
          <cell r="CY478">
            <v>9433.5856800000001</v>
          </cell>
          <cell r="CZ478">
            <v>2084.0889999999999</v>
          </cell>
          <cell r="DA478">
            <v>22.092225275681177</v>
          </cell>
          <cell r="DF478">
            <v>23641.277999999998</v>
          </cell>
          <cell r="DG478">
            <v>12271.04984</v>
          </cell>
          <cell r="DH478">
            <v>3345.0079999999998</v>
          </cell>
          <cell r="DI478">
            <v>27.259346540149004</v>
          </cell>
          <cell r="DN478">
            <v>35243.031999999999</v>
          </cell>
          <cell r="DO478">
            <v>14409.699400000001</v>
          </cell>
          <cell r="DP478">
            <v>4132.348</v>
          </cell>
          <cell r="DQ478">
            <v>28.677544793196724</v>
          </cell>
          <cell r="DV478">
            <v>42103.688000000002</v>
          </cell>
          <cell r="DW478">
            <v>16163.4486</v>
          </cell>
          <cell r="DX478">
            <v>4953.1589999999997</v>
          </cell>
          <cell r="DY478">
            <v>30.644196808346951</v>
          </cell>
        </row>
        <row r="479">
          <cell r="F479">
            <v>0</v>
          </cell>
          <cell r="G479">
            <v>32209.145999999997</v>
          </cell>
          <cell r="H479">
            <v>9739.8189999999995</v>
          </cell>
          <cell r="I479">
            <v>30.239296006171664</v>
          </cell>
          <cell r="N479">
            <v>0</v>
          </cell>
          <cell r="O479">
            <v>2188.4799999999996</v>
          </cell>
          <cell r="P479">
            <v>641.14799999999991</v>
          </cell>
          <cell r="T479">
            <v>0</v>
          </cell>
          <cell r="U479">
            <v>2218.5840000000003</v>
          </cell>
          <cell r="V479">
            <v>644.12599999999998</v>
          </cell>
          <cell r="Z479">
            <v>0</v>
          </cell>
          <cell r="AA479">
            <v>2403.3649999999998</v>
          </cell>
          <cell r="AB479">
            <v>698.20400000000018</v>
          </cell>
          <cell r="AF479">
            <v>0</v>
          </cell>
          <cell r="AG479">
            <v>2593.654</v>
          </cell>
          <cell r="AH479">
            <v>771.31600000000003</v>
          </cell>
          <cell r="AL479">
            <v>0</v>
          </cell>
          <cell r="AM479">
            <v>2643.7070000000003</v>
          </cell>
          <cell r="AN479">
            <v>771.17399999999998</v>
          </cell>
          <cell r="AR479">
            <v>0</v>
          </cell>
          <cell r="AS479">
            <v>2672.3859999999995</v>
          </cell>
          <cell r="AT479">
            <v>768.62199999999996</v>
          </cell>
          <cell r="AX479">
            <v>0</v>
          </cell>
          <cell r="AY479">
            <v>14720.176000000001</v>
          </cell>
          <cell r="AZ479">
            <v>4294.59</v>
          </cell>
          <cell r="BA479">
            <v>29.174854974560084</v>
          </cell>
          <cell r="BF479">
            <v>0</v>
          </cell>
          <cell r="BG479">
            <v>2753.0529999999999</v>
          </cell>
          <cell r="BH479">
            <v>837.14100000000008</v>
          </cell>
          <cell r="BL479">
            <v>0</v>
          </cell>
          <cell r="BM479">
            <v>2857.95</v>
          </cell>
          <cell r="BN479">
            <v>867.86800000000005</v>
          </cell>
          <cell r="BR479">
            <v>0</v>
          </cell>
          <cell r="BS479">
            <v>2843.7170000000001</v>
          </cell>
          <cell r="BT479">
            <v>817.20899999999995</v>
          </cell>
          <cell r="BX479">
            <v>0</v>
          </cell>
          <cell r="BY479">
            <v>3033.2460000000001</v>
          </cell>
          <cell r="BZ479">
            <v>964.39499999999998</v>
          </cell>
          <cell r="CD479">
            <v>0</v>
          </cell>
          <cell r="CE479">
            <v>3082.7020000000002</v>
          </cell>
          <cell r="CF479">
            <v>1001.0079999999999</v>
          </cell>
          <cell r="CJ479">
            <v>0</v>
          </cell>
          <cell r="CK479">
            <v>2918.3020000000001</v>
          </cell>
          <cell r="CL479">
            <v>957.60799999999995</v>
          </cell>
          <cell r="CP479">
            <v>0</v>
          </cell>
          <cell r="CQ479">
            <v>17488.97</v>
          </cell>
          <cell r="CR479">
            <v>5445.2290000000003</v>
          </cell>
          <cell r="CS479">
            <v>31.135218369063473</v>
          </cell>
          <cell r="CX479">
            <v>0</v>
          </cell>
          <cell r="CY479">
            <v>6810.4290000000001</v>
          </cell>
          <cell r="CZ479">
            <v>1983.4780000000001</v>
          </cell>
          <cell r="DA479">
            <v>29.124127129142675</v>
          </cell>
          <cell r="DF479">
            <v>0</v>
          </cell>
          <cell r="DG479">
            <v>7909.7470000000012</v>
          </cell>
          <cell r="DH479">
            <v>2311.1119999999996</v>
          </cell>
          <cell r="DI479">
            <v>29.218532527020137</v>
          </cell>
          <cell r="DN479">
            <v>0</v>
          </cell>
          <cell r="DO479">
            <v>8454.7199999999993</v>
          </cell>
          <cell r="DP479">
            <v>2522.2180000000003</v>
          </cell>
          <cell r="DQ479">
            <v>29.832070133605846</v>
          </cell>
          <cell r="DV479">
            <v>0</v>
          </cell>
          <cell r="DW479">
            <v>9034.25</v>
          </cell>
          <cell r="DX479">
            <v>2923.0109999999995</v>
          </cell>
          <cell r="DY479">
            <v>32.35477211722057</v>
          </cell>
        </row>
        <row r="481">
          <cell r="F481">
            <v>0</v>
          </cell>
          <cell r="G481">
            <v>144659</v>
          </cell>
          <cell r="H481">
            <v>26912.451300000008</v>
          </cell>
          <cell r="I481">
            <v>18.604062865082717</v>
          </cell>
          <cell r="N481">
            <v>0</v>
          </cell>
          <cell r="O481">
            <v>339</v>
          </cell>
          <cell r="P481">
            <v>46.81</v>
          </cell>
          <cell r="T481">
            <v>0</v>
          </cell>
          <cell r="U481">
            <v>1445</v>
          </cell>
          <cell r="V481">
            <v>206.73400000000004</v>
          </cell>
          <cell r="Z481">
            <v>0</v>
          </cell>
          <cell r="AA481">
            <v>7712</v>
          </cell>
          <cell r="AB481">
            <v>1954.229</v>
          </cell>
          <cell r="AF481">
            <v>0</v>
          </cell>
          <cell r="AG481">
            <v>4022</v>
          </cell>
          <cell r="AH481">
            <v>885.24299999999994</v>
          </cell>
          <cell r="AL481">
            <v>0</v>
          </cell>
          <cell r="AM481">
            <v>15497</v>
          </cell>
          <cell r="AN481">
            <v>2716.4960000000001</v>
          </cell>
          <cell r="AR481">
            <v>0</v>
          </cell>
          <cell r="AS481">
            <v>8623</v>
          </cell>
          <cell r="AT481">
            <v>1862.47</v>
          </cell>
          <cell r="AX481">
            <v>0</v>
          </cell>
          <cell r="AY481">
            <v>37638</v>
          </cell>
          <cell r="AZ481">
            <v>7671.9820000000009</v>
          </cell>
          <cell r="BA481">
            <v>20.383606992932677</v>
          </cell>
          <cell r="BF481">
            <v>0</v>
          </cell>
          <cell r="BG481">
            <v>3970</v>
          </cell>
          <cell r="BH481">
            <v>741.89499999999998</v>
          </cell>
          <cell r="BL481">
            <v>0</v>
          </cell>
          <cell r="BM481">
            <v>11943</v>
          </cell>
          <cell r="BN481">
            <v>2358.4049999999997</v>
          </cell>
          <cell r="BR481">
            <v>0</v>
          </cell>
          <cell r="BS481">
            <v>7260</v>
          </cell>
          <cell r="BT481">
            <v>1757.6100000000001</v>
          </cell>
          <cell r="BX481">
            <v>0</v>
          </cell>
          <cell r="BY481">
            <v>46644</v>
          </cell>
          <cell r="BZ481">
            <v>5560.2559999999994</v>
          </cell>
          <cell r="CD481">
            <v>0</v>
          </cell>
          <cell r="CE481">
            <v>18476</v>
          </cell>
          <cell r="CF481">
            <v>2773.0360000000001</v>
          </cell>
          <cell r="CJ481">
            <v>0</v>
          </cell>
          <cell r="CK481">
            <v>18728</v>
          </cell>
          <cell r="CL481">
            <v>6049.2673000000004</v>
          </cell>
          <cell r="CP481">
            <v>0</v>
          </cell>
          <cell r="CQ481">
            <v>107021</v>
          </cell>
          <cell r="CR481">
            <v>19240.469300000004</v>
          </cell>
          <cell r="CS481">
            <v>17.97821857392475</v>
          </cell>
          <cell r="CX481">
            <v>0</v>
          </cell>
          <cell r="CY481">
            <v>9496</v>
          </cell>
          <cell r="CZ481">
            <v>2207.7729999999997</v>
          </cell>
          <cell r="DA481">
            <v>23.249505054759894</v>
          </cell>
          <cell r="DF481">
            <v>0</v>
          </cell>
          <cell r="DG481">
            <v>28142</v>
          </cell>
          <cell r="DH481">
            <v>5464.2089999999998</v>
          </cell>
          <cell r="DI481">
            <v>19.416562433373606</v>
          </cell>
          <cell r="DN481">
            <v>0</v>
          </cell>
          <cell r="DO481">
            <v>23173</v>
          </cell>
          <cell r="DP481">
            <v>4857.91</v>
          </cell>
          <cell r="DQ481">
            <v>20.963664609675053</v>
          </cell>
          <cell r="DV481">
            <v>0</v>
          </cell>
          <cell r="DW481">
            <v>83848</v>
          </cell>
          <cell r="DX481">
            <v>14382.559300000001</v>
          </cell>
          <cell r="DY481">
            <v>17.153133408071749</v>
          </cell>
        </row>
        <row r="482">
          <cell r="F482">
            <v>0</v>
          </cell>
          <cell r="G482">
            <v>8133</v>
          </cell>
          <cell r="H482">
            <v>590</v>
          </cell>
          <cell r="I482">
            <v>7.2543956719537688</v>
          </cell>
          <cell r="N482">
            <v>0</v>
          </cell>
          <cell r="O482">
            <v>154</v>
          </cell>
          <cell r="P482">
            <v>8</v>
          </cell>
          <cell r="T482">
            <v>0</v>
          </cell>
          <cell r="U482">
            <v>617</v>
          </cell>
          <cell r="V482">
            <v>31</v>
          </cell>
          <cell r="Z482">
            <v>0</v>
          </cell>
          <cell r="AA482">
            <v>140</v>
          </cell>
          <cell r="AB482">
            <v>44</v>
          </cell>
          <cell r="AF482">
            <v>0</v>
          </cell>
          <cell r="AG482">
            <v>85</v>
          </cell>
          <cell r="AH482">
            <v>25</v>
          </cell>
          <cell r="AL482">
            <v>0</v>
          </cell>
          <cell r="AM482">
            <v>0</v>
          </cell>
          <cell r="AN482">
            <v>0</v>
          </cell>
          <cell r="AR482">
            <v>0</v>
          </cell>
          <cell r="AS482">
            <v>323</v>
          </cell>
          <cell r="AT482">
            <v>16</v>
          </cell>
          <cell r="AX482">
            <v>0</v>
          </cell>
          <cell r="AY482">
            <v>1319</v>
          </cell>
          <cell r="AZ482">
            <v>124</v>
          </cell>
          <cell r="BA482">
            <v>9.4010614101592118</v>
          </cell>
          <cell r="BF482">
            <v>0</v>
          </cell>
          <cell r="BG482">
            <v>246</v>
          </cell>
          <cell r="BH482">
            <v>12</v>
          </cell>
          <cell r="BL482">
            <v>0</v>
          </cell>
          <cell r="BM482">
            <v>0</v>
          </cell>
          <cell r="BN482">
            <v>0</v>
          </cell>
          <cell r="BR482">
            <v>0</v>
          </cell>
          <cell r="BS482">
            <v>0</v>
          </cell>
          <cell r="BT482">
            <v>0</v>
          </cell>
          <cell r="BX482">
            <v>0</v>
          </cell>
          <cell r="BY482">
            <v>3627</v>
          </cell>
          <cell r="BZ482">
            <v>248</v>
          </cell>
          <cell r="CD482">
            <v>0</v>
          </cell>
          <cell r="CE482">
            <v>378</v>
          </cell>
          <cell r="CF482">
            <v>19</v>
          </cell>
          <cell r="CJ482">
            <v>0</v>
          </cell>
          <cell r="CK482">
            <v>2563</v>
          </cell>
          <cell r="CL482">
            <v>187</v>
          </cell>
          <cell r="CP482">
            <v>0</v>
          </cell>
          <cell r="CQ482">
            <v>6814</v>
          </cell>
          <cell r="CR482">
            <v>466</v>
          </cell>
          <cell r="CS482">
            <v>6.8388611681831524</v>
          </cell>
          <cell r="CX482">
            <v>0</v>
          </cell>
          <cell r="CY482">
            <v>911</v>
          </cell>
          <cell r="CZ482">
            <v>83</v>
          </cell>
          <cell r="DA482">
            <v>9.1108671789242592</v>
          </cell>
          <cell r="DF482">
            <v>0</v>
          </cell>
          <cell r="DG482">
            <v>408</v>
          </cell>
          <cell r="DH482">
            <v>41</v>
          </cell>
          <cell r="DI482">
            <v>10.049019607843137</v>
          </cell>
          <cell r="DN482">
            <v>0</v>
          </cell>
          <cell r="DO482">
            <v>246</v>
          </cell>
          <cell r="DP482">
            <v>12</v>
          </cell>
          <cell r="DQ482">
            <v>4.8780487804878048</v>
          </cell>
          <cell r="DV482">
            <v>0</v>
          </cell>
          <cell r="DW482">
            <v>6568</v>
          </cell>
          <cell r="DX482">
            <v>454</v>
          </cell>
          <cell r="DY482">
            <v>6.9123020706455538</v>
          </cell>
        </row>
      </sheetData>
      <sheetData sheetId="1" refreshError="1">
        <row r="3">
          <cell r="J3" t="str">
            <v>1          월</v>
          </cell>
          <cell r="P3" t="str">
            <v>2          월</v>
          </cell>
          <cell r="V3" t="str">
            <v>3          월</v>
          </cell>
          <cell r="AB3" t="str">
            <v>4          월</v>
          </cell>
          <cell r="AH3" t="str">
            <v>5          월</v>
          </cell>
          <cell r="AN3" t="str">
            <v>6          월</v>
          </cell>
          <cell r="AT3" t="str">
            <v>상    반    기    누    계</v>
          </cell>
          <cell r="AZ3" t="str">
            <v>7          월</v>
          </cell>
          <cell r="BF3" t="str">
            <v>8          월</v>
          </cell>
          <cell r="BL3" t="str">
            <v>9          월</v>
          </cell>
          <cell r="BR3" t="str">
            <v>10          월</v>
          </cell>
          <cell r="BX3" t="str">
            <v>11          월</v>
          </cell>
          <cell r="CD3" t="str">
            <v>12          월</v>
          </cell>
          <cell r="CJ3" t="str">
            <v>하    반    기    누    계</v>
          </cell>
          <cell r="CP3" t="str">
            <v>96      년      누      계</v>
          </cell>
        </row>
        <row r="4">
          <cell r="J4" t="str">
            <v>경    영</v>
          </cell>
          <cell r="P4" t="str">
            <v>경    영</v>
          </cell>
          <cell r="V4" t="str">
            <v>경    영</v>
          </cell>
          <cell r="AB4" t="str">
            <v>경    영</v>
          </cell>
          <cell r="AH4" t="str">
            <v>경    영</v>
          </cell>
          <cell r="AN4" t="str">
            <v>경    영</v>
          </cell>
          <cell r="AT4" t="str">
            <v>경    영</v>
          </cell>
          <cell r="AZ4" t="str">
            <v>경    영</v>
          </cell>
          <cell r="BF4" t="str">
            <v>경    영</v>
          </cell>
          <cell r="BL4" t="str">
            <v>경    영</v>
          </cell>
          <cell r="BR4" t="str">
            <v>경    영</v>
          </cell>
          <cell r="BX4" t="str">
            <v>경    영</v>
          </cell>
          <cell r="CD4" t="str">
            <v>경    영</v>
          </cell>
          <cell r="CJ4" t="str">
            <v>경    영</v>
          </cell>
          <cell r="CP4" t="str">
            <v>경    영</v>
          </cell>
        </row>
        <row r="5">
          <cell r="J5" t="str">
            <v>매  출</v>
          </cell>
          <cell r="K5" t="str">
            <v>매출익</v>
          </cell>
          <cell r="L5" t="str">
            <v>%</v>
          </cell>
          <cell r="P5" t="str">
            <v>매  출</v>
          </cell>
          <cell r="Q5" t="str">
            <v>매출익</v>
          </cell>
          <cell r="R5" t="str">
            <v>%</v>
          </cell>
          <cell r="V5" t="str">
            <v>매  출</v>
          </cell>
          <cell r="W5" t="str">
            <v>매출익</v>
          </cell>
          <cell r="X5" t="str">
            <v>%</v>
          </cell>
          <cell r="AB5" t="str">
            <v>매  출</v>
          </cell>
          <cell r="AC5" t="str">
            <v>매출익</v>
          </cell>
          <cell r="AD5" t="str">
            <v>%</v>
          </cell>
          <cell r="AH5" t="str">
            <v>매  출</v>
          </cell>
          <cell r="AI5" t="str">
            <v>매출익</v>
          </cell>
          <cell r="AJ5" t="str">
            <v>%</v>
          </cell>
          <cell r="AN5" t="str">
            <v>매  출</v>
          </cell>
          <cell r="AO5" t="str">
            <v>매출익</v>
          </cell>
          <cell r="AP5" t="str">
            <v>%</v>
          </cell>
          <cell r="AT5" t="str">
            <v>매  출</v>
          </cell>
          <cell r="AU5" t="str">
            <v>매출익</v>
          </cell>
          <cell r="AV5" t="str">
            <v>%</v>
          </cell>
          <cell r="AZ5" t="str">
            <v>매  출</v>
          </cell>
          <cell r="BA5" t="str">
            <v>매출익</v>
          </cell>
          <cell r="BB5" t="str">
            <v>%</v>
          </cell>
          <cell r="BF5" t="str">
            <v>매  출</v>
          </cell>
          <cell r="BG5" t="str">
            <v>매출익</v>
          </cell>
          <cell r="BH5" t="str">
            <v>%</v>
          </cell>
          <cell r="BL5" t="str">
            <v>매  출</v>
          </cell>
          <cell r="BM5" t="str">
            <v>매출익</v>
          </cell>
          <cell r="BN5" t="str">
            <v>%</v>
          </cell>
          <cell r="BR5" t="str">
            <v>매  출</v>
          </cell>
          <cell r="BS5" t="str">
            <v>매출익</v>
          </cell>
          <cell r="BT5" t="str">
            <v>%</v>
          </cell>
          <cell r="BX5" t="str">
            <v>매  출</v>
          </cell>
          <cell r="BY5" t="str">
            <v>매출익</v>
          </cell>
          <cell r="BZ5" t="str">
            <v>%</v>
          </cell>
          <cell r="CD5" t="str">
            <v>매  출</v>
          </cell>
          <cell r="CE5" t="str">
            <v>매출익</v>
          </cell>
          <cell r="CF5" t="str">
            <v>%</v>
          </cell>
          <cell r="CJ5" t="str">
            <v>매  출</v>
          </cell>
          <cell r="CK5" t="str">
            <v>매출익</v>
          </cell>
          <cell r="CL5" t="str">
            <v>%</v>
          </cell>
          <cell r="CP5" t="str">
            <v>매  출</v>
          </cell>
          <cell r="CQ5" t="str">
            <v>매출익</v>
          </cell>
          <cell r="CR5" t="str">
            <v>%</v>
          </cell>
        </row>
        <row r="6">
          <cell r="J6">
            <v>5080.2</v>
          </cell>
          <cell r="K6">
            <v>2407.4989999999998</v>
          </cell>
          <cell r="L6">
            <v>47.38984685642297</v>
          </cell>
          <cell r="P6">
            <v>6980</v>
          </cell>
          <cell r="Q6">
            <v>3446.0199999999995</v>
          </cell>
          <cell r="R6">
            <v>49.369914040114601</v>
          </cell>
          <cell r="V6">
            <v>6480</v>
          </cell>
          <cell r="W6">
            <v>3202.5889999999999</v>
          </cell>
          <cell r="X6">
            <v>49.422669753086417</v>
          </cell>
          <cell r="AB6">
            <v>6982</v>
          </cell>
          <cell r="AC6">
            <v>3463.5150000000003</v>
          </cell>
          <cell r="AD6">
            <v>49.606344886851907</v>
          </cell>
          <cell r="AH6">
            <v>7582</v>
          </cell>
          <cell r="AI6">
            <v>3802.9749999999999</v>
          </cell>
          <cell r="AJ6">
            <v>50.157939857557373</v>
          </cell>
          <cell r="AN6">
            <v>6912</v>
          </cell>
          <cell r="AO6">
            <v>3461.1369999999997</v>
          </cell>
          <cell r="AP6">
            <v>50.074320023148147</v>
          </cell>
          <cell r="AT6">
            <v>40016.199999999997</v>
          </cell>
          <cell r="AU6">
            <v>19783.735000000001</v>
          </cell>
          <cell r="AV6">
            <v>49.439314577596079</v>
          </cell>
          <cell r="AZ6">
            <v>7210.2</v>
          </cell>
          <cell r="BA6">
            <v>3562.2820000000002</v>
          </cell>
          <cell r="BB6">
            <v>49.406146847521569</v>
          </cell>
          <cell r="BF6">
            <v>6810</v>
          </cell>
          <cell r="BG6">
            <v>3389.623</v>
          </cell>
          <cell r="BH6">
            <v>49.774199706314242</v>
          </cell>
          <cell r="BL6">
            <v>6910</v>
          </cell>
          <cell r="BM6">
            <v>3451.1149999999998</v>
          </cell>
          <cell r="BN6">
            <v>49.943777134587549</v>
          </cell>
          <cell r="BR6">
            <v>7010</v>
          </cell>
          <cell r="BS6">
            <v>3559.3580000000002</v>
          </cell>
          <cell r="BT6">
            <v>50.775435092724685</v>
          </cell>
          <cell r="BX6">
            <v>6616</v>
          </cell>
          <cell r="BY6">
            <v>3361.1709999999998</v>
          </cell>
          <cell r="BZ6">
            <v>50.803672914147512</v>
          </cell>
          <cell r="CD6">
            <v>6490</v>
          </cell>
          <cell r="CE6">
            <v>3211.3739999999998</v>
          </cell>
          <cell r="CF6">
            <v>49.48187981510015</v>
          </cell>
          <cell r="CJ6">
            <v>41046.199999999997</v>
          </cell>
          <cell r="CK6">
            <v>20534.922999999999</v>
          </cell>
          <cell r="CL6">
            <v>50.028804128031346</v>
          </cell>
          <cell r="CP6">
            <v>81062.399999999994</v>
          </cell>
          <cell r="CQ6">
            <v>40318.657999999996</v>
          </cell>
          <cell r="CR6">
            <v>49.737804456813514</v>
          </cell>
        </row>
        <row r="7">
          <cell r="J7">
            <v>3977.4439999999995</v>
          </cell>
          <cell r="K7">
            <v>1183.3609999999999</v>
          </cell>
          <cell r="L7">
            <v>29.751795374114632</v>
          </cell>
          <cell r="P7">
            <v>4253.1260000000002</v>
          </cell>
          <cell r="Q7">
            <v>1252.2260000000001</v>
          </cell>
          <cell r="R7">
            <v>29.442485362530995</v>
          </cell>
          <cell r="V7">
            <v>4928.0949999999993</v>
          </cell>
          <cell r="W7">
            <v>1545.5400000000002</v>
          </cell>
          <cell r="X7">
            <v>31.361814250739901</v>
          </cell>
          <cell r="AB7">
            <v>5425.7809999999999</v>
          </cell>
          <cell r="AC7">
            <v>1747.491</v>
          </cell>
          <cell r="AD7">
            <v>32.207179021785066</v>
          </cell>
          <cell r="AH7">
            <v>5563.165</v>
          </cell>
          <cell r="AI7">
            <v>1824.4960000000001</v>
          </cell>
          <cell r="AJ7">
            <v>32.796007308789157</v>
          </cell>
          <cell r="AN7">
            <v>5662.9149999999991</v>
          </cell>
          <cell r="AO7">
            <v>1878.816</v>
          </cell>
          <cell r="AP7">
            <v>33.177541954982551</v>
          </cell>
          <cell r="AT7">
            <v>29810.525999999998</v>
          </cell>
          <cell r="AU7">
            <v>9431.93</v>
          </cell>
          <cell r="AV7">
            <v>31.639596027255614</v>
          </cell>
          <cell r="AZ7">
            <v>5799.6190000000006</v>
          </cell>
          <cell r="BA7">
            <v>1999.7860000000001</v>
          </cell>
          <cell r="BB7">
            <v>34.481334032459714</v>
          </cell>
          <cell r="BF7">
            <v>5677.0740000000005</v>
          </cell>
          <cell r="BG7">
            <v>1935.0079999999998</v>
          </cell>
          <cell r="BH7">
            <v>34.084600623490189</v>
          </cell>
          <cell r="BL7">
            <v>6223.7839999999997</v>
          </cell>
          <cell r="BM7">
            <v>2153.4450000000002</v>
          </cell>
          <cell r="BN7">
            <v>34.600252836538033</v>
          </cell>
          <cell r="BR7">
            <v>6707.73</v>
          </cell>
          <cell r="BS7">
            <v>2410.6689999999999</v>
          </cell>
          <cell r="BT7">
            <v>35.938670757469367</v>
          </cell>
          <cell r="BX7">
            <v>6533.2460000000001</v>
          </cell>
          <cell r="BY7">
            <v>2383.5590000000002</v>
          </cell>
          <cell r="BZ7">
            <v>36.483533606418618</v>
          </cell>
          <cell r="CD7">
            <v>6097.7659999999996</v>
          </cell>
          <cell r="CE7">
            <v>2294.5249999999996</v>
          </cell>
          <cell r="CF7">
            <v>37.628944764361236</v>
          </cell>
          <cell r="CJ7">
            <v>37039.218999999997</v>
          </cell>
          <cell r="CK7">
            <v>13176.992</v>
          </cell>
          <cell r="CL7">
            <v>35.575782523924168</v>
          </cell>
          <cell r="CP7">
            <v>66849.744999999995</v>
          </cell>
          <cell r="CQ7">
            <v>22608.921999999999</v>
          </cell>
          <cell r="CR7">
            <v>33.820505972012313</v>
          </cell>
        </row>
        <row r="8">
          <cell r="J8">
            <v>9057.6440000000002</v>
          </cell>
          <cell r="K8">
            <v>3590.8599999999997</v>
          </cell>
          <cell r="L8">
            <v>39.644525662523272</v>
          </cell>
          <cell r="P8">
            <v>11233.126</v>
          </cell>
          <cell r="Q8">
            <v>4698.2459999999992</v>
          </cell>
          <cell r="R8">
            <v>41.824920329390046</v>
          </cell>
          <cell r="V8">
            <v>11408.094999999999</v>
          </cell>
          <cell r="W8">
            <v>4748.1289999999999</v>
          </cell>
          <cell r="X8">
            <v>41.620700037999335</v>
          </cell>
          <cell r="AB8">
            <v>12407.780999999999</v>
          </cell>
          <cell r="AC8">
            <v>5211.0060000000003</v>
          </cell>
          <cell r="AD8">
            <v>41.997888260600355</v>
          </cell>
          <cell r="AH8">
            <v>13145.165000000001</v>
          </cell>
          <cell r="AI8">
            <v>5627.4709999999995</v>
          </cell>
          <cell r="AJ8">
            <v>42.810196752950603</v>
          </cell>
          <cell r="AN8">
            <v>12574.914999999999</v>
          </cell>
          <cell r="AO8">
            <v>5339.9529999999995</v>
          </cell>
          <cell r="AP8">
            <v>42.465122030645929</v>
          </cell>
          <cell r="AT8">
            <v>69826.725999999995</v>
          </cell>
          <cell r="AU8">
            <v>29215.665000000001</v>
          </cell>
          <cell r="AV8">
            <v>41.840233208127216</v>
          </cell>
          <cell r="AZ8">
            <v>13009.819</v>
          </cell>
          <cell r="BA8">
            <v>5562.0680000000002</v>
          </cell>
          <cell r="BB8">
            <v>42.752846907401256</v>
          </cell>
          <cell r="BF8">
            <v>12487.074000000001</v>
          </cell>
          <cell r="BG8">
            <v>5324.6309999999994</v>
          </cell>
          <cell r="BH8">
            <v>42.641142352483854</v>
          </cell>
          <cell r="BL8">
            <v>13133.784</v>
          </cell>
          <cell r="BM8">
            <v>5604.5599999999995</v>
          </cell>
          <cell r="BN8">
            <v>42.672850413863969</v>
          </cell>
          <cell r="BR8">
            <v>13717.73</v>
          </cell>
          <cell r="BS8">
            <v>5970.027</v>
          </cell>
          <cell r="BT8">
            <v>43.520516878521448</v>
          </cell>
          <cell r="BX8">
            <v>13149.245999999999</v>
          </cell>
          <cell r="BY8">
            <v>5744.73</v>
          </cell>
          <cell r="BZ8">
            <v>43.688664734084369</v>
          </cell>
          <cell r="CD8">
            <v>12587.766</v>
          </cell>
          <cell r="CE8">
            <v>5505.8989999999994</v>
          </cell>
          <cell r="CF8">
            <v>43.740080646557935</v>
          </cell>
          <cell r="CJ8">
            <v>78085.418999999994</v>
          </cell>
          <cell r="CK8">
            <v>33711.915000000001</v>
          </cell>
          <cell r="CL8">
            <v>43.173124293538088</v>
          </cell>
          <cell r="CP8">
            <v>147912.14499999999</v>
          </cell>
          <cell r="CQ8">
            <v>62927.579999999994</v>
          </cell>
          <cell r="CR8">
            <v>42.543889820541779</v>
          </cell>
        </row>
        <row r="9">
          <cell r="J9">
            <v>10002.058938300001</v>
          </cell>
          <cell r="K9">
            <v>276.137</v>
          </cell>
          <cell r="L9">
            <v>2.7608015679912961</v>
          </cell>
          <cell r="P9">
            <v>10830.822894299998</v>
          </cell>
          <cell r="Q9">
            <v>592.20900000000006</v>
          </cell>
          <cell r="R9">
            <v>5.4678116868817552</v>
          </cell>
          <cell r="V9">
            <v>12094.018668599998</v>
          </cell>
          <cell r="W9">
            <v>931.95600000000002</v>
          </cell>
          <cell r="X9">
            <v>7.7059249331213664</v>
          </cell>
          <cell r="AB9">
            <v>10873.0882526</v>
          </cell>
          <cell r="AC9">
            <v>793.34100000000001</v>
          </cell>
          <cell r="AD9">
            <v>7.2963723053594665</v>
          </cell>
          <cell r="AH9">
            <v>11058.490612600001</v>
          </cell>
          <cell r="AI9">
            <v>775.74900000000002</v>
          </cell>
          <cell r="AJ9">
            <v>7.014962775445273</v>
          </cell>
          <cell r="AN9">
            <v>12819.1381446</v>
          </cell>
          <cell r="AO9">
            <v>1282.8409999999999</v>
          </cell>
          <cell r="AP9">
            <v>10.007232822749403</v>
          </cell>
          <cell r="AT9">
            <v>67677.617510999989</v>
          </cell>
          <cell r="AU9">
            <v>4652.2330000000002</v>
          </cell>
          <cell r="AV9">
            <v>6.8741087099347853</v>
          </cell>
          <cell r="AZ9">
            <v>13476.818236499999</v>
          </cell>
          <cell r="BA9">
            <v>1223.5149999999999</v>
          </cell>
          <cell r="BB9">
            <v>9.0786636617706069</v>
          </cell>
          <cell r="BF9">
            <v>14449.086716499998</v>
          </cell>
          <cell r="BG9">
            <v>1642.1179999999997</v>
          </cell>
          <cell r="BH9">
            <v>11.364856701460575</v>
          </cell>
          <cell r="BL9">
            <v>16231.845898699999</v>
          </cell>
          <cell r="BM9">
            <v>1991.72</v>
          </cell>
          <cell r="BN9">
            <v>12.270446703535523</v>
          </cell>
          <cell r="BR9">
            <v>17955.779347499996</v>
          </cell>
          <cell r="BS9">
            <v>2610.3360000000002</v>
          </cell>
          <cell r="BT9">
            <v>14.537581184764562</v>
          </cell>
          <cell r="BX9">
            <v>15604.308759800002</v>
          </cell>
          <cell r="BY9">
            <v>2125.1059999999998</v>
          </cell>
          <cell r="BZ9">
            <v>13.618712835743946</v>
          </cell>
          <cell r="CD9">
            <v>14725.836911000002</v>
          </cell>
          <cell r="CE9">
            <v>1633.31</v>
          </cell>
          <cell r="CF9">
            <v>11.091457890450622</v>
          </cell>
          <cell r="CJ9">
            <v>92443.675869999992</v>
          </cell>
          <cell r="CK9">
            <v>11226.105</v>
          </cell>
          <cell r="CL9">
            <v>12.143724158899568</v>
          </cell>
          <cell r="CP9">
            <v>160121.293381</v>
          </cell>
          <cell r="CQ9">
            <v>15878.338</v>
          </cell>
          <cell r="CR9">
            <v>9.9164437563081318</v>
          </cell>
        </row>
        <row r="10">
          <cell r="J10">
            <v>972.31740000000002</v>
          </cell>
          <cell r="K10">
            <v>22.815000000000001</v>
          </cell>
          <cell r="L10">
            <v>2.3464560029471859</v>
          </cell>
          <cell r="P10">
            <v>1042.99964</v>
          </cell>
          <cell r="Q10">
            <v>38.016000000000005</v>
          </cell>
          <cell r="R10">
            <v>3.644871823733324</v>
          </cell>
          <cell r="V10">
            <v>1070.0326399999999</v>
          </cell>
          <cell r="W10">
            <v>25.609000000000005</v>
          </cell>
          <cell r="X10">
            <v>2.3932914794075821</v>
          </cell>
          <cell r="AB10">
            <v>1116.394</v>
          </cell>
          <cell r="AC10">
            <v>52.454000000000008</v>
          </cell>
          <cell r="AD10">
            <v>4.698520414835623</v>
          </cell>
          <cell r="AH10">
            <v>1161.8270400000001</v>
          </cell>
          <cell r="AI10">
            <v>59.513000000000005</v>
          </cell>
          <cell r="AJ10">
            <v>5.1223631359104873</v>
          </cell>
          <cell r="AN10">
            <v>1250.7148</v>
          </cell>
          <cell r="AO10">
            <v>93.350000000000009</v>
          </cell>
          <cell r="AP10">
            <v>7.4637319395277011</v>
          </cell>
          <cell r="AT10">
            <v>6614.2855199999995</v>
          </cell>
          <cell r="AU10">
            <v>291.75700000000001</v>
          </cell>
          <cell r="AV10">
            <v>4.4110130885308383</v>
          </cell>
          <cell r="AZ10">
            <v>1646.4878000000001</v>
          </cell>
          <cell r="BA10">
            <v>164.749</v>
          </cell>
          <cell r="BB10">
            <v>10.006086895997649</v>
          </cell>
          <cell r="BF10">
            <v>1684.3518000000001</v>
          </cell>
          <cell r="BG10">
            <v>194.85599999999999</v>
          </cell>
          <cell r="BH10">
            <v>11.568604610984472</v>
          </cell>
          <cell r="BL10">
            <v>1833.1027999999999</v>
          </cell>
          <cell r="BM10">
            <v>206.72200000000001</v>
          </cell>
          <cell r="BN10">
            <v>11.277163506596576</v>
          </cell>
          <cell r="BR10">
            <v>1905.1887999999999</v>
          </cell>
          <cell r="BS10">
            <v>251.24900000000005</v>
          </cell>
          <cell r="BT10">
            <v>13.187616891302326</v>
          </cell>
          <cell r="BX10">
            <v>1966.6469999999999</v>
          </cell>
          <cell r="BY10">
            <v>256.78699999999998</v>
          </cell>
          <cell r="BZ10">
            <v>13.057096672661642</v>
          </cell>
          <cell r="CD10">
            <v>1987.1208000000001</v>
          </cell>
          <cell r="CE10">
            <v>279.38100000000003</v>
          </cell>
          <cell r="CF10">
            <v>14.059588123681257</v>
          </cell>
          <cell r="CJ10">
            <v>11022.899000000001</v>
          </cell>
          <cell r="CK10">
            <v>1353.7440000000001</v>
          </cell>
          <cell r="CL10">
            <v>12.281197532518441</v>
          </cell>
          <cell r="CP10">
            <v>17637.184520000003</v>
          </cell>
          <cell r="CQ10">
            <v>1645.5010000000002</v>
          </cell>
          <cell r="CR10">
            <v>9.3297260576599115</v>
          </cell>
        </row>
        <row r="11">
          <cell r="J11">
            <v>10974.3763383</v>
          </cell>
          <cell r="K11">
            <v>298.952</v>
          </cell>
          <cell r="L11">
            <v>2.724091016968984</v>
          </cell>
          <cell r="P11">
            <v>11873.822534299998</v>
          </cell>
          <cell r="Q11">
            <v>630.22500000000002</v>
          </cell>
          <cell r="R11">
            <v>5.3076841781950543</v>
          </cell>
          <cell r="V11">
            <v>13164.051308599997</v>
          </cell>
          <cell r="W11">
            <v>957.56500000000005</v>
          </cell>
          <cell r="X11">
            <v>7.274090457049712</v>
          </cell>
          <cell r="AB11">
            <v>11989.482252600001</v>
          </cell>
          <cell r="AC11">
            <v>845.79500000000007</v>
          </cell>
          <cell r="AD11">
            <v>7.0544747653017605</v>
          </cell>
          <cell r="AH11">
            <v>12220.317652600001</v>
          </cell>
          <cell r="AI11">
            <v>835.26200000000006</v>
          </cell>
          <cell r="AJ11">
            <v>6.8350269096506615</v>
          </cell>
          <cell r="AN11">
            <v>14069.852944599999</v>
          </cell>
          <cell r="AO11">
            <v>1376.1909999999998</v>
          </cell>
          <cell r="AP11">
            <v>9.7811327909307053</v>
          </cell>
          <cell r="AT11">
            <v>74291.903030999994</v>
          </cell>
          <cell r="AU11">
            <v>4943.99</v>
          </cell>
          <cell r="AV11">
            <v>6.6548167408459129</v>
          </cell>
          <cell r="AZ11">
            <v>15123.3060365</v>
          </cell>
          <cell r="BA11">
            <v>1388.2639999999999</v>
          </cell>
          <cell r="BB11">
            <v>9.1796330554273897</v>
          </cell>
          <cell r="BF11">
            <v>16133.438516499999</v>
          </cell>
          <cell r="BG11">
            <v>1836.9739999999997</v>
          </cell>
          <cell r="BH11">
            <v>11.386128246134813</v>
          </cell>
          <cell r="BL11">
            <v>18064.948698699998</v>
          </cell>
          <cell r="BM11">
            <v>2198.442</v>
          </cell>
          <cell r="BN11">
            <v>12.169655373326389</v>
          </cell>
          <cell r="BR11">
            <v>19860.968147499996</v>
          </cell>
          <cell r="BS11">
            <v>2861.5850000000005</v>
          </cell>
          <cell r="BT11">
            <v>14.408084131388144</v>
          </cell>
          <cell r="BX11">
            <v>17570.955759800003</v>
          </cell>
          <cell r="BY11">
            <v>2381.8929999999996</v>
          </cell>
          <cell r="BZ11">
            <v>13.555853378502336</v>
          </cell>
          <cell r="CD11">
            <v>16712.957711000003</v>
          </cell>
          <cell r="CE11">
            <v>1912.691</v>
          </cell>
          <cell r="CF11">
            <v>11.444359718215049</v>
          </cell>
          <cell r="CJ11">
            <v>103466.57487</v>
          </cell>
          <cell r="CK11">
            <v>12579.849</v>
          </cell>
          <cell r="CL11">
            <v>12.158370000945602</v>
          </cell>
          <cell r="CP11">
            <v>177758.47790100001</v>
          </cell>
          <cell r="CQ11">
            <v>17523.839</v>
          </cell>
          <cell r="CR11">
            <v>9.8582296647249912</v>
          </cell>
        </row>
        <row r="12">
          <cell r="J12">
            <v>20032.020338300001</v>
          </cell>
          <cell r="K12">
            <v>3889.8119999999999</v>
          </cell>
          <cell r="L12">
            <v>19.417971499174833</v>
          </cell>
          <cell r="P12">
            <v>23106.948534299998</v>
          </cell>
          <cell r="Q12">
            <v>5328.4709999999995</v>
          </cell>
          <cell r="R12">
            <v>23.060037512484207</v>
          </cell>
          <cell r="V12">
            <v>24572.146308599997</v>
          </cell>
          <cell r="W12">
            <v>5705.6939999999995</v>
          </cell>
          <cell r="X12">
            <v>23.220169407843162</v>
          </cell>
          <cell r="AB12">
            <v>24397.263252600002</v>
          </cell>
          <cell r="AC12">
            <v>6056.8010000000004</v>
          </cell>
          <cell r="AD12">
            <v>24.825739417123067</v>
          </cell>
          <cell r="AH12">
            <v>25365.482652600003</v>
          </cell>
          <cell r="AI12">
            <v>6462.7329999999993</v>
          </cell>
          <cell r="AJ12">
            <v>25.478454672091793</v>
          </cell>
          <cell r="AN12">
            <v>26644.767944599997</v>
          </cell>
          <cell r="AO12">
            <v>6716.1439999999993</v>
          </cell>
          <cell r="AP12">
            <v>25.206239416174526</v>
          </cell>
          <cell r="AT12">
            <v>144118.62903099999</v>
          </cell>
          <cell r="AU12">
            <v>34159.654999999999</v>
          </cell>
          <cell r="AV12">
            <v>23.702456254043494</v>
          </cell>
          <cell r="AZ12">
            <v>28133.125036500001</v>
          </cell>
          <cell r="BA12">
            <v>6950.3320000000003</v>
          </cell>
          <cell r="BB12">
            <v>24.705154478866525</v>
          </cell>
          <cell r="BF12">
            <v>28620.512516499999</v>
          </cell>
          <cell r="BG12">
            <v>7161.6049999999996</v>
          </cell>
          <cell r="BH12">
            <v>25.022630170830329</v>
          </cell>
          <cell r="BL12">
            <v>31198.732698699998</v>
          </cell>
          <cell r="BM12">
            <v>7803.0019999999995</v>
          </cell>
          <cell r="BN12">
            <v>25.010637692745576</v>
          </cell>
          <cell r="BR12">
            <v>33578.698147499992</v>
          </cell>
          <cell r="BS12">
            <v>8831.612000000001</v>
          </cell>
          <cell r="BT12">
            <v>26.301234077645546</v>
          </cell>
          <cell r="BX12">
            <v>30720.201759800002</v>
          </cell>
          <cell r="BY12">
            <v>8126.6229999999996</v>
          </cell>
          <cell r="BZ12">
            <v>26.453677171594549</v>
          </cell>
          <cell r="CD12">
            <v>29300.723711000002</v>
          </cell>
          <cell r="CE12">
            <v>7418.5899999999992</v>
          </cell>
          <cell r="CF12">
            <v>25.318794420135539</v>
          </cell>
          <cell r="CJ12">
            <v>181551.99387000001</v>
          </cell>
          <cell r="CK12">
            <v>46291.764000000003</v>
          </cell>
          <cell r="CL12">
            <v>25.497799838622065</v>
          </cell>
          <cell r="CP12">
            <v>325670.62290099997</v>
          </cell>
          <cell r="CQ12">
            <v>80451.418999999994</v>
          </cell>
          <cell r="CR12">
            <v>24.703308601603982</v>
          </cell>
        </row>
        <row r="13">
          <cell r="J13">
            <v>9772.315208</v>
          </cell>
          <cell r="K13">
            <v>784</v>
          </cell>
          <cell r="L13">
            <v>8.0226638551137484</v>
          </cell>
          <cell r="P13">
            <v>10104.57582</v>
          </cell>
          <cell r="Q13">
            <v>1212.32</v>
          </cell>
          <cell r="R13">
            <v>11.997732726201663</v>
          </cell>
          <cell r="V13">
            <v>10238.41455</v>
          </cell>
          <cell r="W13">
            <v>1093</v>
          </cell>
          <cell r="X13">
            <v>10.675481000131999</v>
          </cell>
          <cell r="AB13">
            <v>10986.750498000001</v>
          </cell>
          <cell r="AC13">
            <v>1640</v>
          </cell>
          <cell r="AD13">
            <v>14.927070568304442</v>
          </cell>
          <cell r="AH13">
            <v>13172.356744000001</v>
          </cell>
          <cell r="AI13">
            <v>3022</v>
          </cell>
          <cell r="AJ13">
            <v>22.941984177406365</v>
          </cell>
          <cell r="AN13">
            <v>13314.959923999999</v>
          </cell>
          <cell r="AO13">
            <v>3286.6</v>
          </cell>
          <cell r="AP13">
            <v>24.683514023019754</v>
          </cell>
          <cell r="AT13">
            <v>67589.372743999993</v>
          </cell>
          <cell r="AU13">
            <v>11037.92</v>
          </cell>
          <cell r="AV13">
            <v>16.330851362990124</v>
          </cell>
          <cell r="AZ13">
            <v>14188.403252</v>
          </cell>
          <cell r="BA13">
            <v>3951</v>
          </cell>
          <cell r="BB13">
            <v>27.846685281115523</v>
          </cell>
          <cell r="BF13">
            <v>14461.367507999999</v>
          </cell>
          <cell r="BG13">
            <v>4156</v>
          </cell>
          <cell r="BH13">
            <v>28.738637599113009</v>
          </cell>
          <cell r="BL13">
            <v>14658.670495999999</v>
          </cell>
          <cell r="BM13">
            <v>4141</v>
          </cell>
          <cell r="BN13">
            <v>28.249492347412954</v>
          </cell>
          <cell r="BR13">
            <v>15615.06099</v>
          </cell>
          <cell r="BS13">
            <v>5167</v>
          </cell>
          <cell r="BT13">
            <v>33.089848341348045</v>
          </cell>
          <cell r="BX13">
            <v>16011.699107999999</v>
          </cell>
          <cell r="BY13">
            <v>5391</v>
          </cell>
          <cell r="BZ13">
            <v>33.669131324772835</v>
          </cell>
          <cell r="CD13">
            <v>16591.007771999997</v>
          </cell>
          <cell r="CE13">
            <v>5848</v>
          </cell>
          <cell r="CF13">
            <v>35.24800952639805</v>
          </cell>
          <cell r="CJ13">
            <v>91526.209125999987</v>
          </cell>
          <cell r="CK13">
            <v>28654</v>
          </cell>
          <cell r="CL13">
            <v>31.306879497820496</v>
          </cell>
          <cell r="CP13">
            <v>159115.58186999999</v>
          </cell>
          <cell r="CQ13">
            <v>39691.919999999998</v>
          </cell>
          <cell r="CR13">
            <v>24.945338183427531</v>
          </cell>
        </row>
        <row r="14">
          <cell r="J14">
            <v>339</v>
          </cell>
          <cell r="K14">
            <v>46.81</v>
          </cell>
          <cell r="L14">
            <v>13.808259587020649</v>
          </cell>
          <cell r="P14">
            <v>1445</v>
          </cell>
          <cell r="Q14">
            <v>206.73400000000004</v>
          </cell>
          <cell r="R14">
            <v>14.306851211072665</v>
          </cell>
          <cell r="V14">
            <v>7712</v>
          </cell>
          <cell r="W14">
            <v>1954.229</v>
          </cell>
          <cell r="X14">
            <v>25.340106327800832</v>
          </cell>
          <cell r="AB14">
            <v>4022</v>
          </cell>
          <cell r="AC14">
            <v>885.24299999999994</v>
          </cell>
          <cell r="AD14">
            <v>22.01001989060169</v>
          </cell>
          <cell r="AH14">
            <v>14991</v>
          </cell>
          <cell r="AI14">
            <v>2686.4960000000001</v>
          </cell>
          <cell r="AJ14">
            <v>17.920725768794611</v>
          </cell>
          <cell r="AN14">
            <v>8623</v>
          </cell>
          <cell r="AO14">
            <v>1862.47</v>
          </cell>
          <cell r="AP14">
            <v>21.598863504580773</v>
          </cell>
          <cell r="AT14">
            <v>37132</v>
          </cell>
          <cell r="AU14">
            <v>7641.9820000000009</v>
          </cell>
          <cell r="AV14">
            <v>20.580582785737374</v>
          </cell>
          <cell r="AZ14">
            <v>3970</v>
          </cell>
          <cell r="BA14">
            <v>741.89499999999998</v>
          </cell>
          <cell r="BB14">
            <v>18.687531486146096</v>
          </cell>
          <cell r="BF14">
            <v>11943</v>
          </cell>
          <cell r="BG14">
            <v>2358.4049999999997</v>
          </cell>
          <cell r="BH14">
            <v>19.747174076865107</v>
          </cell>
          <cell r="BL14">
            <v>7260</v>
          </cell>
          <cell r="BM14">
            <v>1757.6100000000001</v>
          </cell>
          <cell r="BN14">
            <v>24.209504132231409</v>
          </cell>
          <cell r="BR14">
            <v>16294</v>
          </cell>
          <cell r="BS14">
            <v>2674.2559999999994</v>
          </cell>
          <cell r="BT14">
            <v>16.412519945992386</v>
          </cell>
          <cell r="BX14">
            <v>10826</v>
          </cell>
          <cell r="BY14">
            <v>2062.0360000000001</v>
          </cell>
          <cell r="BZ14">
            <v>19.047071864031036</v>
          </cell>
          <cell r="CD14">
            <v>18728</v>
          </cell>
          <cell r="CE14">
            <v>6049.2673000000004</v>
          </cell>
          <cell r="CF14">
            <v>32.300658372490396</v>
          </cell>
          <cell r="CJ14">
            <v>69021</v>
          </cell>
          <cell r="CK14">
            <v>15643.469300000001</v>
          </cell>
          <cell r="CL14">
            <v>22.664796656090179</v>
          </cell>
          <cell r="CP14">
            <v>106153</v>
          </cell>
          <cell r="CQ14">
            <v>23285.451300000001</v>
          </cell>
          <cell r="CR14">
            <v>21.935744915358022</v>
          </cell>
        </row>
        <row r="15">
          <cell r="J15">
            <v>27</v>
          </cell>
          <cell r="K15">
            <v>13.978</v>
          </cell>
          <cell r="L15">
            <v>51.770370370370365</v>
          </cell>
          <cell r="P15">
            <v>1942</v>
          </cell>
          <cell r="Q15">
            <v>284.27300000000002</v>
          </cell>
          <cell r="R15">
            <v>14.638156539649847</v>
          </cell>
          <cell r="V15">
            <v>3607</v>
          </cell>
          <cell r="W15">
            <v>344.80200000000002</v>
          </cell>
          <cell r="X15">
            <v>9.559245910729139</v>
          </cell>
          <cell r="AB15">
            <v>5019</v>
          </cell>
          <cell r="AC15">
            <v>853.39300000000003</v>
          </cell>
          <cell r="AD15">
            <v>17.003247658896196</v>
          </cell>
          <cell r="AH15">
            <v>7404</v>
          </cell>
          <cell r="AI15">
            <v>1083.519</v>
          </cell>
          <cell r="AJ15">
            <v>14.634238249594814</v>
          </cell>
          <cell r="AN15">
            <v>9490</v>
          </cell>
          <cell r="AO15">
            <v>1192.127</v>
          </cell>
          <cell r="AP15">
            <v>12.561928345626974</v>
          </cell>
          <cell r="AT15">
            <v>27489</v>
          </cell>
          <cell r="AU15">
            <v>3772.0920000000001</v>
          </cell>
          <cell r="AV15">
            <v>13.722187056640839</v>
          </cell>
          <cell r="AZ15">
            <v>1875</v>
          </cell>
          <cell r="BA15">
            <v>359.90100000000001</v>
          </cell>
          <cell r="BB15">
            <v>19.19472</v>
          </cell>
          <cell r="BF15">
            <v>6363</v>
          </cell>
          <cell r="BG15">
            <v>1232.24</v>
          </cell>
          <cell r="BH15">
            <v>19.365707999371367</v>
          </cell>
          <cell r="BL15">
            <v>6420</v>
          </cell>
          <cell r="BM15">
            <v>1054.6299999999999</v>
          </cell>
          <cell r="BN15">
            <v>16.427258566978193</v>
          </cell>
          <cell r="BR15">
            <v>8793</v>
          </cell>
          <cell r="BS15">
            <v>1212.95</v>
          </cell>
          <cell r="BT15">
            <v>13.794495621517116</v>
          </cell>
          <cell r="BX15">
            <v>8296</v>
          </cell>
          <cell r="BY15">
            <v>1728.5900000000001</v>
          </cell>
          <cell r="BZ15">
            <v>20.836427193828353</v>
          </cell>
          <cell r="CD15">
            <v>14764</v>
          </cell>
          <cell r="CE15">
            <v>2285.0230000000001</v>
          </cell>
          <cell r="CF15">
            <v>15.476991330262802</v>
          </cell>
          <cell r="CJ15">
            <v>46511</v>
          </cell>
          <cell r="CK15">
            <v>7873.3339999999998</v>
          </cell>
          <cell r="CL15">
            <v>16.927896626604458</v>
          </cell>
          <cell r="CP15">
            <v>74000</v>
          </cell>
          <cell r="CQ15">
            <v>11645.425999999999</v>
          </cell>
          <cell r="CR15">
            <v>15.737062162162161</v>
          </cell>
        </row>
        <row r="16">
          <cell r="J16">
            <v>366</v>
          </cell>
          <cell r="K16">
            <v>60.788000000000004</v>
          </cell>
          <cell r="L16">
            <v>16.608743169398906</v>
          </cell>
          <cell r="P16">
            <v>3387</v>
          </cell>
          <cell r="Q16">
            <v>491.00700000000006</v>
          </cell>
          <cell r="R16">
            <v>14.496811337466786</v>
          </cell>
          <cell r="V16">
            <v>11319</v>
          </cell>
          <cell r="W16">
            <v>2299.0309999999999</v>
          </cell>
          <cell r="X16">
            <v>20.311255411255409</v>
          </cell>
          <cell r="AB16">
            <v>9041</v>
          </cell>
          <cell r="AC16">
            <v>1738.636</v>
          </cell>
          <cell r="AD16">
            <v>19.230571839398298</v>
          </cell>
          <cell r="AH16">
            <v>22395</v>
          </cell>
          <cell r="AI16">
            <v>3770.0150000000003</v>
          </cell>
          <cell r="AJ16">
            <v>16.834181736994864</v>
          </cell>
          <cell r="AN16">
            <v>18113</v>
          </cell>
          <cell r="AO16">
            <v>3054.5969999999998</v>
          </cell>
          <cell r="AP16">
            <v>16.864114172141555</v>
          </cell>
          <cell r="AT16">
            <v>64621</v>
          </cell>
          <cell r="AU16">
            <v>11414.074000000001</v>
          </cell>
          <cell r="AV16">
            <v>17.663103325544331</v>
          </cell>
          <cell r="AZ16">
            <v>5845</v>
          </cell>
          <cell r="BA16">
            <v>1101.796</v>
          </cell>
          <cell r="BB16">
            <v>18.850230966638154</v>
          </cell>
          <cell r="BF16">
            <v>18306</v>
          </cell>
          <cell r="BG16">
            <v>3590.6449999999995</v>
          </cell>
          <cell r="BH16">
            <v>19.614579919152188</v>
          </cell>
          <cell r="BL16">
            <v>13680</v>
          </cell>
          <cell r="BM16">
            <v>2812.24</v>
          </cell>
          <cell r="BN16">
            <v>20.557309941520465</v>
          </cell>
          <cell r="BR16">
            <v>25087</v>
          </cell>
          <cell r="BS16">
            <v>3887.2059999999992</v>
          </cell>
          <cell r="BT16">
            <v>15.494901741938053</v>
          </cell>
          <cell r="BX16">
            <v>19122</v>
          </cell>
          <cell r="BY16">
            <v>3790.6260000000002</v>
          </cell>
          <cell r="BZ16">
            <v>19.823376215877001</v>
          </cell>
          <cell r="CD16">
            <v>33492</v>
          </cell>
          <cell r="CE16">
            <v>8334.2903000000006</v>
          </cell>
          <cell r="CF16">
            <v>24.884421055774514</v>
          </cell>
          <cell r="CJ16">
            <v>115532</v>
          </cell>
          <cell r="CK16">
            <v>23516.8033</v>
          </cell>
          <cell r="CL16">
            <v>20.355229114011703</v>
          </cell>
          <cell r="CP16">
            <v>180153</v>
          </cell>
          <cell r="CQ16">
            <v>34930.8773</v>
          </cell>
          <cell r="CR16">
            <v>19.389561816900081</v>
          </cell>
        </row>
        <row r="17">
          <cell r="J17">
            <v>0</v>
          </cell>
          <cell r="K17">
            <v>0</v>
          </cell>
          <cell r="L17">
            <v>0</v>
          </cell>
          <cell r="P17">
            <v>0</v>
          </cell>
          <cell r="Q17">
            <v>0</v>
          </cell>
          <cell r="R17">
            <v>0</v>
          </cell>
          <cell r="V17">
            <v>0</v>
          </cell>
          <cell r="W17">
            <v>0</v>
          </cell>
          <cell r="X17">
            <v>0</v>
          </cell>
          <cell r="AB17">
            <v>0</v>
          </cell>
          <cell r="AC17">
            <v>0</v>
          </cell>
          <cell r="AD17">
            <v>0</v>
          </cell>
          <cell r="AH17">
            <v>506</v>
          </cell>
          <cell r="AI17">
            <v>30</v>
          </cell>
          <cell r="AJ17">
            <v>5.928853754940711</v>
          </cell>
          <cell r="AN17">
            <v>0</v>
          </cell>
          <cell r="AO17">
            <v>0</v>
          </cell>
          <cell r="AP17">
            <v>0</v>
          </cell>
          <cell r="AT17">
            <v>506</v>
          </cell>
          <cell r="AU17">
            <v>30</v>
          </cell>
          <cell r="AV17">
            <v>5.928853754940711</v>
          </cell>
          <cell r="AZ17">
            <v>0</v>
          </cell>
          <cell r="BA17">
            <v>0</v>
          </cell>
          <cell r="BB17">
            <v>0</v>
          </cell>
          <cell r="BF17">
            <v>0</v>
          </cell>
          <cell r="BG17">
            <v>0</v>
          </cell>
          <cell r="BH17">
            <v>0</v>
          </cell>
          <cell r="BL17">
            <v>0</v>
          </cell>
          <cell r="BM17">
            <v>0</v>
          </cell>
          <cell r="BN17">
            <v>0</v>
          </cell>
          <cell r="BR17">
            <v>30350</v>
          </cell>
          <cell r="BS17">
            <v>2886</v>
          </cell>
          <cell r="BT17">
            <v>9.5090609555189456</v>
          </cell>
          <cell r="BX17">
            <v>7650</v>
          </cell>
          <cell r="BY17">
            <v>711</v>
          </cell>
          <cell r="BZ17">
            <v>9.2941176470588243</v>
          </cell>
          <cell r="CD17">
            <v>0</v>
          </cell>
          <cell r="CE17">
            <v>0</v>
          </cell>
          <cell r="CF17">
            <v>0</v>
          </cell>
          <cell r="CJ17">
            <v>38000</v>
          </cell>
          <cell r="CK17">
            <v>3597</v>
          </cell>
          <cell r="CL17">
            <v>9.465789473684211</v>
          </cell>
          <cell r="CP17">
            <v>38506</v>
          </cell>
          <cell r="CQ17">
            <v>3627</v>
          </cell>
          <cell r="CR17">
            <v>9.4193112761647537</v>
          </cell>
        </row>
        <row r="18">
          <cell r="J18">
            <v>905</v>
          </cell>
          <cell r="K18">
            <v>89</v>
          </cell>
          <cell r="L18">
            <v>9.8342541436464099</v>
          </cell>
          <cell r="P18">
            <v>2419</v>
          </cell>
          <cell r="Q18">
            <v>82</v>
          </cell>
          <cell r="R18">
            <v>3.3898305084745761</v>
          </cell>
          <cell r="V18">
            <v>1541</v>
          </cell>
          <cell r="W18">
            <v>218</v>
          </cell>
          <cell r="X18">
            <v>14.146658014276445</v>
          </cell>
          <cell r="AB18">
            <v>1959</v>
          </cell>
          <cell r="AC18">
            <v>288</v>
          </cell>
          <cell r="AD18">
            <v>14.701378254211333</v>
          </cell>
          <cell r="AH18">
            <v>2048</v>
          </cell>
          <cell r="AI18">
            <v>245</v>
          </cell>
          <cell r="AJ18">
            <v>11.962890625</v>
          </cell>
          <cell r="AN18">
            <v>2214</v>
          </cell>
          <cell r="AO18">
            <v>359</v>
          </cell>
          <cell r="AP18">
            <v>16.214995483288167</v>
          </cell>
          <cell r="AT18">
            <v>11086</v>
          </cell>
          <cell r="AU18">
            <v>1281</v>
          </cell>
          <cell r="AV18">
            <v>11.555114558903121</v>
          </cell>
          <cell r="AZ18">
            <v>2818</v>
          </cell>
          <cell r="BA18">
            <v>592</v>
          </cell>
          <cell r="BB18">
            <v>21.007806955287439</v>
          </cell>
          <cell r="BF18">
            <v>2023</v>
          </cell>
          <cell r="BG18">
            <v>472</v>
          </cell>
          <cell r="BH18">
            <v>23.331685615422639</v>
          </cell>
          <cell r="BL18">
            <v>2942</v>
          </cell>
          <cell r="BM18">
            <v>697</v>
          </cell>
          <cell r="BN18">
            <v>23.691366417403124</v>
          </cell>
          <cell r="BR18">
            <v>2473</v>
          </cell>
          <cell r="BS18">
            <v>603</v>
          </cell>
          <cell r="BT18">
            <v>24.383340072786091</v>
          </cell>
          <cell r="BX18">
            <v>5105</v>
          </cell>
          <cell r="BY18">
            <v>2502</v>
          </cell>
          <cell r="BZ18">
            <v>49.010773751224292</v>
          </cell>
          <cell r="CD18">
            <v>5572</v>
          </cell>
          <cell r="CE18">
            <v>1608</v>
          </cell>
          <cell r="CF18">
            <v>28.858578607322329</v>
          </cell>
          <cell r="CJ18">
            <v>20933</v>
          </cell>
          <cell r="CK18">
            <v>6474</v>
          </cell>
          <cell r="CL18">
            <v>30.927244064395932</v>
          </cell>
          <cell r="CP18">
            <v>32019</v>
          </cell>
          <cell r="CQ18">
            <v>7755</v>
          </cell>
          <cell r="CR18">
            <v>24.219994378337862</v>
          </cell>
        </row>
        <row r="19">
          <cell r="J19">
            <v>1726</v>
          </cell>
          <cell r="K19">
            <v>-134</v>
          </cell>
          <cell r="L19">
            <v>-7.7636152954808804</v>
          </cell>
          <cell r="P19">
            <v>2223</v>
          </cell>
          <cell r="Q19">
            <v>-109</v>
          </cell>
          <cell r="R19">
            <v>-4.9032838506522713</v>
          </cell>
          <cell r="V19">
            <v>2491</v>
          </cell>
          <cell r="W19">
            <v>-48</v>
          </cell>
          <cell r="X19">
            <v>-1.9269369731031716</v>
          </cell>
          <cell r="AB19">
            <v>2401</v>
          </cell>
          <cell r="AC19">
            <v>-129</v>
          </cell>
          <cell r="AD19">
            <v>-5.3727613494377344</v>
          </cell>
          <cell r="AH19">
            <v>3275</v>
          </cell>
          <cell r="AI19">
            <v>-182</v>
          </cell>
          <cell r="AJ19">
            <v>-5.557251908396946</v>
          </cell>
          <cell r="AN19">
            <v>4187</v>
          </cell>
          <cell r="AO19">
            <v>515</v>
          </cell>
          <cell r="AP19">
            <v>12.29997611655123</v>
          </cell>
          <cell r="AT19">
            <v>16303</v>
          </cell>
          <cell r="AU19">
            <v>-87</v>
          </cell>
          <cell r="AV19">
            <v>-0.53364411458013861</v>
          </cell>
          <cell r="AZ19">
            <v>5656</v>
          </cell>
          <cell r="BA19">
            <v>613</v>
          </cell>
          <cell r="BB19">
            <v>10.838048090523337</v>
          </cell>
          <cell r="BF19">
            <v>5846</v>
          </cell>
          <cell r="BG19">
            <v>980</v>
          </cell>
          <cell r="BH19">
            <v>16.763599042080056</v>
          </cell>
          <cell r="BL19">
            <v>6763</v>
          </cell>
          <cell r="BM19">
            <v>-322</v>
          </cell>
          <cell r="BN19">
            <v>-4.7612006505988465</v>
          </cell>
          <cell r="BR19">
            <v>4993</v>
          </cell>
          <cell r="BS19">
            <v>714</v>
          </cell>
          <cell r="BT19">
            <v>14.300020028039254</v>
          </cell>
          <cell r="BX19">
            <v>4350</v>
          </cell>
          <cell r="BY19">
            <v>28</v>
          </cell>
          <cell r="BZ19">
            <v>0.64367816091954022</v>
          </cell>
          <cell r="CD19">
            <v>4114</v>
          </cell>
          <cell r="CE19">
            <v>76</v>
          </cell>
          <cell r="CF19">
            <v>1.8473505104521146</v>
          </cell>
          <cell r="CJ19">
            <v>31722</v>
          </cell>
          <cell r="CK19">
            <v>2089</v>
          </cell>
          <cell r="CL19">
            <v>6.5853350986696926</v>
          </cell>
          <cell r="CP19">
            <v>48025</v>
          </cell>
          <cell r="CQ19">
            <v>2002</v>
          </cell>
          <cell r="CR19">
            <v>4.1686621551275378</v>
          </cell>
        </row>
        <row r="20">
          <cell r="J20">
            <v>0</v>
          </cell>
          <cell r="K20">
            <v>0</v>
          </cell>
          <cell r="L20">
            <v>0</v>
          </cell>
          <cell r="P20">
            <v>0</v>
          </cell>
          <cell r="Q20">
            <v>0</v>
          </cell>
          <cell r="R20">
            <v>0</v>
          </cell>
          <cell r="V20">
            <v>0</v>
          </cell>
          <cell r="W20">
            <v>0</v>
          </cell>
          <cell r="X20">
            <v>0</v>
          </cell>
          <cell r="AB20">
            <v>0</v>
          </cell>
          <cell r="AC20">
            <v>0</v>
          </cell>
          <cell r="AD20">
            <v>0</v>
          </cell>
          <cell r="AH20">
            <v>0</v>
          </cell>
          <cell r="AI20">
            <v>0</v>
          </cell>
          <cell r="AJ20">
            <v>0</v>
          </cell>
          <cell r="AN20">
            <v>4807</v>
          </cell>
          <cell r="AO20">
            <v>-272</v>
          </cell>
          <cell r="AP20">
            <v>-5.6584148117328894</v>
          </cell>
          <cell r="AT20">
            <v>4807</v>
          </cell>
          <cell r="AU20">
            <v>-272</v>
          </cell>
          <cell r="AV20">
            <v>-5.6584148117328894</v>
          </cell>
          <cell r="AZ20">
            <v>2091</v>
          </cell>
          <cell r="BA20">
            <v>-227</v>
          </cell>
          <cell r="BB20">
            <v>-10.856049736967959</v>
          </cell>
          <cell r="BF20">
            <v>3162</v>
          </cell>
          <cell r="BG20">
            <v>79</v>
          </cell>
          <cell r="BH20">
            <v>2.4984187223276404</v>
          </cell>
          <cell r="BL20">
            <v>4428</v>
          </cell>
          <cell r="BM20">
            <v>-146</v>
          </cell>
          <cell r="BN20">
            <v>-3.2971996386630531</v>
          </cell>
          <cell r="BR20">
            <v>1678</v>
          </cell>
          <cell r="BS20">
            <v>-11</v>
          </cell>
          <cell r="BT20">
            <v>-0.65554231227651971</v>
          </cell>
          <cell r="BX20">
            <v>2069</v>
          </cell>
          <cell r="BY20">
            <v>2</v>
          </cell>
          <cell r="BZ20">
            <v>9.6665055582406956E-2</v>
          </cell>
          <cell r="CD20">
            <v>10169</v>
          </cell>
          <cell r="CE20">
            <v>-70</v>
          </cell>
          <cell r="CF20">
            <v>-0.6883666043858786</v>
          </cell>
          <cell r="CJ20">
            <v>23597</v>
          </cell>
          <cell r="CK20">
            <v>-373</v>
          </cell>
          <cell r="CL20">
            <v>-1.5807094122134169</v>
          </cell>
          <cell r="CP20">
            <v>28404</v>
          </cell>
          <cell r="CQ20">
            <v>-645</v>
          </cell>
          <cell r="CR20">
            <v>-2.2708069286016057</v>
          </cell>
        </row>
        <row r="21">
          <cell r="J21">
            <v>2631</v>
          </cell>
          <cell r="K21">
            <v>-45</v>
          </cell>
          <cell r="L21">
            <v>-1.7103762827822122</v>
          </cell>
          <cell r="P21">
            <v>4642</v>
          </cell>
          <cell r="Q21">
            <v>-27</v>
          </cell>
          <cell r="R21">
            <v>-0.58164584230934946</v>
          </cell>
          <cell r="V21">
            <v>4032</v>
          </cell>
          <cell r="W21">
            <v>170</v>
          </cell>
          <cell r="X21">
            <v>4.2162698412698418</v>
          </cell>
          <cell r="AB21">
            <v>4360</v>
          </cell>
          <cell r="AC21">
            <v>159</v>
          </cell>
          <cell r="AD21">
            <v>3.6467889908256881</v>
          </cell>
          <cell r="AH21">
            <v>5323</v>
          </cell>
          <cell r="AI21">
            <v>63</v>
          </cell>
          <cell r="AJ21">
            <v>1.1835431147848958</v>
          </cell>
          <cell r="AN21">
            <v>11208</v>
          </cell>
          <cell r="AO21">
            <v>602</v>
          </cell>
          <cell r="AP21">
            <v>5.3711634546752318</v>
          </cell>
          <cell r="AT21">
            <v>32196</v>
          </cell>
          <cell r="AU21">
            <v>922</v>
          </cell>
          <cell r="AV21">
            <v>2.8637097776121259</v>
          </cell>
          <cell r="AZ21">
            <v>10565</v>
          </cell>
          <cell r="BA21">
            <v>978</v>
          </cell>
          <cell r="BB21">
            <v>9.2569805963085656</v>
          </cell>
          <cell r="BF21">
            <v>11031</v>
          </cell>
          <cell r="BG21">
            <v>1531</v>
          </cell>
          <cell r="BH21">
            <v>13.879068080863021</v>
          </cell>
          <cell r="BL21">
            <v>14133</v>
          </cell>
          <cell r="BM21">
            <v>229</v>
          </cell>
          <cell r="BN21">
            <v>1.620321233991368</v>
          </cell>
          <cell r="BR21">
            <v>9144</v>
          </cell>
          <cell r="BS21">
            <v>1306</v>
          </cell>
          <cell r="BT21">
            <v>14.282589676290463</v>
          </cell>
          <cell r="BX21">
            <v>11524</v>
          </cell>
          <cell r="BY21">
            <v>2532</v>
          </cell>
          <cell r="BZ21">
            <v>21.971537660534537</v>
          </cell>
          <cell r="CD21">
            <v>19855</v>
          </cell>
          <cell r="CE21">
            <v>1614</v>
          </cell>
          <cell r="CF21">
            <v>8.1289347771342246</v>
          </cell>
          <cell r="CJ21">
            <v>76252</v>
          </cell>
          <cell r="CK21">
            <v>8190</v>
          </cell>
          <cell r="CL21">
            <v>10.740701883229292</v>
          </cell>
          <cell r="CP21">
            <v>108448</v>
          </cell>
          <cell r="CQ21">
            <v>9112</v>
          </cell>
          <cell r="CR21">
            <v>8.402183534966067</v>
          </cell>
        </row>
        <row r="22">
          <cell r="J22">
            <v>32801.335546300004</v>
          </cell>
          <cell r="K22">
            <v>4689.5999999999995</v>
          </cell>
          <cell r="L22">
            <v>14.296978833012751</v>
          </cell>
          <cell r="P22">
            <v>41240.524354299996</v>
          </cell>
          <cell r="Q22">
            <v>7004.7979999999989</v>
          </cell>
          <cell r="R22">
            <v>16.985230206632025</v>
          </cell>
          <cell r="V22">
            <v>50161.560858599994</v>
          </cell>
          <cell r="W22">
            <v>9267.7249999999985</v>
          </cell>
          <cell r="X22">
            <v>18.475750836631082</v>
          </cell>
          <cell r="AB22">
            <v>48785.013750600003</v>
          </cell>
          <cell r="AC22">
            <v>9594.4369999999999</v>
          </cell>
          <cell r="AD22">
            <v>19.666771129857473</v>
          </cell>
          <cell r="AH22">
            <v>66761.8393966</v>
          </cell>
          <cell r="AI22">
            <v>13347.748</v>
          </cell>
          <cell r="AJ22">
            <v>19.993080059863903</v>
          </cell>
          <cell r="AN22">
            <v>69280.727868599992</v>
          </cell>
          <cell r="AO22">
            <v>13659.340999999999</v>
          </cell>
          <cell r="AP22">
            <v>19.715931717557492</v>
          </cell>
          <cell r="AT22">
            <v>309031.00177500001</v>
          </cell>
          <cell r="AU22">
            <v>57563.648999999998</v>
          </cell>
          <cell r="AV22">
            <v>18.627143771779593</v>
          </cell>
          <cell r="AZ22">
            <v>58731.528288500005</v>
          </cell>
          <cell r="BA22">
            <v>12981.128000000001</v>
          </cell>
          <cell r="BB22">
            <v>22.10248631064788</v>
          </cell>
          <cell r="BF22">
            <v>72418.880024500002</v>
          </cell>
          <cell r="BG22">
            <v>16439.25</v>
          </cell>
          <cell r="BH22">
            <v>22.700226784007768</v>
          </cell>
          <cell r="BL22">
            <v>73670.403194699989</v>
          </cell>
          <cell r="BM22">
            <v>14985.242</v>
          </cell>
          <cell r="BN22">
            <v>20.3409257315943</v>
          </cell>
          <cell r="BR22">
            <v>113774.75913749999</v>
          </cell>
          <cell r="BS22">
            <v>22077.817999999999</v>
          </cell>
          <cell r="BT22">
            <v>19.404847056910342</v>
          </cell>
          <cell r="BX22">
            <v>85027.900867799995</v>
          </cell>
          <cell r="BY22">
            <v>20551.249</v>
          </cell>
          <cell r="BZ22">
            <v>24.170006304110402</v>
          </cell>
          <cell r="CD22">
            <v>99238.731482999996</v>
          </cell>
          <cell r="CE22">
            <v>23214.880300000001</v>
          </cell>
          <cell r="CF22">
            <v>23.39296356682754</v>
          </cell>
          <cell r="CJ22">
            <v>502862.20299600001</v>
          </cell>
          <cell r="CK22">
            <v>110249.5673</v>
          </cell>
          <cell r="CL22">
            <v>21.924409240373347</v>
          </cell>
          <cell r="CP22">
            <v>811893.20477099996</v>
          </cell>
          <cell r="CQ22">
            <v>167813.2163</v>
          </cell>
          <cell r="CR22">
            <v>20.669370714505842</v>
          </cell>
        </row>
        <row r="23">
          <cell r="J23">
            <v>4123</v>
          </cell>
          <cell r="K23">
            <v>1253</v>
          </cell>
          <cell r="L23">
            <v>30.390492359932086</v>
          </cell>
          <cell r="P23">
            <v>4301</v>
          </cell>
          <cell r="Q23">
            <v>1328</v>
          </cell>
          <cell r="R23">
            <v>30.876540339455939</v>
          </cell>
          <cell r="V23">
            <v>4489</v>
          </cell>
          <cell r="W23">
            <v>1369</v>
          </cell>
          <cell r="X23">
            <v>30.496769881933616</v>
          </cell>
          <cell r="AB23">
            <v>4350</v>
          </cell>
          <cell r="AC23">
            <v>1282</v>
          </cell>
          <cell r="AD23">
            <v>29.47126436781609</v>
          </cell>
          <cell r="AH23">
            <v>5219</v>
          </cell>
          <cell r="AI23">
            <v>1856</v>
          </cell>
          <cell r="AJ23">
            <v>35.562368269783484</v>
          </cell>
          <cell r="AN23">
            <v>4116</v>
          </cell>
          <cell r="AO23">
            <v>1217</v>
          </cell>
          <cell r="AP23">
            <v>29.567541302235178</v>
          </cell>
          <cell r="AT23">
            <v>26598</v>
          </cell>
          <cell r="AU23">
            <v>8305</v>
          </cell>
          <cell r="AV23">
            <v>31.224152191894127</v>
          </cell>
          <cell r="AZ23">
            <v>3599</v>
          </cell>
          <cell r="BA23">
            <v>980</v>
          </cell>
          <cell r="BB23">
            <v>27.229786051681021</v>
          </cell>
          <cell r="BF23">
            <v>3764</v>
          </cell>
          <cell r="BG23">
            <v>1133</v>
          </cell>
          <cell r="BH23">
            <v>30.100956429330498</v>
          </cell>
          <cell r="BL23">
            <v>4759</v>
          </cell>
          <cell r="BM23">
            <v>1609</v>
          </cell>
          <cell r="BN23">
            <v>33.80962387056104</v>
          </cell>
          <cell r="BR23">
            <v>6270</v>
          </cell>
          <cell r="BS23">
            <v>1995</v>
          </cell>
          <cell r="BT23">
            <v>31.818181818181817</v>
          </cell>
          <cell r="BX23">
            <v>5725</v>
          </cell>
          <cell r="BY23">
            <v>1989</v>
          </cell>
          <cell r="BZ23">
            <v>34.742358078602621</v>
          </cell>
          <cell r="CD23">
            <v>6235</v>
          </cell>
          <cell r="CE23">
            <v>2114</v>
          </cell>
          <cell r="CF23">
            <v>33.905372894947874</v>
          </cell>
          <cell r="CJ23">
            <v>30352</v>
          </cell>
          <cell r="CK23">
            <v>9820</v>
          </cell>
          <cell r="CL23">
            <v>32.353716394306801</v>
          </cell>
          <cell r="CP23">
            <v>56950</v>
          </cell>
          <cell r="CQ23">
            <v>18125</v>
          </cell>
          <cell r="CR23">
            <v>31.826163301141353</v>
          </cell>
        </row>
        <row r="24">
          <cell r="L24">
            <v>0</v>
          </cell>
          <cell r="R24">
            <v>0</v>
          </cell>
          <cell r="X24">
            <v>0</v>
          </cell>
          <cell r="AD24">
            <v>0</v>
          </cell>
          <cell r="AJ24">
            <v>0</v>
          </cell>
          <cell r="AP24">
            <v>0</v>
          </cell>
          <cell r="AV24">
            <v>0</v>
          </cell>
          <cell r="BB24">
            <v>0</v>
          </cell>
          <cell r="BH24">
            <v>0</v>
          </cell>
          <cell r="BN24">
            <v>0</v>
          </cell>
          <cell r="BT24">
            <v>0</v>
          </cell>
          <cell r="BZ24">
            <v>0</v>
          </cell>
          <cell r="CF24">
            <v>0</v>
          </cell>
          <cell r="CL24">
            <v>0</v>
          </cell>
          <cell r="CR24">
            <v>0</v>
          </cell>
        </row>
      </sheetData>
      <sheetData sheetId="2"/>
      <sheetData sheetId="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Instructions"/>
      <sheetName val="Review-Approval Sheet"/>
      <sheetName val="Assessment Req'ts Planning"/>
      <sheetName val="Assessment Plan - Results"/>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Section Summary"/>
      <sheetName val="PCB Assessment Results "/>
      <sheetName val="PCB Assessment Questionaire"/>
      <sheetName val="FPC &amp; FPCA Cover Sheet"/>
      <sheetName val="FPC &amp; FPCA Assessment Results"/>
      <sheetName val="FPC &amp; FPCA Questionaire"/>
      <sheetName val="PSU Assessment Cover Sheet"/>
      <sheetName val="PSU Assessment Results"/>
      <sheetName val="PSU Assessment Questionaire"/>
      <sheetName val="Passives Cover Sheet"/>
      <sheetName val="Passives Assessment Results"/>
      <sheetName val="Passives Questionaire"/>
      <sheetName val="Connector Assessment Cover "/>
      <sheetName val="Connector Assessment Results"/>
      <sheetName val="Connector Questionaire"/>
      <sheetName val="Design Cover Sheet"/>
      <sheetName val="Design Assessment Results"/>
      <sheetName val="Design Questionaire"/>
      <sheetName val="Tooling Assessment Cover Sheet"/>
      <sheetName val="Tooling Assessment Results"/>
      <sheetName val="Tooling Questionnaire"/>
      <sheetName val="Service Suppliers Cover"/>
      <sheetName val="Service Supplier Results"/>
      <sheetName val="Service Supplier Questionaire"/>
      <sheetName val="Mechanicals Suppliers Cover"/>
      <sheetName val="Mechanicals Supplier Results"/>
      <sheetName val="Mechanicals Supplier Questionai"/>
      <sheetName val="Packaging Suppliers Cover"/>
      <sheetName val="Packaging Supplier Results"/>
      <sheetName val="Packaging Supplier Questionaire"/>
      <sheetName val="Supplier Development Plan"/>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1">
          <cell r="A1">
            <v>0</v>
          </cell>
          <cell r="I1">
            <v>1</v>
          </cell>
          <cell r="K1">
            <v>0</v>
          </cell>
          <cell r="M1">
            <v>1</v>
          </cell>
        </row>
        <row r="2">
          <cell r="A2">
            <v>1</v>
          </cell>
          <cell r="I2">
            <v>2</v>
          </cell>
          <cell r="K2">
            <v>1</v>
          </cell>
          <cell r="M2">
            <v>3</v>
          </cell>
        </row>
        <row r="3">
          <cell r="A3">
            <v>2</v>
          </cell>
          <cell r="I3">
            <v>3</v>
          </cell>
          <cell r="K3">
            <v>2</v>
          </cell>
        </row>
        <row r="4">
          <cell r="A4">
            <v>3</v>
          </cell>
          <cell r="K4">
            <v>3</v>
          </cell>
        </row>
        <row r="5">
          <cell r="A5" t="str">
            <v>NA</v>
          </cell>
        </row>
        <row r="9">
          <cell r="A9">
            <v>0</v>
          </cell>
          <cell r="K9">
            <v>0</v>
          </cell>
        </row>
        <row r="10">
          <cell r="A10">
            <v>1</v>
          </cell>
          <cell r="K10">
            <v>1</v>
          </cell>
        </row>
        <row r="11">
          <cell r="A11">
            <v>2</v>
          </cell>
          <cell r="K11">
            <v>2</v>
          </cell>
        </row>
        <row r="12">
          <cell r="A12">
            <v>3</v>
          </cell>
          <cell r="K12">
            <v>3</v>
          </cell>
        </row>
        <row r="13">
          <cell r="A13" t="str">
            <v>NA</v>
          </cell>
        </row>
        <row r="19">
          <cell r="A19" t="str">
            <v>Yes</v>
          </cell>
        </row>
        <row r="20">
          <cell r="A20" t="str">
            <v>No</v>
          </cell>
        </row>
        <row r="23">
          <cell r="A23" t="str">
            <v>On Site Follow Up Audit</v>
          </cell>
        </row>
        <row r="24">
          <cell r="A24" t="str">
            <v>Action/Evidence Review</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sheetData sheetId="1"/>
      <sheetData sheetId="2"/>
      <sheetData sheetId="3" refreshError="1">
        <row r="7">
          <cell r="D7" t="str">
            <v>MA060001AD</v>
          </cell>
          <cell r="E7" t="str">
            <v>2M3X BARREL ASSY-SHP</v>
          </cell>
          <cell r="F7">
            <v>1</v>
          </cell>
          <cell r="G7" t="str">
            <v>PC</v>
          </cell>
        </row>
        <row r="8">
          <cell r="D8" t="str">
            <v>Q0103006601A</v>
          </cell>
          <cell r="E8" t="str">
            <v>POLYOLEFIN RESIN[ZEO</v>
          </cell>
          <cell r="F8">
            <v>1.8E-3</v>
          </cell>
          <cell r="G8" t="str">
            <v>G</v>
          </cell>
        </row>
        <row r="9">
          <cell r="D9" t="str">
            <v>Q0474911601A</v>
          </cell>
          <cell r="E9" t="str">
            <v>TAP TITE SCREW</v>
          </cell>
          <cell r="F9">
            <v>6</v>
          </cell>
          <cell r="G9" t="str">
            <v>PC</v>
          </cell>
        </row>
        <row r="10">
          <cell r="D10" t="str">
            <v>Q0608000601A</v>
          </cell>
          <cell r="E10" t="str">
            <v>PHOTO INTERRUPTER-RP</v>
          </cell>
          <cell r="F10">
            <v>1</v>
          </cell>
          <cell r="G10" t="str">
            <v>PC</v>
          </cell>
        </row>
        <row r="11">
          <cell r="D11" t="str">
            <v>Q0608000701A</v>
          </cell>
          <cell r="E11" t="str">
            <v>PHOTO REFLECTOR-SEC2</v>
          </cell>
          <cell r="F11">
            <v>1</v>
          </cell>
          <cell r="G11" t="str">
            <v>PC</v>
          </cell>
        </row>
        <row r="12">
          <cell r="D12" t="str">
            <v>Q0608000901A</v>
          </cell>
          <cell r="E12" t="str">
            <v>PHOTO INTERRUPTER-SZ</v>
          </cell>
          <cell r="F12">
            <v>2</v>
          </cell>
          <cell r="G12" t="str">
            <v>PC</v>
          </cell>
        </row>
        <row r="13">
          <cell r="D13" t="str">
            <v>Q0950214401A</v>
          </cell>
          <cell r="E13" t="str">
            <v>BOND TAPE-A[]</v>
          </cell>
          <cell r="F13">
            <v>4</v>
          </cell>
          <cell r="G13" t="str">
            <v>PC</v>
          </cell>
        </row>
        <row r="14">
          <cell r="D14" t="str">
            <v>Q0960213901A</v>
          </cell>
          <cell r="E14" t="str">
            <v>BOND TAPE-C</v>
          </cell>
          <cell r="F14">
            <v>1</v>
          </cell>
          <cell r="G14" t="str">
            <v>PC</v>
          </cell>
        </row>
        <row r="15">
          <cell r="D15" t="str">
            <v>Q0961900101A</v>
          </cell>
          <cell r="E15" t="str">
            <v>SCREW</v>
          </cell>
          <cell r="F15">
            <v>10</v>
          </cell>
          <cell r="G15" t="str">
            <v>PC</v>
          </cell>
        </row>
        <row r="16">
          <cell r="D16" t="str">
            <v>Q0961900301B</v>
          </cell>
          <cell r="E16" t="str">
            <v>SCREW</v>
          </cell>
          <cell r="F16">
            <v>5</v>
          </cell>
          <cell r="G16" t="str">
            <v>PC</v>
          </cell>
        </row>
        <row r="17">
          <cell r="D17" t="str">
            <v>Q0980502501A</v>
          </cell>
          <cell r="E17" t="str">
            <v>FINDER TAPE[양면 TAP</v>
          </cell>
          <cell r="F17">
            <v>1</v>
          </cell>
          <cell r="G17" t="str">
            <v>PC</v>
          </cell>
        </row>
        <row r="18">
          <cell r="D18" t="str">
            <v>Q3107001401A</v>
          </cell>
          <cell r="E18" t="str">
            <v>ZOOM MOTOR-LPD10  SE</v>
          </cell>
          <cell r="F18">
            <v>1</v>
          </cell>
          <cell r="G18" t="str">
            <v>PC</v>
          </cell>
        </row>
        <row r="19">
          <cell r="D19" t="str">
            <v>Q3107001601A</v>
          </cell>
          <cell r="E19" t="str">
            <v>AF MOTOR-SEC 3M3X</v>
          </cell>
          <cell r="F19">
            <v>1</v>
          </cell>
          <cell r="G19" t="str">
            <v>PC</v>
          </cell>
        </row>
        <row r="20">
          <cell r="D20" t="str">
            <v>Q3107001901A</v>
          </cell>
          <cell r="E20" t="str">
            <v>AF MOTOR-SZC2327</v>
          </cell>
          <cell r="F20">
            <v>1</v>
          </cell>
          <cell r="G20" t="str">
            <v>PC</v>
          </cell>
        </row>
        <row r="21">
          <cell r="D21" t="str">
            <v>Q3107002001A</v>
          </cell>
          <cell r="E21" t="str">
            <v>ZOOM MOTOR-SZC2327</v>
          </cell>
          <cell r="F21">
            <v>1</v>
          </cell>
          <cell r="G21" t="str">
            <v>PC</v>
          </cell>
        </row>
        <row r="22">
          <cell r="D22" t="str">
            <v>Q4101024101A</v>
          </cell>
          <cell r="E22" t="str">
            <v>BARREL FPCB-DSC350SE</v>
          </cell>
          <cell r="F22">
            <v>1</v>
          </cell>
          <cell r="G22" t="str">
            <v>PC</v>
          </cell>
        </row>
        <row r="23">
          <cell r="D23" t="str">
            <v>Q4101024201A</v>
          </cell>
          <cell r="E23" t="str">
            <v>MAIN FPCB-SZC2327</v>
          </cell>
          <cell r="F23">
            <v>1</v>
          </cell>
          <cell r="G23" t="str">
            <v>PC</v>
          </cell>
        </row>
        <row r="24">
          <cell r="D24" t="str">
            <v>Q6001010601A</v>
          </cell>
          <cell r="E24" t="str">
            <v>SCREW</v>
          </cell>
          <cell r="F24">
            <v>1</v>
          </cell>
          <cell r="G24" t="str">
            <v>PC</v>
          </cell>
        </row>
        <row r="25">
          <cell r="D25" t="str">
            <v>Q6003027401A</v>
          </cell>
          <cell r="E25" t="str">
            <v>MECHA SCREW(D2.8xH0.</v>
          </cell>
          <cell r="F25">
            <v>7</v>
          </cell>
          <cell r="G25" t="str">
            <v>PC</v>
          </cell>
        </row>
        <row r="26">
          <cell r="D26" t="str">
            <v>Q6107035401A</v>
          </cell>
          <cell r="E26" t="str">
            <v>CLOSE SPRING</v>
          </cell>
          <cell r="F26">
            <v>2</v>
          </cell>
          <cell r="G26" t="str">
            <v>PC</v>
          </cell>
        </row>
        <row r="27">
          <cell r="D27" t="str">
            <v>Q6107043303A</v>
          </cell>
          <cell r="E27" t="str">
            <v>CO SPRING-SEC 2M3X</v>
          </cell>
          <cell r="F27">
            <v>2</v>
          </cell>
          <cell r="G27" t="str">
            <v>PC</v>
          </cell>
        </row>
        <row r="28">
          <cell r="D28" t="str">
            <v>Q6107043803A</v>
          </cell>
          <cell r="E28" t="str">
            <v>F CAM SPRING A-SEC3M</v>
          </cell>
          <cell r="F28">
            <v>1</v>
          </cell>
          <cell r="G28" t="str">
            <v>PC</v>
          </cell>
        </row>
        <row r="29">
          <cell r="D29" t="str">
            <v>Q6107043902A</v>
          </cell>
          <cell r="E29" t="str">
            <v>AF SPRING-SEC3M3X</v>
          </cell>
          <cell r="F29">
            <v>1</v>
          </cell>
          <cell r="G29" t="str">
            <v>PC</v>
          </cell>
        </row>
        <row r="30">
          <cell r="D30" t="str">
            <v>Q6107045802A</v>
          </cell>
          <cell r="E30" t="str">
            <v>BARRIER OPEN SPRING-</v>
          </cell>
          <cell r="F30">
            <v>1</v>
          </cell>
          <cell r="G30" t="str">
            <v>PC</v>
          </cell>
        </row>
        <row r="31">
          <cell r="D31" t="str">
            <v>Q6107047502A</v>
          </cell>
          <cell r="E31" t="str">
            <v>LIMIT SPRING-SX32</v>
          </cell>
          <cell r="F31">
            <v>1</v>
          </cell>
          <cell r="G31" t="str">
            <v>PC</v>
          </cell>
        </row>
        <row r="32">
          <cell r="D32" t="str">
            <v>Q6107049603A</v>
          </cell>
          <cell r="E32" t="str">
            <v>3rd LENS BARREL SPRI</v>
          </cell>
          <cell r="F32">
            <v>1</v>
          </cell>
          <cell r="G32" t="str">
            <v>PC</v>
          </cell>
        </row>
        <row r="33">
          <cell r="D33" t="str">
            <v>Q6711043201A</v>
          </cell>
          <cell r="E33" t="str">
            <v>G1 LENS-SEC3M3X</v>
          </cell>
          <cell r="F33">
            <v>1</v>
          </cell>
          <cell r="G33" t="str">
            <v>PC</v>
          </cell>
        </row>
        <row r="34">
          <cell r="D34" t="str">
            <v>Q6711043201AL</v>
          </cell>
          <cell r="E34" t="str">
            <v>G1 LENS MATERIAL-SEC</v>
          </cell>
          <cell r="F34">
            <v>1</v>
          </cell>
          <cell r="G34" t="str">
            <v>PC</v>
          </cell>
        </row>
        <row r="35">
          <cell r="D35" t="str">
            <v>Q6711043301A</v>
          </cell>
          <cell r="E35" t="str">
            <v>G3 LENS-SEC3M3X</v>
          </cell>
          <cell r="F35">
            <v>1</v>
          </cell>
          <cell r="G35" t="str">
            <v>PC</v>
          </cell>
        </row>
        <row r="36">
          <cell r="D36" t="str">
            <v>Q6711043301AL</v>
          </cell>
          <cell r="E36" t="str">
            <v>G3 LENS MATERIAL-SEC</v>
          </cell>
          <cell r="F36">
            <v>1</v>
          </cell>
          <cell r="G36" t="str">
            <v>PC</v>
          </cell>
        </row>
        <row r="37">
          <cell r="D37" t="str">
            <v>Q6711043401A</v>
          </cell>
          <cell r="E37" t="str">
            <v>G5 LENS-SEC3M3X</v>
          </cell>
          <cell r="F37">
            <v>1</v>
          </cell>
          <cell r="G37" t="str">
            <v>PC</v>
          </cell>
        </row>
        <row r="38">
          <cell r="D38" t="str">
            <v>Q6711043401AC</v>
          </cell>
          <cell r="E38" t="str">
            <v>G5 LENS CENTERING-SE</v>
          </cell>
          <cell r="F38">
            <v>1</v>
          </cell>
          <cell r="G38" t="str">
            <v>PC</v>
          </cell>
        </row>
        <row r="39">
          <cell r="D39" t="str">
            <v>Q6711043401AG</v>
          </cell>
          <cell r="E39" t="str">
            <v>G5 LENS GRINDING-SEC</v>
          </cell>
          <cell r="F39">
            <v>1</v>
          </cell>
          <cell r="G39" t="str">
            <v>PC</v>
          </cell>
        </row>
        <row r="40">
          <cell r="D40" t="str">
            <v>Q6711043401AL</v>
          </cell>
          <cell r="E40" t="str">
            <v>G5 LENS MATERIAL-SEC</v>
          </cell>
          <cell r="F40">
            <v>1</v>
          </cell>
          <cell r="G40" t="str">
            <v>PC</v>
          </cell>
        </row>
        <row r="41">
          <cell r="D41" t="str">
            <v>Q6711043501A</v>
          </cell>
          <cell r="E41" t="str">
            <v>G6 LENS-SEC3M3X</v>
          </cell>
          <cell r="F41">
            <v>1</v>
          </cell>
          <cell r="G41" t="str">
            <v>PC</v>
          </cell>
        </row>
        <row r="42">
          <cell r="D42" t="str">
            <v>Q6711043501AL</v>
          </cell>
          <cell r="E42" t="str">
            <v>G6 LENS MATERIAL-SEC</v>
          </cell>
          <cell r="F42">
            <v>1</v>
          </cell>
          <cell r="G42" t="str">
            <v>PC</v>
          </cell>
        </row>
        <row r="43">
          <cell r="D43" t="str">
            <v>Q6711043601A</v>
          </cell>
          <cell r="E43" t="str">
            <v>G7 LENS-SEC3M3X</v>
          </cell>
          <cell r="F43">
            <v>1</v>
          </cell>
          <cell r="G43" t="str">
            <v>PC</v>
          </cell>
        </row>
        <row r="44">
          <cell r="D44" t="str">
            <v>Q6711043601AC</v>
          </cell>
          <cell r="E44" t="str">
            <v>G7 LENS CENTERING-SE</v>
          </cell>
          <cell r="F44">
            <v>1</v>
          </cell>
          <cell r="G44" t="str">
            <v>PC</v>
          </cell>
        </row>
        <row r="45">
          <cell r="D45" t="str">
            <v>Q6711043601AG</v>
          </cell>
          <cell r="E45" t="str">
            <v>G7 LENS GRINDING-SEC</v>
          </cell>
          <cell r="F45">
            <v>1</v>
          </cell>
          <cell r="G45" t="str">
            <v>PC</v>
          </cell>
        </row>
        <row r="46">
          <cell r="D46" t="str">
            <v>Q6711043601AL</v>
          </cell>
          <cell r="E46" t="str">
            <v>G7 LENS MATERIAL-SEC</v>
          </cell>
          <cell r="F46">
            <v>1</v>
          </cell>
          <cell r="G46" t="str">
            <v>PC</v>
          </cell>
        </row>
        <row r="47">
          <cell r="D47" t="str">
            <v>Q6711043701A</v>
          </cell>
          <cell r="E47" t="str">
            <v>G8 LENS-SEC3M3X</v>
          </cell>
          <cell r="F47">
            <v>1</v>
          </cell>
          <cell r="G47" t="str">
            <v>PC</v>
          </cell>
        </row>
        <row r="48">
          <cell r="D48" t="str">
            <v>Q6711043701AL</v>
          </cell>
          <cell r="E48" t="str">
            <v>G8 LENS MATERIAL-SEC</v>
          </cell>
          <cell r="F48">
            <v>1</v>
          </cell>
          <cell r="G48" t="str">
            <v>PC</v>
          </cell>
        </row>
        <row r="49">
          <cell r="D49" t="str">
            <v>Q6712002301A</v>
          </cell>
          <cell r="E49" t="str">
            <v>G2 LENS-SEC 3M3X</v>
          </cell>
          <cell r="F49">
            <v>1</v>
          </cell>
          <cell r="G49" t="str">
            <v>PC</v>
          </cell>
        </row>
        <row r="50">
          <cell r="D50" t="str">
            <v>Q6712002401A</v>
          </cell>
          <cell r="E50" t="str">
            <v>G4 LENS-SEC 3M3X</v>
          </cell>
          <cell r="F50">
            <v>1</v>
          </cell>
          <cell r="G50" t="str">
            <v>PC</v>
          </cell>
        </row>
        <row r="51">
          <cell r="D51" t="str">
            <v>Q6721005903A</v>
          </cell>
          <cell r="E51" t="str">
            <v>OB LENS-SEC 2M3X</v>
          </cell>
          <cell r="F51">
            <v>1</v>
          </cell>
          <cell r="G51" t="str">
            <v>PC</v>
          </cell>
        </row>
        <row r="52">
          <cell r="D52" t="str">
            <v>Q6721006301A</v>
          </cell>
          <cell r="E52" t="str">
            <v>VARIATOR LENS-SEC3M3</v>
          </cell>
          <cell r="F52">
            <v>1</v>
          </cell>
          <cell r="G52" t="str">
            <v>PC</v>
          </cell>
        </row>
        <row r="53">
          <cell r="D53" t="str">
            <v>Q6721006401A</v>
          </cell>
          <cell r="E53" t="str">
            <v>COMPE LENS-SEC3M3X</v>
          </cell>
          <cell r="F53">
            <v>1</v>
          </cell>
          <cell r="G53" t="str">
            <v>PC</v>
          </cell>
        </row>
        <row r="54">
          <cell r="D54" t="str">
            <v>Q6721006501A</v>
          </cell>
          <cell r="E54" t="str">
            <v>EYEPIECE LENS A-SEC3</v>
          </cell>
          <cell r="F54">
            <v>1</v>
          </cell>
          <cell r="G54" t="str">
            <v>PC</v>
          </cell>
        </row>
        <row r="55">
          <cell r="D55" t="str">
            <v>Q6721006602A</v>
          </cell>
          <cell r="E55" t="str">
            <v>EYEPIECE LENS B-SEC3</v>
          </cell>
          <cell r="F55">
            <v>1</v>
          </cell>
          <cell r="G55" t="str">
            <v>PC</v>
          </cell>
        </row>
        <row r="56">
          <cell r="D56" t="str">
            <v>Q6726001601A</v>
          </cell>
          <cell r="E56" t="str">
            <v>DEVIATION PRISM-SEC</v>
          </cell>
          <cell r="F56">
            <v>1</v>
          </cell>
          <cell r="G56" t="str">
            <v>PC</v>
          </cell>
        </row>
        <row r="57">
          <cell r="D57" t="str">
            <v>Q6726001702A</v>
          </cell>
          <cell r="E57" t="str">
            <v>PRISM B-SEC 2M3X</v>
          </cell>
          <cell r="F57">
            <v>1</v>
          </cell>
          <cell r="G57" t="str">
            <v>PC</v>
          </cell>
        </row>
        <row r="58">
          <cell r="D58" t="str">
            <v>Q6734000201A</v>
          </cell>
          <cell r="E58" t="str">
            <v>SKY LIGHT FILTER-SZC</v>
          </cell>
          <cell r="F58">
            <v>1</v>
          </cell>
          <cell r="G58" t="str">
            <v>PC</v>
          </cell>
        </row>
        <row r="59">
          <cell r="D59" t="str">
            <v>Q6901165701A</v>
          </cell>
          <cell r="E59" t="str">
            <v>C/T BOX_SZA4318(1/90</v>
          </cell>
          <cell r="F59">
            <v>1.112E-2</v>
          </cell>
          <cell r="G59" t="str">
            <v>MPC</v>
          </cell>
        </row>
        <row r="60">
          <cell r="D60" t="str">
            <v>Q6901165801A</v>
          </cell>
          <cell r="E60" t="str">
            <v>TRAY BASE_SZA4318</v>
          </cell>
          <cell r="F60">
            <v>3.3340000000000002E-2</v>
          </cell>
          <cell r="G60" t="str">
            <v>MPC</v>
          </cell>
        </row>
        <row r="61">
          <cell r="D61" t="str">
            <v>Q6901168501A</v>
          </cell>
          <cell r="E61" t="str">
            <v>TRAY COVER_SZA4318</v>
          </cell>
          <cell r="F61">
            <v>3.3340000000000002E-2</v>
          </cell>
          <cell r="G61" t="str">
            <v>MPC</v>
          </cell>
        </row>
        <row r="62">
          <cell r="D62" t="str">
            <v>Q6909010401A</v>
          </cell>
          <cell r="E62" t="str">
            <v>SEC 3M3X-PE BAG</v>
          </cell>
          <cell r="F62">
            <v>1</v>
          </cell>
          <cell r="G62" t="str">
            <v>PC</v>
          </cell>
        </row>
        <row r="63">
          <cell r="D63" t="str">
            <v>Q6909011301A</v>
          </cell>
          <cell r="E63" t="str">
            <v>PE BAG_SZA4318(1/90E</v>
          </cell>
          <cell r="F63">
            <v>1.112E-2</v>
          </cell>
          <cell r="G63" t="str">
            <v>MPC</v>
          </cell>
        </row>
        <row r="64">
          <cell r="D64" t="str">
            <v>Q7012065602A</v>
          </cell>
          <cell r="E64" t="str">
            <v>PUSH PLATE-SEC3M3X</v>
          </cell>
          <cell r="F64">
            <v>1</v>
          </cell>
          <cell r="G64" t="str">
            <v>PC</v>
          </cell>
        </row>
        <row r="65">
          <cell r="D65" t="str">
            <v>Q7012065704C</v>
          </cell>
          <cell r="E65" t="str">
            <v>PCB GUIDER-SEC3M3X</v>
          </cell>
          <cell r="F65">
            <v>1</v>
          </cell>
          <cell r="G65" t="str">
            <v>PC</v>
          </cell>
        </row>
        <row r="66">
          <cell r="D66" t="str">
            <v>Q7012065901A</v>
          </cell>
          <cell r="E66" t="str">
            <v>PI PRESSURE-SEC3M3X</v>
          </cell>
          <cell r="F66">
            <v>1</v>
          </cell>
          <cell r="G66" t="str">
            <v>PC</v>
          </cell>
        </row>
        <row r="67">
          <cell r="D67" t="str">
            <v>Q7012068702B</v>
          </cell>
          <cell r="E67" t="str">
            <v>RESSURE SPRING-SX32</v>
          </cell>
          <cell r="F67">
            <v>3</v>
          </cell>
          <cell r="G67" t="str">
            <v>PC</v>
          </cell>
        </row>
        <row r="68">
          <cell r="D68" t="str">
            <v>Q7012070502A</v>
          </cell>
          <cell r="E68" t="str">
            <v>FPCB GUIDER-SZC2327</v>
          </cell>
          <cell r="F68">
            <v>1</v>
          </cell>
          <cell r="G68" t="str">
            <v>PC</v>
          </cell>
        </row>
        <row r="69">
          <cell r="D69" t="str">
            <v>Q7012070901A</v>
          </cell>
          <cell r="E69" t="str">
            <v>PLATE SHIELD-DSC350S</v>
          </cell>
          <cell r="F69">
            <v>1</v>
          </cell>
          <cell r="G69" t="str">
            <v>PC</v>
          </cell>
        </row>
        <row r="70">
          <cell r="D70" t="str">
            <v>Q7012071001A</v>
          </cell>
          <cell r="E70" t="str">
            <v>G6 SHIELD-DSC350SE</v>
          </cell>
          <cell r="F70">
            <v>1</v>
          </cell>
          <cell r="G70" t="str">
            <v>PC</v>
          </cell>
        </row>
        <row r="71">
          <cell r="D71" t="str">
            <v>Q7012072601A</v>
          </cell>
          <cell r="E71" t="str">
            <v>AF CLIP-SZC2327</v>
          </cell>
          <cell r="F71">
            <v>1</v>
          </cell>
          <cell r="G71" t="str">
            <v>PC</v>
          </cell>
        </row>
        <row r="72">
          <cell r="D72" t="str">
            <v>Q7013012201A</v>
          </cell>
          <cell r="E72" t="str">
            <v>OB HOLDER-SEC 2M3X</v>
          </cell>
          <cell r="F72">
            <v>1</v>
          </cell>
          <cell r="G72" t="str">
            <v>PC</v>
          </cell>
        </row>
        <row r="73">
          <cell r="D73" t="str">
            <v>Q7013012402A</v>
          </cell>
          <cell r="E73" t="str">
            <v>FINDER MASK-SEC 2M3X</v>
          </cell>
          <cell r="F73">
            <v>1</v>
          </cell>
          <cell r="G73" t="str">
            <v>PC</v>
          </cell>
        </row>
        <row r="74">
          <cell r="D74" t="str">
            <v>Q7013012501A</v>
          </cell>
          <cell r="E74" t="str">
            <v>VA MASK-SEC3M3X</v>
          </cell>
          <cell r="F74">
            <v>1</v>
          </cell>
          <cell r="G74" t="str">
            <v>PC</v>
          </cell>
        </row>
        <row r="75">
          <cell r="D75" t="str">
            <v>Q7212140504A</v>
          </cell>
          <cell r="E75" t="str">
            <v>1ST LENS BARREL-SEC3</v>
          </cell>
          <cell r="F75">
            <v>1</v>
          </cell>
          <cell r="G75" t="str">
            <v>PC</v>
          </cell>
        </row>
        <row r="76">
          <cell r="D76" t="str">
            <v>Q7212140606A</v>
          </cell>
          <cell r="E76" t="str">
            <v>2ND LENS BARREL-SEC3</v>
          </cell>
          <cell r="F76">
            <v>1</v>
          </cell>
          <cell r="G76" t="str">
            <v>PC</v>
          </cell>
        </row>
        <row r="77">
          <cell r="D77" t="str">
            <v>Q7212140702A</v>
          </cell>
          <cell r="E77" t="str">
            <v>3RD LENS BARREL-SEC3</v>
          </cell>
          <cell r="F77">
            <v>1</v>
          </cell>
          <cell r="G77" t="str">
            <v>PC</v>
          </cell>
        </row>
        <row r="78">
          <cell r="D78" t="str">
            <v>Q7212140805A</v>
          </cell>
          <cell r="E78" t="str">
            <v>ZOOM RING-SEC3M3X</v>
          </cell>
          <cell r="F78">
            <v>1</v>
          </cell>
          <cell r="G78" t="str">
            <v>PC</v>
          </cell>
        </row>
        <row r="79">
          <cell r="D79" t="str">
            <v>Q7212140903A</v>
          </cell>
          <cell r="E79" t="str">
            <v>CAM BARREL-SEC3M3X</v>
          </cell>
          <cell r="F79">
            <v>1</v>
          </cell>
          <cell r="G79" t="str">
            <v>PC</v>
          </cell>
        </row>
        <row r="80">
          <cell r="D80" t="str">
            <v>Q7212141003A</v>
          </cell>
          <cell r="E80" t="str">
            <v>GUIDE BARREL-SEC3M3X</v>
          </cell>
          <cell r="F80">
            <v>1</v>
          </cell>
          <cell r="G80" t="str">
            <v>PC</v>
          </cell>
        </row>
        <row r="81">
          <cell r="D81" t="str">
            <v>Q7212141103B</v>
          </cell>
          <cell r="E81" t="str">
            <v>GUIDE PLATE-SEC3M3X</v>
          </cell>
          <cell r="F81">
            <v>1</v>
          </cell>
          <cell r="G81" t="str">
            <v>PC</v>
          </cell>
        </row>
        <row r="82">
          <cell r="D82" t="str">
            <v>Q7212141303A</v>
          </cell>
          <cell r="E82" t="str">
            <v>AF GUIDE HOLDER-SEC3</v>
          </cell>
          <cell r="F82">
            <v>1</v>
          </cell>
          <cell r="G82" t="str">
            <v>PC</v>
          </cell>
        </row>
        <row r="83">
          <cell r="D83" t="str">
            <v>Q7212141402A</v>
          </cell>
          <cell r="E83" t="str">
            <v>FRONT PANEL-SEC3M3X</v>
          </cell>
          <cell r="F83">
            <v>1</v>
          </cell>
          <cell r="G83" t="str">
            <v>PC</v>
          </cell>
        </row>
        <row r="84">
          <cell r="D84" t="str">
            <v>Q7212141502A</v>
          </cell>
          <cell r="E84" t="str">
            <v>BARRIER BASE-SEC3M3X</v>
          </cell>
          <cell r="F84">
            <v>1</v>
          </cell>
          <cell r="G84" t="str">
            <v>PC</v>
          </cell>
        </row>
        <row r="85">
          <cell r="D85" t="str">
            <v>Q7212141602A</v>
          </cell>
          <cell r="E85" t="str">
            <v>BARRIER A-SEC3M3X</v>
          </cell>
          <cell r="F85">
            <v>1</v>
          </cell>
          <cell r="G85" t="str">
            <v>PC</v>
          </cell>
        </row>
        <row r="86">
          <cell r="D86" t="str">
            <v>Q7212141702A</v>
          </cell>
          <cell r="E86" t="str">
            <v>BARRIER B-SEC3M3X</v>
          </cell>
          <cell r="F86">
            <v>1</v>
          </cell>
          <cell r="G86" t="str">
            <v>PC</v>
          </cell>
        </row>
        <row r="87">
          <cell r="D87" t="str">
            <v>Q7212141803A</v>
          </cell>
          <cell r="E87" t="str">
            <v>BARRIER C-SEC3M3X</v>
          </cell>
          <cell r="F87">
            <v>2</v>
          </cell>
          <cell r="G87" t="str">
            <v>PC</v>
          </cell>
        </row>
        <row r="88">
          <cell r="D88" t="str">
            <v>Q7212141902A</v>
          </cell>
          <cell r="E88" t="str">
            <v>BARRIER LEVER-SEC3M3</v>
          </cell>
          <cell r="F88">
            <v>1</v>
          </cell>
          <cell r="G88" t="str">
            <v>PC</v>
          </cell>
        </row>
        <row r="89">
          <cell r="D89" t="str">
            <v>Q7212142101A</v>
          </cell>
          <cell r="E89" t="str">
            <v>ZOOM GEAR F-SEC3M3X</v>
          </cell>
          <cell r="F89">
            <v>1</v>
          </cell>
          <cell r="G89" t="str">
            <v>PC</v>
          </cell>
        </row>
        <row r="90">
          <cell r="D90" t="str">
            <v>Q7212149102A</v>
          </cell>
          <cell r="E90" t="str">
            <v>LENS BASE-DSC350SE</v>
          </cell>
          <cell r="F90">
            <v>1</v>
          </cell>
          <cell r="G90" t="str">
            <v>PC</v>
          </cell>
        </row>
        <row r="91">
          <cell r="D91" t="str">
            <v>Q7212149201A</v>
          </cell>
          <cell r="E91" t="str">
            <v>ZOOM COVER-DSC350SE</v>
          </cell>
          <cell r="F91">
            <v>1</v>
          </cell>
          <cell r="G91" t="str">
            <v>PC</v>
          </cell>
        </row>
        <row r="92">
          <cell r="D92" t="str">
            <v>Q7212149301A</v>
          </cell>
          <cell r="E92" t="str">
            <v>PI CAP-DSC350SE</v>
          </cell>
          <cell r="F92">
            <v>1</v>
          </cell>
          <cell r="G92" t="str">
            <v>PC</v>
          </cell>
        </row>
        <row r="93">
          <cell r="D93" t="str">
            <v>Q7212149401A</v>
          </cell>
          <cell r="E93" t="str">
            <v>ZOOM GEAR A-DSC350SE</v>
          </cell>
          <cell r="F93">
            <v>1</v>
          </cell>
          <cell r="G93" t="str">
            <v>PC</v>
          </cell>
        </row>
        <row r="94">
          <cell r="D94" t="str">
            <v>Q7212149501A</v>
          </cell>
          <cell r="E94" t="str">
            <v>ZOOM MOTOR GEAR-DSC3</v>
          </cell>
          <cell r="F94">
            <v>1</v>
          </cell>
          <cell r="G94" t="str">
            <v>PC</v>
          </cell>
        </row>
        <row r="95">
          <cell r="D95" t="str">
            <v>Q7212152901A</v>
          </cell>
          <cell r="E95" t="str">
            <v>ZOOM GEAR B-DSC350SE</v>
          </cell>
          <cell r="F95">
            <v>4</v>
          </cell>
          <cell r="G95" t="str">
            <v>PC</v>
          </cell>
        </row>
        <row r="96">
          <cell r="D96" t="str">
            <v>Q7212153001A</v>
          </cell>
          <cell r="E96" t="str">
            <v>ZOOM GEAR C-DSC350SE</v>
          </cell>
          <cell r="F96">
            <v>1</v>
          </cell>
          <cell r="G96" t="str">
            <v>PC</v>
          </cell>
        </row>
        <row r="97">
          <cell r="D97" t="str">
            <v>Q7212153102A</v>
          </cell>
          <cell r="E97" t="str">
            <v>ZOOM GEAR D-DSC350SE</v>
          </cell>
          <cell r="F97">
            <v>1</v>
          </cell>
          <cell r="G97" t="str">
            <v>PC</v>
          </cell>
        </row>
        <row r="98">
          <cell r="D98" t="str">
            <v>Q7212160001A</v>
          </cell>
          <cell r="E98" t="str">
            <v>ZOOM MOTOR GEAR-SZA4</v>
          </cell>
          <cell r="F98">
            <v>1</v>
          </cell>
          <cell r="G98" t="str">
            <v>PC</v>
          </cell>
        </row>
        <row r="99">
          <cell r="D99" t="str">
            <v>Q7212160101A</v>
          </cell>
          <cell r="E99" t="str">
            <v>ZOOM GEAR_A-SZA4318</v>
          </cell>
          <cell r="F99">
            <v>1</v>
          </cell>
          <cell r="G99" t="str">
            <v>PC</v>
          </cell>
        </row>
        <row r="100">
          <cell r="D100" t="str">
            <v>Q7212160203A</v>
          </cell>
          <cell r="E100" t="str">
            <v>FRONT PANEL-SZA4318</v>
          </cell>
          <cell r="F100">
            <v>1</v>
          </cell>
          <cell r="G100" t="str">
            <v>PC</v>
          </cell>
        </row>
        <row r="101">
          <cell r="D101" t="str">
            <v>Q7212160602B</v>
          </cell>
          <cell r="E101" t="str">
            <v>ZOOM GEAR_E-SZA4318</v>
          </cell>
          <cell r="F101">
            <v>2</v>
          </cell>
          <cell r="G101" t="str">
            <v>PC</v>
          </cell>
        </row>
        <row r="102">
          <cell r="D102" t="str">
            <v>Q7212161103A</v>
          </cell>
          <cell r="E102" t="str">
            <v>ZOOM RING-SZC2327</v>
          </cell>
          <cell r="F102">
            <v>1</v>
          </cell>
          <cell r="G102" t="str">
            <v>PC</v>
          </cell>
        </row>
        <row r="103">
          <cell r="D103" t="str">
            <v>Q7212161201A</v>
          </cell>
          <cell r="E103" t="str">
            <v>GUIDE BARREL-SZC2327</v>
          </cell>
          <cell r="F103">
            <v>1</v>
          </cell>
          <cell r="G103" t="str">
            <v>PC</v>
          </cell>
        </row>
        <row r="104">
          <cell r="D104" t="str">
            <v>Q7212161302A</v>
          </cell>
          <cell r="E104" t="str">
            <v>CAM BARREL-SZC2327</v>
          </cell>
          <cell r="F104">
            <v>1</v>
          </cell>
          <cell r="G104" t="str">
            <v>PC</v>
          </cell>
        </row>
        <row r="105">
          <cell r="D105" t="str">
            <v>Q7212161403A</v>
          </cell>
          <cell r="E105" t="str">
            <v>LENS BASE-SZC2327</v>
          </cell>
          <cell r="F105">
            <v>1</v>
          </cell>
          <cell r="G105" t="str">
            <v>PC</v>
          </cell>
        </row>
        <row r="106">
          <cell r="D106" t="str">
            <v>Q7212161501A</v>
          </cell>
          <cell r="E106" t="str">
            <v>AF HOLDER-SZC2327</v>
          </cell>
          <cell r="F106">
            <v>1</v>
          </cell>
          <cell r="G106" t="str">
            <v>PC</v>
          </cell>
        </row>
        <row r="107">
          <cell r="D107" t="str">
            <v>Q7212161602A</v>
          </cell>
          <cell r="E107" t="str">
            <v>AF MOTOR GEAR-SZC232</v>
          </cell>
          <cell r="F107">
            <v>2</v>
          </cell>
          <cell r="G107" t="str">
            <v>PC</v>
          </cell>
        </row>
        <row r="108">
          <cell r="D108" t="str">
            <v>Q7212161702A</v>
          </cell>
          <cell r="E108" t="str">
            <v>FOCUS GEAR-SZC2327</v>
          </cell>
          <cell r="F108">
            <v>1</v>
          </cell>
          <cell r="G108" t="str">
            <v>PC</v>
          </cell>
        </row>
        <row r="109">
          <cell r="D109" t="str">
            <v>Q7212161901A</v>
          </cell>
          <cell r="E109" t="str">
            <v>FOCUS GEAR COVER-SZC</v>
          </cell>
          <cell r="F109">
            <v>1</v>
          </cell>
          <cell r="G109" t="str">
            <v>PC</v>
          </cell>
        </row>
        <row r="110">
          <cell r="D110" t="str">
            <v>Q7212162101A</v>
          </cell>
          <cell r="E110" t="str">
            <v>ZOOM GEAR COVER-SZC2</v>
          </cell>
          <cell r="F110">
            <v>1</v>
          </cell>
          <cell r="G110" t="str">
            <v>PC</v>
          </cell>
        </row>
        <row r="111">
          <cell r="D111" t="str">
            <v>Q7213027001A</v>
          </cell>
          <cell r="E111" t="str">
            <v>FINDER COVER-SEC 2M3</v>
          </cell>
          <cell r="F111">
            <v>1</v>
          </cell>
          <cell r="G111" t="str">
            <v>PC</v>
          </cell>
        </row>
        <row r="112">
          <cell r="D112" t="str">
            <v>Q7213027102A</v>
          </cell>
          <cell r="E112" t="str">
            <v>FINDER BASE-SEC3M3X</v>
          </cell>
          <cell r="F112">
            <v>1</v>
          </cell>
          <cell r="G112" t="str">
            <v>PC</v>
          </cell>
        </row>
        <row r="113">
          <cell r="D113" t="str">
            <v>Q7213027203A</v>
          </cell>
          <cell r="E113" t="str">
            <v>EP HOLDER-SEC3M3X</v>
          </cell>
          <cell r="F113">
            <v>1</v>
          </cell>
          <cell r="G113" t="str">
            <v>PC</v>
          </cell>
        </row>
        <row r="114">
          <cell r="D114" t="str">
            <v>Q7213027303A</v>
          </cell>
          <cell r="E114" t="str">
            <v>FINDER CAM-SEC3M3X</v>
          </cell>
          <cell r="F114">
            <v>1</v>
          </cell>
          <cell r="G114" t="str">
            <v>PC</v>
          </cell>
        </row>
        <row r="115">
          <cell r="D115" t="str">
            <v>Q7409033901A</v>
          </cell>
          <cell r="E115" t="str">
            <v>LCD WINDOW TAPE[양면</v>
          </cell>
          <cell r="F115">
            <v>1</v>
          </cell>
          <cell r="G115" t="str">
            <v>PC</v>
          </cell>
        </row>
        <row r="116">
          <cell r="D116" t="str">
            <v>Q7409044001A</v>
          </cell>
          <cell r="E116" t="str">
            <v>TAPE-F[절연 TAPE(T=0</v>
          </cell>
          <cell r="F116">
            <v>1</v>
          </cell>
          <cell r="G116" t="str">
            <v>PC</v>
          </cell>
        </row>
        <row r="117">
          <cell r="D117" t="str">
            <v>Q7409100101A</v>
          </cell>
          <cell r="E117" t="str">
            <v>F TAPE A-IP5X</v>
          </cell>
          <cell r="F117">
            <v>3</v>
          </cell>
          <cell r="G117" t="str">
            <v>PC</v>
          </cell>
        </row>
        <row r="118">
          <cell r="D118" t="str">
            <v>Q7409109501A</v>
          </cell>
          <cell r="E118" t="str">
            <v>SHIELD B-SEC 3M3X</v>
          </cell>
          <cell r="F118">
            <v>1</v>
          </cell>
          <cell r="G118" t="str">
            <v>PC</v>
          </cell>
        </row>
        <row r="119">
          <cell r="D119" t="str">
            <v>Q7409109901A</v>
          </cell>
          <cell r="E119" t="str">
            <v>FRONT PANEL TAPE-SEC</v>
          </cell>
          <cell r="F119">
            <v>2</v>
          </cell>
          <cell r="G119" t="str">
            <v>PC</v>
          </cell>
        </row>
        <row r="120">
          <cell r="D120" t="str">
            <v>Q7409110002A</v>
          </cell>
          <cell r="E120" t="str">
            <v>GUIDE BARREL SHIELD-</v>
          </cell>
          <cell r="F120">
            <v>1</v>
          </cell>
          <cell r="G120" t="str">
            <v>PC</v>
          </cell>
        </row>
        <row r="121">
          <cell r="D121" t="str">
            <v>Q7409110101A</v>
          </cell>
          <cell r="E121" t="str">
            <v>CAM BARREL SHIELD-SE</v>
          </cell>
          <cell r="F121">
            <v>1</v>
          </cell>
          <cell r="G121" t="str">
            <v>PC</v>
          </cell>
        </row>
        <row r="122">
          <cell r="D122" t="str">
            <v>Q7409110803B</v>
          </cell>
          <cell r="E122" t="str">
            <v>P.I REFLECTOR-SEC2M3</v>
          </cell>
          <cell r="F122">
            <v>1</v>
          </cell>
          <cell r="G122" t="str">
            <v>PC</v>
          </cell>
        </row>
        <row r="123">
          <cell r="D123" t="str">
            <v>Q7409117901A</v>
          </cell>
          <cell r="E123" t="str">
            <v>2nd SHIELD-SX32</v>
          </cell>
          <cell r="F123">
            <v>1</v>
          </cell>
          <cell r="G123" t="str">
            <v>PC</v>
          </cell>
        </row>
        <row r="124">
          <cell r="D124" t="str">
            <v>Q7409119101A</v>
          </cell>
          <cell r="E124" t="str">
            <v>2nd SHIELD B-SX32</v>
          </cell>
          <cell r="F124">
            <v>1</v>
          </cell>
          <cell r="G124" t="str">
            <v>PC</v>
          </cell>
        </row>
        <row r="125">
          <cell r="D125" t="str">
            <v>Q7409119201A</v>
          </cell>
          <cell r="E125" t="str">
            <v>SHIELD TAPE-SX32</v>
          </cell>
          <cell r="F125">
            <v>4</v>
          </cell>
          <cell r="G125" t="str">
            <v>PC</v>
          </cell>
        </row>
        <row r="126">
          <cell r="D126" t="str">
            <v>Q7409120701A</v>
          </cell>
          <cell r="E126" t="str">
            <v>F PCB TAPE-SX32</v>
          </cell>
          <cell r="F126">
            <v>1</v>
          </cell>
          <cell r="G126" t="str">
            <v>PC</v>
          </cell>
        </row>
        <row r="127">
          <cell r="D127" t="str">
            <v>Q7409122002A</v>
          </cell>
          <cell r="E127" t="str">
            <v>OUTER BARREL SHIELD-</v>
          </cell>
          <cell r="F127">
            <v>1</v>
          </cell>
          <cell r="G127" t="str">
            <v>PC</v>
          </cell>
        </row>
        <row r="128">
          <cell r="D128" t="str">
            <v>Q7409123301A</v>
          </cell>
          <cell r="E128" t="str">
            <v>FPCB-SUPPORT-SZC-232</v>
          </cell>
          <cell r="F128">
            <v>1</v>
          </cell>
          <cell r="G128" t="str">
            <v>PC</v>
          </cell>
        </row>
        <row r="129">
          <cell r="D129" t="str">
            <v>Q7411072601A</v>
          </cell>
          <cell r="E129" t="str">
            <v>AF THREAD</v>
          </cell>
          <cell r="F129">
            <v>1</v>
          </cell>
          <cell r="G129" t="str">
            <v>PC</v>
          </cell>
        </row>
        <row r="130">
          <cell r="D130" t="str">
            <v>Q7411078801A</v>
          </cell>
          <cell r="E130" t="str">
            <v>AF GUIDE SHAFT A-SEC</v>
          </cell>
          <cell r="F130">
            <v>1</v>
          </cell>
          <cell r="G130" t="str">
            <v>PC</v>
          </cell>
        </row>
        <row r="131">
          <cell r="D131" t="str">
            <v>Q7411079102A</v>
          </cell>
          <cell r="E131" t="str">
            <v>FINDER SHAFT-SEC 2M3</v>
          </cell>
          <cell r="F131">
            <v>2</v>
          </cell>
          <cell r="G131" t="str">
            <v>PC</v>
          </cell>
        </row>
        <row r="132">
          <cell r="D132" t="str">
            <v>Q7411080704B</v>
          </cell>
          <cell r="E132" t="str">
            <v>SPACER-A SEC3M3X</v>
          </cell>
          <cell r="F132">
            <v>1</v>
          </cell>
          <cell r="G132" t="str">
            <v>PC</v>
          </cell>
        </row>
        <row r="133">
          <cell r="D133" t="str">
            <v>Q7411080902A</v>
          </cell>
          <cell r="E133" t="str">
            <v>IDLE GEAR SHAFT-SEC3</v>
          </cell>
          <cell r="F133">
            <v>1</v>
          </cell>
          <cell r="G133" t="str">
            <v>PC</v>
          </cell>
        </row>
        <row r="134">
          <cell r="D134" t="str">
            <v>Q7411081002A</v>
          </cell>
          <cell r="E134" t="str">
            <v>ZOOM GEAR BAR A-SEC3</v>
          </cell>
          <cell r="F134">
            <v>2</v>
          </cell>
          <cell r="G134" t="str">
            <v>PC</v>
          </cell>
        </row>
        <row r="135">
          <cell r="D135" t="str">
            <v>Q7411081102A</v>
          </cell>
          <cell r="E135" t="str">
            <v>ZOOM GEAR BAR B-SEC3</v>
          </cell>
          <cell r="F135">
            <v>2</v>
          </cell>
          <cell r="G135" t="str">
            <v>PC</v>
          </cell>
        </row>
        <row r="136">
          <cell r="D136" t="str">
            <v>Q7411081201A</v>
          </cell>
          <cell r="E136" t="str">
            <v>ZOOM GEAR BAR C-SEC3</v>
          </cell>
          <cell r="F136">
            <v>2</v>
          </cell>
          <cell r="G136" t="str">
            <v>PC</v>
          </cell>
        </row>
        <row r="137">
          <cell r="D137" t="str">
            <v>Q7411081301A</v>
          </cell>
          <cell r="E137" t="str">
            <v>AF GUIDE SHAFT B-SEC</v>
          </cell>
          <cell r="F137">
            <v>1</v>
          </cell>
          <cell r="G137" t="str">
            <v>PC</v>
          </cell>
        </row>
        <row r="138">
          <cell r="D138" t="str">
            <v>Q7411082701A</v>
          </cell>
          <cell r="E138" t="str">
            <v>GEAR PIN-DSC350SE</v>
          </cell>
          <cell r="F138">
            <v>6</v>
          </cell>
          <cell r="G138" t="str">
            <v>PC</v>
          </cell>
        </row>
        <row r="139">
          <cell r="D139" t="str">
            <v>Q7411084102A</v>
          </cell>
          <cell r="E139" t="str">
            <v>SLIP RING-SX32</v>
          </cell>
          <cell r="F139">
            <v>1</v>
          </cell>
          <cell r="G139" t="str">
            <v>PC</v>
          </cell>
        </row>
        <row r="140">
          <cell r="D140" t="str">
            <v>Q7411085601A</v>
          </cell>
          <cell r="E140" t="str">
            <v>ZOOM GEAR_B-SZA4318</v>
          </cell>
          <cell r="F140">
            <v>1</v>
          </cell>
          <cell r="G140" t="str">
            <v>PC</v>
          </cell>
        </row>
        <row r="141">
          <cell r="D141" t="str">
            <v>Q7411085702A</v>
          </cell>
          <cell r="E141" t="str">
            <v>ZOOM GEAR_C-SZA4318</v>
          </cell>
          <cell r="F141">
            <v>1</v>
          </cell>
          <cell r="G141" t="str">
            <v>PC</v>
          </cell>
        </row>
        <row r="142">
          <cell r="D142" t="str">
            <v>Q7411085801A</v>
          </cell>
          <cell r="E142" t="str">
            <v>ZOOM GEAR_D-SZA4318</v>
          </cell>
          <cell r="F142">
            <v>1</v>
          </cell>
          <cell r="G142" t="str">
            <v>PC</v>
          </cell>
        </row>
        <row r="143">
          <cell r="D143" t="str">
            <v>Q7411085902A</v>
          </cell>
          <cell r="E143" t="str">
            <v>ZOOM GEAR_A SHAFT-SZ</v>
          </cell>
          <cell r="F143">
            <v>1</v>
          </cell>
          <cell r="G143" t="str">
            <v>PC</v>
          </cell>
        </row>
        <row r="144">
          <cell r="D144" t="str">
            <v>Q7411089101A</v>
          </cell>
          <cell r="E144" t="str">
            <v>FOCUS SHAFT-SZC2327</v>
          </cell>
          <cell r="F144">
            <v>2</v>
          </cell>
          <cell r="G144" t="str">
            <v>PC</v>
          </cell>
        </row>
        <row r="145">
          <cell r="D145" t="str">
            <v>Q7411089401A</v>
          </cell>
          <cell r="E145" t="str">
            <v>OUTER BARREL RING-SZ</v>
          </cell>
          <cell r="F145">
            <v>1</v>
          </cell>
          <cell r="G145" t="str">
            <v>PC</v>
          </cell>
        </row>
        <row r="146">
          <cell r="D146" t="str">
            <v>Q7411090001B</v>
          </cell>
          <cell r="E146" t="str">
            <v>ZOOM GEAR_C SHAFT-SZ</v>
          </cell>
          <cell r="F146">
            <v>2</v>
          </cell>
          <cell r="G146" t="str">
            <v>PC</v>
          </cell>
        </row>
      </sheetData>
      <sheetData sheetId="4"/>
      <sheetData sheetId="5"/>
      <sheetData sheetId="6" refreshError="1">
        <row r="4">
          <cell r="A4" t="str">
            <v>Q9008048501A</v>
          </cell>
          <cell r="B4" t="str">
            <v>CCD FPCB ASSY-DSC350</v>
          </cell>
        </row>
        <row r="5">
          <cell r="A5" t="str">
            <v>Q9008048601A</v>
          </cell>
          <cell r="B5" t="str">
            <v>POWER PCB ASSY-DSC35</v>
          </cell>
        </row>
        <row r="6">
          <cell r="A6" t="str">
            <v>Q9008048801A</v>
          </cell>
          <cell r="B6" t="str">
            <v>MAIN PCB ASSY-DSC350</v>
          </cell>
        </row>
        <row r="7">
          <cell r="A7" t="str">
            <v>Q9008049001A</v>
          </cell>
          <cell r="B7" t="str">
            <v>STROBO PCB ASSY-DSC3</v>
          </cell>
        </row>
        <row r="8">
          <cell r="A8" t="str">
            <v>Q9007174901A</v>
          </cell>
          <cell r="B8" t="str">
            <v>BACK COVER ASSY-DSC3</v>
          </cell>
        </row>
      </sheetData>
      <sheetData sheetId="7"/>
      <sheetData sheetId="8"/>
      <sheetData sheetId="9"/>
      <sheetData sheetId="10"/>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 val="_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심사대상종합(계획)"/>
      <sheetName val="웹게이트"/>
      <sheetName val="씨아이즈"/>
      <sheetName val="원우"/>
      <sheetName val="맑은기술"/>
      <sheetName val="IDIS"/>
      <sheetName val="HS Networks"/>
      <sheetName val="사전점검결과"/>
      <sheetName val="사전점검결과(최종)"/>
      <sheetName val="'12년 협력업체 QPA 사전 점검 결과_전체_12030"/>
    </sheetNames>
    <definedNames>
      <definedName name="경통1" refersTo="#REF!"/>
      <definedName name="경통2" refersTo="#REF!"/>
      <definedName name="ㄴㄴ" refersTo="#REF!"/>
      <definedName name="it" refersTo="#REF!"/>
      <definedName name="lll" refersTo="#REF!"/>
      <definedName name="NORM" refersTo="#REF!"/>
      <definedName name="sssss" refersTo="#REF!"/>
      <definedName name="WOST" refersTo="#REF!"/>
    </defined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August"/>
      <sheetName val="September"/>
      <sheetName val="October"/>
      <sheetName val="Sheet1"/>
      <sheetName val="November"/>
      <sheetName val="December"/>
      <sheetName val="January"/>
      <sheetName val="February"/>
      <sheetName val="Data Summary - Do Not Use"/>
    </sheetNames>
    <sheetDataSet>
      <sheetData sheetId="0">
        <row r="4">
          <cell r="B4" t="str">
            <v>Identification &amp; Pre-Assessment</v>
          </cell>
        </row>
        <row r="5">
          <cell r="B5" t="str">
            <v>Development &amp; Contract Negotiations</v>
          </cell>
        </row>
        <row r="6">
          <cell r="B6" t="str">
            <v>Pre-Audit &amp; Audit</v>
          </cell>
        </row>
        <row r="7">
          <cell r="B7" t="str">
            <v>RFQ Support</v>
          </cell>
        </row>
        <row r="8">
          <cell r="B8" t="str">
            <v>Tooling or Design Support</v>
          </cell>
        </row>
        <row r="9">
          <cell r="B9" t="str">
            <v>Samples or First Articles</v>
          </cell>
        </row>
        <row r="10">
          <cell r="B10" t="str">
            <v>Quality Issue</v>
          </cell>
        </row>
        <row r="11">
          <cell r="B11" t="str">
            <v>Escalations &amp; Others</v>
          </cell>
        </row>
        <row r="12">
          <cell r="B12" t="str">
            <v>Cost Negotiations</v>
          </cell>
        </row>
        <row r="13">
          <cell r="B13" t="str">
            <v>Customer Meeting</v>
          </cell>
        </row>
      </sheetData>
      <sheetData sheetId="1"/>
      <sheetData sheetId="2"/>
      <sheetData sheetId="3"/>
      <sheetData sheetId="4"/>
      <sheetData sheetId="5"/>
      <sheetData sheetId="6"/>
      <sheetData sheetId="7"/>
      <sheetData sheetId="8"/>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Assessment Req'ts Planning"/>
      <sheetName val="Assessment Plan - Results"/>
      <sheetName val="Supplier Self Assessment"/>
      <sheetName val="PCB Self Assessment"/>
      <sheetName val="Pre-Assessment Cover Sheet"/>
      <sheetName val="Pre-Assessment Results"/>
      <sheetName val="Pre-Assessment Section Scores"/>
      <sheetName val="Pre-Assessment Questionaire"/>
      <sheetName val="Systems Assessment Cover Sheet"/>
      <sheetName val="Systems Assessment Results"/>
      <sheetName val="Assessment Section Scores"/>
      <sheetName val="Systems Assessment Questionaire"/>
      <sheetName val="PCB Assessment Cover Sheet"/>
      <sheetName val="PCB Assessment Results"/>
      <sheetName val="PCB Assessment Questionaire"/>
      <sheetName val="Passives Cover Sheet"/>
      <sheetName val="Passives Assessment Results"/>
      <sheetName val="Passives Questionaire"/>
      <sheetName val="Connector Assessment Cover "/>
      <sheetName val="Connector Assessment Results"/>
      <sheetName val="Connector Questionaire"/>
      <sheetName val="Custom Mechanical Results"/>
      <sheetName val="Custom Mechanical Questionaire"/>
      <sheetName val="Design Cover Sheet"/>
      <sheetName val="Design Assessment Results"/>
      <sheetName val="Design Questionnaire"/>
      <sheetName val="Tooling Assessment Results"/>
      <sheetName val="Tooling Questionnaire"/>
      <sheetName val="Supplier Development Plan"/>
      <sheetName val="Data Summary - Do Not Use"/>
      <sheetName val="Data Summary _ Do Not Use"/>
      <sheetName val="Sheet7"/>
      <sheetName val="No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10">
          <cell r="A10" t="str">
            <v>Pre-Assessment</v>
          </cell>
          <cell r="E10">
            <v>2</v>
          </cell>
        </row>
        <row r="11">
          <cell r="E11">
            <v>1</v>
          </cell>
        </row>
        <row r="12">
          <cell r="E12">
            <v>0</v>
          </cell>
        </row>
      </sheetData>
      <sheetData sheetId="31"/>
      <sheetData sheetId="32" refreshError="1"/>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jection Molding"/>
      <sheetName val="Inj Molding Results"/>
      <sheetName val="Sheet1"/>
      <sheetName val="Inj Mold Findings"/>
      <sheetName val="Inj Molding Action Plan"/>
      <sheetName val="Power Supply"/>
      <sheetName val="Power Supply Results "/>
      <sheetName val="Power Supply Findings"/>
      <sheetName val="Power Supply Action Plan"/>
      <sheetName val="Injection Molding OSA Template "/>
    </sheetNames>
    <sheetDataSet>
      <sheetData sheetId="0"/>
      <sheetData sheetId="1"/>
      <sheetData sheetId="2">
        <row r="1">
          <cell r="A1">
            <v>0</v>
          </cell>
          <cell r="B1">
            <v>0</v>
          </cell>
        </row>
        <row r="2">
          <cell r="A2">
            <v>1</v>
          </cell>
          <cell r="B2">
            <v>1</v>
          </cell>
        </row>
        <row r="3">
          <cell r="A3">
            <v>2</v>
          </cell>
          <cell r="B3">
            <v>2</v>
          </cell>
        </row>
        <row r="4">
          <cell r="A4">
            <v>3</v>
          </cell>
          <cell r="B4">
            <v>3</v>
          </cell>
        </row>
        <row r="5">
          <cell r="A5" t="str">
            <v>N/A</v>
          </cell>
        </row>
      </sheetData>
      <sheetData sheetId="3"/>
      <sheetData sheetId="4"/>
      <sheetData sheetId="5"/>
      <sheetData sheetId="6"/>
      <sheetData sheetId="7"/>
      <sheetData sheetId="8"/>
      <sheetData sheetId="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 val="재료비"/>
      <sheetName val="외주가공비"/>
      <sheetName val="BOM LIST 정리"/>
      <sheetName val="BOM LIST"/>
      <sheetName val="입고단가 LIST"/>
      <sheetName val="기준정보"/>
      <sheetName val="Sheet3"/>
      <sheetName val="JPY차이"/>
      <sheetName val="KRW차이"/>
      <sheetName val="Sheet2"/>
      <sheetName val="Sheet1"/>
    </sheetNames>
    <sheetDataSet>
      <sheetData sheetId="0" refreshError="1"/>
      <sheetData sheetId="1"/>
      <sheetData sheetId="2" refreshError="1"/>
      <sheetData sheetId="3"/>
      <sheetData sheetId="4" refreshError="1"/>
      <sheetData sheetId="5" refreshError="1">
        <row r="6">
          <cell r="B6" t="str">
            <v>CG1601</v>
          </cell>
          <cell r="C6" t="str">
            <v>Digimax 350SE(APGYK)</v>
          </cell>
          <cell r="D6" t="str">
            <v>E</v>
          </cell>
          <cell r="F6">
            <v>0</v>
          </cell>
          <cell r="J6">
            <v>0</v>
          </cell>
        </row>
        <row r="7">
          <cell r="B7" t="str">
            <v>CG1601D</v>
          </cell>
          <cell r="C7" t="str">
            <v>Digimax 350SE(APGYK)</v>
          </cell>
          <cell r="D7" t="str">
            <v>E</v>
          </cell>
          <cell r="E7">
            <v>50</v>
          </cell>
          <cell r="F7">
            <v>0</v>
          </cell>
          <cell r="J7">
            <v>0</v>
          </cell>
        </row>
        <row r="8">
          <cell r="B8" t="str">
            <v>Q0401001201A</v>
          </cell>
          <cell r="C8" t="str">
            <v>CHIP DIODE[KDS160-RTK]</v>
          </cell>
          <cell r="D8" t="str">
            <v>F</v>
          </cell>
          <cell r="F8">
            <v>34</v>
          </cell>
          <cell r="G8" t="str">
            <v>KRW</v>
          </cell>
          <cell r="H8" t="str">
            <v>C53</v>
          </cell>
          <cell r="I8" t="str">
            <v>(주)케이이씨구미</v>
          </cell>
          <cell r="J8">
            <v>0</v>
          </cell>
        </row>
        <row r="9">
          <cell r="B9" t="str">
            <v>Q0403001601A</v>
          </cell>
          <cell r="C9" t="str">
            <v>DIODE-KDS160E(ESC)</v>
          </cell>
          <cell r="D9" t="str">
            <v>F</v>
          </cell>
          <cell r="F9">
            <v>0</v>
          </cell>
          <cell r="H9" t="str">
            <v>C22</v>
          </cell>
          <cell r="J9">
            <v>0</v>
          </cell>
        </row>
        <row r="10">
          <cell r="B10" t="str">
            <v>Q0403001701A</v>
          </cell>
          <cell r="C10" t="str">
            <v>DIODE SCHOTTKY-RB050(PMDS)</v>
          </cell>
          <cell r="D10" t="str">
            <v>F</v>
          </cell>
          <cell r="F10">
            <v>0</v>
          </cell>
          <cell r="H10" t="str">
            <v>C22</v>
          </cell>
          <cell r="J10">
            <v>0</v>
          </cell>
        </row>
        <row r="11">
          <cell r="B11" t="str">
            <v>Q0403001801A</v>
          </cell>
          <cell r="C11" t="str">
            <v>DIODE ZENER-KDZ2.7V(USC)</v>
          </cell>
          <cell r="D11" t="str">
            <v>F</v>
          </cell>
          <cell r="F11">
            <v>0</v>
          </cell>
          <cell r="H11" t="str">
            <v>C22</v>
          </cell>
          <cell r="J11">
            <v>0</v>
          </cell>
        </row>
        <row r="12">
          <cell r="B12" t="str">
            <v>Q0403001901A</v>
          </cell>
          <cell r="C12" t="str">
            <v>DIODE ZENER-KDZ4.3V(USC)/UDZ 4.3B</v>
          </cell>
          <cell r="D12" t="str">
            <v>F</v>
          </cell>
          <cell r="F12">
            <v>26</v>
          </cell>
          <cell r="G12" t="str">
            <v>KRW</v>
          </cell>
          <cell r="H12" t="str">
            <v>C22</v>
          </cell>
          <cell r="I12" t="str">
            <v>(주)로옴전자코리</v>
          </cell>
          <cell r="J12">
            <v>0</v>
          </cell>
        </row>
        <row r="13">
          <cell r="B13" t="str">
            <v>Q0403002001A</v>
          </cell>
          <cell r="C13" t="str">
            <v>DIODE SCHOTTKY-M1FH3</v>
          </cell>
          <cell r="D13" t="str">
            <v>F</v>
          </cell>
          <cell r="F13">
            <v>0</v>
          </cell>
          <cell r="H13" t="str">
            <v>C22</v>
          </cell>
          <cell r="J13">
            <v>0</v>
          </cell>
        </row>
        <row r="14">
          <cell r="B14" t="str">
            <v>Q0403002101A</v>
          </cell>
          <cell r="C14" t="str">
            <v>DIODE ZENER-UDZ15B</v>
          </cell>
          <cell r="D14" t="str">
            <v>F</v>
          </cell>
          <cell r="F14">
            <v>0</v>
          </cell>
          <cell r="H14" t="str">
            <v>C22</v>
          </cell>
          <cell r="J14">
            <v>0</v>
          </cell>
        </row>
        <row r="15">
          <cell r="B15" t="str">
            <v>Q0404000901A</v>
          </cell>
          <cell r="C15" t="str">
            <v>DIODE SCHOTTKY-RB501V-40TE-17</v>
          </cell>
          <cell r="D15" t="str">
            <v>F</v>
          </cell>
          <cell r="F15">
            <v>56</v>
          </cell>
          <cell r="G15" t="str">
            <v>KRW</v>
          </cell>
          <cell r="H15" t="str">
            <v>C56</v>
          </cell>
          <cell r="I15" t="str">
            <v>(주)로옴전자코리</v>
          </cell>
          <cell r="J15">
            <v>0</v>
          </cell>
        </row>
        <row r="16">
          <cell r="B16" t="str">
            <v>Q0404001101A</v>
          </cell>
          <cell r="C16" t="str">
            <v>DIODE SCHOTTKY-RB060</v>
          </cell>
          <cell r="D16" t="str">
            <v>F</v>
          </cell>
          <cell r="F16">
            <v>155</v>
          </cell>
          <cell r="G16" t="str">
            <v>KRW</v>
          </cell>
          <cell r="H16" t="str">
            <v>C56</v>
          </cell>
          <cell r="I16" t="str">
            <v>(주)로옴전자코리</v>
          </cell>
          <cell r="J16">
            <v>0</v>
          </cell>
        </row>
        <row r="17">
          <cell r="B17" t="str">
            <v>Q0407000501A</v>
          </cell>
          <cell r="C17" t="str">
            <v>ULTRA MINI MOLD DIODE 6PIN[UMP11NTN]</v>
          </cell>
          <cell r="D17" t="str">
            <v>F</v>
          </cell>
          <cell r="F17">
            <v>59</v>
          </cell>
          <cell r="G17" t="str">
            <v>KRW</v>
          </cell>
          <cell r="H17" t="str">
            <v>C56</v>
          </cell>
          <cell r="I17" t="str">
            <v>(주)로옴전자코리</v>
          </cell>
          <cell r="J17">
            <v>0</v>
          </cell>
        </row>
        <row r="18">
          <cell r="B18" t="str">
            <v>Q0501007101A</v>
          </cell>
          <cell r="C18" t="str">
            <v>CHIP BRT[DTC114YUA]</v>
          </cell>
          <cell r="D18" t="str">
            <v>F</v>
          </cell>
          <cell r="F18">
            <v>28</v>
          </cell>
          <cell r="G18" t="str">
            <v>KRW</v>
          </cell>
          <cell r="H18" t="str">
            <v>C56</v>
          </cell>
          <cell r="I18" t="str">
            <v>(주)로옴전자코리</v>
          </cell>
          <cell r="J18">
            <v>0</v>
          </cell>
        </row>
        <row r="19">
          <cell r="B19" t="str">
            <v>Q0501007201A</v>
          </cell>
          <cell r="C19" t="str">
            <v>CHIP BRT[DTA114YUA]</v>
          </cell>
          <cell r="D19" t="str">
            <v>F</v>
          </cell>
          <cell r="F19">
            <v>29</v>
          </cell>
          <cell r="G19" t="str">
            <v>KRW</v>
          </cell>
          <cell r="H19" t="str">
            <v>C56</v>
          </cell>
          <cell r="I19" t="str">
            <v>(주)로옴전자코리</v>
          </cell>
          <cell r="J19">
            <v>0</v>
          </cell>
        </row>
        <row r="20">
          <cell r="B20" t="str">
            <v>Q0501008901A</v>
          </cell>
          <cell r="C20" t="str">
            <v>CHIP TR-UMT2907</v>
          </cell>
          <cell r="D20" t="str">
            <v>F</v>
          </cell>
          <cell r="F20">
            <v>34</v>
          </cell>
          <cell r="G20" t="str">
            <v>KRW</v>
          </cell>
          <cell r="H20" t="str">
            <v>C56</v>
          </cell>
          <cell r="I20" t="str">
            <v>(주)로옴전자코리</v>
          </cell>
          <cell r="J20">
            <v>0</v>
          </cell>
        </row>
        <row r="21">
          <cell r="B21" t="str">
            <v>Q0501009001A</v>
          </cell>
          <cell r="C21" t="str">
            <v>CHIP TR-UMT3904</v>
          </cell>
          <cell r="D21" t="str">
            <v>F</v>
          </cell>
          <cell r="F21">
            <v>31</v>
          </cell>
          <cell r="G21" t="str">
            <v>KRW</v>
          </cell>
          <cell r="H21" t="str">
            <v>C56</v>
          </cell>
          <cell r="I21" t="str">
            <v>(주)로옴전자코리</v>
          </cell>
          <cell r="J21">
            <v>0</v>
          </cell>
        </row>
        <row r="22">
          <cell r="B22" t="str">
            <v>Q0501009101A</v>
          </cell>
          <cell r="C22" t="str">
            <v>CHIP TR-UMC2N</v>
          </cell>
          <cell r="D22" t="str">
            <v>F</v>
          </cell>
          <cell r="F22">
            <v>53</v>
          </cell>
          <cell r="G22" t="str">
            <v>KRW</v>
          </cell>
          <cell r="H22" t="str">
            <v>C56</v>
          </cell>
          <cell r="I22" t="str">
            <v>(주)로옴전자코리</v>
          </cell>
          <cell r="J22">
            <v>0</v>
          </cell>
        </row>
        <row r="23">
          <cell r="B23" t="str">
            <v>Q0501009701A</v>
          </cell>
          <cell r="C23" t="str">
            <v>CHIP TRANSISTOR-DSC350SE</v>
          </cell>
          <cell r="D23" t="str">
            <v>F</v>
          </cell>
          <cell r="F23">
            <v>0</v>
          </cell>
          <cell r="H23" t="str">
            <v>C22</v>
          </cell>
          <cell r="J23">
            <v>0</v>
          </cell>
        </row>
        <row r="24">
          <cell r="B24" t="str">
            <v>Q0501010201A</v>
          </cell>
          <cell r="C24" t="str">
            <v>CHIP BRT-KRC407E/DTC114YE(EMT)</v>
          </cell>
          <cell r="D24" t="str">
            <v>F</v>
          </cell>
          <cell r="F24">
            <v>23</v>
          </cell>
          <cell r="G24" t="str">
            <v>KRW</v>
          </cell>
          <cell r="H24" t="str">
            <v>C22</v>
          </cell>
          <cell r="I24" t="str">
            <v>(주)로옴전자코리</v>
          </cell>
          <cell r="J24">
            <v>0</v>
          </cell>
        </row>
        <row r="25">
          <cell r="B25" t="str">
            <v>Q0501010301A</v>
          </cell>
          <cell r="C25" t="str">
            <v>CHIP BRT-KRC404E/DTC144EE(EMT)</v>
          </cell>
          <cell r="D25" t="str">
            <v>F</v>
          </cell>
          <cell r="F25">
            <v>23</v>
          </cell>
          <cell r="G25" t="str">
            <v>KRW</v>
          </cell>
          <cell r="H25" t="str">
            <v>C22</v>
          </cell>
          <cell r="I25" t="str">
            <v>(주)로옴전자코리</v>
          </cell>
          <cell r="J25">
            <v>0</v>
          </cell>
        </row>
        <row r="26">
          <cell r="B26" t="str">
            <v>Q0501010401A</v>
          </cell>
          <cell r="C26" t="str">
            <v>CHIP TRANSISTOR-2SA1774</v>
          </cell>
          <cell r="D26" t="str">
            <v>F</v>
          </cell>
          <cell r="F26">
            <v>21</v>
          </cell>
          <cell r="G26" t="str">
            <v>KRW</v>
          </cell>
          <cell r="H26" t="str">
            <v>C22</v>
          </cell>
          <cell r="I26" t="str">
            <v>(주)로옴전자코리</v>
          </cell>
          <cell r="J26">
            <v>0</v>
          </cell>
        </row>
        <row r="27">
          <cell r="B27" t="str">
            <v>Q0501010501A</v>
          </cell>
          <cell r="C27" t="str">
            <v>CHIP TRANSISTOR-KTC4082(UMT3)</v>
          </cell>
          <cell r="D27" t="str">
            <v>F</v>
          </cell>
          <cell r="F27">
            <v>0</v>
          </cell>
          <cell r="H27" t="str">
            <v>C22</v>
          </cell>
          <cell r="J27">
            <v>0</v>
          </cell>
        </row>
        <row r="28">
          <cell r="B28" t="str">
            <v>Q0501010601A</v>
          </cell>
          <cell r="C28" t="str">
            <v>CHIP TRANSISTOR-UMY1N(UMT5)</v>
          </cell>
          <cell r="D28" t="str">
            <v>F</v>
          </cell>
          <cell r="F28">
            <v>52</v>
          </cell>
          <cell r="G28" t="str">
            <v>KRW</v>
          </cell>
          <cell r="H28" t="str">
            <v>C22</v>
          </cell>
          <cell r="I28" t="str">
            <v>(주)로옴전자코리</v>
          </cell>
          <cell r="J28">
            <v>0</v>
          </cell>
        </row>
        <row r="29">
          <cell r="B29" t="str">
            <v>Q0504000201A</v>
          </cell>
          <cell r="C29" t="str">
            <v>CHIP BRT-DTC144EUA</v>
          </cell>
          <cell r="D29" t="str">
            <v>F</v>
          </cell>
          <cell r="F29">
            <v>29</v>
          </cell>
          <cell r="G29" t="str">
            <v>KRW</v>
          </cell>
          <cell r="H29" t="str">
            <v>C56</v>
          </cell>
          <cell r="I29" t="str">
            <v>(주)로옴전자코리</v>
          </cell>
          <cell r="J29">
            <v>0</v>
          </cell>
        </row>
        <row r="30">
          <cell r="B30" t="str">
            <v>Q0505000901A</v>
          </cell>
          <cell r="C30" t="str">
            <v>CHIP FET[2SK2867]</v>
          </cell>
          <cell r="D30" t="str">
            <v>F</v>
          </cell>
          <cell r="F30">
            <v>183</v>
          </cell>
          <cell r="G30" t="str">
            <v>KRW</v>
          </cell>
          <cell r="H30" t="str">
            <v>C53</v>
          </cell>
          <cell r="I30" t="str">
            <v>(주)유니온</v>
          </cell>
          <cell r="J30">
            <v>0</v>
          </cell>
        </row>
        <row r="31">
          <cell r="B31" t="str">
            <v>Q0505001001A</v>
          </cell>
          <cell r="C31" t="str">
            <v>CHIP TR-SI2305</v>
          </cell>
          <cell r="D31" t="str">
            <v>F</v>
          </cell>
          <cell r="F31">
            <v>0.2</v>
          </cell>
          <cell r="G31" t="str">
            <v>USD</v>
          </cell>
          <cell r="H31" t="str">
            <v>V02</v>
          </cell>
          <cell r="I31" t="str">
            <v>TEMIC(S) PTE LTD</v>
          </cell>
          <cell r="J31">
            <v>0</v>
          </cell>
        </row>
        <row r="32">
          <cell r="B32" t="str">
            <v>Q0505001201A</v>
          </cell>
          <cell r="C32" t="str">
            <v>MOSFET-DSC350SE</v>
          </cell>
          <cell r="D32" t="str">
            <v>F</v>
          </cell>
          <cell r="F32">
            <v>0</v>
          </cell>
          <cell r="H32" t="str">
            <v>C26</v>
          </cell>
          <cell r="J32">
            <v>0</v>
          </cell>
        </row>
        <row r="33">
          <cell r="B33" t="str">
            <v>Q0505001301A</v>
          </cell>
          <cell r="C33" t="str">
            <v>MOSFET-XP161(SOT89)</v>
          </cell>
          <cell r="D33" t="str">
            <v>F</v>
          </cell>
          <cell r="F33">
            <v>220</v>
          </cell>
          <cell r="G33" t="str">
            <v>KRW</v>
          </cell>
          <cell r="H33" t="str">
            <v>C22</v>
          </cell>
          <cell r="I33" t="str">
            <v>(주)아이에스티</v>
          </cell>
          <cell r="J33">
            <v>0</v>
          </cell>
        </row>
        <row r="34">
          <cell r="B34" t="str">
            <v>Q0505001401A</v>
          </cell>
          <cell r="C34" t="str">
            <v>MOSFET-XP162(SOT89)</v>
          </cell>
          <cell r="D34" t="str">
            <v>F</v>
          </cell>
          <cell r="F34">
            <v>220</v>
          </cell>
          <cell r="G34" t="str">
            <v>KRW</v>
          </cell>
          <cell r="H34" t="str">
            <v>C22</v>
          </cell>
          <cell r="I34" t="str">
            <v>(주)아이에스티</v>
          </cell>
          <cell r="J34">
            <v>0</v>
          </cell>
        </row>
        <row r="35">
          <cell r="B35" t="str">
            <v>Q0506001101A</v>
          </cell>
          <cell r="C35" t="str">
            <v>CHIP TR-UMZ1N</v>
          </cell>
          <cell r="D35" t="str">
            <v>F</v>
          </cell>
          <cell r="F35">
            <v>48</v>
          </cell>
          <cell r="G35" t="str">
            <v>KRW</v>
          </cell>
          <cell r="H35" t="str">
            <v>C56</v>
          </cell>
          <cell r="I35" t="str">
            <v>(주)로옴전자코리</v>
          </cell>
          <cell r="J35">
            <v>0</v>
          </cell>
        </row>
        <row r="36">
          <cell r="B36" t="str">
            <v>Q0506001201A</v>
          </cell>
          <cell r="C36" t="str">
            <v>ARRAY VARISTOR-V18MLN41206L/AVNC18S06Q</v>
          </cell>
          <cell r="D36" t="str">
            <v>F</v>
          </cell>
          <cell r="F36">
            <v>0</v>
          </cell>
          <cell r="H36" t="str">
            <v>C22</v>
          </cell>
          <cell r="J36">
            <v>0</v>
          </cell>
        </row>
        <row r="37">
          <cell r="B37" t="str">
            <v>Q0506001301A</v>
          </cell>
          <cell r="C37" t="str">
            <v>VARISTOR-V0402MHS03</v>
          </cell>
          <cell r="D37" t="str">
            <v>F</v>
          </cell>
          <cell r="F37">
            <v>0</v>
          </cell>
          <cell r="J37">
            <v>0</v>
          </cell>
        </row>
        <row r="38">
          <cell r="B38" t="str">
            <v>Q0509000601A</v>
          </cell>
          <cell r="C38" t="str">
            <v>PHOTO TR-ST_1CL3H</v>
          </cell>
          <cell r="D38" t="str">
            <v>F</v>
          </cell>
          <cell r="F38">
            <v>215</v>
          </cell>
          <cell r="G38" t="str">
            <v>KRW</v>
          </cell>
          <cell r="H38" t="str">
            <v>C22</v>
          </cell>
          <cell r="I38" t="str">
            <v>(주)아이에스티</v>
          </cell>
          <cell r="J38">
            <v>0</v>
          </cell>
        </row>
        <row r="39">
          <cell r="B39" t="str">
            <v>Q0601002401A</v>
          </cell>
          <cell r="C39" t="str">
            <v>AF LED</v>
          </cell>
          <cell r="D39" t="str">
            <v>F</v>
          </cell>
          <cell r="F39">
            <v>66</v>
          </cell>
          <cell r="G39" t="str">
            <v>KRW</v>
          </cell>
          <cell r="H39" t="str">
            <v>C50</v>
          </cell>
          <cell r="I39" t="str">
            <v>(주)유니온</v>
          </cell>
          <cell r="J39">
            <v>0</v>
          </cell>
        </row>
        <row r="40">
          <cell r="B40" t="str">
            <v>Q0601002501A</v>
          </cell>
          <cell r="C40" t="str">
            <v>SB LED</v>
          </cell>
          <cell r="D40" t="str">
            <v>F</v>
          </cell>
          <cell r="F40">
            <v>5</v>
          </cell>
          <cell r="G40" t="str">
            <v>JPY</v>
          </cell>
          <cell r="H40" t="str">
            <v>C50</v>
          </cell>
          <cell r="I40" t="str">
            <v>STANLEY</v>
          </cell>
          <cell r="J40">
            <v>0</v>
          </cell>
        </row>
        <row r="41">
          <cell r="B41" t="str">
            <v>Q0601004301A</v>
          </cell>
          <cell r="C41" t="str">
            <v>SELF LED-WR3311_V</v>
          </cell>
          <cell r="D41" t="str">
            <v>F</v>
          </cell>
          <cell r="F41">
            <v>65</v>
          </cell>
          <cell r="G41" t="str">
            <v>KRW</v>
          </cell>
          <cell r="H41" t="str">
            <v>C22</v>
          </cell>
          <cell r="I41" t="str">
            <v>(주)아이에스티</v>
          </cell>
          <cell r="J41">
            <v>0</v>
          </cell>
        </row>
        <row r="42">
          <cell r="B42" t="str">
            <v>Q0604000701A</v>
          </cell>
          <cell r="C42" t="str">
            <v>CCD_ICX252AQF-DSC350SE</v>
          </cell>
          <cell r="D42" t="str">
            <v>F</v>
          </cell>
          <cell r="F42">
            <v>24.3</v>
          </cell>
          <cell r="G42" t="str">
            <v>USD</v>
          </cell>
          <cell r="H42" t="str">
            <v>C91</v>
          </cell>
          <cell r="I42" t="str">
            <v>한국유에스씨전자</v>
          </cell>
          <cell r="J42">
            <v>0</v>
          </cell>
        </row>
        <row r="43">
          <cell r="B43" t="str">
            <v>Q0611002801A</v>
          </cell>
          <cell r="C43" t="str">
            <v>XE TUBE-DSC350SE</v>
          </cell>
          <cell r="D43" t="str">
            <v>F</v>
          </cell>
          <cell r="F43">
            <v>0.34</v>
          </cell>
          <cell r="G43" t="str">
            <v>USD</v>
          </cell>
          <cell r="H43" t="str">
            <v>C26</v>
          </cell>
          <cell r="I43" t="str">
            <v>PERKINELMER OPTO</v>
          </cell>
          <cell r="J43">
            <v>0</v>
          </cell>
        </row>
        <row r="44">
          <cell r="B44" t="str">
            <v>Q0704007801A</v>
          </cell>
          <cell r="C44" t="str">
            <v>LCD DRIVER-DSC350SE</v>
          </cell>
          <cell r="D44" t="str">
            <v>F</v>
          </cell>
          <cell r="F44">
            <v>3.1</v>
          </cell>
          <cell r="G44" t="str">
            <v>USD</v>
          </cell>
          <cell r="H44" t="str">
            <v>C91</v>
          </cell>
          <cell r="I44" t="str">
            <v>한국유에스씨전자</v>
          </cell>
          <cell r="J44">
            <v>0</v>
          </cell>
        </row>
        <row r="45">
          <cell r="B45" t="str">
            <v>Q0704007901A</v>
          </cell>
          <cell r="C45" t="str">
            <v>TFT LCD-DSC350SE</v>
          </cell>
          <cell r="D45" t="str">
            <v>F</v>
          </cell>
          <cell r="F45">
            <v>2500</v>
          </cell>
          <cell r="G45" t="str">
            <v>JPY</v>
          </cell>
          <cell r="H45" t="str">
            <v>C91</v>
          </cell>
          <cell r="I45" t="str">
            <v>USC CORP.</v>
          </cell>
          <cell r="J45">
            <v>0</v>
          </cell>
        </row>
        <row r="46">
          <cell r="B46" t="str">
            <v>Q0803000401A</v>
          </cell>
          <cell r="C46" t="str">
            <v>NOT GATE-TC7S04FU-TE85R/KIC7S04FU-RTK</v>
          </cell>
          <cell r="D46" t="str">
            <v>F</v>
          </cell>
          <cell r="F46">
            <v>110</v>
          </cell>
          <cell r="G46" t="str">
            <v>KRW</v>
          </cell>
          <cell r="H46" t="str">
            <v>C26</v>
          </cell>
          <cell r="I46" t="str">
            <v>(주)케이이씨구미</v>
          </cell>
          <cell r="J46">
            <v>0</v>
          </cell>
        </row>
        <row r="47">
          <cell r="B47" t="str">
            <v>Q0803000501A</v>
          </cell>
          <cell r="C47" t="str">
            <v>AND GATE-TC7S08FU-TE85R/KIC7S08FU-RTK</v>
          </cell>
          <cell r="D47" t="str">
            <v>F</v>
          </cell>
          <cell r="F47">
            <v>0.06</v>
          </cell>
          <cell r="G47" t="str">
            <v>USD</v>
          </cell>
          <cell r="H47" t="str">
            <v>C26</v>
          </cell>
          <cell r="I47" t="str">
            <v>ST Microelectron</v>
          </cell>
          <cell r="J47">
            <v>0</v>
          </cell>
        </row>
        <row r="48">
          <cell r="B48" t="str">
            <v>Q0803000601A</v>
          </cell>
          <cell r="C48" t="str">
            <v>OR GATE-TC7S32FU-TE85R/KIC7W32FU-RTK</v>
          </cell>
          <cell r="D48" t="str">
            <v>F</v>
          </cell>
          <cell r="F48">
            <v>0.06</v>
          </cell>
          <cell r="G48" t="str">
            <v>USD</v>
          </cell>
          <cell r="H48" t="str">
            <v>C26</v>
          </cell>
          <cell r="I48" t="str">
            <v>ST Microelectron</v>
          </cell>
          <cell r="J48">
            <v>0</v>
          </cell>
        </row>
        <row r="49">
          <cell r="B49" t="str">
            <v>Q0803000701A</v>
          </cell>
          <cell r="C49" t="str">
            <v>DUAL OR GATE-TC7W32FU-TE12L/KIC7W32-T1</v>
          </cell>
          <cell r="D49" t="str">
            <v>F</v>
          </cell>
          <cell r="F49">
            <v>219</v>
          </cell>
          <cell r="G49" t="str">
            <v>KRW</v>
          </cell>
          <cell r="H49" t="str">
            <v>C56</v>
          </cell>
          <cell r="I49" t="str">
            <v>(주)케이이씨구미</v>
          </cell>
          <cell r="J49">
            <v>0</v>
          </cell>
        </row>
        <row r="50">
          <cell r="B50" t="str">
            <v>Q0803000801A</v>
          </cell>
          <cell r="C50" t="str">
            <v>AND GATE-KIC7W08FU</v>
          </cell>
          <cell r="D50" t="str">
            <v>F</v>
          </cell>
          <cell r="F50">
            <v>0</v>
          </cell>
          <cell r="H50" t="str">
            <v>C22</v>
          </cell>
          <cell r="J50">
            <v>0</v>
          </cell>
        </row>
        <row r="51">
          <cell r="B51" t="str">
            <v>Q0803000901A</v>
          </cell>
          <cell r="C51" t="str">
            <v>NOT GATE-KIC7W04FU(SM8)</v>
          </cell>
          <cell r="D51" t="str">
            <v>F</v>
          </cell>
          <cell r="F51">
            <v>0</v>
          </cell>
          <cell r="H51" t="str">
            <v>C22</v>
          </cell>
          <cell r="J51">
            <v>0</v>
          </cell>
        </row>
        <row r="52">
          <cell r="B52" t="str">
            <v>Q0809001201A</v>
          </cell>
          <cell r="C52" t="str">
            <v>BUS TRANCEIVER-74LVC245APW</v>
          </cell>
          <cell r="D52" t="str">
            <v>F</v>
          </cell>
          <cell r="F52">
            <v>0.19</v>
          </cell>
          <cell r="G52" t="str">
            <v>USD</v>
          </cell>
          <cell r="H52" t="str">
            <v>V02</v>
          </cell>
          <cell r="I52" t="str">
            <v>Philips Electron</v>
          </cell>
          <cell r="J52">
            <v>0</v>
          </cell>
        </row>
        <row r="53">
          <cell r="B53" t="str">
            <v>Q0809001401A</v>
          </cell>
          <cell r="C53" t="str">
            <v>ESD SUPRESSORS-DIGIMAX220SE</v>
          </cell>
          <cell r="D53" t="str">
            <v>F</v>
          </cell>
          <cell r="F53">
            <v>53</v>
          </cell>
          <cell r="G53" t="str">
            <v>KRW</v>
          </cell>
          <cell r="H53" t="str">
            <v>C22</v>
          </cell>
          <cell r="I53" t="str">
            <v>삼주리틀휴즈(주)</v>
          </cell>
          <cell r="J53">
            <v>0</v>
          </cell>
        </row>
        <row r="54">
          <cell r="B54" t="str">
            <v>Q0809001701A</v>
          </cell>
          <cell r="C54" t="str">
            <v>ESD SUPRESSORS-DIGIMAX220SE</v>
          </cell>
          <cell r="D54" t="str">
            <v>F</v>
          </cell>
          <cell r="F54">
            <v>0.13</v>
          </cell>
          <cell r="G54" t="str">
            <v>USD</v>
          </cell>
          <cell r="H54" t="str">
            <v>C26</v>
          </cell>
          <cell r="I54" t="str">
            <v>ST Microelectron</v>
          </cell>
          <cell r="J54">
            <v>0</v>
          </cell>
        </row>
        <row r="55">
          <cell r="B55" t="str">
            <v>Q0809001801A</v>
          </cell>
          <cell r="C55" t="str">
            <v>ESD SUPRESSORS-DSC350SE</v>
          </cell>
          <cell r="D55" t="str">
            <v>F</v>
          </cell>
          <cell r="F55">
            <v>0</v>
          </cell>
          <cell r="J55">
            <v>0</v>
          </cell>
        </row>
        <row r="56">
          <cell r="B56" t="str">
            <v>Q0902006001A</v>
          </cell>
          <cell r="C56" t="str">
            <v>MICROCONTROLLER-DSC350SE</v>
          </cell>
          <cell r="D56" t="str">
            <v>F</v>
          </cell>
          <cell r="F56">
            <v>0</v>
          </cell>
          <cell r="H56" t="str">
            <v>C22</v>
          </cell>
          <cell r="J56">
            <v>0</v>
          </cell>
        </row>
        <row r="57">
          <cell r="B57" t="str">
            <v>Q0902006101A</v>
          </cell>
          <cell r="C57" t="str">
            <v>COACH-LC(ZR36420BGC)</v>
          </cell>
          <cell r="D57" t="str">
            <v>F</v>
          </cell>
          <cell r="F57">
            <v>11.5</v>
          </cell>
          <cell r="G57" t="str">
            <v>USD</v>
          </cell>
          <cell r="H57" t="str">
            <v>C26</v>
          </cell>
          <cell r="I57" t="str">
            <v>FM COM</v>
          </cell>
          <cell r="J57">
            <v>0</v>
          </cell>
        </row>
        <row r="58">
          <cell r="B58" t="str">
            <v>Q0909000901A</v>
          </cell>
          <cell r="C58" t="str">
            <v>CDS &amp; ADC_CXD3406GA-DSE350SE</v>
          </cell>
          <cell r="D58" t="str">
            <v>F</v>
          </cell>
          <cell r="F58">
            <v>4.3</v>
          </cell>
          <cell r="G58" t="str">
            <v>USD</v>
          </cell>
          <cell r="H58" t="str">
            <v>C91</v>
          </cell>
          <cell r="I58" t="str">
            <v>한국유에스씨전자</v>
          </cell>
          <cell r="J58">
            <v>0</v>
          </cell>
        </row>
        <row r="59">
          <cell r="B59" t="str">
            <v>Q0958905801A</v>
          </cell>
          <cell r="C59" t="str">
            <v>FRONT TAPE-A[양면접착테이퍼]</v>
          </cell>
          <cell r="D59" t="str">
            <v>F</v>
          </cell>
          <cell r="F59">
            <v>4</v>
          </cell>
          <cell r="G59" t="str">
            <v>KRW</v>
          </cell>
          <cell r="H59" t="str">
            <v>C57</v>
          </cell>
          <cell r="I59" t="str">
            <v>제일산업</v>
          </cell>
          <cell r="J59">
            <v>0</v>
          </cell>
        </row>
        <row r="60">
          <cell r="B60" t="str">
            <v>Q0958905901A</v>
          </cell>
          <cell r="C60" t="str">
            <v>FRONT TAPE-B[양면접착테이퍼]</v>
          </cell>
          <cell r="D60" t="str">
            <v>F</v>
          </cell>
          <cell r="F60">
            <v>4</v>
          </cell>
          <cell r="G60" t="str">
            <v>KRW</v>
          </cell>
          <cell r="H60" t="str">
            <v>C57</v>
          </cell>
          <cell r="I60" t="str">
            <v>제일산업</v>
          </cell>
          <cell r="J60">
            <v>0</v>
          </cell>
        </row>
        <row r="61">
          <cell r="B61" t="str">
            <v>Q0961214301A</v>
          </cell>
          <cell r="C61" t="str">
            <v>BOND TAPE-A[3X SLIM ZOOM]</v>
          </cell>
          <cell r="D61" t="str">
            <v>F</v>
          </cell>
          <cell r="F61">
            <v>2</v>
          </cell>
          <cell r="G61" t="str">
            <v>KRW</v>
          </cell>
          <cell r="H61" t="str">
            <v>C57</v>
          </cell>
          <cell r="I61" t="str">
            <v>제일산업</v>
          </cell>
          <cell r="J61">
            <v>0</v>
          </cell>
        </row>
        <row r="62">
          <cell r="B62" t="str">
            <v>Q0980108501A</v>
          </cell>
          <cell r="C62" t="str">
            <v>REASE SPRING</v>
          </cell>
          <cell r="D62" t="str">
            <v>F</v>
          </cell>
          <cell r="F62">
            <v>10</v>
          </cell>
          <cell r="G62" t="str">
            <v>KRW</v>
          </cell>
          <cell r="H62" t="str">
            <v>C80</v>
          </cell>
          <cell r="I62" t="str">
            <v>삼현(주)</v>
          </cell>
          <cell r="J62">
            <v>0</v>
          </cell>
        </row>
        <row r="63">
          <cell r="B63" t="str">
            <v>Q0992460601A</v>
          </cell>
          <cell r="C63" t="str">
            <v>TRIG TRANS[TSZ-45LS(UNION)4.9*6.0.BU]</v>
          </cell>
          <cell r="D63" t="str">
            <v>F</v>
          </cell>
          <cell r="F63">
            <v>95</v>
          </cell>
          <cell r="G63" t="str">
            <v>KRW</v>
          </cell>
          <cell r="H63" t="str">
            <v>C53</v>
          </cell>
          <cell r="I63" t="str">
            <v>(주)유니온</v>
          </cell>
          <cell r="J63">
            <v>0</v>
          </cell>
        </row>
        <row r="64">
          <cell r="B64" t="str">
            <v>Q1003001601A</v>
          </cell>
          <cell r="C64" t="str">
            <v>SHUTTER DRIVER-DSC350SE</v>
          </cell>
          <cell r="D64" t="str">
            <v>F</v>
          </cell>
          <cell r="F64">
            <v>79</v>
          </cell>
          <cell r="G64" t="str">
            <v>JPY</v>
          </cell>
          <cell r="I64" t="str">
            <v>NIDEC COPAL CORP</v>
          </cell>
          <cell r="J64">
            <v>0</v>
          </cell>
        </row>
        <row r="65">
          <cell r="B65" t="str">
            <v>Q1003001701A</v>
          </cell>
          <cell r="C65" t="str">
            <v>MOTOR DRIVER-BH6573FV(TSSOP-24)</v>
          </cell>
          <cell r="D65" t="str">
            <v>F</v>
          </cell>
          <cell r="F65">
            <v>0</v>
          </cell>
          <cell r="H65" t="str">
            <v>C22</v>
          </cell>
          <cell r="J65">
            <v>0</v>
          </cell>
        </row>
        <row r="66">
          <cell r="B66" t="str">
            <v>Q1009000701A</v>
          </cell>
          <cell r="C66" t="str">
            <v>RTC CONTROLLER-RTC-8564(VSOJ-20)[RTC M</v>
          </cell>
          <cell r="D66" t="str">
            <v>F</v>
          </cell>
          <cell r="F66">
            <v>120</v>
          </cell>
          <cell r="G66" t="str">
            <v>JPY</v>
          </cell>
          <cell r="H66" t="str">
            <v>C50</v>
          </cell>
          <cell r="I66" t="str">
            <v>SEIKO EPSON IND</v>
          </cell>
          <cell r="J66">
            <v>0</v>
          </cell>
        </row>
        <row r="67">
          <cell r="B67" t="str">
            <v>Q1009000901A</v>
          </cell>
          <cell r="C67" t="str">
            <v>PWM CONTROLER-BD9731</v>
          </cell>
          <cell r="D67" t="str">
            <v>F</v>
          </cell>
          <cell r="F67">
            <v>2000</v>
          </cell>
          <cell r="G67" t="str">
            <v>KRW</v>
          </cell>
          <cell r="H67" t="str">
            <v>C22</v>
          </cell>
          <cell r="I67" t="str">
            <v>(주)로옴전자코리</v>
          </cell>
          <cell r="J67">
            <v>0</v>
          </cell>
        </row>
        <row r="68">
          <cell r="B68" t="str">
            <v>Q1103001901A</v>
          </cell>
          <cell r="C68" t="str">
            <v>SERIAL EEPROM-DSC350SE</v>
          </cell>
          <cell r="D68" t="str">
            <v>F</v>
          </cell>
          <cell r="F68">
            <v>0.14000000000000001</v>
          </cell>
          <cell r="G68" t="str">
            <v>USD</v>
          </cell>
          <cell r="H68" t="str">
            <v>C26</v>
          </cell>
          <cell r="I68" t="str">
            <v>ST Microelectron</v>
          </cell>
          <cell r="J68">
            <v>0</v>
          </cell>
        </row>
        <row r="69">
          <cell r="B69" t="str">
            <v>Q1106000401A</v>
          </cell>
          <cell r="C69" t="str">
            <v>SDRAM-K4S641633D-GN96</v>
          </cell>
          <cell r="D69" t="str">
            <v>F</v>
          </cell>
          <cell r="F69">
            <v>5850</v>
          </cell>
          <cell r="G69" t="str">
            <v>KRW</v>
          </cell>
          <cell r="I69" t="str">
            <v>삼테크(주)</v>
          </cell>
          <cell r="J69">
            <v>0</v>
          </cell>
        </row>
        <row r="70">
          <cell r="B70" t="str">
            <v>Q1107001201A</v>
          </cell>
          <cell r="C70" t="str">
            <v>FLASH MEMORY(MX29LV800TXBC-90)</v>
          </cell>
          <cell r="D70" t="str">
            <v>F</v>
          </cell>
          <cell r="F70">
            <v>0</v>
          </cell>
          <cell r="H70" t="str">
            <v>C26</v>
          </cell>
          <cell r="J70">
            <v>0</v>
          </cell>
        </row>
        <row r="71">
          <cell r="B71" t="str">
            <v>Q1107001501A</v>
          </cell>
          <cell r="C71" t="str">
            <v>CF CARD_16MB-DSC350SE</v>
          </cell>
          <cell r="D71" t="str">
            <v>F</v>
          </cell>
          <cell r="F71">
            <v>11.46</v>
          </cell>
          <cell r="G71" t="str">
            <v>USD</v>
          </cell>
          <cell r="H71" t="str">
            <v>C26</v>
          </cell>
          <cell r="I71" t="str">
            <v>SANDISk CORPORAT</v>
          </cell>
          <cell r="J71">
            <v>0</v>
          </cell>
        </row>
        <row r="72">
          <cell r="B72" t="str">
            <v>Q1201000601A</v>
          </cell>
          <cell r="C72" t="str">
            <v>VIDEO OP AMP-TSH70(SOT23-5)/LM7131ACM</v>
          </cell>
          <cell r="D72" t="str">
            <v>F</v>
          </cell>
          <cell r="F72">
            <v>0.4</v>
          </cell>
          <cell r="G72" t="str">
            <v>USD</v>
          </cell>
          <cell r="H72" t="str">
            <v>C26</v>
          </cell>
          <cell r="I72" t="str">
            <v>내셔널세미콘넥타</v>
          </cell>
          <cell r="J72">
            <v>0</v>
          </cell>
        </row>
        <row r="73">
          <cell r="B73" t="str">
            <v>Q1201000701A</v>
          </cell>
          <cell r="C73" t="str">
            <v>MIC AMP-NJM2110V(SSOP-8)</v>
          </cell>
          <cell r="D73" t="str">
            <v>F</v>
          </cell>
          <cell r="F73">
            <v>0</v>
          </cell>
          <cell r="H73" t="str">
            <v>C22</v>
          </cell>
          <cell r="J73">
            <v>0</v>
          </cell>
        </row>
        <row r="74">
          <cell r="B74" t="str">
            <v>Q1202000401A</v>
          </cell>
          <cell r="C74" t="str">
            <v>COMPARATORS-DSC350SE</v>
          </cell>
          <cell r="D74" t="str">
            <v>F</v>
          </cell>
          <cell r="F74">
            <v>0.17</v>
          </cell>
          <cell r="G74" t="str">
            <v>USD</v>
          </cell>
          <cell r="H74" t="str">
            <v>C26</v>
          </cell>
          <cell r="I74" t="str">
            <v>ST Microelectron</v>
          </cell>
          <cell r="J74">
            <v>0</v>
          </cell>
        </row>
        <row r="75">
          <cell r="B75" t="str">
            <v>Q1203001301A</v>
          </cell>
          <cell r="C75" t="str">
            <v>REGULATOR-AAT 3220IGY-3.3-T1(SOT23-3)</v>
          </cell>
          <cell r="D75" t="str">
            <v>F</v>
          </cell>
          <cell r="F75">
            <v>0.11</v>
          </cell>
          <cell r="G75" t="str">
            <v>USD</v>
          </cell>
          <cell r="H75" t="str">
            <v>C63</v>
          </cell>
          <cell r="I75" t="str">
            <v>Advanced Analogi</v>
          </cell>
          <cell r="J75">
            <v>0</v>
          </cell>
        </row>
        <row r="76">
          <cell r="B76" t="str">
            <v>Q1203001801A</v>
          </cell>
          <cell r="C76" t="str">
            <v>SWITCHING REGURATOR-DSC350SE</v>
          </cell>
          <cell r="D76" t="str">
            <v>F</v>
          </cell>
          <cell r="F76">
            <v>0.79</v>
          </cell>
          <cell r="G76" t="str">
            <v>USD</v>
          </cell>
          <cell r="H76" t="str">
            <v>C26</v>
          </cell>
          <cell r="I76" t="str">
            <v>LINEAR TECHNOLOG</v>
          </cell>
          <cell r="J76">
            <v>0</v>
          </cell>
        </row>
        <row r="77">
          <cell r="B77" t="str">
            <v>Q1203001901A</v>
          </cell>
          <cell r="C77" t="str">
            <v>SWITCHING REGURATOR-XC9301</v>
          </cell>
          <cell r="D77" t="str">
            <v>F</v>
          </cell>
          <cell r="F77">
            <v>550</v>
          </cell>
          <cell r="G77" t="str">
            <v>KRW</v>
          </cell>
          <cell r="H77" t="str">
            <v>C22</v>
          </cell>
          <cell r="I77" t="str">
            <v>(주)아이에스티</v>
          </cell>
          <cell r="J77">
            <v>0</v>
          </cell>
        </row>
        <row r="78">
          <cell r="B78" t="str">
            <v>Q1203002001A</v>
          </cell>
          <cell r="C78" t="str">
            <v>VOLTAGE REGULATOR-XC62HR3002(SOT89-5)</v>
          </cell>
          <cell r="D78" t="str">
            <v>F</v>
          </cell>
          <cell r="F78">
            <v>280</v>
          </cell>
          <cell r="G78" t="str">
            <v>KRW</v>
          </cell>
          <cell r="H78" t="str">
            <v>C22</v>
          </cell>
          <cell r="I78" t="str">
            <v>(주)아이에스티</v>
          </cell>
          <cell r="J78">
            <v>0</v>
          </cell>
        </row>
        <row r="79">
          <cell r="B79" t="str">
            <v>Q1208001701A</v>
          </cell>
          <cell r="C79" t="str">
            <v>VOLTAGE DETECTOR-DSC350SE</v>
          </cell>
          <cell r="D79" t="str">
            <v>F</v>
          </cell>
          <cell r="F79">
            <v>0</v>
          </cell>
          <cell r="H79" t="str">
            <v>C26</v>
          </cell>
          <cell r="J79">
            <v>0</v>
          </cell>
        </row>
        <row r="80">
          <cell r="B80" t="str">
            <v>Q1407000401A</v>
          </cell>
          <cell r="C80" t="str">
            <v>IGBT-CY25AAJ-8F DSC350SE</v>
          </cell>
          <cell r="D80" t="str">
            <v>F</v>
          </cell>
          <cell r="F80">
            <v>90</v>
          </cell>
          <cell r="G80" t="str">
            <v>JPY</v>
          </cell>
          <cell r="H80" t="str">
            <v>C26</v>
          </cell>
          <cell r="I80" t="str">
            <v>SETSUYO TRADING</v>
          </cell>
          <cell r="J80">
            <v>0</v>
          </cell>
        </row>
        <row r="81">
          <cell r="B81" t="str">
            <v>Q2007001901A</v>
          </cell>
          <cell r="C81" t="str">
            <v>CHIP RESISTOR[47K옴(R7:1608)]</v>
          </cell>
          <cell r="D81" t="str">
            <v>F</v>
          </cell>
          <cell r="F81">
            <v>3</v>
          </cell>
          <cell r="G81" t="str">
            <v>KRW</v>
          </cell>
          <cell r="H81" t="str">
            <v>C56</v>
          </cell>
          <cell r="I81" t="str">
            <v>삼성전기(주)영업</v>
          </cell>
          <cell r="J81">
            <v>0</v>
          </cell>
        </row>
        <row r="82">
          <cell r="B82" t="str">
            <v>Q2007012201A</v>
          </cell>
          <cell r="C82" t="str">
            <v>CHIP RESISTOR[RC1608J101CS]</v>
          </cell>
          <cell r="D82" t="str">
            <v>F</v>
          </cell>
          <cell r="F82">
            <v>3</v>
          </cell>
          <cell r="G82" t="str">
            <v>KRW</v>
          </cell>
          <cell r="H82" t="str">
            <v>C56</v>
          </cell>
          <cell r="I82" t="str">
            <v>삼성전기(주)영업</v>
          </cell>
          <cell r="J82">
            <v>0</v>
          </cell>
        </row>
        <row r="83">
          <cell r="B83" t="str">
            <v>Q2007012301A</v>
          </cell>
          <cell r="C83" t="str">
            <v>CHIP RESISTOR[RC1608J105CS]</v>
          </cell>
          <cell r="D83" t="str">
            <v>F</v>
          </cell>
          <cell r="F83">
            <v>3</v>
          </cell>
          <cell r="G83" t="str">
            <v>KRW</v>
          </cell>
          <cell r="H83" t="str">
            <v>C56</v>
          </cell>
          <cell r="I83" t="str">
            <v>삼성전기(주)영업</v>
          </cell>
          <cell r="J83">
            <v>0</v>
          </cell>
        </row>
        <row r="84">
          <cell r="B84" t="str">
            <v>Q2007012401A</v>
          </cell>
          <cell r="C84" t="str">
            <v>CHIP RESISTOR[RC1608J333CS]</v>
          </cell>
          <cell r="D84" t="str">
            <v>F</v>
          </cell>
          <cell r="F84">
            <v>3</v>
          </cell>
          <cell r="G84" t="str">
            <v>KRW</v>
          </cell>
          <cell r="H84" t="str">
            <v>C56</v>
          </cell>
          <cell r="I84" t="str">
            <v>삼성전기(주)영업</v>
          </cell>
          <cell r="J84">
            <v>0</v>
          </cell>
        </row>
        <row r="85">
          <cell r="B85" t="str">
            <v>Q2007013401A</v>
          </cell>
          <cell r="C85" t="str">
            <v>CHIP RESISTOR[RC1608J205CS.(REEL)]</v>
          </cell>
          <cell r="D85" t="str">
            <v>F</v>
          </cell>
          <cell r="F85">
            <v>3</v>
          </cell>
          <cell r="G85" t="str">
            <v>KRW</v>
          </cell>
          <cell r="H85" t="str">
            <v>C56</v>
          </cell>
          <cell r="I85" t="str">
            <v>삼성전기(주)영업</v>
          </cell>
          <cell r="J85">
            <v>0</v>
          </cell>
        </row>
        <row r="86">
          <cell r="B86" t="str">
            <v>Q2007014901A</v>
          </cell>
          <cell r="C86" t="str">
            <v>CHIP RESISTOR</v>
          </cell>
          <cell r="D86" t="str">
            <v>F</v>
          </cell>
          <cell r="F86">
            <v>3</v>
          </cell>
          <cell r="G86" t="str">
            <v>KRW</v>
          </cell>
          <cell r="H86" t="str">
            <v>C56</v>
          </cell>
          <cell r="I86" t="str">
            <v>삼성전기(주)영업</v>
          </cell>
          <cell r="J86">
            <v>0</v>
          </cell>
        </row>
        <row r="87">
          <cell r="B87" t="str">
            <v>Q2007015201A</v>
          </cell>
          <cell r="C87" t="str">
            <v>CHIP RESISTOR[RC1608J222CS.(REEL)]</v>
          </cell>
          <cell r="D87" t="str">
            <v>F</v>
          </cell>
          <cell r="F87">
            <v>2</v>
          </cell>
          <cell r="G87" t="str">
            <v>KRW</v>
          </cell>
          <cell r="H87" t="str">
            <v>C56</v>
          </cell>
          <cell r="I87" t="str">
            <v>델타코퍼레이션</v>
          </cell>
          <cell r="J87">
            <v>0</v>
          </cell>
        </row>
        <row r="88">
          <cell r="B88" t="str">
            <v>Q2007015301A</v>
          </cell>
          <cell r="C88" t="str">
            <v>CHIP RESISTOR[RC1608J223CS.(REEL)]</v>
          </cell>
          <cell r="D88" t="str">
            <v>F</v>
          </cell>
          <cell r="F88">
            <v>3</v>
          </cell>
          <cell r="G88" t="str">
            <v>KRW</v>
          </cell>
          <cell r="H88" t="str">
            <v>C56</v>
          </cell>
          <cell r="I88" t="str">
            <v>삼성전기(주)영업</v>
          </cell>
          <cell r="J88">
            <v>0</v>
          </cell>
        </row>
        <row r="89">
          <cell r="B89" t="str">
            <v>Q2007015501A</v>
          </cell>
          <cell r="C89" t="str">
            <v>CHIP RESISTOR[RC1608J303CS.(REEL)]</v>
          </cell>
          <cell r="D89" t="str">
            <v>F</v>
          </cell>
          <cell r="F89">
            <v>3</v>
          </cell>
          <cell r="G89" t="str">
            <v>KRW</v>
          </cell>
          <cell r="H89" t="str">
            <v>C56</v>
          </cell>
          <cell r="I89" t="str">
            <v>삼성전기(주)영업</v>
          </cell>
          <cell r="J89">
            <v>0</v>
          </cell>
        </row>
        <row r="90">
          <cell r="B90" t="str">
            <v>Q2007016301A</v>
          </cell>
          <cell r="C90" t="str">
            <v>CHIP RESISTOR[RC1608J821CS.(REEL)]</v>
          </cell>
          <cell r="D90" t="str">
            <v>F</v>
          </cell>
          <cell r="F90">
            <v>2</v>
          </cell>
          <cell r="G90" t="str">
            <v>KRW</v>
          </cell>
          <cell r="H90" t="str">
            <v>C56</v>
          </cell>
          <cell r="I90" t="str">
            <v>삼성전기(주)영업</v>
          </cell>
          <cell r="J90">
            <v>0</v>
          </cell>
        </row>
        <row r="91">
          <cell r="B91" t="str">
            <v>Q2007016901A</v>
          </cell>
          <cell r="C91" t="str">
            <v>CHIP RESISTOR</v>
          </cell>
          <cell r="D91" t="str">
            <v>F</v>
          </cell>
          <cell r="F91">
            <v>3</v>
          </cell>
          <cell r="G91" t="str">
            <v>KRW</v>
          </cell>
          <cell r="H91" t="str">
            <v>C56</v>
          </cell>
          <cell r="I91" t="str">
            <v>삼성전기(주)영업</v>
          </cell>
          <cell r="J91">
            <v>0</v>
          </cell>
        </row>
        <row r="92">
          <cell r="B92" t="str">
            <v>Q2007017501A</v>
          </cell>
          <cell r="C92" t="str">
            <v>CHIP RESISTOR[RC1608J102CS]</v>
          </cell>
          <cell r="D92" t="str">
            <v>F</v>
          </cell>
          <cell r="F92">
            <v>3</v>
          </cell>
          <cell r="G92" t="str">
            <v>KRW</v>
          </cell>
          <cell r="H92" t="str">
            <v>C56</v>
          </cell>
          <cell r="I92" t="str">
            <v>삼성전기(주)영업</v>
          </cell>
          <cell r="J92">
            <v>0</v>
          </cell>
        </row>
        <row r="93">
          <cell r="B93" t="str">
            <v>Q2007019801A</v>
          </cell>
          <cell r="C93" t="str">
            <v>CHIP RESISTOR[RC1608J151CS]</v>
          </cell>
          <cell r="D93" t="str">
            <v>F</v>
          </cell>
          <cell r="F93">
            <v>3</v>
          </cell>
          <cell r="G93" t="str">
            <v>KRW</v>
          </cell>
          <cell r="H93" t="str">
            <v>C56</v>
          </cell>
          <cell r="I93" t="str">
            <v>삼성전기(주)영업</v>
          </cell>
          <cell r="J93">
            <v>0</v>
          </cell>
        </row>
        <row r="94">
          <cell r="B94" t="str">
            <v>Q2007031401A</v>
          </cell>
          <cell r="C94" t="str">
            <v>CHIP RESISTOR-RC1608J000CS</v>
          </cell>
          <cell r="D94" t="str">
            <v>F</v>
          </cell>
          <cell r="F94">
            <v>3</v>
          </cell>
          <cell r="G94" t="str">
            <v>KRW</v>
          </cell>
          <cell r="H94" t="str">
            <v>C56</v>
          </cell>
          <cell r="I94" t="str">
            <v>삼성전기(주)영업</v>
          </cell>
          <cell r="J94">
            <v>0</v>
          </cell>
        </row>
        <row r="95">
          <cell r="B95" t="str">
            <v>Q2007031501A</v>
          </cell>
          <cell r="C95" t="str">
            <v>CHIP RESISTOR-RC1608J100CS</v>
          </cell>
          <cell r="D95" t="str">
            <v>F</v>
          </cell>
          <cell r="F95">
            <v>3</v>
          </cell>
          <cell r="G95" t="str">
            <v>KRW</v>
          </cell>
          <cell r="H95" t="str">
            <v>C56</v>
          </cell>
          <cell r="I95" t="str">
            <v>삼성전기(주)영업</v>
          </cell>
          <cell r="J95">
            <v>0</v>
          </cell>
        </row>
        <row r="96">
          <cell r="B96" t="str">
            <v>Q2007031601A</v>
          </cell>
          <cell r="C96" t="str">
            <v>CHIP RESISTOR-RC1608J103CS</v>
          </cell>
          <cell r="D96" t="str">
            <v>F</v>
          </cell>
          <cell r="F96">
            <v>3</v>
          </cell>
          <cell r="G96" t="str">
            <v>KRW</v>
          </cell>
          <cell r="H96" t="str">
            <v>C56</v>
          </cell>
          <cell r="I96" t="str">
            <v>삼성전기(주)영업</v>
          </cell>
          <cell r="J96">
            <v>0</v>
          </cell>
        </row>
        <row r="97">
          <cell r="B97" t="str">
            <v>Q2007032801A</v>
          </cell>
          <cell r="C97" t="str">
            <v>CHIP RESISTOR-RC1608J332CS</v>
          </cell>
          <cell r="D97" t="str">
            <v>F</v>
          </cell>
          <cell r="F97">
            <v>3</v>
          </cell>
          <cell r="G97" t="str">
            <v>KRW</v>
          </cell>
          <cell r="H97" t="str">
            <v>C56</v>
          </cell>
          <cell r="I97" t="str">
            <v>삼성전기(주)영업</v>
          </cell>
          <cell r="J97">
            <v>0</v>
          </cell>
        </row>
        <row r="98">
          <cell r="B98" t="str">
            <v>Q2007034301A</v>
          </cell>
          <cell r="C98" t="str">
            <v>CHIP RESISTOR ARRAY-MNR14P2ABJ101</v>
          </cell>
          <cell r="D98" t="str">
            <v>F</v>
          </cell>
          <cell r="F98">
            <v>14</v>
          </cell>
          <cell r="G98" t="str">
            <v>KRW</v>
          </cell>
          <cell r="H98" t="str">
            <v>C56</v>
          </cell>
          <cell r="I98" t="str">
            <v>(주)로옴전자코리</v>
          </cell>
          <cell r="J98">
            <v>0</v>
          </cell>
        </row>
        <row r="99">
          <cell r="B99" t="str">
            <v>Q2007035101A</v>
          </cell>
          <cell r="C99" t="str">
            <v>CHIP RESISTOR-OR(1005)</v>
          </cell>
          <cell r="D99" t="str">
            <v>F</v>
          </cell>
          <cell r="F99">
            <v>3</v>
          </cell>
          <cell r="G99" t="str">
            <v>KRW</v>
          </cell>
          <cell r="H99" t="str">
            <v>C56</v>
          </cell>
          <cell r="I99" t="str">
            <v>델타코퍼레이션</v>
          </cell>
          <cell r="J99">
            <v>0</v>
          </cell>
        </row>
        <row r="100">
          <cell r="B100" t="str">
            <v>Q2007035301A</v>
          </cell>
          <cell r="C100" t="str">
            <v>CHIP RESISTOR-100K(1005)</v>
          </cell>
          <cell r="D100" t="str">
            <v>F</v>
          </cell>
          <cell r="F100">
            <v>3</v>
          </cell>
          <cell r="G100" t="str">
            <v>KRW</v>
          </cell>
          <cell r="H100" t="str">
            <v>C56</v>
          </cell>
          <cell r="I100" t="str">
            <v>델타코퍼레이션</v>
          </cell>
          <cell r="J100">
            <v>0</v>
          </cell>
        </row>
        <row r="101">
          <cell r="B101" t="str">
            <v>Q2007035401A</v>
          </cell>
          <cell r="C101" t="str">
            <v>CHIP RESISTOR-100R(1005)</v>
          </cell>
          <cell r="D101" t="str">
            <v>F</v>
          </cell>
          <cell r="F101">
            <v>3</v>
          </cell>
          <cell r="G101" t="str">
            <v>KRW</v>
          </cell>
          <cell r="H101" t="str">
            <v>C56</v>
          </cell>
          <cell r="I101" t="str">
            <v>델타코퍼레이션</v>
          </cell>
          <cell r="J101">
            <v>0</v>
          </cell>
        </row>
        <row r="102">
          <cell r="B102" t="str">
            <v>Q2007035501A</v>
          </cell>
          <cell r="C102" t="str">
            <v>CHIP RESISTOR-10K(1005)</v>
          </cell>
          <cell r="D102" t="str">
            <v>F</v>
          </cell>
          <cell r="F102">
            <v>3</v>
          </cell>
          <cell r="G102" t="str">
            <v>KRW</v>
          </cell>
          <cell r="H102" t="str">
            <v>C22</v>
          </cell>
          <cell r="I102" t="str">
            <v>델타코퍼레이션</v>
          </cell>
          <cell r="J102">
            <v>0</v>
          </cell>
        </row>
        <row r="103">
          <cell r="B103" t="str">
            <v>Q2007035701A</v>
          </cell>
          <cell r="C103" t="str">
            <v>CHIP RESISTOR-1K(1005)</v>
          </cell>
          <cell r="D103" t="str">
            <v>F</v>
          </cell>
          <cell r="F103">
            <v>3</v>
          </cell>
          <cell r="G103" t="str">
            <v>KRW</v>
          </cell>
          <cell r="H103" t="str">
            <v>C22</v>
          </cell>
          <cell r="I103" t="str">
            <v>델타코퍼레이션</v>
          </cell>
          <cell r="J103">
            <v>0</v>
          </cell>
        </row>
        <row r="104">
          <cell r="B104" t="str">
            <v>Q2007035801A</v>
          </cell>
          <cell r="C104" t="str">
            <v>CHIP RESISTOR-1K5(1005)</v>
          </cell>
          <cell r="D104" t="str">
            <v>F</v>
          </cell>
          <cell r="F104">
            <v>3</v>
          </cell>
          <cell r="G104" t="str">
            <v>KRW</v>
          </cell>
          <cell r="H104" t="str">
            <v>C22</v>
          </cell>
          <cell r="I104" t="str">
            <v>델타코퍼레이션</v>
          </cell>
          <cell r="J104">
            <v>0</v>
          </cell>
        </row>
        <row r="105">
          <cell r="B105" t="str">
            <v>Q2007036001A</v>
          </cell>
          <cell r="C105" t="str">
            <v>CHIP RESISTOR-200R(1005)</v>
          </cell>
          <cell r="D105" t="str">
            <v>F</v>
          </cell>
          <cell r="F105">
            <v>3</v>
          </cell>
          <cell r="G105" t="str">
            <v>KRW</v>
          </cell>
          <cell r="H105" t="str">
            <v>C22</v>
          </cell>
          <cell r="I105" t="str">
            <v>델타코퍼레이션</v>
          </cell>
          <cell r="J105">
            <v>0</v>
          </cell>
        </row>
        <row r="106">
          <cell r="B106" t="str">
            <v>Q2007036201A</v>
          </cell>
          <cell r="C106" t="str">
            <v>CHIP RESISTOR-24K(1005)</v>
          </cell>
          <cell r="D106" t="str">
            <v>F</v>
          </cell>
          <cell r="F106">
            <v>3</v>
          </cell>
          <cell r="G106" t="str">
            <v>KRW</v>
          </cell>
          <cell r="H106" t="str">
            <v>C22</v>
          </cell>
          <cell r="I106" t="str">
            <v>삼성전기(주)영업</v>
          </cell>
          <cell r="J106">
            <v>0</v>
          </cell>
        </row>
        <row r="107">
          <cell r="B107" t="str">
            <v>Q2007036501A</v>
          </cell>
          <cell r="C107" t="str">
            <v>CHIP RESISTOR-33K(1005)</v>
          </cell>
          <cell r="D107" t="str">
            <v>F</v>
          </cell>
          <cell r="F107">
            <v>3</v>
          </cell>
          <cell r="G107" t="str">
            <v>KRW</v>
          </cell>
          <cell r="H107" t="str">
            <v>C22</v>
          </cell>
          <cell r="I107" t="str">
            <v>삼성전기(주)영업</v>
          </cell>
          <cell r="J107">
            <v>0</v>
          </cell>
        </row>
        <row r="108">
          <cell r="B108" t="str">
            <v>Q2007036701A</v>
          </cell>
          <cell r="C108" t="str">
            <v>CHIP RESISTOR-47K(1005)</v>
          </cell>
          <cell r="D108" t="str">
            <v>F</v>
          </cell>
          <cell r="F108">
            <v>3</v>
          </cell>
          <cell r="G108" t="str">
            <v>KRW</v>
          </cell>
          <cell r="H108" t="str">
            <v>C22</v>
          </cell>
          <cell r="I108" t="str">
            <v>델타코퍼레이션</v>
          </cell>
          <cell r="J108">
            <v>0</v>
          </cell>
        </row>
        <row r="109">
          <cell r="B109" t="str">
            <v>Q2007036801A</v>
          </cell>
          <cell r="C109" t="str">
            <v>CHIP RESISTOR-4K7(1005)</v>
          </cell>
          <cell r="D109" t="str">
            <v>F</v>
          </cell>
          <cell r="F109">
            <v>3</v>
          </cell>
          <cell r="G109" t="str">
            <v>KRW</v>
          </cell>
          <cell r="H109" t="str">
            <v>C22</v>
          </cell>
          <cell r="I109" t="str">
            <v>델타코퍼레이션</v>
          </cell>
          <cell r="J109">
            <v>0</v>
          </cell>
        </row>
        <row r="110">
          <cell r="B110" t="str">
            <v>Q2007037401A</v>
          </cell>
          <cell r="C110" t="str">
            <v>CHIP RESISTOR-RC1005J224CS</v>
          </cell>
          <cell r="D110" t="str">
            <v>F</v>
          </cell>
          <cell r="F110">
            <v>3</v>
          </cell>
          <cell r="G110" t="str">
            <v>KRW</v>
          </cell>
          <cell r="H110" t="str">
            <v>C56</v>
          </cell>
          <cell r="I110" t="str">
            <v>삼성전기(주)영업</v>
          </cell>
          <cell r="J110">
            <v>0</v>
          </cell>
        </row>
        <row r="111">
          <cell r="B111" t="str">
            <v>Q2007037501A</v>
          </cell>
          <cell r="C111" t="str">
            <v>CHIP RESISTOR-RC1005J332CS</v>
          </cell>
          <cell r="D111" t="str">
            <v>F</v>
          </cell>
          <cell r="F111">
            <v>3</v>
          </cell>
          <cell r="G111" t="str">
            <v>KRW</v>
          </cell>
          <cell r="H111" t="str">
            <v>C56</v>
          </cell>
          <cell r="I111" t="str">
            <v>삼성전기(주)영업</v>
          </cell>
          <cell r="J111">
            <v>0</v>
          </cell>
        </row>
        <row r="112">
          <cell r="B112" t="str">
            <v>Q2007037601A</v>
          </cell>
          <cell r="C112" t="str">
            <v>CHIP RESISTOR-RC1005J222CS</v>
          </cell>
          <cell r="D112" t="str">
            <v>F</v>
          </cell>
          <cell r="F112">
            <v>3</v>
          </cell>
          <cell r="G112" t="str">
            <v>KRW</v>
          </cell>
          <cell r="H112" t="str">
            <v>C56</v>
          </cell>
          <cell r="I112" t="str">
            <v>델타코퍼레이션</v>
          </cell>
          <cell r="J112">
            <v>0</v>
          </cell>
        </row>
        <row r="113">
          <cell r="B113" t="str">
            <v>Q2007037901A</v>
          </cell>
          <cell r="C113" t="str">
            <v>CHIP RESISTOR-RC1005J220CS</v>
          </cell>
          <cell r="D113" t="str">
            <v>F</v>
          </cell>
          <cell r="F113">
            <v>3</v>
          </cell>
          <cell r="G113" t="str">
            <v>KRW</v>
          </cell>
          <cell r="H113" t="str">
            <v>C56</v>
          </cell>
          <cell r="I113" t="str">
            <v>삼성전기(주)영업</v>
          </cell>
          <cell r="J113">
            <v>0</v>
          </cell>
        </row>
        <row r="114">
          <cell r="B114" t="str">
            <v>Q2007038201A</v>
          </cell>
          <cell r="C114" t="str">
            <v>CHIP CAPACITOR-75R(1005)</v>
          </cell>
          <cell r="D114" t="str">
            <v>F</v>
          </cell>
          <cell r="F114">
            <v>0</v>
          </cell>
          <cell r="H114" t="str">
            <v>C22</v>
          </cell>
          <cell r="J114">
            <v>0</v>
          </cell>
        </row>
        <row r="115">
          <cell r="B115" t="str">
            <v>Q2007039501A</v>
          </cell>
          <cell r="C115" t="str">
            <v>CHIP RESISTOR(1005)-RC1005F433CS</v>
          </cell>
          <cell r="D115" t="str">
            <v>F</v>
          </cell>
          <cell r="F115">
            <v>0</v>
          </cell>
          <cell r="J115">
            <v>0</v>
          </cell>
        </row>
        <row r="116">
          <cell r="B116" t="str">
            <v>Q2007039601A</v>
          </cell>
          <cell r="C116" t="str">
            <v>CHIP RESISTOR(1005)-RC1005J100CS</v>
          </cell>
          <cell r="D116" t="str">
            <v>F</v>
          </cell>
          <cell r="F116">
            <v>0</v>
          </cell>
          <cell r="H116" t="str">
            <v>C22</v>
          </cell>
          <cell r="J116">
            <v>0</v>
          </cell>
        </row>
        <row r="117">
          <cell r="B117" t="str">
            <v>Q2007039701A</v>
          </cell>
          <cell r="C117" t="str">
            <v>CHIP RESISTOR(1005)-RC1005F102CS</v>
          </cell>
          <cell r="D117" t="str">
            <v>F</v>
          </cell>
          <cell r="F117">
            <v>0</v>
          </cell>
          <cell r="H117" t="str">
            <v>C11</v>
          </cell>
          <cell r="J117">
            <v>0</v>
          </cell>
        </row>
        <row r="118">
          <cell r="B118" t="str">
            <v>Q2007039801A</v>
          </cell>
          <cell r="C118" t="str">
            <v>CHIP RESISTOR(1005)-RC1005J123CS</v>
          </cell>
          <cell r="D118" t="str">
            <v>F</v>
          </cell>
          <cell r="F118">
            <v>0</v>
          </cell>
          <cell r="H118" t="str">
            <v>C22</v>
          </cell>
          <cell r="J118">
            <v>0</v>
          </cell>
        </row>
        <row r="119">
          <cell r="B119" t="str">
            <v>Q2007039901A</v>
          </cell>
          <cell r="C119" t="str">
            <v>CHIP RESISTOR(1005)-RC1005J124CS</v>
          </cell>
          <cell r="D119" t="str">
            <v>F</v>
          </cell>
          <cell r="F119">
            <v>0</v>
          </cell>
          <cell r="H119" t="str">
            <v>C22</v>
          </cell>
          <cell r="J119">
            <v>0</v>
          </cell>
        </row>
        <row r="120">
          <cell r="B120" t="str">
            <v>Q2007040001A</v>
          </cell>
          <cell r="C120" t="str">
            <v>CHIP RESISTOR(1005)-RC1005J153CS</v>
          </cell>
          <cell r="D120" t="str">
            <v>F</v>
          </cell>
          <cell r="F120">
            <v>0</v>
          </cell>
          <cell r="H120" t="str">
            <v>C22</v>
          </cell>
          <cell r="J120">
            <v>0</v>
          </cell>
        </row>
        <row r="121">
          <cell r="B121" t="str">
            <v>Q2007040101A</v>
          </cell>
          <cell r="C121" t="str">
            <v>CHIP RESISTOR(1005)-RC1005F201CS</v>
          </cell>
          <cell r="D121" t="str">
            <v>F</v>
          </cell>
          <cell r="F121">
            <v>0</v>
          </cell>
          <cell r="H121" t="str">
            <v>C22</v>
          </cell>
          <cell r="J121">
            <v>0</v>
          </cell>
        </row>
        <row r="122">
          <cell r="B122" t="str">
            <v>Q2007040201A</v>
          </cell>
          <cell r="C122" t="str">
            <v>CHIP RESISTOR(1005)-RC1005J223CS</v>
          </cell>
          <cell r="D122" t="str">
            <v>F</v>
          </cell>
          <cell r="F122">
            <v>0</v>
          </cell>
          <cell r="H122" t="str">
            <v>C22</v>
          </cell>
          <cell r="J122">
            <v>0</v>
          </cell>
        </row>
        <row r="123">
          <cell r="B123" t="str">
            <v>Q2007040301A</v>
          </cell>
          <cell r="C123" t="str">
            <v>CHIP RESISTOR(1005)-RC1005J303CS</v>
          </cell>
          <cell r="D123" t="str">
            <v>F</v>
          </cell>
          <cell r="F123">
            <v>0</v>
          </cell>
          <cell r="H123" t="str">
            <v>C22</v>
          </cell>
          <cell r="J123">
            <v>0</v>
          </cell>
        </row>
        <row r="124">
          <cell r="B124" t="str">
            <v>Q2007040401A</v>
          </cell>
          <cell r="C124" t="str">
            <v>CHIP RESISTOR(1005)-RC1005J331CS</v>
          </cell>
          <cell r="D124" t="str">
            <v>F</v>
          </cell>
          <cell r="F124">
            <v>0</v>
          </cell>
          <cell r="H124" t="str">
            <v>C22</v>
          </cell>
          <cell r="J124">
            <v>0</v>
          </cell>
        </row>
        <row r="125">
          <cell r="B125" t="str">
            <v>Q2007040601A</v>
          </cell>
          <cell r="C125" t="str">
            <v>CHIP RESISTOR(1005)-RC1005J470CS</v>
          </cell>
          <cell r="D125" t="str">
            <v>F</v>
          </cell>
          <cell r="F125">
            <v>0</v>
          </cell>
          <cell r="H125" t="str">
            <v>C22</v>
          </cell>
          <cell r="J125">
            <v>0</v>
          </cell>
        </row>
        <row r="126">
          <cell r="B126" t="str">
            <v>Q2007040701A</v>
          </cell>
          <cell r="C126" t="str">
            <v>CHIP RESISTOR(1005)-RC1005J513CS</v>
          </cell>
          <cell r="D126" t="str">
            <v>F</v>
          </cell>
          <cell r="F126">
            <v>0</v>
          </cell>
          <cell r="H126" t="str">
            <v>C22</v>
          </cell>
          <cell r="J126">
            <v>0</v>
          </cell>
        </row>
        <row r="127">
          <cell r="B127" t="str">
            <v>Q2007040801A</v>
          </cell>
          <cell r="C127" t="str">
            <v>CHIP RESISTOR(1005)-RC1005J682CS</v>
          </cell>
          <cell r="D127" t="str">
            <v>F</v>
          </cell>
          <cell r="F127">
            <v>0</v>
          </cell>
          <cell r="H127" t="str">
            <v>C22</v>
          </cell>
          <cell r="J127">
            <v>0</v>
          </cell>
        </row>
        <row r="128">
          <cell r="B128" t="str">
            <v>Q2007041001A</v>
          </cell>
          <cell r="C128" t="str">
            <v>CHIP RESISTOR(1608)-RC1608J203CS</v>
          </cell>
          <cell r="D128" t="str">
            <v>F</v>
          </cell>
          <cell r="F128">
            <v>0</v>
          </cell>
          <cell r="H128" t="str">
            <v>C22</v>
          </cell>
          <cell r="J128">
            <v>0</v>
          </cell>
        </row>
        <row r="129">
          <cell r="B129" t="str">
            <v>Q2007041101A</v>
          </cell>
          <cell r="C129" t="str">
            <v>CHIP RESISTOR(1608)-RC1608F010CS</v>
          </cell>
          <cell r="D129" t="str">
            <v>F</v>
          </cell>
          <cell r="F129">
            <v>0</v>
          </cell>
          <cell r="H129" t="str">
            <v>C22</v>
          </cell>
          <cell r="J129">
            <v>0</v>
          </cell>
        </row>
        <row r="130">
          <cell r="B130" t="str">
            <v>Q2007041201A</v>
          </cell>
          <cell r="C130" t="str">
            <v>CHIP RESISTOR(1005,1%)-RC1005F471CS</v>
          </cell>
          <cell r="D130" t="str">
            <v>F</v>
          </cell>
          <cell r="F130">
            <v>0</v>
          </cell>
          <cell r="H130" t="str">
            <v>C22</v>
          </cell>
          <cell r="J130">
            <v>0</v>
          </cell>
        </row>
        <row r="131">
          <cell r="B131" t="str">
            <v>Q2007041301A</v>
          </cell>
          <cell r="C131" t="str">
            <v>CHIP RESISTOR(1005)-RC1005J241CS</v>
          </cell>
          <cell r="D131" t="str">
            <v>F</v>
          </cell>
          <cell r="F131">
            <v>0</v>
          </cell>
          <cell r="H131" t="str">
            <v>C22</v>
          </cell>
          <cell r="J131">
            <v>0</v>
          </cell>
        </row>
        <row r="132">
          <cell r="B132" t="str">
            <v>Q2007041401A</v>
          </cell>
          <cell r="C132" t="str">
            <v>CHIP RESISTOR(1005,1%)-RC1005F821CS</v>
          </cell>
          <cell r="D132" t="str">
            <v>F</v>
          </cell>
          <cell r="F132">
            <v>0</v>
          </cell>
          <cell r="H132" t="str">
            <v>C22</v>
          </cell>
          <cell r="J132">
            <v>0</v>
          </cell>
        </row>
        <row r="133">
          <cell r="B133" t="str">
            <v>Q2007041501A</v>
          </cell>
          <cell r="C133" t="str">
            <v>CHIP RESISTOR(1608)-RC1608F431CS</v>
          </cell>
          <cell r="D133" t="str">
            <v>F</v>
          </cell>
          <cell r="F133">
            <v>0</v>
          </cell>
          <cell r="H133" t="str">
            <v>C22</v>
          </cell>
          <cell r="J133">
            <v>0</v>
          </cell>
        </row>
        <row r="134">
          <cell r="B134" t="str">
            <v>Q2007041701A</v>
          </cell>
          <cell r="C134" t="str">
            <v>CHIP RESISTOR(1608)-RC1608J470CS</v>
          </cell>
          <cell r="D134" t="str">
            <v>F</v>
          </cell>
          <cell r="F134">
            <v>0</v>
          </cell>
          <cell r="H134" t="str">
            <v>C22</v>
          </cell>
          <cell r="J134">
            <v>0</v>
          </cell>
        </row>
        <row r="135">
          <cell r="B135" t="str">
            <v>Q2007041801A</v>
          </cell>
          <cell r="C135" t="str">
            <v>CHIP RESISTOR(1005)-RC1005J392CS</v>
          </cell>
          <cell r="D135" t="str">
            <v>F</v>
          </cell>
          <cell r="F135">
            <v>0</v>
          </cell>
          <cell r="H135" t="str">
            <v>C22</v>
          </cell>
          <cell r="J135">
            <v>0</v>
          </cell>
        </row>
        <row r="136">
          <cell r="B136" t="str">
            <v>Q2007041901A</v>
          </cell>
          <cell r="C136" t="str">
            <v>CHIP RESISTOR(1005)-RC1005J391CS</v>
          </cell>
          <cell r="D136" t="str">
            <v>F</v>
          </cell>
          <cell r="F136">
            <v>0</v>
          </cell>
          <cell r="H136" t="str">
            <v>C22</v>
          </cell>
          <cell r="J136">
            <v>0</v>
          </cell>
        </row>
        <row r="137">
          <cell r="B137" t="str">
            <v>Q2007042001A</v>
          </cell>
          <cell r="C137" t="str">
            <v>CHIP RESISTOR(1005)-RC1005F273CS</v>
          </cell>
          <cell r="D137" t="str">
            <v>F</v>
          </cell>
          <cell r="F137">
            <v>0</v>
          </cell>
          <cell r="J137">
            <v>0</v>
          </cell>
        </row>
        <row r="138">
          <cell r="B138" t="str">
            <v>Q2007042101A</v>
          </cell>
          <cell r="C138" t="str">
            <v>CHIP RESISTOR(1005)-RC1005F302CS</v>
          </cell>
          <cell r="D138" t="str">
            <v>F</v>
          </cell>
          <cell r="F138">
            <v>0</v>
          </cell>
          <cell r="J138">
            <v>0</v>
          </cell>
        </row>
        <row r="139">
          <cell r="B139" t="str">
            <v>Q2007042201A</v>
          </cell>
          <cell r="C139" t="str">
            <v>CHIP RESISTOR-RC1608F123CS</v>
          </cell>
          <cell r="D139" t="str">
            <v>F</v>
          </cell>
          <cell r="F139">
            <v>0</v>
          </cell>
          <cell r="J139">
            <v>0</v>
          </cell>
        </row>
        <row r="140">
          <cell r="B140" t="str">
            <v>Q2011000201A</v>
          </cell>
          <cell r="C140" t="str">
            <v>NR801.2.3.4[MNR14EOABJ333]</v>
          </cell>
          <cell r="D140" t="str">
            <v>F</v>
          </cell>
          <cell r="F140">
            <v>14</v>
          </cell>
          <cell r="G140" t="str">
            <v>KRW</v>
          </cell>
          <cell r="H140" t="str">
            <v>C56</v>
          </cell>
          <cell r="I140" t="str">
            <v>(주)로옴전자코리</v>
          </cell>
          <cell r="J140">
            <v>0</v>
          </cell>
        </row>
        <row r="141">
          <cell r="B141" t="str">
            <v>Q2201000301A</v>
          </cell>
          <cell r="C141" t="str">
            <v>CHIP CERAMIC COND(GHM1735 X7R 333K 250</v>
          </cell>
          <cell r="D141" t="str">
            <v>F</v>
          </cell>
          <cell r="F141">
            <v>83</v>
          </cell>
          <cell r="G141" t="str">
            <v>KRW</v>
          </cell>
          <cell r="H141" t="str">
            <v>C86</v>
          </cell>
          <cell r="I141" t="str">
            <v>(주)유니온</v>
          </cell>
          <cell r="J141">
            <v>0</v>
          </cell>
        </row>
        <row r="142">
          <cell r="B142" t="str">
            <v>Q2203007601A</v>
          </cell>
          <cell r="C142" t="str">
            <v>CHIP CAPACITOR-CL10B103KBNC</v>
          </cell>
          <cell r="D142" t="str">
            <v>F</v>
          </cell>
          <cell r="F142">
            <v>7</v>
          </cell>
          <cell r="G142" t="str">
            <v>KRW</v>
          </cell>
          <cell r="H142" t="str">
            <v>C56</v>
          </cell>
          <cell r="I142" t="str">
            <v>삼성전기(주)영업</v>
          </cell>
          <cell r="J142">
            <v>0</v>
          </cell>
        </row>
        <row r="143">
          <cell r="B143" t="str">
            <v>Q2203007701A</v>
          </cell>
          <cell r="C143" t="str">
            <v>CHIP CAPACITOR-CL10B104KONC</v>
          </cell>
          <cell r="D143" t="str">
            <v>F</v>
          </cell>
          <cell r="F143">
            <v>15</v>
          </cell>
          <cell r="G143" t="str">
            <v>KRW</v>
          </cell>
          <cell r="H143" t="str">
            <v>C56</v>
          </cell>
          <cell r="I143" t="str">
            <v>삼성전기(주)영업</v>
          </cell>
          <cell r="J143">
            <v>0</v>
          </cell>
        </row>
        <row r="144">
          <cell r="B144" t="str">
            <v>Q2203008201A</v>
          </cell>
          <cell r="C144" t="str">
            <v>CHIP CAPACITOR-CL10C222KBNC</v>
          </cell>
          <cell r="D144" t="str">
            <v>F</v>
          </cell>
          <cell r="F144">
            <v>6</v>
          </cell>
          <cell r="G144" t="str">
            <v>KRW</v>
          </cell>
          <cell r="H144" t="str">
            <v>C56</v>
          </cell>
          <cell r="I144" t="str">
            <v>삼성전기(주)영업</v>
          </cell>
          <cell r="J144">
            <v>0</v>
          </cell>
        </row>
        <row r="145">
          <cell r="B145" t="str">
            <v>Q2203009501A</v>
          </cell>
          <cell r="C145" t="str">
            <v>CHIP CAPACITOR-CL05C101JBNC</v>
          </cell>
          <cell r="D145" t="str">
            <v>F</v>
          </cell>
          <cell r="F145">
            <v>10</v>
          </cell>
          <cell r="G145" t="str">
            <v>KRW</v>
          </cell>
          <cell r="H145" t="str">
            <v>C22</v>
          </cell>
          <cell r="I145" t="str">
            <v>델타코퍼레이션</v>
          </cell>
          <cell r="J145">
            <v>0</v>
          </cell>
        </row>
        <row r="146">
          <cell r="B146" t="str">
            <v>Q2203009801A</v>
          </cell>
          <cell r="C146" t="str">
            <v>CHIP CAPACITOR-CL05C220JBNC</v>
          </cell>
          <cell r="D146" t="str">
            <v>F</v>
          </cell>
          <cell r="F146">
            <v>0</v>
          </cell>
          <cell r="H146" t="str">
            <v>C22</v>
          </cell>
          <cell r="J146">
            <v>0</v>
          </cell>
        </row>
        <row r="147">
          <cell r="B147" t="str">
            <v>Q2203010101A</v>
          </cell>
          <cell r="C147" t="str">
            <v>CHIP CAPACITOR-CL05B682KANC</v>
          </cell>
          <cell r="D147" t="str">
            <v>F</v>
          </cell>
          <cell r="F147">
            <v>0</v>
          </cell>
          <cell r="H147" t="str">
            <v>C22</v>
          </cell>
          <cell r="J147">
            <v>0</v>
          </cell>
        </row>
        <row r="148">
          <cell r="B148" t="str">
            <v>Q2203010301A</v>
          </cell>
          <cell r="C148" t="str">
            <v>CHIP CAPACITOR-CL05C820JBNC</v>
          </cell>
          <cell r="D148" t="str">
            <v>F</v>
          </cell>
          <cell r="F148">
            <v>10</v>
          </cell>
          <cell r="G148" t="str">
            <v>KRW</v>
          </cell>
          <cell r="H148" t="str">
            <v>C22</v>
          </cell>
          <cell r="I148" t="str">
            <v>델타코퍼레이션</v>
          </cell>
          <cell r="J148">
            <v>0</v>
          </cell>
        </row>
        <row r="149">
          <cell r="B149" t="str">
            <v>Q2203010901A</v>
          </cell>
          <cell r="C149" t="str">
            <v>CHIP CAPACITOR-CL10B221JBNC</v>
          </cell>
          <cell r="D149" t="str">
            <v>F</v>
          </cell>
          <cell r="F149">
            <v>12</v>
          </cell>
          <cell r="G149" t="str">
            <v>KRW</v>
          </cell>
          <cell r="H149" t="str">
            <v>C56</v>
          </cell>
          <cell r="I149" t="str">
            <v>델타코퍼레이션</v>
          </cell>
          <cell r="J149">
            <v>0</v>
          </cell>
        </row>
        <row r="150">
          <cell r="B150" t="str">
            <v>Q2203011001A</v>
          </cell>
          <cell r="C150" t="str">
            <v>CHIP CAPACITOR-CL10C331JBNC</v>
          </cell>
          <cell r="D150" t="str">
            <v>F</v>
          </cell>
          <cell r="F150">
            <v>12</v>
          </cell>
          <cell r="G150" t="str">
            <v>KRW</v>
          </cell>
          <cell r="H150" t="str">
            <v>C56</v>
          </cell>
          <cell r="I150" t="str">
            <v>리텍세미컴</v>
          </cell>
          <cell r="J150">
            <v>0</v>
          </cell>
        </row>
        <row r="151">
          <cell r="B151" t="str">
            <v>Q2203011301A</v>
          </cell>
          <cell r="C151" t="str">
            <v>CHIP CAPACITOR(1005)-CL05B103KBNC</v>
          </cell>
          <cell r="D151" t="str">
            <v>F</v>
          </cell>
          <cell r="F151">
            <v>7</v>
          </cell>
          <cell r="G151" t="str">
            <v>KRW</v>
          </cell>
          <cell r="H151" t="str">
            <v>C56</v>
          </cell>
          <cell r="I151" t="str">
            <v>델타코퍼레이션</v>
          </cell>
          <cell r="J151">
            <v>0</v>
          </cell>
        </row>
        <row r="152">
          <cell r="B152" t="str">
            <v>Q2203011401A</v>
          </cell>
          <cell r="C152" t="str">
            <v>CHIP CAPACITOR(1005)-CL05B104ZBNC</v>
          </cell>
          <cell r="D152" t="str">
            <v>F</v>
          </cell>
          <cell r="F152">
            <v>8</v>
          </cell>
          <cell r="G152" t="str">
            <v>KRW</v>
          </cell>
          <cell r="H152" t="str">
            <v>C56</v>
          </cell>
          <cell r="I152" t="str">
            <v>델타코퍼레이션</v>
          </cell>
          <cell r="J152">
            <v>0</v>
          </cell>
        </row>
        <row r="153">
          <cell r="B153" t="str">
            <v>Q2203011501A</v>
          </cell>
          <cell r="C153" t="str">
            <v>CHIP CAPACITOR(1005)-CL05B102KBNC</v>
          </cell>
          <cell r="D153" t="str">
            <v>F</v>
          </cell>
          <cell r="F153">
            <v>8</v>
          </cell>
          <cell r="G153" t="str">
            <v>KRW</v>
          </cell>
          <cell r="H153" t="str">
            <v>C56</v>
          </cell>
          <cell r="I153" t="str">
            <v>델타코퍼레이션</v>
          </cell>
          <cell r="J153">
            <v>0</v>
          </cell>
        </row>
        <row r="154">
          <cell r="B154" t="str">
            <v>Q2203012601A</v>
          </cell>
          <cell r="C154" t="str">
            <v>DIODE_HIGH VOLTAGE-DSC350SE</v>
          </cell>
          <cell r="D154" t="str">
            <v>F</v>
          </cell>
          <cell r="F154">
            <v>13</v>
          </cell>
          <cell r="G154" t="str">
            <v>JPY</v>
          </cell>
          <cell r="H154" t="str">
            <v>C26</v>
          </cell>
          <cell r="I154" t="str">
            <v>TOEI CORPORATION</v>
          </cell>
          <cell r="J154">
            <v>0</v>
          </cell>
        </row>
        <row r="155">
          <cell r="B155" t="str">
            <v>Q2203012701A</v>
          </cell>
          <cell r="C155" t="str">
            <v>CHIP CAPACITOR-DSC350SE</v>
          </cell>
          <cell r="D155" t="str">
            <v>F</v>
          </cell>
          <cell r="F155">
            <v>0</v>
          </cell>
          <cell r="H155" t="str">
            <v>C26</v>
          </cell>
          <cell r="J155">
            <v>0</v>
          </cell>
        </row>
        <row r="156">
          <cell r="B156" t="str">
            <v>Q2203012801A</v>
          </cell>
          <cell r="C156" t="str">
            <v>CHIP CAPACITOR-DSC350SE</v>
          </cell>
          <cell r="D156" t="str">
            <v>F</v>
          </cell>
          <cell r="F156">
            <v>0</v>
          </cell>
          <cell r="H156" t="str">
            <v>C26</v>
          </cell>
          <cell r="J156">
            <v>0</v>
          </cell>
        </row>
        <row r="157">
          <cell r="B157" t="str">
            <v>Q2203012901A</v>
          </cell>
          <cell r="C157" t="str">
            <v>CHIP CAPACITOR-DSC350SE</v>
          </cell>
          <cell r="D157" t="str">
            <v>F</v>
          </cell>
          <cell r="F157">
            <v>0</v>
          </cell>
          <cell r="H157" t="str">
            <v>C26</v>
          </cell>
          <cell r="J157">
            <v>0</v>
          </cell>
        </row>
        <row r="158">
          <cell r="B158" t="str">
            <v>Q2203013001A</v>
          </cell>
          <cell r="C158" t="str">
            <v>CHIP CAPACITOR(1608)-CL10F105ZPNC</v>
          </cell>
          <cell r="D158" t="str">
            <v>F</v>
          </cell>
          <cell r="F158">
            <v>0</v>
          </cell>
          <cell r="H158" t="str">
            <v>C22</v>
          </cell>
          <cell r="J158">
            <v>0</v>
          </cell>
        </row>
        <row r="159">
          <cell r="B159" t="str">
            <v>Q2203013201A</v>
          </cell>
          <cell r="C159" t="str">
            <v>CHIP CAPACITOR(1005)-CL05CO40KBNC</v>
          </cell>
          <cell r="D159" t="str">
            <v>F</v>
          </cell>
          <cell r="F159">
            <v>0</v>
          </cell>
          <cell r="H159" t="str">
            <v>C22</v>
          </cell>
          <cell r="J159">
            <v>0</v>
          </cell>
        </row>
        <row r="160">
          <cell r="B160" t="str">
            <v>Q2203013301A</v>
          </cell>
          <cell r="C160" t="str">
            <v>CHIP CAPACITOR(1005)-CL05C121JBNC</v>
          </cell>
          <cell r="D160" t="str">
            <v>F</v>
          </cell>
          <cell r="F160">
            <v>0</v>
          </cell>
          <cell r="H160" t="str">
            <v>C22</v>
          </cell>
          <cell r="J160">
            <v>0</v>
          </cell>
        </row>
        <row r="161">
          <cell r="B161" t="str">
            <v>Q2203013401A</v>
          </cell>
          <cell r="C161" t="str">
            <v>CHIP CAPACITOR(1005)-CL05B222KBNC</v>
          </cell>
          <cell r="D161" t="str">
            <v>F</v>
          </cell>
          <cell r="F161">
            <v>0</v>
          </cell>
          <cell r="H161" t="str">
            <v>C22</v>
          </cell>
          <cell r="J161">
            <v>0</v>
          </cell>
        </row>
        <row r="162">
          <cell r="B162" t="str">
            <v>Q2203013501A</v>
          </cell>
          <cell r="C162" t="str">
            <v>CHIP CAPACITOR(1005)-CL05B271KBNC</v>
          </cell>
          <cell r="D162" t="str">
            <v>F</v>
          </cell>
          <cell r="F162">
            <v>0</v>
          </cell>
          <cell r="H162" t="str">
            <v>C22</v>
          </cell>
          <cell r="J162">
            <v>0</v>
          </cell>
        </row>
        <row r="163">
          <cell r="B163" t="str">
            <v>Q2203013601A</v>
          </cell>
          <cell r="C163" t="str">
            <v>CHIP CAPACITOR(1005)-CL05B270KBNC</v>
          </cell>
          <cell r="D163" t="str">
            <v>F</v>
          </cell>
          <cell r="F163">
            <v>0</v>
          </cell>
          <cell r="H163" t="str">
            <v>C22</v>
          </cell>
          <cell r="J163">
            <v>0</v>
          </cell>
        </row>
        <row r="164">
          <cell r="B164" t="str">
            <v>Q2203013701A</v>
          </cell>
          <cell r="C164" t="str">
            <v>CHIP CAPACITOR(1005)-CL05B333KONC</v>
          </cell>
          <cell r="D164" t="str">
            <v>F</v>
          </cell>
          <cell r="F164">
            <v>0</v>
          </cell>
          <cell r="H164" t="str">
            <v>C22</v>
          </cell>
          <cell r="J164">
            <v>0</v>
          </cell>
        </row>
        <row r="165">
          <cell r="B165" t="str">
            <v>Q2203013801A</v>
          </cell>
          <cell r="C165" t="str">
            <v>CHIP CAPACITOR(1005)-CL05B391KBNC</v>
          </cell>
          <cell r="D165" t="str">
            <v>F</v>
          </cell>
          <cell r="F165">
            <v>0</v>
          </cell>
          <cell r="H165" t="str">
            <v>C22</v>
          </cell>
          <cell r="J165">
            <v>0</v>
          </cell>
        </row>
        <row r="166">
          <cell r="B166" t="str">
            <v>Q2203013901A</v>
          </cell>
          <cell r="C166" t="str">
            <v>CHIP CAPACITOR(1005)-CL05B683KONC</v>
          </cell>
          <cell r="D166" t="str">
            <v>F</v>
          </cell>
          <cell r="F166">
            <v>0</v>
          </cell>
          <cell r="H166" t="str">
            <v>C22</v>
          </cell>
          <cell r="J166">
            <v>0</v>
          </cell>
        </row>
        <row r="167">
          <cell r="B167" t="str">
            <v>Q2203014001A</v>
          </cell>
          <cell r="C167" t="str">
            <v>CHIP CAPACITOR(1005)-CL05C3R9CBKN</v>
          </cell>
          <cell r="D167" t="str">
            <v>F</v>
          </cell>
          <cell r="F167">
            <v>0</v>
          </cell>
          <cell r="H167" t="str">
            <v>C22</v>
          </cell>
          <cell r="J167">
            <v>0</v>
          </cell>
        </row>
        <row r="168">
          <cell r="B168" t="str">
            <v>Q2203014101A</v>
          </cell>
          <cell r="C168" t="str">
            <v>CHIP CAPACITOR(1005)-CL05C8R2CBNC</v>
          </cell>
          <cell r="D168" t="str">
            <v>F</v>
          </cell>
          <cell r="F168">
            <v>0</v>
          </cell>
          <cell r="H168" t="str">
            <v>C22</v>
          </cell>
          <cell r="J168">
            <v>0</v>
          </cell>
        </row>
        <row r="169">
          <cell r="B169" t="str">
            <v>Q2203014301A</v>
          </cell>
          <cell r="C169" t="str">
            <v>CHIP CAPACITOR(3216)-CL31F335ZONE</v>
          </cell>
          <cell r="D169" t="str">
            <v>F</v>
          </cell>
          <cell r="F169">
            <v>0</v>
          </cell>
          <cell r="H169" t="str">
            <v>C22</v>
          </cell>
          <cell r="J169">
            <v>0</v>
          </cell>
        </row>
        <row r="170">
          <cell r="B170" t="str">
            <v>Q2203014501A</v>
          </cell>
          <cell r="C170" t="str">
            <v>CHIP CAPACITOR(1005)-CL05C100DBNC</v>
          </cell>
          <cell r="D170" t="str">
            <v>F</v>
          </cell>
          <cell r="F170">
            <v>0</v>
          </cell>
          <cell r="H170" t="str">
            <v>C22</v>
          </cell>
          <cell r="J170">
            <v>0</v>
          </cell>
        </row>
        <row r="171">
          <cell r="B171" t="str">
            <v>Q2203014601A</v>
          </cell>
          <cell r="C171" t="str">
            <v>CHIP TANTAL CAPACITOR-10㎌/10V(A)</v>
          </cell>
          <cell r="D171" t="str">
            <v>F</v>
          </cell>
          <cell r="F171">
            <v>0</v>
          </cell>
          <cell r="H171" t="str">
            <v>C22</v>
          </cell>
          <cell r="J171">
            <v>0</v>
          </cell>
        </row>
        <row r="172">
          <cell r="B172" t="str">
            <v>Q2203014701A</v>
          </cell>
          <cell r="C172" t="str">
            <v>CHIP CAPACITOR(2012)-CL21F105ZBNC</v>
          </cell>
          <cell r="D172" t="str">
            <v>F</v>
          </cell>
          <cell r="F172">
            <v>0</v>
          </cell>
          <cell r="J172">
            <v>0</v>
          </cell>
        </row>
        <row r="173">
          <cell r="B173" t="str">
            <v>Q2203014801A</v>
          </cell>
          <cell r="C173" t="str">
            <v>CHIP CAPACITOR(1608)-CL1OC100CBNC</v>
          </cell>
          <cell r="D173" t="str">
            <v>F</v>
          </cell>
          <cell r="F173">
            <v>0</v>
          </cell>
          <cell r="H173" t="str">
            <v>C22</v>
          </cell>
          <cell r="J173">
            <v>0</v>
          </cell>
        </row>
        <row r="174">
          <cell r="B174" t="str">
            <v>Q2203015001A</v>
          </cell>
          <cell r="C174" t="str">
            <v>CHIP CAPACITOR(1005,5%)-CL05B104JPNC</v>
          </cell>
          <cell r="D174" t="str">
            <v>F</v>
          </cell>
          <cell r="F174">
            <v>0</v>
          </cell>
          <cell r="J174">
            <v>0</v>
          </cell>
        </row>
        <row r="175">
          <cell r="B175" t="str">
            <v>Q2203015601A</v>
          </cell>
          <cell r="C175" t="str">
            <v>CHIP CAPACITOR(3216)-CL31F226ZPNE</v>
          </cell>
          <cell r="D175" t="str">
            <v>F</v>
          </cell>
          <cell r="F175">
            <v>0</v>
          </cell>
          <cell r="H175" t="str">
            <v>C22</v>
          </cell>
          <cell r="J175">
            <v>0</v>
          </cell>
        </row>
        <row r="176">
          <cell r="B176" t="str">
            <v>Q2203015701A</v>
          </cell>
          <cell r="C176" t="str">
            <v>CHIP CAPACITOR(2012)-CL21F475ZPNC</v>
          </cell>
          <cell r="D176" t="str">
            <v>F</v>
          </cell>
          <cell r="F176">
            <v>0</v>
          </cell>
          <cell r="H176" t="str">
            <v>C22</v>
          </cell>
          <cell r="J176">
            <v>0</v>
          </cell>
        </row>
        <row r="177">
          <cell r="B177" t="str">
            <v>Q2203015901A</v>
          </cell>
          <cell r="C177" t="str">
            <v>CHIP CAPACITOR(1608)-CL10C221JBNC</v>
          </cell>
          <cell r="D177" t="str">
            <v>F</v>
          </cell>
          <cell r="F177">
            <v>0</v>
          </cell>
          <cell r="J177">
            <v>0</v>
          </cell>
        </row>
        <row r="178">
          <cell r="B178" t="str">
            <v>Q2203016001A</v>
          </cell>
          <cell r="C178" t="str">
            <v>CHIP CAPACITOR(1005)-CL05B103JBNC</v>
          </cell>
          <cell r="D178" t="str">
            <v>F</v>
          </cell>
          <cell r="F178">
            <v>0</v>
          </cell>
          <cell r="J178">
            <v>0</v>
          </cell>
        </row>
        <row r="179">
          <cell r="B179" t="str">
            <v>Q2203016101A</v>
          </cell>
          <cell r="C179" t="str">
            <v>CHIP TANTAL CAPACITOR-TPM0J106PSSR</v>
          </cell>
          <cell r="D179" t="str">
            <v>F</v>
          </cell>
          <cell r="F179">
            <v>0</v>
          </cell>
          <cell r="J179">
            <v>0</v>
          </cell>
        </row>
        <row r="180">
          <cell r="B180" t="str">
            <v>Q2401004601A</v>
          </cell>
          <cell r="C180" t="str">
            <v>MAIN CONDENSOR[180UF/300V]</v>
          </cell>
          <cell r="D180" t="str">
            <v>F</v>
          </cell>
          <cell r="F180">
            <v>0.44</v>
          </cell>
          <cell r="G180" t="str">
            <v>USD</v>
          </cell>
          <cell r="H180" t="str">
            <v>C17</v>
          </cell>
          <cell r="I180" t="str">
            <v>DALON ELECTRONIC</v>
          </cell>
          <cell r="J180">
            <v>0</v>
          </cell>
        </row>
        <row r="181">
          <cell r="B181" t="str">
            <v>Q2403005301A</v>
          </cell>
          <cell r="C181" t="str">
            <v>CHIP TANTAL CAPACITOR-DIGIMAX220SE</v>
          </cell>
          <cell r="D181" t="str">
            <v>F</v>
          </cell>
          <cell r="F181">
            <v>110</v>
          </cell>
          <cell r="G181" t="str">
            <v>KRW</v>
          </cell>
          <cell r="I181" t="str">
            <v>에스엔티전자(주)</v>
          </cell>
          <cell r="J181">
            <v>0</v>
          </cell>
        </row>
        <row r="182">
          <cell r="B182" t="str">
            <v>Q2403005501A</v>
          </cell>
          <cell r="C182" t="str">
            <v>CHIP TANTAL CAPACITOR-DIGIMAX220SE</v>
          </cell>
          <cell r="D182" t="str">
            <v>F</v>
          </cell>
          <cell r="F182">
            <v>230</v>
          </cell>
          <cell r="G182" t="str">
            <v>KRW</v>
          </cell>
          <cell r="I182" t="str">
            <v>에스엔티전자(주)</v>
          </cell>
          <cell r="J182">
            <v>0</v>
          </cell>
        </row>
        <row r="183">
          <cell r="B183" t="str">
            <v>Q2403005801A</v>
          </cell>
          <cell r="C183" t="str">
            <v>CHIP TANTAL CAPACITOR-DIGIMAX220SE</v>
          </cell>
          <cell r="D183" t="str">
            <v>F</v>
          </cell>
          <cell r="F183">
            <v>0</v>
          </cell>
          <cell r="J183">
            <v>0</v>
          </cell>
        </row>
        <row r="184">
          <cell r="B184" t="str">
            <v>Q2603002201A</v>
          </cell>
          <cell r="C184" t="str">
            <v>TRANSFOMER-CLQ52(CCD)</v>
          </cell>
          <cell r="D184" t="str">
            <v>F</v>
          </cell>
          <cell r="F184">
            <v>0.4</v>
          </cell>
          <cell r="G184" t="str">
            <v>USD</v>
          </cell>
          <cell r="H184" t="str">
            <v>C22</v>
          </cell>
          <cell r="I184" t="str">
            <v>SUMIDA TRADING C</v>
          </cell>
          <cell r="J184">
            <v>0</v>
          </cell>
        </row>
        <row r="185">
          <cell r="B185" t="str">
            <v>Q2603002501A</v>
          </cell>
          <cell r="C185" t="str">
            <v>OSC TRANS-SM22</v>
          </cell>
          <cell r="D185" t="str">
            <v>F</v>
          </cell>
          <cell r="F185">
            <v>0</v>
          </cell>
          <cell r="H185" t="str">
            <v>C22</v>
          </cell>
          <cell r="J185">
            <v>0</v>
          </cell>
        </row>
        <row r="186">
          <cell r="B186" t="str">
            <v>Q2701001001A</v>
          </cell>
          <cell r="C186" t="str">
            <v>INDUCTOR-DSC350SE</v>
          </cell>
          <cell r="D186" t="str">
            <v>F</v>
          </cell>
          <cell r="F186">
            <v>0.25</v>
          </cell>
          <cell r="G186" t="str">
            <v>USD</v>
          </cell>
          <cell r="H186" t="str">
            <v>C26</v>
          </cell>
          <cell r="I186" t="str">
            <v>TOKO HONGKONG</v>
          </cell>
          <cell r="J186">
            <v>0</v>
          </cell>
        </row>
        <row r="187">
          <cell r="B187" t="str">
            <v>Q2703001001A</v>
          </cell>
          <cell r="C187" t="str">
            <v>CHIP COIL-FLC32-470K [INDUCTOR]</v>
          </cell>
          <cell r="D187" t="str">
            <v>F</v>
          </cell>
          <cell r="F187">
            <v>6</v>
          </cell>
          <cell r="G187" t="str">
            <v>JPY</v>
          </cell>
          <cell r="H187" t="str">
            <v>C50</v>
          </cell>
          <cell r="I187" t="str">
            <v>RIVER ELETEC COR</v>
          </cell>
          <cell r="J187">
            <v>0</v>
          </cell>
        </row>
        <row r="188">
          <cell r="B188" t="str">
            <v>Q2703001301A</v>
          </cell>
          <cell r="C188" t="str">
            <v>FERRITE BAED(POWER)-HF70ACC201209-T[CO</v>
          </cell>
          <cell r="D188" t="str">
            <v>F</v>
          </cell>
          <cell r="F188">
            <v>8</v>
          </cell>
          <cell r="G188" t="str">
            <v>JPY</v>
          </cell>
          <cell r="H188" t="str">
            <v>V02</v>
          </cell>
          <cell r="I188" t="str">
            <v>T.E ELECTRONIC</v>
          </cell>
          <cell r="J188">
            <v>0</v>
          </cell>
        </row>
        <row r="189">
          <cell r="B189" t="str">
            <v>Q2703001401A</v>
          </cell>
          <cell r="C189" t="str">
            <v>FERRITE BAED(SIGNAL)-ACB1608M-040-T</v>
          </cell>
          <cell r="D189" t="str">
            <v>F</v>
          </cell>
          <cell r="F189">
            <v>6</v>
          </cell>
          <cell r="G189" t="str">
            <v>JPY</v>
          </cell>
          <cell r="H189" t="str">
            <v>V02</v>
          </cell>
          <cell r="I189" t="str">
            <v>T.E ELECTRONIC</v>
          </cell>
          <cell r="J189">
            <v>0</v>
          </cell>
        </row>
        <row r="190">
          <cell r="B190" t="str">
            <v>Q2703001901A</v>
          </cell>
          <cell r="C190" t="str">
            <v>FERRITE BEAD(SIGNAL)-HB-1M1608-601JT</v>
          </cell>
          <cell r="D190" t="str">
            <v>F</v>
          </cell>
          <cell r="F190">
            <v>26</v>
          </cell>
          <cell r="G190" t="str">
            <v>KRW</v>
          </cell>
          <cell r="H190" t="str">
            <v>C56</v>
          </cell>
          <cell r="I190" t="str">
            <v>(주)쎄라텍</v>
          </cell>
          <cell r="J190">
            <v>0</v>
          </cell>
        </row>
        <row r="191">
          <cell r="B191" t="str">
            <v>Q2703002501A</v>
          </cell>
          <cell r="C191" t="str">
            <v>CHIP INDUCTOR-DSC350SE</v>
          </cell>
          <cell r="D191" t="str">
            <v>F</v>
          </cell>
          <cell r="F191">
            <v>13</v>
          </cell>
          <cell r="G191" t="str">
            <v>JPY</v>
          </cell>
          <cell r="H191" t="str">
            <v>C26</v>
          </cell>
          <cell r="I191" t="str">
            <v>RIVER ELETEC COR</v>
          </cell>
          <cell r="J191">
            <v>0</v>
          </cell>
        </row>
        <row r="192">
          <cell r="B192" t="str">
            <v>Q2703002701A</v>
          </cell>
          <cell r="C192" t="str">
            <v>CHIP INDUCTOR-DSC350SE</v>
          </cell>
          <cell r="D192" t="str">
            <v>F</v>
          </cell>
          <cell r="F192">
            <v>10</v>
          </cell>
          <cell r="G192" t="str">
            <v>JPY</v>
          </cell>
          <cell r="H192" t="str">
            <v>C26</v>
          </cell>
          <cell r="I192" t="str">
            <v>TDK</v>
          </cell>
          <cell r="J192">
            <v>0</v>
          </cell>
        </row>
        <row r="193">
          <cell r="B193" t="str">
            <v>Q2703002801A</v>
          </cell>
          <cell r="C193" t="str">
            <v>FERRITE BEAD-DSC350SE</v>
          </cell>
          <cell r="D193" t="str">
            <v>F</v>
          </cell>
          <cell r="F193">
            <v>2</v>
          </cell>
          <cell r="G193" t="str">
            <v>JPY</v>
          </cell>
          <cell r="H193" t="str">
            <v>C26</v>
          </cell>
          <cell r="I193" t="str">
            <v>TDK</v>
          </cell>
          <cell r="J193">
            <v>0</v>
          </cell>
        </row>
        <row r="194">
          <cell r="B194" t="str">
            <v>Q2703002901A</v>
          </cell>
          <cell r="C194" t="str">
            <v>FERRITE BEAD-DSC350SE</v>
          </cell>
          <cell r="D194" t="str">
            <v>F</v>
          </cell>
          <cell r="F194">
            <v>2</v>
          </cell>
          <cell r="G194" t="str">
            <v>JPY</v>
          </cell>
          <cell r="H194" t="str">
            <v>C26</v>
          </cell>
          <cell r="I194" t="str">
            <v>TDK</v>
          </cell>
          <cell r="J194">
            <v>0</v>
          </cell>
        </row>
        <row r="195">
          <cell r="B195" t="str">
            <v>Q2703003001A</v>
          </cell>
          <cell r="C195" t="str">
            <v>CHIP INDUCTOR-CDRH4D28_220</v>
          </cell>
          <cell r="D195" t="str">
            <v>F</v>
          </cell>
          <cell r="F195">
            <v>0.25</v>
          </cell>
          <cell r="G195" t="str">
            <v>USD</v>
          </cell>
          <cell r="H195" t="str">
            <v>C22</v>
          </cell>
          <cell r="I195" t="str">
            <v>SUMIDA TRADING C</v>
          </cell>
          <cell r="J195">
            <v>0</v>
          </cell>
        </row>
        <row r="196">
          <cell r="B196" t="str">
            <v>Q2703003301A</v>
          </cell>
          <cell r="C196" t="str">
            <v>CHIP INDUCTOR-FI_B2012_472KJT/CIL21J4R</v>
          </cell>
          <cell r="D196" t="str">
            <v>F</v>
          </cell>
          <cell r="F196">
            <v>0</v>
          </cell>
          <cell r="H196" t="str">
            <v>C22</v>
          </cell>
          <cell r="J196">
            <v>0</v>
          </cell>
        </row>
        <row r="197">
          <cell r="B197" t="str">
            <v>Q2801000801A</v>
          </cell>
          <cell r="C197" t="str">
            <v>X TAL-FCX03(36.00M)</v>
          </cell>
          <cell r="D197" t="str">
            <v>F</v>
          </cell>
          <cell r="F197">
            <v>63</v>
          </cell>
          <cell r="G197" t="str">
            <v>JPY</v>
          </cell>
          <cell r="H197" t="str">
            <v>C50</v>
          </cell>
          <cell r="I197" t="str">
            <v>RIVER ELETEC COR</v>
          </cell>
          <cell r="J197">
            <v>0</v>
          </cell>
        </row>
        <row r="198">
          <cell r="B198" t="str">
            <v>Q2801001301A</v>
          </cell>
          <cell r="C198" t="str">
            <v>X-TAL-FCX03(12.00M)</v>
          </cell>
          <cell r="D198" t="str">
            <v>F</v>
          </cell>
          <cell r="F198">
            <v>63</v>
          </cell>
          <cell r="G198" t="str">
            <v>JPY</v>
          </cell>
          <cell r="H198" t="str">
            <v>C50</v>
          </cell>
          <cell r="I198" t="str">
            <v>RIVER ELETEC COR</v>
          </cell>
          <cell r="J198">
            <v>0</v>
          </cell>
        </row>
        <row r="199">
          <cell r="B199" t="str">
            <v>Q2801001401A</v>
          </cell>
          <cell r="C199" t="str">
            <v>X-TAL-FCX03(13.50M)</v>
          </cell>
          <cell r="D199" t="str">
            <v>F</v>
          </cell>
          <cell r="F199">
            <v>63</v>
          </cell>
          <cell r="G199" t="str">
            <v>JPY</v>
          </cell>
          <cell r="H199" t="str">
            <v>C50</v>
          </cell>
          <cell r="I199" t="str">
            <v>RIVER ELETEC COR</v>
          </cell>
          <cell r="J199">
            <v>0</v>
          </cell>
        </row>
        <row r="200">
          <cell r="B200" t="str">
            <v>Q2801001701A</v>
          </cell>
          <cell r="C200" t="str">
            <v>RESONANT-CSTCR6M00G53-R0</v>
          </cell>
          <cell r="D200" t="str">
            <v>F</v>
          </cell>
          <cell r="F200">
            <v>11</v>
          </cell>
          <cell r="G200" t="str">
            <v>JPY</v>
          </cell>
          <cell r="H200" t="str">
            <v>C26</v>
          </cell>
          <cell r="I200" t="str">
            <v>MURATA CO.</v>
          </cell>
          <cell r="J200">
            <v>0</v>
          </cell>
        </row>
        <row r="201">
          <cell r="B201" t="str">
            <v>Q2901000401A</v>
          </cell>
          <cell r="C201" t="str">
            <v>COMMON MODE FILTER-DSC220SE</v>
          </cell>
          <cell r="D201" t="str">
            <v>F</v>
          </cell>
          <cell r="F201">
            <v>0</v>
          </cell>
          <cell r="J201">
            <v>0</v>
          </cell>
        </row>
        <row r="202">
          <cell r="B202" t="str">
            <v>Q2901000501A</v>
          </cell>
          <cell r="C202" t="str">
            <v>COMMON MODE FILTER-DSC220SE</v>
          </cell>
          <cell r="D202" t="str">
            <v>F</v>
          </cell>
          <cell r="F202">
            <v>39</v>
          </cell>
          <cell r="G202" t="str">
            <v>JPY</v>
          </cell>
          <cell r="H202" t="str">
            <v>C15</v>
          </cell>
          <cell r="I202" t="str">
            <v>MURATA CO.</v>
          </cell>
          <cell r="J202">
            <v>0</v>
          </cell>
        </row>
        <row r="203">
          <cell r="B203" t="str">
            <v>Q2904000801A</v>
          </cell>
          <cell r="C203" t="str">
            <v>OLPF-DSC350SE</v>
          </cell>
          <cell r="D203" t="str">
            <v>F</v>
          </cell>
          <cell r="F203">
            <v>195</v>
          </cell>
          <cell r="G203" t="str">
            <v>JPY</v>
          </cell>
          <cell r="H203" t="str">
            <v>C91</v>
          </cell>
          <cell r="I203" t="str">
            <v>DAISHINKU CORP.</v>
          </cell>
          <cell r="J203">
            <v>0</v>
          </cell>
        </row>
        <row r="204">
          <cell r="B204" t="str">
            <v>Q3301000601A</v>
          </cell>
          <cell r="C204" t="str">
            <v>VIDEO용 EMI CORE-ZCAP2035-0930A(TDK)</v>
          </cell>
          <cell r="D204" t="str">
            <v>F</v>
          </cell>
          <cell r="F204">
            <v>640</v>
          </cell>
          <cell r="G204" t="str">
            <v>KRW</v>
          </cell>
          <cell r="H204" t="str">
            <v>C53</v>
          </cell>
          <cell r="I204" t="str">
            <v>웰컴텍</v>
          </cell>
          <cell r="J204">
            <v>0</v>
          </cell>
        </row>
        <row r="205">
          <cell r="B205" t="str">
            <v>Q3403000201A</v>
          </cell>
          <cell r="C205" t="str">
            <v>RELEASE SWITCH-DSC350SE</v>
          </cell>
          <cell r="D205" t="str">
            <v>F</v>
          </cell>
          <cell r="F205">
            <v>12</v>
          </cell>
          <cell r="G205" t="str">
            <v>JPY</v>
          </cell>
          <cell r="H205" t="str">
            <v>C26</v>
          </cell>
          <cell r="I205" t="str">
            <v>SHINMEI ELECTRIC</v>
          </cell>
          <cell r="J205">
            <v>0</v>
          </cell>
        </row>
        <row r="206">
          <cell r="B206" t="str">
            <v>Q3404001001A</v>
          </cell>
          <cell r="C206" t="str">
            <v>TACT SWITCH-DSC350SE</v>
          </cell>
          <cell r="D206" t="str">
            <v>F</v>
          </cell>
          <cell r="F206">
            <v>8</v>
          </cell>
          <cell r="G206" t="str">
            <v>JPY</v>
          </cell>
          <cell r="H206" t="str">
            <v>C26</v>
          </cell>
          <cell r="I206" t="str">
            <v>ALPS</v>
          </cell>
          <cell r="J206">
            <v>0</v>
          </cell>
        </row>
        <row r="207">
          <cell r="B207" t="str">
            <v>Q3404001101A</v>
          </cell>
          <cell r="C207" t="str">
            <v>TACT SWITCH-DSC350SE</v>
          </cell>
          <cell r="D207" t="str">
            <v>F</v>
          </cell>
          <cell r="F207">
            <v>100</v>
          </cell>
          <cell r="G207" t="str">
            <v>JPY</v>
          </cell>
          <cell r="H207" t="str">
            <v>C26</v>
          </cell>
          <cell r="I207" t="str">
            <v>ALPS</v>
          </cell>
          <cell r="J207">
            <v>0</v>
          </cell>
        </row>
        <row r="208">
          <cell r="B208" t="str">
            <v>Q3409000301A</v>
          </cell>
          <cell r="C208" t="str">
            <v>LOAD SWITCH-DIGIMAX220SE</v>
          </cell>
          <cell r="D208" t="str">
            <v>F</v>
          </cell>
          <cell r="F208">
            <v>0.18</v>
          </cell>
          <cell r="G208" t="str">
            <v>USD</v>
          </cell>
          <cell r="H208" t="str">
            <v>C26</v>
          </cell>
          <cell r="I208" t="str">
            <v>Advanced Analogi</v>
          </cell>
          <cell r="J208">
            <v>0</v>
          </cell>
        </row>
        <row r="209">
          <cell r="B209" t="str">
            <v>Q3409000801A</v>
          </cell>
          <cell r="C209" t="str">
            <v>DETECT SWITCH-DSC350SE</v>
          </cell>
          <cell r="D209" t="str">
            <v>F</v>
          </cell>
          <cell r="F209">
            <v>10</v>
          </cell>
          <cell r="G209" t="str">
            <v>JPY</v>
          </cell>
          <cell r="H209" t="str">
            <v>C26</v>
          </cell>
          <cell r="I209" t="str">
            <v>SHINMEI ELECTRIC</v>
          </cell>
          <cell r="J209">
            <v>0</v>
          </cell>
        </row>
        <row r="210">
          <cell r="B210" t="str">
            <v>Q3409000901A</v>
          </cell>
          <cell r="C210" t="str">
            <v>ANALOG SWITCH-KIC7W66FU</v>
          </cell>
          <cell r="D210" t="str">
            <v>F</v>
          </cell>
          <cell r="F210">
            <v>0</v>
          </cell>
          <cell r="J210">
            <v>0</v>
          </cell>
        </row>
        <row r="211">
          <cell r="B211" t="str">
            <v>Q3601000201A</v>
          </cell>
          <cell r="C211" t="str">
            <v>CHIP FUSE-FCC20(2A)</v>
          </cell>
          <cell r="D211" t="str">
            <v>F</v>
          </cell>
          <cell r="F211">
            <v>120</v>
          </cell>
          <cell r="G211" t="str">
            <v>KRW</v>
          </cell>
          <cell r="H211" t="str">
            <v>C56</v>
          </cell>
          <cell r="I211" t="str">
            <v>서일전자공업(주)</v>
          </cell>
          <cell r="J211">
            <v>0</v>
          </cell>
        </row>
        <row r="212">
          <cell r="B212" t="str">
            <v>Q3708002401A</v>
          </cell>
          <cell r="C212" t="str">
            <v>CF EJECTOR(CONNECTOR HOUSING)-JC26FSLH</v>
          </cell>
          <cell r="D212" t="str">
            <v>F</v>
          </cell>
          <cell r="F212">
            <v>72</v>
          </cell>
          <cell r="G212" t="str">
            <v>JPY</v>
          </cell>
          <cell r="H212" t="str">
            <v>C46</v>
          </cell>
          <cell r="I212" t="str">
            <v>JAPAN AVIATION E</v>
          </cell>
          <cell r="J212">
            <v>0</v>
          </cell>
        </row>
        <row r="213">
          <cell r="B213" t="str">
            <v>Q3708003401A</v>
          </cell>
          <cell r="C213" t="str">
            <v>CONNECTOR-04_6239_020_001_800(LENS)</v>
          </cell>
          <cell r="D213" t="str">
            <v>F</v>
          </cell>
          <cell r="F213">
            <v>239</v>
          </cell>
          <cell r="G213" t="str">
            <v>KRW</v>
          </cell>
          <cell r="H213" t="str">
            <v>C22</v>
          </cell>
          <cell r="I213" t="str">
            <v>교세라엘코코리아</v>
          </cell>
          <cell r="J213">
            <v>0</v>
          </cell>
        </row>
        <row r="214">
          <cell r="B214" t="str">
            <v>Q3708003501A</v>
          </cell>
          <cell r="C214" t="str">
            <v>CONNECTOR-04_6239_024_001_800(KEY&amp;LCD)</v>
          </cell>
          <cell r="D214" t="str">
            <v>F</v>
          </cell>
          <cell r="F214">
            <v>279</v>
          </cell>
          <cell r="G214" t="str">
            <v>KRW</v>
          </cell>
          <cell r="H214" t="str">
            <v>C22</v>
          </cell>
          <cell r="I214" t="str">
            <v>교세라엘코코리아</v>
          </cell>
          <cell r="J214">
            <v>0</v>
          </cell>
        </row>
        <row r="215">
          <cell r="B215" t="str">
            <v>Q3708003601A</v>
          </cell>
          <cell r="C215" t="str">
            <v>CONNECTOR-24_5645_060_000_829(MAIN&amp;POW</v>
          </cell>
          <cell r="D215" t="str">
            <v>F</v>
          </cell>
          <cell r="F215">
            <v>631</v>
          </cell>
          <cell r="G215" t="str">
            <v>KRW</v>
          </cell>
          <cell r="H215" t="str">
            <v>C22</v>
          </cell>
          <cell r="I215" t="str">
            <v>교세라엘코코리아</v>
          </cell>
          <cell r="J215">
            <v>0</v>
          </cell>
        </row>
        <row r="216">
          <cell r="B216" t="str">
            <v>Q3708003701A</v>
          </cell>
          <cell r="C216" t="str">
            <v>CONNECTOR-14_5645_060_000_829(MAIN&amp;POW</v>
          </cell>
          <cell r="D216" t="str">
            <v>F</v>
          </cell>
          <cell r="F216">
            <v>533</v>
          </cell>
          <cell r="G216" t="str">
            <v>KRW</v>
          </cell>
          <cell r="H216" t="str">
            <v>C22</v>
          </cell>
          <cell r="I216" t="str">
            <v>교세라엘코코리아</v>
          </cell>
          <cell r="J216">
            <v>0</v>
          </cell>
        </row>
        <row r="217">
          <cell r="B217" t="str">
            <v>Q3708003801A</v>
          </cell>
          <cell r="C217" t="str">
            <v>CONNECTOR-04_6254_012_000_800</v>
          </cell>
          <cell r="D217" t="str">
            <v>F</v>
          </cell>
          <cell r="F217">
            <v>0</v>
          </cell>
          <cell r="H217" t="str">
            <v>C22</v>
          </cell>
          <cell r="J217">
            <v>0</v>
          </cell>
        </row>
        <row r="218">
          <cell r="B218" t="str">
            <v>Q3708003901A</v>
          </cell>
          <cell r="C218" t="str">
            <v>CONNECTOR-21FXL_RSM1_TB</v>
          </cell>
          <cell r="D218" t="str">
            <v>F</v>
          </cell>
          <cell r="F218">
            <v>0</v>
          </cell>
          <cell r="H218" t="str">
            <v>C22</v>
          </cell>
          <cell r="J218">
            <v>0</v>
          </cell>
        </row>
        <row r="219">
          <cell r="B219" t="str">
            <v>Q3708004001A</v>
          </cell>
          <cell r="C219" t="str">
            <v>CONNECTOR-24FLH_SM1_TB</v>
          </cell>
          <cell r="D219" t="str">
            <v>F</v>
          </cell>
          <cell r="F219">
            <v>0</v>
          </cell>
          <cell r="H219" t="str">
            <v>C22</v>
          </cell>
          <cell r="J219">
            <v>0</v>
          </cell>
        </row>
        <row r="220">
          <cell r="B220" t="str">
            <v>Q3711000301A</v>
          </cell>
          <cell r="C220" t="str">
            <v>CF HEADER-JC26-BB16-E800</v>
          </cell>
          <cell r="D220" t="str">
            <v>F</v>
          </cell>
          <cell r="F220">
            <v>71</v>
          </cell>
          <cell r="G220" t="str">
            <v>JPY</v>
          </cell>
          <cell r="H220" t="str">
            <v>C46</v>
          </cell>
          <cell r="I220" t="str">
            <v>JAPAN AVIATION E</v>
          </cell>
          <cell r="J220">
            <v>0</v>
          </cell>
        </row>
        <row r="221">
          <cell r="B221" t="str">
            <v>Q3717000301A</v>
          </cell>
          <cell r="C221" t="str">
            <v>CONNECTOR(MAIN-SUB)</v>
          </cell>
          <cell r="D221" t="str">
            <v>F</v>
          </cell>
          <cell r="F221">
            <v>20</v>
          </cell>
          <cell r="G221" t="str">
            <v>JPY</v>
          </cell>
          <cell r="H221" t="str">
            <v>C46</v>
          </cell>
          <cell r="I221" t="str">
            <v>JAPAN AVIATION E</v>
          </cell>
          <cell r="J221">
            <v>0</v>
          </cell>
        </row>
        <row r="222">
          <cell r="B222" t="str">
            <v>Q3717000701A</v>
          </cell>
          <cell r="C222" t="str">
            <v>CONNECTOR(SUB-MAIN)</v>
          </cell>
          <cell r="D222" t="str">
            <v>F</v>
          </cell>
          <cell r="F222">
            <v>25</v>
          </cell>
          <cell r="G222" t="str">
            <v>JPY</v>
          </cell>
          <cell r="H222" t="str">
            <v>C46</v>
          </cell>
          <cell r="I222" t="str">
            <v>JAPAN AVIATION E</v>
          </cell>
          <cell r="J222">
            <v>0</v>
          </cell>
        </row>
        <row r="223">
          <cell r="B223" t="str">
            <v>Q3722000401A</v>
          </cell>
          <cell r="C223" t="str">
            <v>USB JACK</v>
          </cell>
          <cell r="D223" t="str">
            <v>F</v>
          </cell>
          <cell r="F223">
            <v>19</v>
          </cell>
          <cell r="G223" t="str">
            <v>JPY</v>
          </cell>
          <cell r="H223" t="str">
            <v>C56</v>
          </cell>
          <cell r="I223" t="str">
            <v>SAMSUNG JAPAN CO</v>
          </cell>
          <cell r="J223">
            <v>0</v>
          </cell>
        </row>
        <row r="224">
          <cell r="B224" t="str">
            <v>Q3722000701A</v>
          </cell>
          <cell r="C224" t="str">
            <v>VIDEO JACK-DSC350SE</v>
          </cell>
          <cell r="D224" t="str">
            <v>F</v>
          </cell>
          <cell r="F224">
            <v>22</v>
          </cell>
          <cell r="G224" t="str">
            <v>JPY</v>
          </cell>
          <cell r="H224" t="str">
            <v>C26</v>
          </cell>
          <cell r="I224" t="str">
            <v>EX CO.,LTD</v>
          </cell>
          <cell r="J224">
            <v>0</v>
          </cell>
        </row>
        <row r="225">
          <cell r="B225" t="str">
            <v>Q3722000801A</v>
          </cell>
          <cell r="C225" t="str">
            <v>DC JACK-DSC350SE</v>
          </cell>
          <cell r="D225" t="str">
            <v>F</v>
          </cell>
          <cell r="F225">
            <v>0.22</v>
          </cell>
          <cell r="G225" t="str">
            <v>USD</v>
          </cell>
          <cell r="H225" t="str">
            <v>C26</v>
          </cell>
          <cell r="I225" t="str">
            <v>HON HAI PRECISIO</v>
          </cell>
          <cell r="J225">
            <v>0</v>
          </cell>
        </row>
        <row r="226">
          <cell r="B226" t="str">
            <v>Q3801002201A</v>
          </cell>
          <cell r="C226" t="str">
            <v>VOICE CODEC-DSC350SE</v>
          </cell>
          <cell r="D226" t="str">
            <v>F</v>
          </cell>
          <cell r="F226">
            <v>1.65</v>
          </cell>
          <cell r="G226" t="str">
            <v>USD</v>
          </cell>
          <cell r="H226" t="str">
            <v>C26</v>
          </cell>
          <cell r="I226" t="str">
            <v>TEXAS INSTRUMEN</v>
          </cell>
          <cell r="J226">
            <v>0</v>
          </cell>
        </row>
        <row r="227">
          <cell r="B227" t="str">
            <v>Q3802000401A</v>
          </cell>
          <cell r="C227" t="str">
            <v>USB CABLE-1.5 SMALL CONNECTOR</v>
          </cell>
          <cell r="D227" t="str">
            <v>F</v>
          </cell>
          <cell r="F227">
            <v>116</v>
          </cell>
          <cell r="G227" t="str">
            <v>JPY</v>
          </cell>
          <cell r="H227" t="str">
            <v>C56</v>
          </cell>
          <cell r="I227" t="str">
            <v>SAMSUNG JAPAN CO</v>
          </cell>
          <cell r="J227">
            <v>0</v>
          </cell>
        </row>
        <row r="228">
          <cell r="B228" t="str">
            <v>Q3802001801A</v>
          </cell>
          <cell r="C228" t="str">
            <v>A/V CABLE-DSC350SE_1.5 M</v>
          </cell>
          <cell r="D228" t="str">
            <v>F</v>
          </cell>
          <cell r="F228">
            <v>0</v>
          </cell>
          <cell r="H228" t="str">
            <v>C22</v>
          </cell>
          <cell r="J228">
            <v>0</v>
          </cell>
        </row>
        <row r="229">
          <cell r="B229" t="str">
            <v>Q3811075601A</v>
          </cell>
          <cell r="C229" t="str">
            <v>LEAD WIRE-DSC350SE</v>
          </cell>
          <cell r="D229" t="str">
            <v>F</v>
          </cell>
          <cell r="F229">
            <v>0</v>
          </cell>
          <cell r="J229">
            <v>0</v>
          </cell>
        </row>
        <row r="230">
          <cell r="B230" t="str">
            <v>Q3811075701A</v>
          </cell>
          <cell r="C230" t="str">
            <v>LEAD WIRE-DSC350SE</v>
          </cell>
          <cell r="D230" t="str">
            <v>F</v>
          </cell>
          <cell r="F230">
            <v>0</v>
          </cell>
          <cell r="J230">
            <v>0</v>
          </cell>
        </row>
        <row r="231">
          <cell r="B231" t="str">
            <v>Q3811075801A</v>
          </cell>
          <cell r="C231" t="str">
            <v>LEAD WIRE-DSC350SE</v>
          </cell>
          <cell r="D231" t="str">
            <v>F</v>
          </cell>
          <cell r="F231">
            <v>0</v>
          </cell>
          <cell r="J231">
            <v>0</v>
          </cell>
        </row>
        <row r="232">
          <cell r="B232" t="str">
            <v>Q3811075901A</v>
          </cell>
          <cell r="C232" t="str">
            <v>LEAD WIRE-DSC350SE</v>
          </cell>
          <cell r="D232" t="str">
            <v>F</v>
          </cell>
          <cell r="F232">
            <v>0</v>
          </cell>
          <cell r="J232">
            <v>0</v>
          </cell>
        </row>
        <row r="233">
          <cell r="B233" t="str">
            <v>Q3811076201A</v>
          </cell>
          <cell r="C233" t="str">
            <v>LEAD WIRE-DSC350SE</v>
          </cell>
          <cell r="D233" t="str">
            <v>F</v>
          </cell>
          <cell r="F233">
            <v>0</v>
          </cell>
          <cell r="J233">
            <v>0</v>
          </cell>
        </row>
        <row r="234">
          <cell r="B234" t="str">
            <v>Q3811076301A</v>
          </cell>
          <cell r="C234" t="str">
            <v>LEAD WIRE-DSC350SE</v>
          </cell>
          <cell r="D234" t="str">
            <v>F</v>
          </cell>
          <cell r="F234">
            <v>0</v>
          </cell>
          <cell r="J234">
            <v>0</v>
          </cell>
        </row>
        <row r="235">
          <cell r="B235" t="str">
            <v>Q3811076401A</v>
          </cell>
          <cell r="C235" t="str">
            <v>LEAD WIRE-DSC350SE</v>
          </cell>
          <cell r="D235" t="str">
            <v>F</v>
          </cell>
          <cell r="F235">
            <v>0</v>
          </cell>
          <cell r="J235">
            <v>0</v>
          </cell>
        </row>
        <row r="236">
          <cell r="B236" t="str">
            <v>Q3811076501A</v>
          </cell>
          <cell r="C236" t="str">
            <v>LEAD WIRE-DSC350SE</v>
          </cell>
          <cell r="D236" t="str">
            <v>F</v>
          </cell>
          <cell r="F236">
            <v>0</v>
          </cell>
          <cell r="J236">
            <v>0</v>
          </cell>
        </row>
        <row r="237">
          <cell r="B237" t="str">
            <v>Q3811076601A</v>
          </cell>
          <cell r="C237" t="str">
            <v>LEAD WIRE-DSC350SE</v>
          </cell>
          <cell r="D237" t="str">
            <v>F</v>
          </cell>
          <cell r="F237">
            <v>0</v>
          </cell>
          <cell r="J237">
            <v>0</v>
          </cell>
        </row>
        <row r="238">
          <cell r="B238" t="str">
            <v>Q3811076701A</v>
          </cell>
          <cell r="C238" t="str">
            <v>LEAD WIRE-DSC350SE</v>
          </cell>
          <cell r="D238" t="str">
            <v>F</v>
          </cell>
          <cell r="F238">
            <v>0</v>
          </cell>
          <cell r="J238">
            <v>0</v>
          </cell>
        </row>
        <row r="239">
          <cell r="B239" t="str">
            <v>Q3811076801A</v>
          </cell>
          <cell r="C239" t="str">
            <v>LEAD WIRE-DSC350SE</v>
          </cell>
          <cell r="D239" t="str">
            <v>F</v>
          </cell>
          <cell r="F239">
            <v>0</v>
          </cell>
          <cell r="J239">
            <v>0</v>
          </cell>
        </row>
        <row r="240">
          <cell r="B240" t="str">
            <v>Q3811076901A</v>
          </cell>
          <cell r="C240" t="str">
            <v>LEAD WIRE-DSC350SE</v>
          </cell>
          <cell r="D240" t="str">
            <v>F</v>
          </cell>
          <cell r="F240">
            <v>0</v>
          </cell>
          <cell r="J240">
            <v>0</v>
          </cell>
        </row>
        <row r="241">
          <cell r="B241" t="str">
            <v>Q4101023601A</v>
          </cell>
          <cell r="C241" t="str">
            <v>LCD F PCB-DSC350SE</v>
          </cell>
          <cell r="D241" t="str">
            <v>F</v>
          </cell>
          <cell r="F241">
            <v>0</v>
          </cell>
          <cell r="H241" t="str">
            <v>C22</v>
          </cell>
          <cell r="J241">
            <v>0</v>
          </cell>
        </row>
        <row r="242">
          <cell r="B242" t="str">
            <v>Q4102004801A</v>
          </cell>
          <cell r="C242" t="str">
            <v>MODE PCB-DSC350SE</v>
          </cell>
          <cell r="D242" t="str">
            <v>F</v>
          </cell>
          <cell r="F242">
            <v>391</v>
          </cell>
          <cell r="G242" t="str">
            <v>KRW</v>
          </cell>
          <cell r="H242" t="str">
            <v>C22</v>
          </cell>
          <cell r="I242" t="str">
            <v>(주)에스아이플렉</v>
          </cell>
          <cell r="J242">
            <v>0</v>
          </cell>
        </row>
        <row r="243">
          <cell r="B243" t="str">
            <v>Q4102004901A</v>
          </cell>
          <cell r="C243" t="str">
            <v>CCD FPCB-DSC350SE</v>
          </cell>
          <cell r="D243" t="str">
            <v>F</v>
          </cell>
          <cell r="F243">
            <v>0</v>
          </cell>
          <cell r="H243" t="str">
            <v>C22</v>
          </cell>
          <cell r="J243">
            <v>0</v>
          </cell>
        </row>
        <row r="244">
          <cell r="B244" t="str">
            <v>Q4103010001A</v>
          </cell>
          <cell r="C244" t="str">
            <v>LED PCB-DSC350SE</v>
          </cell>
          <cell r="D244" t="str">
            <v>F</v>
          </cell>
          <cell r="F244">
            <v>0</v>
          </cell>
          <cell r="H244" t="str">
            <v>C22</v>
          </cell>
          <cell r="J244">
            <v>0</v>
          </cell>
        </row>
        <row r="245">
          <cell r="B245" t="str">
            <v>Q4103010101A</v>
          </cell>
          <cell r="C245" t="str">
            <v>PHOTO PCB-DSC350SE</v>
          </cell>
          <cell r="D245" t="str">
            <v>F</v>
          </cell>
          <cell r="F245">
            <v>0</v>
          </cell>
          <cell r="H245" t="str">
            <v>C22</v>
          </cell>
          <cell r="J245">
            <v>0</v>
          </cell>
        </row>
        <row r="246">
          <cell r="B246" t="str">
            <v>Q4104015601A</v>
          </cell>
          <cell r="C246" t="str">
            <v>MAIN PCB-DSC350SE</v>
          </cell>
          <cell r="D246" t="str">
            <v>F</v>
          </cell>
          <cell r="F246">
            <v>0</v>
          </cell>
          <cell r="H246" t="str">
            <v>C22</v>
          </cell>
          <cell r="J246">
            <v>0</v>
          </cell>
        </row>
        <row r="247">
          <cell r="B247" t="str">
            <v>Q4104015701A</v>
          </cell>
          <cell r="C247" t="str">
            <v>POWER PCB-DSC350SE</v>
          </cell>
          <cell r="D247" t="str">
            <v>F</v>
          </cell>
          <cell r="F247">
            <v>0</v>
          </cell>
          <cell r="H247" t="str">
            <v>C22</v>
          </cell>
          <cell r="J247">
            <v>0</v>
          </cell>
        </row>
        <row r="248">
          <cell r="B248" t="str">
            <v>Q4104015801A</v>
          </cell>
          <cell r="C248" t="str">
            <v>STROBO PCB-DSC350SE</v>
          </cell>
          <cell r="D248" t="str">
            <v>F</v>
          </cell>
          <cell r="F248">
            <v>0</v>
          </cell>
          <cell r="H248" t="str">
            <v>C22</v>
          </cell>
          <cell r="J248">
            <v>0</v>
          </cell>
        </row>
        <row r="249">
          <cell r="B249" t="str">
            <v>Q4104016201A</v>
          </cell>
          <cell r="C249" t="str">
            <v>LCD PCB-DSC350SE</v>
          </cell>
          <cell r="D249" t="str">
            <v>F</v>
          </cell>
          <cell r="F249">
            <v>0</v>
          </cell>
          <cell r="H249" t="str">
            <v>C22</v>
          </cell>
          <cell r="J249">
            <v>0</v>
          </cell>
        </row>
        <row r="250">
          <cell r="B250" t="str">
            <v>Q4301001701A</v>
          </cell>
          <cell r="C250" t="str">
            <v>BUTTON CELL BATTERY-MC621</v>
          </cell>
          <cell r="D250" t="str">
            <v>F</v>
          </cell>
          <cell r="F250">
            <v>0.48</v>
          </cell>
          <cell r="G250" t="str">
            <v>USD</v>
          </cell>
          <cell r="H250" t="str">
            <v>C50</v>
          </cell>
          <cell r="I250" t="str">
            <v>VARTA BATTERIES</v>
          </cell>
          <cell r="J250">
            <v>0</v>
          </cell>
        </row>
        <row r="251">
          <cell r="B251" t="str">
            <v>Q4301001801A</v>
          </cell>
          <cell r="C251" t="str">
            <v>ALKALINE BATTERY-DSC210</v>
          </cell>
          <cell r="D251" t="str">
            <v>F</v>
          </cell>
          <cell r="F251">
            <v>226</v>
          </cell>
          <cell r="G251" t="str">
            <v>KRW</v>
          </cell>
          <cell r="H251" t="str">
            <v>C50</v>
          </cell>
          <cell r="I251" t="str">
            <v>질레트코리아(유)</v>
          </cell>
          <cell r="J251">
            <v>0</v>
          </cell>
        </row>
        <row r="252">
          <cell r="B252" t="str">
            <v>Q4609002901A</v>
          </cell>
          <cell r="C252" t="str">
            <v>DRIVER/MGI PHOTOSUITE_EUROPE(BLUE)/DIG</v>
          </cell>
          <cell r="D252" t="str">
            <v>F</v>
          </cell>
          <cell r="F252">
            <v>3050</v>
          </cell>
          <cell r="G252" t="str">
            <v>KRW</v>
          </cell>
          <cell r="H252" t="str">
            <v>C65</v>
          </cell>
          <cell r="I252" t="str">
            <v>(주)세미르</v>
          </cell>
          <cell r="J252">
            <v>0</v>
          </cell>
        </row>
        <row r="253">
          <cell r="B253" t="str">
            <v>Q4719000301A</v>
          </cell>
          <cell r="C253" t="str">
            <v>SPEAKER-SG_1708M11(8 ohm)</v>
          </cell>
          <cell r="D253" t="str">
            <v>F</v>
          </cell>
          <cell r="F253">
            <v>0</v>
          </cell>
          <cell r="H253" t="str">
            <v>C22</v>
          </cell>
          <cell r="J253">
            <v>0</v>
          </cell>
        </row>
        <row r="254">
          <cell r="B254" t="str">
            <v>Q4719000401A</v>
          </cell>
          <cell r="C254" t="str">
            <v>MICROPHONE-SKB_2742T_A34</v>
          </cell>
          <cell r="D254" t="str">
            <v>F</v>
          </cell>
          <cell r="F254">
            <v>0</v>
          </cell>
          <cell r="H254" t="str">
            <v>C22</v>
          </cell>
          <cell r="J254">
            <v>0</v>
          </cell>
        </row>
        <row r="255">
          <cell r="B255" t="str">
            <v>Q6001016001A</v>
          </cell>
          <cell r="C255" t="str">
            <v>CARD HOLDER SCREW-DSC210</v>
          </cell>
          <cell r="D255" t="str">
            <v>F</v>
          </cell>
          <cell r="F255">
            <v>4</v>
          </cell>
          <cell r="G255" t="str">
            <v>KRW</v>
          </cell>
          <cell r="H255" t="str">
            <v>C80</v>
          </cell>
          <cell r="I255" t="str">
            <v>케이엠에스티(주)</v>
          </cell>
          <cell r="J255">
            <v>0</v>
          </cell>
        </row>
        <row r="256">
          <cell r="B256" t="str">
            <v>Q6003024201A</v>
          </cell>
          <cell r="C256" t="str">
            <v>SCREW</v>
          </cell>
          <cell r="D256" t="str">
            <v>F</v>
          </cell>
          <cell r="F256">
            <v>3</v>
          </cell>
          <cell r="G256" t="str">
            <v>KRW</v>
          </cell>
          <cell r="H256" t="str">
            <v>C80</v>
          </cell>
          <cell r="I256" t="str">
            <v>케이엠에스티(주)</v>
          </cell>
          <cell r="J256">
            <v>0</v>
          </cell>
        </row>
        <row r="257">
          <cell r="B257" t="str">
            <v>Q6003028101A</v>
          </cell>
          <cell r="C257" t="str">
            <v>SCREW-M1.4xP0.45xL2.5xD4.0</v>
          </cell>
          <cell r="D257" t="str">
            <v>F</v>
          </cell>
          <cell r="F257">
            <v>5</v>
          </cell>
          <cell r="G257" t="str">
            <v>KRW</v>
          </cell>
          <cell r="H257" t="str">
            <v>C20</v>
          </cell>
          <cell r="I257" t="str">
            <v>(주)서울금속</v>
          </cell>
          <cell r="J257">
            <v>0</v>
          </cell>
        </row>
        <row r="258">
          <cell r="B258" t="str">
            <v>Q6003028201A</v>
          </cell>
          <cell r="C258" t="str">
            <v>SCREW-TAPTITE BH</v>
          </cell>
          <cell r="D258" t="str">
            <v>F</v>
          </cell>
          <cell r="F258">
            <v>3</v>
          </cell>
          <cell r="G258" t="str">
            <v>KRW</v>
          </cell>
          <cell r="H258" t="str">
            <v>C52</v>
          </cell>
          <cell r="I258" t="str">
            <v>(주)서울금속</v>
          </cell>
          <cell r="J258">
            <v>0</v>
          </cell>
        </row>
        <row r="259">
          <cell r="B259" t="str">
            <v>Q6003029701A</v>
          </cell>
          <cell r="C259" t="str">
            <v>SCREW 5X0.5X0.5X1.7-DSC350SE</v>
          </cell>
          <cell r="D259" t="str">
            <v>F</v>
          </cell>
          <cell r="F259">
            <v>14</v>
          </cell>
          <cell r="G259" t="str">
            <v>KRW</v>
          </cell>
          <cell r="H259" t="str">
            <v>C20</v>
          </cell>
          <cell r="I259" t="str">
            <v>(주)서울금속</v>
          </cell>
          <cell r="J259">
            <v>0</v>
          </cell>
        </row>
        <row r="260">
          <cell r="B260" t="str">
            <v>Q6003033301A</v>
          </cell>
          <cell r="C260" t="str">
            <v>CCD PLATE SCREW-DSC350SE</v>
          </cell>
          <cell r="D260" t="str">
            <v>F</v>
          </cell>
          <cell r="F260">
            <v>10</v>
          </cell>
          <cell r="G260" t="str">
            <v>KRW</v>
          </cell>
          <cell r="H260" t="str">
            <v>C20</v>
          </cell>
          <cell r="I260" t="str">
            <v>(주)서울금속</v>
          </cell>
          <cell r="J260">
            <v>0</v>
          </cell>
        </row>
        <row r="261">
          <cell r="B261" t="str">
            <v>Q6107040501A</v>
          </cell>
          <cell r="C261" t="str">
            <v>RELEASE SPRING-IP5X</v>
          </cell>
          <cell r="D261" t="str">
            <v>F</v>
          </cell>
          <cell r="F261">
            <v>15</v>
          </cell>
          <cell r="G261" t="str">
            <v>KRW</v>
          </cell>
          <cell r="H261" t="str">
            <v>C80</v>
          </cell>
          <cell r="I261" t="str">
            <v>삼현(주)</v>
          </cell>
          <cell r="J261">
            <v>0</v>
          </cell>
        </row>
        <row r="262">
          <cell r="B262" t="str">
            <v>Q6107045702B</v>
          </cell>
          <cell r="C262" t="str">
            <v>BATTERY HG SPRING-DSC350SE</v>
          </cell>
          <cell r="D262" t="str">
            <v>F</v>
          </cell>
          <cell r="F262">
            <v>30</v>
          </cell>
          <cell r="G262" t="str">
            <v>KRW</v>
          </cell>
          <cell r="H262" t="str">
            <v>C20</v>
          </cell>
          <cell r="I262" t="str">
            <v>삼원정공(주)</v>
          </cell>
          <cell r="J262">
            <v>0</v>
          </cell>
        </row>
        <row r="263">
          <cell r="B263" t="str">
            <v>Q6107050101A</v>
          </cell>
          <cell r="C263" t="str">
            <v>5 FUNCTION SPRING-DSC350SE</v>
          </cell>
          <cell r="D263" t="str">
            <v>F</v>
          </cell>
          <cell r="F263">
            <v>18</v>
          </cell>
          <cell r="G263" t="str">
            <v>KRW</v>
          </cell>
          <cell r="H263" t="str">
            <v>C20</v>
          </cell>
          <cell r="I263" t="str">
            <v>대원강업(주)창원</v>
          </cell>
          <cell r="J263">
            <v>0</v>
          </cell>
        </row>
        <row r="264">
          <cell r="B264" t="str">
            <v>Q6804037401A</v>
          </cell>
          <cell r="C264" t="str">
            <v>HOLOGRAM STICKER_D350</v>
          </cell>
          <cell r="D264" t="str">
            <v>F</v>
          </cell>
          <cell r="F264">
            <v>0</v>
          </cell>
          <cell r="H264" t="str">
            <v>C65</v>
          </cell>
          <cell r="J264">
            <v>0</v>
          </cell>
        </row>
        <row r="265">
          <cell r="B265" t="str">
            <v>Q6806123401A</v>
          </cell>
          <cell r="C265" t="str">
            <v>U/MANUAL_DIGIMAX_350SE_ENG</v>
          </cell>
          <cell r="D265" t="str">
            <v>F</v>
          </cell>
          <cell r="F265">
            <v>2635</v>
          </cell>
          <cell r="G265" t="str">
            <v>KRW</v>
          </cell>
          <cell r="H265" t="str">
            <v>C65</v>
          </cell>
          <cell r="I265" t="str">
            <v>삼영인쇄(주)</v>
          </cell>
          <cell r="J265">
            <v>0</v>
          </cell>
        </row>
        <row r="266">
          <cell r="B266" t="str">
            <v>Q6901128801A</v>
          </cell>
          <cell r="C266" t="str">
            <v>C/T BOX_DIGIMAX 210SE(1/10EA)</v>
          </cell>
          <cell r="D266" t="str">
            <v>F</v>
          </cell>
          <cell r="F266">
            <v>1600</v>
          </cell>
          <cell r="G266" t="str">
            <v>KRW</v>
          </cell>
          <cell r="H266" t="str">
            <v>C65</v>
          </cell>
          <cell r="I266" t="str">
            <v>(주)대세기업</v>
          </cell>
          <cell r="J266">
            <v>0</v>
          </cell>
        </row>
        <row r="267">
          <cell r="B267" t="str">
            <v>Q6901139301A</v>
          </cell>
          <cell r="C267" t="str">
            <v>PLASTIC BOX-DSC210</v>
          </cell>
          <cell r="D267" t="str">
            <v>F</v>
          </cell>
          <cell r="F267">
            <v>160</v>
          </cell>
          <cell r="G267" t="str">
            <v>KRW</v>
          </cell>
          <cell r="H267" t="str">
            <v>C65</v>
          </cell>
          <cell r="I267" t="str">
            <v>광희전자</v>
          </cell>
          <cell r="J267">
            <v>0</v>
          </cell>
        </row>
        <row r="268">
          <cell r="B268" t="str">
            <v>Q6901156901A</v>
          </cell>
          <cell r="C268" t="str">
            <v>INNER BOX_DIGIMAX 350SE</v>
          </cell>
          <cell r="D268" t="str">
            <v>F</v>
          </cell>
          <cell r="F268">
            <v>485</v>
          </cell>
          <cell r="G268" t="str">
            <v>KRW</v>
          </cell>
          <cell r="H268" t="str">
            <v>C65</v>
          </cell>
          <cell r="I268" t="str">
            <v>삼영인쇄(주)</v>
          </cell>
          <cell r="J268">
            <v>0</v>
          </cell>
        </row>
        <row r="269">
          <cell r="B269" t="str">
            <v>Q6901157101A</v>
          </cell>
          <cell r="C269" t="str">
            <v>G/T BOX_DIGIMAX_350SE_EXP/AUS/USA/CAN</v>
          </cell>
          <cell r="D269" t="str">
            <v>F</v>
          </cell>
          <cell r="F269">
            <v>750</v>
          </cell>
          <cell r="G269" t="str">
            <v>KRW</v>
          </cell>
          <cell r="H269" t="str">
            <v>C65</v>
          </cell>
          <cell r="I269" t="str">
            <v>삼영인쇄(주)</v>
          </cell>
          <cell r="J269">
            <v>0</v>
          </cell>
        </row>
        <row r="270">
          <cell r="B270" t="str">
            <v>Q6904021701A</v>
          </cell>
          <cell r="C270" t="str">
            <v>SKIN CASE_D350SE_KOR/EXP</v>
          </cell>
          <cell r="D270" t="str">
            <v>F</v>
          </cell>
          <cell r="F270">
            <v>3500</v>
          </cell>
          <cell r="G270" t="str">
            <v>KRW</v>
          </cell>
          <cell r="H270" t="str">
            <v>C65</v>
          </cell>
          <cell r="I270" t="str">
            <v>삼양케이스(주)</v>
          </cell>
          <cell r="J270">
            <v>0</v>
          </cell>
        </row>
        <row r="271">
          <cell r="B271" t="str">
            <v>Q6909009401A</v>
          </cell>
          <cell r="C271" t="str">
            <v>P.E BAG_DIGIMAX 210SE</v>
          </cell>
          <cell r="D271" t="str">
            <v>F</v>
          </cell>
          <cell r="F271">
            <v>22</v>
          </cell>
          <cell r="G271" t="str">
            <v>KRW</v>
          </cell>
          <cell r="H271" t="str">
            <v>C65</v>
          </cell>
          <cell r="I271" t="str">
            <v>(주)신우아이피</v>
          </cell>
          <cell r="J271">
            <v>0</v>
          </cell>
        </row>
        <row r="272">
          <cell r="B272" t="str">
            <v>Q7011035002A</v>
          </cell>
          <cell r="C272" t="str">
            <v>MODE CONTACT-IP5X</v>
          </cell>
          <cell r="D272" t="str">
            <v>F</v>
          </cell>
          <cell r="E272">
            <v>30</v>
          </cell>
          <cell r="F272">
            <v>9</v>
          </cell>
          <cell r="G272" t="str">
            <v>KRW</v>
          </cell>
          <cell r="H272" t="str">
            <v>C60</v>
          </cell>
          <cell r="I272" t="str">
            <v>삼기엠.티(주)</v>
          </cell>
          <cell r="J272">
            <v>0</v>
          </cell>
        </row>
        <row r="273">
          <cell r="B273" t="str">
            <v>Q7011037001A</v>
          </cell>
          <cell r="C273" t="str">
            <v>BATTERY CONTACT_A-DSC350SE</v>
          </cell>
          <cell r="D273" t="str">
            <v>F</v>
          </cell>
          <cell r="F273">
            <v>47</v>
          </cell>
          <cell r="G273" t="str">
            <v>KRW</v>
          </cell>
          <cell r="H273" t="str">
            <v>C60</v>
          </cell>
          <cell r="I273" t="str">
            <v>삼기엠.티(주)</v>
          </cell>
          <cell r="J273">
            <v>0</v>
          </cell>
        </row>
        <row r="274">
          <cell r="B274" t="str">
            <v>Q7011037101A</v>
          </cell>
          <cell r="C274" t="str">
            <v>BATTERY CONTACT_B-DSC350SE</v>
          </cell>
          <cell r="D274" t="str">
            <v>F</v>
          </cell>
          <cell r="F274">
            <v>36</v>
          </cell>
          <cell r="G274" t="str">
            <v>KRW</v>
          </cell>
          <cell r="H274" t="str">
            <v>C60</v>
          </cell>
          <cell r="I274" t="str">
            <v>삼기엠.티(주)</v>
          </cell>
          <cell r="J274">
            <v>0</v>
          </cell>
        </row>
        <row r="275">
          <cell r="B275" t="str">
            <v>Q7011037201A</v>
          </cell>
          <cell r="C275" t="str">
            <v>BODY FRAME-DSC350SE</v>
          </cell>
          <cell r="D275" t="str">
            <v>F</v>
          </cell>
          <cell r="F275">
            <v>70</v>
          </cell>
          <cell r="G275" t="str">
            <v>KRW</v>
          </cell>
          <cell r="H275" t="str">
            <v>C60</v>
          </cell>
          <cell r="I275" t="str">
            <v>성광정밀</v>
          </cell>
          <cell r="J275">
            <v>0</v>
          </cell>
        </row>
        <row r="276">
          <cell r="B276" t="str">
            <v>Q7012065801A</v>
          </cell>
          <cell r="C276" t="str">
            <v>FRONT PANEL CAP-DSC 350SE</v>
          </cell>
          <cell r="D276" t="str">
            <v>F</v>
          </cell>
          <cell r="F276">
            <v>710</v>
          </cell>
          <cell r="G276" t="str">
            <v>KRW</v>
          </cell>
          <cell r="H276" t="str">
            <v>C60</v>
          </cell>
          <cell r="I276" t="str">
            <v>(주)성광사</v>
          </cell>
          <cell r="J276">
            <v>0</v>
          </cell>
        </row>
        <row r="277">
          <cell r="B277" t="str">
            <v>Q7012067201A</v>
          </cell>
          <cell r="C277" t="str">
            <v>CCD PLATE-DSC350SE</v>
          </cell>
          <cell r="D277" t="str">
            <v>F</v>
          </cell>
          <cell r="F277">
            <v>21</v>
          </cell>
          <cell r="G277" t="str">
            <v>KRW</v>
          </cell>
          <cell r="H277" t="str">
            <v>C60</v>
          </cell>
          <cell r="I277" t="str">
            <v>성광정밀</v>
          </cell>
          <cell r="J277">
            <v>0</v>
          </cell>
        </row>
        <row r="278">
          <cell r="B278" t="str">
            <v>Q7014003501A</v>
          </cell>
          <cell r="C278" t="str">
            <v>REFLECTOR-DSC350SE</v>
          </cell>
          <cell r="D278" t="str">
            <v>F</v>
          </cell>
          <cell r="E278">
            <v>30</v>
          </cell>
          <cell r="F278">
            <v>15</v>
          </cell>
          <cell r="G278" t="str">
            <v>KRW</v>
          </cell>
          <cell r="H278" t="str">
            <v>C60</v>
          </cell>
          <cell r="I278" t="str">
            <v>진성</v>
          </cell>
          <cell r="J278">
            <v>0</v>
          </cell>
        </row>
        <row r="279">
          <cell r="B279" t="str">
            <v>Q7017025104A</v>
          </cell>
          <cell r="C279" t="str">
            <v>MODE DIAL GUIDE-IP5X</v>
          </cell>
          <cell r="D279" t="str">
            <v>F</v>
          </cell>
          <cell r="F279">
            <v>17</v>
          </cell>
          <cell r="G279" t="str">
            <v>KRW</v>
          </cell>
          <cell r="H279" t="str">
            <v>C60</v>
          </cell>
          <cell r="I279" t="str">
            <v>성광정밀</v>
          </cell>
          <cell r="J279">
            <v>0</v>
          </cell>
        </row>
        <row r="280">
          <cell r="B280" t="str">
            <v>Q7017025203A</v>
          </cell>
          <cell r="C280" t="str">
            <v>DIAL CLICK-IP5X</v>
          </cell>
          <cell r="D280" t="str">
            <v>F</v>
          </cell>
          <cell r="F280">
            <v>11</v>
          </cell>
          <cell r="G280" t="str">
            <v>KRW</v>
          </cell>
          <cell r="H280" t="str">
            <v>C60</v>
          </cell>
          <cell r="I280" t="str">
            <v>성광정밀</v>
          </cell>
          <cell r="J280">
            <v>0</v>
          </cell>
        </row>
        <row r="281">
          <cell r="B281" t="str">
            <v>Q7017030901A</v>
          </cell>
          <cell r="C281" t="str">
            <v>LOGO PLATE-3X WIDE</v>
          </cell>
          <cell r="D281" t="str">
            <v>F</v>
          </cell>
          <cell r="F281">
            <v>200</v>
          </cell>
          <cell r="G281" t="str">
            <v>KRW</v>
          </cell>
          <cell r="H281" t="str">
            <v>C60</v>
          </cell>
          <cell r="I281" t="str">
            <v>(주)에스알</v>
          </cell>
          <cell r="J281">
            <v>0</v>
          </cell>
        </row>
        <row r="282">
          <cell r="B282" t="str">
            <v>Q7017031001A</v>
          </cell>
          <cell r="C282" t="str">
            <v>LCD GUIDE PLATE-DSC350SE</v>
          </cell>
          <cell r="D282" t="str">
            <v>F</v>
          </cell>
          <cell r="F282">
            <v>10</v>
          </cell>
          <cell r="G282" t="str">
            <v>KRW</v>
          </cell>
          <cell r="H282" t="str">
            <v>C60</v>
          </cell>
          <cell r="I282" t="str">
            <v>삼기엠.티(주)</v>
          </cell>
          <cell r="J282">
            <v>0</v>
          </cell>
        </row>
        <row r="283">
          <cell r="B283" t="str">
            <v>Q7017031204B</v>
          </cell>
          <cell r="C283" t="str">
            <v>BATTERY PLATE-DSC350SE</v>
          </cell>
          <cell r="D283" t="str">
            <v>F</v>
          </cell>
          <cell r="F283">
            <v>54</v>
          </cell>
          <cell r="G283" t="str">
            <v>KRW</v>
          </cell>
          <cell r="H283" t="str">
            <v>C60</v>
          </cell>
          <cell r="I283" t="str">
            <v>성광정밀</v>
          </cell>
          <cell r="J283">
            <v>0</v>
          </cell>
        </row>
        <row r="284">
          <cell r="B284" t="str">
            <v>Q7017031301B</v>
          </cell>
          <cell r="C284" t="str">
            <v>STRAP FIX PLATE-DSC350SE</v>
          </cell>
          <cell r="D284" t="str">
            <v>F</v>
          </cell>
          <cell r="F284">
            <v>14</v>
          </cell>
          <cell r="G284" t="str">
            <v>KRW</v>
          </cell>
          <cell r="H284" t="str">
            <v>C60</v>
          </cell>
          <cell r="I284" t="str">
            <v>성광정밀</v>
          </cell>
          <cell r="J284">
            <v>0</v>
          </cell>
        </row>
        <row r="285">
          <cell r="B285" t="str">
            <v>Q7211053305A</v>
          </cell>
          <cell r="C285" t="str">
            <v>MODE CONTACT GUIDE-IP5X</v>
          </cell>
          <cell r="D285" t="str">
            <v>F</v>
          </cell>
          <cell r="F285">
            <v>23</v>
          </cell>
          <cell r="G285" t="str">
            <v>KRW</v>
          </cell>
          <cell r="H285" t="str">
            <v>C36</v>
          </cell>
          <cell r="I285" t="str">
            <v>(주)대봉정밀</v>
          </cell>
          <cell r="J285">
            <v>0</v>
          </cell>
        </row>
        <row r="286">
          <cell r="B286" t="str">
            <v>Q7211058903A</v>
          </cell>
          <cell r="C286" t="str">
            <v>BATTERY CHAMBER-DSC350SE</v>
          </cell>
          <cell r="D286" t="str">
            <v>F</v>
          </cell>
          <cell r="F286">
            <v>240</v>
          </cell>
          <cell r="G286" t="str">
            <v>KRW</v>
          </cell>
          <cell r="H286" t="str">
            <v>C28</v>
          </cell>
          <cell r="I286" t="str">
            <v>인성엔프라(주)</v>
          </cell>
          <cell r="J286">
            <v>0</v>
          </cell>
        </row>
        <row r="287">
          <cell r="B287" t="str">
            <v>Q7211059102A</v>
          </cell>
          <cell r="C287" t="str">
            <v>TRIPOD CONNECTOR-DSC350SE</v>
          </cell>
          <cell r="D287" t="str">
            <v>F</v>
          </cell>
          <cell r="F287">
            <v>23</v>
          </cell>
          <cell r="G287" t="str">
            <v>KRW</v>
          </cell>
          <cell r="H287" t="str">
            <v>C28</v>
          </cell>
          <cell r="I287" t="str">
            <v>인성엔프라(주)</v>
          </cell>
          <cell r="J287">
            <v>0</v>
          </cell>
        </row>
        <row r="288">
          <cell r="B288" t="str">
            <v>Q7214086902A</v>
          </cell>
          <cell r="C288" t="str">
            <v>FRESNEL LENS-DSC350SE</v>
          </cell>
          <cell r="D288" t="str">
            <v>F</v>
          </cell>
          <cell r="F288">
            <v>0</v>
          </cell>
          <cell r="J288">
            <v>0</v>
          </cell>
        </row>
        <row r="289">
          <cell r="B289" t="str">
            <v>Q7214087001A</v>
          </cell>
          <cell r="C289" t="str">
            <v>REFLECTOR HOLDER-DSC350SE</v>
          </cell>
          <cell r="D289" t="str">
            <v>F</v>
          </cell>
          <cell r="F289">
            <v>29</v>
          </cell>
          <cell r="G289" t="str">
            <v>KRW</v>
          </cell>
          <cell r="H289" t="str">
            <v>C28</v>
          </cell>
          <cell r="I289" t="str">
            <v>인성엔프라(주)</v>
          </cell>
          <cell r="J289">
            <v>0</v>
          </cell>
        </row>
        <row r="290">
          <cell r="B290" t="str">
            <v>Q7217162705A</v>
          </cell>
          <cell r="C290" t="str">
            <v>MODE DIAL-IP5X</v>
          </cell>
          <cell r="D290" t="str">
            <v>F</v>
          </cell>
          <cell r="F290">
            <v>0.04</v>
          </cell>
          <cell r="G290" t="str">
            <v>USD</v>
          </cell>
          <cell r="H290" t="str">
            <v>C58</v>
          </cell>
          <cell r="I290" t="str">
            <v>TSOE</v>
          </cell>
          <cell r="J290">
            <v>0</v>
          </cell>
        </row>
        <row r="291">
          <cell r="B291" t="str">
            <v>Q7217223403A</v>
          </cell>
          <cell r="C291" t="str">
            <v>FRONT COVER-DSC350SE</v>
          </cell>
          <cell r="D291" t="str">
            <v>F</v>
          </cell>
          <cell r="F291">
            <v>764</v>
          </cell>
          <cell r="G291" t="str">
            <v>KRW</v>
          </cell>
          <cell r="H291" t="str">
            <v>C28</v>
          </cell>
          <cell r="I291" t="str">
            <v>태진정밀(주)</v>
          </cell>
          <cell r="J291">
            <v>0</v>
          </cell>
        </row>
        <row r="292">
          <cell r="B292" t="str">
            <v>Q7217223505A</v>
          </cell>
          <cell r="C292" t="str">
            <v>BACK COVER-DSC350SE</v>
          </cell>
          <cell r="D292" t="str">
            <v>F</v>
          </cell>
          <cell r="F292">
            <v>782</v>
          </cell>
          <cell r="G292" t="str">
            <v>KRW</v>
          </cell>
          <cell r="H292" t="str">
            <v>C28</v>
          </cell>
          <cell r="I292" t="str">
            <v>태진정밀(주)</v>
          </cell>
          <cell r="J292">
            <v>0</v>
          </cell>
        </row>
        <row r="293">
          <cell r="B293" t="str">
            <v>Q7217223703A</v>
          </cell>
          <cell r="C293" t="str">
            <v>BATTERY COVER 1-DSC350SE</v>
          </cell>
          <cell r="D293" t="str">
            <v>F</v>
          </cell>
          <cell r="F293">
            <v>188</v>
          </cell>
          <cell r="G293" t="str">
            <v>KRW</v>
          </cell>
          <cell r="H293" t="str">
            <v>C28</v>
          </cell>
          <cell r="I293" t="str">
            <v>태진정밀(주)</v>
          </cell>
          <cell r="J293">
            <v>0</v>
          </cell>
        </row>
        <row r="294">
          <cell r="B294" t="str">
            <v>Q7217224001A</v>
          </cell>
          <cell r="C294" t="str">
            <v>EP WINDOW-DSC350SE</v>
          </cell>
          <cell r="D294" t="str">
            <v>F</v>
          </cell>
          <cell r="F294">
            <v>114</v>
          </cell>
          <cell r="G294" t="str">
            <v>KRW</v>
          </cell>
          <cell r="H294" t="str">
            <v>C28</v>
          </cell>
          <cell r="I294" t="str">
            <v>두손정밀(주)</v>
          </cell>
          <cell r="J294">
            <v>0</v>
          </cell>
        </row>
        <row r="295">
          <cell r="B295" t="str">
            <v>Q7217224101A</v>
          </cell>
          <cell r="C295" t="str">
            <v>FINDER WINDOW-DSC350SE</v>
          </cell>
          <cell r="D295" t="str">
            <v>F</v>
          </cell>
          <cell r="F295">
            <v>84</v>
          </cell>
          <cell r="G295" t="str">
            <v>KRW</v>
          </cell>
          <cell r="H295" t="str">
            <v>C28</v>
          </cell>
          <cell r="I295" t="str">
            <v>두손정밀(주)</v>
          </cell>
          <cell r="J295">
            <v>0</v>
          </cell>
        </row>
        <row r="296">
          <cell r="B296" t="str">
            <v>Q7217224202B</v>
          </cell>
          <cell r="C296" t="str">
            <v>M-DIAL LED WINDOW-DSC350SE</v>
          </cell>
          <cell r="D296" t="str">
            <v>F</v>
          </cell>
          <cell r="F296">
            <v>57</v>
          </cell>
          <cell r="G296" t="str">
            <v>KRW</v>
          </cell>
          <cell r="H296" t="str">
            <v>C28</v>
          </cell>
          <cell r="I296" t="str">
            <v>두손정밀(주)</v>
          </cell>
          <cell r="J296">
            <v>0</v>
          </cell>
        </row>
        <row r="297">
          <cell r="B297" t="str">
            <v>Q7217224303A</v>
          </cell>
          <cell r="C297" t="str">
            <v>ZOOM BUTTON-DSC350SE</v>
          </cell>
          <cell r="D297" t="str">
            <v>F</v>
          </cell>
          <cell r="F297">
            <v>0</v>
          </cell>
          <cell r="J297">
            <v>0</v>
          </cell>
        </row>
        <row r="298">
          <cell r="B298" t="str">
            <v>Q7217224402C</v>
          </cell>
          <cell r="C298" t="str">
            <v>POWER  BUTTON-DSC350SE</v>
          </cell>
          <cell r="D298" t="str">
            <v>F</v>
          </cell>
          <cell r="F298">
            <v>28</v>
          </cell>
          <cell r="G298" t="str">
            <v>KRW</v>
          </cell>
          <cell r="H298" t="str">
            <v>C28</v>
          </cell>
          <cell r="I298" t="str">
            <v>제일정공(주)</v>
          </cell>
          <cell r="J298">
            <v>0</v>
          </cell>
        </row>
        <row r="299">
          <cell r="B299" t="str">
            <v>Q7217224506B</v>
          </cell>
          <cell r="C299" t="str">
            <v>5 FUNCTION BUTTON-DSC350SE</v>
          </cell>
          <cell r="D299" t="str">
            <v>F</v>
          </cell>
          <cell r="F299">
            <v>108</v>
          </cell>
          <cell r="G299" t="str">
            <v>KRW</v>
          </cell>
          <cell r="H299" t="str">
            <v>C28</v>
          </cell>
          <cell r="I299" t="str">
            <v>태진정밀(주)</v>
          </cell>
          <cell r="J299">
            <v>0</v>
          </cell>
        </row>
        <row r="300">
          <cell r="B300" t="str">
            <v>Q7217224603C</v>
          </cell>
          <cell r="C300" t="str">
            <v>MONITOR BUTTON-DSC350SE</v>
          </cell>
          <cell r="D300" t="str">
            <v>F</v>
          </cell>
          <cell r="F300">
            <v>110</v>
          </cell>
          <cell r="G300" t="str">
            <v>KRW</v>
          </cell>
          <cell r="H300" t="str">
            <v>C28</v>
          </cell>
          <cell r="I300" t="str">
            <v>태진정밀(주)</v>
          </cell>
          <cell r="J300">
            <v>0</v>
          </cell>
        </row>
        <row r="301">
          <cell r="B301" t="str">
            <v>Q7217224703B</v>
          </cell>
          <cell r="C301" t="str">
            <v>MENU BUTTON-DSC350SE</v>
          </cell>
          <cell r="D301" t="str">
            <v>F</v>
          </cell>
          <cell r="F301">
            <v>110</v>
          </cell>
          <cell r="G301" t="str">
            <v>KRW</v>
          </cell>
          <cell r="H301" t="str">
            <v>C28</v>
          </cell>
          <cell r="I301" t="str">
            <v>태진정밀(주)</v>
          </cell>
          <cell r="J301">
            <v>0</v>
          </cell>
        </row>
        <row r="302">
          <cell r="B302" t="str">
            <v>Q7217224802A</v>
          </cell>
          <cell r="C302" t="str">
            <v>DIAL HOLDER-DSC350SE</v>
          </cell>
          <cell r="D302" t="str">
            <v>F</v>
          </cell>
          <cell r="F302">
            <v>30</v>
          </cell>
          <cell r="G302" t="str">
            <v>KRW</v>
          </cell>
          <cell r="H302" t="str">
            <v>C28</v>
          </cell>
          <cell r="I302" t="str">
            <v>인성엔프라(주)</v>
          </cell>
          <cell r="J302">
            <v>0</v>
          </cell>
        </row>
        <row r="303">
          <cell r="B303" t="str">
            <v>Q7217224902A</v>
          </cell>
          <cell r="C303" t="str">
            <v>RELEASE BUTTON-DSC350SE</v>
          </cell>
          <cell r="D303" t="str">
            <v>F</v>
          </cell>
          <cell r="F303">
            <v>133</v>
          </cell>
          <cell r="G303" t="str">
            <v>KRW</v>
          </cell>
          <cell r="H303" t="str">
            <v>C28</v>
          </cell>
          <cell r="I303" t="str">
            <v>(주)동양테크윈</v>
          </cell>
          <cell r="J303">
            <v>0</v>
          </cell>
        </row>
        <row r="304">
          <cell r="B304" t="str">
            <v>Q7217225001A</v>
          </cell>
          <cell r="C304" t="str">
            <v>MONITOR WINDOW-DSC350SE</v>
          </cell>
          <cell r="D304" t="str">
            <v>F</v>
          </cell>
          <cell r="F304">
            <v>350</v>
          </cell>
          <cell r="G304" t="str">
            <v>KRW</v>
          </cell>
          <cell r="H304" t="str">
            <v>C28</v>
          </cell>
          <cell r="I304" t="str">
            <v>두손정밀(주)</v>
          </cell>
          <cell r="J304">
            <v>0</v>
          </cell>
        </row>
        <row r="305">
          <cell r="B305" t="str">
            <v>Q7217247301A</v>
          </cell>
          <cell r="C305" t="str">
            <v>B GRIP COVER-DSC350SE_GRAY</v>
          </cell>
          <cell r="D305" t="str">
            <v>F</v>
          </cell>
          <cell r="F305">
            <v>342</v>
          </cell>
          <cell r="G305" t="str">
            <v>KRW</v>
          </cell>
          <cell r="H305" t="str">
            <v>C28</v>
          </cell>
          <cell r="I305" t="str">
            <v>태진정밀(주)</v>
          </cell>
          <cell r="J305">
            <v>0</v>
          </cell>
        </row>
        <row r="306">
          <cell r="B306" t="str">
            <v>Q7217247401A</v>
          </cell>
          <cell r="C306" t="str">
            <v>INNER FRONT COVER-DSC350SE_GRAY</v>
          </cell>
          <cell r="D306" t="str">
            <v>F</v>
          </cell>
          <cell r="F306">
            <v>619</v>
          </cell>
          <cell r="G306" t="str">
            <v>KRW</v>
          </cell>
          <cell r="H306" t="str">
            <v>C28</v>
          </cell>
          <cell r="I306" t="str">
            <v>태진정밀(주)</v>
          </cell>
          <cell r="J306">
            <v>0</v>
          </cell>
        </row>
        <row r="307">
          <cell r="B307" t="str">
            <v>Q7217247601A</v>
          </cell>
          <cell r="C307" t="str">
            <v>BATTERY COVER 2-DSC350SE_GRAY</v>
          </cell>
          <cell r="D307" t="str">
            <v>F</v>
          </cell>
          <cell r="F307">
            <v>164</v>
          </cell>
          <cell r="G307" t="str">
            <v>KRW</v>
          </cell>
          <cell r="H307" t="str">
            <v>C28</v>
          </cell>
          <cell r="I307" t="str">
            <v>태진정밀(주)</v>
          </cell>
          <cell r="J307">
            <v>0</v>
          </cell>
        </row>
        <row r="308">
          <cell r="B308" t="str">
            <v>Q7309033601A</v>
          </cell>
          <cell r="C308" t="str">
            <v>EP RUBBER-DSC350SE</v>
          </cell>
          <cell r="D308" t="str">
            <v>F</v>
          </cell>
          <cell r="F308">
            <v>100</v>
          </cell>
          <cell r="G308" t="str">
            <v>KRW</v>
          </cell>
          <cell r="I308" t="str">
            <v>두창화학</v>
          </cell>
          <cell r="J308">
            <v>0</v>
          </cell>
        </row>
        <row r="309">
          <cell r="B309" t="str">
            <v>Q7309033701A</v>
          </cell>
          <cell r="C309" t="str">
            <v>JACK DOOR-DSC350SE</v>
          </cell>
          <cell r="D309" t="str">
            <v>F</v>
          </cell>
          <cell r="F309">
            <v>93</v>
          </cell>
          <cell r="G309" t="str">
            <v>KRW</v>
          </cell>
          <cell r="I309" t="str">
            <v>두창화학</v>
          </cell>
          <cell r="J309">
            <v>0</v>
          </cell>
        </row>
        <row r="310">
          <cell r="B310" t="str">
            <v>Q7309033801A</v>
          </cell>
          <cell r="C310" t="str">
            <v>OLPF CUSHION-DSC350SE</v>
          </cell>
          <cell r="D310" t="str">
            <v>F</v>
          </cell>
          <cell r="F310">
            <v>45</v>
          </cell>
          <cell r="G310" t="str">
            <v>KRW</v>
          </cell>
          <cell r="I310" t="str">
            <v>두창화학</v>
          </cell>
          <cell r="J310">
            <v>0</v>
          </cell>
        </row>
        <row r="311">
          <cell r="B311" t="str">
            <v>Q7309033901A</v>
          </cell>
          <cell r="C311" t="str">
            <v>PRESSURE RUBBER-DSC350SE</v>
          </cell>
          <cell r="D311" t="str">
            <v>F</v>
          </cell>
          <cell r="F311">
            <v>25</v>
          </cell>
          <cell r="G311" t="str">
            <v>KRW</v>
          </cell>
          <cell r="I311" t="str">
            <v>두창화학</v>
          </cell>
          <cell r="J311">
            <v>0</v>
          </cell>
        </row>
        <row r="312">
          <cell r="B312" t="str">
            <v>Q7309034001A</v>
          </cell>
          <cell r="C312" t="str">
            <v>XE-TUBE BEND-DSC350SE</v>
          </cell>
          <cell r="D312" t="str">
            <v>F</v>
          </cell>
          <cell r="F312">
            <v>30</v>
          </cell>
          <cell r="G312" t="str">
            <v>KRW</v>
          </cell>
          <cell r="I312" t="str">
            <v>두창화학</v>
          </cell>
          <cell r="J312">
            <v>0</v>
          </cell>
        </row>
        <row r="313">
          <cell r="B313" t="str">
            <v>Q7309035601A</v>
          </cell>
          <cell r="C313" t="str">
            <v>MIC CAP-DSC350SE</v>
          </cell>
          <cell r="D313" t="str">
            <v>F</v>
          </cell>
          <cell r="F313">
            <v>70</v>
          </cell>
          <cell r="G313" t="str">
            <v>KRW</v>
          </cell>
          <cell r="I313" t="str">
            <v>두창화학</v>
          </cell>
          <cell r="J313">
            <v>0</v>
          </cell>
        </row>
        <row r="314">
          <cell r="B314" t="str">
            <v>Q7309035701A</v>
          </cell>
          <cell r="C314" t="str">
            <v>SPEAKER RUBBER-DSC350SE</v>
          </cell>
          <cell r="D314" t="str">
            <v>F</v>
          </cell>
          <cell r="F314">
            <v>50</v>
          </cell>
          <cell r="G314" t="str">
            <v>KRW</v>
          </cell>
          <cell r="I314" t="str">
            <v>두창화학</v>
          </cell>
          <cell r="J314">
            <v>0</v>
          </cell>
        </row>
        <row r="315">
          <cell r="B315" t="str">
            <v>Q7409001301A</v>
          </cell>
          <cell r="C315" t="str">
            <v>SHIELD-D[K40 FOAM 4X-SLIM]</v>
          </cell>
          <cell r="D315" t="str">
            <v>F</v>
          </cell>
          <cell r="F315">
            <v>4</v>
          </cell>
          <cell r="G315" t="str">
            <v>KRW</v>
          </cell>
          <cell r="H315" t="str">
            <v>C57</v>
          </cell>
          <cell r="I315" t="str">
            <v>대산산업</v>
          </cell>
          <cell r="J315">
            <v>0</v>
          </cell>
        </row>
        <row r="316">
          <cell r="B316" t="str">
            <v>Q7409044001A</v>
          </cell>
          <cell r="C316" t="str">
            <v>TAPE-F[절연 TAPE(T=0.1)]</v>
          </cell>
          <cell r="D316" t="str">
            <v>F</v>
          </cell>
          <cell r="F316">
            <v>4</v>
          </cell>
          <cell r="G316" t="str">
            <v>KRW</v>
          </cell>
          <cell r="H316" t="str">
            <v>C57</v>
          </cell>
          <cell r="I316" t="str">
            <v>석일산업</v>
          </cell>
          <cell r="J316">
            <v>0</v>
          </cell>
        </row>
        <row r="317">
          <cell r="B317" t="str">
            <v>Q7409078901A</v>
          </cell>
          <cell r="C317" t="str">
            <v>REAR SHEET TAPE</v>
          </cell>
          <cell r="D317" t="str">
            <v>F</v>
          </cell>
          <cell r="F317">
            <v>4</v>
          </cell>
          <cell r="G317" t="str">
            <v>KRW</v>
          </cell>
          <cell r="H317" t="str">
            <v>C57</v>
          </cell>
          <cell r="I317" t="str">
            <v>제일산업</v>
          </cell>
          <cell r="J317">
            <v>0</v>
          </cell>
        </row>
        <row r="318">
          <cell r="B318" t="str">
            <v>Q7409100101A</v>
          </cell>
          <cell r="C318" t="str">
            <v>F TAPE A-IP5X</v>
          </cell>
          <cell r="D318" t="str">
            <v>F</v>
          </cell>
          <cell r="F318">
            <v>2</v>
          </cell>
          <cell r="G318" t="str">
            <v>KRW</v>
          </cell>
          <cell r="H318" t="str">
            <v>C57</v>
          </cell>
          <cell r="I318" t="str">
            <v>석일산업</v>
          </cell>
          <cell r="J318">
            <v>0</v>
          </cell>
        </row>
        <row r="319">
          <cell r="B319" t="str">
            <v>Q7409111601A</v>
          </cell>
          <cell r="C319" t="str">
            <v>RELEASE WASHER-QS4XN</v>
          </cell>
          <cell r="D319" t="str">
            <v>F</v>
          </cell>
          <cell r="F319">
            <v>4</v>
          </cell>
          <cell r="G319" t="str">
            <v>KRW</v>
          </cell>
          <cell r="H319" t="str">
            <v>C60</v>
          </cell>
          <cell r="I319" t="str">
            <v>한국유니온정공</v>
          </cell>
          <cell r="J319">
            <v>0</v>
          </cell>
        </row>
        <row r="320">
          <cell r="B320" t="str">
            <v>Q7409113501A</v>
          </cell>
          <cell r="C320" t="str">
            <v>PRESSURE SPONGE-DSC350SE</v>
          </cell>
          <cell r="D320" t="str">
            <v>F</v>
          </cell>
          <cell r="F320">
            <v>5</v>
          </cell>
          <cell r="G320" t="str">
            <v>KRW</v>
          </cell>
          <cell r="H320" t="str">
            <v>C57</v>
          </cell>
          <cell r="I320" t="str">
            <v>대산산업</v>
          </cell>
          <cell r="J320">
            <v>0</v>
          </cell>
        </row>
        <row r="321">
          <cell r="B321" t="str">
            <v>Q7409113601A</v>
          </cell>
          <cell r="C321" t="str">
            <v>FCC MARK STICKER_DSC_350SE</v>
          </cell>
          <cell r="D321" t="str">
            <v>F</v>
          </cell>
          <cell r="F321">
            <v>16</v>
          </cell>
          <cell r="G321" t="str">
            <v>KRW</v>
          </cell>
          <cell r="H321" t="str">
            <v>C57</v>
          </cell>
          <cell r="I321" t="str">
            <v>석일산업</v>
          </cell>
          <cell r="J321">
            <v>0</v>
          </cell>
        </row>
        <row r="322">
          <cell r="B322" t="str">
            <v>Q7409114801A</v>
          </cell>
          <cell r="C322" t="str">
            <v>MONITOR CUSHION-DSC350SE</v>
          </cell>
          <cell r="D322" t="str">
            <v>F</v>
          </cell>
          <cell r="F322">
            <v>78</v>
          </cell>
          <cell r="G322" t="str">
            <v>KRW</v>
          </cell>
          <cell r="H322" t="str">
            <v>C57</v>
          </cell>
          <cell r="I322" t="str">
            <v>대산산업</v>
          </cell>
          <cell r="J322">
            <v>0</v>
          </cell>
        </row>
        <row r="323">
          <cell r="B323" t="str">
            <v>Q7409115002A</v>
          </cell>
          <cell r="C323" t="str">
            <v>BARREL CUTION-DSC350SE</v>
          </cell>
          <cell r="D323" t="str">
            <v>F</v>
          </cell>
          <cell r="F323">
            <v>98</v>
          </cell>
          <cell r="G323" t="str">
            <v>KRW</v>
          </cell>
          <cell r="H323" t="str">
            <v>C57</v>
          </cell>
          <cell r="I323" t="str">
            <v>대산산업</v>
          </cell>
          <cell r="J323">
            <v>0</v>
          </cell>
        </row>
        <row r="324">
          <cell r="B324" t="str">
            <v>Q7409119401A</v>
          </cell>
          <cell r="C324" t="str">
            <v>SHIELD PLATE-DSC350SE</v>
          </cell>
          <cell r="D324" t="str">
            <v>F</v>
          </cell>
          <cell r="F324">
            <v>7</v>
          </cell>
          <cell r="G324" t="str">
            <v>KRW</v>
          </cell>
          <cell r="H324" t="str">
            <v>C57</v>
          </cell>
          <cell r="I324" t="str">
            <v>대산산업</v>
          </cell>
          <cell r="J324">
            <v>0</v>
          </cell>
        </row>
        <row r="325">
          <cell r="B325" t="str">
            <v>Q7409120101A</v>
          </cell>
          <cell r="C325" t="str">
            <v>LCD PCB TAPE-DSC350SE</v>
          </cell>
          <cell r="D325" t="str">
            <v>F</v>
          </cell>
          <cell r="F325">
            <v>47</v>
          </cell>
          <cell r="G325" t="str">
            <v>KRW</v>
          </cell>
          <cell r="H325" t="str">
            <v>C57</v>
          </cell>
          <cell r="I325" t="str">
            <v>석일산업</v>
          </cell>
          <cell r="J325">
            <v>0</v>
          </cell>
        </row>
        <row r="326">
          <cell r="B326" t="str">
            <v>Q7409121102B</v>
          </cell>
          <cell r="C326" t="str">
            <v>F RUBBER TAPE-DSC350SE</v>
          </cell>
          <cell r="D326" t="str">
            <v>F</v>
          </cell>
          <cell r="F326">
            <v>35</v>
          </cell>
          <cell r="G326" t="str">
            <v>KRW</v>
          </cell>
          <cell r="H326" t="str">
            <v>C57</v>
          </cell>
          <cell r="I326" t="str">
            <v>석일산업</v>
          </cell>
          <cell r="J326">
            <v>0</v>
          </cell>
        </row>
        <row r="327">
          <cell r="B327" t="str">
            <v>Q7409121701A</v>
          </cell>
          <cell r="C327" t="str">
            <v>STRAP_DIGIMAX_350SE_WRIST</v>
          </cell>
          <cell r="D327" t="str">
            <v>F</v>
          </cell>
          <cell r="F327">
            <v>180</v>
          </cell>
          <cell r="G327" t="str">
            <v>KRW</v>
          </cell>
          <cell r="H327" t="str">
            <v>C65</v>
          </cell>
          <cell r="I327" t="str">
            <v>한림엔터프라이즈</v>
          </cell>
          <cell r="J327">
            <v>0</v>
          </cell>
        </row>
        <row r="328">
          <cell r="B328" t="str">
            <v>Q7411082502B</v>
          </cell>
          <cell r="C328" t="str">
            <v>BATTERY HINGE AXIS-DSC350SE</v>
          </cell>
          <cell r="D328" t="str">
            <v>F</v>
          </cell>
          <cell r="F328">
            <v>13</v>
          </cell>
          <cell r="G328" t="str">
            <v>KRW</v>
          </cell>
          <cell r="H328" t="str">
            <v>C20</v>
          </cell>
          <cell r="I328" t="str">
            <v>삼현(주)</v>
          </cell>
          <cell r="J328">
            <v>0</v>
          </cell>
        </row>
        <row r="329">
          <cell r="B329" t="str">
            <v>Q7411082602B</v>
          </cell>
          <cell r="C329" t="str">
            <v>STRAP LINK-DSC350SE</v>
          </cell>
          <cell r="D329" t="str">
            <v>F</v>
          </cell>
          <cell r="F329">
            <v>0</v>
          </cell>
          <cell r="H329" t="str">
            <v>C20</v>
          </cell>
          <cell r="J329">
            <v>0</v>
          </cell>
        </row>
        <row r="330">
          <cell r="B330" t="str">
            <v>Q7411085001A</v>
          </cell>
          <cell r="C330" t="str">
            <v>MODE DIAL CAP-DSC350SE</v>
          </cell>
          <cell r="D330" t="str">
            <v>F</v>
          </cell>
          <cell r="F330">
            <v>910</v>
          </cell>
          <cell r="G330" t="str">
            <v>KRW</v>
          </cell>
          <cell r="H330" t="str">
            <v>C60</v>
          </cell>
          <cell r="I330" t="str">
            <v>(주)성광사</v>
          </cell>
          <cell r="J330">
            <v>0</v>
          </cell>
        </row>
        <row r="331">
          <cell r="B331" t="str">
            <v>Q9001088301A</v>
          </cell>
          <cell r="C331" t="str">
            <v>BODY ASSY 1-DSC350SE</v>
          </cell>
          <cell r="D331" t="str">
            <v>E</v>
          </cell>
          <cell r="E331">
            <v>50</v>
          </cell>
          <cell r="F331">
            <v>0</v>
          </cell>
          <cell r="J331">
            <v>0</v>
          </cell>
        </row>
        <row r="332">
          <cell r="B332" t="str">
            <v>Q9001088401A</v>
          </cell>
          <cell r="C332" t="str">
            <v>BODY ASSY 2-DSC350SE</v>
          </cell>
          <cell r="D332" t="str">
            <v>F</v>
          </cell>
          <cell r="E332">
            <v>30</v>
          </cell>
          <cell r="F332">
            <v>2750</v>
          </cell>
          <cell r="G332" t="str">
            <v>KRW</v>
          </cell>
          <cell r="I332" t="str">
            <v>대호전자</v>
          </cell>
          <cell r="J332">
            <v>0</v>
          </cell>
        </row>
        <row r="333">
          <cell r="B333" t="str">
            <v>Q9002106001A</v>
          </cell>
          <cell r="C333" t="str">
            <v>3M3X BARREL ASSY-DSC350SE</v>
          </cell>
          <cell r="D333" t="str">
            <v>F</v>
          </cell>
          <cell r="E333">
            <v>40</v>
          </cell>
          <cell r="F333">
            <v>0</v>
          </cell>
          <cell r="H333" t="str">
            <v>C71</v>
          </cell>
          <cell r="J333">
            <v>0</v>
          </cell>
        </row>
        <row r="334">
          <cell r="B334" t="str">
            <v>Q9007177001A</v>
          </cell>
          <cell r="C334" t="str">
            <v>FRONT COVER ASSY-DSC350SE_GRAY</v>
          </cell>
          <cell r="D334" t="str">
            <v>F</v>
          </cell>
          <cell r="E334">
            <v>30</v>
          </cell>
          <cell r="F334">
            <v>422</v>
          </cell>
          <cell r="G334" t="str">
            <v>KRW</v>
          </cell>
          <cell r="I334" t="str">
            <v>대호전자</v>
          </cell>
          <cell r="J334">
            <v>0</v>
          </cell>
        </row>
        <row r="335">
          <cell r="B335" t="str">
            <v>Q9007177101A</v>
          </cell>
          <cell r="C335" t="str">
            <v>BACK COVER ASSY-DSC350SE_GRAY</v>
          </cell>
          <cell r="D335" t="str">
            <v>F</v>
          </cell>
          <cell r="F335">
            <v>37705</v>
          </cell>
          <cell r="G335" t="str">
            <v>KRW</v>
          </cell>
          <cell r="H335" t="str">
            <v>C22</v>
          </cell>
          <cell r="I335" t="str">
            <v>(주)유니온</v>
          </cell>
          <cell r="J335">
            <v>0</v>
          </cell>
        </row>
        <row r="336">
          <cell r="B336" t="str">
            <v>Q9007177201A</v>
          </cell>
          <cell r="C336" t="str">
            <v>BATTERY COVER ASSY-DSC350SE_GRAY</v>
          </cell>
          <cell r="D336" t="str">
            <v>E</v>
          </cell>
          <cell r="E336">
            <v>50</v>
          </cell>
          <cell r="F336">
            <v>0</v>
          </cell>
          <cell r="J336">
            <v>0</v>
          </cell>
        </row>
        <row r="337">
          <cell r="B337" t="str">
            <v>Q9008048401A</v>
          </cell>
          <cell r="C337" t="str">
            <v>MAIN CONDENSER ASSY-DSC350SE</v>
          </cell>
          <cell r="D337" t="str">
            <v>E</v>
          </cell>
          <cell r="E337">
            <v>50</v>
          </cell>
          <cell r="F337">
            <v>0</v>
          </cell>
          <cell r="H337" t="str">
            <v>C71</v>
          </cell>
          <cell r="J337">
            <v>0</v>
          </cell>
        </row>
        <row r="338">
          <cell r="B338" t="str">
            <v>Q9008048501A</v>
          </cell>
          <cell r="C338" t="str">
            <v>CCD FPCB ASSY-DSC350SE</v>
          </cell>
          <cell r="D338" t="str">
            <v>F</v>
          </cell>
          <cell r="F338">
            <v>34840</v>
          </cell>
          <cell r="G338" t="str">
            <v>KRW</v>
          </cell>
          <cell r="H338" t="str">
            <v>C71</v>
          </cell>
          <cell r="I338" t="str">
            <v>(주)유니온</v>
          </cell>
          <cell r="J338">
            <v>0</v>
          </cell>
        </row>
        <row r="339">
          <cell r="B339" t="str">
            <v>Q9008048601A</v>
          </cell>
          <cell r="C339" t="str">
            <v>POWER PCB ASSY-DSC350SE</v>
          </cell>
          <cell r="D339" t="str">
            <v>F</v>
          </cell>
          <cell r="F339">
            <v>24029</v>
          </cell>
          <cell r="G339" t="str">
            <v>KRW</v>
          </cell>
          <cell r="I339" t="str">
            <v>(주)유니온</v>
          </cell>
          <cell r="J339">
            <v>0</v>
          </cell>
        </row>
        <row r="340">
          <cell r="B340" t="str">
            <v>Q9008048701A</v>
          </cell>
          <cell r="C340" t="str">
            <v>POWER PCB ASSY_SMD-DSC350SE</v>
          </cell>
          <cell r="D340" t="str">
            <v>X</v>
          </cell>
          <cell r="F340">
            <v>0</v>
          </cell>
          <cell r="J340">
            <v>0</v>
          </cell>
        </row>
        <row r="341">
          <cell r="B341" t="str">
            <v>Q9008048801A</v>
          </cell>
          <cell r="C341" t="str">
            <v>MAIN PCB ASSY-DSC350SE</v>
          </cell>
          <cell r="D341" t="str">
            <v>F</v>
          </cell>
          <cell r="F341">
            <v>75785</v>
          </cell>
          <cell r="G341" t="str">
            <v>KRW</v>
          </cell>
          <cell r="I341" t="str">
            <v>서일전자공업(주)</v>
          </cell>
          <cell r="J341">
            <v>0</v>
          </cell>
        </row>
        <row r="342">
          <cell r="B342" t="str">
            <v>Q9008048901A</v>
          </cell>
          <cell r="C342" t="str">
            <v>MAIN PCB ASSY_SMD-DSC350SE</v>
          </cell>
          <cell r="D342" t="str">
            <v>X</v>
          </cell>
          <cell r="F342">
            <v>0</v>
          </cell>
          <cell r="J342">
            <v>0</v>
          </cell>
        </row>
        <row r="343">
          <cell r="B343" t="str">
            <v>Q9008049001A</v>
          </cell>
          <cell r="C343" t="str">
            <v>STROBO PCB ASSY-DSC350SE</v>
          </cell>
          <cell r="D343" t="str">
            <v>F</v>
          </cell>
          <cell r="F343">
            <v>5756</v>
          </cell>
          <cell r="G343" t="str">
            <v>KRW</v>
          </cell>
          <cell r="I343" t="str">
            <v>(주)유니온</v>
          </cell>
          <cell r="J343">
            <v>0</v>
          </cell>
        </row>
        <row r="344">
          <cell r="B344" t="str">
            <v>Q9008049101A</v>
          </cell>
          <cell r="C344" t="str">
            <v>STROBO PCB ASSY_SMD-DSC350SE</v>
          </cell>
          <cell r="D344" t="str">
            <v>X</v>
          </cell>
          <cell r="F344">
            <v>0</v>
          </cell>
          <cell r="J344">
            <v>0</v>
          </cell>
        </row>
        <row r="345">
          <cell r="B345" t="str">
            <v>Q9008049201A</v>
          </cell>
          <cell r="C345" t="str">
            <v>REFLECTOR ASSY-DSC350SE</v>
          </cell>
          <cell r="D345" t="str">
            <v>X</v>
          </cell>
          <cell r="F345">
            <v>0</v>
          </cell>
          <cell r="J345">
            <v>0</v>
          </cell>
        </row>
        <row r="346">
          <cell r="B346" t="str">
            <v>Q9008049301A</v>
          </cell>
          <cell r="C346" t="str">
            <v>DIAL FPCB ASSY-DSC350SE</v>
          </cell>
          <cell r="D346" t="str">
            <v>E</v>
          </cell>
          <cell r="E346">
            <v>50</v>
          </cell>
          <cell r="F346">
            <v>0</v>
          </cell>
          <cell r="H346" t="str">
            <v>C71</v>
          </cell>
          <cell r="J346">
            <v>0</v>
          </cell>
        </row>
        <row r="347">
          <cell r="B347" t="str">
            <v>Q9008049401A</v>
          </cell>
          <cell r="C347" t="str">
            <v>MODE CONTACT ASSY-DSC350SE</v>
          </cell>
          <cell r="D347" t="str">
            <v>E</v>
          </cell>
          <cell r="E347">
            <v>50</v>
          </cell>
          <cell r="F347">
            <v>0</v>
          </cell>
          <cell r="H347" t="str">
            <v>C71</v>
          </cell>
          <cell r="J347">
            <v>0</v>
          </cell>
        </row>
        <row r="348">
          <cell r="B348" t="str">
            <v>Q9008049501A</v>
          </cell>
          <cell r="C348" t="str">
            <v>LED PCB ASSY-DSC350SE</v>
          </cell>
          <cell r="D348" t="str">
            <v>E</v>
          </cell>
          <cell r="E348">
            <v>50</v>
          </cell>
          <cell r="F348">
            <v>0</v>
          </cell>
          <cell r="H348" t="str">
            <v>C71</v>
          </cell>
          <cell r="J348">
            <v>0</v>
          </cell>
        </row>
        <row r="349">
          <cell r="B349" t="str">
            <v>Q9008049601A</v>
          </cell>
          <cell r="C349" t="str">
            <v>LCD PCB ASSY-DSC350SE</v>
          </cell>
          <cell r="D349" t="str">
            <v>X</v>
          </cell>
          <cell r="F349">
            <v>0</v>
          </cell>
          <cell r="J349">
            <v>0</v>
          </cell>
        </row>
        <row r="350">
          <cell r="B350" t="str">
            <v>Q9008050701A</v>
          </cell>
          <cell r="C350" t="str">
            <v>CCD FPCB ASSY_SMD-DSC350SE</v>
          </cell>
          <cell r="D350" t="str">
            <v>X</v>
          </cell>
          <cell r="F350">
            <v>0</v>
          </cell>
          <cell r="J350">
            <v>0</v>
          </cell>
        </row>
        <row r="351">
          <cell r="B351" t="str">
            <v>Q9008050801A</v>
          </cell>
          <cell r="C351" t="str">
            <v>LCD PCB ASSY_SMD-DSC350SE</v>
          </cell>
          <cell r="D351" t="str">
            <v>X</v>
          </cell>
          <cell r="F351">
            <v>0</v>
          </cell>
          <cell r="J351">
            <v>0</v>
          </cell>
        </row>
        <row r="352">
          <cell r="B352" t="str">
            <v>Q9010044201A</v>
          </cell>
          <cell r="C352" t="str">
            <v>USB CABLE ASSY-DSC210</v>
          </cell>
          <cell r="D352" t="str">
            <v>E</v>
          </cell>
          <cell r="E352">
            <v>50</v>
          </cell>
          <cell r="F352">
            <v>0</v>
          </cell>
          <cell r="J352">
            <v>0</v>
          </cell>
        </row>
        <row r="353">
          <cell r="B353" t="str">
            <v>Q9363150471</v>
          </cell>
          <cell r="C353" t="str">
            <v>CHIP TRANSISTOR[KTA 1504S.ASY(KEC)]</v>
          </cell>
          <cell r="D353" t="str">
            <v>F</v>
          </cell>
          <cell r="F353">
            <v>28</v>
          </cell>
          <cell r="G353" t="str">
            <v>KRW</v>
          </cell>
          <cell r="H353" t="str">
            <v>C53</v>
          </cell>
          <cell r="I353" t="str">
            <v>(주)유니온</v>
          </cell>
          <cell r="J353">
            <v>0</v>
          </cell>
        </row>
        <row r="354">
          <cell r="B354" t="str">
            <v>Q9761173007</v>
          </cell>
          <cell r="C354" t="str">
            <v>SCREW</v>
          </cell>
          <cell r="D354" t="str">
            <v>F</v>
          </cell>
          <cell r="F354">
            <v>2</v>
          </cell>
          <cell r="G354" t="str">
            <v>KRW</v>
          </cell>
          <cell r="H354" t="str">
            <v>C80</v>
          </cell>
          <cell r="I354" t="str">
            <v>한국유니온정공</v>
          </cell>
          <cell r="J354">
            <v>0</v>
          </cell>
        </row>
        <row r="355">
          <cell r="B355" t="str">
            <v>Q9761173501</v>
          </cell>
          <cell r="C355" t="str">
            <v>SCREW</v>
          </cell>
          <cell r="D355" t="str">
            <v>F</v>
          </cell>
          <cell r="F355">
            <v>2</v>
          </cell>
          <cell r="G355" t="str">
            <v>KRW</v>
          </cell>
          <cell r="H355" t="str">
            <v>C80</v>
          </cell>
          <cell r="I355" t="str">
            <v>한국유니온정공</v>
          </cell>
          <cell r="J355">
            <v>0</v>
          </cell>
        </row>
        <row r="356">
          <cell r="B356" t="str">
            <v>Q9761174001</v>
          </cell>
          <cell r="C356" t="str">
            <v>SCREW</v>
          </cell>
          <cell r="D356" t="str">
            <v>F</v>
          </cell>
          <cell r="F356">
            <v>2</v>
          </cell>
          <cell r="G356" t="str">
            <v>KRW</v>
          </cell>
          <cell r="H356" t="str">
            <v>C80</v>
          </cell>
          <cell r="I356" t="str">
            <v>한국유니온정공</v>
          </cell>
          <cell r="J356">
            <v>0</v>
          </cell>
        </row>
        <row r="357">
          <cell r="B357" t="str">
            <v>Q9761174007</v>
          </cell>
          <cell r="C357" t="str">
            <v>SCREW</v>
          </cell>
          <cell r="D357" t="str">
            <v>F</v>
          </cell>
          <cell r="F357">
            <v>2</v>
          </cell>
          <cell r="G357" t="str">
            <v>KRW</v>
          </cell>
          <cell r="H357" t="str">
            <v>C80</v>
          </cell>
          <cell r="I357" t="str">
            <v>케이엠에스티(주)</v>
          </cell>
          <cell r="J357">
            <v>0</v>
          </cell>
        </row>
        <row r="358">
          <cell r="B358" t="str">
            <v>Q9765143012</v>
          </cell>
          <cell r="C358" t="str">
            <v>SCREW</v>
          </cell>
          <cell r="D358" t="str">
            <v>F</v>
          </cell>
          <cell r="F358">
            <v>4</v>
          </cell>
          <cell r="G358" t="str">
            <v>KRW</v>
          </cell>
          <cell r="H358" t="str">
            <v>C80</v>
          </cell>
          <cell r="I358" t="str">
            <v>케이엠에스티(주)</v>
          </cell>
          <cell r="J358">
            <v>0</v>
          </cell>
        </row>
        <row r="359">
          <cell r="B359" t="str">
            <v>QP950250403L</v>
          </cell>
          <cell r="C359" t="str">
            <v>WARRANTY CARD_2001.07</v>
          </cell>
          <cell r="D359" t="str">
            <v>F</v>
          </cell>
          <cell r="F359">
            <v>41</v>
          </cell>
          <cell r="G359" t="str">
            <v>KRW</v>
          </cell>
          <cell r="H359" t="str">
            <v>C65</v>
          </cell>
          <cell r="I359" t="str">
            <v>삼영인쇄(주)</v>
          </cell>
          <cell r="J359">
            <v>0</v>
          </cell>
        </row>
        <row r="360">
          <cell r="B360" t="str">
            <v>QP960210101A</v>
          </cell>
          <cell r="C360" t="str">
            <v>P.E BAG(S/ZOOM용)</v>
          </cell>
          <cell r="D360" t="str">
            <v>F</v>
          </cell>
          <cell r="F360">
            <v>5</v>
          </cell>
          <cell r="G360" t="str">
            <v>KRW</v>
          </cell>
          <cell r="H360" t="str">
            <v>C65</v>
          </cell>
          <cell r="I360" t="str">
            <v>대림비닐공업사</v>
          </cell>
          <cell r="J360">
            <v>0</v>
          </cell>
        </row>
        <row r="361">
          <cell r="B361" t="str">
            <v>QSPALANOD3050</v>
          </cell>
          <cell r="C361" t="str">
            <v>ALUMINIUM</v>
          </cell>
          <cell r="D361" t="str">
            <v>F</v>
          </cell>
          <cell r="F361">
            <v>35.299999999999997</v>
          </cell>
          <cell r="G361" t="str">
            <v>DEM</v>
          </cell>
          <cell r="H361" t="str">
            <v>C90</v>
          </cell>
          <cell r="I361" t="str">
            <v>ALANOD ALUMINIUM</v>
          </cell>
          <cell r="J361">
            <v>0</v>
          </cell>
        </row>
        <row r="362">
          <cell r="B362" t="str">
            <v>QSPC52UEB1527</v>
          </cell>
          <cell r="C362" t="str">
            <v>PHOSPHOR BRONZE</v>
          </cell>
          <cell r="D362" t="str">
            <v>F</v>
          </cell>
          <cell r="F362">
            <v>35000</v>
          </cell>
          <cell r="G362" t="str">
            <v>KRW</v>
          </cell>
          <cell r="H362" t="str">
            <v>C60</v>
          </cell>
          <cell r="I362" t="str">
            <v>성광금속</v>
          </cell>
          <cell r="J362">
            <v>0</v>
          </cell>
        </row>
        <row r="363">
          <cell r="B363" t="str">
            <v>QSPG400XX4710</v>
          </cell>
          <cell r="C363" t="str">
            <v>POLYURETHANE SHEET</v>
          </cell>
          <cell r="D363" t="str">
            <v>F</v>
          </cell>
          <cell r="F363">
            <v>582</v>
          </cell>
          <cell r="G363" t="str">
            <v>JPY</v>
          </cell>
          <cell r="H363" t="str">
            <v>C64</v>
          </cell>
          <cell r="I363" t="str">
            <v>KANEKO METAL CO.</v>
          </cell>
          <cell r="J363">
            <v>0</v>
          </cell>
        </row>
      </sheetData>
      <sheetData sheetId="6"/>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본데이타"/>
    </sheetNames>
    <sheetDataSet>
      <sheetData sheetId="0" refreshError="1">
        <row r="5">
          <cell r="C5" t="str">
            <v>(주)가나다건설</v>
          </cell>
        </row>
        <row r="6">
          <cell r="C6" t="str">
            <v>홍길동</v>
          </cell>
        </row>
        <row r="8">
          <cell r="C8" t="str">
            <v>서울 서초구 서초동 123-456</v>
          </cell>
        </row>
        <row r="9">
          <cell r="C9" t="str">
            <v>전기 345-456</v>
          </cell>
        </row>
        <row r="12">
          <cell r="C12" t="str">
            <v>1996년 4월 1일</v>
          </cell>
        </row>
      </sheetData>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매출이익(실적)"/>
      <sheetName val="매출이익(경영대비)"/>
      <sheetName val="판매관리비"/>
      <sheetName val="지급이자 (인센티브)"/>
      <sheetName val="지급이자"/>
      <sheetName val="자금수지(실적)"/>
      <sheetName val="자금수지(실적-광학기기)"/>
      <sheetName val="이연상각"/>
      <sheetName val="이연상각 (2)"/>
      <sheetName val="자산증가"/>
      <sheetName val="VXXXXX"/>
      <sheetName val="개발비요약"/>
      <sheetName val="인력계획"/>
      <sheetName val="계정별 총계"/>
      <sheetName val="DSC공통경비"/>
      <sheetName val="기종계"/>
      <sheetName val="D1"/>
      <sheetName val="D2"/>
      <sheetName val="UC1"/>
      <sheetName val="UC2"/>
      <sheetName val="G1"/>
      <sheetName val="G2"/>
      <sheetName val="H1"/>
      <sheetName val="OEM"/>
      <sheetName val="요소기술"/>
      <sheetName val="위탁개발비내역"/>
      <sheetName val="국내출장"/>
      <sheetName val="해외출장"/>
      <sheetName val="출장기준"/>
      <sheetName val="항공료기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월월보"/>
      <sheetName val="원가(전체_년간)"/>
      <sheetName val="원가T (2)"/>
      <sheetName val="분석(4)"/>
      <sheetName val="분석(5)"/>
      <sheetName val="종합"/>
      <sheetName val="월별실적"/>
      <sheetName val="기종별절감"/>
      <sheetName val="g1"/>
      <sheetName val="g2"/>
      <sheetName val="g3"/>
      <sheetName val="g4"/>
      <sheetName val="TOTAL추이도"/>
      <sheetName val="1월(확)"/>
      <sheetName val="2월"/>
      <sheetName val="3월(확)"/>
      <sheetName val="4월"/>
      <sheetName val="5월"/>
      <sheetName val="Sheet1"/>
      <sheetName val="6월"/>
      <sheetName val="상반기"/>
      <sheetName val="종합추이"/>
      <sheetName val="LOSS감소"/>
      <sheetName val="사출성형"/>
      <sheetName val="확정레이 (3)"/>
      <sheetName val="코팅4"/>
      <sheetName val="코팅4 (2)"/>
      <sheetName val="코팅5월"/>
      <sheetName val="kk"/>
      <sheetName val="k"/>
      <sheetName val="kkk"/>
      <sheetName val="kkkk"/>
      <sheetName val="kkkk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_970122"/>
      <sheetName val="공"/>
    </sheetNames>
    <sheetDataSet>
      <sheetData sheetId="0"/>
      <sheetData sheetId="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제조 경영"/>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사기정계"/>
      <sheetName val="공"/>
      <sheetName val="O_970122"/>
      <sheetName val="실적"/>
      <sheetName val="재고자산"/>
    </sheetNames>
    <sheetDataSet>
      <sheetData sheetId="0"/>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Result Report"/>
      <sheetName val="Non-Conforming Item"/>
      <sheetName val="Checksheet QPA"/>
    </sheetNames>
    <sheetDataSet>
      <sheetData sheetId="0"/>
      <sheetData sheetId="1">
        <row r="11">
          <cell r="D11" t="str">
            <v>Material Management</v>
          </cell>
        </row>
      </sheetData>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26"/>
  <sheetViews>
    <sheetView view="pageBreakPreview" topLeftCell="A7" zoomScale="60" zoomScaleNormal="100" workbookViewId="0">
      <selection activeCell="E42" sqref="E42"/>
    </sheetView>
  </sheetViews>
  <sheetFormatPr defaultRowHeight="16.5"/>
  <cols>
    <col min="1" max="1" width="2.5703125" style="96" customWidth="1"/>
    <col min="2" max="12" width="9.140625" style="96"/>
    <col min="13" max="14" width="11.5703125" style="96" customWidth="1"/>
    <col min="15" max="15" width="0.7109375" style="96" customWidth="1"/>
    <col min="16" max="256" width="9.140625" style="96"/>
    <col min="257" max="257" width="2.5703125" style="96" customWidth="1"/>
    <col min="258" max="268" width="9.140625" style="96"/>
    <col min="269" max="270" width="11.5703125" style="96" customWidth="1"/>
    <col min="271" max="271" width="0.7109375" style="96" customWidth="1"/>
    <col min="272" max="512" width="9.140625" style="96"/>
    <col min="513" max="513" width="2.5703125" style="96" customWidth="1"/>
    <col min="514" max="524" width="9.140625" style="96"/>
    <col min="525" max="526" width="11.5703125" style="96" customWidth="1"/>
    <col min="527" max="527" width="0.7109375" style="96" customWidth="1"/>
    <col min="528" max="768" width="9.140625" style="96"/>
    <col min="769" max="769" width="2.5703125" style="96" customWidth="1"/>
    <col min="770" max="780" width="9.140625" style="96"/>
    <col min="781" max="782" width="11.5703125" style="96" customWidth="1"/>
    <col min="783" max="783" width="0.7109375" style="96" customWidth="1"/>
    <col min="784" max="1024" width="9.140625" style="96"/>
    <col min="1025" max="1025" width="2.5703125" style="96" customWidth="1"/>
    <col min="1026" max="1036" width="9.140625" style="96"/>
    <col min="1037" max="1038" width="11.5703125" style="96" customWidth="1"/>
    <col min="1039" max="1039" width="0.7109375" style="96" customWidth="1"/>
    <col min="1040" max="1280" width="9.140625" style="96"/>
    <col min="1281" max="1281" width="2.5703125" style="96" customWidth="1"/>
    <col min="1282" max="1292" width="9.140625" style="96"/>
    <col min="1293" max="1294" width="11.5703125" style="96" customWidth="1"/>
    <col min="1295" max="1295" width="0.7109375" style="96" customWidth="1"/>
    <col min="1296" max="1536" width="9.140625" style="96"/>
    <col min="1537" max="1537" width="2.5703125" style="96" customWidth="1"/>
    <col min="1538" max="1548" width="9.140625" style="96"/>
    <col min="1549" max="1550" width="11.5703125" style="96" customWidth="1"/>
    <col min="1551" max="1551" width="0.7109375" style="96" customWidth="1"/>
    <col min="1552" max="1792" width="9.140625" style="96"/>
    <col min="1793" max="1793" width="2.5703125" style="96" customWidth="1"/>
    <col min="1794" max="1804" width="9.140625" style="96"/>
    <col min="1805" max="1806" width="11.5703125" style="96" customWidth="1"/>
    <col min="1807" max="1807" width="0.7109375" style="96" customWidth="1"/>
    <col min="1808" max="2048" width="9.140625" style="96"/>
    <col min="2049" max="2049" width="2.5703125" style="96" customWidth="1"/>
    <col min="2050" max="2060" width="9.140625" style="96"/>
    <col min="2061" max="2062" width="11.5703125" style="96" customWidth="1"/>
    <col min="2063" max="2063" width="0.7109375" style="96" customWidth="1"/>
    <col min="2064" max="2304" width="9.140625" style="96"/>
    <col min="2305" max="2305" width="2.5703125" style="96" customWidth="1"/>
    <col min="2306" max="2316" width="9.140625" style="96"/>
    <col min="2317" max="2318" width="11.5703125" style="96" customWidth="1"/>
    <col min="2319" max="2319" width="0.7109375" style="96" customWidth="1"/>
    <col min="2320" max="2560" width="9.140625" style="96"/>
    <col min="2561" max="2561" width="2.5703125" style="96" customWidth="1"/>
    <col min="2562" max="2572" width="9.140625" style="96"/>
    <col min="2573" max="2574" width="11.5703125" style="96" customWidth="1"/>
    <col min="2575" max="2575" width="0.7109375" style="96" customWidth="1"/>
    <col min="2576" max="2816" width="9.140625" style="96"/>
    <col min="2817" max="2817" width="2.5703125" style="96" customWidth="1"/>
    <col min="2818" max="2828" width="9.140625" style="96"/>
    <col min="2829" max="2830" width="11.5703125" style="96" customWidth="1"/>
    <col min="2831" max="2831" width="0.7109375" style="96" customWidth="1"/>
    <col min="2832" max="3072" width="9.140625" style="96"/>
    <col min="3073" max="3073" width="2.5703125" style="96" customWidth="1"/>
    <col min="3074" max="3084" width="9.140625" style="96"/>
    <col min="3085" max="3086" width="11.5703125" style="96" customWidth="1"/>
    <col min="3087" max="3087" width="0.7109375" style="96" customWidth="1"/>
    <col min="3088" max="3328" width="9.140625" style="96"/>
    <col min="3329" max="3329" width="2.5703125" style="96" customWidth="1"/>
    <col min="3330" max="3340" width="9.140625" style="96"/>
    <col min="3341" max="3342" width="11.5703125" style="96" customWidth="1"/>
    <col min="3343" max="3343" width="0.7109375" style="96" customWidth="1"/>
    <col min="3344" max="3584" width="9.140625" style="96"/>
    <col min="3585" max="3585" width="2.5703125" style="96" customWidth="1"/>
    <col min="3586" max="3596" width="9.140625" style="96"/>
    <col min="3597" max="3598" width="11.5703125" style="96" customWidth="1"/>
    <col min="3599" max="3599" width="0.7109375" style="96" customWidth="1"/>
    <col min="3600" max="3840" width="9.140625" style="96"/>
    <col min="3841" max="3841" width="2.5703125" style="96" customWidth="1"/>
    <col min="3842" max="3852" width="9.140625" style="96"/>
    <col min="3853" max="3854" width="11.5703125" style="96" customWidth="1"/>
    <col min="3855" max="3855" width="0.7109375" style="96" customWidth="1"/>
    <col min="3856" max="4096" width="9.140625" style="96"/>
    <col min="4097" max="4097" width="2.5703125" style="96" customWidth="1"/>
    <col min="4098" max="4108" width="9.140625" style="96"/>
    <col min="4109" max="4110" width="11.5703125" style="96" customWidth="1"/>
    <col min="4111" max="4111" width="0.7109375" style="96" customWidth="1"/>
    <col min="4112" max="4352" width="9.140625" style="96"/>
    <col min="4353" max="4353" width="2.5703125" style="96" customWidth="1"/>
    <col min="4354" max="4364" width="9.140625" style="96"/>
    <col min="4365" max="4366" width="11.5703125" style="96" customWidth="1"/>
    <col min="4367" max="4367" width="0.7109375" style="96" customWidth="1"/>
    <col min="4368" max="4608" width="9.140625" style="96"/>
    <col min="4609" max="4609" width="2.5703125" style="96" customWidth="1"/>
    <col min="4610" max="4620" width="9.140625" style="96"/>
    <col min="4621" max="4622" width="11.5703125" style="96" customWidth="1"/>
    <col min="4623" max="4623" width="0.7109375" style="96" customWidth="1"/>
    <col min="4624" max="4864" width="9.140625" style="96"/>
    <col min="4865" max="4865" width="2.5703125" style="96" customWidth="1"/>
    <col min="4866" max="4876" width="9.140625" style="96"/>
    <col min="4877" max="4878" width="11.5703125" style="96" customWidth="1"/>
    <col min="4879" max="4879" width="0.7109375" style="96" customWidth="1"/>
    <col min="4880" max="5120" width="9.140625" style="96"/>
    <col min="5121" max="5121" width="2.5703125" style="96" customWidth="1"/>
    <col min="5122" max="5132" width="9.140625" style="96"/>
    <col min="5133" max="5134" width="11.5703125" style="96" customWidth="1"/>
    <col min="5135" max="5135" width="0.7109375" style="96" customWidth="1"/>
    <col min="5136" max="5376" width="9.140625" style="96"/>
    <col min="5377" max="5377" width="2.5703125" style="96" customWidth="1"/>
    <col min="5378" max="5388" width="9.140625" style="96"/>
    <col min="5389" max="5390" width="11.5703125" style="96" customWidth="1"/>
    <col min="5391" max="5391" width="0.7109375" style="96" customWidth="1"/>
    <col min="5392" max="5632" width="9.140625" style="96"/>
    <col min="5633" max="5633" width="2.5703125" style="96" customWidth="1"/>
    <col min="5634" max="5644" width="9.140625" style="96"/>
    <col min="5645" max="5646" width="11.5703125" style="96" customWidth="1"/>
    <col min="5647" max="5647" width="0.7109375" style="96" customWidth="1"/>
    <col min="5648" max="5888" width="9.140625" style="96"/>
    <col min="5889" max="5889" width="2.5703125" style="96" customWidth="1"/>
    <col min="5890" max="5900" width="9.140625" style="96"/>
    <col min="5901" max="5902" width="11.5703125" style="96" customWidth="1"/>
    <col min="5903" max="5903" width="0.7109375" style="96" customWidth="1"/>
    <col min="5904" max="6144" width="9.140625" style="96"/>
    <col min="6145" max="6145" width="2.5703125" style="96" customWidth="1"/>
    <col min="6146" max="6156" width="9.140625" style="96"/>
    <col min="6157" max="6158" width="11.5703125" style="96" customWidth="1"/>
    <col min="6159" max="6159" width="0.7109375" style="96" customWidth="1"/>
    <col min="6160" max="6400" width="9.140625" style="96"/>
    <col min="6401" max="6401" width="2.5703125" style="96" customWidth="1"/>
    <col min="6402" max="6412" width="9.140625" style="96"/>
    <col min="6413" max="6414" width="11.5703125" style="96" customWidth="1"/>
    <col min="6415" max="6415" width="0.7109375" style="96" customWidth="1"/>
    <col min="6416" max="6656" width="9.140625" style="96"/>
    <col min="6657" max="6657" width="2.5703125" style="96" customWidth="1"/>
    <col min="6658" max="6668" width="9.140625" style="96"/>
    <col min="6669" max="6670" width="11.5703125" style="96" customWidth="1"/>
    <col min="6671" max="6671" width="0.7109375" style="96" customWidth="1"/>
    <col min="6672" max="6912" width="9.140625" style="96"/>
    <col min="6913" max="6913" width="2.5703125" style="96" customWidth="1"/>
    <col min="6914" max="6924" width="9.140625" style="96"/>
    <col min="6925" max="6926" width="11.5703125" style="96" customWidth="1"/>
    <col min="6927" max="6927" width="0.7109375" style="96" customWidth="1"/>
    <col min="6928" max="7168" width="9.140625" style="96"/>
    <col min="7169" max="7169" width="2.5703125" style="96" customWidth="1"/>
    <col min="7170" max="7180" width="9.140625" style="96"/>
    <col min="7181" max="7182" width="11.5703125" style="96" customWidth="1"/>
    <col min="7183" max="7183" width="0.7109375" style="96" customWidth="1"/>
    <col min="7184" max="7424" width="9.140625" style="96"/>
    <col min="7425" max="7425" width="2.5703125" style="96" customWidth="1"/>
    <col min="7426" max="7436" width="9.140625" style="96"/>
    <col min="7437" max="7438" width="11.5703125" style="96" customWidth="1"/>
    <col min="7439" max="7439" width="0.7109375" style="96" customWidth="1"/>
    <col min="7440" max="7680" width="9.140625" style="96"/>
    <col min="7681" max="7681" width="2.5703125" style="96" customWidth="1"/>
    <col min="7682" max="7692" width="9.140625" style="96"/>
    <col min="7693" max="7694" width="11.5703125" style="96" customWidth="1"/>
    <col min="7695" max="7695" width="0.7109375" style="96" customWidth="1"/>
    <col min="7696" max="7936" width="9.140625" style="96"/>
    <col min="7937" max="7937" width="2.5703125" style="96" customWidth="1"/>
    <col min="7938" max="7948" width="9.140625" style="96"/>
    <col min="7949" max="7950" width="11.5703125" style="96" customWidth="1"/>
    <col min="7951" max="7951" width="0.7109375" style="96" customWidth="1"/>
    <col min="7952" max="8192" width="9.140625" style="96"/>
    <col min="8193" max="8193" width="2.5703125" style="96" customWidth="1"/>
    <col min="8194" max="8204" width="9.140625" style="96"/>
    <col min="8205" max="8206" width="11.5703125" style="96" customWidth="1"/>
    <col min="8207" max="8207" width="0.7109375" style="96" customWidth="1"/>
    <col min="8208" max="8448" width="9.140625" style="96"/>
    <col min="8449" max="8449" width="2.5703125" style="96" customWidth="1"/>
    <col min="8450" max="8460" width="9.140625" style="96"/>
    <col min="8461" max="8462" width="11.5703125" style="96" customWidth="1"/>
    <col min="8463" max="8463" width="0.7109375" style="96" customWidth="1"/>
    <col min="8464" max="8704" width="9.140625" style="96"/>
    <col min="8705" max="8705" width="2.5703125" style="96" customWidth="1"/>
    <col min="8706" max="8716" width="9.140625" style="96"/>
    <col min="8717" max="8718" width="11.5703125" style="96" customWidth="1"/>
    <col min="8719" max="8719" width="0.7109375" style="96" customWidth="1"/>
    <col min="8720" max="8960" width="9.140625" style="96"/>
    <col min="8961" max="8961" width="2.5703125" style="96" customWidth="1"/>
    <col min="8962" max="8972" width="9.140625" style="96"/>
    <col min="8973" max="8974" width="11.5703125" style="96" customWidth="1"/>
    <col min="8975" max="8975" width="0.7109375" style="96" customWidth="1"/>
    <col min="8976" max="9216" width="9.140625" style="96"/>
    <col min="9217" max="9217" width="2.5703125" style="96" customWidth="1"/>
    <col min="9218" max="9228" width="9.140625" style="96"/>
    <col min="9229" max="9230" width="11.5703125" style="96" customWidth="1"/>
    <col min="9231" max="9231" width="0.7109375" style="96" customWidth="1"/>
    <col min="9232" max="9472" width="9.140625" style="96"/>
    <col min="9473" max="9473" width="2.5703125" style="96" customWidth="1"/>
    <col min="9474" max="9484" width="9.140625" style="96"/>
    <col min="9485" max="9486" width="11.5703125" style="96" customWidth="1"/>
    <col min="9487" max="9487" width="0.7109375" style="96" customWidth="1"/>
    <col min="9488" max="9728" width="9.140625" style="96"/>
    <col min="9729" max="9729" width="2.5703125" style="96" customWidth="1"/>
    <col min="9730" max="9740" width="9.140625" style="96"/>
    <col min="9741" max="9742" width="11.5703125" style="96" customWidth="1"/>
    <col min="9743" max="9743" width="0.7109375" style="96" customWidth="1"/>
    <col min="9744" max="9984" width="9.140625" style="96"/>
    <col min="9985" max="9985" width="2.5703125" style="96" customWidth="1"/>
    <col min="9986" max="9996" width="9.140625" style="96"/>
    <col min="9997" max="9998" width="11.5703125" style="96" customWidth="1"/>
    <col min="9999" max="9999" width="0.7109375" style="96" customWidth="1"/>
    <col min="10000" max="10240" width="9.140625" style="96"/>
    <col min="10241" max="10241" width="2.5703125" style="96" customWidth="1"/>
    <col min="10242" max="10252" width="9.140625" style="96"/>
    <col min="10253" max="10254" width="11.5703125" style="96" customWidth="1"/>
    <col min="10255" max="10255" width="0.7109375" style="96" customWidth="1"/>
    <col min="10256" max="10496" width="9.140625" style="96"/>
    <col min="10497" max="10497" width="2.5703125" style="96" customWidth="1"/>
    <col min="10498" max="10508" width="9.140625" style="96"/>
    <col min="10509" max="10510" width="11.5703125" style="96" customWidth="1"/>
    <col min="10511" max="10511" width="0.7109375" style="96" customWidth="1"/>
    <col min="10512" max="10752" width="9.140625" style="96"/>
    <col min="10753" max="10753" width="2.5703125" style="96" customWidth="1"/>
    <col min="10754" max="10764" width="9.140625" style="96"/>
    <col min="10765" max="10766" width="11.5703125" style="96" customWidth="1"/>
    <col min="10767" max="10767" width="0.7109375" style="96" customWidth="1"/>
    <col min="10768" max="11008" width="9.140625" style="96"/>
    <col min="11009" max="11009" width="2.5703125" style="96" customWidth="1"/>
    <col min="11010" max="11020" width="9.140625" style="96"/>
    <col min="11021" max="11022" width="11.5703125" style="96" customWidth="1"/>
    <col min="11023" max="11023" width="0.7109375" style="96" customWidth="1"/>
    <col min="11024" max="11264" width="9.140625" style="96"/>
    <col min="11265" max="11265" width="2.5703125" style="96" customWidth="1"/>
    <col min="11266" max="11276" width="9.140625" style="96"/>
    <col min="11277" max="11278" width="11.5703125" style="96" customWidth="1"/>
    <col min="11279" max="11279" width="0.7109375" style="96" customWidth="1"/>
    <col min="11280" max="11520" width="9.140625" style="96"/>
    <col min="11521" max="11521" width="2.5703125" style="96" customWidth="1"/>
    <col min="11522" max="11532" width="9.140625" style="96"/>
    <col min="11533" max="11534" width="11.5703125" style="96" customWidth="1"/>
    <col min="11535" max="11535" width="0.7109375" style="96" customWidth="1"/>
    <col min="11536" max="11776" width="9.140625" style="96"/>
    <col min="11777" max="11777" width="2.5703125" style="96" customWidth="1"/>
    <col min="11778" max="11788" width="9.140625" style="96"/>
    <col min="11789" max="11790" width="11.5703125" style="96" customWidth="1"/>
    <col min="11791" max="11791" width="0.7109375" style="96" customWidth="1"/>
    <col min="11792" max="12032" width="9.140625" style="96"/>
    <col min="12033" max="12033" width="2.5703125" style="96" customWidth="1"/>
    <col min="12034" max="12044" width="9.140625" style="96"/>
    <col min="12045" max="12046" width="11.5703125" style="96" customWidth="1"/>
    <col min="12047" max="12047" width="0.7109375" style="96" customWidth="1"/>
    <col min="12048" max="12288" width="9.140625" style="96"/>
    <col min="12289" max="12289" width="2.5703125" style="96" customWidth="1"/>
    <col min="12290" max="12300" width="9.140625" style="96"/>
    <col min="12301" max="12302" width="11.5703125" style="96" customWidth="1"/>
    <col min="12303" max="12303" width="0.7109375" style="96" customWidth="1"/>
    <col min="12304" max="12544" width="9.140625" style="96"/>
    <col min="12545" max="12545" width="2.5703125" style="96" customWidth="1"/>
    <col min="12546" max="12556" width="9.140625" style="96"/>
    <col min="12557" max="12558" width="11.5703125" style="96" customWidth="1"/>
    <col min="12559" max="12559" width="0.7109375" style="96" customWidth="1"/>
    <col min="12560" max="12800" width="9.140625" style="96"/>
    <col min="12801" max="12801" width="2.5703125" style="96" customWidth="1"/>
    <col min="12802" max="12812" width="9.140625" style="96"/>
    <col min="12813" max="12814" width="11.5703125" style="96" customWidth="1"/>
    <col min="12815" max="12815" width="0.7109375" style="96" customWidth="1"/>
    <col min="12816" max="13056" width="9.140625" style="96"/>
    <col min="13057" max="13057" width="2.5703125" style="96" customWidth="1"/>
    <col min="13058" max="13068" width="9.140625" style="96"/>
    <col min="13069" max="13070" width="11.5703125" style="96" customWidth="1"/>
    <col min="13071" max="13071" width="0.7109375" style="96" customWidth="1"/>
    <col min="13072" max="13312" width="9.140625" style="96"/>
    <col min="13313" max="13313" width="2.5703125" style="96" customWidth="1"/>
    <col min="13314" max="13324" width="9.140625" style="96"/>
    <col min="13325" max="13326" width="11.5703125" style="96" customWidth="1"/>
    <col min="13327" max="13327" width="0.7109375" style="96" customWidth="1"/>
    <col min="13328" max="13568" width="9.140625" style="96"/>
    <col min="13569" max="13569" width="2.5703125" style="96" customWidth="1"/>
    <col min="13570" max="13580" width="9.140625" style="96"/>
    <col min="13581" max="13582" width="11.5703125" style="96" customWidth="1"/>
    <col min="13583" max="13583" width="0.7109375" style="96" customWidth="1"/>
    <col min="13584" max="13824" width="9.140625" style="96"/>
    <col min="13825" max="13825" width="2.5703125" style="96" customWidth="1"/>
    <col min="13826" max="13836" width="9.140625" style="96"/>
    <col min="13837" max="13838" width="11.5703125" style="96" customWidth="1"/>
    <col min="13839" max="13839" width="0.7109375" style="96" customWidth="1"/>
    <col min="13840" max="14080" width="9.140625" style="96"/>
    <col min="14081" max="14081" width="2.5703125" style="96" customWidth="1"/>
    <col min="14082" max="14092" width="9.140625" style="96"/>
    <col min="14093" max="14094" width="11.5703125" style="96" customWidth="1"/>
    <col min="14095" max="14095" width="0.7109375" style="96" customWidth="1"/>
    <col min="14096" max="14336" width="9.140625" style="96"/>
    <col min="14337" max="14337" width="2.5703125" style="96" customWidth="1"/>
    <col min="14338" max="14348" width="9.140625" style="96"/>
    <col min="14349" max="14350" width="11.5703125" style="96" customWidth="1"/>
    <col min="14351" max="14351" width="0.7109375" style="96" customWidth="1"/>
    <col min="14352" max="14592" width="9.140625" style="96"/>
    <col min="14593" max="14593" width="2.5703125" style="96" customWidth="1"/>
    <col min="14594" max="14604" width="9.140625" style="96"/>
    <col min="14605" max="14606" width="11.5703125" style="96" customWidth="1"/>
    <col min="14607" max="14607" width="0.7109375" style="96" customWidth="1"/>
    <col min="14608" max="14848" width="9.140625" style="96"/>
    <col min="14849" max="14849" width="2.5703125" style="96" customWidth="1"/>
    <col min="14850" max="14860" width="9.140625" style="96"/>
    <col min="14861" max="14862" width="11.5703125" style="96" customWidth="1"/>
    <col min="14863" max="14863" width="0.7109375" style="96" customWidth="1"/>
    <col min="14864" max="15104" width="9.140625" style="96"/>
    <col min="15105" max="15105" width="2.5703125" style="96" customWidth="1"/>
    <col min="15106" max="15116" width="9.140625" style="96"/>
    <col min="15117" max="15118" width="11.5703125" style="96" customWidth="1"/>
    <col min="15119" max="15119" width="0.7109375" style="96" customWidth="1"/>
    <col min="15120" max="15360" width="9.140625" style="96"/>
    <col min="15361" max="15361" width="2.5703125" style="96" customWidth="1"/>
    <col min="15362" max="15372" width="9.140625" style="96"/>
    <col min="15373" max="15374" width="11.5703125" style="96" customWidth="1"/>
    <col min="15375" max="15375" width="0.7109375" style="96" customWidth="1"/>
    <col min="15376" max="15616" width="9.140625" style="96"/>
    <col min="15617" max="15617" width="2.5703125" style="96" customWidth="1"/>
    <col min="15618" max="15628" width="9.140625" style="96"/>
    <col min="15629" max="15630" width="11.5703125" style="96" customWidth="1"/>
    <col min="15631" max="15631" width="0.7109375" style="96" customWidth="1"/>
    <col min="15632" max="15872" width="9.140625" style="96"/>
    <col min="15873" max="15873" width="2.5703125" style="96" customWidth="1"/>
    <col min="15874" max="15884" width="9.140625" style="96"/>
    <col min="15885" max="15886" width="11.5703125" style="96" customWidth="1"/>
    <col min="15887" max="15887" width="0.7109375" style="96" customWidth="1"/>
    <col min="15888" max="16128" width="9.140625" style="96"/>
    <col min="16129" max="16129" width="2.5703125" style="96" customWidth="1"/>
    <col min="16130" max="16140" width="9.140625" style="96"/>
    <col min="16141" max="16142" width="11.5703125" style="96" customWidth="1"/>
    <col min="16143" max="16143" width="0.7109375" style="96" customWidth="1"/>
    <col min="16144" max="16384" width="9.140625" style="96"/>
  </cols>
  <sheetData>
    <row r="1" spans="2:15" ht="11.25" customHeight="1" thickBot="1">
      <c r="B1" s="95"/>
      <c r="C1" s="95"/>
      <c r="D1" s="95"/>
      <c r="E1" s="95"/>
      <c r="F1" s="95"/>
      <c r="G1" s="95"/>
      <c r="H1" s="95"/>
      <c r="I1" s="95"/>
      <c r="J1" s="95"/>
      <c r="K1" s="95"/>
    </row>
    <row r="2" spans="2:15">
      <c r="B2" s="97"/>
      <c r="C2" s="98"/>
      <c r="D2" s="98"/>
      <c r="E2" s="98"/>
      <c r="F2" s="98"/>
      <c r="G2" s="98"/>
      <c r="H2" s="98"/>
      <c r="I2" s="98"/>
      <c r="J2" s="98"/>
      <c r="K2" s="98"/>
      <c r="L2" s="98"/>
      <c r="M2" s="98"/>
      <c r="N2" s="98"/>
      <c r="O2" s="99"/>
    </row>
    <row r="3" spans="2:15">
      <c r="B3" s="100"/>
      <c r="O3" s="101"/>
    </row>
    <row r="4" spans="2:15">
      <c r="B4" s="100"/>
      <c r="O4" s="101"/>
    </row>
    <row r="5" spans="2:15">
      <c r="B5" s="100"/>
      <c r="O5" s="101"/>
    </row>
    <row r="6" spans="2:15">
      <c r="B6" s="100"/>
      <c r="O6" s="101"/>
    </row>
    <row r="7" spans="2:15">
      <c r="B7" s="100"/>
      <c r="O7" s="101"/>
    </row>
    <row r="8" spans="2:15">
      <c r="B8" s="100"/>
      <c r="O8" s="101"/>
    </row>
    <row r="9" spans="2:15">
      <c r="B9" s="100"/>
      <c r="O9" s="101"/>
    </row>
    <row r="10" spans="2:15">
      <c r="B10" s="100"/>
      <c r="O10" s="101"/>
    </row>
    <row r="11" spans="2:15">
      <c r="B11" s="100"/>
      <c r="O11" s="101"/>
    </row>
    <row r="12" spans="2:15">
      <c r="B12" s="100"/>
      <c r="O12" s="101"/>
    </row>
    <row r="13" spans="2:15" ht="20.25" customHeight="1">
      <c r="B13" s="102"/>
      <c r="C13" s="103"/>
      <c r="D13" s="103"/>
      <c r="E13" s="159" t="s">
        <v>241</v>
      </c>
      <c r="F13" s="159"/>
      <c r="G13" s="160"/>
      <c r="H13" s="160"/>
      <c r="I13" s="160"/>
      <c r="J13" s="160"/>
      <c r="K13" s="160"/>
      <c r="O13" s="101"/>
    </row>
    <row r="14" spans="2:15" ht="20.25" customHeight="1">
      <c r="B14" s="102"/>
      <c r="C14" s="103"/>
      <c r="D14" s="103"/>
      <c r="E14" s="159" t="s">
        <v>242</v>
      </c>
      <c r="F14" s="159"/>
      <c r="G14" s="160"/>
      <c r="H14" s="160"/>
      <c r="I14" s="160"/>
      <c r="J14" s="160"/>
      <c r="K14" s="160"/>
      <c r="O14" s="101"/>
    </row>
    <row r="15" spans="2:15" ht="20.25" customHeight="1">
      <c r="B15" s="104"/>
      <c r="C15" s="103"/>
      <c r="D15" s="103"/>
      <c r="E15" s="159" t="s">
        <v>243</v>
      </c>
      <c r="F15" s="159"/>
      <c r="G15" s="160"/>
      <c r="H15" s="160"/>
      <c r="I15" s="160"/>
      <c r="J15" s="160"/>
      <c r="K15" s="160"/>
      <c r="O15" s="101"/>
    </row>
    <row r="16" spans="2:15" ht="20.25" customHeight="1">
      <c r="B16" s="102"/>
      <c r="C16" s="103"/>
      <c r="D16" s="105"/>
      <c r="E16" s="159" t="s">
        <v>244</v>
      </c>
      <c r="F16" s="159"/>
      <c r="G16" s="160"/>
      <c r="H16" s="160"/>
      <c r="I16" s="160"/>
      <c r="J16" s="160"/>
      <c r="K16" s="160"/>
      <c r="O16" s="101"/>
    </row>
    <row r="17" spans="2:15" ht="20.25" customHeight="1">
      <c r="B17" s="102"/>
      <c r="C17" s="103"/>
      <c r="D17" s="103"/>
      <c r="E17" s="159" t="s">
        <v>245</v>
      </c>
      <c r="F17" s="159"/>
      <c r="G17" s="160"/>
      <c r="H17" s="160"/>
      <c r="I17" s="160"/>
      <c r="J17" s="160"/>
      <c r="K17" s="160"/>
      <c r="L17" s="103"/>
      <c r="M17" s="103"/>
      <c r="N17" s="103"/>
      <c r="O17" s="106"/>
    </row>
    <row r="18" spans="2:15" ht="20.25" customHeight="1">
      <c r="B18" s="102"/>
      <c r="C18" s="103"/>
      <c r="D18" s="103"/>
      <c r="E18" s="159" t="s">
        <v>246</v>
      </c>
      <c r="F18" s="159"/>
      <c r="G18" s="160"/>
      <c r="H18" s="160"/>
      <c r="I18" s="160"/>
      <c r="J18" s="160"/>
      <c r="K18" s="160"/>
      <c r="L18" s="103"/>
      <c r="M18" s="103"/>
      <c r="N18" s="103"/>
      <c r="O18" s="106"/>
    </row>
    <row r="19" spans="2:15" ht="20.25" customHeight="1">
      <c r="B19" s="102"/>
      <c r="C19" s="103"/>
      <c r="D19" s="103"/>
      <c r="E19" s="159" t="s">
        <v>247</v>
      </c>
      <c r="F19" s="159"/>
      <c r="G19" s="160"/>
      <c r="H19" s="160"/>
      <c r="I19" s="160"/>
      <c r="J19" s="160"/>
      <c r="K19" s="160"/>
      <c r="L19" s="103"/>
      <c r="M19" s="103"/>
      <c r="N19" s="103"/>
      <c r="O19" s="106"/>
    </row>
    <row r="20" spans="2:15">
      <c r="B20" s="100"/>
      <c r="O20" s="101"/>
    </row>
    <row r="21" spans="2:15">
      <c r="B21" s="100"/>
      <c r="O21" s="101"/>
    </row>
    <row r="22" spans="2:15" s="107" customFormat="1" ht="29.25">
      <c r="B22" s="161" t="s">
        <v>248</v>
      </c>
      <c r="C22" s="162"/>
      <c r="D22" s="162"/>
      <c r="E22" s="162"/>
      <c r="F22" s="162"/>
      <c r="G22" s="162"/>
      <c r="H22" s="162"/>
      <c r="I22" s="162"/>
      <c r="J22" s="162"/>
      <c r="K22" s="162"/>
      <c r="L22" s="162"/>
      <c r="M22" s="162"/>
      <c r="N22" s="162"/>
      <c r="O22" s="163"/>
    </row>
    <row r="23" spans="2:15" ht="21">
      <c r="B23" s="164"/>
      <c r="C23" s="165"/>
      <c r="D23" s="165"/>
      <c r="E23" s="165"/>
      <c r="F23" s="165"/>
      <c r="G23" s="165"/>
      <c r="H23" s="165"/>
      <c r="I23" s="165"/>
      <c r="J23" s="165"/>
      <c r="K23" s="165"/>
      <c r="L23" s="165"/>
      <c r="M23" s="165"/>
      <c r="N23" s="165"/>
      <c r="O23" s="166"/>
    </row>
    <row r="24" spans="2:15">
      <c r="B24" s="100"/>
      <c r="O24" s="101"/>
    </row>
    <row r="25" spans="2:15">
      <c r="B25" s="100"/>
      <c r="O25" s="101"/>
    </row>
    <row r="26" spans="2:15" ht="17.25" thickBot="1">
      <c r="B26" s="108"/>
      <c r="C26" s="109"/>
      <c r="D26" s="109"/>
      <c r="E26" s="109"/>
      <c r="F26" s="109"/>
      <c r="G26" s="109"/>
      <c r="H26" s="109"/>
      <c r="I26" s="109"/>
      <c r="J26" s="109"/>
      <c r="K26" s="109"/>
      <c r="L26" s="109"/>
      <c r="M26" s="109"/>
      <c r="N26" s="109"/>
      <c r="O26" s="110"/>
    </row>
  </sheetData>
  <mergeCells count="16">
    <mergeCell ref="E19:F19"/>
    <mergeCell ref="G19:K19"/>
    <mergeCell ref="B22:O22"/>
    <mergeCell ref="B23:O23"/>
    <mergeCell ref="E16:F16"/>
    <mergeCell ref="G16:K16"/>
    <mergeCell ref="E17:F17"/>
    <mergeCell ref="G17:K17"/>
    <mergeCell ref="E18:F18"/>
    <mergeCell ref="G18:K18"/>
    <mergeCell ref="E13:F13"/>
    <mergeCell ref="G13:K13"/>
    <mergeCell ref="E14:F14"/>
    <mergeCell ref="G14:K14"/>
    <mergeCell ref="E15:F15"/>
    <mergeCell ref="G15:K15"/>
  </mergeCells>
  <pageMargins left="0.70866141732283472" right="0.70866141732283472" top="0.74803149606299213" bottom="0.74803149606299213" header="0.31496062992125984" footer="0.31496062992125984"/>
  <pageSetup paperSize="9" scale="96"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Y46"/>
  <sheetViews>
    <sheetView showGridLines="0" view="pageBreakPreview" topLeftCell="A7" zoomScale="80" zoomScaleNormal="85" zoomScaleSheetLayoutView="80" workbookViewId="0">
      <selection activeCell="V17" sqref="V17"/>
    </sheetView>
  </sheetViews>
  <sheetFormatPr defaultColWidth="9.140625" defaultRowHeight="12.75"/>
  <cols>
    <col min="1" max="1" width="4" style="112" customWidth="1"/>
    <col min="2" max="2" width="3.42578125" style="112" customWidth="1"/>
    <col min="3" max="3" width="9.42578125" style="112" customWidth="1"/>
    <col min="4" max="4" width="20.7109375" style="112" customWidth="1"/>
    <col min="5" max="10" width="7.5703125" style="112" customWidth="1"/>
    <col min="11" max="13" width="8.5703125" style="112" customWidth="1"/>
    <col min="14" max="18" width="10.5703125" style="112" customWidth="1"/>
    <col min="19" max="19" width="1.7109375" style="112" customWidth="1"/>
    <col min="20" max="16384" width="9.140625" style="112"/>
  </cols>
  <sheetData>
    <row r="1" spans="2:25" ht="50.1" customHeight="1">
      <c r="B1" s="111" t="s">
        <v>249</v>
      </c>
      <c r="K1" s="113"/>
    </row>
    <row r="2" spans="2:25" ht="6" customHeight="1"/>
    <row r="3" spans="2:25" ht="30" customHeight="1">
      <c r="C3" s="113" t="s">
        <v>250</v>
      </c>
      <c r="D3" s="114"/>
      <c r="E3" s="114"/>
      <c r="F3" s="114"/>
      <c r="G3" s="114"/>
      <c r="H3" s="114"/>
      <c r="I3" s="114"/>
      <c r="J3" s="114"/>
      <c r="K3" s="114"/>
      <c r="L3" s="114"/>
      <c r="M3" s="114"/>
      <c r="N3" s="114"/>
      <c r="O3" s="114"/>
      <c r="P3" s="114"/>
      <c r="Q3" s="114"/>
      <c r="R3" s="114"/>
    </row>
    <row r="4" spans="2:25" s="115" customFormat="1" ht="20.100000000000001" customHeight="1">
      <c r="C4" s="169" t="s">
        <v>243</v>
      </c>
      <c r="D4" s="170"/>
      <c r="E4" s="170"/>
      <c r="F4" s="167">
        <f>[30]Cover.!G14</f>
        <v>0</v>
      </c>
      <c r="G4" s="171"/>
      <c r="H4" s="171"/>
      <c r="I4" s="168"/>
      <c r="J4" s="172" t="s">
        <v>246</v>
      </c>
      <c r="K4" s="172"/>
      <c r="L4" s="172"/>
      <c r="M4" s="167">
        <f>[30]Cover.!G18</f>
        <v>0</v>
      </c>
      <c r="N4" s="171"/>
      <c r="O4" s="172" t="s">
        <v>244</v>
      </c>
      <c r="P4" s="172"/>
      <c r="Q4" s="173"/>
      <c r="R4" s="174"/>
    </row>
    <row r="5" spans="2:25" s="115" customFormat="1" ht="20.100000000000001" customHeight="1">
      <c r="C5" s="172" t="s">
        <v>242</v>
      </c>
      <c r="D5" s="172"/>
      <c r="E5" s="172"/>
      <c r="F5" s="167">
        <f>[30]Cover.!G15</f>
        <v>0</v>
      </c>
      <c r="G5" s="171"/>
      <c r="H5" s="171"/>
      <c r="I5" s="168"/>
      <c r="J5" s="172" t="s">
        <v>245</v>
      </c>
      <c r="K5" s="172"/>
      <c r="L5" s="172"/>
      <c r="M5" s="167">
        <f>[30]Cover.!G17</f>
        <v>0</v>
      </c>
      <c r="N5" s="168"/>
      <c r="O5" s="172" t="s">
        <v>251</v>
      </c>
      <c r="P5" s="172"/>
      <c r="Q5" s="167"/>
      <c r="R5" s="168"/>
    </row>
    <row r="6" spans="2:25" ht="11.25" customHeight="1"/>
    <row r="7" spans="2:25" ht="9.75" customHeight="1"/>
    <row r="8" spans="2:25" ht="18.95" customHeight="1">
      <c r="C8" s="113" t="s">
        <v>252</v>
      </c>
    </row>
    <row r="9" spans="2:25" ht="22.5" customHeight="1">
      <c r="C9" s="175" t="s">
        <v>253</v>
      </c>
      <c r="D9" s="175" t="s">
        <v>254</v>
      </c>
      <c r="E9" s="176" t="s">
        <v>255</v>
      </c>
      <c r="F9" s="177"/>
      <c r="G9" s="178"/>
      <c r="H9" s="176" t="s">
        <v>256</v>
      </c>
      <c r="I9" s="177"/>
      <c r="J9" s="177"/>
      <c r="K9" s="177"/>
      <c r="L9" s="178"/>
      <c r="M9" s="175" t="s">
        <v>257</v>
      </c>
      <c r="O9" s="116"/>
      <c r="P9" s="116"/>
      <c r="Q9" s="116"/>
      <c r="R9" s="116"/>
      <c r="S9" s="116"/>
      <c r="T9" s="116"/>
      <c r="U9" s="116"/>
    </row>
    <row r="10" spans="2:25" ht="17.25" customHeight="1">
      <c r="C10" s="175"/>
      <c r="D10" s="175"/>
      <c r="E10" s="176" t="s">
        <v>258</v>
      </c>
      <c r="F10" s="177"/>
      <c r="G10" s="178"/>
      <c r="H10" s="179" t="s">
        <v>247</v>
      </c>
      <c r="I10" s="180"/>
      <c r="J10" s="181"/>
      <c r="K10" s="182" t="s">
        <v>259</v>
      </c>
      <c r="L10" s="182"/>
      <c r="M10" s="175"/>
      <c r="O10" s="116"/>
      <c r="P10" s="116"/>
      <c r="Q10" s="116"/>
      <c r="R10" s="116"/>
      <c r="S10" s="116"/>
      <c r="T10" s="116"/>
      <c r="U10" s="116"/>
    </row>
    <row r="11" spans="2:25" ht="24.75" customHeight="1">
      <c r="C11" s="117">
        <v>1</v>
      </c>
      <c r="D11" s="118" t="s">
        <v>199</v>
      </c>
      <c r="E11" s="183">
        <f>Checksheet!E75</f>
        <v>9</v>
      </c>
      <c r="F11" s="184"/>
      <c r="G11" s="185"/>
      <c r="H11" s="186">
        <f>Checksheet!G10</f>
        <v>0</v>
      </c>
      <c r="I11" s="187"/>
      <c r="J11" s="188"/>
      <c r="K11" s="189">
        <f>H11/E11*100</f>
        <v>0</v>
      </c>
      <c r="L11" s="189"/>
      <c r="M11" s="119"/>
      <c r="O11" s="116"/>
      <c r="P11" s="116"/>
      <c r="Q11" s="116"/>
      <c r="R11" s="116"/>
      <c r="S11" s="116"/>
      <c r="T11" s="116"/>
      <c r="U11" s="116"/>
    </row>
    <row r="12" spans="2:25" ht="24.75" customHeight="1">
      <c r="C12" s="120">
        <v>2</v>
      </c>
      <c r="D12" s="121" t="s">
        <v>290</v>
      </c>
      <c r="E12" s="183" t="str">
        <f>+Checksheet!E76</f>
        <v>NA</v>
      </c>
      <c r="F12" s="184"/>
      <c r="G12" s="185"/>
      <c r="H12" s="190" t="s">
        <v>202</v>
      </c>
      <c r="I12" s="184"/>
      <c r="J12" s="185"/>
      <c r="K12" s="189" t="e">
        <f>H12/E12*100</f>
        <v>#VALUE!</v>
      </c>
      <c r="L12" s="189"/>
      <c r="M12" s="122"/>
      <c r="O12" s="116"/>
      <c r="P12" s="116"/>
      <c r="Q12" s="116"/>
      <c r="R12" s="116"/>
      <c r="S12" s="116"/>
      <c r="T12" s="116"/>
      <c r="U12" s="116"/>
    </row>
    <row r="13" spans="2:25" ht="24.75" customHeight="1">
      <c r="C13" s="120">
        <v>3</v>
      </c>
      <c r="D13" s="121" t="s">
        <v>291</v>
      </c>
      <c r="E13" s="183">
        <f>Checksheet!E77</f>
        <v>10</v>
      </c>
      <c r="F13" s="184"/>
      <c r="G13" s="185"/>
      <c r="H13" s="186">
        <f>Checksheet!G26</f>
        <v>0</v>
      </c>
      <c r="I13" s="187"/>
      <c r="J13" s="188"/>
      <c r="K13" s="189">
        <f t="shared" ref="K13:K14" si="0">H13/E13*100</f>
        <v>0</v>
      </c>
      <c r="L13" s="189"/>
      <c r="M13" s="122"/>
      <c r="O13" s="116"/>
      <c r="P13" s="116"/>
      <c r="Q13" s="116"/>
      <c r="R13" s="116"/>
      <c r="S13" s="116"/>
      <c r="T13" s="116"/>
      <c r="U13" s="116"/>
    </row>
    <row r="14" spans="2:25" ht="24.75" customHeight="1">
      <c r="C14" s="120">
        <v>4</v>
      </c>
      <c r="D14" s="121" t="s">
        <v>292</v>
      </c>
      <c r="E14" s="183">
        <f>Checksheet!E78</f>
        <v>21</v>
      </c>
      <c r="F14" s="184"/>
      <c r="G14" s="185"/>
      <c r="H14" s="186">
        <f>Checksheet!G33</f>
        <v>0</v>
      </c>
      <c r="I14" s="187"/>
      <c r="J14" s="188"/>
      <c r="K14" s="189">
        <f t="shared" si="0"/>
        <v>0</v>
      </c>
      <c r="L14" s="189"/>
      <c r="M14" s="122"/>
      <c r="O14" s="116"/>
      <c r="P14" s="116"/>
      <c r="Q14" s="116"/>
      <c r="R14" s="116"/>
      <c r="S14" s="116"/>
      <c r="T14" s="116"/>
      <c r="U14" s="116"/>
      <c r="Y14" s="112" t="s">
        <v>262</v>
      </c>
    </row>
    <row r="15" spans="2:25" ht="24.75" customHeight="1">
      <c r="C15" s="120">
        <v>5</v>
      </c>
      <c r="D15" s="121" t="s">
        <v>293</v>
      </c>
      <c r="E15" s="183">
        <f>Checksheet!E79</f>
        <v>30</v>
      </c>
      <c r="F15" s="184"/>
      <c r="G15" s="185"/>
      <c r="H15" s="186">
        <f>Checksheet!G43</f>
        <v>0</v>
      </c>
      <c r="I15" s="187"/>
      <c r="J15" s="188"/>
      <c r="K15" s="189">
        <f t="shared" ref="K15:K16" si="1">H15/E15*100</f>
        <v>0</v>
      </c>
      <c r="L15" s="189"/>
      <c r="M15" s="122"/>
      <c r="O15" s="116"/>
      <c r="P15" s="116"/>
      <c r="Q15" s="116"/>
      <c r="R15" s="116"/>
      <c r="S15" s="116"/>
      <c r="T15" s="116"/>
      <c r="U15" s="116"/>
    </row>
    <row r="16" spans="2:25" ht="24.75" customHeight="1">
      <c r="C16" s="120">
        <v>6</v>
      </c>
      <c r="D16" s="121" t="s">
        <v>180</v>
      </c>
      <c r="E16" s="183">
        <f>Checksheet!E80</f>
        <v>21</v>
      </c>
      <c r="F16" s="184"/>
      <c r="G16" s="185"/>
      <c r="H16" s="186">
        <f>Checksheet!G56</f>
        <v>0</v>
      </c>
      <c r="I16" s="187"/>
      <c r="J16" s="188"/>
      <c r="K16" s="189">
        <f t="shared" si="1"/>
        <v>0</v>
      </c>
      <c r="L16" s="189"/>
      <c r="M16" s="122"/>
      <c r="O16" s="116"/>
      <c r="P16" s="116"/>
      <c r="Q16" s="116"/>
      <c r="R16" s="116"/>
      <c r="S16" s="116"/>
      <c r="T16" s="116"/>
      <c r="U16" s="116"/>
    </row>
    <row r="17" spans="3:21" ht="24.75" customHeight="1">
      <c r="C17" s="120">
        <v>7</v>
      </c>
      <c r="D17" s="121" t="s">
        <v>263</v>
      </c>
      <c r="E17" s="183">
        <f>Checksheet!E81</f>
        <v>9</v>
      </c>
      <c r="F17" s="184"/>
      <c r="G17" s="185"/>
      <c r="H17" s="186">
        <f>Checksheet!G66</f>
        <v>0</v>
      </c>
      <c r="I17" s="187"/>
      <c r="J17" s="188"/>
      <c r="K17" s="189">
        <f>H17/E17*100</f>
        <v>0</v>
      </c>
      <c r="L17" s="189"/>
      <c r="M17" s="122"/>
      <c r="O17" s="116"/>
      <c r="P17" s="116"/>
      <c r="Q17" s="116"/>
      <c r="R17" s="116"/>
      <c r="S17" s="116"/>
      <c r="T17" s="116"/>
      <c r="U17" s="116"/>
    </row>
    <row r="18" spans="3:21" ht="18.95" customHeight="1">
      <c r="C18" s="191" t="s">
        <v>264</v>
      </c>
      <c r="D18" s="191"/>
      <c r="E18" s="192">
        <f>SUM(H11:J17)</f>
        <v>0</v>
      </c>
      <c r="F18" s="192"/>
      <c r="G18" s="192"/>
      <c r="H18" s="193" t="str">
        <f>IF(E18&gt;=90,"A",IF(E18&gt;=80,"B",IF(E18&gt;=70,"C",IF(E18&gt;=60,"D","E"))))</f>
        <v>E</v>
      </c>
      <c r="I18" s="194"/>
      <c r="J18" s="194"/>
      <c r="K18" s="195" t="str">
        <f>IF(H18="A","Very Good",IF(H18="B"," Good",IF(H18="C","Need Improvement",IF(H18="D","Unsatisfactory","Unsatisfactory"))))</f>
        <v>Unsatisfactory</v>
      </c>
      <c r="L18" s="195"/>
      <c r="M18" s="195"/>
      <c r="N18" s="116"/>
      <c r="O18" s="116"/>
      <c r="P18" s="116"/>
      <c r="Q18" s="116"/>
      <c r="R18" s="116"/>
      <c r="S18" s="116"/>
      <c r="T18" s="116"/>
      <c r="U18" s="116"/>
    </row>
    <row r="19" spans="3:21" ht="18.95" customHeight="1">
      <c r="C19" s="123"/>
      <c r="D19" s="124"/>
      <c r="E19" s="124"/>
      <c r="F19" s="124"/>
      <c r="G19" s="124"/>
      <c r="H19" s="124"/>
      <c r="I19" s="124"/>
      <c r="J19" s="112" t="s">
        <v>265</v>
      </c>
    </row>
    <row r="20" spans="3:21" ht="18.95" customHeight="1">
      <c r="C20" s="113" t="s">
        <v>266</v>
      </c>
      <c r="E20" s="124"/>
      <c r="F20" s="124"/>
      <c r="G20" s="124"/>
      <c r="H20" s="124"/>
      <c r="I20" s="124"/>
      <c r="J20" s="123"/>
    </row>
    <row r="21" spans="3:21" ht="21.75" customHeight="1">
      <c r="C21" s="209" t="s">
        <v>267</v>
      </c>
      <c r="D21" s="210"/>
      <c r="E21" s="196" t="s">
        <v>268</v>
      </c>
      <c r="F21" s="197"/>
      <c r="G21" s="197"/>
      <c r="H21" s="198"/>
      <c r="I21" s="125"/>
      <c r="J21" s="123"/>
    </row>
    <row r="22" spans="3:21" ht="21.75" customHeight="1">
      <c r="C22" s="199" t="s">
        <v>269</v>
      </c>
      <c r="D22" s="200"/>
      <c r="E22" s="201"/>
      <c r="F22" s="202"/>
      <c r="G22" s="202"/>
      <c r="H22" s="203"/>
      <c r="I22" s="125"/>
      <c r="J22" s="123"/>
    </row>
    <row r="23" spans="3:21" ht="21.75" customHeight="1">
      <c r="C23" s="199" t="s">
        <v>260</v>
      </c>
      <c r="D23" s="200"/>
      <c r="E23" s="201"/>
      <c r="F23" s="202"/>
      <c r="G23" s="202"/>
      <c r="H23" s="203"/>
      <c r="I23" s="125"/>
      <c r="J23" s="123"/>
    </row>
    <row r="24" spans="3:21" ht="21.75" customHeight="1">
      <c r="C24" s="199" t="s">
        <v>261</v>
      </c>
      <c r="D24" s="200"/>
      <c r="E24" s="201"/>
      <c r="F24" s="202"/>
      <c r="G24" s="202"/>
      <c r="H24" s="203"/>
      <c r="I24" s="125"/>
      <c r="J24" s="123"/>
    </row>
    <row r="25" spans="3:21" ht="21.75" customHeight="1">
      <c r="C25" s="199" t="s">
        <v>180</v>
      </c>
      <c r="D25" s="200"/>
      <c r="E25" s="201"/>
      <c r="F25" s="202"/>
      <c r="G25" s="202"/>
      <c r="H25" s="203"/>
      <c r="I25" s="125"/>
      <c r="J25" s="123"/>
    </row>
    <row r="26" spans="3:21" ht="21.75" customHeight="1">
      <c r="C26" s="199" t="s">
        <v>270</v>
      </c>
      <c r="D26" s="200"/>
      <c r="E26" s="201"/>
      <c r="F26" s="202"/>
      <c r="G26" s="202"/>
      <c r="H26" s="203"/>
      <c r="I26" s="125"/>
      <c r="J26" s="123"/>
    </row>
    <row r="27" spans="3:21" ht="21.75" customHeight="1">
      <c r="C27" s="204" t="s">
        <v>271</v>
      </c>
      <c r="D27" s="204"/>
      <c r="E27" s="205"/>
      <c r="F27" s="206"/>
      <c r="G27" s="206"/>
      <c r="H27" s="207"/>
      <c r="I27" s="125"/>
      <c r="J27" s="123"/>
    </row>
    <row r="28" spans="3:21" ht="22.5" customHeight="1">
      <c r="C28" s="126"/>
      <c r="D28" s="126"/>
      <c r="E28" s="124"/>
      <c r="F28" s="124"/>
      <c r="G28" s="124"/>
      <c r="H28" s="124"/>
      <c r="I28" s="124"/>
      <c r="J28" s="116"/>
      <c r="K28" s="116"/>
      <c r="L28" s="116"/>
      <c r="M28" s="116"/>
    </row>
    <row r="29" spans="3:21" ht="18.75" customHeight="1">
      <c r="C29" s="208"/>
      <c r="D29" s="208"/>
      <c r="E29" s="208"/>
      <c r="F29" s="208"/>
      <c r="G29" s="208"/>
      <c r="H29" s="208"/>
      <c r="I29" s="208"/>
      <c r="J29" s="208"/>
      <c r="K29" s="208"/>
      <c r="L29" s="208"/>
      <c r="M29" s="208"/>
      <c r="N29" s="208"/>
      <c r="O29" s="208"/>
      <c r="P29" s="208"/>
      <c r="Q29" s="208"/>
      <c r="R29" s="208"/>
    </row>
    <row r="30" spans="3:21" ht="21" customHeight="1">
      <c r="D30" s="127"/>
      <c r="E30" s="116"/>
      <c r="F30" s="116"/>
      <c r="G30" s="116"/>
      <c r="H30" s="116"/>
      <c r="I30" s="116"/>
      <c r="N30" s="116"/>
      <c r="O30" s="116"/>
      <c r="P30" s="116"/>
      <c r="Q30" s="116"/>
      <c r="R30" s="116"/>
    </row>
    <row r="31" spans="3:21" ht="30" customHeight="1">
      <c r="S31" s="128"/>
    </row>
    <row r="32" spans="3:21" ht="15" customHeight="1">
      <c r="C32" s="129"/>
    </row>
    <row r="33" ht="18.75" customHeight="1"/>
    <row r="35" ht="18" customHeight="1"/>
    <row r="36" ht="18" customHeight="1"/>
    <row r="37" ht="18" customHeight="1"/>
    <row r="38" ht="18" customHeight="1"/>
    <row r="39" ht="18" customHeight="1"/>
    <row r="40" ht="18" customHeight="1"/>
    <row r="44" ht="18.75" customHeight="1"/>
    <row r="45" ht="18.75" customHeight="1"/>
    <row r="46" ht="18.75" customHeight="1"/>
  </sheetData>
  <mergeCells count="60">
    <mergeCell ref="C27:D27"/>
    <mergeCell ref="E27:H27"/>
    <mergeCell ref="C29:R29"/>
    <mergeCell ref="K15:L15"/>
    <mergeCell ref="K16:L16"/>
    <mergeCell ref="E15:G15"/>
    <mergeCell ref="E16:G16"/>
    <mergeCell ref="H15:J15"/>
    <mergeCell ref="H16:J16"/>
    <mergeCell ref="C24:D24"/>
    <mergeCell ref="E24:H24"/>
    <mergeCell ref="C25:D25"/>
    <mergeCell ref="E25:H25"/>
    <mergeCell ref="C26:D26"/>
    <mergeCell ref="E26:H26"/>
    <mergeCell ref="C21:D21"/>
    <mergeCell ref="E21:H21"/>
    <mergeCell ref="C22:D22"/>
    <mergeCell ref="E22:H22"/>
    <mergeCell ref="C23:D23"/>
    <mergeCell ref="E23:H23"/>
    <mergeCell ref="E17:G17"/>
    <mergeCell ref="H17:J17"/>
    <mergeCell ref="K17:L17"/>
    <mergeCell ref="C18:D18"/>
    <mergeCell ref="E18:G18"/>
    <mergeCell ref="H18:J18"/>
    <mergeCell ref="K18:M18"/>
    <mergeCell ref="E13:G13"/>
    <mergeCell ref="H13:J13"/>
    <mergeCell ref="K13:L13"/>
    <mergeCell ref="E14:G14"/>
    <mergeCell ref="H14:J14"/>
    <mergeCell ref="K14:L14"/>
    <mergeCell ref="E11:G11"/>
    <mergeCell ref="H11:J11"/>
    <mergeCell ref="K11:L11"/>
    <mergeCell ref="E12:G12"/>
    <mergeCell ref="H12:J12"/>
    <mergeCell ref="K12:L12"/>
    <mergeCell ref="C9:C10"/>
    <mergeCell ref="D9:D10"/>
    <mergeCell ref="E9:G9"/>
    <mergeCell ref="H9:L9"/>
    <mergeCell ref="M9:M10"/>
    <mergeCell ref="E10:G10"/>
    <mergeCell ref="H10:J10"/>
    <mergeCell ref="K10:L10"/>
    <mergeCell ref="Q5:R5"/>
    <mergeCell ref="C4:E4"/>
    <mergeCell ref="F4:I4"/>
    <mergeCell ref="J4:L4"/>
    <mergeCell ref="M4:N4"/>
    <mergeCell ref="O4:P4"/>
    <mergeCell ref="Q4:R4"/>
    <mergeCell ref="C5:E5"/>
    <mergeCell ref="F5:I5"/>
    <mergeCell ref="J5:L5"/>
    <mergeCell ref="M5:N5"/>
    <mergeCell ref="O5:P5"/>
  </mergeCells>
  <pageMargins left="0.15748031496062992" right="0.15748031496062992" top="0.15748031496062992" bottom="0.15748031496062992" header="0.15748031496062992" footer="0.15748031496062992"/>
  <pageSetup paperSize="9" scale="75"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U36"/>
  <sheetViews>
    <sheetView showGridLines="0" view="pageBreakPreview" zoomScale="80" zoomScaleNormal="85" zoomScaleSheetLayoutView="80" workbookViewId="0">
      <selection activeCell="D11" sqref="D11"/>
    </sheetView>
  </sheetViews>
  <sheetFormatPr defaultColWidth="11.42578125" defaultRowHeight="12.75"/>
  <cols>
    <col min="1" max="1" width="3.42578125" style="131" customWidth="1"/>
    <col min="2" max="2" width="19.5703125" style="131" bestFit="1" customWidth="1"/>
    <col min="3" max="3" width="6.28515625" style="131" bestFit="1" customWidth="1"/>
    <col min="4" max="4" width="69.28515625" style="132" customWidth="1"/>
    <col min="5" max="5" width="35" style="132" customWidth="1"/>
    <col min="6" max="6" width="69.140625" style="132" customWidth="1"/>
    <col min="7" max="7" width="55" style="132" customWidth="1"/>
    <col min="8" max="8" width="11.28515625" style="131" customWidth="1"/>
    <col min="9" max="9" width="8.140625" style="131" customWidth="1"/>
    <col min="10" max="10" width="20.140625" style="132" bestFit="1" customWidth="1"/>
    <col min="11" max="11" width="14.7109375" style="131" customWidth="1"/>
    <col min="12" max="12" width="14.140625" style="131" bestFit="1" customWidth="1"/>
    <col min="13" max="13" width="9.140625" style="131" customWidth="1"/>
    <col min="14" max="14" width="13.140625" style="131" bestFit="1" customWidth="1"/>
    <col min="15" max="15" width="3.42578125" style="131" customWidth="1"/>
    <col min="16" max="25" width="10" style="131" customWidth="1"/>
    <col min="26" max="26" width="10.42578125" style="131" customWidth="1"/>
    <col min="27" max="16384" width="11.42578125" style="131"/>
  </cols>
  <sheetData>
    <row r="2" spans="2:21" ht="23.25">
      <c r="B2" s="130" t="s">
        <v>272</v>
      </c>
      <c r="K2" s="133"/>
      <c r="L2" s="133"/>
      <c r="M2" s="133"/>
      <c r="N2" s="134"/>
    </row>
    <row r="3" spans="2:21">
      <c r="K3" s="135"/>
      <c r="L3" s="135"/>
      <c r="M3" s="135"/>
      <c r="N3" s="136"/>
    </row>
    <row r="4" spans="2:21">
      <c r="K4" s="137"/>
      <c r="L4" s="137"/>
      <c r="M4" s="137"/>
      <c r="N4" s="138"/>
    </row>
    <row r="5" spans="2:21" hidden="1">
      <c r="K5" s="137"/>
      <c r="L5" s="137"/>
      <c r="M5" s="137" t="s">
        <v>273</v>
      </c>
      <c r="N5" s="138"/>
    </row>
    <row r="6" spans="2:21" hidden="1">
      <c r="K6" s="137"/>
      <c r="L6" s="137"/>
      <c r="M6" s="137" t="s">
        <v>274</v>
      </c>
      <c r="N6" s="138"/>
    </row>
    <row r="7" spans="2:21" hidden="1"/>
    <row r="8" spans="2:21" ht="22.5" customHeight="1">
      <c r="B8" s="212" t="s">
        <v>275</v>
      </c>
      <c r="C8" s="212" t="s">
        <v>276</v>
      </c>
      <c r="D8" s="139" t="s">
        <v>277</v>
      </c>
      <c r="E8" s="139"/>
      <c r="F8" s="212" t="s">
        <v>278</v>
      </c>
      <c r="G8" s="212"/>
      <c r="H8" s="139"/>
      <c r="I8" s="139"/>
      <c r="J8" s="212" t="s">
        <v>279</v>
      </c>
      <c r="K8" s="212"/>
      <c r="L8" s="212"/>
      <c r="M8" s="211" t="s">
        <v>280</v>
      </c>
      <c r="N8" s="211" t="s">
        <v>281</v>
      </c>
      <c r="P8" s="140"/>
      <c r="Q8" s="140"/>
      <c r="R8" s="140"/>
      <c r="S8" s="140"/>
      <c r="T8" s="140"/>
      <c r="U8" s="140"/>
    </row>
    <row r="9" spans="2:21">
      <c r="B9" s="212"/>
      <c r="C9" s="212"/>
      <c r="D9" s="139" t="s">
        <v>282</v>
      </c>
      <c r="E9" s="139" t="s">
        <v>283</v>
      </c>
      <c r="F9" s="139" t="s">
        <v>284</v>
      </c>
      <c r="G9" s="139" t="s">
        <v>285</v>
      </c>
      <c r="H9" s="139" t="s">
        <v>286</v>
      </c>
      <c r="I9" s="139" t="s">
        <v>287</v>
      </c>
      <c r="J9" s="139" t="s">
        <v>288</v>
      </c>
      <c r="K9" s="139" t="s">
        <v>287</v>
      </c>
      <c r="L9" s="139" t="s">
        <v>289</v>
      </c>
      <c r="M9" s="211"/>
      <c r="N9" s="211"/>
      <c r="P9" s="140"/>
      <c r="Q9" s="140"/>
      <c r="R9" s="140"/>
      <c r="S9" s="140"/>
      <c r="T9" s="140"/>
      <c r="U9" s="140"/>
    </row>
    <row r="10" spans="2:21" ht="126" customHeight="1">
      <c r="B10" s="141"/>
      <c r="C10" s="141"/>
      <c r="D10" s="142"/>
      <c r="E10" s="143"/>
      <c r="F10" s="144"/>
      <c r="G10" s="144"/>
      <c r="H10" s="145"/>
      <c r="I10" s="146"/>
      <c r="J10" s="147"/>
      <c r="K10" s="148"/>
      <c r="L10" s="149"/>
      <c r="M10" s="148"/>
      <c r="N10" s="150"/>
      <c r="P10" s="140"/>
      <c r="Q10" s="140"/>
      <c r="R10" s="140"/>
      <c r="S10" s="140"/>
      <c r="T10" s="140"/>
      <c r="U10" s="140"/>
    </row>
    <row r="11" spans="2:21" ht="121.5" customHeight="1">
      <c r="B11" s="141"/>
      <c r="C11" s="141"/>
      <c r="D11" s="143"/>
      <c r="E11" s="143"/>
      <c r="F11" s="144"/>
      <c r="G11" s="147"/>
      <c r="H11" s="145"/>
      <c r="I11" s="151"/>
      <c r="J11" s="147"/>
      <c r="K11" s="148"/>
      <c r="L11" s="149"/>
      <c r="M11" s="148"/>
      <c r="N11" s="150"/>
      <c r="P11" s="140"/>
      <c r="Q11" s="140"/>
      <c r="R11" s="140"/>
      <c r="S11" s="140"/>
      <c r="T11" s="140"/>
      <c r="U11" s="140"/>
    </row>
    <row r="12" spans="2:21" ht="12.75" customHeight="1">
      <c r="B12" s="152"/>
      <c r="C12" s="141"/>
      <c r="D12" s="153"/>
      <c r="E12" s="143"/>
      <c r="F12" s="143"/>
      <c r="G12" s="143"/>
      <c r="H12" s="145"/>
      <c r="I12" s="148"/>
      <c r="J12" s="147"/>
      <c r="K12" s="148"/>
      <c r="L12" s="149"/>
      <c r="M12" s="148"/>
      <c r="N12" s="150"/>
    </row>
    <row r="13" spans="2:21" ht="12.75" customHeight="1">
      <c r="B13" s="152"/>
      <c r="C13" s="141"/>
      <c r="D13" s="153"/>
      <c r="E13" s="143"/>
      <c r="F13" s="143"/>
      <c r="G13" s="143"/>
      <c r="H13" s="145"/>
      <c r="I13" s="148"/>
      <c r="J13" s="147"/>
      <c r="K13" s="148"/>
      <c r="L13" s="149"/>
      <c r="M13" s="148"/>
      <c r="N13" s="150"/>
    </row>
    <row r="14" spans="2:21" ht="12.75" customHeight="1">
      <c r="B14" s="152"/>
      <c r="C14" s="141"/>
      <c r="D14" s="153"/>
      <c r="E14" s="143"/>
      <c r="F14" s="143"/>
      <c r="G14" s="143"/>
      <c r="H14" s="145"/>
      <c r="I14" s="148"/>
      <c r="J14" s="147"/>
      <c r="K14" s="148"/>
      <c r="L14" s="149"/>
      <c r="M14" s="148"/>
      <c r="N14" s="150"/>
    </row>
    <row r="15" spans="2:21" ht="12.75" customHeight="1">
      <c r="B15" s="152"/>
      <c r="C15" s="141"/>
      <c r="D15" s="153"/>
      <c r="E15" s="143"/>
      <c r="F15" s="143"/>
      <c r="G15" s="143"/>
      <c r="H15" s="145"/>
      <c r="I15" s="148"/>
      <c r="J15" s="147"/>
      <c r="K15" s="148"/>
      <c r="L15" s="149"/>
      <c r="M15" s="148"/>
      <c r="N15" s="150"/>
    </row>
    <row r="16" spans="2:21" ht="12.75" customHeight="1">
      <c r="B16" s="152"/>
      <c r="C16" s="141"/>
      <c r="D16" s="153"/>
      <c r="E16" s="143"/>
      <c r="F16" s="143"/>
      <c r="G16" s="143"/>
      <c r="H16" s="145"/>
      <c r="I16" s="148"/>
      <c r="J16" s="147"/>
      <c r="K16" s="148"/>
      <c r="L16" s="149"/>
      <c r="M16" s="148"/>
      <c r="N16" s="150"/>
    </row>
    <row r="17" spans="2:14" ht="12.75" customHeight="1">
      <c r="B17" s="152"/>
      <c r="C17" s="141"/>
      <c r="D17" s="153"/>
      <c r="E17" s="143"/>
      <c r="F17" s="143"/>
      <c r="G17" s="143"/>
      <c r="H17" s="145"/>
      <c r="I17" s="148"/>
      <c r="J17" s="147"/>
      <c r="K17" s="148"/>
      <c r="L17" s="149"/>
      <c r="M17" s="148"/>
      <c r="N17" s="150"/>
    </row>
    <row r="18" spans="2:14">
      <c r="B18" s="152"/>
      <c r="C18" s="141"/>
      <c r="D18" s="153"/>
      <c r="E18" s="143"/>
      <c r="F18" s="143"/>
      <c r="G18" s="143"/>
      <c r="H18" s="145"/>
      <c r="I18" s="148"/>
      <c r="J18" s="147"/>
      <c r="K18" s="148"/>
      <c r="L18" s="149"/>
      <c r="M18" s="148"/>
      <c r="N18" s="150"/>
    </row>
    <row r="19" spans="2:14">
      <c r="B19" s="152"/>
      <c r="C19" s="141"/>
      <c r="D19" s="153"/>
      <c r="E19" s="143"/>
      <c r="F19" s="143"/>
      <c r="G19" s="143"/>
      <c r="H19" s="145"/>
      <c r="I19" s="148"/>
      <c r="J19" s="147"/>
      <c r="K19" s="148"/>
      <c r="L19" s="149"/>
      <c r="M19" s="148"/>
      <c r="N19" s="150"/>
    </row>
    <row r="20" spans="2:14">
      <c r="B20" s="152"/>
      <c r="C20" s="141"/>
      <c r="D20" s="153"/>
      <c r="E20" s="143"/>
      <c r="F20" s="143"/>
      <c r="G20" s="143"/>
      <c r="H20" s="145"/>
      <c r="I20" s="148"/>
      <c r="J20" s="147"/>
      <c r="K20" s="148"/>
      <c r="L20" s="149"/>
      <c r="M20" s="148"/>
      <c r="N20" s="150"/>
    </row>
    <row r="21" spans="2:14">
      <c r="B21" s="152"/>
      <c r="C21" s="141"/>
      <c r="D21" s="153"/>
      <c r="E21" s="143"/>
      <c r="F21" s="143"/>
      <c r="G21" s="143"/>
      <c r="H21" s="145"/>
      <c r="I21" s="148"/>
      <c r="J21" s="147"/>
      <c r="K21" s="148"/>
      <c r="L21" s="149"/>
      <c r="M21" s="148"/>
      <c r="N21" s="150"/>
    </row>
    <row r="22" spans="2:14">
      <c r="B22" s="152"/>
      <c r="C22" s="141"/>
      <c r="D22" s="153"/>
      <c r="E22" s="143"/>
      <c r="F22" s="143"/>
      <c r="G22" s="143"/>
      <c r="H22" s="145"/>
      <c r="I22" s="148"/>
      <c r="J22" s="147"/>
      <c r="K22" s="148"/>
      <c r="L22" s="149"/>
      <c r="M22" s="148"/>
      <c r="N22" s="150"/>
    </row>
    <row r="23" spans="2:14">
      <c r="B23" s="152"/>
      <c r="C23" s="141"/>
      <c r="D23" s="153"/>
      <c r="E23" s="143"/>
      <c r="F23" s="143"/>
      <c r="G23" s="143"/>
      <c r="H23" s="145"/>
      <c r="I23" s="148"/>
      <c r="J23" s="147"/>
      <c r="K23" s="148"/>
      <c r="L23" s="149"/>
      <c r="M23" s="148"/>
      <c r="N23" s="150"/>
    </row>
    <row r="24" spans="2:14">
      <c r="B24" s="152"/>
      <c r="C24" s="141"/>
      <c r="D24" s="153"/>
      <c r="E24" s="143"/>
      <c r="F24" s="143"/>
      <c r="G24" s="143"/>
      <c r="H24" s="145"/>
      <c r="I24" s="148"/>
      <c r="J24" s="147"/>
      <c r="K24" s="148"/>
      <c r="L24" s="149"/>
      <c r="M24" s="148"/>
      <c r="N24" s="150"/>
    </row>
    <row r="25" spans="2:14">
      <c r="B25" s="152"/>
      <c r="C25" s="141"/>
      <c r="D25" s="153"/>
      <c r="E25" s="143"/>
      <c r="F25" s="143"/>
      <c r="G25" s="143"/>
      <c r="H25" s="145"/>
      <c r="I25" s="148"/>
      <c r="J25" s="147"/>
      <c r="K25" s="148"/>
      <c r="L25" s="149"/>
      <c r="M25" s="148"/>
      <c r="N25" s="150"/>
    </row>
    <row r="26" spans="2:14">
      <c r="B26" s="152"/>
      <c r="C26" s="141"/>
      <c r="D26" s="153"/>
      <c r="E26" s="143"/>
      <c r="F26" s="154"/>
      <c r="G26" s="154"/>
      <c r="H26" s="155"/>
      <c r="I26" s="156"/>
      <c r="J26" s="157"/>
      <c r="K26" s="148"/>
      <c r="L26" s="149"/>
      <c r="M26" s="148"/>
      <c r="N26" s="150"/>
    </row>
    <row r="27" spans="2:14">
      <c r="B27" s="158"/>
      <c r="C27" s="141"/>
      <c r="D27" s="153"/>
      <c r="E27" s="143"/>
      <c r="F27" s="143"/>
      <c r="G27" s="143"/>
      <c r="H27" s="155"/>
      <c r="I27" s="156"/>
      <c r="J27" s="147"/>
      <c r="K27" s="148"/>
      <c r="L27" s="149"/>
      <c r="M27" s="148"/>
      <c r="N27" s="150"/>
    </row>
    <row r="28" spans="2:14">
      <c r="B28" s="158"/>
      <c r="C28" s="141"/>
      <c r="D28" s="153"/>
      <c r="E28" s="143"/>
      <c r="F28" s="143"/>
      <c r="G28" s="143"/>
      <c r="H28" s="145"/>
      <c r="I28" s="148"/>
      <c r="J28" s="147"/>
      <c r="K28" s="148"/>
      <c r="L28" s="149"/>
      <c r="M28" s="148"/>
      <c r="N28" s="150"/>
    </row>
    <row r="29" spans="2:14">
      <c r="B29" s="158"/>
      <c r="C29" s="141"/>
      <c r="D29" s="153"/>
      <c r="E29" s="143"/>
      <c r="F29" s="143"/>
      <c r="G29" s="143"/>
      <c r="H29" s="145"/>
      <c r="I29" s="148"/>
      <c r="J29" s="147"/>
      <c r="K29" s="148"/>
      <c r="L29" s="149"/>
      <c r="M29" s="148"/>
      <c r="N29" s="150"/>
    </row>
    <row r="30" spans="2:14">
      <c r="B30" s="158"/>
      <c r="C30" s="141"/>
      <c r="D30" s="153"/>
      <c r="E30" s="143"/>
      <c r="F30" s="143"/>
      <c r="G30" s="143"/>
      <c r="H30" s="145"/>
      <c r="I30" s="148"/>
      <c r="J30" s="147"/>
      <c r="K30" s="148"/>
      <c r="L30" s="149"/>
      <c r="M30" s="148"/>
      <c r="N30" s="150"/>
    </row>
    <row r="31" spans="2:14">
      <c r="B31" s="158"/>
      <c r="C31" s="141"/>
      <c r="D31" s="153"/>
      <c r="E31" s="143"/>
      <c r="F31" s="143"/>
      <c r="G31" s="143"/>
      <c r="H31" s="145"/>
      <c r="I31" s="148"/>
      <c r="J31" s="147"/>
      <c r="K31" s="148"/>
      <c r="L31" s="149"/>
      <c r="M31" s="148"/>
      <c r="N31" s="150"/>
    </row>
    <row r="32" spans="2:14">
      <c r="B32" s="158"/>
      <c r="C32" s="141"/>
      <c r="D32" s="153"/>
      <c r="E32" s="143"/>
      <c r="F32" s="143"/>
      <c r="G32" s="143"/>
      <c r="H32" s="145"/>
      <c r="I32" s="148"/>
      <c r="J32" s="147"/>
      <c r="K32" s="148"/>
      <c r="L32" s="149"/>
      <c r="M32" s="148"/>
      <c r="N32" s="150"/>
    </row>
    <row r="33" spans="2:14">
      <c r="B33" s="158"/>
      <c r="C33" s="141"/>
      <c r="D33" s="153"/>
      <c r="E33" s="143"/>
      <c r="F33" s="143"/>
      <c r="G33" s="143"/>
      <c r="H33" s="145"/>
      <c r="I33" s="148"/>
      <c r="J33" s="147"/>
      <c r="K33" s="148"/>
      <c r="L33" s="149"/>
      <c r="M33" s="148"/>
      <c r="N33" s="150"/>
    </row>
    <row r="34" spans="2:14">
      <c r="B34" s="158"/>
      <c r="C34" s="141"/>
      <c r="D34" s="153"/>
      <c r="E34" s="143"/>
      <c r="F34" s="143"/>
      <c r="G34" s="143"/>
      <c r="H34" s="145"/>
      <c r="I34" s="148"/>
      <c r="J34" s="147"/>
      <c r="K34" s="148"/>
      <c r="L34" s="149"/>
      <c r="M34" s="148"/>
      <c r="N34" s="150"/>
    </row>
    <row r="35" spans="2:14">
      <c r="B35" s="158"/>
      <c r="C35" s="141"/>
      <c r="D35" s="153"/>
      <c r="E35" s="143"/>
      <c r="F35" s="143"/>
      <c r="G35" s="143"/>
      <c r="H35" s="155"/>
      <c r="I35" s="156"/>
      <c r="J35" s="147"/>
      <c r="K35" s="148"/>
      <c r="L35" s="149"/>
      <c r="M35" s="148"/>
      <c r="N35" s="150"/>
    </row>
    <row r="36" spans="2:14">
      <c r="B36" s="158"/>
      <c r="C36" s="141"/>
      <c r="D36" s="153"/>
      <c r="E36" s="143"/>
      <c r="F36" s="143"/>
      <c r="G36" s="143"/>
      <c r="H36" s="145"/>
      <c r="I36" s="148"/>
      <c r="J36" s="147"/>
      <c r="K36" s="148"/>
      <c r="L36" s="149"/>
      <c r="M36" s="148"/>
      <c r="N36" s="150"/>
    </row>
  </sheetData>
  <mergeCells count="6">
    <mergeCell ref="N8:N9"/>
    <mergeCell ref="B8:B9"/>
    <mergeCell ref="C8:C9"/>
    <mergeCell ref="F8:G8"/>
    <mergeCell ref="J8:L8"/>
    <mergeCell ref="M8:M9"/>
  </mergeCells>
  <conditionalFormatting sqref="M8">
    <cfRule type="cellIs" priority="1" stopIfTrue="1" operator="equal">
      <formula>"Y"</formula>
    </cfRule>
    <cfRule type="cellIs" dxfId="0" priority="2" stopIfTrue="1" operator="equal">
      <formula>"N"</formula>
    </cfRule>
  </conditionalFormatting>
  <dataValidations count="1">
    <dataValidation type="list" allowBlank="1" showInputMessage="1" showErrorMessage="1" sqref="M10:M36">
      <formula1>$M$5:$M$6</formula1>
    </dataValidation>
  </dataValidations>
  <pageMargins left="0.15748031496062992" right="0.15748031496062992" top="0.15748031496062992" bottom="0.15748031496062992" header="0.15748031496062992" footer="0.15748031496062992"/>
  <pageSetup paperSize="9" scale="46" orientation="landscape" r:id="rId1"/>
  <colBreaks count="1" manualBreakCount="1">
    <brk id="14" max="37" man="1"/>
  </col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96"/>
  <sheetViews>
    <sheetView tabSelected="1" view="pageBreakPreview" topLeftCell="A71" zoomScale="70" zoomScaleNormal="70" zoomScaleSheetLayoutView="70" workbookViewId="0">
      <selection activeCell="E95" sqref="E95"/>
    </sheetView>
  </sheetViews>
  <sheetFormatPr defaultColWidth="9.28515625" defaultRowHeight="12.75"/>
  <cols>
    <col min="1" max="1" width="16.140625" style="91" customWidth="1"/>
    <col min="2" max="2" width="24.42578125" style="92" customWidth="1"/>
    <col min="3" max="3" width="52.140625" style="2" customWidth="1"/>
    <col min="4" max="4" width="55.5703125" style="93" customWidth="1"/>
    <col min="5" max="5" width="80.85546875" style="2" customWidth="1"/>
    <col min="6" max="7" width="10.140625" style="94" customWidth="1"/>
    <col min="8" max="8" width="36.7109375" style="2" customWidth="1"/>
    <col min="9" max="16384" width="9.28515625" style="2"/>
  </cols>
  <sheetData>
    <row r="1" spans="1:12" ht="36" customHeight="1">
      <c r="A1" s="260"/>
      <c r="B1" s="260"/>
      <c r="C1" s="268" t="s">
        <v>0</v>
      </c>
      <c r="D1" s="268"/>
      <c r="E1" s="268"/>
      <c r="F1" s="269" t="s">
        <v>1</v>
      </c>
      <c r="G1" s="270"/>
      <c r="H1" s="1" t="s">
        <v>240</v>
      </c>
    </row>
    <row r="2" spans="1:12" ht="36" customHeight="1">
      <c r="A2" s="260"/>
      <c r="B2" s="260"/>
      <c r="C2" s="268"/>
      <c r="D2" s="268"/>
      <c r="E2" s="268"/>
      <c r="F2" s="269" t="s">
        <v>2</v>
      </c>
      <c r="G2" s="270"/>
      <c r="H2" s="3">
        <v>43466</v>
      </c>
    </row>
    <row r="3" spans="1:12" ht="36" customHeight="1">
      <c r="A3" s="260"/>
      <c r="B3" s="260"/>
      <c r="C3" s="260" t="s">
        <v>3</v>
      </c>
      <c r="D3" s="260"/>
      <c r="E3" s="4" t="s">
        <v>4</v>
      </c>
      <c r="F3" s="269" t="s">
        <v>5</v>
      </c>
      <c r="G3" s="270"/>
      <c r="H3" s="5" t="s">
        <v>6</v>
      </c>
    </row>
    <row r="4" spans="1:12" ht="36" customHeight="1">
      <c r="A4" s="264" t="s">
        <v>7</v>
      </c>
      <c r="B4" s="265"/>
      <c r="C4" s="266" t="s">
        <v>8</v>
      </c>
      <c r="D4" s="265"/>
      <c r="E4" s="6" t="s">
        <v>9</v>
      </c>
      <c r="F4" s="260" t="s">
        <v>10</v>
      </c>
      <c r="G4" s="260"/>
      <c r="H4" s="260"/>
    </row>
    <row r="5" spans="1:12" ht="88.5" customHeight="1">
      <c r="A5" s="256"/>
      <c r="B5" s="256"/>
      <c r="C5" s="256"/>
      <c r="D5" s="256"/>
      <c r="E5" s="7"/>
      <c r="F5" s="267" t="s">
        <v>11</v>
      </c>
      <c r="G5" s="264"/>
      <c r="H5" s="8" t="s">
        <v>12</v>
      </c>
    </row>
    <row r="6" spans="1:12" ht="36" customHeight="1">
      <c r="A6" s="256" t="s">
        <v>13</v>
      </c>
      <c r="B6" s="256"/>
      <c r="C6" s="9" t="s">
        <v>14</v>
      </c>
      <c r="D6" s="9" t="s">
        <v>15</v>
      </c>
      <c r="E6" s="9" t="s">
        <v>16</v>
      </c>
      <c r="F6" s="256" t="s">
        <v>17</v>
      </c>
      <c r="G6" s="256"/>
      <c r="H6" s="256"/>
    </row>
    <row r="7" spans="1:12" ht="36" customHeight="1">
      <c r="A7" s="257"/>
      <c r="B7" s="258"/>
      <c r="C7" s="10"/>
      <c r="D7" s="10"/>
      <c r="E7" s="11"/>
      <c r="F7" s="259"/>
      <c r="G7" s="260"/>
      <c r="H7" s="260"/>
    </row>
    <row r="8" spans="1:12" ht="18.75" customHeight="1">
      <c r="A8" s="12"/>
      <c r="B8" s="12"/>
      <c r="C8" s="12"/>
      <c r="D8" s="12"/>
      <c r="E8" s="12"/>
      <c r="F8" s="12"/>
      <c r="G8" s="12"/>
      <c r="H8" s="13"/>
    </row>
    <row r="9" spans="1:12" ht="54.75" customHeight="1">
      <c r="A9" s="261" t="s">
        <v>18</v>
      </c>
      <c r="B9" s="262"/>
      <c r="C9" s="262"/>
      <c r="D9" s="262"/>
      <c r="E9" s="262"/>
      <c r="F9" s="262"/>
      <c r="G9" s="262"/>
      <c r="H9" s="263"/>
    </row>
    <row r="10" spans="1:12" s="17" customFormat="1" ht="15.75">
      <c r="A10" s="255" t="s">
        <v>19</v>
      </c>
      <c r="B10" s="255"/>
      <c r="C10" s="255"/>
      <c r="D10" s="255"/>
      <c r="E10" s="14" t="s">
        <v>20</v>
      </c>
      <c r="F10" s="15">
        <f>SUM(F13:F15)</f>
        <v>9</v>
      </c>
      <c r="G10" s="15">
        <f>SUM(G13:G15)</f>
        <v>0</v>
      </c>
      <c r="H10" s="16"/>
      <c r="I10" s="16"/>
      <c r="J10" s="16"/>
      <c r="K10" s="16"/>
      <c r="L10" s="16"/>
    </row>
    <row r="11" spans="1:12" s="17" customFormat="1" ht="15.75">
      <c r="A11" s="255"/>
      <c r="B11" s="255"/>
      <c r="C11" s="255"/>
      <c r="D11" s="255"/>
      <c r="E11" s="14" t="s">
        <v>21</v>
      </c>
      <c r="F11" s="18">
        <f>F10/100</f>
        <v>0.09</v>
      </c>
      <c r="G11" s="18">
        <f>G10/100</f>
        <v>0</v>
      </c>
      <c r="H11" s="16"/>
      <c r="I11" s="16"/>
      <c r="J11" s="16"/>
      <c r="K11" s="16"/>
      <c r="L11" s="16"/>
    </row>
    <row r="12" spans="1:12" s="17" customFormat="1" ht="31.5">
      <c r="A12" s="19" t="s">
        <v>22</v>
      </c>
      <c r="B12" s="19" t="s">
        <v>23</v>
      </c>
      <c r="C12" s="20" t="s">
        <v>24</v>
      </c>
      <c r="D12" s="21" t="s">
        <v>25</v>
      </c>
      <c r="E12" s="20" t="s">
        <v>26</v>
      </c>
      <c r="F12" s="22" t="s">
        <v>27</v>
      </c>
      <c r="G12" s="22" t="s">
        <v>28</v>
      </c>
      <c r="H12" s="23" t="s">
        <v>29</v>
      </c>
      <c r="I12" s="16"/>
      <c r="J12" s="16"/>
      <c r="K12" s="16"/>
      <c r="L12" s="16"/>
    </row>
    <row r="13" spans="1:12" s="17" customFormat="1" ht="216.75" customHeight="1">
      <c r="A13" s="24">
        <v>1</v>
      </c>
      <c r="B13" s="25" t="s">
        <v>30</v>
      </c>
      <c r="C13" s="26" t="s">
        <v>31</v>
      </c>
      <c r="D13" s="27" t="s">
        <v>32</v>
      </c>
      <c r="E13" s="26" t="s">
        <v>33</v>
      </c>
      <c r="F13" s="28">
        <v>3</v>
      </c>
      <c r="G13" s="28"/>
      <c r="H13" s="29"/>
      <c r="I13" s="16"/>
      <c r="J13" s="16"/>
      <c r="K13" s="16"/>
      <c r="L13" s="16"/>
    </row>
    <row r="14" spans="1:12" s="17" customFormat="1" ht="193.5" customHeight="1">
      <c r="A14" s="24">
        <v>2</v>
      </c>
      <c r="B14" s="25" t="s">
        <v>34</v>
      </c>
      <c r="C14" s="30" t="s">
        <v>35</v>
      </c>
      <c r="D14" s="31" t="s">
        <v>36</v>
      </c>
      <c r="E14" s="32" t="s">
        <v>37</v>
      </c>
      <c r="F14" s="33">
        <v>3</v>
      </c>
      <c r="G14" s="28"/>
      <c r="H14" s="29"/>
      <c r="I14" s="16"/>
      <c r="J14" s="16"/>
      <c r="K14" s="16"/>
      <c r="L14" s="16"/>
    </row>
    <row r="15" spans="1:12" s="17" customFormat="1" ht="267" customHeight="1">
      <c r="A15" s="24">
        <v>3</v>
      </c>
      <c r="B15" s="25" t="s">
        <v>38</v>
      </c>
      <c r="C15" s="26" t="s">
        <v>39</v>
      </c>
      <c r="D15" s="27" t="s">
        <v>40</v>
      </c>
      <c r="E15" s="26" t="s">
        <v>41</v>
      </c>
      <c r="F15" s="28">
        <v>3</v>
      </c>
      <c r="G15" s="28"/>
      <c r="H15" s="29"/>
      <c r="I15" s="16"/>
      <c r="J15" s="16"/>
      <c r="K15" s="16"/>
      <c r="L15" s="16"/>
    </row>
    <row r="16" spans="1:12" s="17" customFormat="1" ht="15.75">
      <c r="A16" s="255" t="s">
        <v>42</v>
      </c>
      <c r="B16" s="255"/>
      <c r="C16" s="255"/>
      <c r="D16" s="255"/>
      <c r="E16" s="14" t="s">
        <v>20</v>
      </c>
      <c r="F16" s="15">
        <f>SUM(F19:F25)</f>
        <v>0</v>
      </c>
      <c r="G16" s="15">
        <f>SUM(G19:G25)</f>
        <v>0</v>
      </c>
      <c r="H16" s="34"/>
      <c r="I16" s="16"/>
      <c r="J16" s="16"/>
      <c r="K16" s="16"/>
      <c r="L16" s="16"/>
    </row>
    <row r="17" spans="1:12" s="17" customFormat="1" ht="15.75">
      <c r="A17" s="255"/>
      <c r="B17" s="255"/>
      <c r="C17" s="255"/>
      <c r="D17" s="255"/>
      <c r="E17" s="14" t="s">
        <v>21</v>
      </c>
      <c r="F17" s="18">
        <f>F16/100</f>
        <v>0</v>
      </c>
      <c r="G17" s="18">
        <f>G16/100</f>
        <v>0</v>
      </c>
      <c r="H17" s="34"/>
      <c r="I17" s="16"/>
      <c r="J17" s="16"/>
      <c r="K17" s="16"/>
      <c r="L17" s="16"/>
    </row>
    <row r="18" spans="1:12" s="40" customFormat="1" ht="31.5">
      <c r="A18" s="35" t="s">
        <v>22</v>
      </c>
      <c r="B18" s="35" t="s">
        <v>23</v>
      </c>
      <c r="C18" s="36" t="s">
        <v>43</v>
      </c>
      <c r="D18" s="37" t="s">
        <v>25</v>
      </c>
      <c r="E18" s="36" t="s">
        <v>26</v>
      </c>
      <c r="F18" s="38" t="s">
        <v>27</v>
      </c>
      <c r="G18" s="38" t="s">
        <v>28</v>
      </c>
      <c r="H18" s="23" t="s">
        <v>29</v>
      </c>
      <c r="I18" s="39"/>
      <c r="J18" s="39"/>
      <c r="K18" s="39"/>
      <c r="L18" s="39"/>
    </row>
    <row r="19" spans="1:12" s="43" customFormat="1" ht="255.75" customHeight="1">
      <c r="A19" s="24">
        <v>1</v>
      </c>
      <c r="B19" s="25" t="s">
        <v>44</v>
      </c>
      <c r="C19" s="26" t="s">
        <v>45</v>
      </c>
      <c r="D19" s="27" t="s">
        <v>46</v>
      </c>
      <c r="E19" s="26" t="s">
        <v>47</v>
      </c>
      <c r="F19" s="28" t="s">
        <v>48</v>
      </c>
      <c r="G19" s="28"/>
      <c r="H19" s="41"/>
      <c r="I19" s="42"/>
      <c r="J19" s="42"/>
      <c r="K19" s="42"/>
      <c r="L19" s="42"/>
    </row>
    <row r="20" spans="1:12" s="43" customFormat="1" ht="132.75" customHeight="1">
      <c r="A20" s="24">
        <v>2</v>
      </c>
      <c r="B20" s="25" t="s">
        <v>49</v>
      </c>
      <c r="C20" s="26" t="s">
        <v>50</v>
      </c>
      <c r="D20" s="27" t="s">
        <v>51</v>
      </c>
      <c r="E20" s="26" t="s">
        <v>52</v>
      </c>
      <c r="F20" s="28" t="s">
        <v>48</v>
      </c>
      <c r="G20" s="28"/>
      <c r="H20" s="41"/>
      <c r="I20" s="42"/>
      <c r="J20" s="42"/>
      <c r="K20" s="42"/>
      <c r="L20" s="42"/>
    </row>
    <row r="21" spans="1:12" s="43" customFormat="1" ht="132.75" customHeight="1">
      <c r="A21" s="24">
        <v>3</v>
      </c>
      <c r="B21" s="25" t="s">
        <v>53</v>
      </c>
      <c r="C21" s="26" t="s">
        <v>54</v>
      </c>
      <c r="D21" s="27" t="s">
        <v>55</v>
      </c>
      <c r="E21" s="26" t="s">
        <v>56</v>
      </c>
      <c r="F21" s="28" t="s">
        <v>48</v>
      </c>
      <c r="G21" s="28"/>
      <c r="H21" s="41"/>
      <c r="I21" s="42"/>
      <c r="J21" s="42"/>
      <c r="K21" s="42"/>
      <c r="L21" s="42"/>
    </row>
    <row r="22" spans="1:12" s="43" customFormat="1" ht="78.75">
      <c r="A22" s="24">
        <v>4</v>
      </c>
      <c r="B22" s="25" t="s">
        <v>57</v>
      </c>
      <c r="C22" s="26" t="s">
        <v>58</v>
      </c>
      <c r="D22" s="27" t="s">
        <v>59</v>
      </c>
      <c r="E22" s="26" t="s">
        <v>60</v>
      </c>
      <c r="F22" s="28" t="s">
        <v>48</v>
      </c>
      <c r="G22" s="28"/>
      <c r="H22" s="41"/>
      <c r="I22" s="42"/>
      <c r="J22" s="42"/>
      <c r="K22" s="42"/>
      <c r="L22" s="42"/>
    </row>
    <row r="23" spans="1:12" s="43" customFormat="1" ht="78.75">
      <c r="A23" s="24">
        <v>5</v>
      </c>
      <c r="B23" s="25" t="s">
        <v>61</v>
      </c>
      <c r="C23" s="26" t="s">
        <v>62</v>
      </c>
      <c r="D23" s="27" t="s">
        <v>63</v>
      </c>
      <c r="E23" s="26" t="s">
        <v>64</v>
      </c>
      <c r="F23" s="28" t="s">
        <v>48</v>
      </c>
      <c r="G23" s="28"/>
      <c r="H23" s="41"/>
      <c r="I23" s="42"/>
      <c r="J23" s="42"/>
      <c r="K23" s="42"/>
      <c r="L23" s="42"/>
    </row>
    <row r="24" spans="1:12" s="43" customFormat="1" ht="191.25" customHeight="1">
      <c r="A24" s="24">
        <v>6</v>
      </c>
      <c r="B24" s="25" t="s">
        <v>65</v>
      </c>
      <c r="C24" s="26" t="s">
        <v>66</v>
      </c>
      <c r="D24" s="27" t="s">
        <v>67</v>
      </c>
      <c r="E24" s="26" t="s">
        <v>68</v>
      </c>
      <c r="F24" s="28" t="s">
        <v>48</v>
      </c>
      <c r="G24" s="28"/>
      <c r="H24" s="41"/>
      <c r="I24" s="42"/>
      <c r="J24" s="42"/>
      <c r="K24" s="42"/>
      <c r="L24" s="42"/>
    </row>
    <row r="25" spans="1:12" s="43" customFormat="1" ht="173.25">
      <c r="A25" s="24">
        <v>7</v>
      </c>
      <c r="B25" s="25" t="s">
        <v>69</v>
      </c>
      <c r="C25" s="26" t="s">
        <v>70</v>
      </c>
      <c r="D25" s="27" t="s">
        <v>71</v>
      </c>
      <c r="E25" s="26" t="s">
        <v>72</v>
      </c>
      <c r="F25" s="28" t="s">
        <v>48</v>
      </c>
      <c r="G25" s="28"/>
      <c r="H25" s="41"/>
      <c r="I25" s="42"/>
      <c r="J25" s="42"/>
      <c r="K25" s="42"/>
      <c r="L25" s="42"/>
    </row>
    <row r="26" spans="1:12" s="17" customFormat="1" ht="25.5" customHeight="1">
      <c r="A26" s="255" t="s">
        <v>73</v>
      </c>
      <c r="B26" s="255"/>
      <c r="C26" s="255"/>
      <c r="D26" s="255"/>
      <c r="E26" s="14" t="s">
        <v>20</v>
      </c>
      <c r="F26" s="15">
        <f>SUM(F29:F32)</f>
        <v>10</v>
      </c>
      <c r="G26" s="15">
        <f>SUM(G29:G32)</f>
        <v>0</v>
      </c>
      <c r="H26" s="34"/>
      <c r="I26" s="16"/>
      <c r="J26" s="16"/>
      <c r="K26" s="16"/>
      <c r="L26" s="16"/>
    </row>
    <row r="27" spans="1:12" s="17" customFormat="1" ht="25.5" customHeight="1">
      <c r="A27" s="255"/>
      <c r="B27" s="255"/>
      <c r="C27" s="255"/>
      <c r="D27" s="255"/>
      <c r="E27" s="14" t="s">
        <v>21</v>
      </c>
      <c r="F27" s="18">
        <f>F26/100</f>
        <v>0.1</v>
      </c>
      <c r="G27" s="18">
        <f>G26/100</f>
        <v>0</v>
      </c>
      <c r="H27" s="34"/>
      <c r="I27" s="16"/>
      <c r="J27" s="16"/>
      <c r="K27" s="16"/>
      <c r="L27" s="16"/>
    </row>
    <row r="28" spans="1:12" s="43" customFormat="1" ht="53.25" customHeight="1">
      <c r="A28" s="44" t="s">
        <v>22</v>
      </c>
      <c r="B28" s="44" t="s">
        <v>23</v>
      </c>
      <c r="C28" s="45" t="s">
        <v>43</v>
      </c>
      <c r="D28" s="46" t="s">
        <v>25</v>
      </c>
      <c r="E28" s="45" t="s">
        <v>26</v>
      </c>
      <c r="F28" s="22" t="s">
        <v>27</v>
      </c>
      <c r="G28" s="22" t="s">
        <v>28</v>
      </c>
      <c r="H28" s="23" t="s">
        <v>29</v>
      </c>
      <c r="I28" s="42"/>
      <c r="J28" s="42"/>
      <c r="K28" s="42"/>
      <c r="L28" s="42"/>
    </row>
    <row r="29" spans="1:12" s="43" customFormat="1" ht="135" customHeight="1">
      <c r="A29" s="24">
        <v>1</v>
      </c>
      <c r="B29" s="26" t="s">
        <v>74</v>
      </c>
      <c r="C29" s="26" t="s">
        <v>75</v>
      </c>
      <c r="D29" s="27" t="s">
        <v>76</v>
      </c>
      <c r="E29" s="26" t="s">
        <v>77</v>
      </c>
      <c r="F29" s="28">
        <v>2</v>
      </c>
      <c r="G29" s="28"/>
      <c r="H29" s="41"/>
      <c r="I29" s="42"/>
      <c r="J29" s="42"/>
      <c r="K29" s="42"/>
      <c r="L29" s="42"/>
    </row>
    <row r="30" spans="1:12" s="49" customFormat="1" ht="209.25" customHeight="1">
      <c r="A30" s="24">
        <v>2</v>
      </c>
      <c r="B30" s="26" t="s">
        <v>78</v>
      </c>
      <c r="C30" s="26" t="s">
        <v>79</v>
      </c>
      <c r="D30" s="27" t="s">
        <v>80</v>
      </c>
      <c r="E30" s="26" t="s">
        <v>81</v>
      </c>
      <c r="F30" s="28">
        <v>2</v>
      </c>
      <c r="G30" s="28"/>
      <c r="H30" s="47"/>
      <c r="I30" s="48"/>
      <c r="J30" s="48"/>
      <c r="K30" s="48"/>
      <c r="L30" s="48"/>
    </row>
    <row r="31" spans="1:12" s="49" customFormat="1" ht="130.5" customHeight="1">
      <c r="A31" s="24">
        <v>3</v>
      </c>
      <c r="B31" s="26" t="s">
        <v>65</v>
      </c>
      <c r="C31" s="26" t="s">
        <v>82</v>
      </c>
      <c r="D31" s="27" t="s">
        <v>83</v>
      </c>
      <c r="E31" s="26" t="s">
        <v>84</v>
      </c>
      <c r="F31" s="28">
        <v>3</v>
      </c>
      <c r="G31" s="28"/>
      <c r="H31" s="47"/>
      <c r="I31" s="48"/>
      <c r="J31" s="48"/>
      <c r="K31" s="48"/>
      <c r="L31" s="48"/>
    </row>
    <row r="32" spans="1:12" s="49" customFormat="1" ht="119.25" customHeight="1">
      <c r="A32" s="24">
        <v>4</v>
      </c>
      <c r="B32" s="26" t="s">
        <v>69</v>
      </c>
      <c r="C32" s="26" t="s">
        <v>85</v>
      </c>
      <c r="D32" s="27" t="s">
        <v>86</v>
      </c>
      <c r="E32" s="26" t="s">
        <v>87</v>
      </c>
      <c r="F32" s="28">
        <v>3</v>
      </c>
      <c r="G32" s="28"/>
      <c r="H32" s="47"/>
      <c r="I32" s="48"/>
      <c r="J32" s="48"/>
      <c r="K32" s="48"/>
      <c r="L32" s="48"/>
    </row>
    <row r="33" spans="1:12" s="49" customFormat="1" ht="15.75">
      <c r="A33" s="255" t="s">
        <v>88</v>
      </c>
      <c r="B33" s="255"/>
      <c r="C33" s="255"/>
      <c r="D33" s="255"/>
      <c r="E33" s="14" t="s">
        <v>20</v>
      </c>
      <c r="F33" s="15">
        <f>SUM(F36:F42)</f>
        <v>21</v>
      </c>
      <c r="G33" s="15">
        <f>SUM(G36:G42)</f>
        <v>0</v>
      </c>
      <c r="H33" s="47"/>
      <c r="I33" s="48"/>
      <c r="J33" s="48"/>
      <c r="K33" s="48"/>
      <c r="L33" s="48"/>
    </row>
    <row r="34" spans="1:12" s="17" customFormat="1" ht="15.75">
      <c r="A34" s="255"/>
      <c r="B34" s="255"/>
      <c r="C34" s="255"/>
      <c r="D34" s="255"/>
      <c r="E34" s="14" t="s">
        <v>21</v>
      </c>
      <c r="F34" s="18">
        <f>F33/100</f>
        <v>0.21</v>
      </c>
      <c r="G34" s="18">
        <f>G33/100</f>
        <v>0</v>
      </c>
      <c r="H34" s="34"/>
      <c r="I34" s="16"/>
      <c r="J34" s="16"/>
      <c r="K34" s="16"/>
      <c r="L34" s="16"/>
    </row>
    <row r="35" spans="1:12" s="40" customFormat="1" ht="31.5">
      <c r="A35" s="50" t="s">
        <v>22</v>
      </c>
      <c r="B35" s="50" t="s">
        <v>23</v>
      </c>
      <c r="C35" s="51" t="s">
        <v>43</v>
      </c>
      <c r="D35" s="52"/>
      <c r="E35" s="51" t="s">
        <v>26</v>
      </c>
      <c r="F35" s="22" t="s">
        <v>27</v>
      </c>
      <c r="G35" s="22" t="s">
        <v>28</v>
      </c>
      <c r="H35" s="23" t="s">
        <v>29</v>
      </c>
      <c r="I35" s="39"/>
      <c r="J35" s="39"/>
      <c r="K35" s="39"/>
      <c r="L35" s="39"/>
    </row>
    <row r="36" spans="1:12" s="43" customFormat="1" ht="283.5">
      <c r="A36" s="24">
        <v>1</v>
      </c>
      <c r="B36" s="53" t="s">
        <v>89</v>
      </c>
      <c r="C36" s="53" t="s">
        <v>90</v>
      </c>
      <c r="D36" s="54" t="s">
        <v>91</v>
      </c>
      <c r="E36" s="53" t="s">
        <v>92</v>
      </c>
      <c r="F36" s="28">
        <v>3</v>
      </c>
      <c r="G36" s="28"/>
      <c r="H36" s="26"/>
      <c r="I36" s="42"/>
      <c r="J36" s="42"/>
      <c r="K36" s="42"/>
      <c r="L36" s="42"/>
    </row>
    <row r="37" spans="1:12" s="43" customFormat="1" ht="120" customHeight="1">
      <c r="A37" s="24">
        <v>2</v>
      </c>
      <c r="B37" s="53" t="s">
        <v>93</v>
      </c>
      <c r="C37" s="53" t="s">
        <v>94</v>
      </c>
      <c r="D37" s="54" t="s">
        <v>95</v>
      </c>
      <c r="E37" s="53" t="s">
        <v>96</v>
      </c>
      <c r="F37" s="28">
        <v>3</v>
      </c>
      <c r="G37" s="28"/>
      <c r="H37" s="26"/>
      <c r="I37" s="42"/>
      <c r="J37" s="42"/>
      <c r="K37" s="42"/>
      <c r="L37" s="42"/>
    </row>
    <row r="38" spans="1:12" s="43" customFormat="1" ht="126">
      <c r="A38" s="24">
        <v>3</v>
      </c>
      <c r="B38" s="53" t="s">
        <v>97</v>
      </c>
      <c r="C38" s="53" t="s">
        <v>98</v>
      </c>
      <c r="D38" s="54" t="s">
        <v>99</v>
      </c>
      <c r="E38" s="53" t="s">
        <v>100</v>
      </c>
      <c r="F38" s="28">
        <v>3</v>
      </c>
      <c r="G38" s="28"/>
      <c r="H38" s="26"/>
      <c r="I38" s="42"/>
      <c r="J38" s="42"/>
      <c r="K38" s="42"/>
      <c r="L38" s="42"/>
    </row>
    <row r="39" spans="1:12" s="43" customFormat="1" ht="145.5" customHeight="1">
      <c r="A39" s="24">
        <v>4</v>
      </c>
      <c r="B39" s="53" t="s">
        <v>101</v>
      </c>
      <c r="C39" s="53" t="s">
        <v>102</v>
      </c>
      <c r="D39" s="54" t="s">
        <v>103</v>
      </c>
      <c r="E39" s="53" t="s">
        <v>104</v>
      </c>
      <c r="F39" s="28">
        <v>3</v>
      </c>
      <c r="G39" s="28"/>
      <c r="H39" s="26"/>
      <c r="I39" s="42"/>
      <c r="J39" s="42"/>
      <c r="K39" s="42"/>
      <c r="L39" s="42"/>
    </row>
    <row r="40" spans="1:12" s="43" customFormat="1" ht="148.5" customHeight="1">
      <c r="A40" s="24">
        <v>5</v>
      </c>
      <c r="B40" s="53" t="s">
        <v>105</v>
      </c>
      <c r="C40" s="53" t="s">
        <v>106</v>
      </c>
      <c r="D40" s="54" t="s">
        <v>107</v>
      </c>
      <c r="E40" s="53" t="s">
        <v>108</v>
      </c>
      <c r="F40" s="28">
        <v>3</v>
      </c>
      <c r="G40" s="28"/>
      <c r="H40" s="26"/>
      <c r="I40" s="42"/>
      <c r="J40" s="42"/>
      <c r="K40" s="42"/>
      <c r="L40" s="42"/>
    </row>
    <row r="41" spans="1:12" s="43" customFormat="1" ht="182.25" customHeight="1">
      <c r="A41" s="24">
        <v>6</v>
      </c>
      <c r="B41" s="53" t="s">
        <v>109</v>
      </c>
      <c r="C41" s="53" t="s">
        <v>110</v>
      </c>
      <c r="D41" s="54" t="s">
        <v>111</v>
      </c>
      <c r="E41" s="53" t="s">
        <v>112</v>
      </c>
      <c r="F41" s="28">
        <v>3</v>
      </c>
      <c r="G41" s="28"/>
      <c r="H41" s="26"/>
      <c r="I41" s="42"/>
      <c r="J41" s="42"/>
      <c r="K41" s="42"/>
      <c r="L41" s="42"/>
    </row>
    <row r="42" spans="1:12" s="17" customFormat="1" ht="141.75">
      <c r="A42" s="24">
        <v>7</v>
      </c>
      <c r="B42" s="53" t="s">
        <v>113</v>
      </c>
      <c r="C42" s="53" t="s">
        <v>114</v>
      </c>
      <c r="D42" s="54" t="s">
        <v>115</v>
      </c>
      <c r="E42" s="53" t="s">
        <v>116</v>
      </c>
      <c r="F42" s="28">
        <v>3</v>
      </c>
      <c r="G42" s="28"/>
      <c r="H42" s="34"/>
      <c r="I42" s="16"/>
      <c r="J42" s="16"/>
      <c r="K42" s="16"/>
      <c r="L42" s="16"/>
    </row>
    <row r="43" spans="1:12" s="17" customFormat="1" ht="15.75">
      <c r="A43" s="255" t="s">
        <v>117</v>
      </c>
      <c r="B43" s="255"/>
      <c r="C43" s="255"/>
      <c r="D43" s="255"/>
      <c r="E43" s="14" t="s">
        <v>20</v>
      </c>
      <c r="F43" s="15">
        <f>SUM(F46:F55)</f>
        <v>30</v>
      </c>
      <c r="G43" s="15">
        <f>SUM(G47:G55)</f>
        <v>0</v>
      </c>
      <c r="H43" s="34"/>
      <c r="I43" s="16"/>
      <c r="J43" s="16"/>
      <c r="K43" s="16"/>
      <c r="L43" s="16"/>
    </row>
    <row r="44" spans="1:12" s="17" customFormat="1" ht="15.75">
      <c r="A44" s="255"/>
      <c r="B44" s="255"/>
      <c r="C44" s="255"/>
      <c r="D44" s="255"/>
      <c r="E44" s="14" t="s">
        <v>21</v>
      </c>
      <c r="F44" s="18">
        <f>F43/100</f>
        <v>0.3</v>
      </c>
      <c r="G44" s="18">
        <f>G43/100</f>
        <v>0</v>
      </c>
      <c r="H44" s="34"/>
      <c r="I44" s="16"/>
      <c r="J44" s="16"/>
      <c r="K44" s="16"/>
      <c r="L44" s="16"/>
    </row>
    <row r="45" spans="1:12" s="17" customFormat="1" ht="31.5">
      <c r="A45" s="50" t="s">
        <v>22</v>
      </c>
      <c r="B45" s="50" t="s">
        <v>23</v>
      </c>
      <c r="C45" s="51" t="s">
        <v>43</v>
      </c>
      <c r="D45" s="52"/>
      <c r="E45" s="51" t="s">
        <v>26</v>
      </c>
      <c r="F45" s="22" t="s">
        <v>27</v>
      </c>
      <c r="G45" s="22" t="s">
        <v>28</v>
      </c>
      <c r="H45" s="23" t="s">
        <v>29</v>
      </c>
      <c r="I45" s="16"/>
      <c r="J45" s="16"/>
      <c r="K45" s="16"/>
      <c r="L45" s="16"/>
    </row>
    <row r="46" spans="1:12" s="17" customFormat="1" ht="123.75" customHeight="1">
      <c r="A46" s="24">
        <v>1</v>
      </c>
      <c r="B46" s="55" t="s">
        <v>118</v>
      </c>
      <c r="C46" s="26" t="s">
        <v>119</v>
      </c>
      <c r="D46" s="27" t="s">
        <v>120</v>
      </c>
      <c r="E46" s="26" t="s">
        <v>121</v>
      </c>
      <c r="F46" s="28">
        <v>3</v>
      </c>
      <c r="G46" s="28"/>
      <c r="H46" s="56"/>
      <c r="I46" s="16"/>
      <c r="J46" s="16"/>
      <c r="K46" s="16"/>
      <c r="L46" s="16"/>
    </row>
    <row r="47" spans="1:12" s="17" customFormat="1" ht="183.75" customHeight="1">
      <c r="A47" s="24">
        <v>2</v>
      </c>
      <c r="B47" s="55" t="s">
        <v>122</v>
      </c>
      <c r="C47" s="26" t="s">
        <v>123</v>
      </c>
      <c r="D47" s="27" t="s">
        <v>124</v>
      </c>
      <c r="E47" s="26" t="s">
        <v>125</v>
      </c>
      <c r="F47" s="28">
        <v>3</v>
      </c>
      <c r="G47" s="28"/>
      <c r="H47" s="34"/>
      <c r="I47" s="16"/>
      <c r="J47" s="16"/>
      <c r="K47" s="16"/>
      <c r="L47" s="16"/>
    </row>
    <row r="48" spans="1:12" s="17" customFormat="1" ht="215.25" customHeight="1">
      <c r="A48" s="24">
        <v>3</v>
      </c>
      <c r="B48" s="55" t="s">
        <v>126</v>
      </c>
      <c r="C48" s="26" t="s">
        <v>127</v>
      </c>
      <c r="D48" s="27" t="s">
        <v>128</v>
      </c>
      <c r="E48" s="26" t="s">
        <v>100</v>
      </c>
      <c r="F48" s="28">
        <v>3</v>
      </c>
      <c r="G48" s="28"/>
      <c r="H48" s="34"/>
      <c r="I48" s="16"/>
      <c r="J48" s="16"/>
      <c r="K48" s="16"/>
      <c r="L48" s="16"/>
    </row>
    <row r="49" spans="1:12" s="17" customFormat="1" ht="126">
      <c r="A49" s="24">
        <v>4</v>
      </c>
      <c r="B49" s="55" t="s">
        <v>129</v>
      </c>
      <c r="C49" s="26" t="s">
        <v>130</v>
      </c>
      <c r="D49" s="27" t="s">
        <v>131</v>
      </c>
      <c r="E49" s="26" t="s">
        <v>132</v>
      </c>
      <c r="F49" s="28">
        <v>3</v>
      </c>
      <c r="G49" s="28"/>
      <c r="H49" s="34"/>
      <c r="I49" s="16"/>
      <c r="J49" s="16"/>
      <c r="K49" s="16"/>
      <c r="L49" s="16"/>
    </row>
    <row r="50" spans="1:12" s="17" customFormat="1" ht="189">
      <c r="A50" s="24">
        <v>5</v>
      </c>
      <c r="B50" s="55" t="s">
        <v>133</v>
      </c>
      <c r="C50" s="26" t="s">
        <v>134</v>
      </c>
      <c r="D50" s="27" t="s">
        <v>135</v>
      </c>
      <c r="E50" s="26" t="s">
        <v>136</v>
      </c>
      <c r="F50" s="28">
        <v>3</v>
      </c>
      <c r="G50" s="28"/>
      <c r="H50" s="34"/>
      <c r="I50" s="16"/>
      <c r="J50" s="16"/>
      <c r="K50" s="16"/>
      <c r="L50" s="16"/>
    </row>
    <row r="51" spans="1:12" s="17" customFormat="1" ht="173.25">
      <c r="A51" s="24">
        <v>6</v>
      </c>
      <c r="B51" s="55" t="s">
        <v>137</v>
      </c>
      <c r="C51" s="26" t="s">
        <v>138</v>
      </c>
      <c r="D51" s="27" t="s">
        <v>139</v>
      </c>
      <c r="E51" s="26" t="s">
        <v>140</v>
      </c>
      <c r="F51" s="28">
        <v>3</v>
      </c>
      <c r="G51" s="28"/>
      <c r="H51" s="34"/>
      <c r="I51" s="16"/>
      <c r="J51" s="16"/>
      <c r="K51" s="16"/>
      <c r="L51" s="16"/>
    </row>
    <row r="52" spans="1:12" s="17" customFormat="1" ht="126">
      <c r="A52" s="24">
        <v>7</v>
      </c>
      <c r="B52" s="55" t="s">
        <v>141</v>
      </c>
      <c r="C52" s="26" t="s">
        <v>142</v>
      </c>
      <c r="D52" s="27" t="s">
        <v>143</v>
      </c>
      <c r="E52" s="26" t="s">
        <v>144</v>
      </c>
      <c r="F52" s="28">
        <v>3</v>
      </c>
      <c r="G52" s="28"/>
      <c r="H52" s="34"/>
      <c r="I52" s="16"/>
      <c r="J52" s="16"/>
      <c r="K52" s="16"/>
      <c r="L52" s="16"/>
    </row>
    <row r="53" spans="1:12" s="17" customFormat="1" ht="173.25">
      <c r="A53" s="24">
        <v>8</v>
      </c>
      <c r="B53" s="55" t="s">
        <v>145</v>
      </c>
      <c r="C53" s="26" t="s">
        <v>146</v>
      </c>
      <c r="D53" s="27" t="s">
        <v>147</v>
      </c>
      <c r="E53" s="26" t="s">
        <v>148</v>
      </c>
      <c r="F53" s="28">
        <v>3</v>
      </c>
      <c r="G53" s="28"/>
      <c r="H53" s="56"/>
      <c r="I53" s="16"/>
      <c r="J53" s="16"/>
      <c r="K53" s="16"/>
      <c r="L53" s="16"/>
    </row>
    <row r="54" spans="1:12" s="17" customFormat="1" ht="126">
      <c r="A54" s="24">
        <v>9</v>
      </c>
      <c r="B54" s="55" t="s">
        <v>149</v>
      </c>
      <c r="C54" s="26" t="s">
        <v>150</v>
      </c>
      <c r="D54" s="27" t="s">
        <v>151</v>
      </c>
      <c r="E54" s="26" t="s">
        <v>152</v>
      </c>
      <c r="F54" s="28">
        <v>3</v>
      </c>
      <c r="G54" s="28"/>
      <c r="H54" s="56"/>
      <c r="I54" s="16"/>
      <c r="J54" s="16"/>
      <c r="K54" s="16"/>
      <c r="L54" s="16"/>
    </row>
    <row r="55" spans="1:12" s="17" customFormat="1" ht="94.5">
      <c r="A55" s="24">
        <v>10</v>
      </c>
      <c r="B55" s="55" t="s">
        <v>153</v>
      </c>
      <c r="C55" s="26" t="s">
        <v>154</v>
      </c>
      <c r="D55" s="27" t="s">
        <v>155</v>
      </c>
      <c r="E55" s="26" t="s">
        <v>156</v>
      </c>
      <c r="F55" s="28">
        <v>3</v>
      </c>
      <c r="G55" s="28"/>
      <c r="H55" s="34"/>
      <c r="I55" s="16"/>
      <c r="J55" s="16"/>
      <c r="K55" s="16"/>
      <c r="L55" s="16"/>
    </row>
    <row r="56" spans="1:12" s="49" customFormat="1" ht="15.75">
      <c r="A56" s="255" t="s">
        <v>157</v>
      </c>
      <c r="B56" s="255"/>
      <c r="C56" s="255"/>
      <c r="D56" s="255"/>
      <c r="E56" s="14" t="s">
        <v>20</v>
      </c>
      <c r="F56" s="15">
        <f>SUM(F59:F65)</f>
        <v>21</v>
      </c>
      <c r="G56" s="15">
        <f>SUM(G59:G65)</f>
        <v>0</v>
      </c>
      <c r="H56" s="47"/>
      <c r="I56" s="48"/>
      <c r="J56" s="48"/>
      <c r="K56" s="48"/>
      <c r="L56" s="48"/>
    </row>
    <row r="57" spans="1:12" s="17" customFormat="1" ht="15.75">
      <c r="A57" s="255"/>
      <c r="B57" s="255"/>
      <c r="C57" s="255"/>
      <c r="D57" s="255"/>
      <c r="E57" s="14" t="s">
        <v>21</v>
      </c>
      <c r="F57" s="18">
        <f>F56/100</f>
        <v>0.21</v>
      </c>
      <c r="G57" s="18">
        <f>G56/100</f>
        <v>0</v>
      </c>
      <c r="H57" s="34"/>
      <c r="I57" s="16"/>
      <c r="J57" s="16"/>
      <c r="K57" s="16"/>
      <c r="L57" s="16"/>
    </row>
    <row r="58" spans="1:12" s="17" customFormat="1" ht="31.5">
      <c r="A58" s="50" t="s">
        <v>22</v>
      </c>
      <c r="B58" s="50" t="s">
        <v>23</v>
      </c>
      <c r="C58" s="51" t="s">
        <v>43</v>
      </c>
      <c r="D58" s="52"/>
      <c r="E58" s="51" t="s">
        <v>26</v>
      </c>
      <c r="F58" s="22" t="s">
        <v>27</v>
      </c>
      <c r="G58" s="22" t="s">
        <v>28</v>
      </c>
      <c r="H58" s="23" t="s">
        <v>29</v>
      </c>
      <c r="I58" s="16"/>
      <c r="J58" s="16"/>
      <c r="K58" s="16"/>
      <c r="L58" s="16"/>
    </row>
    <row r="59" spans="1:12" ht="158.25" customHeight="1">
      <c r="A59" s="57">
        <v>1</v>
      </c>
      <c r="B59" s="58" t="s">
        <v>158</v>
      </c>
      <c r="C59" s="26" t="s">
        <v>159</v>
      </c>
      <c r="D59" s="27" t="s">
        <v>160</v>
      </c>
      <c r="E59" s="26" t="s">
        <v>161</v>
      </c>
      <c r="F59" s="59">
        <v>3</v>
      </c>
      <c r="G59" s="59"/>
      <c r="H59" s="60"/>
      <c r="I59" s="61"/>
      <c r="J59" s="61"/>
      <c r="K59" s="61"/>
      <c r="L59" s="61"/>
    </row>
    <row r="60" spans="1:12" ht="141.75">
      <c r="A60" s="57">
        <v>2</v>
      </c>
      <c r="B60" s="58" t="s">
        <v>30</v>
      </c>
      <c r="C60" s="26" t="s">
        <v>162</v>
      </c>
      <c r="D60" s="27" t="s">
        <v>163</v>
      </c>
      <c r="E60" s="26" t="s">
        <v>164</v>
      </c>
      <c r="F60" s="59">
        <v>3</v>
      </c>
      <c r="G60" s="59"/>
      <c r="H60" s="60"/>
      <c r="I60" s="61"/>
      <c r="J60" s="61"/>
      <c r="K60" s="61"/>
      <c r="L60" s="61"/>
    </row>
    <row r="61" spans="1:12" ht="157.5" customHeight="1">
      <c r="A61" s="57">
        <v>3</v>
      </c>
      <c r="B61" s="58" t="s">
        <v>38</v>
      </c>
      <c r="C61" s="26" t="s">
        <v>165</v>
      </c>
      <c r="D61" s="27" t="s">
        <v>166</v>
      </c>
      <c r="E61" s="26" t="s">
        <v>167</v>
      </c>
      <c r="F61" s="59">
        <v>3</v>
      </c>
      <c r="G61" s="59"/>
      <c r="H61" s="60"/>
      <c r="I61" s="61"/>
      <c r="J61" s="61"/>
      <c r="K61" s="61"/>
      <c r="L61" s="61"/>
    </row>
    <row r="62" spans="1:12" ht="243" customHeight="1">
      <c r="A62" s="57">
        <v>4</v>
      </c>
      <c r="B62" s="58" t="s">
        <v>168</v>
      </c>
      <c r="C62" s="26" t="s">
        <v>169</v>
      </c>
      <c r="D62" s="27" t="s">
        <v>170</v>
      </c>
      <c r="E62" s="26" t="s">
        <v>171</v>
      </c>
      <c r="F62" s="59">
        <v>3</v>
      </c>
      <c r="G62" s="59"/>
      <c r="H62" s="60"/>
      <c r="I62" s="61"/>
      <c r="J62" s="61"/>
      <c r="K62" s="61"/>
      <c r="L62" s="61"/>
    </row>
    <row r="63" spans="1:12" ht="173.25">
      <c r="A63" s="57">
        <v>5</v>
      </c>
      <c r="B63" s="58" t="s">
        <v>172</v>
      </c>
      <c r="C63" s="26" t="s">
        <v>173</v>
      </c>
      <c r="D63" s="27" t="s">
        <v>174</v>
      </c>
      <c r="E63" s="26" t="s">
        <v>175</v>
      </c>
      <c r="F63" s="59">
        <v>3</v>
      </c>
      <c r="G63" s="59"/>
      <c r="H63" s="62"/>
      <c r="I63" s="61"/>
      <c r="J63" s="61"/>
      <c r="K63" s="61"/>
      <c r="L63" s="61"/>
    </row>
    <row r="64" spans="1:12" ht="188.25" customHeight="1">
      <c r="A64" s="57">
        <v>6</v>
      </c>
      <c r="B64" s="58" t="s">
        <v>176</v>
      </c>
      <c r="C64" s="26" t="s">
        <v>177</v>
      </c>
      <c r="D64" s="27" t="s">
        <v>178</v>
      </c>
      <c r="E64" s="26" t="s">
        <v>179</v>
      </c>
      <c r="F64" s="59">
        <v>3</v>
      </c>
      <c r="G64" s="59"/>
      <c r="H64" s="62"/>
      <c r="I64" s="61"/>
      <c r="J64" s="61"/>
      <c r="K64" s="61"/>
      <c r="L64" s="61"/>
    </row>
    <row r="65" spans="1:12" ht="126">
      <c r="A65" s="57">
        <v>7</v>
      </c>
      <c r="B65" s="58" t="s">
        <v>180</v>
      </c>
      <c r="C65" s="26" t="s">
        <v>181</v>
      </c>
      <c r="D65" s="27" t="s">
        <v>182</v>
      </c>
      <c r="E65" s="26" t="s">
        <v>183</v>
      </c>
      <c r="F65" s="59">
        <v>3</v>
      </c>
      <c r="G65" s="59"/>
      <c r="H65" s="62"/>
      <c r="I65" s="61"/>
      <c r="J65" s="61"/>
      <c r="K65" s="61"/>
      <c r="L65" s="61"/>
    </row>
    <row r="66" spans="1:12" s="49" customFormat="1" ht="15.75">
      <c r="A66" s="255" t="s">
        <v>184</v>
      </c>
      <c r="B66" s="255"/>
      <c r="C66" s="255"/>
      <c r="D66" s="255"/>
      <c r="E66" s="14" t="s">
        <v>20</v>
      </c>
      <c r="F66" s="15">
        <f>SUM(F69:F72)</f>
        <v>9</v>
      </c>
      <c r="G66" s="15">
        <f>SUM(G69:G72)</f>
        <v>0</v>
      </c>
      <c r="H66" s="47"/>
      <c r="I66" s="48"/>
      <c r="J66" s="48"/>
      <c r="K66" s="48"/>
      <c r="L66" s="48"/>
    </row>
    <row r="67" spans="1:12" s="17" customFormat="1" ht="15.75">
      <c r="A67" s="255"/>
      <c r="B67" s="255"/>
      <c r="C67" s="255"/>
      <c r="D67" s="255"/>
      <c r="E67" s="14" t="s">
        <v>21</v>
      </c>
      <c r="F67" s="18">
        <f>F66/100</f>
        <v>0.09</v>
      </c>
      <c r="G67" s="18">
        <f>G66/100</f>
        <v>0</v>
      </c>
      <c r="H67" s="34"/>
      <c r="I67" s="16"/>
      <c r="J67" s="16"/>
      <c r="K67" s="16"/>
      <c r="L67" s="16"/>
    </row>
    <row r="68" spans="1:12" s="17" customFormat="1" ht="31.5">
      <c r="A68" s="50" t="s">
        <v>22</v>
      </c>
      <c r="B68" s="50" t="s">
        <v>23</v>
      </c>
      <c r="C68" s="51" t="s">
        <v>43</v>
      </c>
      <c r="D68" s="52"/>
      <c r="E68" s="51" t="s">
        <v>26</v>
      </c>
      <c r="F68" s="22" t="s">
        <v>27</v>
      </c>
      <c r="G68" s="22" t="s">
        <v>28</v>
      </c>
      <c r="H68" s="23" t="s">
        <v>29</v>
      </c>
      <c r="I68" s="16"/>
      <c r="J68" s="16"/>
      <c r="K68" s="16"/>
      <c r="L68" s="16"/>
    </row>
    <row r="69" spans="1:12" ht="208.5" customHeight="1">
      <c r="A69" s="57">
        <v>1</v>
      </c>
      <c r="B69" s="58" t="s">
        <v>30</v>
      </c>
      <c r="C69" s="30" t="s">
        <v>185</v>
      </c>
      <c r="D69" s="31" t="s">
        <v>186</v>
      </c>
      <c r="E69" s="30" t="s">
        <v>187</v>
      </c>
      <c r="F69" s="33">
        <v>3</v>
      </c>
      <c r="G69" s="33"/>
      <c r="H69" s="63"/>
    </row>
    <row r="70" spans="1:12" ht="203.25" customHeight="1">
      <c r="A70" s="57">
        <v>2</v>
      </c>
      <c r="B70" s="58" t="s">
        <v>188</v>
      </c>
      <c r="C70" s="30" t="s">
        <v>189</v>
      </c>
      <c r="D70" s="31" t="s">
        <v>190</v>
      </c>
      <c r="E70" s="30" t="s">
        <v>191</v>
      </c>
      <c r="F70" s="33">
        <v>3</v>
      </c>
      <c r="G70" s="33"/>
      <c r="H70" s="63"/>
    </row>
    <row r="71" spans="1:12" ht="180.75" customHeight="1">
      <c r="A71" s="57">
        <v>3</v>
      </c>
      <c r="B71" s="55" t="s">
        <v>34</v>
      </c>
      <c r="C71" s="30" t="s">
        <v>35</v>
      </c>
      <c r="D71" s="31" t="s">
        <v>36</v>
      </c>
      <c r="E71" s="32" t="s">
        <v>37</v>
      </c>
      <c r="F71" s="33">
        <v>3</v>
      </c>
      <c r="G71" s="33"/>
      <c r="H71" s="64"/>
    </row>
    <row r="72" spans="1:12" ht="25.5">
      <c r="A72" s="250" t="s">
        <v>192</v>
      </c>
      <c r="B72" s="250"/>
      <c r="C72" s="250"/>
      <c r="D72" s="250"/>
      <c r="E72" s="250"/>
      <c r="F72" s="250"/>
      <c r="G72" s="250"/>
      <c r="H72" s="250"/>
    </row>
    <row r="73" spans="1:12" ht="15.75">
      <c r="A73" s="234" t="s">
        <v>193</v>
      </c>
      <c r="B73" s="251" t="s">
        <v>194</v>
      </c>
      <c r="C73" s="252"/>
      <c r="D73" s="231" t="s">
        <v>195</v>
      </c>
      <c r="E73" s="234" t="s">
        <v>196</v>
      </c>
      <c r="F73" s="234"/>
      <c r="G73" s="234"/>
      <c r="H73" s="234"/>
    </row>
    <row r="74" spans="1:12" ht="15.75">
      <c r="A74" s="234"/>
      <c r="B74" s="253"/>
      <c r="C74" s="254"/>
      <c r="D74" s="231"/>
      <c r="E74" s="65" t="s">
        <v>197</v>
      </c>
      <c r="F74" s="234" t="s">
        <v>198</v>
      </c>
      <c r="G74" s="234"/>
      <c r="H74" s="65" t="s">
        <v>21</v>
      </c>
    </row>
    <row r="75" spans="1:12" ht="15.75">
      <c r="A75" s="66">
        <v>1</v>
      </c>
      <c r="B75" s="248" t="s">
        <v>199</v>
      </c>
      <c r="C75" s="249"/>
      <c r="D75" s="67">
        <v>3</v>
      </c>
      <c r="E75" s="68">
        <f>F10</f>
        <v>9</v>
      </c>
      <c r="F75" s="229">
        <f>G10</f>
        <v>0</v>
      </c>
      <c r="G75" s="230"/>
      <c r="H75" s="69">
        <f>F75/100</f>
        <v>0</v>
      </c>
    </row>
    <row r="76" spans="1:12" ht="15.75">
      <c r="A76" s="66">
        <v>2</v>
      </c>
      <c r="B76" s="245" t="s">
        <v>200</v>
      </c>
      <c r="C76" s="246"/>
      <c r="D76" s="67">
        <v>7</v>
      </c>
      <c r="E76" s="68" t="s">
        <v>202</v>
      </c>
      <c r="F76" s="229">
        <f>G26</f>
        <v>0</v>
      </c>
      <c r="G76" s="230"/>
      <c r="H76" s="69">
        <f t="shared" ref="H76:H81" si="0">F76/100</f>
        <v>0</v>
      </c>
    </row>
    <row r="77" spans="1:12" ht="15.75">
      <c r="A77" s="66">
        <v>3</v>
      </c>
      <c r="B77" s="245" t="s">
        <v>201</v>
      </c>
      <c r="C77" s="246"/>
      <c r="D77" s="67">
        <v>4</v>
      </c>
      <c r="E77" s="68">
        <f>F26</f>
        <v>10</v>
      </c>
      <c r="F77" s="229">
        <f>G26</f>
        <v>0</v>
      </c>
      <c r="G77" s="230"/>
      <c r="H77" s="69">
        <f t="shared" si="0"/>
        <v>0</v>
      </c>
    </row>
    <row r="78" spans="1:12" ht="15.75">
      <c r="A78" s="70">
        <v>4</v>
      </c>
      <c r="B78" s="245" t="s">
        <v>203</v>
      </c>
      <c r="C78" s="246"/>
      <c r="D78" s="67">
        <v>7</v>
      </c>
      <c r="E78" s="68">
        <f>F33</f>
        <v>21</v>
      </c>
      <c r="F78" s="229">
        <f>G33</f>
        <v>0</v>
      </c>
      <c r="G78" s="230"/>
      <c r="H78" s="69">
        <f t="shared" si="0"/>
        <v>0</v>
      </c>
    </row>
    <row r="79" spans="1:12" ht="15.75">
      <c r="A79" s="71">
        <v>5</v>
      </c>
      <c r="B79" s="247" t="s">
        <v>204</v>
      </c>
      <c r="C79" s="246"/>
      <c r="D79" s="67">
        <v>10</v>
      </c>
      <c r="E79" s="68">
        <f>F43</f>
        <v>30</v>
      </c>
      <c r="F79" s="229">
        <f>G43</f>
        <v>0</v>
      </c>
      <c r="G79" s="230"/>
      <c r="H79" s="69">
        <f t="shared" si="0"/>
        <v>0</v>
      </c>
    </row>
    <row r="80" spans="1:12" ht="15.75">
      <c r="A80" s="66">
        <v>6</v>
      </c>
      <c r="B80" s="245" t="s">
        <v>180</v>
      </c>
      <c r="C80" s="246"/>
      <c r="D80" s="67">
        <v>7</v>
      </c>
      <c r="E80" s="68">
        <f>F56</f>
        <v>21</v>
      </c>
      <c r="F80" s="229">
        <f>G56</f>
        <v>0</v>
      </c>
      <c r="G80" s="230"/>
      <c r="H80" s="69">
        <f t="shared" si="0"/>
        <v>0</v>
      </c>
    </row>
    <row r="81" spans="1:8" ht="15.75">
      <c r="A81" s="70">
        <v>7</v>
      </c>
      <c r="B81" s="227" t="s">
        <v>205</v>
      </c>
      <c r="C81" s="228"/>
      <c r="D81" s="72">
        <v>3</v>
      </c>
      <c r="E81" s="68">
        <f>F66</f>
        <v>9</v>
      </c>
      <c r="F81" s="229">
        <f>G66</f>
        <v>0</v>
      </c>
      <c r="G81" s="230"/>
      <c r="H81" s="69">
        <f t="shared" si="0"/>
        <v>0</v>
      </c>
    </row>
    <row r="82" spans="1:8" ht="15.75">
      <c r="A82" s="231" t="s">
        <v>206</v>
      </c>
      <c r="B82" s="232"/>
      <c r="C82" s="233"/>
      <c r="D82" s="73">
        <f>SUM(D75:D81)</f>
        <v>41</v>
      </c>
      <c r="E82" s="65">
        <f>SUM(E75:E81)</f>
        <v>100</v>
      </c>
      <c r="F82" s="234">
        <f>SUM(F75:G81)</f>
        <v>0</v>
      </c>
      <c r="G82" s="234"/>
      <c r="H82" s="74">
        <f>SUM(H75:H81)</f>
        <v>0</v>
      </c>
    </row>
    <row r="83" spans="1:8" ht="40.5" customHeight="1">
      <c r="A83" s="226" t="s">
        <v>207</v>
      </c>
      <c r="B83" s="226"/>
      <c r="C83" s="226"/>
      <c r="D83" s="235" t="s">
        <v>208</v>
      </c>
      <c r="E83" s="235"/>
      <c r="F83" s="236" t="s">
        <v>209</v>
      </c>
      <c r="G83" s="237"/>
      <c r="H83" s="238"/>
    </row>
    <row r="84" spans="1:8" ht="21">
      <c r="A84" s="75" t="s">
        <v>210</v>
      </c>
      <c r="B84" s="76" t="s">
        <v>211</v>
      </c>
      <c r="C84" s="77" t="s">
        <v>212</v>
      </c>
      <c r="D84" s="239"/>
      <c r="E84" s="239"/>
      <c r="F84" s="240"/>
      <c r="G84" s="240"/>
      <c r="H84" s="240"/>
    </row>
    <row r="85" spans="1:8" ht="31.5">
      <c r="A85" s="75" t="s">
        <v>213</v>
      </c>
      <c r="B85" s="78" t="s">
        <v>214</v>
      </c>
      <c r="C85" s="77" t="s">
        <v>215</v>
      </c>
      <c r="D85" s="239"/>
      <c r="E85" s="239"/>
      <c r="F85" s="240"/>
      <c r="G85" s="240"/>
      <c r="H85" s="240"/>
    </row>
    <row r="86" spans="1:8" ht="15.75">
      <c r="A86" s="75" t="s">
        <v>216</v>
      </c>
      <c r="B86" s="78" t="s">
        <v>217</v>
      </c>
      <c r="C86" s="77" t="s">
        <v>218</v>
      </c>
      <c r="D86" s="241"/>
      <c r="E86" s="242"/>
      <c r="F86" s="240"/>
      <c r="G86" s="240"/>
      <c r="H86" s="240"/>
    </row>
    <row r="87" spans="1:8" ht="15.75">
      <c r="A87" s="75" t="s">
        <v>219</v>
      </c>
      <c r="B87" s="78" t="s">
        <v>220</v>
      </c>
      <c r="C87" s="77" t="s">
        <v>221</v>
      </c>
      <c r="D87" s="243"/>
      <c r="E87" s="244"/>
      <c r="F87" s="240"/>
      <c r="G87" s="240"/>
      <c r="H87" s="240"/>
    </row>
    <row r="88" spans="1:8" ht="15.75">
      <c r="A88" s="75" t="s">
        <v>222</v>
      </c>
      <c r="B88" s="78" t="s">
        <v>223</v>
      </c>
      <c r="C88" s="77" t="s">
        <v>224</v>
      </c>
      <c r="D88" s="239"/>
      <c r="E88" s="239"/>
      <c r="F88" s="240"/>
      <c r="G88" s="240"/>
      <c r="H88" s="240"/>
    </row>
    <row r="89" spans="1:8" ht="15.75">
      <c r="A89" s="226" t="s">
        <v>225</v>
      </c>
      <c r="B89" s="226"/>
      <c r="C89" s="79" t="s">
        <v>226</v>
      </c>
      <c r="D89" s="79" t="s">
        <v>226</v>
      </c>
      <c r="E89" s="79" t="s">
        <v>226</v>
      </c>
      <c r="F89" s="226" t="s">
        <v>227</v>
      </c>
      <c r="G89" s="226"/>
      <c r="H89" s="226"/>
    </row>
    <row r="90" spans="1:8" ht="15.75">
      <c r="A90" s="222" t="s">
        <v>228</v>
      </c>
      <c r="B90" s="222"/>
      <c r="C90" s="80"/>
      <c r="D90" s="81"/>
      <c r="E90" s="82"/>
      <c r="F90" s="223"/>
      <c r="G90" s="224"/>
      <c r="H90" s="225"/>
    </row>
    <row r="91" spans="1:8" ht="15.75">
      <c r="A91" s="214" t="s">
        <v>229</v>
      </c>
      <c r="B91" s="214"/>
      <c r="C91" s="83"/>
      <c r="D91" s="84"/>
      <c r="E91" s="85"/>
      <c r="F91" s="215"/>
      <c r="G91" s="216"/>
      <c r="H91" s="217"/>
    </row>
    <row r="92" spans="1:8" ht="15.75">
      <c r="A92" s="214" t="s">
        <v>230</v>
      </c>
      <c r="B92" s="214"/>
      <c r="C92" s="83"/>
      <c r="D92" s="84"/>
      <c r="E92" s="85"/>
      <c r="F92" s="215"/>
      <c r="G92" s="216"/>
      <c r="H92" s="217"/>
    </row>
    <row r="93" spans="1:8" ht="15.75">
      <c r="A93" s="214" t="s">
        <v>231</v>
      </c>
      <c r="B93" s="214"/>
      <c r="C93" s="83"/>
      <c r="D93" s="84"/>
      <c r="E93" s="85"/>
      <c r="F93" s="215"/>
      <c r="G93" s="216"/>
      <c r="H93" s="217"/>
    </row>
    <row r="94" spans="1:8" ht="15.75">
      <c r="A94" s="214" t="s">
        <v>232</v>
      </c>
      <c r="B94" s="214"/>
      <c r="C94" s="83"/>
      <c r="D94" s="84"/>
      <c r="E94" s="85"/>
      <c r="F94" s="215"/>
      <c r="G94" s="216"/>
      <c r="H94" s="217"/>
    </row>
    <row r="95" spans="1:8" ht="15.75">
      <c r="A95" s="218" t="s">
        <v>233</v>
      </c>
      <c r="B95" s="218"/>
      <c r="C95" s="86"/>
      <c r="D95" s="87"/>
      <c r="E95" s="88"/>
      <c r="F95" s="219"/>
      <c r="G95" s="220"/>
      <c r="H95" s="221"/>
    </row>
    <row r="96" spans="1:8" ht="15.75">
      <c r="A96" s="213" t="s">
        <v>234</v>
      </c>
      <c r="B96" s="213"/>
      <c r="C96" s="89" t="s">
        <v>235</v>
      </c>
      <c r="D96" s="89" t="s">
        <v>236</v>
      </c>
      <c r="E96" s="89" t="s">
        <v>237</v>
      </c>
      <c r="F96" s="89" t="s">
        <v>238</v>
      </c>
      <c r="G96" s="90"/>
      <c r="H96" s="89" t="s">
        <v>239</v>
      </c>
    </row>
  </sheetData>
  <mergeCells count="69">
    <mergeCell ref="A1:B3"/>
    <mergeCell ref="C1:E2"/>
    <mergeCell ref="F1:G1"/>
    <mergeCell ref="F2:G2"/>
    <mergeCell ref="C3:D3"/>
    <mergeCell ref="F3:G3"/>
    <mergeCell ref="A4:B4"/>
    <mergeCell ref="C4:D4"/>
    <mergeCell ref="F4:H4"/>
    <mergeCell ref="A5:B5"/>
    <mergeCell ref="C5:D5"/>
    <mergeCell ref="F5:G5"/>
    <mergeCell ref="A66:D67"/>
    <mergeCell ref="A6:B6"/>
    <mergeCell ref="F6:H6"/>
    <mergeCell ref="A7:B7"/>
    <mergeCell ref="F7:H7"/>
    <mergeCell ref="A9:H9"/>
    <mergeCell ref="A10:D11"/>
    <mergeCell ref="A16:D17"/>
    <mergeCell ref="A26:D27"/>
    <mergeCell ref="A33:D34"/>
    <mergeCell ref="A43:D44"/>
    <mergeCell ref="A56:D57"/>
    <mergeCell ref="A72:H72"/>
    <mergeCell ref="A73:A74"/>
    <mergeCell ref="B73:C74"/>
    <mergeCell ref="D73:D74"/>
    <mergeCell ref="E73:H73"/>
    <mergeCell ref="F74:G74"/>
    <mergeCell ref="B75:C75"/>
    <mergeCell ref="F75:G75"/>
    <mergeCell ref="B76:C76"/>
    <mergeCell ref="F76:G76"/>
    <mergeCell ref="B77:C77"/>
    <mergeCell ref="F77:G77"/>
    <mergeCell ref="B78:C78"/>
    <mergeCell ref="F78:G78"/>
    <mergeCell ref="B79:C79"/>
    <mergeCell ref="F79:G79"/>
    <mergeCell ref="B80:C80"/>
    <mergeCell ref="F80:G80"/>
    <mergeCell ref="A89:B89"/>
    <mergeCell ref="F89:H89"/>
    <mergeCell ref="B81:C81"/>
    <mergeCell ref="F81:G81"/>
    <mergeCell ref="A82:C82"/>
    <mergeCell ref="F82:G82"/>
    <mergeCell ref="A83:C83"/>
    <mergeCell ref="D83:E83"/>
    <mergeCell ref="F83:H83"/>
    <mergeCell ref="D84:E84"/>
    <mergeCell ref="F84:H88"/>
    <mergeCell ref="D85:E85"/>
    <mergeCell ref="D86:E87"/>
    <mergeCell ref="D88:E88"/>
    <mergeCell ref="A90:B90"/>
    <mergeCell ref="F90:H90"/>
    <mergeCell ref="A91:B91"/>
    <mergeCell ref="F91:H91"/>
    <mergeCell ref="A92:B92"/>
    <mergeCell ref="F92:H92"/>
    <mergeCell ref="A96:B96"/>
    <mergeCell ref="A93:B93"/>
    <mergeCell ref="F93:H93"/>
    <mergeCell ref="A94:B94"/>
    <mergeCell ref="F94:H94"/>
    <mergeCell ref="A95:B95"/>
    <mergeCell ref="F95:H95"/>
  </mergeCells>
  <printOptions horizontalCentered="1"/>
  <pageMargins left="0.5" right="0.5" top="0.5" bottom="0" header="0.5" footer="0"/>
  <pageSetup paperSize="9" scale="45" orientation="landscape" r:id="rId1"/>
  <rowBreaks count="6" manualBreakCount="6">
    <brk id="15" max="7" man="1"/>
    <brk id="23" max="7" man="1"/>
    <brk id="32" max="7" man="1"/>
    <brk id="42" max="7" man="1"/>
    <brk id="55" max="7" man="1"/>
    <brk id="65" max="7"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4</xdr:col>
                    <xdr:colOff>66675</xdr:colOff>
                    <xdr:row>2</xdr:row>
                    <xdr:rowOff>209550</xdr:rowOff>
                  </from>
                  <to>
                    <xdr:col>4</xdr:col>
                    <xdr:colOff>552450</xdr:colOff>
                    <xdr:row>2</xdr:row>
                    <xdr:rowOff>333375</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95250</xdr:colOff>
                    <xdr:row>4</xdr:row>
                    <xdr:rowOff>190500</xdr:rowOff>
                  </from>
                  <to>
                    <xdr:col>5</xdr:col>
                    <xdr:colOff>590550</xdr:colOff>
                    <xdr:row>4</xdr:row>
                    <xdr:rowOff>457200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7</xdr:col>
                    <xdr:colOff>28575</xdr:colOff>
                    <xdr:row>4</xdr:row>
                    <xdr:rowOff>28575</xdr:rowOff>
                  </from>
                  <to>
                    <xdr:col>7</xdr:col>
                    <xdr:colOff>523875</xdr:colOff>
                    <xdr:row>4</xdr:row>
                    <xdr:rowOff>257175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Result Report</vt:lpstr>
      <vt:lpstr>Non-Conforming Item</vt:lpstr>
      <vt:lpstr>Checksheet</vt:lpstr>
      <vt:lpstr>Checksheet!Print_Area</vt:lpstr>
      <vt:lpstr>Cover.!Print_Area</vt:lpstr>
      <vt:lpstr>'Non-Conforming Item'!Print_Area</vt:lpstr>
      <vt:lpstr>'Result Report'!Print_Area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Dang Hoang Hoa</dc:creator>
  <cp:lastModifiedBy>VPSX-QC</cp:lastModifiedBy>
  <cp:lastPrinted>2019-08-13T03:37:00Z</cp:lastPrinted>
  <dcterms:created xsi:type="dcterms:W3CDTF">2019-07-25T09:21:11Z</dcterms:created>
  <dcterms:modified xsi:type="dcterms:W3CDTF">2022-04-17T10:47:28Z</dcterms:modified>
</cp:coreProperties>
</file>