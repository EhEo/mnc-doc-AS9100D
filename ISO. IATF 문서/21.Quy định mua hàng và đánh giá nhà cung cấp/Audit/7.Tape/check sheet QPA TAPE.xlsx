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Audit\7.Tape\"/>
    </mc:Choice>
  </mc:AlternateContent>
  <bookViews>
    <workbookView xWindow="0" yWindow="60" windowWidth="20730" windowHeight="11700" activeTab="3"/>
  </bookViews>
  <sheets>
    <sheet name="Cover." sheetId="14" r:id="rId1"/>
    <sheet name="Result Report" sheetId="15" r:id="rId2"/>
    <sheet name="Non-Conforming Item" sheetId="16" r:id="rId3"/>
    <sheet name="Check sheet" sheetId="1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 localSheetId="3">#REF!</definedName>
    <definedName name="Assessment_Types" localSheetId="0">#REF!</definedName>
    <definedName name="Assessment_Types" localSheetId="2">#REF!</definedName>
    <definedName name="Assessment_Types" localSheetId="1">#REF!</definedName>
    <definedName name="Assessment_Types">#REF!</definedName>
    <definedName name="Calqty" localSheetId="3">#REF!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[6]Sheet7!$A$19:$A$20</definedName>
    <definedName name="code" localSheetId="3">#REF!</definedName>
    <definedName name="code" localSheetId="0">#REF!</definedName>
    <definedName name="code" localSheetId="2">#REF!</definedName>
    <definedName name="code" localSheetId="1">#REF!</definedName>
    <definedName name="code">#REF!</definedName>
    <definedName name="CODENO" localSheetId="2">'[7]BOM LIST 정리'!$D$7:$D$48</definedName>
    <definedName name="CODENO">'[8]BOM LIST 정리'!$D$7:$D$48</definedName>
    <definedName name="CONTRACT" localSheetId="3">#REF!</definedName>
    <definedName name="CONTRACT" localSheetId="0">#REF!</definedName>
    <definedName name="CONTRACT" localSheetId="2">#REF!</definedName>
    <definedName name="CONTRACT" localSheetId="1">#REF!</definedName>
    <definedName name="CONTRACT">#REF!</definedName>
    <definedName name="_xlnm.Database" localSheetId="3">#REF!</definedName>
    <definedName name="_xlnm.Database" localSheetId="0">#REF!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[9]!it</definedName>
    <definedName name="it">[10]!it</definedName>
    <definedName name="jan" localSheetId="3">#REF!</definedName>
    <definedName name="jan" localSheetId="0">#REF!</definedName>
    <definedName name="jan" localSheetId="2">#REF!</definedName>
    <definedName name="jan" localSheetId="1">#REF!</definedName>
    <definedName name="jan">#REF!</definedName>
    <definedName name="lll" localSheetId="2">[9]!lll</definedName>
    <definedName name="lll">[10]!lll</definedName>
    <definedName name="MRP" localSheetId="3">#REF!</definedName>
    <definedName name="MRP" localSheetId="0">#REF!</definedName>
    <definedName name="MRP" localSheetId="2">#REF!</definedName>
    <definedName name="MRP" localSheetId="1">#REF!</definedName>
    <definedName name="MRP">#REF!</definedName>
    <definedName name="NORM" localSheetId="2">[9]!NORM</definedName>
    <definedName name="NORM">[10]!NORM</definedName>
    <definedName name="_xlnm.Print_Area" localSheetId="3">'Check sheet'!$A$1:$H$65</definedName>
    <definedName name="_xlnm.Print_Area" localSheetId="0">Cover.!$A$1:$O$26</definedName>
    <definedName name="_xlnm.Print_Area" localSheetId="2">'Non-Conforming Item'!$A$1:$N$37</definedName>
    <definedName name="_xlnm.Print_Area" localSheetId="1">'Result Report'!$B$1:$S$27</definedName>
    <definedName name="purpose">[11]Notes!$B$4:$B$13</definedName>
    <definedName name="qqqq" localSheetId="3">#REF!</definedName>
    <definedName name="qqqq" localSheetId="0">#REF!</definedName>
    <definedName name="qqqq" localSheetId="2">#REF!</definedName>
    <definedName name="qqqq" localSheetId="1">#REF!</definedName>
    <definedName name="qqqq">#REF!</definedName>
    <definedName name="qty" localSheetId="3">#REF!</definedName>
    <definedName name="qty" localSheetId="0">#REF!</definedName>
    <definedName name="qty" localSheetId="2">#REF!</definedName>
    <definedName name="qty" localSheetId="1">#REF!</definedName>
    <definedName name="qty">#REF!</definedName>
    <definedName name="Question_Scores" localSheetId="0">'[12]Data Summary - Do Not Use'!$E$10:$E$12</definedName>
    <definedName name="Question_Scores" localSheetId="2">'[12]Data Summary - Do Not Use'!$E$10:$E$12</definedName>
    <definedName name="Question_Scores" localSheetId="1">'[12]Data Summary - Do Not Use'!$E$10:$E$12</definedName>
    <definedName name="Question_Scores">'[13]Data Summary - Do Not Use'!$E$10:$E$12</definedName>
    <definedName name="scores" localSheetId="0">[5]Sheet7!$A$1:$A$5</definedName>
    <definedName name="scores" localSheetId="2">[5]Sheet7!$A$1:$A$5</definedName>
    <definedName name="scores" localSheetId="1">[5]Sheet7!$A$1:$A$5</definedName>
    <definedName name="scores">[6]Sheet7!$A$1:$A$5</definedName>
    <definedName name="scores3" localSheetId="0">[5]Sheet7!$I$1:$I$3</definedName>
    <definedName name="scores3" localSheetId="2">[5]Sheet7!$I$1:$I$3</definedName>
    <definedName name="scores3" localSheetId="1">[5]Sheet7!$I$1:$I$3</definedName>
    <definedName name="scores3">[6]Sheet7!$I$1:$I$3</definedName>
    <definedName name="SCORES4" localSheetId="0">[5]Sheet7!$K$1:$K$4</definedName>
    <definedName name="SCORES4" localSheetId="2">[5]Sheet7!$K$1:$K$4</definedName>
    <definedName name="SCORES4" localSheetId="1">[5]Sheet7!$K$1:$K$4</definedName>
    <definedName name="SCORES4">[6]Sheet7!$K$1:$K$4</definedName>
    <definedName name="scores5" localSheetId="0">[5]Sheet7!$M$1:$M$2</definedName>
    <definedName name="scores5" localSheetId="2">[5]Sheet7!$M$1:$M$2</definedName>
    <definedName name="scores5" localSheetId="1">[5]Sheet7!$M$1:$M$2</definedName>
    <definedName name="scores5">[6]Sheet7!$M$1:$M$2</definedName>
    <definedName name="scores6" localSheetId="0">[5]Sheet7!$A$9:$A$13</definedName>
    <definedName name="scores6" localSheetId="2">[5]Sheet7!$A$9:$A$13</definedName>
    <definedName name="scores6" localSheetId="1">[5]Sheet7!$A$9:$A$13</definedName>
    <definedName name="scores6">[6]Sheet7!$A$9:$A$13</definedName>
    <definedName name="scores8" localSheetId="0">[5]Sheet7!$K$9:$K$12</definedName>
    <definedName name="scores8" localSheetId="2">[5]Sheet7!$K$9:$K$12</definedName>
    <definedName name="scores8" localSheetId="1">[5]Sheet7!$K$9:$K$12</definedName>
    <definedName name="scores8">[6]Sheet7!$K$9:$K$12</definedName>
    <definedName name="slh" localSheetId="3">#REF!</definedName>
    <definedName name="slh">#REF!</definedName>
    <definedName name="sss" localSheetId="3">[1]Sheet1!#REF!</definedName>
    <definedName name="sss" localSheetId="0">[1]Sheet1!#REF!</definedName>
    <definedName name="sss" localSheetId="2">[2]Sheet1!#REF!</definedName>
    <definedName name="sss" localSheetId="1">[1]Sheet1!#REF!</definedName>
    <definedName name="sss">[1]Sheet1!#REF!</definedName>
    <definedName name="sssss" localSheetId="2">[9]!sssss</definedName>
    <definedName name="sssss">[10]!sssss</definedName>
    <definedName name="table1" localSheetId="0">[14]Sheet1!$A$1:$A$5</definedName>
    <definedName name="table1" localSheetId="2">[14]Sheet1!$A$1:$A$5</definedName>
    <definedName name="table1" localSheetId="1">[14]Sheet1!$A$1:$A$5</definedName>
    <definedName name="table1">[15]Sheet1!$A$1:$A$5</definedName>
    <definedName name="table2" localSheetId="0">[14]Sheet1!$B$1:$B$4</definedName>
    <definedName name="table2" localSheetId="2">[14]Sheet1!$B$1:$B$4</definedName>
    <definedName name="table2" localSheetId="1">[14]Sheet1!$B$1:$B$4</definedName>
    <definedName name="table2">[15]Sheet1!$B$1:$B$4</definedName>
    <definedName name="TEST1" localSheetId="3">[1]Sheet1!#REF!</definedName>
    <definedName name="TEST1" localSheetId="0">[1]Sheet1!#REF!</definedName>
    <definedName name="TEST1" localSheetId="2">[2]Sheet1!#REF!</definedName>
    <definedName name="TEST1" localSheetId="1">[1]Sheet1!#REF!</definedName>
    <definedName name="TEST1">[1]Sheet1!#REF!</definedName>
    <definedName name="U" localSheetId="3">'[16]BOM LIST 정리'!#REF!</definedName>
    <definedName name="U" localSheetId="2">'[17]BOM LIST 정리'!#REF!</definedName>
    <definedName name="U" localSheetId="1">'[16]BOM LIST 정리'!#REF!</definedName>
    <definedName name="U">'[16]BOM LIST 정리'!#REF!</definedName>
    <definedName name="VER" localSheetId="0">[5]Sheet7!$A$23:$A$24</definedName>
    <definedName name="VER" localSheetId="2">[5]Sheet7!$A$23:$A$24</definedName>
    <definedName name="VER" localSheetId="1">[5]Sheet7!$A$23:$A$24</definedName>
    <definedName name="VER">[6]Sheet7!$A$23:$A$24</definedName>
    <definedName name="WOST" localSheetId="2">[9]!WOST</definedName>
    <definedName name="WOST">[10]!WOST</definedName>
    <definedName name="Y" localSheetId="3">'[16]BOM LIST 정리'!#REF!</definedName>
    <definedName name="Y" localSheetId="0">'[16]BOM LIST 정리'!#REF!</definedName>
    <definedName name="Y" localSheetId="2">'[17]BOM LIST 정리'!#REF!</definedName>
    <definedName name="Y" localSheetId="1">'[16]BOM LIST 정리'!#REF!</definedName>
    <definedName name="Y">'[16]BOM LIST 정리'!#REF!</definedName>
    <definedName name="경통1" localSheetId="2">[9]!경통1</definedName>
    <definedName name="경통1">[10]!경통1</definedName>
    <definedName name="경통2" localSheetId="2">[9]!경통2</definedName>
    <definedName name="경통2">[10]!경통2</definedName>
    <definedName name="ㄴ" localSheetId="3">#REF!</definedName>
    <definedName name="ㄴ" localSheetId="0">#REF!</definedName>
    <definedName name="ㄴ" localSheetId="2">#REF!</definedName>
    <definedName name="ㄴ" localSheetId="1">#REF!</definedName>
    <definedName name="ㄴ">#REF!</definedName>
    <definedName name="ㄴㄴ" localSheetId="2">[9]!ㄴㄴ</definedName>
    <definedName name="ㄴㄴ">[10]!ㄴㄴ</definedName>
    <definedName name="대표자" localSheetId="2">[18]기본데이타!$C$6</definedName>
    <definedName name="대표자">[19]기본데이타!$C$6</definedName>
    <definedName name="동화" localSheetId="3">[1]Sheet1!#REF!</definedName>
    <definedName name="동화" localSheetId="0">[1]Sheet1!#REF!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'[20]매출이익(실적)'!#REF!</definedName>
    <definedName name="ㅁ1" localSheetId="2">'[21]매출이익(실적)'!#REF!</definedName>
    <definedName name="ㅁ1" localSheetId="1">'[20]매출이익(실적)'!#REF!</definedName>
    <definedName name="ㅁ1">'[20]매출이익(실적)'!#REF!</definedName>
    <definedName name="ㅁ109" localSheetId="3">#REF!</definedName>
    <definedName name="ㅁ109" localSheetId="0">#REF!</definedName>
    <definedName name="ㅁ109" localSheetId="2">#REF!</definedName>
    <definedName name="ㅁ109" localSheetId="1">#REF!</definedName>
    <definedName name="ㅁ109">#REF!</definedName>
    <definedName name="ㅁㅁㅁ" localSheetId="3">[1]Sheet1!#REF!</definedName>
    <definedName name="ㅁㅁㅁ" localSheetId="0">[1]Sheet1!#REF!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[18]기본데이타!$C$9</definedName>
    <definedName name="면허번호">[19]기본데이타!$C$9</definedName>
    <definedName name="몰려" localSheetId="3">#REF!</definedName>
    <definedName name="몰려" localSheetId="0">#REF!</definedName>
    <definedName name="몰려" localSheetId="2">#REF!</definedName>
    <definedName name="몰려" localSheetId="1">#REF!</definedName>
    <definedName name="몰려">#REF!</definedName>
    <definedName name="ㅂㅈ" localSheetId="3">[1]Sheet1!#REF!</definedName>
    <definedName name="ㅂㅈ" localSheetId="0">[1]Sheet1!#REF!</definedName>
    <definedName name="ㅂㅈ" localSheetId="2">[2]Sheet1!#REF!</definedName>
    <definedName name="ㅂㅈ" localSheetId="1">[1]Sheet1!#REF!</definedName>
    <definedName name="ㅂㅈ">[1]Sheet1!#REF!</definedName>
    <definedName name="부적합유형">#REF!</definedName>
    <definedName name="생산계획" localSheetId="3">'[22]1월월보'!#REF!</definedName>
    <definedName name="생산계획" localSheetId="2">'[23]1월월보'!#REF!</definedName>
    <definedName name="생산계획" localSheetId="1">'[22]1월월보'!#REF!</definedName>
    <definedName name="생산계획">'[22]1월월보'!#REF!</definedName>
    <definedName name="서일" localSheetId="2">[7]기준정보!$A$4:$B$20</definedName>
    <definedName name="서일">[8]기준정보!$A$4:$B$20</definedName>
    <definedName name="서일ITEM구분" localSheetId="2">'[7]BOM LIST 정리'!$D$7:$G$146</definedName>
    <definedName name="서일ITEM구분">'[8]BOM LIST 정리'!$D$7:$G$146</definedName>
    <definedName name="ㅇ" localSheetId="3">[1]Sheet1!#REF!</definedName>
    <definedName name="ㅇ" localSheetId="0">[1]Sheet1!#REF!</definedName>
    <definedName name="ㅇ" localSheetId="2">[2]Sheet1!#REF!</definedName>
    <definedName name="ㅇ" localSheetId="1">[1]Sheet1!#REF!</definedName>
    <definedName name="ㅇ">[1]Sheet1!#REF!</definedName>
    <definedName name="업체현황" localSheetId="3">'[24]#REF'!#REF!</definedName>
    <definedName name="업체현황" localSheetId="2">'[25]#REF'!#REF!</definedName>
    <definedName name="업체현황" localSheetId="1">'[24]#REF'!#REF!</definedName>
    <definedName name="업체현황">'[24]#REF'!#REF!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[26]O_970122!#REF!</definedName>
    <definedName name="원가절감전체" localSheetId="2">[27]O_970122!#REF!</definedName>
    <definedName name="원가절감전체" localSheetId="1">[26]O_970122!#REF!</definedName>
    <definedName name="원가절감전체">[26]O_970122!#REF!</definedName>
    <definedName name="임시L" localSheetId="2">'[7]BOM LIST 정리'!$C$248</definedName>
    <definedName name="임시L">'[8]BOM LIST 정리'!$C$248</definedName>
    <definedName name="임시NO" localSheetId="3">#REF!</definedName>
    <definedName name="임시NO" localSheetId="0">#REF!</definedName>
    <definedName name="임시NO" localSheetId="2">#REF!</definedName>
    <definedName name="임시NO" localSheetId="1">#REF!</definedName>
    <definedName name="임시NO">#REF!</definedName>
    <definedName name="입고단가" localSheetId="2">'[17]입고단가 LIST'!$B$6:$L$610</definedName>
    <definedName name="입고단가">'[16]입고단가 LIST'!$B$6:$L$610</definedName>
    <definedName name="제조하" localSheetId="3">'[28]제조 경영'!#REF!</definedName>
    <definedName name="제조하" localSheetId="0">'[28]제조 경영'!#REF!</definedName>
    <definedName name="제조하" localSheetId="2">'[29]제조 경영'!#REF!</definedName>
    <definedName name="제조하" localSheetId="1">'[28]제조 경영'!#REF!</definedName>
    <definedName name="제조하">'[28]제조 경영'!#REF!</definedName>
    <definedName name="종합현황" localSheetId="3">[30]사기정계!#REF!</definedName>
    <definedName name="종합현황" localSheetId="2">[31]사기정계!#REF!</definedName>
    <definedName name="종합현황" localSheetId="1">[30]사기정계!#REF!</definedName>
    <definedName name="종합현황">[30]사기정계!#REF!</definedName>
    <definedName name="주소" localSheetId="2">[18]기본데이타!$C$8</definedName>
    <definedName name="주소">[19]기본데이타!$C$8</definedName>
    <definedName name="진단일" localSheetId="2">[18]기본데이타!$C$12</definedName>
    <definedName name="진단일">[19]기본데이타!$C$12</definedName>
    <definedName name="항목별" localSheetId="3">'[22]1월월보'!#REF!</definedName>
    <definedName name="항목별" localSheetId="0">'[22]1월월보'!#REF!</definedName>
    <definedName name="항목별" localSheetId="2">'[23]1월월보'!#REF!</definedName>
    <definedName name="항목별" localSheetId="1">'[22]1월월보'!#REF!</definedName>
    <definedName name="항목별">'[22]1월월보'!#REF!</definedName>
    <definedName name="화인더" localSheetId="3">[30]사기정계!#REF!</definedName>
    <definedName name="화인더" localSheetId="2">[31]사기정계!#REF!</definedName>
    <definedName name="화인더" localSheetId="1">[30]사기정계!#REF!</definedName>
    <definedName name="화인더">[30]사기정계!#REF!</definedName>
    <definedName name="회사명" localSheetId="2">[18]기본데이타!$C$5</definedName>
    <definedName name="회사명">[19]기본데이타!$C$5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15" l="1"/>
  <c r="H13" i="15"/>
  <c r="H14" i="15"/>
  <c r="H15" i="15"/>
  <c r="H11" i="15"/>
  <c r="M5" i="15"/>
  <c r="F5" i="15"/>
  <c r="M4" i="15"/>
  <c r="F4" i="15"/>
  <c r="E16" i="15" l="1"/>
  <c r="H16" i="15" s="1"/>
  <c r="K16" i="15" s="1"/>
  <c r="G38" i="12"/>
  <c r="F50" i="12" s="1"/>
  <c r="H50" i="12" s="1"/>
  <c r="G29" i="12"/>
  <c r="F49" i="12" l="1"/>
  <c r="H49" i="12" s="1"/>
  <c r="F48" i="12"/>
  <c r="H48" i="12" s="1"/>
  <c r="D51" i="12"/>
  <c r="G39" i="12"/>
  <c r="F38" i="12"/>
  <c r="G30" i="12"/>
  <c r="F29" i="12"/>
  <c r="G23" i="12"/>
  <c r="G24" i="12" s="1"/>
  <c r="F23" i="12"/>
  <c r="F17" i="12"/>
  <c r="G16" i="12"/>
  <c r="F16" i="12"/>
  <c r="E47" i="12" s="1"/>
  <c r="E12" i="15" s="1"/>
  <c r="K12" i="15" s="1"/>
  <c r="G10" i="12"/>
  <c r="F10" i="12"/>
  <c r="F24" i="12" l="1"/>
  <c r="E48" i="12"/>
  <c r="E13" i="15" s="1"/>
  <c r="K13" i="15" s="1"/>
  <c r="F39" i="12"/>
  <c r="E50" i="12"/>
  <c r="E15" i="15" s="1"/>
  <c r="K15" i="15" s="1"/>
  <c r="F11" i="12"/>
  <c r="E46" i="12"/>
  <c r="G11" i="12"/>
  <c r="F46" i="12"/>
  <c r="G17" i="12"/>
  <c r="F47" i="12"/>
  <c r="H47" i="12" s="1"/>
  <c r="F30" i="12"/>
  <c r="E49" i="12"/>
  <c r="E14" i="15" s="1"/>
  <c r="K14" i="15" s="1"/>
  <c r="E11" i="15" l="1"/>
  <c r="K11" i="15" s="1"/>
  <c r="E51" i="12"/>
  <c r="H46" i="12"/>
  <c r="H51" i="12" s="1"/>
  <c r="F51" i="12"/>
</calcChain>
</file>

<file path=xl/comments1.xml><?xml version="1.0" encoding="utf-8"?>
<comments xmlns="http://schemas.openxmlformats.org/spreadsheetml/2006/main">
  <authors>
    <author>L872164</author>
  </authors>
  <commentList>
    <comment ref="C16" authorId="0" shapeId="0">
      <text>
        <r>
          <rPr>
            <sz val="10"/>
            <color indexed="81"/>
            <rFont val="Calibri Light"/>
            <family val="3"/>
            <charset val="129"/>
            <scheme val="major"/>
          </rPr>
          <t>평점 : (심사 종합득점/종합배점)*100</t>
        </r>
      </text>
    </comment>
    <comment ref="H16" authorId="0" shapeId="0">
      <text>
        <r>
          <rPr>
            <sz val="10"/>
            <color indexed="81"/>
            <rFont val="Calibri Light"/>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<sst xmlns="http://schemas.openxmlformats.org/spreadsheetml/2006/main" count="251" uniqueCount="207">
  <si>
    <t>VNM</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</si>
  <si>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</si>
  <si>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</si>
  <si>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</si>
  <si>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</si>
  <si>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</si>
  <si>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</si>
  <si>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</si>
  <si>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</si>
  <si>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</si>
  <si>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</si>
  <si>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</si>
  <si>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</si>
  <si>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</si>
  <si>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</si>
  <si>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</si>
  <si>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</si>
  <si>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</si>
  <si>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</si>
  <si>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</si>
  <si>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</si>
  <si>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</si>
  <si>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</si>
  <si>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</si>
  <si>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</si>
  <si>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</si>
  <si>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</si>
  <si>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Are the products/pre/post shipment inspection, and the storage place for rejected products under separately classified management, and marked? 
of pre/post audit for products is clearly handled. </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</si>
  <si>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</si>
  <si>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</si>
  <si>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</si>
  <si>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</si>
  <si>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</si>
  <si>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</si>
  <si>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</si>
  <si>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</si>
  <si>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</si>
  <si>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</si>
  <si>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</si>
  <si>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</si>
  <si>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</si>
  <si>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</si>
  <si>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</si>
  <si>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</si>
  <si>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</si>
  <si>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</si>
  <si>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</si>
  <si>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</si>
  <si>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</si>
  <si>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</si>
  <si>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</si>
  <si>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</si>
  <si>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</si>
  <si>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</si>
  <si>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</si>
  <si>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</si>
  <si>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</si>
  <si>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</si>
  <si>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</si>
  <si>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</si>
  <si>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</si>
  <si>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</si>
  <si>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</si>
  <si>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</si>
  <si>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</si>
  <si>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</si>
  <si>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</si>
  <si>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</si>
  <si>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</si>
  <si>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</si>
  <si>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RANK</t>
  </si>
  <si>
    <t>A</t>
  </si>
  <si>
    <t>B</t>
  </si>
  <si>
    <t>C</t>
  </si>
  <si>
    <t>D</t>
  </si>
  <si>
    <t>Not  acceptance/ Không chấp nhận</t>
  </si>
  <si>
    <t>Poor, reevaluate when needed/ Kém, đánh giá lại khi cần</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</si>
  <si>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</si>
  <si>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
    </r>
    <r>
      <rPr>
        <sz val="20"/>
        <rFont val="Wingdings"/>
        <charset val="2"/>
      </rPr>
      <t>o</t>
    </r>
    <r>
      <rPr>
        <sz val="20"/>
        <rFont val="Times New Roman"/>
        <family val="1"/>
      </rPr>
      <t xml:space="preserve"> The re-evaluation/</t>
    </r>
    <r>
      <rPr>
        <sz val="14"/>
        <rFont val="Times New Roman"/>
        <family val="1"/>
      </rPr>
      <t xml:space="preserve">  </t>
    </r>
    <r>
      <rPr>
        <sz val="18"/>
        <rFont val="Times New Roman"/>
        <family val="1"/>
      </rPr>
      <t>Đánh giá lại</t>
    </r>
  </si>
  <si>
    <t>Accept, need improvement/ Chấp nhận, cần cải thiện</t>
  </si>
  <si>
    <t>Excellent/ Rất tốt</t>
  </si>
  <si>
    <t>RESULT</t>
  </si>
  <si>
    <t>Confirm of Vendor/ Xác nhận của nhà cung cấp</t>
  </si>
  <si>
    <t>Evaluation team leader/ Trưởng đoàn đánh giá</t>
  </si>
  <si>
    <t xml:space="preserve">Auditor/ Thành viên đánh giá </t>
  </si>
  <si>
    <t>Confirmation</t>
  </si>
  <si>
    <t>Nơi lưu: Bộ phận thu mua</t>
  </si>
  <si>
    <t>Hình thức lưu: Bản cứng</t>
  </si>
  <si>
    <t>Thời gian lưu: 03 năm</t>
  </si>
  <si>
    <t>Phương pháp hủy: Cắt/Đốt</t>
  </si>
  <si>
    <t>Lần sửa đổi: 00</t>
  </si>
  <si>
    <t>Sign/ Chữ ký</t>
  </si>
  <si>
    <t>Name/ Họ tên</t>
  </si>
  <si>
    <t>ID/ Số thẻ</t>
  </si>
  <si>
    <t>Dept/ Bộ phận</t>
  </si>
  <si>
    <t>Job Title/ Chức vụ</t>
  </si>
  <si>
    <t>Date/ Ngày</t>
  </si>
  <si>
    <t>E</t>
  </si>
  <si>
    <t>Good,  need to keep improving/ Tốt, cần tiếp tục tự cải thiện</t>
  </si>
  <si>
    <t>≥ 95%</t>
  </si>
  <si>
    <t>85-94%</t>
  </si>
  <si>
    <t>75-84%</t>
  </si>
  <si>
    <t>65-74%</t>
  </si>
  <si>
    <t>TOTAL</t>
  </si>
  <si>
    <t>Section 2- Material Inspection  and  Preparation</t>
  </si>
  <si>
    <t>Section 3- Production Process</t>
  </si>
  <si>
    <t>Section 4- Product Evaluation (OQC)</t>
  </si>
  <si>
    <t>Section 5- Packing and Shipment</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</si>
  <si>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</si>
  <si>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</si>
  <si>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</si>
  <si>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r>
      <t>Are below critical quality control points of material inspected ? 
- Spec</t>
    </r>
    <r>
      <rPr>
        <i/>
        <sz val="12"/>
        <color theme="1"/>
        <rFont val="Times New Roman"/>
        <family val="1"/>
      </rPr>
      <t xml:space="preserve">
- Appearance no damage, scratch, missing line, contamination, break line, etc.</t>
    </r>
  </si>
  <si>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</si>
  <si>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</si>
  <si>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Các điểm kiểm soát chất lượng quan trọng của vật liệu có  được kiểm tra?
- Quy cách kỹ thuật, chất lượng sản phẩm
-Ngoại quan: không có hư hại, trầy xước, thiếu dòng, nhiễm bẩn, đứt dòng, v.v. </t>
  </si>
  <si>
    <t xml:space="preserve">Are below critical quality control points of the material inspected in incoming? 
- Part Number and Lot Number
- Maker/ Provider
- Status of product
- Packing condition
- Quantity / Weight
- Expiry Date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</si>
  <si>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</si>
  <si>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 xml:space="preserve">- Does the supplier have a precision testing process and devices that measure the accuracy of the product?
- Are the methods below are use?
a. X-ray,
b. Optic measurement
c. Overlay </t>
  </si>
  <si>
    <t xml:space="preserve"> Warehouse for Materials</t>
  </si>
  <si>
    <t xml:space="preserve"> Production Process</t>
  </si>
  <si>
    <t>Product Evaluation (OQC)</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</si>
  <si>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</si>
  <si>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</si>
  <si>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</si>
  <si>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</si>
  <si>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r>
      <t>Score 1 - More than 3 critical control point missed to be inspected</t>
    </r>
    <r>
      <rPr>
        <sz val="12"/>
        <color rgb="FFFF0000"/>
        <rFont val="Times New Roman"/>
        <family val="1"/>
      </rPr>
      <t xml:space="preserve"> </t>
    </r>
    <r>
      <rPr>
        <sz val="12"/>
        <color theme="1"/>
        <rFont val="Times New Roman"/>
        <family val="1"/>
      </rPr>
      <t xml:space="preserve">
Score 2 - Some critical control points are inspected, but 2~3 critical control points missed.
Score 3 - Some critical control points are inspected, but one critical control points missed.
Score 4 - All critical control points are inspected</t>
    </r>
    <r>
      <rPr>
        <sz val="12"/>
        <color rgb="FFFF0000"/>
        <rFont val="Times New Roman"/>
        <family val="1"/>
      </rPr>
      <t xml:space="preserve"> 
</t>
    </r>
  </si>
  <si>
    <t>Score 1. Do not meet requirement 1.1.
Score 2. Meet requirement 1.1. Only use of c.
Score 3. Meet requirement 1.1. Use of a or b.
Score 4. Meet all requirements.</t>
  </si>
  <si>
    <r>
      <t xml:space="preserve">Score 1 - Do not meet requirement 4.1
</t>
    </r>
    <r>
      <rPr>
        <sz val="12"/>
        <color theme="1"/>
        <rFont val="Times New Roman"/>
        <family val="1"/>
      </rPr>
      <t>Score 2 - Meet requirement 4.1, but found multiple cases do not meet requirement 4.2 and/or 4.3 and/or 4.4.</t>
    </r>
    <r>
      <rPr>
        <sz val="12"/>
        <rFont val="Times New Roman"/>
        <family val="1"/>
      </rPr>
      <t xml:space="preserve">
Score 3- Meet requirement 4.1, but found isolated case do not meet requirement 4.2 and/or 4.3 and/or 4.4.
Score 4- Meet all requirements
</t>
    </r>
  </si>
  <si>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</si>
  <si>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</si>
  <si>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</si>
  <si>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</si>
  <si>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</si>
  <si>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</si>
  <si>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</si>
  <si>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</si>
  <si>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Key Process Parameter Control</t>
    <phoneticPr fontId="8" type="noConversion"/>
  </si>
  <si>
    <t>≤   64%</t>
  </si>
  <si>
    <t>Score 2- Less than 3 of the listed critical control points missed.
Score 4 - More than 3 of the listed critical control points missed.
Score 6- Some critical control points are inspected, but missed any 2~3 of the listed critical control points.
Score 8 - Some critical control points are inspected, but missed any 1 of the listed critical control points.
Score 10 - All the listed critical control points are inspected in incoming.
N/A - If supplier do not produce carton. Or if supplier produce corrugated board in house.</t>
  </si>
  <si>
    <t xml:space="preserve">Score 2 - None of the listed key process parameter is controlled.
Score 4 - Some listed key process parameters are controlled, but missed any 3 of the listed key parameters.
Score 6 - Some listed key process parameters are controlled, but missed any 2 of the listed key parameters.
Score 8 - Some listed key process parameters are controlled, but missed any 1 of the listed key parameters.
Score 10 - All the listed key process parameters are controlled.
N/A - If supplier do not produce carton. </t>
  </si>
  <si>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</si>
  <si>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</si>
  <si>
    <t>Material Inspection</t>
  </si>
  <si>
    <t xml:space="preserve">Are below critical quality control points of plastic film inspected in incoming?
- Concentrations of toxic substances
- Viscosity index
- Tỷ trọng
- Packing
- Color
 </t>
  </si>
  <si>
    <t>Các điểm kiểm soát chất lượng quan trọng của phim nhựa dưới đây có được kiểm tra khi nhập?
- Nồng độ các chất độc hại
- Chỉ số độ nhớt
- Proportion
- Quy cách đóng gói
- Màu sắc
- Độ dẫn điện (Đối với vật liệu khay ESD)</t>
  </si>
  <si>
    <t xml:space="preserve">Are below key process parameters controlled in the manufacturing process?
- Clean can
- Preparing ( material, quantity, scale)
- Mixing  (speed, time)
- Grinding metter (speed, time, particle size)
</t>
  </si>
  <si>
    <t xml:space="preserve">Các thông số quy trình chính dưới đây có được kiểm soát trong quá trình sản xuất?
- Làm sạch can
- Pha chế ( Nguyên vật liệu, số lượng, cân)
- Khuấy trộn  (tốc độ, thời gian)
- Máy nghiền (tốc độ, thời gian, kích thước hạt)
</t>
  </si>
  <si>
    <t>Checking quality</t>
  </si>
  <si>
    <t>Are below critical quality control points of carton inspected?
- Checking equipment
- Checking components ( follow each of products)
- Checking particle quantity (&lt;=35 ea/1ml)
-  Actual rate of wastage</t>
  </si>
  <si>
    <t>Các thông số quy trình chính dưới đây có được kiểm soát trong quá trình sản xuất?
- Thiết bị kiểm tra
- Kiểm tra thành phần ( Theo từng sản phẩm)
- Độ bền
- Kiểm tra lượng hạt bụi  (&lt;=35 ea/1ml)
- Tỷ lệ hao hụt</t>
  </si>
  <si>
    <t xml:space="preserve">Score 2- Less than 2 of the key process parameters missed to control.
Score 4 - More than 3 of the key process parameters missed to control.
Score 6 - Some listed key process parameters are controlled, but missed any 2~3 of the listed key parameters.
Score 8 - Some listed key process parameters are controlled, but missed any 1 of the listed key parameters.
Score 10 - All the listed key process parameters are controlled.
N/A - If supplier do not produce carton. </t>
  </si>
  <si>
    <r>
      <t xml:space="preserve"> o</t>
    </r>
    <r>
      <rPr>
        <sz val="9.6"/>
        <rFont val="Times New Roman"/>
        <family val="1"/>
      </rPr>
      <t xml:space="preserve"> </t>
    </r>
    <r>
      <rPr>
        <sz val="12"/>
        <rFont val="Times New Roman"/>
        <family val="1"/>
      </rPr>
      <t xml:space="preserve">Raw Material/ NVL chính
</t>
    </r>
    <r>
      <rPr>
        <sz val="16"/>
        <rFont val="Times New Roman"/>
        <family val="1"/>
      </rPr>
      <t xml:space="preserve">o </t>
    </r>
    <r>
      <rPr>
        <sz val="7.2"/>
        <rFont val="Times New Roman"/>
        <family val="1"/>
      </rPr>
      <t xml:space="preserve">  </t>
    </r>
    <r>
      <rPr>
        <sz val="12"/>
        <rFont val="Times New Roman"/>
        <family val="1"/>
      </rPr>
      <t>Sub material/ Phụ liệu</t>
    </r>
  </si>
  <si>
    <r>
      <t xml:space="preserve"> o</t>
    </r>
    <r>
      <rPr>
        <sz val="9.6"/>
        <rFont val="Times New Roman"/>
        <family val="1"/>
      </rPr>
      <t xml:space="preserve"> </t>
    </r>
    <r>
      <rPr>
        <sz val="12"/>
        <rFont val="Times New Roman"/>
        <family val="1"/>
      </rPr>
      <t>Outsourcing Material/ NVL từ nguồn gia công</t>
    </r>
  </si>
  <si>
    <t>05</t>
  </si>
  <si>
    <t>P1908</t>
  </si>
  <si>
    <t>PUR.04.00.05. Ngày ban hành 01/01/2019</t>
  </si>
  <si>
    <t>VENDOR QUALIFICATION CHECKSHEET</t>
  </si>
  <si>
    <t>PUR.04.00.07</t>
  </si>
  <si>
    <t>Supplier name</t>
  </si>
  <si>
    <t>Major Product</t>
  </si>
  <si>
    <t>Audit Object</t>
  </si>
  <si>
    <t>Date of Audit</t>
  </si>
  <si>
    <t>Auditor</t>
  </si>
  <si>
    <t>Grade</t>
  </si>
  <si>
    <t>Result</t>
  </si>
  <si>
    <t>M&amp;C Electronics Vina</t>
  </si>
  <si>
    <t>Quality Process Audit Result Report</t>
    <phoneticPr fontId="27" type="noConversion"/>
  </si>
  <si>
    <t>□ Audit Result</t>
    <phoneticPr fontId="27" type="noConversion"/>
  </si>
  <si>
    <t>Auditee</t>
  </si>
  <si>
    <t>□Scores and Grade by sector</t>
    <phoneticPr fontId="27" type="noConversion"/>
  </si>
  <si>
    <t>No</t>
    <phoneticPr fontId="27" type="noConversion"/>
  </si>
  <si>
    <t>evaluation sector</t>
    <phoneticPr fontId="27" type="noConversion"/>
  </si>
  <si>
    <t>Evaluation requiment</t>
  </si>
  <si>
    <t>Evaluation result</t>
    <phoneticPr fontId="27" type="noConversion"/>
  </si>
  <si>
    <t>note</t>
    <phoneticPr fontId="27" type="noConversion"/>
  </si>
  <si>
    <t>the whole</t>
    <phoneticPr fontId="27" type="noConversion"/>
  </si>
  <si>
    <t>Degree of Completion</t>
    <phoneticPr fontId="27" type="noConversion"/>
  </si>
  <si>
    <t>Production Process</t>
  </si>
  <si>
    <t xml:space="preserve">  </t>
    <phoneticPr fontId="22" type="noConversion"/>
  </si>
  <si>
    <t>Packing Management</t>
    <phoneticPr fontId="27" type="noConversion"/>
  </si>
  <si>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</si>
  <si>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2" type="noConversion"/>
  </si>
  <si>
    <r>
      <t xml:space="preserve">□ </t>
    </r>
    <r>
      <rPr>
        <b/>
        <sz val="10"/>
        <rFont val="Calibri Light"/>
        <family val="3"/>
        <charset val="129"/>
        <scheme val="major"/>
      </rPr>
      <t>Improvement object Status by type</t>
    </r>
  </si>
  <si>
    <t>Classification</t>
  </si>
  <si>
    <t>Number of Cases</t>
    <phoneticPr fontId="27" type="noConversion"/>
  </si>
  <si>
    <t>Material Management</t>
  </si>
  <si>
    <t>Total</t>
  </si>
  <si>
    <t>Quality Process Audit Non-Conforming Item</t>
    <phoneticPr fontId="27" type="noConversion"/>
  </si>
  <si>
    <t>해결</t>
    <phoneticPr fontId="21" type="noConversion"/>
  </si>
  <si>
    <t>미결</t>
    <phoneticPr fontId="21" type="noConversion"/>
  </si>
  <si>
    <t>Classification</t>
    <phoneticPr fontId="22" type="noConversion"/>
  </si>
  <si>
    <t>NO</t>
    <phoneticPr fontId="21" type="noConversion"/>
  </si>
  <si>
    <t>Problem</t>
    <phoneticPr fontId="21" type="noConversion"/>
  </si>
  <si>
    <t>Countermeasure for Improvement</t>
    <phoneticPr fontId="22" type="noConversion"/>
  </si>
  <si>
    <t>Confirmation Result</t>
    <phoneticPr fontId="22" type="noConversion"/>
  </si>
  <si>
    <t>Completion Status</t>
    <phoneticPr fontId="22" type="noConversion"/>
  </si>
  <si>
    <t>Reproducibility status</t>
  </si>
  <si>
    <t>Pointed-out Item</t>
    <phoneticPr fontId="22" type="noConversion"/>
  </si>
  <si>
    <t>Phenomenon</t>
    <phoneticPr fontId="21" type="noConversion"/>
  </si>
  <si>
    <t>Improvement Plan</t>
    <phoneticPr fontId="22" type="noConversion"/>
  </si>
  <si>
    <t>Pictrue</t>
  </si>
  <si>
    <t>Person in charge</t>
    <phoneticPr fontId="21" type="noConversion"/>
  </si>
  <si>
    <t>Schedule</t>
  </si>
  <si>
    <t>Confirmed content</t>
  </si>
  <si>
    <t>person in charge</t>
  </si>
  <si>
    <t>Warehouse for Materials</t>
  </si>
  <si>
    <t xml:space="preserve"> Packing and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</si>
</sst>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6">
    <numFmt numFmtId="6" formatCode="&quot;$&quot;#,##0_);[Red]\(&quot;$&quot;#,##0\)"/>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409]d&quot;-&quot;mmm&quot;-&quot;yy;@"/>
    <numFmt numFmtId="227" formatCode="0_ "/>
    <numFmt numFmtId="228" formatCode="0.00_ "/>
  </numFmts>
  <fonts count="310">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sz val="11"/>
      <name val="ＭＳ Ｐゴシック"/>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新細明體"/>
      <family val="1"/>
      <charset val="136"/>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sz val="14"/>
      <color rgb="FF0000FF"/>
      <name val="Times New Roman"/>
      <family val="1"/>
    </font>
    <font>
      <sz val="14"/>
      <color theme="1"/>
      <name val="Times New Roman"/>
      <family val="1"/>
    </font>
    <font>
      <sz val="20"/>
      <name val="Times New Roman"/>
      <family val="1"/>
    </font>
    <font>
      <sz val="20"/>
      <name val="Wingdings"/>
      <charset val="2"/>
    </font>
    <font>
      <sz val="18"/>
      <name val="Times New Roman"/>
      <family val="1"/>
    </font>
    <font>
      <sz val="16"/>
      <name val="Times New Roman"/>
      <family val="1"/>
    </font>
    <font>
      <b/>
      <sz val="36"/>
      <name val="Times New Roman"/>
      <family val="1"/>
    </font>
    <font>
      <sz val="16"/>
      <color rgb="FF0000FF"/>
      <name val="Times New Roman"/>
      <family val="1"/>
    </font>
    <font>
      <sz val="9.6"/>
      <name val="Times New Roman"/>
      <family val="1"/>
    </font>
    <font>
      <sz val="7.2"/>
      <name val="Times New Roman"/>
      <family val="1"/>
    </font>
    <font>
      <b/>
      <sz val="12"/>
      <color indexed="81"/>
      <name val="Tahoma"/>
      <family val="2"/>
    </font>
    <font>
      <sz val="12"/>
      <color indexed="81"/>
      <name val="Tahoma"/>
      <family val="2"/>
    </font>
    <font>
      <i/>
      <sz val="12"/>
      <color theme="1"/>
      <name val="Times New Roman"/>
      <family val="1"/>
    </font>
    <font>
      <sz val="12"/>
      <color rgb="FFFF0000"/>
      <name val="Times New Roman"/>
      <family val="1"/>
    </font>
    <font>
      <sz val="12"/>
      <color rgb="FF333333"/>
      <name val="Times New Roman"/>
      <family val="1"/>
    </font>
    <font>
      <u/>
      <sz val="11"/>
      <color theme="10"/>
      <name val="Calibri"/>
      <family val="2"/>
      <scheme val="minor"/>
    </font>
    <font>
      <u/>
      <sz val="14"/>
      <color theme="10"/>
      <name val="Times New Roman"/>
      <family val="1"/>
    </font>
    <font>
      <u/>
      <sz val="10"/>
      <color indexed="36"/>
      <name val="Arial"/>
      <family val="2"/>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8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16">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165" fontId="13" fillId="0" borderId="0"/>
    <xf numFmtId="0" fontId="14"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5" fillId="0" borderId="0" applyFont="0" applyFill="0" applyBorder="0" applyAlignment="0" applyProtection="0"/>
    <xf numFmtId="165" fontId="15"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6"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7"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7" fillId="0" borderId="0" applyFont="0" applyFill="0" applyBorder="0" applyAlignment="0" applyProtection="0"/>
    <xf numFmtId="0" fontId="17"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8" fillId="0" borderId="0"/>
    <xf numFmtId="165" fontId="8" fillId="0" borderId="0"/>
    <xf numFmtId="165" fontId="8" fillId="0" borderId="0"/>
    <xf numFmtId="165" fontId="8" fillId="0" borderId="0"/>
    <xf numFmtId="165" fontId="1" fillId="0" borderId="0"/>
    <xf numFmtId="165" fontId="1" fillId="0" borderId="0"/>
    <xf numFmtId="165" fontId="17" fillId="0" borderId="0" applyFont="0" applyFill="0" applyBorder="0" applyAlignment="0" applyProtection="0"/>
    <xf numFmtId="0" fontId="17"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6" fillId="0" borderId="0" applyFont="0" applyFill="0" applyBorder="0" applyAlignment="0" applyProtection="0"/>
    <xf numFmtId="180"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9"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8" fillId="0" borderId="0"/>
    <xf numFmtId="165" fontId="8" fillId="0" borderId="0" applyFont="0" applyFill="0" applyBorder="0" applyAlignment="0" applyProtection="0"/>
    <xf numFmtId="165" fontId="8" fillId="0" borderId="0" applyFont="0" applyFill="0" applyBorder="0" applyAlignment="0" applyProtection="0"/>
    <xf numFmtId="0" fontId="20"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1" fillId="0" borderId="0" applyFont="0" applyFill="0" applyBorder="0" applyAlignment="0" applyProtection="0"/>
    <xf numFmtId="165" fontId="22" fillId="0" borderId="0"/>
    <xf numFmtId="10" fontId="23" fillId="0" borderId="0" applyFont="0" applyFill="0" applyBorder="0" applyAlignment="0" applyProtection="0"/>
    <xf numFmtId="165" fontId="24" fillId="0" borderId="0" applyNumberFormat="0" applyFill="0" applyBorder="0" applyAlignment="0" applyProtection="0"/>
    <xf numFmtId="165" fontId="25" fillId="0" borderId="0" applyNumberFormat="0" applyFill="0" applyBorder="0" applyAlignment="0" applyProtection="0"/>
    <xf numFmtId="165" fontId="1" fillId="0" borderId="0"/>
    <xf numFmtId="0" fontId="1" fillId="0" borderId="0"/>
    <xf numFmtId="49" fontId="26" fillId="0" borderId="18" applyBorder="0">
      <alignment vertical="center"/>
    </xf>
    <xf numFmtId="165" fontId="27" fillId="0" borderId="19" applyProtection="0">
      <alignment horizontal="center" vertical="center"/>
    </xf>
    <xf numFmtId="165" fontId="27" fillId="0" borderId="19" applyProtection="0">
      <alignment horizontal="center" vertical="center"/>
    </xf>
    <xf numFmtId="49" fontId="26" fillId="0" borderId="18" applyBorder="0">
      <alignment vertical="center"/>
    </xf>
    <xf numFmtId="49" fontId="26" fillId="0" borderId="18" applyBorder="0">
      <alignment vertical="center"/>
    </xf>
    <xf numFmtId="49" fontId="26" fillId="0" borderId="18" applyBorder="0">
      <alignment vertical="center"/>
    </xf>
    <xf numFmtId="165" fontId="28" fillId="0" borderId="20"/>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9" fontId="30" fillId="0" borderId="0" applyFont="0" applyFill="0" applyBorder="0" applyAlignment="0" applyProtection="0"/>
    <xf numFmtId="10" fontId="31" fillId="0" borderId="0" applyFont="0" applyFill="0" applyBorder="0" applyAlignment="0" applyProtection="0"/>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4"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5" fillId="36" borderId="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4"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5" fillId="38" borderId="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4"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5" fillId="40"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4"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5" fillId="44" borderId="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4"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5" fillId="46" borderId="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165" fontId="32" fillId="47" borderId="0" applyNumberFormat="0" applyBorder="0" applyAlignment="0" applyProtection="0">
      <alignment vertical="center"/>
    </xf>
    <xf numFmtId="0" fontId="38"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2"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165" fontId="32" fillId="48" borderId="0" applyNumberFormat="0" applyBorder="0" applyAlignment="0" applyProtection="0">
      <alignment vertical="center"/>
    </xf>
    <xf numFmtId="0" fontId="38"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2"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165" fontId="32" fillId="49" borderId="0" applyNumberFormat="0" applyBorder="0" applyAlignment="0" applyProtection="0">
      <alignment vertical="center"/>
    </xf>
    <xf numFmtId="0" fontId="38"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2"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165" fontId="32" fillId="45" borderId="0" applyNumberFormat="0" applyBorder="0" applyAlignment="0" applyProtection="0">
      <alignment vertical="center"/>
    </xf>
    <xf numFmtId="0" fontId="38"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2"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165" fontId="32" fillId="43" borderId="0" applyNumberFormat="0" applyBorder="0" applyAlignment="0" applyProtection="0">
      <alignment vertical="center"/>
    </xf>
    <xf numFmtId="0" fontId="38" fillId="43"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165" fontId="32" fillId="49" borderId="0" applyNumberFormat="0" applyBorder="0" applyAlignment="0" applyProtection="0">
      <alignment vertical="center"/>
    </xf>
    <xf numFmtId="0" fontId="38"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2"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4"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5" fillId="51" borderId="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5" fillId="53"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4"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5" fillId="55" borderId="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2"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165" fontId="32" fillId="48" borderId="0" applyNumberFormat="0" applyBorder="0" applyAlignment="0" applyProtection="0">
      <alignment vertical="center"/>
    </xf>
    <xf numFmtId="0" fontId="38" fillId="48"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165" fontId="32" fillId="56" borderId="0" applyNumberFormat="0" applyBorder="0" applyAlignment="0" applyProtection="0">
      <alignment vertical="center"/>
    </xf>
    <xf numFmtId="0" fontId="38"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2"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165" fontId="32" fillId="37" borderId="0" applyNumberFormat="0" applyBorder="0" applyAlignment="0" applyProtection="0">
      <alignment vertical="center"/>
    </xf>
    <xf numFmtId="0" fontId="38"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2"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2"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165" fontId="32" fillId="49" borderId="0" applyNumberFormat="0" applyBorder="0" applyAlignment="0" applyProtection="0">
      <alignment vertical="center"/>
    </xf>
    <xf numFmtId="0" fontId="38"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2"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6" fillId="0" borderId="0" applyFont="0" applyFill="0" applyBorder="0" applyAlignment="0" applyProtection="0"/>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1"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0" fillId="58" borderId="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1"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0" fillId="51" borderId="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1"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0" fillId="53" borderId="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1"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0" fillId="64" borderId="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165" fontId="39" fillId="43" borderId="0" applyNumberFormat="0" applyBorder="0" applyAlignment="0" applyProtection="0">
      <alignment vertical="center"/>
    </xf>
    <xf numFmtId="0" fontId="42" fillId="13" borderId="0" applyNumberFormat="0" applyBorder="0" applyAlignment="0" applyProtection="0">
      <alignment vertical="center"/>
    </xf>
    <xf numFmtId="0" fontId="43" fillId="57" borderId="0" applyNumberFormat="0" applyBorder="0" applyAlignment="0" applyProtection="0">
      <alignment vertical="center"/>
    </xf>
    <xf numFmtId="0" fontId="42" fillId="13" borderId="0" applyNumberFormat="0" applyBorder="0" applyAlignment="0" applyProtection="0">
      <alignment vertical="center"/>
    </xf>
    <xf numFmtId="165" fontId="39" fillId="57" borderId="0" applyNumberFormat="0" applyBorder="0" applyAlignment="0" applyProtection="0">
      <alignment vertical="center"/>
    </xf>
    <xf numFmtId="0" fontId="44"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165" fontId="39" fillId="65" borderId="0" applyNumberFormat="0" applyBorder="0" applyAlignment="0" applyProtection="0">
      <alignment vertical="center"/>
    </xf>
    <xf numFmtId="0" fontId="42" fillId="17" borderId="0" applyNumberFormat="0" applyBorder="0" applyAlignment="0" applyProtection="0">
      <alignment vertical="center"/>
    </xf>
    <xf numFmtId="0" fontId="43" fillId="48" borderId="0" applyNumberFormat="0" applyBorder="0" applyAlignment="0" applyProtection="0">
      <alignment vertical="center"/>
    </xf>
    <xf numFmtId="0" fontId="42" fillId="17" borderId="0" applyNumberFormat="0" applyBorder="0" applyAlignment="0" applyProtection="0">
      <alignment vertical="center"/>
    </xf>
    <xf numFmtId="165" fontId="39" fillId="48" borderId="0" applyNumberFormat="0" applyBorder="0" applyAlignment="0" applyProtection="0">
      <alignment vertical="center"/>
    </xf>
    <xf numFmtId="0" fontId="44"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165" fontId="39" fillId="54" borderId="0" applyNumberFormat="0" applyBorder="0" applyAlignment="0" applyProtection="0">
      <alignment vertical="center"/>
    </xf>
    <xf numFmtId="0" fontId="42" fillId="21" borderId="0" applyNumberFormat="0" applyBorder="0" applyAlignment="0" applyProtection="0">
      <alignment vertical="center"/>
    </xf>
    <xf numFmtId="0" fontId="43" fillId="52" borderId="0" applyNumberFormat="0" applyBorder="0" applyAlignment="0" applyProtection="0">
      <alignment vertical="center"/>
    </xf>
    <xf numFmtId="0" fontId="42" fillId="21" borderId="0" applyNumberFormat="0" applyBorder="0" applyAlignment="0" applyProtection="0">
      <alignment vertical="center"/>
    </xf>
    <xf numFmtId="165" fontId="39" fillId="52" borderId="0" applyNumberFormat="0" applyBorder="0" applyAlignment="0" applyProtection="0">
      <alignment vertical="center"/>
    </xf>
    <xf numFmtId="0" fontId="44"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165" fontId="39" fillId="37" borderId="0" applyNumberFormat="0" applyBorder="0" applyAlignment="0" applyProtection="0">
      <alignment vertical="center"/>
    </xf>
    <xf numFmtId="0" fontId="42" fillId="25" borderId="0" applyNumberFormat="0" applyBorder="0" applyAlignment="0" applyProtection="0">
      <alignment vertical="center"/>
    </xf>
    <xf numFmtId="0" fontId="43" fillId="59" borderId="0" applyNumberFormat="0" applyBorder="0" applyAlignment="0" applyProtection="0">
      <alignment vertical="center"/>
    </xf>
    <xf numFmtId="0" fontId="42" fillId="25" borderId="0" applyNumberFormat="0" applyBorder="0" applyAlignment="0" applyProtection="0">
      <alignment vertical="center"/>
    </xf>
    <xf numFmtId="165" fontId="39" fillId="59" borderId="0" applyNumberFormat="0" applyBorder="0" applyAlignment="0" applyProtection="0">
      <alignment vertical="center"/>
    </xf>
    <xf numFmtId="0" fontId="44"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165" fontId="39" fillId="43" borderId="0" applyNumberFormat="0" applyBorder="0" applyAlignment="0" applyProtection="0">
      <alignment vertical="center"/>
    </xf>
    <xf numFmtId="0" fontId="42" fillId="29" borderId="0" applyNumberFormat="0" applyBorder="0" applyAlignment="0" applyProtection="0">
      <alignment vertical="center"/>
    </xf>
    <xf numFmtId="0" fontId="43" fillId="61" borderId="0" applyNumberFormat="0" applyBorder="0" applyAlignment="0" applyProtection="0">
      <alignment vertical="center"/>
    </xf>
    <xf numFmtId="0" fontId="42" fillId="29" borderId="0" applyNumberFormat="0" applyBorder="0" applyAlignment="0" applyProtection="0">
      <alignment vertical="center"/>
    </xf>
    <xf numFmtId="165" fontId="39" fillId="61" borderId="0" applyNumberFormat="0" applyBorder="0" applyAlignment="0" applyProtection="0">
      <alignment vertical="center"/>
    </xf>
    <xf numFmtId="0" fontId="44"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39" fillId="48" borderId="0" applyNumberFormat="0" applyBorder="0" applyAlignment="0" applyProtection="0">
      <alignment vertical="center"/>
    </xf>
    <xf numFmtId="0" fontId="42" fillId="33" borderId="0" applyNumberFormat="0" applyBorder="0" applyAlignment="0" applyProtection="0">
      <alignment vertical="center"/>
    </xf>
    <xf numFmtId="0" fontId="43" fillId="63" borderId="0" applyNumberFormat="0" applyBorder="0" applyAlignment="0" applyProtection="0">
      <alignment vertical="center"/>
    </xf>
    <xf numFmtId="0" fontId="42" fillId="33" borderId="0" applyNumberFormat="0" applyBorder="0" applyAlignment="0" applyProtection="0">
      <alignment vertical="center"/>
    </xf>
    <xf numFmtId="165" fontId="39" fillId="63" borderId="0" applyNumberFormat="0" applyBorder="0" applyAlignment="0" applyProtection="0">
      <alignment vertical="center"/>
    </xf>
    <xf numFmtId="0" fontId="44"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45" fillId="0" borderId="0" applyFont="0" applyFill="0" applyBorder="0" applyAlignment="0" applyProtection="0"/>
    <xf numFmtId="165" fontId="45" fillId="0" borderId="0" applyFont="0" applyFill="0" applyBorder="0" applyAlignment="0" applyProtection="0"/>
    <xf numFmtId="183" fontId="46" fillId="0" borderId="0" applyFont="0" applyFill="0" applyBorder="0" applyAlignment="0" applyProtection="0"/>
    <xf numFmtId="0" fontId="21" fillId="0" borderId="0" applyFont="0" applyFill="0" applyBorder="0" applyAlignment="0" applyProtection="0"/>
    <xf numFmtId="40" fontId="21"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51" fillId="0" borderId="0" applyFont="0" applyFill="0" applyBorder="0" applyAlignment="0" applyProtection="0"/>
    <xf numFmtId="165" fontId="23" fillId="0" borderId="0" applyFont="0" applyFill="0" applyBorder="0" applyAlignment="0" applyProtection="0"/>
    <xf numFmtId="0" fontId="51"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165" fontId="50" fillId="0" borderId="0" applyFont="0" applyFill="0" applyBorder="0" applyAlignment="0" applyProtection="0"/>
    <xf numFmtId="184" fontId="52" fillId="0" borderId="0" applyFont="0" applyFill="0" applyBorder="0" applyAlignment="0" applyProtection="0"/>
    <xf numFmtId="165" fontId="23"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165" fontId="55" fillId="66" borderId="0" applyNumberFormat="0" applyBorder="0" applyAlignment="0" applyProtection="0"/>
    <xf numFmtId="165" fontId="55" fillId="67" borderId="0" applyNumberFormat="0" applyBorder="0" applyAlignment="0" applyProtection="0"/>
    <xf numFmtId="165" fontId="56" fillId="68" borderId="0" applyNumberFormat="0" applyBorder="0" applyAlignment="0" applyProtection="0"/>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1"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0" fillId="7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3" borderId="0" applyNumberFormat="0" applyBorder="0" applyAlignment="0" applyProtection="0"/>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1"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0" fillId="75" borderId="0">
      <alignment vertical="center"/>
    </xf>
    <xf numFmtId="165" fontId="56" fillId="76"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72" borderId="0" applyNumberFormat="0" applyBorder="0" applyAlignment="0" applyProtection="0"/>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1"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0" fillId="78" borderId="0">
      <alignment vertical="center"/>
    </xf>
    <xf numFmtId="165" fontId="56" fillId="73"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2" borderId="0" applyNumberFormat="0" applyBorder="0" applyAlignment="0" applyProtection="0"/>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68" borderId="0" applyNumberFormat="0" applyBorder="0" applyAlignment="0" applyProtection="0"/>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165" fontId="56" fillId="79" borderId="0" applyNumberFormat="0" applyBorder="0" applyAlignment="0" applyProtection="0"/>
    <xf numFmtId="165" fontId="55" fillId="80" borderId="0" applyNumberFormat="0" applyBorder="0" applyAlignment="0" applyProtection="0"/>
    <xf numFmtId="165" fontId="55" fillId="80" borderId="0" applyNumberFormat="0" applyBorder="0" applyAlignment="0" applyProtection="0"/>
    <xf numFmtId="165" fontId="56" fillId="81" borderId="0" applyNumberFormat="0" applyBorder="0" applyAlignment="0" applyProtection="0"/>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1"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0" fillId="82" borderId="0">
      <alignment vertical="center"/>
    </xf>
    <xf numFmtId="165" fontId="56" fillId="83" borderId="0" applyNumberFormat="0" applyBorder="0" applyAlignment="0" applyProtection="0"/>
    <xf numFmtId="165" fontId="8" fillId="0" borderId="0" applyFont="0" applyFill="0" applyBorder="0" applyAlignment="0" applyProtection="0"/>
    <xf numFmtId="185" fontId="57" fillId="50" borderId="22">
      <alignment horizontal="center" vertical="center"/>
    </xf>
    <xf numFmtId="165" fontId="2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1" fillId="0" borderId="0" applyFont="0" applyFill="0" applyBorder="0" applyAlignment="0" applyProtection="0"/>
    <xf numFmtId="186"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87"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8"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79"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188" fontId="54" fillId="0" borderId="0" applyFont="0" applyFill="0" applyBorder="0" applyAlignment="0" applyProtection="0"/>
    <xf numFmtId="189" fontId="54" fillId="0" borderId="0" applyFont="0" applyFill="0" applyBorder="0" applyAlignment="0" applyProtection="0"/>
    <xf numFmtId="165" fontId="45" fillId="0" borderId="0" applyFont="0" applyFill="0" applyBorder="0" applyAlignment="0" applyProtection="0"/>
    <xf numFmtId="165" fontId="45" fillId="0" borderId="0" applyFont="0" applyFill="0" applyBorder="0" applyAlignment="0" applyProtection="0"/>
    <xf numFmtId="190" fontId="46" fillId="0" borderId="0" applyFont="0" applyFill="0" applyBorder="0" applyAlignment="0" applyProtection="0"/>
    <xf numFmtId="0" fontId="21" fillId="0" borderId="0" applyFont="0" applyFill="0" applyBorder="0" applyAlignment="0" applyProtection="0"/>
    <xf numFmtId="0" fontId="28" fillId="0" borderId="0"/>
    <xf numFmtId="165" fontId="28"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6" fillId="0" borderId="0" applyBorder="0" applyProtection="0">
      <alignment vertical="center"/>
      <protection locked="0"/>
    </xf>
    <xf numFmtId="165" fontId="60"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59" fillId="0" borderId="0" applyFont="0" applyFill="0" applyBorder="0" applyAlignment="0" applyProtection="0"/>
    <xf numFmtId="0" fontId="69" fillId="0" borderId="0" applyFont="0" applyFill="0" applyBorder="0" applyAlignment="0" applyProtection="0"/>
    <xf numFmtId="191"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5"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9"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0" fontId="31" fillId="0" borderId="0" applyFont="0" applyFill="0" applyBorder="0" applyAlignment="0" applyProtection="0"/>
    <xf numFmtId="192" fontId="59"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3"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lignment vertical="center"/>
    </xf>
    <xf numFmtId="165" fontId="74" fillId="84" borderId="0" applyNumberFormat="0" applyBorder="0" applyAlignment="0" applyProtection="0"/>
    <xf numFmtId="165" fontId="75" fillId="0" borderId="0" applyNumberFormat="0" applyFill="0" applyBorder="0" applyAlignment="0" applyProtection="0"/>
    <xf numFmtId="0" fontId="75" fillId="0" borderId="0" applyNumberFormat="0" applyFill="0" applyBorder="0" applyAlignment="0" applyProtection="0"/>
    <xf numFmtId="165" fontId="76" fillId="0" borderId="0"/>
    <xf numFmtId="0" fontId="77" fillId="0" borderId="0"/>
    <xf numFmtId="165" fontId="53" fillId="0" borderId="0"/>
    <xf numFmtId="165" fontId="23" fillId="0" borderId="0"/>
    <xf numFmtId="0" fontId="78" fillId="0" borderId="0"/>
    <xf numFmtId="165" fontId="23" fillId="0" borderId="0"/>
    <xf numFmtId="165" fontId="51" fillId="0" borderId="0"/>
    <xf numFmtId="165" fontId="23" fillId="0" borderId="0"/>
    <xf numFmtId="0" fontId="51" fillId="0" borderId="0"/>
    <xf numFmtId="0" fontId="23" fillId="0" borderId="0"/>
    <xf numFmtId="165" fontId="51" fillId="0" borderId="0"/>
    <xf numFmtId="165" fontId="23" fillId="0" borderId="0"/>
    <xf numFmtId="0" fontId="51" fillId="0" borderId="0"/>
    <xf numFmtId="0" fontId="23" fillId="0" borderId="0"/>
    <xf numFmtId="0" fontId="21" fillId="0" borderId="0"/>
    <xf numFmtId="165" fontId="45" fillId="0" borderId="0"/>
    <xf numFmtId="165" fontId="79" fillId="0" borderId="0"/>
    <xf numFmtId="165" fontId="80" fillId="0" borderId="0"/>
    <xf numFmtId="0" fontId="66" fillId="0" borderId="0"/>
    <xf numFmtId="165" fontId="81" fillId="0" borderId="0"/>
    <xf numFmtId="165" fontId="66" fillId="0" borderId="0"/>
    <xf numFmtId="165" fontId="82" fillId="0" borderId="0"/>
    <xf numFmtId="165" fontId="30" fillId="0" borderId="0"/>
    <xf numFmtId="165" fontId="81" fillId="0" borderId="0"/>
    <xf numFmtId="165" fontId="83" fillId="0" borderId="0"/>
    <xf numFmtId="165" fontId="65" fillId="0" borderId="0"/>
    <xf numFmtId="165" fontId="59" fillId="0" borderId="0"/>
    <xf numFmtId="165" fontId="84" fillId="0" borderId="0"/>
    <xf numFmtId="165" fontId="85" fillId="0" borderId="0"/>
    <xf numFmtId="165" fontId="84" fillId="0" borderId="0"/>
    <xf numFmtId="0" fontId="85" fillId="0" borderId="0"/>
    <xf numFmtId="0" fontId="84" fillId="0" borderId="0"/>
    <xf numFmtId="0" fontId="85" fillId="0" borderId="0"/>
    <xf numFmtId="0" fontId="82" fillId="0" borderId="0"/>
    <xf numFmtId="165" fontId="59" fillId="0" borderId="0"/>
    <xf numFmtId="165" fontId="31" fillId="0" borderId="0"/>
    <xf numFmtId="165" fontId="59" fillId="0" borderId="0"/>
    <xf numFmtId="165" fontId="1" fillId="0" borderId="0"/>
    <xf numFmtId="0" fontId="59" fillId="0" borderId="0"/>
    <xf numFmtId="165" fontId="31" fillId="0" borderId="0"/>
    <xf numFmtId="165" fontId="61" fillId="0" borderId="0"/>
    <xf numFmtId="165" fontId="60" fillId="0" borderId="0"/>
    <xf numFmtId="165" fontId="61" fillId="0" borderId="0"/>
    <xf numFmtId="165" fontId="60" fillId="0" borderId="0"/>
    <xf numFmtId="0" fontId="61" fillId="0" borderId="0"/>
    <xf numFmtId="0" fontId="60" fillId="0" borderId="0"/>
    <xf numFmtId="0" fontId="66" fillId="0" borderId="0"/>
    <xf numFmtId="165" fontId="86" fillId="0" borderId="0"/>
    <xf numFmtId="165" fontId="68" fillId="0" borderId="0"/>
    <xf numFmtId="165" fontId="60" fillId="0" borderId="0"/>
    <xf numFmtId="165" fontId="63" fillId="0" borderId="0"/>
    <xf numFmtId="165" fontId="64" fillId="0" borderId="0"/>
    <xf numFmtId="0" fontId="63" fillId="0" borderId="0"/>
    <xf numFmtId="0" fontId="64" fillId="0" borderId="0"/>
    <xf numFmtId="165" fontId="59" fillId="0" borderId="0"/>
    <xf numFmtId="165" fontId="65" fillId="0" borderId="0"/>
    <xf numFmtId="0" fontId="59" fillId="0" borderId="0"/>
    <xf numFmtId="0" fontId="65"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61" fillId="0" borderId="0"/>
    <xf numFmtId="165" fontId="65" fillId="0" borderId="0"/>
    <xf numFmtId="165" fontId="59" fillId="0" borderId="0"/>
    <xf numFmtId="165" fontId="65" fillId="0" borderId="0"/>
    <xf numFmtId="0" fontId="59" fillId="0" borderId="0"/>
    <xf numFmtId="0" fontId="65" fillId="0" borderId="0"/>
    <xf numFmtId="49" fontId="59" fillId="0" borderId="0">
      <alignment vertical="center"/>
    </xf>
    <xf numFmtId="165" fontId="82" fillId="0" borderId="0"/>
    <xf numFmtId="165" fontId="59" fillId="0" borderId="0"/>
    <xf numFmtId="165" fontId="60" fillId="0" borderId="0"/>
    <xf numFmtId="165" fontId="61" fillId="0" borderId="0"/>
    <xf numFmtId="165" fontId="65" fillId="0" borderId="0"/>
    <xf numFmtId="0" fontId="61" fillId="0" borderId="0"/>
    <xf numFmtId="0" fontId="31" fillId="0" borderId="0"/>
    <xf numFmtId="0" fontId="61" fillId="0" borderId="0"/>
    <xf numFmtId="0" fontId="60" fillId="0" borderId="0"/>
    <xf numFmtId="165" fontId="63" fillId="0" borderId="0"/>
    <xf numFmtId="165" fontId="64" fillId="0" borderId="0"/>
    <xf numFmtId="0" fontId="63" fillId="0" borderId="0"/>
    <xf numFmtId="0" fontId="64" fillId="0" borderId="0"/>
    <xf numFmtId="165" fontId="79" fillId="0" borderId="0"/>
    <xf numFmtId="165" fontId="31"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83" fillId="0" borderId="0"/>
    <xf numFmtId="165" fontId="83" fillId="0" borderId="0"/>
    <xf numFmtId="0" fontId="83" fillId="0" borderId="0"/>
    <xf numFmtId="0" fontId="83" fillId="0" borderId="0"/>
    <xf numFmtId="165" fontId="85" fillId="0" borderId="0"/>
    <xf numFmtId="165" fontId="65" fillId="0" borderId="0" applyBorder="0"/>
    <xf numFmtId="165" fontId="1" fillId="0" borderId="0"/>
    <xf numFmtId="165" fontId="1"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59" fillId="0" borderId="0"/>
    <xf numFmtId="193" fontId="1" fillId="0" borderId="0" applyFill="0" applyBorder="0" applyAlignment="0"/>
    <xf numFmtId="194" fontId="87" fillId="0" borderId="0" applyFill="0" applyBorder="0" applyAlignment="0"/>
    <xf numFmtId="195" fontId="87"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92" fillId="0" borderId="0"/>
    <xf numFmtId="0" fontId="92" fillId="0" borderId="0"/>
    <xf numFmtId="0" fontId="93" fillId="88" borderId="24" applyNumberFormat="0" applyAlignment="0" applyProtection="0">
      <alignment vertical="center"/>
    </xf>
    <xf numFmtId="0" fontId="94" fillId="88" borderId="24" applyNumberFormat="0" applyAlignment="0" applyProtection="0">
      <alignment vertical="center"/>
    </xf>
    <xf numFmtId="165" fontId="95" fillId="73" borderId="24" applyNumberFormat="0" applyAlignment="0" applyProtection="0"/>
    <xf numFmtId="0" fontId="96" fillId="88" borderId="24" applyNumberFormat="0" applyAlignment="0" applyProtection="0">
      <alignment vertical="center"/>
    </xf>
    <xf numFmtId="0" fontId="93" fillId="88" borderId="24" applyNumberFormat="0" applyAlignment="0" applyProtection="0">
      <alignment vertical="center"/>
    </xf>
    <xf numFmtId="0" fontId="94" fillId="88" borderId="24" applyNumberFormat="0" applyAlignment="0" applyProtection="0">
      <alignment vertical="center"/>
    </xf>
    <xf numFmtId="0" fontId="94" fillId="89" borderId="24">
      <alignment vertical="center"/>
    </xf>
    <xf numFmtId="165" fontId="95" fillId="73" borderId="24" applyNumberFormat="0" applyAlignment="0" applyProtection="0"/>
    <xf numFmtId="0" fontId="14" fillId="0" borderId="0" applyNumberFormat="0" applyFill="0" applyBorder="0" applyAlignment="0" applyProtection="0">
      <alignment vertical="top"/>
      <protection locked="0"/>
    </xf>
    <xf numFmtId="10" fontId="51"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7" fillId="0" borderId="0" applyFont="0" applyFill="0" applyBorder="0" applyAlignment="0" applyProtection="0"/>
    <xf numFmtId="165" fontId="6" fillId="0" borderId="0"/>
    <xf numFmtId="0" fontId="6" fillId="0" borderId="0"/>
    <xf numFmtId="0" fontId="19" fillId="86" borderId="0" applyFont="0" applyBorder="0"/>
    <xf numFmtId="165" fontId="97" fillId="0" borderId="0"/>
    <xf numFmtId="199" fontId="6" fillId="0" borderId="0">
      <protection locked="0"/>
    </xf>
    <xf numFmtId="200" fontId="57" fillId="0" borderId="0">
      <protection locked="0"/>
    </xf>
    <xf numFmtId="14" fontId="98" fillId="0" borderId="0" applyFill="0" applyBorder="0" applyAlignment="0"/>
    <xf numFmtId="14" fontId="1" fillId="0" borderId="0" applyFont="0" applyFill="0" applyBorder="0" applyAlignment="0" applyProtection="0"/>
    <xf numFmtId="165" fontId="62" fillId="0" borderId="0">
      <protection locked="0"/>
    </xf>
    <xf numFmtId="0" fontId="99" fillId="1" borderId="0" applyFill="0">
      <alignment horizontal="center"/>
    </xf>
    <xf numFmtId="38" fontId="28" fillId="0" borderId="25">
      <alignment vertical="center"/>
    </xf>
    <xf numFmtId="201" fontId="6" fillId="0" borderId="0"/>
    <xf numFmtId="165" fontId="8" fillId="0" borderId="0" applyFont="0" applyFill="0" applyBorder="0" applyAlignment="0" applyProtection="0"/>
    <xf numFmtId="165" fontId="100" fillId="90" borderId="0" applyNumberFormat="0" applyBorder="0" applyAlignment="0" applyProtection="0"/>
    <xf numFmtId="165" fontId="100" fillId="91" borderId="0" applyNumberFormat="0" applyBorder="0" applyAlignment="0" applyProtection="0"/>
    <xf numFmtId="165" fontId="100"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7" fillId="0" borderId="0">
      <alignment horizontal="left"/>
    </xf>
    <xf numFmtId="165" fontId="6" fillId="0" borderId="0" applyFont="0" applyFill="0" applyBorder="0" applyAlignment="0" applyProtection="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0" borderId="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2" fillId="0" borderId="0">
      <alignment vertical="center"/>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99" fontId="6" fillId="0" borderId="0">
      <protection locked="0"/>
    </xf>
    <xf numFmtId="174" fontId="57" fillId="0" borderId="0">
      <protection locked="0"/>
    </xf>
    <xf numFmtId="165" fontId="1" fillId="0" borderId="0"/>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7"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6" fillId="40" borderId="0">
      <alignment vertical="center"/>
    </xf>
    <xf numFmtId="165" fontId="108" fillId="93" borderId="0" applyNumberFormat="0" applyBorder="0" applyAlignment="0" applyProtection="0"/>
    <xf numFmtId="38" fontId="109" fillId="94" borderId="0" applyNumberFormat="0" applyBorder="0" applyAlignment="0" applyProtection="0"/>
    <xf numFmtId="0" fontId="110" fillId="0" borderId="0">
      <alignment horizontal="left"/>
    </xf>
    <xf numFmtId="0" fontId="110"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3"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2" fillId="0" borderId="28">
      <alignment vertical="center"/>
    </xf>
    <xf numFmtId="165" fontId="114" fillId="0" borderId="29" applyNumberFormat="0" applyFill="0" applyAlignment="0" applyProtection="0"/>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7"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6" fillId="0" borderId="30">
      <alignment vertical="center"/>
    </xf>
    <xf numFmtId="165" fontId="118" fillId="0" borderId="30"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1" fillId="0" borderId="32">
      <alignment vertical="center"/>
    </xf>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lignment vertical="center"/>
    </xf>
    <xf numFmtId="165" fontId="119"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3" fillId="0" borderId="0"/>
    <xf numFmtId="165" fontId="124" fillId="0" borderId="33" applyNumberFormat="0" applyFill="0" applyAlignment="0" applyProtection="0"/>
    <xf numFmtId="205" fontId="125" fillId="95" borderId="34">
      <alignment horizontal="left" vertical="top" textRotation="90"/>
    </xf>
    <xf numFmtId="165" fontId="83" fillId="0" borderId="0"/>
    <xf numFmtId="165" fontId="8" fillId="0" borderId="0" applyFont="0" applyFill="0" applyBorder="0" applyAlignment="0" applyProtection="0"/>
    <xf numFmtId="0" fontId="8" fillId="0" borderId="0" applyFont="0" applyFill="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2"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1" fillId="0" borderId="35">
      <alignment vertical="center"/>
    </xf>
    <xf numFmtId="165" fontId="133" fillId="0" borderId="35" applyNumberFormat="0" applyFill="0" applyAlignment="0" applyProtection="0"/>
    <xf numFmtId="165" fontId="3" fillId="0" borderId="0" applyFont="0" applyFill="0" applyBorder="0" applyAlignment="0" applyProtection="0"/>
    <xf numFmtId="0" fontId="134"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8" fillId="0" borderId="0" applyFont="0" applyFill="0" applyBorder="0" applyAlignment="0" applyProtection="0"/>
    <xf numFmtId="40" fontId="28" fillId="0" borderId="0" applyFont="0" applyFill="0" applyBorder="0" applyAlignment="0" applyProtection="0"/>
    <xf numFmtId="38" fontId="3" fillId="0" borderId="0"/>
    <xf numFmtId="202" fontId="3" fillId="0" borderId="0"/>
    <xf numFmtId="40" fontId="3" fillId="0" borderId="0"/>
    <xf numFmtId="0" fontId="135" fillId="0" borderId="17"/>
    <xf numFmtId="0" fontId="135" fillId="0" borderId="17"/>
    <xf numFmtId="0"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6" fillId="1" borderId="0" applyFill="0">
      <alignment horizontal="center" vertical="center" textRotation="90"/>
    </xf>
    <xf numFmtId="165" fontId="3" fillId="0" borderId="0" applyFont="0" applyFill="0" applyBorder="0" applyAlignment="0" applyProtection="0"/>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9"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8" fillId="96" borderId="0">
      <alignment vertical="center"/>
    </xf>
    <xf numFmtId="165" fontId="140" fillId="81" borderId="0" applyNumberFormat="0" applyBorder="0" applyAlignment="0" applyProtection="0"/>
    <xf numFmtId="37" fontId="19" fillId="0" borderId="0"/>
    <xf numFmtId="37" fontId="19" fillId="0" borderId="0"/>
    <xf numFmtId="165" fontId="141" fillId="0" borderId="0"/>
    <xf numFmtId="0" fontId="141"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6"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8" fillId="0" borderId="16" applyNumberFormat="0" applyBorder="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8" fillId="97" borderId="38" applyFont="0" applyFill="0" applyBorder="0" applyAlignment="0" applyProtection="0">
      <alignment horizontal="left" vertical="center"/>
    </xf>
    <xf numFmtId="0" fontId="148" fillId="97" borderId="38" applyFont="0" applyFill="0" applyBorder="0" applyAlignment="0" applyProtection="0">
      <alignment horizontal="left" vertical="center"/>
    </xf>
    <xf numFmtId="4" fontId="149" fillId="98" borderId="39" applyNumberFormat="0" applyProtection="0">
      <alignment horizontal="left" vertical="center" indent="1"/>
    </xf>
    <xf numFmtId="4" fontId="98" fillId="99" borderId="40" applyNumberFormat="0" applyProtection="0">
      <alignment horizontal="right" vertical="center"/>
    </xf>
    <xf numFmtId="4" fontId="98" fillId="99" borderId="40" applyNumberFormat="0" applyProtection="0">
      <alignment horizontal="right" vertical="center"/>
    </xf>
    <xf numFmtId="4" fontId="150" fillId="100" borderId="39" applyNumberFormat="0" applyProtection="0">
      <alignment vertical="center"/>
    </xf>
    <xf numFmtId="4" fontId="98" fillId="101" borderId="40" applyNumberFormat="0" applyProtection="0">
      <alignment horizontal="left" vertical="center" indent="1"/>
    </xf>
    <xf numFmtId="0" fontId="98" fillId="102" borderId="40" applyNumberFormat="0" applyProtection="0">
      <alignment horizontal="left" vertical="top" indent="1"/>
    </xf>
    <xf numFmtId="0" fontId="98" fillId="102" borderId="40" applyNumberFormat="0" applyProtection="0">
      <alignment horizontal="left" vertical="top" indent="1"/>
    </xf>
    <xf numFmtId="165" fontId="16" fillId="0" borderId="0" applyFont="0" applyFill="0" applyBorder="0" applyAlignment="0" applyProtection="0"/>
    <xf numFmtId="0" fontId="16" fillId="0" borderId="0" applyFont="0" applyFill="0" applyBorder="0" applyAlignment="0" applyProtection="0"/>
    <xf numFmtId="165" fontId="151" fillId="0" borderId="0" applyNumberFormat="0" applyFill="0" applyBorder="0" applyAlignment="0" applyProtection="0"/>
    <xf numFmtId="165" fontId="8" fillId="0" borderId="0" applyFont="0" applyFill="0" applyBorder="0" applyAlignment="0" applyProtection="0"/>
    <xf numFmtId="0" fontId="135" fillId="0" borderId="0"/>
    <xf numFmtId="0" fontId="135" fillId="0" borderId="0"/>
    <xf numFmtId="49" fontId="98" fillId="0" borderId="0" applyFill="0" applyBorder="0" applyAlignment="0"/>
    <xf numFmtId="212" fontId="1" fillId="0" borderId="0" applyFill="0" applyBorder="0" applyAlignment="0"/>
    <xf numFmtId="213" fontId="1" fillId="0" borderId="0" applyFill="0" applyBorder="0" applyAlignment="0"/>
    <xf numFmtId="165" fontId="59" fillId="0" borderId="0"/>
    <xf numFmtId="0" fontId="59" fillId="0" borderId="0"/>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3" fillId="0" borderId="0">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199" fontId="6" fillId="0" borderId="42">
      <protection locked="0"/>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6"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9" fillId="96" borderId="0" applyNumberFormat="0" applyBorder="0" applyAlignment="0" applyProtection="0"/>
    <xf numFmtId="37" fontId="109" fillId="0" borderId="0"/>
    <xf numFmtId="3" fontId="158" fillId="0" borderId="33" applyProtection="0"/>
    <xf numFmtId="214" fontId="66" fillId="0" borderId="0" applyFont="0" applyFill="0" applyBorder="0" applyAlignment="0" applyProtection="0"/>
    <xf numFmtId="165" fontId="61" fillId="0" borderId="0" applyFont="0" applyFill="0" applyBorder="0" applyAlignment="0" applyProtection="0"/>
    <xf numFmtId="165" fontId="1" fillId="0" borderId="0" applyNumberFormat="0" applyFont="0" applyBorder="0" applyAlignment="0" applyProtection="0"/>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lignment vertical="center"/>
    </xf>
    <xf numFmtId="165" fontId="162" fillId="0" borderId="0" applyNumberFormat="0" applyFill="0" applyBorder="0" applyAlignment="0" applyProtection="0"/>
    <xf numFmtId="205" fontId="163" fillId="0" borderId="34">
      <alignment horizontal="left" vertical="top"/>
    </xf>
    <xf numFmtId="205" fontId="164"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5" fillId="0" borderId="0" applyNumberFormat="0" applyFill="0" applyBorder="0" applyAlignment="0" applyProtection="0">
      <alignment vertical="top"/>
      <protection locked="0"/>
    </xf>
    <xf numFmtId="165" fontId="166" fillId="0" borderId="0"/>
    <xf numFmtId="0" fontId="8" fillId="0" borderId="0"/>
    <xf numFmtId="0" fontId="8" fillId="0" borderId="0"/>
    <xf numFmtId="165" fontId="3" fillId="0" borderId="0" applyFont="0" applyFill="0" applyBorder="0" applyAlignment="0" applyProtection="0"/>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165" fontId="39" fillId="103" borderId="0" applyNumberFormat="0" applyBorder="0" applyAlignment="0" applyProtection="0">
      <alignment vertical="center"/>
    </xf>
    <xf numFmtId="0" fontId="42" fillId="10" borderId="0" applyNumberFormat="0" applyBorder="0" applyAlignment="0" applyProtection="0">
      <alignment vertical="center"/>
    </xf>
    <xf numFmtId="0" fontId="43" fillId="69" borderId="0" applyNumberFormat="0" applyBorder="0" applyAlignment="0" applyProtection="0">
      <alignment vertical="center"/>
    </xf>
    <xf numFmtId="0" fontId="42" fillId="10" borderId="0" applyNumberFormat="0" applyBorder="0" applyAlignment="0" applyProtection="0">
      <alignment vertical="center"/>
    </xf>
    <xf numFmtId="165" fontId="39" fillId="69" borderId="0" applyNumberFormat="0" applyBorder="0" applyAlignment="0" applyProtection="0">
      <alignment vertical="center"/>
    </xf>
    <xf numFmtId="0" fontId="44"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165" fontId="39" fillId="65" borderId="0" applyNumberFormat="0" applyBorder="0" applyAlignment="0" applyProtection="0">
      <alignment vertical="center"/>
    </xf>
    <xf numFmtId="0" fontId="42" fillId="14" borderId="0" applyNumberFormat="0" applyBorder="0" applyAlignment="0" applyProtection="0">
      <alignment vertical="center"/>
    </xf>
    <xf numFmtId="0" fontId="43" fillId="74" borderId="0" applyNumberFormat="0" applyBorder="0" applyAlignment="0" applyProtection="0">
      <alignment vertical="center"/>
    </xf>
    <xf numFmtId="0" fontId="42" fillId="14" borderId="0" applyNumberFormat="0" applyBorder="0" applyAlignment="0" applyProtection="0">
      <alignment vertical="center"/>
    </xf>
    <xf numFmtId="165" fontId="39" fillId="74" borderId="0" applyNumberFormat="0" applyBorder="0" applyAlignment="0" applyProtection="0">
      <alignment vertical="center"/>
    </xf>
    <xf numFmtId="0" fontId="44"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165" fontId="39" fillId="54" borderId="0" applyNumberFormat="0" applyBorder="0" applyAlignment="0" applyProtection="0">
      <alignment vertical="center"/>
    </xf>
    <xf numFmtId="0" fontId="42" fillId="18" borderId="0" applyNumberFormat="0" applyBorder="0" applyAlignment="0" applyProtection="0">
      <alignment vertical="center"/>
    </xf>
    <xf numFmtId="0" fontId="43" fillId="77" borderId="0" applyNumberFormat="0" applyBorder="0" applyAlignment="0" applyProtection="0">
      <alignment vertical="center"/>
    </xf>
    <xf numFmtId="0" fontId="42" fillId="18" borderId="0" applyNumberFormat="0" applyBorder="0" applyAlignment="0" applyProtection="0">
      <alignment vertical="center"/>
    </xf>
    <xf numFmtId="165" fontId="39" fillId="77" borderId="0" applyNumberFormat="0" applyBorder="0" applyAlignment="0" applyProtection="0">
      <alignment vertical="center"/>
    </xf>
    <xf numFmtId="0" fontId="44"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165" fontId="39" fillId="104" borderId="0" applyNumberFormat="0" applyBorder="0" applyAlignment="0" applyProtection="0">
      <alignment vertical="center"/>
    </xf>
    <xf numFmtId="0" fontId="42" fillId="22" borderId="0" applyNumberFormat="0" applyBorder="0" applyAlignment="0" applyProtection="0">
      <alignment vertical="center"/>
    </xf>
    <xf numFmtId="0" fontId="43" fillId="59" borderId="0" applyNumberFormat="0" applyBorder="0" applyAlignment="0" applyProtection="0">
      <alignment vertical="center"/>
    </xf>
    <xf numFmtId="0" fontId="42" fillId="22" borderId="0" applyNumberFormat="0" applyBorder="0" applyAlignment="0" applyProtection="0">
      <alignment vertical="center"/>
    </xf>
    <xf numFmtId="165" fontId="39" fillId="59" borderId="0" applyNumberFormat="0" applyBorder="0" applyAlignment="0" applyProtection="0">
      <alignment vertical="center"/>
    </xf>
    <xf numFmtId="0" fontId="44"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165" fontId="39" fillId="61" borderId="0" applyNumberFormat="0" applyBorder="0" applyAlignment="0" applyProtection="0">
      <alignment vertical="center"/>
    </xf>
    <xf numFmtId="0" fontId="42" fillId="26" borderId="0" applyNumberFormat="0" applyBorder="0" applyAlignment="0" applyProtection="0">
      <alignment vertical="center"/>
    </xf>
    <xf numFmtId="0" fontId="43" fillId="61" borderId="0" applyNumberFormat="0" applyBorder="0" applyAlignment="0" applyProtection="0">
      <alignment vertical="center"/>
    </xf>
    <xf numFmtId="0" fontId="42" fillId="26" borderId="0" applyNumberFormat="0" applyBorder="0" applyAlignment="0" applyProtection="0">
      <alignment vertical="center"/>
    </xf>
    <xf numFmtId="0" fontId="44"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165" fontId="39" fillId="74" borderId="0" applyNumberFormat="0" applyBorder="0" applyAlignment="0" applyProtection="0">
      <alignment vertical="center"/>
    </xf>
    <xf numFmtId="0" fontId="42" fillId="30" borderId="0" applyNumberFormat="0" applyBorder="0" applyAlignment="0" applyProtection="0">
      <alignment vertical="center"/>
    </xf>
    <xf numFmtId="0" fontId="43" fillId="65" borderId="0" applyNumberFormat="0" applyBorder="0" applyAlignment="0" applyProtection="0">
      <alignment vertical="center"/>
    </xf>
    <xf numFmtId="0" fontId="42" fillId="30" borderId="0" applyNumberFormat="0" applyBorder="0" applyAlignment="0" applyProtection="0">
      <alignment vertical="center"/>
    </xf>
    <xf numFmtId="165" fontId="39" fillId="65" borderId="0" applyNumberFormat="0" applyBorder="0" applyAlignment="0" applyProtection="0">
      <alignment vertical="center"/>
    </xf>
    <xf numFmtId="0" fontId="44"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165" fontId="15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2" fillId="8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0" fillId="7" borderId="6" applyNumberFormat="0" applyAlignment="0" applyProtection="0">
      <alignment vertical="center"/>
    </xf>
    <xf numFmtId="0" fontId="172" fillId="85" borderId="23" applyNumberFormat="0" applyAlignment="0" applyProtection="0">
      <alignment vertical="center"/>
    </xf>
    <xf numFmtId="0" fontId="170" fillId="7" borderId="6"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0" fontId="173"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8" fillId="0" borderId="0"/>
    <xf numFmtId="2" fontId="174" fillId="0" borderId="0" applyFont="0" applyFill="0" applyBorder="0" applyAlignment="0" applyProtection="0"/>
    <xf numFmtId="165" fontId="8" fillId="0" borderId="0">
      <protection locked="0"/>
    </xf>
    <xf numFmtId="2" fontId="174" fillId="0" borderId="0" applyFont="0" applyFill="0" applyBorder="0" applyAlignment="0" applyProtection="0"/>
    <xf numFmtId="0" fontId="8" fillId="0" borderId="0">
      <protection locked="0"/>
    </xf>
    <xf numFmtId="165" fontId="175" fillId="0" borderId="0" applyNumberFormat="0" applyFill="0" applyBorder="0" applyAlignment="0" applyProtection="0"/>
    <xf numFmtId="165" fontId="176" fillId="0" borderId="0">
      <protection locked="0"/>
    </xf>
    <xf numFmtId="0" fontId="175" fillId="0" borderId="0" applyNumberFormat="0" applyFill="0" applyBorder="0" applyAlignment="0" applyProtection="0"/>
    <xf numFmtId="0" fontId="176" fillId="0" borderId="0">
      <protection locked="0"/>
    </xf>
    <xf numFmtId="165" fontId="177" fillId="0" borderId="0" applyNumberFormat="0" applyFill="0" applyBorder="0" applyAlignment="0" applyProtection="0"/>
    <xf numFmtId="165" fontId="176" fillId="0" borderId="0">
      <protection locked="0"/>
    </xf>
    <xf numFmtId="0" fontId="177" fillId="0" borderId="0" applyNumberFormat="0" applyFill="0" applyBorder="0" applyAlignment="0" applyProtection="0"/>
    <xf numFmtId="0" fontId="176"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71" fillId="41" borderId="0" applyNumberFormat="0" applyBorder="0" applyAlignment="0" applyProtection="0">
      <alignment vertical="center"/>
    </xf>
    <xf numFmtId="0" fontId="178" fillId="4" borderId="0" applyNumberFormat="0" applyBorder="0" applyAlignment="0" applyProtection="0">
      <alignment vertical="center"/>
    </xf>
    <xf numFmtId="0" fontId="179" fillId="37" borderId="0" applyNumberFormat="0" applyBorder="0" applyAlignment="0" applyProtection="0">
      <alignment vertical="center"/>
    </xf>
    <xf numFmtId="0" fontId="178" fillId="4" borderId="0" applyNumberFormat="0" applyBorder="0" applyAlignment="0" applyProtection="0">
      <alignment vertical="center"/>
    </xf>
    <xf numFmtId="165" fontId="71" fillId="37" borderId="0" applyNumberFormat="0" applyBorder="0" applyAlignment="0" applyProtection="0">
      <alignment vertical="center"/>
    </xf>
    <xf numFmtId="0" fontId="180"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0" fontId="20" fillId="0" borderId="0" applyNumberFormat="0" applyFill="0" applyBorder="0" applyAlignment="0" applyProtection="0">
      <alignment vertical="top"/>
      <protection locked="0"/>
    </xf>
    <xf numFmtId="165"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81"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40" fontId="182" fillId="0" borderId="0" applyFont="0" applyFill="0" applyBorder="0" applyAlignment="0" applyProtection="0"/>
    <xf numFmtId="38" fontId="18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182" fillId="0" borderId="0" applyFont="0" applyFill="0" applyBorder="0" applyAlignment="0" applyProtection="0"/>
    <xf numFmtId="165" fontId="18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6" fillId="0" borderId="0" applyFont="0" applyFill="0" applyBorder="0" applyAlignment="0" applyProtection="0">
      <alignment vertical="center"/>
    </xf>
    <xf numFmtId="9" fontId="32" fillId="0" borderId="0" applyFont="0" applyFill="0" applyBorder="0" applyAlignment="0" applyProtection="0">
      <alignment vertical="center"/>
    </xf>
    <xf numFmtId="9" fontId="32" fillId="0" borderId="0" applyFont="0" applyFill="0" applyBorder="0" applyAlignment="0" applyProtection="0">
      <alignment vertical="center"/>
    </xf>
    <xf numFmtId="9" fontId="4" fillId="0" borderId="0" applyFont="0" applyFill="0" applyBorder="0" applyAlignment="0" applyProtection="0">
      <alignment vertical="center"/>
    </xf>
    <xf numFmtId="9" fontId="36" fillId="0" borderId="0" applyFont="0" applyFill="0" applyBorder="0" applyAlignment="0" applyProtection="0">
      <alignment vertical="center"/>
    </xf>
    <xf numFmtId="9" fontId="5" fillId="0" borderId="0" applyFont="0" applyFill="0" applyBorder="0" applyAlignment="0" applyProtection="0"/>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alignment vertical="center"/>
    </xf>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xf numFmtId="9" fontId="183"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184" fillId="0" borderId="0" applyFont="0" applyFill="0" applyBorder="0" applyAlignment="0" applyProtection="0"/>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7" fillId="0" borderId="0" applyFont="0" applyFill="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6" fillId="56" borderId="0" applyNumberFormat="0" applyBorder="0" applyAlignment="0" applyProtection="0">
      <alignment vertical="center"/>
    </xf>
    <xf numFmtId="0" fontId="185" fillId="5" borderId="0" applyNumberFormat="0" applyBorder="0" applyAlignment="0" applyProtection="0">
      <alignment vertical="center"/>
    </xf>
    <xf numFmtId="0" fontId="187" fillId="56" borderId="0" applyNumberFormat="0" applyBorder="0" applyAlignment="0" applyProtection="0">
      <alignment vertical="center"/>
    </xf>
    <xf numFmtId="0" fontId="185" fillId="5" borderId="0" applyNumberFormat="0" applyBorder="0" applyAlignment="0" applyProtection="0">
      <alignment vertical="center"/>
    </xf>
    <xf numFmtId="165" fontId="137" fillId="56" borderId="0" applyNumberFormat="0" applyBorder="0" applyAlignment="0" applyProtection="0">
      <alignment vertical="center"/>
    </xf>
    <xf numFmtId="0" fontId="188"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9" fillId="0" borderId="0"/>
    <xf numFmtId="195" fontId="190" fillId="0" borderId="0" applyFont="0" applyFill="0" applyBorder="0" applyAlignment="0" applyProtection="0"/>
    <xf numFmtId="217" fontId="190" fillId="0" borderId="0" applyFont="0" applyFill="0" applyBorder="0" applyAlignment="0" applyProtection="0"/>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165" fontId="10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4" fillId="8" borderId="9" applyNumberFormat="0" applyAlignment="0" applyProtection="0">
      <alignment vertical="center"/>
    </xf>
    <xf numFmtId="0" fontId="195" fillId="88" borderId="24"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6"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6" fillId="0" borderId="0" applyFont="0" applyFill="0" applyBorder="0" applyAlignment="0" applyProtection="0"/>
    <xf numFmtId="165" fontId="197" fillId="0" borderId="0">
      <alignment vertical="center"/>
    </xf>
    <xf numFmtId="0" fontId="197" fillId="0" borderId="0">
      <alignment vertical="center"/>
    </xf>
    <xf numFmtId="165" fontId="198" fillId="0" borderId="0">
      <alignment vertical="center"/>
    </xf>
    <xf numFmtId="0" fontId="198" fillId="0" borderId="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6" fillId="0" borderId="0" applyFont="0" applyFill="0" applyBorder="0" applyAlignment="0" applyProtection="0">
      <alignment vertical="center"/>
    </xf>
    <xf numFmtId="164" fontId="17" fillId="0" borderId="0" applyFont="0" applyFill="0" applyBorder="0" applyAlignment="0" applyProtection="0"/>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17" fillId="0" borderId="0" applyFont="0" applyFill="0" applyBorder="0" applyAlignment="0" applyProtection="0"/>
    <xf numFmtId="164" fontId="3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6" fillId="0" borderId="0" applyFont="0" applyFill="0" applyBorder="0" applyAlignment="0" applyProtection="0"/>
    <xf numFmtId="164" fontId="32"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9" fillId="0" borderId="0" applyFont="0" applyFill="0" applyBorder="0" applyAlignment="0" applyProtection="0">
      <alignment vertical="center"/>
    </xf>
    <xf numFmtId="164" fontId="19" fillId="0" borderId="0" applyFont="0" applyFill="0" applyBorder="0" applyAlignment="0" applyProtection="0">
      <alignment vertical="center"/>
    </xf>
    <xf numFmtId="164" fontId="19" fillId="0" borderId="0" applyFont="0" applyFill="0" applyBorder="0" applyAlignment="0" applyProtection="0">
      <alignment vertical="center"/>
    </xf>
    <xf numFmtId="164" fontId="16" fillId="0" borderId="0" applyFont="0" applyFill="0" applyBorder="0" applyAlignment="0" applyProtection="0"/>
    <xf numFmtId="164" fontId="184" fillId="0" borderId="0" applyFont="0" applyFill="0" applyBorder="0" applyAlignment="0" applyProtection="0"/>
    <xf numFmtId="0" fontId="8" fillId="0" borderId="0"/>
    <xf numFmtId="165" fontId="1" fillId="0" borderId="0"/>
    <xf numFmtId="0" fontId="18" fillId="0" borderId="0"/>
    <xf numFmtId="218" fontId="8" fillId="0" borderId="0" applyFont="0" applyFill="0" applyBorder="0" applyAlignment="0" applyProtection="0"/>
    <xf numFmtId="0" fontId="1" fillId="0" borderId="0"/>
    <xf numFmtId="0" fontId="18"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59" fillId="0" borderId="44" applyNumberFormat="0" applyFill="0" applyAlignment="0" applyProtection="0">
      <alignment vertical="center"/>
    </xf>
    <xf numFmtId="0" fontId="200" fillId="0" borderId="8" applyNumberFormat="0" applyFill="0" applyAlignment="0" applyProtection="0">
      <alignment vertical="center"/>
    </xf>
    <xf numFmtId="0" fontId="201" fillId="0" borderId="35" applyNumberFormat="0" applyFill="0" applyAlignment="0" applyProtection="0">
      <alignment vertical="center"/>
    </xf>
    <xf numFmtId="0" fontId="200" fillId="0" borderId="8" applyNumberFormat="0" applyFill="0" applyAlignment="0" applyProtection="0">
      <alignment vertical="center"/>
    </xf>
    <xf numFmtId="165" fontId="130" fillId="0" borderId="35" applyNumberFormat="0" applyFill="0" applyAlignment="0" applyProtection="0">
      <alignment vertical="center"/>
    </xf>
    <xf numFmtId="0" fontId="202"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81" fillId="0" borderId="0" applyNumberFormat="0" applyFill="0" applyBorder="0" applyAlignment="0" applyProtection="0">
      <alignment vertical="top"/>
      <protection locked="0"/>
    </xf>
    <xf numFmtId="0" fontId="203" fillId="0" borderId="0" applyNumberFormat="0" applyFill="0" applyBorder="0" applyAlignment="0" applyProtection="0">
      <alignment vertical="top"/>
      <protection locked="0"/>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5" fillId="0" borderId="4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4" fillId="0" borderId="11" applyNumberFormat="0" applyFill="0" applyAlignment="0" applyProtection="0">
      <alignment vertical="center"/>
    </xf>
    <xf numFmtId="0" fontId="205" fillId="0" borderId="41" applyNumberFormat="0" applyFill="0" applyAlignment="0" applyProtection="0">
      <alignment vertical="center"/>
    </xf>
    <xf numFmtId="0" fontId="204" fillId="0" borderId="1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0" fontId="206"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8" fillId="45"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7" fillId="6" borderId="6" applyNumberFormat="0" applyAlignment="0" applyProtection="0">
      <alignment vertical="center"/>
    </xf>
    <xf numFmtId="0" fontId="208" fillId="45" borderId="23" applyNumberFormat="0" applyAlignment="0" applyProtection="0">
      <alignment vertical="center"/>
    </xf>
    <xf numFmtId="0" fontId="207" fillId="6" borderId="6"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0" fontId="209"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4" fontId="174" fillId="0" borderId="0" applyFont="0" applyFill="0" applyBorder="0" applyAlignment="0" applyProtection="0"/>
    <xf numFmtId="4" fontId="104" fillId="0" borderId="0">
      <protection locked="0"/>
    </xf>
    <xf numFmtId="4" fontId="174" fillId="0" borderId="0" applyFont="0" applyFill="0" applyBorder="0" applyAlignment="0" applyProtection="0"/>
    <xf numFmtId="3" fontId="174" fillId="0" borderId="0" applyFont="0" applyFill="0" applyBorder="0" applyAlignment="0" applyProtection="0"/>
    <xf numFmtId="165" fontId="8" fillId="0" borderId="0">
      <protection locked="0"/>
    </xf>
    <xf numFmtId="3" fontId="174" fillId="0" borderId="0" applyFont="0" applyFill="0" applyBorder="0" applyAlignment="0" applyProtection="0"/>
    <xf numFmtId="0" fontId="8" fillId="0" borderId="0">
      <protection locked="0"/>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165" fontId="211" fillId="0" borderId="46" applyNumberFormat="0" applyFill="0" applyAlignment="0" applyProtection="0">
      <alignment vertical="center"/>
    </xf>
    <xf numFmtId="0" fontId="210" fillId="0" borderId="3" applyNumberFormat="0" applyFill="0" applyAlignment="0" applyProtection="0">
      <alignment vertical="center"/>
    </xf>
    <xf numFmtId="0" fontId="212" fillId="0" borderId="28" applyNumberFormat="0" applyFill="0" applyAlignment="0" applyProtection="0">
      <alignment vertical="center"/>
    </xf>
    <xf numFmtId="0" fontId="210" fillId="0" borderId="3" applyNumberFormat="0" applyFill="0" applyAlignment="0" applyProtection="0">
      <alignment vertical="center"/>
    </xf>
    <xf numFmtId="165" fontId="111" fillId="0" borderId="28" applyNumberFormat="0" applyFill="0" applyAlignment="0" applyProtection="0">
      <alignment vertical="center"/>
    </xf>
    <xf numFmtId="0" fontId="213"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165" fontId="216" fillId="0" borderId="47" applyNumberFormat="0" applyFill="0" applyAlignment="0" applyProtection="0">
      <alignment vertical="center"/>
    </xf>
    <xf numFmtId="0" fontId="215" fillId="0" borderId="4" applyNumberFormat="0" applyFill="0" applyAlignment="0" applyProtection="0">
      <alignment vertical="center"/>
    </xf>
    <xf numFmtId="0" fontId="217" fillId="0" borderId="30" applyNumberFormat="0" applyFill="0" applyAlignment="0" applyProtection="0">
      <alignment vertical="center"/>
    </xf>
    <xf numFmtId="0" fontId="215" fillId="0" borderId="4" applyNumberFormat="0" applyFill="0" applyAlignment="0" applyProtection="0">
      <alignment vertical="center"/>
    </xf>
    <xf numFmtId="165" fontId="115" fillId="0" borderId="30" applyNumberFormat="0" applyFill="0" applyAlignment="0" applyProtection="0">
      <alignment vertical="center"/>
    </xf>
    <xf numFmtId="0" fontId="218"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0" fontId="221" fillId="0" borderId="32" applyNumberFormat="0" applyFill="0" applyAlignment="0" applyProtection="0">
      <alignment vertical="center"/>
    </xf>
    <xf numFmtId="0" fontId="219" fillId="0" borderId="5"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0" fontId="222"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120"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2"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105" fillId="43" borderId="0" applyNumberFormat="0" applyBorder="0" applyAlignment="0" applyProtection="0">
      <alignment vertical="center"/>
    </xf>
    <xf numFmtId="0" fontId="224" fillId="3" borderId="0" applyNumberFormat="0" applyBorder="0" applyAlignment="0" applyProtection="0">
      <alignment vertical="center"/>
    </xf>
    <xf numFmtId="0" fontId="225" fillId="39" borderId="0" applyNumberFormat="0" applyBorder="0" applyAlignment="0" applyProtection="0">
      <alignment vertical="center"/>
    </xf>
    <xf numFmtId="0" fontId="224" fillId="3" borderId="0" applyNumberFormat="0" applyBorder="0" applyAlignment="0" applyProtection="0">
      <alignment vertical="center"/>
    </xf>
    <xf numFmtId="165" fontId="105" fillId="39" borderId="0" applyNumberFormat="0" applyBorder="0" applyAlignment="0" applyProtection="0">
      <alignment vertical="center"/>
    </xf>
    <xf numFmtId="0" fontId="224" fillId="3" borderId="0" applyNumberFormat="0" applyBorder="0" applyAlignment="0" applyProtection="0">
      <alignment vertical="center"/>
    </xf>
    <xf numFmtId="0" fontId="226"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8" fillId="0" borderId="0"/>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8" fillId="8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7" fillId="7" borderId="7" applyNumberFormat="0" applyAlignment="0" applyProtection="0">
      <alignment vertical="center"/>
    </xf>
    <xf numFmtId="0" fontId="228" fillId="85" borderId="37" applyNumberFormat="0" applyAlignment="0" applyProtection="0">
      <alignment vertical="center"/>
    </xf>
    <xf numFmtId="0" fontId="227" fillId="7" borderId="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0" fontId="229"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6" fillId="0" borderId="0" applyFont="0" applyFill="0" applyBorder="0" applyAlignment="0" applyProtection="0"/>
    <xf numFmtId="0" fontId="16"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7"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2" fillId="0" borderId="0"/>
    <xf numFmtId="10" fontId="174" fillId="0" borderId="0" applyFont="0" applyFill="0" applyBorder="0" applyAlignment="0" applyProtection="0"/>
    <xf numFmtId="165" fontId="8" fillId="0" borderId="0">
      <protection locked="0"/>
    </xf>
    <xf numFmtId="10" fontId="174"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43"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37" fillId="0" borderId="0">
      <alignment vertical="center"/>
    </xf>
    <xf numFmtId="165" fontId="37"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6" fillId="0" borderId="0">
      <alignment vertical="center"/>
    </xf>
    <xf numFmtId="165" fontId="19" fillId="0" borderId="0"/>
    <xf numFmtId="165" fontId="36" fillId="0" borderId="0">
      <alignment vertical="center"/>
    </xf>
    <xf numFmtId="0" fontId="19" fillId="0" borderId="0"/>
    <xf numFmtId="165" fontId="6" fillId="0" borderId="0">
      <alignment vertical="center"/>
    </xf>
    <xf numFmtId="165" fontId="36" fillId="0" borderId="0">
      <alignment vertical="center"/>
    </xf>
    <xf numFmtId="0" fontId="36" fillId="0" borderId="0">
      <alignment vertical="center"/>
    </xf>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0" fontId="5" fillId="0" borderId="0"/>
    <xf numFmtId="165" fontId="6" fillId="0" borderId="0"/>
    <xf numFmtId="0" fontId="6" fillId="0" borderId="0"/>
    <xf numFmtId="165" fontId="19" fillId="0" borderId="0"/>
    <xf numFmtId="0" fontId="17"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0" fontId="19" fillId="0" borderId="0"/>
    <xf numFmtId="165" fontId="6" fillId="0" borderId="0"/>
    <xf numFmtId="0" fontId="6" fillId="0" borderId="0"/>
    <xf numFmtId="165" fontId="6" fillId="0" borderId="0"/>
    <xf numFmtId="0" fontId="6" fillId="0" borderId="0"/>
    <xf numFmtId="165" fontId="19" fillId="0" borderId="0"/>
    <xf numFmtId="0" fontId="4" fillId="0" borderId="0">
      <alignment vertical="center"/>
    </xf>
    <xf numFmtId="0" fontId="6" fillId="0" borderId="0"/>
    <xf numFmtId="165" fontId="4" fillId="0" borderId="0">
      <alignment vertical="center"/>
    </xf>
    <xf numFmtId="0" fontId="36" fillId="0" borderId="0">
      <alignment vertical="center"/>
    </xf>
    <xf numFmtId="0" fontId="6" fillId="0" borderId="0"/>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165" fontId="6" fillId="0" borderId="0"/>
    <xf numFmtId="0" fontId="37" fillId="0" borderId="0">
      <alignment vertical="center"/>
    </xf>
    <xf numFmtId="165" fontId="36" fillId="0" borderId="0">
      <alignment vertical="center"/>
    </xf>
    <xf numFmtId="0" fontId="37" fillId="0" borderId="0">
      <alignment vertical="center"/>
    </xf>
    <xf numFmtId="165"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165" fontId="6" fillId="0" borderId="0"/>
    <xf numFmtId="0" fontId="6" fillId="0" borderId="0"/>
    <xf numFmtId="0" fontId="230" fillId="0" borderId="0"/>
    <xf numFmtId="0" fontId="37" fillId="0" borderId="0">
      <alignment vertical="center"/>
    </xf>
    <xf numFmtId="165" fontId="17"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6" fillId="0" borderId="0"/>
    <xf numFmtId="0" fontId="6" fillId="0" borderId="0"/>
    <xf numFmtId="0" fontId="6" fillId="0" borderId="0"/>
    <xf numFmtId="165" fontId="19" fillId="0" borderId="0"/>
    <xf numFmtId="0" fontId="19" fillId="0" borderId="0"/>
    <xf numFmtId="165" fontId="19" fillId="0" borderId="0"/>
    <xf numFmtId="0" fontId="19" fillId="0" borderId="0"/>
    <xf numFmtId="0"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36" fillId="0" borderId="0">
      <alignment vertical="center"/>
    </xf>
    <xf numFmtId="0" fontId="230" fillId="0" borderId="0"/>
    <xf numFmtId="165" fontId="37"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lignment vertical="center"/>
    </xf>
    <xf numFmtId="0" fontId="6" fillId="0" borderId="0"/>
    <xf numFmtId="165" fontId="19" fillId="0" borderId="0"/>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0"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165" fontId="19" fillId="0" borderId="0"/>
    <xf numFmtId="0" fontId="4" fillId="0" borderId="0">
      <alignment vertical="center"/>
    </xf>
    <xf numFmtId="165" fontId="36" fillId="0" borderId="0">
      <alignment vertical="center"/>
    </xf>
    <xf numFmtId="0" fontId="37" fillId="0" borderId="0">
      <alignment vertical="center"/>
    </xf>
    <xf numFmtId="165" fontId="4"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0" fontId="6" fillId="0" borderId="0"/>
    <xf numFmtId="0" fontId="6" fillId="0" borderId="0"/>
    <xf numFmtId="0" fontId="6" fillId="0" borderId="0"/>
    <xf numFmtId="0" fontId="36" fillId="0" borderId="0">
      <alignment vertical="center"/>
    </xf>
    <xf numFmtId="0" fontId="230" fillId="0" borderId="0"/>
    <xf numFmtId="0" fontId="6" fillId="0" borderId="0">
      <alignment vertical="center"/>
    </xf>
    <xf numFmtId="165" fontId="36" fillId="0" borderId="0">
      <alignment vertical="center"/>
    </xf>
    <xf numFmtId="0" fontId="6" fillId="0" borderId="0"/>
    <xf numFmtId="0" fontId="35"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165" fontId="19" fillId="0" borderId="0"/>
    <xf numFmtId="0" fontId="6" fillId="0" borderId="0"/>
    <xf numFmtId="165" fontId="36" fillId="0" borderId="0">
      <alignment vertical="center"/>
    </xf>
    <xf numFmtId="0" fontId="19" fillId="0" borderId="0"/>
    <xf numFmtId="165" fontId="19" fillId="0" borderId="0"/>
    <xf numFmtId="165" fontId="36" fillId="0" borderId="0">
      <alignment vertical="center"/>
    </xf>
    <xf numFmtId="0" fontId="19" fillId="0" borderId="0"/>
    <xf numFmtId="165" fontId="19" fillId="0" borderId="0"/>
    <xf numFmtId="165"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0" fontId="6" fillId="0" borderId="0">
      <alignment vertical="center"/>
    </xf>
    <xf numFmtId="165" fontId="19" fillId="0" borderId="0"/>
    <xf numFmtId="0" fontId="19" fillId="0" borderId="0"/>
    <xf numFmtId="0"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6" fillId="0" borderId="0">
      <alignment vertical="center"/>
    </xf>
    <xf numFmtId="0"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165" fontId="36" fillId="0" borderId="0">
      <alignment vertical="center"/>
    </xf>
    <xf numFmtId="0" fontId="6" fillId="0" borderId="0">
      <alignment vertical="center"/>
    </xf>
    <xf numFmtId="165" fontId="32"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6" fillId="0" borderId="0"/>
    <xf numFmtId="165" fontId="6" fillId="0" borderId="0"/>
    <xf numFmtId="0" fontId="231"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232"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6"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7" fillId="0" borderId="0">
      <alignment vertical="center"/>
    </xf>
    <xf numFmtId="165" fontId="19" fillId="0" borderId="0">
      <alignment vertical="center"/>
    </xf>
    <xf numFmtId="0" fontId="6" fillId="0" borderId="0"/>
    <xf numFmtId="0" fontId="6" fillId="0" borderId="0">
      <alignment vertical="center"/>
    </xf>
    <xf numFmtId="165"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2"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17" fillId="0" borderId="0">
      <alignment vertical="center"/>
    </xf>
    <xf numFmtId="0" fontId="183" fillId="0" borderId="0"/>
    <xf numFmtId="165" fontId="6" fillId="0" borderId="0">
      <alignment vertical="center"/>
    </xf>
    <xf numFmtId="0" fontId="6" fillId="0" borderId="0"/>
    <xf numFmtId="0" fontId="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165" fontId="36" fillId="0" borderId="0">
      <alignment vertical="center"/>
    </xf>
    <xf numFmtId="0" fontId="36" fillId="0" borderId="0">
      <alignment vertical="center"/>
    </xf>
    <xf numFmtId="0" fontId="37" fillId="0" borderId="0">
      <alignment vertical="center"/>
    </xf>
    <xf numFmtId="0" fontId="37"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0" fillId="0" borderId="0"/>
    <xf numFmtId="0" fontId="199"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165" fontId="36" fillId="0" borderId="0">
      <alignment vertical="center"/>
    </xf>
    <xf numFmtId="0" fontId="36" fillId="0" borderId="0">
      <alignment vertical="center"/>
    </xf>
    <xf numFmtId="0" fontId="233" fillId="0" borderId="0">
      <alignment vertical="center"/>
    </xf>
    <xf numFmtId="0" fontId="36" fillId="0" borderId="0">
      <alignment vertical="center"/>
    </xf>
    <xf numFmtId="0" fontId="6" fillId="0" borderId="0"/>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4" fillId="0" borderId="0">
      <alignment vertical="center"/>
    </xf>
    <xf numFmtId="0" fontId="8"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98" fillId="34" borderId="0">
      <alignment horizontal="center"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6"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30" fillId="0" borderId="0"/>
    <xf numFmtId="0" fontId="184"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19" fillId="0" borderId="0"/>
    <xf numFmtId="0" fontId="19" fillId="0" borderId="0"/>
    <xf numFmtId="0" fontId="19" fillId="0" borderId="0"/>
    <xf numFmtId="0" fontId="235" fillId="0" borderId="0"/>
    <xf numFmtId="165" fontId="236" fillId="0" borderId="0">
      <alignment vertical="center"/>
    </xf>
    <xf numFmtId="165" fontId="17" fillId="0" borderId="0">
      <alignment vertical="center"/>
    </xf>
    <xf numFmtId="165" fontId="6" fillId="0" borderId="0"/>
    <xf numFmtId="191" fontId="134" fillId="0" borderId="0" applyFont="0" applyFill="0" applyBorder="0" applyAlignment="0" applyProtection="0"/>
    <xf numFmtId="192" fontId="134" fillId="0" borderId="0" applyFont="0" applyFill="0" applyBorder="0" applyAlignment="0" applyProtection="0"/>
    <xf numFmtId="0" fontId="237" fillId="0" borderId="0" applyNumberFormat="0" applyFill="0" applyBorder="0" applyAlignment="0" applyProtection="0">
      <alignment vertical="top"/>
      <protection locked="0"/>
    </xf>
    <xf numFmtId="0" fontId="237"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165" fontId="174" fillId="0" borderId="49" applyNumberFormat="0" applyFont="0" applyFill="0" applyAlignment="0" applyProtection="0"/>
    <xf numFmtId="165" fontId="104" fillId="0" borderId="49">
      <protection locked="0"/>
    </xf>
    <xf numFmtId="0" fontId="174" fillId="0" borderId="49" applyNumberFormat="0" applyFont="0" applyFill="0" applyAlignment="0" applyProtection="0"/>
    <xf numFmtId="0" fontId="104"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4" fillId="0" borderId="0" applyFont="0" applyFill="0" applyBorder="0" applyAlignment="0" applyProtection="0"/>
    <xf numFmtId="165" fontId="8" fillId="0" borderId="0">
      <protection locked="0"/>
    </xf>
    <xf numFmtId="223" fontId="174" fillId="0" borderId="0" applyFont="0" applyFill="0" applyBorder="0" applyAlignment="0" applyProtection="0"/>
    <xf numFmtId="0" fontId="8" fillId="0" borderId="0">
      <protection locked="0"/>
    </xf>
    <xf numFmtId="165" fontId="239" fillId="0" borderId="0"/>
    <xf numFmtId="164" fontId="6" fillId="0" borderId="0" applyFont="0" applyFill="0" applyBorder="0" applyAlignment="0" applyProtection="0"/>
    <xf numFmtId="207" fontId="6" fillId="0" borderId="0" applyFont="0" applyFill="0" applyBorder="0" applyAlignment="0" applyProtection="0"/>
    <xf numFmtId="191" fontId="12" fillId="0" borderId="0" applyFont="0" applyFill="0" applyBorder="0" applyAlignment="0" applyProtection="0"/>
    <xf numFmtId="192" fontId="12" fillId="0" borderId="0" applyFont="0" applyFill="0" applyBorder="0" applyAlignment="0" applyProtection="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0" fontId="241" fillId="0" borderId="50">
      <alignment horizontal="right" vertical="center"/>
    </xf>
    <xf numFmtId="0" fontId="241" fillId="0" borderId="50">
      <alignment horizontal="right" vertical="center"/>
    </xf>
    <xf numFmtId="191" fontId="166" fillId="0" borderId="0" applyFont="0" applyFill="0" applyBorder="0" applyAlignment="0" applyProtection="0"/>
    <xf numFmtId="192" fontId="166" fillId="0" borderId="0" applyFont="0" applyFill="0" applyBorder="0" applyAlignment="0" applyProtection="0"/>
    <xf numFmtId="165" fontId="6" fillId="0" borderId="0"/>
    <xf numFmtId="10" fontId="242" fillId="0" borderId="0" applyFont="0" applyFill="0" applyBorder="0" applyAlignment="0" applyProtection="0"/>
    <xf numFmtId="0" fontId="12" fillId="0" borderId="0"/>
    <xf numFmtId="38" fontId="243" fillId="0" borderId="0" applyFont="0" applyFill="0" applyBorder="0" applyAlignment="0" applyProtection="0"/>
    <xf numFmtId="165" fontId="6" fillId="0" borderId="0"/>
    <xf numFmtId="190" fontId="244" fillId="0" borderId="0" applyFont="0" applyFill="0" applyBorder="0" applyAlignment="0" applyProtection="0"/>
    <xf numFmtId="165" fontId="15" fillId="0" borderId="0" applyFont="0" applyFill="0" applyBorder="0" applyAlignment="0" applyProtection="0"/>
    <xf numFmtId="9" fontId="134" fillId="0" borderId="0" applyFont="0" applyFill="0" applyBorder="0" applyAlignment="0" applyProtection="0"/>
    <xf numFmtId="0" fontId="20" fillId="0" borderId="0" applyNumberFormat="0" applyFill="0" applyBorder="0" applyAlignment="0" applyProtection="0">
      <alignment vertical="top"/>
      <protection locked="0"/>
    </xf>
    <xf numFmtId="165" fontId="245" fillId="0" borderId="0" applyNumberFormat="0" applyFill="0" applyBorder="0" applyAlignment="0" applyProtection="0">
      <alignment vertical="top"/>
      <protection locked="0"/>
    </xf>
    <xf numFmtId="6" fontId="240" fillId="0" borderId="0" applyFont="0" applyFill="0" applyBorder="0" applyAlignment="0" applyProtection="0"/>
    <xf numFmtId="221" fontId="6" fillId="0" borderId="0" applyFont="0" applyFill="0" applyBorder="0" applyAlignment="0" applyProtection="0"/>
    <xf numFmtId="182" fontId="6" fillId="0" borderId="0" applyFont="0" applyFill="0" applyBorder="0" applyAlignment="0" applyProtection="0"/>
    <xf numFmtId="224" fontId="246" fillId="0" borderId="0" applyFont="0" applyFill="0" applyBorder="0" applyAlignment="0" applyProtection="0"/>
    <xf numFmtId="225" fontId="246" fillId="0" borderId="0" applyFont="0" applyFill="0" applyBorder="0" applyAlignment="0" applyProtection="0"/>
    <xf numFmtId="165" fontId="242" fillId="0" borderId="0"/>
    <xf numFmtId="183" fontId="244" fillId="0" borderId="0" applyFont="0" applyFill="0" applyBorder="0" applyAlignment="0" applyProtection="0"/>
    <xf numFmtId="165" fontId="15" fillId="0" borderId="0" applyFont="0" applyFill="0" applyBorder="0" applyAlignment="0" applyProtection="0"/>
    <xf numFmtId="187" fontId="166" fillId="0" borderId="0" applyFont="0" applyFill="0" applyBorder="0" applyAlignment="0" applyProtection="0"/>
    <xf numFmtId="179" fontId="166" fillId="0" borderId="0" applyFont="0" applyFill="0" applyBorder="0" applyAlignment="0" applyProtection="0"/>
    <xf numFmtId="9" fontId="4" fillId="0" borderId="0" applyFont="0" applyFill="0" applyBorder="0" applyAlignment="0" applyProtection="0"/>
    <xf numFmtId="0" fontId="270" fillId="0" borderId="0" applyNumberFormat="0" applyFill="0" applyBorder="0" applyAlignment="0" applyProtection="0"/>
    <xf numFmtId="0" fontId="1" fillId="0" borderId="0"/>
    <xf numFmtId="165" fontId="272" fillId="0" borderId="0" applyNumberFormat="0" applyFill="0" applyBorder="0" applyAlignment="0" applyProtection="0">
      <alignment vertical="top"/>
      <protection locked="0"/>
    </xf>
    <xf numFmtId="0" fontId="273" fillId="0" borderId="0"/>
    <xf numFmtId="0" fontId="275" fillId="0" borderId="0" applyProtection="0"/>
    <xf numFmtId="9" fontId="4" fillId="0" borderId="0" applyFont="0" applyFill="0" applyBorder="0" applyAlignment="0" applyProtection="0"/>
    <xf numFmtId="0" fontId="6" fillId="0" borderId="0">
      <alignment vertical="center"/>
    </xf>
    <xf numFmtId="0" fontId="5" fillId="0" borderId="0"/>
    <xf numFmtId="9" fontId="6" fillId="0" borderId="0" applyFont="0" applyFill="0" applyBorder="0" applyAlignment="0" applyProtection="0">
      <alignment vertical="center"/>
    </xf>
  </cellStyleXfs>
  <cellXfs count="245">
    <xf numFmtId="0" fontId="0" fillId="0" borderId="0" xfId="0"/>
    <xf numFmtId="0" fontId="22" fillId="0" borderId="2" xfId="0" applyFont="1" applyFill="1" applyBorder="1" applyAlignment="1">
      <alignment vertical="top" wrapText="1"/>
    </xf>
    <xf numFmtId="0" fontId="250" fillId="2" borderId="2" xfId="0" applyFont="1" applyFill="1" applyBorder="1" applyAlignment="1">
      <alignment vertical="top" wrapText="1"/>
    </xf>
    <xf numFmtId="0" fontId="247" fillId="0" borderId="0" xfId="0" applyFont="1" applyFill="1" applyAlignment="1">
      <alignment horizontal="left" vertical="center"/>
    </xf>
    <xf numFmtId="0" fontId="22" fillId="0" borderId="2"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0" borderId="2" xfId="0" applyFont="1" applyFill="1" applyBorder="1" applyAlignment="1" applyProtection="1">
      <alignment horizontal="center" vertical="center"/>
    </xf>
    <xf numFmtId="0" fontId="22" fillId="0" borderId="2" xfId="0" applyFont="1" applyFill="1" applyBorder="1" applyAlignment="1" applyProtection="1">
      <alignment vertical="center" wrapText="1"/>
    </xf>
    <xf numFmtId="0" fontId="252" fillId="106" borderId="2" xfId="0" applyFont="1" applyFill="1" applyBorder="1" applyAlignment="1">
      <alignment horizontal="center" vertical="center" wrapText="1"/>
    </xf>
    <xf numFmtId="9" fontId="252" fillId="106" borderId="2" xfId="51106" applyFont="1" applyFill="1" applyBorder="1" applyAlignment="1">
      <alignment horizontal="center" vertical="center" wrapText="1"/>
    </xf>
    <xf numFmtId="0" fontId="250" fillId="0" borderId="2" xfId="0" applyFont="1" applyFill="1" applyBorder="1" applyAlignment="1">
      <alignment horizontal="center" vertical="center" wrapText="1"/>
    </xf>
    <xf numFmtId="0" fontId="22" fillId="0" borderId="2" xfId="0" applyFont="1" applyBorder="1" applyAlignment="1">
      <alignment vertical="center" wrapText="1"/>
    </xf>
    <xf numFmtId="0" fontId="249" fillId="0" borderId="2" xfId="0" applyFont="1" applyFill="1" applyBorder="1" applyAlignment="1" applyProtection="1">
      <alignment vertical="center" wrapText="1"/>
    </xf>
    <xf numFmtId="0" fontId="22" fillId="0" borderId="2" xfId="2" applyFont="1" applyFill="1" applyBorder="1" applyAlignment="1">
      <alignment vertical="center" wrapText="1"/>
    </xf>
    <xf numFmtId="0" fontId="250" fillId="0" borderId="0" xfId="0" applyFont="1" applyFill="1" applyAlignment="1" applyProtection="1">
      <alignment horizontal="center" vertical="center" wrapText="1"/>
    </xf>
    <xf numFmtId="0" fontId="22" fillId="0" borderId="0" xfId="0" applyFont="1" applyFill="1" applyAlignment="1" applyProtection="1">
      <alignment vertical="center"/>
    </xf>
    <xf numFmtId="0" fontId="249" fillId="0" borderId="0" xfId="0" applyFont="1" applyFill="1" applyAlignment="1" applyProtection="1">
      <alignment vertical="center"/>
    </xf>
    <xf numFmtId="0" fontId="22" fillId="0" borderId="0" xfId="0" applyFont="1" applyFill="1" applyAlignment="1" applyProtection="1">
      <alignment horizontal="center" vertical="center"/>
    </xf>
    <xf numFmtId="0" fontId="22" fillId="0" borderId="0" xfId="0" applyFont="1" applyFill="1" applyAlignment="1" applyProtection="1">
      <alignment vertical="center" wrapText="1"/>
    </xf>
    <xf numFmtId="0" fontId="22" fillId="0" borderId="2" xfId="0" applyFont="1" applyFill="1" applyBorder="1" applyAlignment="1">
      <alignment vertical="center" wrapText="1"/>
    </xf>
    <xf numFmtId="0" fontId="249" fillId="0" borderId="2" xfId="0" applyFont="1" applyFill="1" applyBorder="1" applyAlignment="1">
      <alignment vertical="center" wrapText="1"/>
    </xf>
    <xf numFmtId="0" fontId="22" fillId="0" borderId="0" xfId="0" applyFont="1" applyFill="1" applyAlignment="1">
      <alignment vertical="center"/>
    </xf>
    <xf numFmtId="0" fontId="250" fillId="2" borderId="2" xfId="0" applyFont="1" applyFill="1" applyBorder="1" applyAlignment="1">
      <alignment vertical="center" wrapText="1"/>
    </xf>
    <xf numFmtId="0" fontId="251" fillId="0" borderId="0" xfId="0" applyFont="1" applyFill="1" applyAlignment="1">
      <alignment vertical="center"/>
    </xf>
    <xf numFmtId="0" fontId="22" fillId="0" borderId="2" xfId="0" applyFont="1" applyFill="1" applyBorder="1" applyAlignment="1" applyProtection="1">
      <alignment vertical="center"/>
    </xf>
    <xf numFmtId="0" fontId="254" fillId="0" borderId="2" xfId="0" applyFont="1" applyFill="1" applyBorder="1" applyAlignment="1" applyProtection="1">
      <alignment vertical="center"/>
    </xf>
    <xf numFmtId="0" fontId="255" fillId="0" borderId="2" xfId="0" applyFont="1" applyFill="1" applyBorder="1" applyAlignment="1" applyProtection="1">
      <alignment horizontal="center" vertical="center"/>
    </xf>
    <xf numFmtId="0" fontId="22" fillId="0" borderId="0" xfId="0" applyFont="1" applyFill="1" applyBorder="1" applyAlignment="1" applyProtection="1">
      <alignment vertical="center"/>
    </xf>
    <xf numFmtId="0" fontId="247" fillId="0" borderId="2" xfId="0" applyFont="1" applyFill="1" applyBorder="1" applyAlignment="1">
      <alignment horizontal="left" vertical="center"/>
    </xf>
    <xf numFmtId="0" fontId="22" fillId="0" borderId="2" xfId="0" applyFont="1" applyFill="1" applyBorder="1" applyAlignment="1">
      <alignment vertical="center"/>
    </xf>
    <xf numFmtId="0" fontId="251" fillId="0" borderId="2" xfId="0" applyFont="1" applyFill="1" applyBorder="1" applyAlignment="1">
      <alignment vertical="center"/>
    </xf>
    <xf numFmtId="0" fontId="247" fillId="0" borderId="2" xfId="0" applyFont="1" applyFill="1" applyBorder="1" applyAlignment="1">
      <alignment vertical="center"/>
    </xf>
    <xf numFmtId="0" fontId="256" fillId="0" borderId="2" xfId="0" applyFont="1" applyFill="1" applyBorder="1" applyAlignment="1" applyProtection="1">
      <alignment horizontal="center" vertical="center" wrapText="1"/>
    </xf>
    <xf numFmtId="0" fontId="256" fillId="0" borderId="2" xfId="0" quotePrefix="1" applyFont="1" applyFill="1" applyBorder="1" applyAlignment="1" applyProtection="1">
      <alignment horizontal="center" vertical="center" wrapText="1"/>
    </xf>
    <xf numFmtId="0" fontId="22" fillId="106" borderId="1" xfId="0" applyFont="1" applyFill="1" applyBorder="1" applyAlignment="1">
      <alignment horizontal="center" vertical="center" wrapText="1"/>
    </xf>
    <xf numFmtId="0" fontId="22" fillId="106" borderId="1" xfId="0" applyFont="1" applyFill="1" applyBorder="1" applyAlignment="1" applyProtection="1">
      <alignment horizontal="center" vertical="center"/>
    </xf>
    <xf numFmtId="0" fontId="249" fillId="106" borderId="1" xfId="0" applyFont="1" applyFill="1" applyBorder="1" applyAlignment="1" applyProtection="1">
      <alignment horizontal="center" vertical="center"/>
    </xf>
    <xf numFmtId="0" fontId="250" fillId="106" borderId="1" xfId="0" applyFont="1" applyFill="1" applyBorder="1" applyAlignment="1" applyProtection="1">
      <alignment horizontal="center" vertical="center" wrapText="1"/>
    </xf>
    <xf numFmtId="0" fontId="22" fillId="106" borderId="1" xfId="0" applyFont="1" applyFill="1" applyBorder="1" applyAlignment="1">
      <alignment horizontal="left" vertical="center" wrapText="1"/>
    </xf>
    <xf numFmtId="0" fontId="22" fillId="106" borderId="1" xfId="0" applyFont="1" applyFill="1" applyBorder="1" applyAlignment="1" applyProtection="1">
      <alignment horizontal="left" vertical="center"/>
    </xf>
    <xf numFmtId="0" fontId="249" fillId="106" borderId="1" xfId="0" applyFont="1" applyFill="1" applyBorder="1" applyAlignment="1" applyProtection="1">
      <alignment horizontal="left" vertical="center"/>
    </xf>
    <xf numFmtId="0" fontId="247" fillId="106" borderId="1" xfId="0" applyFont="1" applyFill="1" applyBorder="1" applyAlignment="1">
      <alignment horizontal="left" vertical="center" wrapText="1"/>
    </xf>
    <xf numFmtId="0" fontId="247" fillId="106" borderId="1" xfId="0" applyFont="1" applyFill="1" applyBorder="1" applyAlignment="1" applyProtection="1">
      <alignment vertical="center"/>
    </xf>
    <xf numFmtId="0" fontId="248" fillId="106" borderId="1" xfId="0" applyFont="1" applyFill="1" applyBorder="1" applyAlignment="1" applyProtection="1">
      <alignment vertical="center"/>
    </xf>
    <xf numFmtId="0" fontId="253" fillId="34" borderId="2" xfId="0" applyFont="1" applyFill="1" applyBorder="1" applyAlignment="1">
      <alignment horizontal="center" vertical="center" wrapText="1"/>
    </xf>
    <xf numFmtId="0" fontId="262" fillId="0" borderId="2" xfId="0" applyFont="1" applyFill="1" applyBorder="1" applyAlignment="1" applyProtection="1">
      <alignment horizontal="center" vertical="center"/>
    </xf>
    <xf numFmtId="0" fontId="260" fillId="0" borderId="2" xfId="0" applyFont="1" applyFill="1" applyBorder="1" applyAlignment="1" applyProtection="1">
      <alignment vertical="center"/>
    </xf>
    <xf numFmtId="0" fontId="22" fillId="0" borderId="58" xfId="0" applyFont="1" applyFill="1" applyBorder="1" applyAlignment="1" applyProtection="1">
      <alignment vertical="center"/>
    </xf>
    <xf numFmtId="0" fontId="249" fillId="0" borderId="58" xfId="0" applyFont="1" applyFill="1" applyBorder="1" applyAlignment="1" applyProtection="1">
      <alignment vertical="center"/>
    </xf>
    <xf numFmtId="0" fontId="22" fillId="0" borderId="59" xfId="0" applyFont="1" applyFill="1" applyBorder="1" applyAlignment="1" applyProtection="1">
      <alignment vertical="center"/>
    </xf>
    <xf numFmtId="0" fontId="249" fillId="0" borderId="59" xfId="0" applyFont="1" applyFill="1" applyBorder="1" applyAlignment="1" applyProtection="1">
      <alignment vertical="center"/>
    </xf>
    <xf numFmtId="0" fontId="22" fillId="0" borderId="60" xfId="0" applyFont="1" applyFill="1" applyBorder="1" applyAlignment="1" applyProtection="1">
      <alignment vertical="center"/>
    </xf>
    <xf numFmtId="0" fontId="249" fillId="0" borderId="60" xfId="0" applyFont="1" applyFill="1" applyBorder="1" applyAlignment="1" applyProtection="1">
      <alignment vertical="center"/>
    </xf>
    <xf numFmtId="0" fontId="22" fillId="0" borderId="0" xfId="0" applyFont="1" applyFill="1" applyAlignment="1" applyProtection="1">
      <alignment horizontal="left" vertical="center"/>
    </xf>
    <xf numFmtId="0" fontId="22" fillId="0" borderId="52" xfId="0" applyFont="1" applyFill="1" applyBorder="1" applyAlignment="1" applyProtection="1">
      <alignment vertical="center" wrapText="1"/>
    </xf>
    <xf numFmtId="0" fontId="22" fillId="0" borderId="2" xfId="0" applyFont="1" applyFill="1" applyBorder="1" applyAlignment="1" applyProtection="1">
      <alignment horizontal="center" vertical="center" wrapText="1"/>
    </xf>
    <xf numFmtId="0" fontId="22" fillId="0" borderId="52" xfId="0" applyFont="1" applyFill="1" applyBorder="1" applyAlignment="1" applyProtection="1">
      <alignment horizontal="center" vertical="center" wrapText="1"/>
    </xf>
    <xf numFmtId="0" fontId="22" fillId="0" borderId="2" xfId="0" quotePrefix="1" applyFont="1" applyFill="1" applyBorder="1" applyAlignment="1">
      <alignment vertical="center" wrapText="1"/>
    </xf>
    <xf numFmtId="0" fontId="249" fillId="0" borderId="2" xfId="0" quotePrefix="1" applyFont="1" applyFill="1" applyBorder="1" applyAlignment="1">
      <alignment vertical="center" wrapText="1"/>
    </xf>
    <xf numFmtId="0" fontId="22" fillId="0" borderId="2" xfId="0" quotePrefix="1" applyFont="1" applyFill="1" applyBorder="1" applyAlignment="1">
      <alignment vertical="top" wrapText="1"/>
    </xf>
    <xf numFmtId="0" fontId="260" fillId="0" borderId="2" xfId="0" applyFont="1" applyFill="1" applyBorder="1" applyAlignment="1" applyProtection="1">
      <alignment vertical="center" wrapText="1"/>
    </xf>
    <xf numFmtId="0" fontId="269" fillId="34" borderId="15" xfId="0" applyFont="1" applyFill="1" applyBorder="1" applyAlignment="1">
      <alignment horizontal="center" vertical="center" wrapText="1"/>
    </xf>
    <xf numFmtId="0" fontId="269" fillId="34" borderId="55" xfId="0" applyFont="1" applyFill="1" applyBorder="1" applyAlignment="1">
      <alignment horizontal="center" vertical="center" wrapText="1"/>
    </xf>
    <xf numFmtId="0" fontId="253" fillId="106" borderId="2" xfId="0" applyFont="1" applyFill="1" applyBorder="1" applyAlignment="1">
      <alignment horizontal="center" vertical="center" wrapText="1"/>
    </xf>
    <xf numFmtId="0" fontId="247" fillId="106" borderId="2" xfId="0" applyFont="1" applyFill="1" applyBorder="1" applyAlignment="1">
      <alignment horizontal="left" vertical="center"/>
    </xf>
    <xf numFmtId="0" fontId="260" fillId="0" borderId="2" xfId="0" applyFont="1" applyFill="1" applyBorder="1" applyAlignment="1" applyProtection="1">
      <alignment horizontal="center" vertical="center"/>
    </xf>
    <xf numFmtId="0" fontId="247" fillId="0" borderId="2" xfId="0" applyFont="1" applyFill="1" applyBorder="1" applyAlignment="1" applyProtection="1">
      <alignment horizontal="center" vertical="center"/>
    </xf>
    <xf numFmtId="0" fontId="253" fillId="106" borderId="52" xfId="0" applyFont="1" applyFill="1" applyBorder="1" applyAlignment="1">
      <alignment horizontal="center" vertical="center" wrapText="1"/>
    </xf>
    <xf numFmtId="0" fontId="250" fillId="0" borderId="2" xfId="0" applyFont="1" applyFill="1" applyBorder="1" applyAlignment="1" applyProtection="1">
      <alignment horizontal="center" vertical="center" wrapText="1"/>
    </xf>
    <xf numFmtId="0" fontId="271" fillId="0" borderId="2" xfId="51107" applyFont="1" applyFill="1" applyBorder="1" applyAlignment="1" applyProtection="1">
      <alignment vertical="center"/>
    </xf>
    <xf numFmtId="9" fontId="22" fillId="0" borderId="2" xfId="0" applyNumberFormat="1" applyFont="1" applyFill="1" applyBorder="1" applyAlignment="1" applyProtection="1">
      <alignment vertical="center"/>
    </xf>
    <xf numFmtId="14" fontId="256" fillId="0" borderId="2" xfId="0" applyNumberFormat="1" applyFont="1" applyFill="1" applyBorder="1" applyAlignment="1" applyProtection="1">
      <alignment horizontal="center" vertical="center" wrapText="1"/>
    </xf>
    <xf numFmtId="0" fontId="274" fillId="2" borderId="0" xfId="51110" applyFont="1" applyFill="1" applyAlignment="1">
      <alignment vertical="center"/>
    </xf>
    <xf numFmtId="0" fontId="276" fillId="2" borderId="0" xfId="51111" applyNumberFormat="1" applyFont="1" applyFill="1" applyBorder="1" applyAlignment="1"/>
    <xf numFmtId="0" fontId="276" fillId="2" borderId="72" xfId="51111" applyNumberFormat="1" applyFont="1" applyFill="1" applyBorder="1" applyAlignment="1"/>
    <xf numFmtId="0" fontId="276" fillId="2" borderId="16" xfId="51111" applyNumberFormat="1" applyFont="1" applyFill="1" applyBorder="1" applyAlignment="1"/>
    <xf numFmtId="0" fontId="276" fillId="2" borderId="73" xfId="51111" applyNumberFormat="1" applyFont="1" applyFill="1" applyBorder="1" applyAlignment="1"/>
    <xf numFmtId="0" fontId="276" fillId="2" borderId="74" xfId="51111" applyNumberFormat="1" applyFont="1" applyFill="1" applyBorder="1" applyAlignment="1"/>
    <xf numFmtId="0" fontId="276" fillId="2" borderId="75" xfId="51111" applyNumberFormat="1" applyFont="1" applyFill="1" applyBorder="1" applyAlignment="1"/>
    <xf numFmtId="0" fontId="274" fillId="2" borderId="74" xfId="51110" applyFont="1" applyFill="1" applyBorder="1" applyAlignment="1">
      <alignment vertical="center"/>
    </xf>
    <xf numFmtId="0" fontId="274" fillId="2" borderId="0" xfId="51110" applyFont="1" applyFill="1" applyBorder="1" applyAlignment="1">
      <alignment vertical="center"/>
    </xf>
    <xf numFmtId="0" fontId="279" fillId="2" borderId="74" xfId="51111" applyNumberFormat="1" applyFont="1" applyFill="1" applyBorder="1" applyAlignment="1">
      <alignment horizontal="center"/>
    </xf>
    <xf numFmtId="0" fontId="278" fillId="2" borderId="0" xfId="51110" applyNumberFormat="1" applyFont="1" applyFill="1" applyBorder="1" applyAlignment="1">
      <alignment horizontal="right" vertical="center"/>
    </xf>
    <xf numFmtId="0" fontId="274" fillId="2" borderId="75" xfId="51110" applyFont="1" applyFill="1" applyBorder="1" applyAlignment="1">
      <alignment vertical="center"/>
    </xf>
    <xf numFmtId="0" fontId="281" fillId="2" borderId="0" xfId="51111" applyNumberFormat="1" applyFont="1" applyFill="1" applyBorder="1" applyAlignment="1"/>
    <xf numFmtId="0" fontId="276" fillId="2" borderId="76" xfId="51111" applyNumberFormat="1" applyFont="1" applyFill="1" applyBorder="1" applyAlignment="1"/>
    <xf numFmtId="0" fontId="276" fillId="2" borderId="17" xfId="51111" applyNumberFormat="1" applyFont="1" applyFill="1" applyBorder="1" applyAlignment="1"/>
    <xf numFmtId="0" fontId="276" fillId="2" borderId="77" xfId="51111" applyNumberFormat="1" applyFont="1" applyFill="1" applyBorder="1" applyAlignment="1"/>
    <xf numFmtId="0" fontId="282" fillId="0" borderId="0" xfId="51114" applyFont="1" applyAlignment="1">
      <alignment vertical="center"/>
    </xf>
    <xf numFmtId="0" fontId="283" fillId="0" borderId="0" xfId="51114" applyFont="1" applyAlignment="1">
      <alignment vertical="center"/>
    </xf>
    <xf numFmtId="0" fontId="284" fillId="0" borderId="0" xfId="51114" applyFont="1" applyAlignment="1">
      <alignment vertical="center"/>
    </xf>
    <xf numFmtId="0" fontId="285" fillId="0" borderId="0" xfId="51114" applyFont="1" applyAlignment="1">
      <alignment vertical="center"/>
    </xf>
    <xf numFmtId="0" fontId="286" fillId="0" borderId="0" xfId="51114" applyFont="1" applyAlignment="1">
      <alignment vertical="center"/>
    </xf>
    <xf numFmtId="0" fontId="290" fillId="0" borderId="0" xfId="51114" applyFont="1" applyAlignment="1">
      <alignment vertical="center"/>
    </xf>
    <xf numFmtId="0" fontId="285" fillId="0" borderId="1" xfId="51114" applyFont="1" applyBorder="1" applyAlignment="1">
      <alignment horizontal="center" vertical="center"/>
    </xf>
    <xf numFmtId="0" fontId="289" fillId="0" borderId="1" xfId="1" applyFont="1" applyBorder="1" applyAlignment="1">
      <alignment horizontal="center" vertical="top" wrapText="1"/>
    </xf>
    <xf numFmtId="9" fontId="292" fillId="0" borderId="1" xfId="51115" applyNumberFormat="1" applyFont="1" applyBorder="1" applyAlignment="1">
      <alignment horizontal="center" vertical="center"/>
    </xf>
    <xf numFmtId="0" fontId="285" fillId="0" borderId="2" xfId="51114" applyFont="1" applyBorder="1" applyAlignment="1">
      <alignment horizontal="center" vertical="center"/>
    </xf>
    <xf numFmtId="0" fontId="289" fillId="0" borderId="2" xfId="1" applyFont="1" applyBorder="1" applyAlignment="1">
      <alignment horizontal="center" vertical="top" wrapText="1"/>
    </xf>
    <xf numFmtId="9" fontId="292" fillId="0" borderId="2" xfId="51115" applyNumberFormat="1" applyFont="1" applyBorder="1" applyAlignment="1">
      <alignment horizontal="center" vertical="center"/>
    </xf>
    <xf numFmtId="0" fontId="283" fillId="0" borderId="0" xfId="51114" applyFont="1" applyBorder="1" applyAlignment="1">
      <alignment vertical="center"/>
    </xf>
    <xf numFmtId="0" fontId="297" fillId="0" borderId="0" xfId="1" applyFont="1" applyBorder="1" applyAlignment="1">
      <alignment vertical="top" wrapText="1"/>
    </xf>
    <xf numFmtId="0" fontId="298" fillId="0" borderId="0" xfId="1" applyFont="1" applyBorder="1" applyAlignment="1">
      <alignment horizontal="center" vertical="center" wrapText="1"/>
    </xf>
    <xf numFmtId="0" fontId="283" fillId="0" borderId="0" xfId="51114" applyFont="1" applyBorder="1" applyAlignment="1">
      <alignment horizontal="center" vertical="center"/>
    </xf>
    <xf numFmtId="0" fontId="290" fillId="0" borderId="0" xfId="51114" applyFont="1" applyAlignment="1">
      <alignment vertical="center" wrapText="1"/>
    </xf>
    <xf numFmtId="0" fontId="283" fillId="0" borderId="0" xfId="51114" applyFont="1" applyAlignment="1">
      <alignment horizontal="right" vertical="center"/>
    </xf>
    <xf numFmtId="0" fontId="283" fillId="0" borderId="0" xfId="51114" applyFont="1" applyAlignment="1">
      <alignment horizontal="left" vertical="center"/>
    </xf>
    <xf numFmtId="0" fontId="302" fillId="0" borderId="0" xfId="51114" applyFont="1" applyAlignment="1">
      <alignment vertical="center"/>
    </xf>
    <xf numFmtId="0" fontId="303" fillId="0" borderId="0" xfId="51113" applyFont="1" applyFill="1" applyAlignment="1">
      <alignment horizontal="center" vertical="center"/>
    </xf>
    <xf numFmtId="0" fontId="303" fillId="0" borderId="0" xfId="51113" applyFont="1" applyFill="1" applyAlignment="1">
      <alignment horizontal="left" vertical="center"/>
    </xf>
    <xf numFmtId="0" fontId="304" fillId="2" borderId="0" xfId="42234" applyFont="1" applyFill="1" applyBorder="1" applyAlignment="1">
      <alignment horizontal="center" vertical="center"/>
    </xf>
    <xf numFmtId="0" fontId="305" fillId="2" borderId="0" xfId="42234" applyFont="1" applyFill="1" applyBorder="1" applyAlignment="1">
      <alignment horizontal="center" vertical="center"/>
    </xf>
    <xf numFmtId="0" fontId="306" fillId="2" borderId="0" xfId="51113" applyFont="1" applyFill="1" applyBorder="1" applyAlignment="1">
      <alignment horizontal="center" vertical="center"/>
    </xf>
    <xf numFmtId="9" fontId="306" fillId="2" borderId="0" xfId="26271" applyFont="1" applyFill="1" applyBorder="1" applyAlignment="1">
      <alignment horizontal="center" vertical="center"/>
    </xf>
    <xf numFmtId="0" fontId="306" fillId="0" borderId="0" xfId="51113" applyFont="1" applyFill="1" applyBorder="1" applyAlignment="1">
      <alignment horizontal="center" vertical="center"/>
    </xf>
    <xf numFmtId="9" fontId="306" fillId="0" borderId="0" xfId="26271" applyFont="1" applyFill="1" applyBorder="1" applyAlignment="1">
      <alignment horizontal="center" vertical="center"/>
    </xf>
    <xf numFmtId="0" fontId="307" fillId="108" borderId="2" xfId="51113" applyFont="1" applyFill="1" applyBorder="1" applyAlignment="1">
      <alignment horizontal="center" vertical="center"/>
    </xf>
    <xf numFmtId="0" fontId="308" fillId="0" borderId="0" xfId="51113" applyFont="1" applyFill="1" applyAlignment="1">
      <alignment horizontal="center" vertical="center"/>
    </xf>
    <xf numFmtId="0" fontId="309" fillId="0" borderId="2" xfId="51113" applyFont="1" applyFill="1" applyBorder="1" applyAlignment="1">
      <alignment horizontal="center" vertical="center" wrapText="1"/>
    </xf>
    <xf numFmtId="0" fontId="303" fillId="0" borderId="2" xfId="51113" quotePrefix="1" applyFont="1" applyFill="1" applyBorder="1" applyAlignment="1">
      <alignment horizontal="left" vertical="center" wrapText="1"/>
    </xf>
    <xf numFmtId="0" fontId="303" fillId="0" borderId="2" xfId="51113" applyFont="1" applyFill="1" applyBorder="1" applyAlignment="1">
      <alignment horizontal="left" vertical="center" wrapText="1"/>
    </xf>
    <xf numFmtId="0" fontId="303" fillId="0" borderId="2" xfId="51053" quotePrefix="1" applyFont="1" applyFill="1" applyBorder="1" applyAlignment="1" applyProtection="1">
      <alignment horizontal="left" vertical="center" wrapText="1"/>
    </xf>
    <xf numFmtId="0" fontId="303" fillId="0" borderId="2" xfId="51113" applyFont="1" applyFill="1" applyBorder="1" applyAlignment="1">
      <alignment horizontal="center" vertical="center" wrapText="1"/>
    </xf>
    <xf numFmtId="49" fontId="307" fillId="0" borderId="2" xfId="51113" applyNumberFormat="1" applyFont="1" applyFill="1" applyBorder="1" applyAlignment="1">
      <alignment horizontal="center" vertical="center" wrapText="1"/>
    </xf>
    <xf numFmtId="0" fontId="303" fillId="0" borderId="2" xfId="51053" applyFont="1" applyFill="1" applyBorder="1" applyAlignment="1" applyProtection="1">
      <alignment horizontal="left" vertical="center" wrapText="1"/>
    </xf>
    <xf numFmtId="49" fontId="303" fillId="0" borderId="2" xfId="51113" applyNumberFormat="1" applyFont="1" applyFill="1" applyBorder="1" applyAlignment="1">
      <alignment horizontal="center" vertical="center"/>
    </xf>
    <xf numFmtId="14" fontId="303" fillId="0" borderId="2" xfId="51113" applyNumberFormat="1" applyFont="1" applyFill="1" applyBorder="1" applyAlignment="1">
      <alignment horizontal="center" vertical="center" wrapText="1"/>
    </xf>
    <xf numFmtId="0" fontId="303" fillId="0" borderId="2" xfId="51113" applyFont="1" applyFill="1" applyBorder="1" applyAlignment="1">
      <alignment horizontal="center" vertical="center"/>
    </xf>
    <xf numFmtId="49" fontId="307" fillId="0" borderId="2" xfId="51113" applyNumberFormat="1" applyFont="1" applyFill="1" applyBorder="1" applyAlignment="1">
      <alignment horizontal="center" vertical="center"/>
    </xf>
    <xf numFmtId="0" fontId="309" fillId="0" borderId="2" xfId="51113" applyFont="1" applyFill="1" applyBorder="1" applyAlignment="1">
      <alignment horizontal="center" vertical="top" wrapText="1"/>
    </xf>
    <xf numFmtId="0" fontId="303" fillId="0" borderId="2" xfId="38236" applyFont="1" applyBorder="1" applyAlignment="1">
      <alignment horizontal="left" vertical="center" wrapText="1"/>
    </xf>
    <xf numFmtId="0" fontId="303" fillId="2" borderId="2" xfId="51113" applyFont="1" applyFill="1" applyBorder="1" applyAlignment="1">
      <alignment horizontal="left" vertical="center" wrapText="1"/>
    </xf>
    <xf numFmtId="0" fontId="303" fillId="2" borderId="2" xfId="51113" applyFont="1" applyFill="1" applyBorder="1" applyAlignment="1">
      <alignment horizontal="center" vertical="center" wrapText="1"/>
    </xf>
    <xf numFmtId="49" fontId="303" fillId="2" borderId="2" xfId="51113" applyNumberFormat="1" applyFont="1" applyFill="1" applyBorder="1" applyAlignment="1">
      <alignment horizontal="center" vertical="center"/>
    </xf>
    <xf numFmtId="0" fontId="303" fillId="2" borderId="2" xfId="51053" applyFont="1" applyFill="1" applyBorder="1" applyAlignment="1" applyProtection="1">
      <alignment horizontal="left" vertical="center" wrapText="1"/>
    </xf>
    <xf numFmtId="0" fontId="303" fillId="0" borderId="2" xfId="51113" applyFont="1" applyFill="1" applyBorder="1" applyAlignment="1">
      <alignment horizontal="center" vertical="top" wrapText="1"/>
    </xf>
    <xf numFmtId="0" fontId="277" fillId="2" borderId="2" xfId="51110" applyNumberFormat="1" applyFont="1" applyFill="1" applyBorder="1" applyAlignment="1">
      <alignment horizontal="center" vertical="center" wrapText="1"/>
    </xf>
    <xf numFmtId="0" fontId="278" fillId="2" borderId="2" xfId="51110" applyNumberFormat="1" applyFont="1" applyFill="1" applyBorder="1" applyAlignment="1">
      <alignment horizontal="center" vertical="center" wrapText="1"/>
    </xf>
    <xf numFmtId="0" fontId="280" fillId="2" borderId="74" xfId="51111" applyNumberFormat="1" applyFont="1" applyFill="1" applyBorder="1" applyAlignment="1">
      <alignment horizontal="center"/>
    </xf>
    <xf numFmtId="0" fontId="280" fillId="2" borderId="0" xfId="51111" applyNumberFormat="1" applyFont="1" applyFill="1" applyBorder="1" applyAlignment="1">
      <alignment horizontal="center"/>
    </xf>
    <xf numFmtId="0" fontId="280" fillId="2" borderId="75" xfId="51111" applyNumberFormat="1" applyFont="1" applyFill="1" applyBorder="1" applyAlignment="1">
      <alignment horizontal="center"/>
    </xf>
    <xf numFmtId="0" fontId="277" fillId="2" borderId="74" xfId="51111" applyNumberFormat="1" applyFont="1" applyFill="1" applyBorder="1" applyAlignment="1">
      <alignment horizontal="center"/>
    </xf>
    <xf numFmtId="0" fontId="277" fillId="2" borderId="0" xfId="51111" applyNumberFormat="1" applyFont="1" applyFill="1" applyBorder="1" applyAlignment="1">
      <alignment horizontal="center"/>
    </xf>
    <xf numFmtId="0" fontId="277" fillId="2" borderId="75" xfId="51111" applyNumberFormat="1" applyFont="1" applyFill="1" applyBorder="1" applyAlignment="1">
      <alignment horizontal="center"/>
    </xf>
    <xf numFmtId="0" fontId="299" fillId="0" borderId="2" xfId="1" applyFont="1" applyBorder="1" applyAlignment="1">
      <alignment horizontal="center" vertical="top" wrapText="1"/>
    </xf>
    <xf numFmtId="0" fontId="300" fillId="0" borderId="52" xfId="1" applyFont="1" applyBorder="1" applyAlignment="1">
      <alignment horizontal="center" vertical="center" wrapText="1"/>
    </xf>
    <xf numFmtId="0" fontId="300" fillId="0" borderId="27" xfId="1" applyFont="1" applyBorder="1" applyAlignment="1">
      <alignment horizontal="center" vertical="center" wrapText="1"/>
    </xf>
    <xf numFmtId="0" fontId="300" fillId="0" borderId="51" xfId="1" applyFont="1" applyBorder="1" applyAlignment="1">
      <alignment horizontal="center" vertical="center" wrapText="1"/>
    </xf>
    <xf numFmtId="0" fontId="284" fillId="0" borderId="0" xfId="51114" applyFont="1" applyAlignment="1">
      <alignment horizontal="center" vertical="center"/>
    </xf>
    <xf numFmtId="0" fontId="289" fillId="0" borderId="52" xfId="1" applyFont="1" applyBorder="1" applyAlignment="1">
      <alignment horizontal="center" vertical="top" wrapText="1"/>
    </xf>
    <xf numFmtId="0" fontId="289" fillId="0" borderId="51" xfId="1" applyFont="1" applyBorder="1" applyAlignment="1">
      <alignment horizontal="center" vertical="top" wrapText="1"/>
    </xf>
    <xf numFmtId="0" fontId="291" fillId="0" borderId="52" xfId="1" applyFont="1" applyBorder="1" applyAlignment="1">
      <alignment horizontal="center" vertical="center" wrapText="1"/>
    </xf>
    <xf numFmtId="0" fontId="291" fillId="0" borderId="27" xfId="1" applyFont="1" applyBorder="1" applyAlignment="1">
      <alignment horizontal="center" vertical="center" wrapText="1"/>
    </xf>
    <xf numFmtId="0" fontId="291" fillId="0" borderId="51" xfId="1" applyFont="1" applyBorder="1" applyAlignment="1">
      <alignment horizontal="center" vertical="center" wrapText="1"/>
    </xf>
    <xf numFmtId="0" fontId="289" fillId="0" borderId="2" xfId="51114" applyFont="1" applyBorder="1" applyAlignment="1">
      <alignment horizontal="center" vertical="center"/>
    </xf>
    <xf numFmtId="0" fontId="285" fillId="0" borderId="2" xfId="51114" applyFont="1" applyBorder="1" applyAlignment="1">
      <alignment horizontal="center" vertical="center"/>
    </xf>
    <xf numFmtId="0" fontId="294" fillId="0" borderId="52" xfId="1" applyFont="1" applyBorder="1" applyAlignment="1">
      <alignment horizontal="center" vertical="center" wrapText="1"/>
    </xf>
    <xf numFmtId="0" fontId="294" fillId="0" borderId="27" xfId="1" applyFont="1" applyBorder="1" applyAlignment="1">
      <alignment horizontal="center" vertical="center" wrapText="1"/>
    </xf>
    <xf numFmtId="0" fontId="294" fillId="0" borderId="51" xfId="1" applyFont="1" applyBorder="1" applyAlignment="1">
      <alignment horizontal="center" vertical="center" wrapText="1"/>
    </xf>
    <xf numFmtId="0" fontId="291" fillId="0" borderId="52" xfId="51115" applyNumberFormat="1" applyFont="1" applyBorder="1" applyAlignment="1">
      <alignment horizontal="center" vertical="top" wrapText="1"/>
    </xf>
    <xf numFmtId="0" fontId="291" fillId="0" borderId="27" xfId="51115" applyNumberFormat="1" applyFont="1" applyBorder="1" applyAlignment="1">
      <alignment horizontal="center" vertical="top" wrapText="1"/>
    </xf>
    <xf numFmtId="0" fontId="291" fillId="0" borderId="51" xfId="51115" applyNumberFormat="1" applyFont="1" applyBorder="1" applyAlignment="1">
      <alignment horizontal="center" vertical="top" wrapText="1"/>
    </xf>
    <xf numFmtId="193" fontId="291" fillId="0" borderId="52" xfId="1" applyNumberFormat="1" applyFont="1" applyBorder="1" applyAlignment="1">
      <alignment horizontal="center" vertical="top" wrapText="1"/>
    </xf>
    <xf numFmtId="193" fontId="291" fillId="0" borderId="27" xfId="1" applyNumberFormat="1" applyFont="1" applyBorder="1" applyAlignment="1">
      <alignment horizontal="center" vertical="top" wrapText="1"/>
    </xf>
    <xf numFmtId="193" fontId="291" fillId="0" borderId="51" xfId="1" applyNumberFormat="1" applyFont="1" applyBorder="1" applyAlignment="1">
      <alignment horizontal="center" vertical="top" wrapText="1"/>
    </xf>
    <xf numFmtId="217" fontId="292" fillId="0" borderId="1" xfId="3" applyNumberFormat="1" applyFont="1" applyBorder="1" applyAlignment="1">
      <alignment horizontal="center" vertical="center"/>
    </xf>
    <xf numFmtId="0" fontId="293" fillId="46" borderId="2" xfId="51114" applyFont="1" applyFill="1" applyBorder="1" applyAlignment="1">
      <alignment horizontal="center" vertical="center"/>
    </xf>
    <xf numFmtId="227" fontId="292" fillId="46" borderId="2" xfId="51114" applyNumberFormat="1" applyFont="1" applyFill="1" applyBorder="1" applyAlignment="1">
      <alignment horizontal="center" vertical="center"/>
    </xf>
    <xf numFmtId="0" fontId="292" fillId="46" borderId="52" xfId="51114" applyFont="1" applyFill="1" applyBorder="1" applyAlignment="1">
      <alignment horizontal="center" vertical="center"/>
    </xf>
    <xf numFmtId="0" fontId="292" fillId="46" borderId="51" xfId="51114" applyFont="1" applyFill="1" applyBorder="1" applyAlignment="1">
      <alignment horizontal="center" vertical="center"/>
    </xf>
    <xf numFmtId="228" fontId="296" fillId="46" borderId="2" xfId="51115" applyNumberFormat="1" applyFont="1" applyFill="1" applyBorder="1" applyAlignment="1">
      <alignment horizontal="center" vertical="center"/>
    </xf>
    <xf numFmtId="0" fontId="289" fillId="100" borderId="2" xfId="51114" applyFont="1" applyFill="1" applyBorder="1" applyAlignment="1">
      <alignment horizontal="center" vertical="center"/>
    </xf>
    <xf numFmtId="0" fontId="289" fillId="100" borderId="52" xfId="51114" applyFont="1" applyFill="1" applyBorder="1" applyAlignment="1">
      <alignment horizontal="center" vertical="center"/>
    </xf>
    <xf numFmtId="0" fontId="289" fillId="100" borderId="27" xfId="51114" applyFont="1" applyFill="1" applyBorder="1" applyAlignment="1">
      <alignment horizontal="center" vertical="center"/>
    </xf>
    <xf numFmtId="0" fontId="289" fillId="100" borderId="51" xfId="51114" applyFont="1" applyFill="1" applyBorder="1" applyAlignment="1">
      <alignment horizontal="center" vertical="center"/>
    </xf>
    <xf numFmtId="49" fontId="289" fillId="100" borderId="52" xfId="51114" applyNumberFormat="1" applyFont="1" applyFill="1" applyBorder="1" applyAlignment="1">
      <alignment horizontal="center" vertical="center" wrapText="1"/>
    </xf>
    <xf numFmtId="49" fontId="289" fillId="100" borderId="27" xfId="51114" applyNumberFormat="1" applyFont="1" applyFill="1" applyBorder="1" applyAlignment="1">
      <alignment horizontal="center" vertical="center" wrapText="1"/>
    </xf>
    <xf numFmtId="49" fontId="289" fillId="100" borderId="51" xfId="51114" applyNumberFormat="1" applyFont="1" applyFill="1" applyBorder="1" applyAlignment="1">
      <alignment horizontal="center" vertical="center" wrapText="1"/>
    </xf>
    <xf numFmtId="49" fontId="289" fillId="100" borderId="2" xfId="51114" applyNumberFormat="1" applyFont="1" applyFill="1" applyBorder="1" applyAlignment="1">
      <alignment horizontal="center" vertical="center" wrapText="1"/>
    </xf>
    <xf numFmtId="0" fontId="287" fillId="107" borderId="2" xfId="51114" applyFont="1" applyFill="1" applyBorder="1" applyAlignment="1">
      <alignment horizontal="center" vertical="center"/>
    </xf>
    <xf numFmtId="0" fontId="288" fillId="0" borderId="52" xfId="51114" applyFont="1" applyBorder="1" applyAlignment="1">
      <alignment horizontal="center" vertical="center"/>
    </xf>
    <xf numFmtId="0" fontId="288" fillId="0" borderId="27" xfId="51114" applyFont="1" applyBorder="1" applyAlignment="1">
      <alignment horizontal="center" vertical="center"/>
    </xf>
    <xf numFmtId="0" fontId="288" fillId="0" borderId="51" xfId="51114" applyFont="1" applyBorder="1" applyAlignment="1">
      <alignment horizontal="center" vertical="center"/>
    </xf>
    <xf numFmtId="0" fontId="287" fillId="107" borderId="78" xfId="51114" applyFont="1" applyFill="1" applyBorder="1" applyAlignment="1">
      <alignment horizontal="center" vertical="center"/>
    </xf>
    <xf numFmtId="0" fontId="287" fillId="107" borderId="79" xfId="51114" applyFont="1" applyFill="1" applyBorder="1" applyAlignment="1">
      <alignment horizontal="center" vertical="center"/>
    </xf>
    <xf numFmtId="226" fontId="288" fillId="0" borderId="2" xfId="51114" quotePrefix="1" applyNumberFormat="1" applyFont="1" applyFill="1" applyBorder="1" applyAlignment="1">
      <alignment horizontal="center" vertical="center"/>
    </xf>
    <xf numFmtId="226" fontId="288" fillId="0" borderId="2" xfId="51114" applyNumberFormat="1" applyFont="1" applyFill="1" applyBorder="1" applyAlignment="1">
      <alignment horizontal="center" vertical="center"/>
    </xf>
    <xf numFmtId="0" fontId="307" fillId="108" borderId="2" xfId="51113" applyFont="1" applyFill="1" applyBorder="1" applyAlignment="1">
      <alignment horizontal="center" vertical="center"/>
    </xf>
    <xf numFmtId="0" fontId="307" fillId="108" borderId="2" xfId="51113" applyFont="1" applyFill="1" applyBorder="1" applyAlignment="1">
      <alignment horizontal="center" vertical="center" wrapText="1"/>
    </xf>
    <xf numFmtId="0" fontId="254" fillId="0" borderId="2" xfId="0" applyFont="1" applyFill="1" applyBorder="1" applyAlignment="1" applyProtection="1">
      <alignment horizontal="center" vertical="center"/>
    </xf>
    <xf numFmtId="0" fontId="261" fillId="0" borderId="2" xfId="0" applyFont="1" applyFill="1" applyBorder="1" applyAlignment="1" applyProtection="1">
      <alignment horizontal="center" vertical="center"/>
    </xf>
    <xf numFmtId="0" fontId="256" fillId="0" borderId="52" xfId="0" applyFont="1" applyFill="1" applyBorder="1" applyAlignment="1" applyProtection="1">
      <alignment horizontal="center" vertical="center" wrapText="1"/>
    </xf>
    <xf numFmtId="0" fontId="256" fillId="0" borderId="51" xfId="0" applyFont="1" applyFill="1" applyBorder="1" applyAlignment="1" applyProtection="1">
      <alignment horizontal="center" vertical="center" wrapText="1"/>
    </xf>
    <xf numFmtId="0" fontId="247" fillId="106" borderId="2" xfId="0" applyFont="1" applyFill="1" applyBorder="1" applyAlignment="1">
      <alignment horizontal="left" vertical="center"/>
    </xf>
    <xf numFmtId="0" fontId="247" fillId="106" borderId="2" xfId="0" applyFont="1" applyFill="1" applyBorder="1" applyAlignment="1">
      <alignment horizontal="center" vertical="center"/>
    </xf>
    <xf numFmtId="0" fontId="260" fillId="0" borderId="27" xfId="0" applyFont="1" applyFill="1" applyBorder="1" applyAlignment="1" applyProtection="1">
      <alignment horizontal="center" vertical="center"/>
    </xf>
    <xf numFmtId="0" fontId="260" fillId="0" borderId="51" xfId="0" applyFont="1" applyFill="1" applyBorder="1" applyAlignment="1" applyProtection="1">
      <alignment horizontal="center" vertical="center"/>
    </xf>
    <xf numFmtId="0" fontId="260" fillId="0" borderId="52" xfId="0" applyFont="1" applyFill="1" applyBorder="1" applyAlignment="1" applyProtection="1">
      <alignment horizontal="center" vertical="center"/>
    </xf>
    <xf numFmtId="0" fontId="260" fillId="0" borderId="2" xfId="0" applyFont="1" applyFill="1" applyBorder="1" applyAlignment="1" applyProtection="1">
      <alignment horizontal="center" vertical="center"/>
    </xf>
    <xf numFmtId="0" fontId="260" fillId="0" borderId="52" xfId="0" applyFont="1" applyFill="1" applyBorder="1" applyAlignment="1" applyProtection="1">
      <alignment horizontal="center" vertical="center" wrapText="1"/>
    </xf>
    <xf numFmtId="0" fontId="254" fillId="0" borderId="52" xfId="0" applyFont="1" applyFill="1" applyBorder="1" applyAlignment="1" applyProtection="1">
      <alignment horizontal="center" vertical="center"/>
    </xf>
    <xf numFmtId="0" fontId="254" fillId="0" borderId="51" xfId="0" applyFont="1" applyFill="1" applyBorder="1" applyAlignment="1" applyProtection="1">
      <alignment horizontal="center" vertical="center"/>
    </xf>
    <xf numFmtId="0" fontId="247" fillId="0" borderId="52" xfId="0" applyFont="1" applyFill="1" applyBorder="1" applyAlignment="1">
      <alignment horizontal="center" vertical="center"/>
    </xf>
    <xf numFmtId="0" fontId="247" fillId="0" borderId="27" xfId="0" applyFont="1" applyFill="1" applyBorder="1" applyAlignment="1">
      <alignment horizontal="center" vertical="center"/>
    </xf>
    <xf numFmtId="0" fontId="247" fillId="0" borderId="51" xfId="0" applyFont="1" applyFill="1" applyBorder="1" applyAlignment="1">
      <alignment horizontal="center" vertical="center"/>
    </xf>
    <xf numFmtId="0" fontId="247" fillId="106" borderId="12" xfId="0" applyFont="1" applyFill="1" applyBorder="1" applyAlignment="1">
      <alignment horizontal="center" vertical="center"/>
    </xf>
    <xf numFmtId="0" fontId="247" fillId="106" borderId="71" xfId="0" applyFont="1" applyFill="1" applyBorder="1" applyAlignment="1">
      <alignment horizontal="center" vertical="center"/>
    </xf>
    <xf numFmtId="0" fontId="247" fillId="106" borderId="1" xfId="0" applyFont="1" applyFill="1" applyBorder="1" applyAlignment="1">
      <alignment horizontal="center" vertical="center"/>
    </xf>
    <xf numFmtId="0" fontId="247" fillId="0" borderId="54" xfId="0" applyFont="1" applyFill="1" applyBorder="1" applyAlignment="1">
      <alignment horizontal="center" vertical="center"/>
    </xf>
    <xf numFmtId="0" fontId="253" fillId="106" borderId="2" xfId="0" applyFont="1" applyFill="1" applyBorder="1" applyAlignment="1">
      <alignment horizontal="center" vertical="center" wrapText="1"/>
    </xf>
    <xf numFmtId="0" fontId="253" fillId="106" borderId="53" xfId="0" applyFont="1" applyFill="1" applyBorder="1" applyAlignment="1">
      <alignment horizontal="center" vertical="center" wrapText="1"/>
    </xf>
    <xf numFmtId="0" fontId="253" fillId="106" borderId="50" xfId="0" applyFont="1" applyFill="1" applyBorder="1" applyAlignment="1">
      <alignment horizontal="center" vertical="center" wrapText="1"/>
    </xf>
    <xf numFmtId="0" fontId="253" fillId="106" borderId="20" xfId="0" applyFont="1" applyFill="1" applyBorder="1" applyAlignment="1">
      <alignment horizontal="center" vertical="center" wrapText="1"/>
    </xf>
    <xf numFmtId="0" fontId="253" fillId="106" borderId="19" xfId="0" applyFont="1" applyFill="1" applyBorder="1" applyAlignment="1">
      <alignment horizontal="center" vertical="center" wrapText="1"/>
    </xf>
    <xf numFmtId="0" fontId="253" fillId="106" borderId="52" xfId="0" applyFont="1" applyFill="1" applyBorder="1" applyAlignment="1">
      <alignment horizontal="center" vertical="center" wrapText="1"/>
    </xf>
    <xf numFmtId="0" fontId="269" fillId="34" borderId="56" xfId="0" applyFont="1" applyFill="1" applyBorder="1" applyAlignment="1">
      <alignment horizontal="center" vertical="center" wrapText="1"/>
    </xf>
    <xf numFmtId="0" fontId="269" fillId="34" borderId="57" xfId="0" applyFont="1" applyFill="1" applyBorder="1" applyAlignment="1">
      <alignment horizontal="center" vertical="center" wrapText="1"/>
    </xf>
    <xf numFmtId="0" fontId="253" fillId="34" borderId="52" xfId="0" applyFont="1" applyFill="1" applyBorder="1" applyAlignment="1">
      <alignment horizontal="center" vertical="center" wrapText="1"/>
    </xf>
    <xf numFmtId="0" fontId="253" fillId="34" borderId="51" xfId="0" applyFont="1" applyFill="1" applyBorder="1" applyAlignment="1">
      <alignment horizontal="center" vertical="center" wrapText="1"/>
    </xf>
    <xf numFmtId="0" fontId="269" fillId="34" borderId="13" xfId="0" applyFont="1" applyFill="1" applyBorder="1" applyAlignment="1">
      <alignment horizontal="center" vertical="center" wrapText="1"/>
    </xf>
    <xf numFmtId="0" fontId="269" fillId="34" borderId="14" xfId="0" applyFont="1" applyFill="1" applyBorder="1" applyAlignment="1">
      <alignment horizontal="center" vertical="center" wrapText="1"/>
    </xf>
    <xf numFmtId="0" fontId="253" fillId="106" borderId="27" xfId="0" applyFont="1" applyFill="1" applyBorder="1" applyAlignment="1">
      <alignment horizontal="center" vertical="center" wrapText="1"/>
    </xf>
    <xf numFmtId="0" fontId="253" fillId="106" borderId="51" xfId="0" applyFont="1" applyFill="1" applyBorder="1" applyAlignment="1">
      <alignment horizontal="center" vertical="center" wrapText="1"/>
    </xf>
    <xf numFmtId="0" fontId="247" fillId="0" borderId="2" xfId="0" applyFont="1" applyFill="1" applyBorder="1" applyAlignment="1" applyProtection="1">
      <alignment horizontal="center" vertical="center"/>
    </xf>
    <xf numFmtId="0" fontId="248" fillId="0" borderId="2" xfId="0" applyFont="1" applyFill="1" applyBorder="1" applyAlignment="1" applyProtection="1">
      <alignment horizontal="center" vertical="center"/>
    </xf>
    <xf numFmtId="0" fontId="252" fillId="0" borderId="2" xfId="0" applyFont="1" applyFill="1" applyBorder="1" applyAlignment="1" applyProtection="1">
      <alignment horizontal="center" vertical="center" wrapText="1"/>
    </xf>
    <xf numFmtId="0" fontId="249" fillId="0" borderId="2" xfId="0" applyFont="1" applyFill="1" applyBorder="1" applyAlignment="1" applyProtection="1">
      <alignment horizontal="left" vertical="center" wrapText="1"/>
    </xf>
    <xf numFmtId="0" fontId="250" fillId="0" borderId="2" xfId="0" applyFont="1" applyFill="1" applyBorder="1" applyAlignment="1" applyProtection="1">
      <alignment horizontal="center" vertical="center" wrapText="1"/>
    </xf>
    <xf numFmtId="0" fontId="249" fillId="0" borderId="53" xfId="0" applyFont="1" applyFill="1" applyBorder="1" applyAlignment="1" applyProtection="1">
      <alignment horizontal="left" vertical="center" wrapText="1"/>
    </xf>
    <xf numFmtId="0" fontId="249" fillId="0" borderId="50" xfId="0" applyFont="1" applyFill="1" applyBorder="1" applyAlignment="1" applyProtection="1">
      <alignment horizontal="left" vertical="center" wrapText="1"/>
    </xf>
    <xf numFmtId="0" fontId="249" fillId="0" borderId="20" xfId="0" applyFont="1" applyFill="1" applyBorder="1" applyAlignment="1" applyProtection="1">
      <alignment horizontal="left" vertical="center" wrapText="1"/>
    </xf>
    <xf numFmtId="0" fontId="249" fillId="0" borderId="19" xfId="0" applyFont="1" applyFill="1" applyBorder="1" applyAlignment="1" applyProtection="1">
      <alignment horizontal="left" vertical="center" wrapText="1"/>
    </xf>
    <xf numFmtId="0" fontId="22" fillId="0" borderId="70" xfId="0" applyFont="1" applyFill="1" applyBorder="1" applyAlignment="1" applyProtection="1">
      <alignment horizontal="center" vertical="center"/>
    </xf>
    <xf numFmtId="0" fontId="250" fillId="0" borderId="61" xfId="0" applyFont="1" applyFill="1" applyBorder="1" applyAlignment="1" applyProtection="1">
      <alignment horizontal="center" vertical="center" wrapText="1"/>
    </xf>
    <xf numFmtId="0" fontId="250" fillId="0" borderId="62" xfId="0" applyFont="1" applyFill="1" applyBorder="1" applyAlignment="1" applyProtection="1">
      <alignment horizontal="center" vertical="center" wrapText="1"/>
    </xf>
    <xf numFmtId="0" fontId="250" fillId="0" borderId="63" xfId="0" applyFont="1" applyFill="1" applyBorder="1" applyAlignment="1" applyProtection="1">
      <alignment horizontal="center" vertical="center" wrapText="1"/>
    </xf>
    <xf numFmtId="0" fontId="22" fillId="0" borderId="59" xfId="0" applyFont="1" applyFill="1" applyBorder="1" applyAlignment="1" applyProtection="1">
      <alignment horizontal="center" vertical="center"/>
    </xf>
    <xf numFmtId="0" fontId="250" fillId="0" borderId="64" xfId="0" applyFont="1" applyFill="1" applyBorder="1" applyAlignment="1" applyProtection="1">
      <alignment horizontal="center" vertical="center" wrapText="1"/>
    </xf>
    <xf numFmtId="0" fontId="250" fillId="0" borderId="65" xfId="0" applyFont="1" applyFill="1" applyBorder="1" applyAlignment="1" applyProtection="1">
      <alignment horizontal="center" vertical="center" wrapText="1"/>
    </xf>
    <xf numFmtId="0" fontId="250" fillId="0" borderId="66" xfId="0" applyFont="1" applyFill="1" applyBorder="1" applyAlignment="1" applyProtection="1">
      <alignment horizontal="center" vertical="center" wrapText="1"/>
    </xf>
    <xf numFmtId="0" fontId="22" fillId="0" borderId="60" xfId="0" applyFont="1" applyFill="1" applyBorder="1" applyAlignment="1" applyProtection="1">
      <alignment horizontal="center" vertical="center"/>
    </xf>
    <xf numFmtId="0" fontId="250" fillId="0" borderId="67" xfId="0" applyFont="1" applyFill="1" applyBorder="1" applyAlignment="1" applyProtection="1">
      <alignment horizontal="center" vertical="center" wrapText="1"/>
    </xf>
    <xf numFmtId="0" fontId="250" fillId="0" borderId="68" xfId="0" applyFont="1" applyFill="1" applyBorder="1" applyAlignment="1" applyProtection="1">
      <alignment horizontal="center" vertical="center" wrapText="1"/>
    </xf>
    <xf numFmtId="0" fontId="250" fillId="0" borderId="69" xfId="0" applyFont="1" applyFill="1" applyBorder="1" applyAlignment="1" applyProtection="1">
      <alignment horizontal="center" vertical="center" wrapText="1"/>
    </xf>
    <xf numFmtId="0" fontId="22" fillId="0" borderId="54" xfId="0" applyFont="1" applyFill="1" applyBorder="1" applyAlignment="1" applyProtection="1">
      <alignment horizontal="left" vertical="center" wrapText="1"/>
    </xf>
  </cellXfs>
  <cellStyles count="51116">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 2" xfId="3"/>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Followed Hyperlink_RESULTS" xfId="51109"/>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Hyperlink" xfId="51107" builtinId="8"/>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xfId="0" builtinId="0"/>
    <cellStyle name="Normal - Style1" xfId="22398"/>
    <cellStyle name="Normal - Style1 2" xfId="22399"/>
    <cellStyle name="Normal - Style1 2 2" xfId="22400"/>
    <cellStyle name="Normal - Style1 3" xfId="22401"/>
    <cellStyle name="Normal - Style1 4" xfId="22402"/>
    <cellStyle name="Normal 2" xfId="1"/>
    <cellStyle name="Normal 3" xfId="51108"/>
    <cellStyle name="Normal 4" xfId="51110"/>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xfId="51106" builtinId="5"/>
    <cellStyle name="Percent [0]" xfId="23002"/>
    <cellStyle name="Percent [00]" xfId="23003"/>
    <cellStyle name="Percent [2]" xfId="23004"/>
    <cellStyle name="Percent 2" xfId="51112"/>
    <cellStyle name="Percent 3" xfId="51115"/>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48" xfId="51111"/>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_COR(1).40.WWP.SQ.0270_QPA_PWB_Rev2.0_Audit form (송부)_Process check list(영문) 취합" xfId="2"/>
    <cellStyle name="표준_NDI社 SMT공정 진단_0716" xfId="51113"/>
    <cellStyle name="표준_QSA_Check-Sheet" xfId="51114"/>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Report'!$K$11:$K$15</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Report'!$L$11:$L$15</c:f>
              <c:numCache>
                <c:formatCode>#,##0_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12913408"/>
        <c:axId val="112931584"/>
      </c:radarChart>
      <c:catAx>
        <c:axId val="112913408"/>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12931584"/>
        <c:crosses val="autoZero"/>
        <c:auto val="1"/>
        <c:lblAlgn val="ctr"/>
        <c:lblOffset val="100"/>
        <c:noMultiLvlLbl val="0"/>
      </c:catAx>
      <c:valAx>
        <c:axId val="112931584"/>
        <c:scaling>
          <c:orientation val="minMax"/>
          <c:max val="100"/>
          <c:min val="0"/>
        </c:scaling>
        <c:delete val="0"/>
        <c:axPos val="l"/>
        <c:majorGridlines/>
        <c:numFmt formatCode="#,##0_ " sourceLinked="1"/>
        <c:majorTickMark val="cross"/>
        <c:minorTickMark val="none"/>
        <c:tickLblPos val="nextTo"/>
        <c:crossAx val="112913408"/>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58DF-4552-AEF8-E5D5AE27B771}"/>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58DF-4552-AEF8-E5D5AE27B771}"/>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58DF-4552-AEF8-E5D5AE27B771}"/>
            </c:ext>
          </c:extLst>
        </c:ser>
        <c:dLbls>
          <c:showLegendKey val="0"/>
          <c:showVal val="0"/>
          <c:showCatName val="0"/>
          <c:showSerName val="0"/>
          <c:showPercent val="0"/>
          <c:showBubbleSize val="0"/>
        </c:dLbls>
        <c:gapWidth val="150"/>
        <c:axId val="112974080"/>
        <c:axId val="113127424"/>
      </c:barChart>
      <c:catAx>
        <c:axId val="112974080"/>
        <c:scaling>
          <c:orientation val="minMax"/>
        </c:scaling>
        <c:delete val="0"/>
        <c:axPos val="b"/>
        <c:numFmt formatCode="General" sourceLinked="0"/>
        <c:majorTickMark val="out"/>
        <c:minorTickMark val="none"/>
        <c:tickLblPos val="nextTo"/>
        <c:crossAx val="113127424"/>
        <c:crosses val="autoZero"/>
        <c:auto val="1"/>
        <c:lblAlgn val="ctr"/>
        <c:lblOffset val="100"/>
        <c:noMultiLvlLbl val="0"/>
      </c:catAx>
      <c:valAx>
        <c:axId val="113127424"/>
        <c:scaling>
          <c:orientation val="minMax"/>
        </c:scaling>
        <c:delete val="0"/>
        <c:axPos val="l"/>
        <c:majorGridlines/>
        <c:numFmt formatCode="General" sourceLinked="1"/>
        <c:majorTickMark val="out"/>
        <c:minorTickMark val="none"/>
        <c:tickLblPos val="nextTo"/>
        <c:crossAx val="112974080"/>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94066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50" y="209550"/>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Users\zhoug8\Desktop\zhoug8\OSA\Checklist\Supplier%20Assessment%20(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100.6\Excel%20Files\4-MT80-2000-001-I%20%20Supplier%20Assessment%20Template%2005-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SPS%20DATA\training\audit%20questionare\Injection%20Molding%20OSA%20Template%20-%20Concept%2010-15-2014.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zoomScale="60" zoomScaleNormal="100" workbookViewId="0">
      <selection activeCell="E37" sqref="E37"/>
    </sheetView>
  </sheetViews>
  <sheetFormatPr defaultRowHeight="16.5"/>
  <cols>
    <col min="1" max="1" width="2.5703125" style="73" customWidth="1"/>
    <col min="2" max="12" width="9.140625" style="73"/>
    <col min="13" max="14" width="11.5703125" style="73" customWidth="1"/>
    <col min="15" max="15" width="0.7109375" style="73" customWidth="1"/>
    <col min="16" max="256" width="9.140625" style="73"/>
    <col min="257" max="257" width="2.5703125" style="73" customWidth="1"/>
    <col min="258" max="268" width="9.140625" style="73"/>
    <col min="269" max="270" width="11.5703125" style="73" customWidth="1"/>
    <col min="271" max="271" width="0.7109375" style="73" customWidth="1"/>
    <col min="272" max="512" width="9.140625" style="73"/>
    <col min="513" max="513" width="2.5703125" style="73" customWidth="1"/>
    <col min="514" max="524" width="9.140625" style="73"/>
    <col min="525" max="526" width="11.5703125" style="73" customWidth="1"/>
    <col min="527" max="527" width="0.7109375" style="73" customWidth="1"/>
    <col min="528" max="768" width="9.140625" style="73"/>
    <col min="769" max="769" width="2.5703125" style="73" customWidth="1"/>
    <col min="770" max="780" width="9.140625" style="73"/>
    <col min="781" max="782" width="11.5703125" style="73" customWidth="1"/>
    <col min="783" max="783" width="0.7109375" style="73" customWidth="1"/>
    <col min="784" max="1024" width="9.140625" style="73"/>
    <col min="1025" max="1025" width="2.5703125" style="73" customWidth="1"/>
    <col min="1026" max="1036" width="9.140625" style="73"/>
    <col min="1037" max="1038" width="11.5703125" style="73" customWidth="1"/>
    <col min="1039" max="1039" width="0.7109375" style="73" customWidth="1"/>
    <col min="1040" max="1280" width="9.140625" style="73"/>
    <col min="1281" max="1281" width="2.5703125" style="73" customWidth="1"/>
    <col min="1282" max="1292" width="9.140625" style="73"/>
    <col min="1293" max="1294" width="11.5703125" style="73" customWidth="1"/>
    <col min="1295" max="1295" width="0.7109375" style="73" customWidth="1"/>
    <col min="1296" max="1536" width="9.140625" style="73"/>
    <col min="1537" max="1537" width="2.5703125" style="73" customWidth="1"/>
    <col min="1538" max="1548" width="9.140625" style="73"/>
    <col min="1549" max="1550" width="11.5703125" style="73" customWidth="1"/>
    <col min="1551" max="1551" width="0.7109375" style="73" customWidth="1"/>
    <col min="1552" max="1792" width="9.140625" style="73"/>
    <col min="1793" max="1793" width="2.5703125" style="73" customWidth="1"/>
    <col min="1794" max="1804" width="9.140625" style="73"/>
    <col min="1805" max="1806" width="11.5703125" style="73" customWidth="1"/>
    <col min="1807" max="1807" width="0.7109375" style="73" customWidth="1"/>
    <col min="1808" max="2048" width="9.140625" style="73"/>
    <col min="2049" max="2049" width="2.5703125" style="73" customWidth="1"/>
    <col min="2050" max="2060" width="9.140625" style="73"/>
    <col min="2061" max="2062" width="11.5703125" style="73" customWidth="1"/>
    <col min="2063" max="2063" width="0.7109375" style="73" customWidth="1"/>
    <col min="2064" max="2304" width="9.140625" style="73"/>
    <col min="2305" max="2305" width="2.5703125" style="73" customWidth="1"/>
    <col min="2306" max="2316" width="9.140625" style="73"/>
    <col min="2317" max="2318" width="11.5703125" style="73" customWidth="1"/>
    <col min="2319" max="2319" width="0.7109375" style="73" customWidth="1"/>
    <col min="2320" max="2560" width="9.140625" style="73"/>
    <col min="2561" max="2561" width="2.5703125" style="73" customWidth="1"/>
    <col min="2562" max="2572" width="9.140625" style="73"/>
    <col min="2573" max="2574" width="11.5703125" style="73" customWidth="1"/>
    <col min="2575" max="2575" width="0.7109375" style="73" customWidth="1"/>
    <col min="2576" max="2816" width="9.140625" style="73"/>
    <col min="2817" max="2817" width="2.5703125" style="73" customWidth="1"/>
    <col min="2818" max="2828" width="9.140625" style="73"/>
    <col min="2829" max="2830" width="11.5703125" style="73" customWidth="1"/>
    <col min="2831" max="2831" width="0.7109375" style="73" customWidth="1"/>
    <col min="2832" max="3072" width="9.140625" style="73"/>
    <col min="3073" max="3073" width="2.5703125" style="73" customWidth="1"/>
    <col min="3074" max="3084" width="9.140625" style="73"/>
    <col min="3085" max="3086" width="11.5703125" style="73" customWidth="1"/>
    <col min="3087" max="3087" width="0.7109375" style="73" customWidth="1"/>
    <col min="3088" max="3328" width="9.140625" style="73"/>
    <col min="3329" max="3329" width="2.5703125" style="73" customWidth="1"/>
    <col min="3330" max="3340" width="9.140625" style="73"/>
    <col min="3341" max="3342" width="11.5703125" style="73" customWidth="1"/>
    <col min="3343" max="3343" width="0.7109375" style="73" customWidth="1"/>
    <col min="3344" max="3584" width="9.140625" style="73"/>
    <col min="3585" max="3585" width="2.5703125" style="73" customWidth="1"/>
    <col min="3586" max="3596" width="9.140625" style="73"/>
    <col min="3597" max="3598" width="11.5703125" style="73" customWidth="1"/>
    <col min="3599" max="3599" width="0.7109375" style="73" customWidth="1"/>
    <col min="3600" max="3840" width="9.140625" style="73"/>
    <col min="3841" max="3841" width="2.5703125" style="73" customWidth="1"/>
    <col min="3842" max="3852" width="9.140625" style="73"/>
    <col min="3853" max="3854" width="11.5703125" style="73" customWidth="1"/>
    <col min="3855" max="3855" width="0.7109375" style="73" customWidth="1"/>
    <col min="3856" max="4096" width="9.140625" style="73"/>
    <col min="4097" max="4097" width="2.5703125" style="73" customWidth="1"/>
    <col min="4098" max="4108" width="9.140625" style="73"/>
    <col min="4109" max="4110" width="11.5703125" style="73" customWidth="1"/>
    <col min="4111" max="4111" width="0.7109375" style="73" customWidth="1"/>
    <col min="4112" max="4352" width="9.140625" style="73"/>
    <col min="4353" max="4353" width="2.5703125" style="73" customWidth="1"/>
    <col min="4354" max="4364" width="9.140625" style="73"/>
    <col min="4365" max="4366" width="11.5703125" style="73" customWidth="1"/>
    <col min="4367" max="4367" width="0.7109375" style="73" customWidth="1"/>
    <col min="4368" max="4608" width="9.140625" style="73"/>
    <col min="4609" max="4609" width="2.5703125" style="73" customWidth="1"/>
    <col min="4610" max="4620" width="9.140625" style="73"/>
    <col min="4621" max="4622" width="11.5703125" style="73" customWidth="1"/>
    <col min="4623" max="4623" width="0.7109375" style="73" customWidth="1"/>
    <col min="4624" max="4864" width="9.140625" style="73"/>
    <col min="4865" max="4865" width="2.5703125" style="73" customWidth="1"/>
    <col min="4866" max="4876" width="9.140625" style="73"/>
    <col min="4877" max="4878" width="11.5703125" style="73" customWidth="1"/>
    <col min="4879" max="4879" width="0.7109375" style="73" customWidth="1"/>
    <col min="4880" max="5120" width="9.140625" style="73"/>
    <col min="5121" max="5121" width="2.5703125" style="73" customWidth="1"/>
    <col min="5122" max="5132" width="9.140625" style="73"/>
    <col min="5133" max="5134" width="11.5703125" style="73" customWidth="1"/>
    <col min="5135" max="5135" width="0.7109375" style="73" customWidth="1"/>
    <col min="5136" max="5376" width="9.140625" style="73"/>
    <col min="5377" max="5377" width="2.5703125" style="73" customWidth="1"/>
    <col min="5378" max="5388" width="9.140625" style="73"/>
    <col min="5389" max="5390" width="11.5703125" style="73" customWidth="1"/>
    <col min="5391" max="5391" width="0.7109375" style="73" customWidth="1"/>
    <col min="5392" max="5632" width="9.140625" style="73"/>
    <col min="5633" max="5633" width="2.5703125" style="73" customWidth="1"/>
    <col min="5634" max="5644" width="9.140625" style="73"/>
    <col min="5645" max="5646" width="11.5703125" style="73" customWidth="1"/>
    <col min="5647" max="5647" width="0.7109375" style="73" customWidth="1"/>
    <col min="5648" max="5888" width="9.140625" style="73"/>
    <col min="5889" max="5889" width="2.5703125" style="73" customWidth="1"/>
    <col min="5890" max="5900" width="9.140625" style="73"/>
    <col min="5901" max="5902" width="11.5703125" style="73" customWidth="1"/>
    <col min="5903" max="5903" width="0.7109375" style="73" customWidth="1"/>
    <col min="5904" max="6144" width="9.140625" style="73"/>
    <col min="6145" max="6145" width="2.5703125" style="73" customWidth="1"/>
    <col min="6146" max="6156" width="9.140625" style="73"/>
    <col min="6157" max="6158" width="11.5703125" style="73" customWidth="1"/>
    <col min="6159" max="6159" width="0.7109375" style="73" customWidth="1"/>
    <col min="6160" max="6400" width="9.140625" style="73"/>
    <col min="6401" max="6401" width="2.5703125" style="73" customWidth="1"/>
    <col min="6402" max="6412" width="9.140625" style="73"/>
    <col min="6413" max="6414" width="11.5703125" style="73" customWidth="1"/>
    <col min="6415" max="6415" width="0.7109375" style="73" customWidth="1"/>
    <col min="6416" max="6656" width="9.140625" style="73"/>
    <col min="6657" max="6657" width="2.5703125" style="73" customWidth="1"/>
    <col min="6658" max="6668" width="9.140625" style="73"/>
    <col min="6669" max="6670" width="11.5703125" style="73" customWidth="1"/>
    <col min="6671" max="6671" width="0.7109375" style="73" customWidth="1"/>
    <col min="6672" max="6912" width="9.140625" style="73"/>
    <col min="6913" max="6913" width="2.5703125" style="73" customWidth="1"/>
    <col min="6914" max="6924" width="9.140625" style="73"/>
    <col min="6925" max="6926" width="11.5703125" style="73" customWidth="1"/>
    <col min="6927" max="6927" width="0.7109375" style="73" customWidth="1"/>
    <col min="6928" max="7168" width="9.140625" style="73"/>
    <col min="7169" max="7169" width="2.5703125" style="73" customWidth="1"/>
    <col min="7170" max="7180" width="9.140625" style="73"/>
    <col min="7181" max="7182" width="11.5703125" style="73" customWidth="1"/>
    <col min="7183" max="7183" width="0.7109375" style="73" customWidth="1"/>
    <col min="7184" max="7424" width="9.140625" style="73"/>
    <col min="7425" max="7425" width="2.5703125" style="73" customWidth="1"/>
    <col min="7426" max="7436" width="9.140625" style="73"/>
    <col min="7437" max="7438" width="11.5703125" style="73" customWidth="1"/>
    <col min="7439" max="7439" width="0.7109375" style="73" customWidth="1"/>
    <col min="7440" max="7680" width="9.140625" style="73"/>
    <col min="7681" max="7681" width="2.5703125" style="73" customWidth="1"/>
    <col min="7682" max="7692" width="9.140625" style="73"/>
    <col min="7693" max="7694" width="11.5703125" style="73" customWidth="1"/>
    <col min="7695" max="7695" width="0.7109375" style="73" customWidth="1"/>
    <col min="7696" max="7936" width="9.140625" style="73"/>
    <col min="7937" max="7937" width="2.5703125" style="73" customWidth="1"/>
    <col min="7938" max="7948" width="9.140625" style="73"/>
    <col min="7949" max="7950" width="11.5703125" style="73" customWidth="1"/>
    <col min="7951" max="7951" width="0.7109375" style="73" customWidth="1"/>
    <col min="7952" max="8192" width="9.140625" style="73"/>
    <col min="8193" max="8193" width="2.5703125" style="73" customWidth="1"/>
    <col min="8194" max="8204" width="9.140625" style="73"/>
    <col min="8205" max="8206" width="11.5703125" style="73" customWidth="1"/>
    <col min="8207" max="8207" width="0.7109375" style="73" customWidth="1"/>
    <col min="8208" max="8448" width="9.140625" style="73"/>
    <col min="8449" max="8449" width="2.5703125" style="73" customWidth="1"/>
    <col min="8450" max="8460" width="9.140625" style="73"/>
    <col min="8461" max="8462" width="11.5703125" style="73" customWidth="1"/>
    <col min="8463" max="8463" width="0.7109375" style="73" customWidth="1"/>
    <col min="8464" max="8704" width="9.140625" style="73"/>
    <col min="8705" max="8705" width="2.5703125" style="73" customWidth="1"/>
    <col min="8706" max="8716" width="9.140625" style="73"/>
    <col min="8717" max="8718" width="11.5703125" style="73" customWidth="1"/>
    <col min="8719" max="8719" width="0.7109375" style="73" customWidth="1"/>
    <col min="8720" max="8960" width="9.140625" style="73"/>
    <col min="8961" max="8961" width="2.5703125" style="73" customWidth="1"/>
    <col min="8962" max="8972" width="9.140625" style="73"/>
    <col min="8973" max="8974" width="11.5703125" style="73" customWidth="1"/>
    <col min="8975" max="8975" width="0.7109375" style="73" customWidth="1"/>
    <col min="8976" max="9216" width="9.140625" style="73"/>
    <col min="9217" max="9217" width="2.5703125" style="73" customWidth="1"/>
    <col min="9218" max="9228" width="9.140625" style="73"/>
    <col min="9229" max="9230" width="11.5703125" style="73" customWidth="1"/>
    <col min="9231" max="9231" width="0.7109375" style="73" customWidth="1"/>
    <col min="9232" max="9472" width="9.140625" style="73"/>
    <col min="9473" max="9473" width="2.5703125" style="73" customWidth="1"/>
    <col min="9474" max="9484" width="9.140625" style="73"/>
    <col min="9485" max="9486" width="11.5703125" style="73" customWidth="1"/>
    <col min="9487" max="9487" width="0.7109375" style="73" customWidth="1"/>
    <col min="9488" max="9728" width="9.140625" style="73"/>
    <col min="9729" max="9729" width="2.5703125" style="73" customWidth="1"/>
    <col min="9730" max="9740" width="9.140625" style="73"/>
    <col min="9741" max="9742" width="11.5703125" style="73" customWidth="1"/>
    <col min="9743" max="9743" width="0.7109375" style="73" customWidth="1"/>
    <col min="9744" max="9984" width="9.140625" style="73"/>
    <col min="9985" max="9985" width="2.5703125" style="73" customWidth="1"/>
    <col min="9986" max="9996" width="9.140625" style="73"/>
    <col min="9997" max="9998" width="11.5703125" style="73" customWidth="1"/>
    <col min="9999" max="9999" width="0.7109375" style="73" customWidth="1"/>
    <col min="10000" max="10240" width="9.140625" style="73"/>
    <col min="10241" max="10241" width="2.5703125" style="73" customWidth="1"/>
    <col min="10242" max="10252" width="9.140625" style="73"/>
    <col min="10253" max="10254" width="11.5703125" style="73" customWidth="1"/>
    <col min="10255" max="10255" width="0.7109375" style="73" customWidth="1"/>
    <col min="10256" max="10496" width="9.140625" style="73"/>
    <col min="10497" max="10497" width="2.5703125" style="73" customWidth="1"/>
    <col min="10498" max="10508" width="9.140625" style="73"/>
    <col min="10509" max="10510" width="11.5703125" style="73" customWidth="1"/>
    <col min="10511" max="10511" width="0.7109375" style="73" customWidth="1"/>
    <col min="10512" max="10752" width="9.140625" style="73"/>
    <col min="10753" max="10753" width="2.5703125" style="73" customWidth="1"/>
    <col min="10754" max="10764" width="9.140625" style="73"/>
    <col min="10765" max="10766" width="11.5703125" style="73" customWidth="1"/>
    <col min="10767" max="10767" width="0.7109375" style="73" customWidth="1"/>
    <col min="10768" max="11008" width="9.140625" style="73"/>
    <col min="11009" max="11009" width="2.5703125" style="73" customWidth="1"/>
    <col min="11010" max="11020" width="9.140625" style="73"/>
    <col min="11021" max="11022" width="11.5703125" style="73" customWidth="1"/>
    <col min="11023" max="11023" width="0.7109375" style="73" customWidth="1"/>
    <col min="11024" max="11264" width="9.140625" style="73"/>
    <col min="11265" max="11265" width="2.5703125" style="73" customWidth="1"/>
    <col min="11266" max="11276" width="9.140625" style="73"/>
    <col min="11277" max="11278" width="11.5703125" style="73" customWidth="1"/>
    <col min="11279" max="11279" width="0.7109375" style="73" customWidth="1"/>
    <col min="11280" max="11520" width="9.140625" style="73"/>
    <col min="11521" max="11521" width="2.5703125" style="73" customWidth="1"/>
    <col min="11522" max="11532" width="9.140625" style="73"/>
    <col min="11533" max="11534" width="11.5703125" style="73" customWidth="1"/>
    <col min="11535" max="11535" width="0.7109375" style="73" customWidth="1"/>
    <col min="11536" max="11776" width="9.140625" style="73"/>
    <col min="11777" max="11777" width="2.5703125" style="73" customWidth="1"/>
    <col min="11778" max="11788" width="9.140625" style="73"/>
    <col min="11789" max="11790" width="11.5703125" style="73" customWidth="1"/>
    <col min="11791" max="11791" width="0.7109375" style="73" customWidth="1"/>
    <col min="11792" max="12032" width="9.140625" style="73"/>
    <col min="12033" max="12033" width="2.5703125" style="73" customWidth="1"/>
    <col min="12034" max="12044" width="9.140625" style="73"/>
    <col min="12045" max="12046" width="11.5703125" style="73" customWidth="1"/>
    <col min="12047" max="12047" width="0.7109375" style="73" customWidth="1"/>
    <col min="12048" max="12288" width="9.140625" style="73"/>
    <col min="12289" max="12289" width="2.5703125" style="73" customWidth="1"/>
    <col min="12290" max="12300" width="9.140625" style="73"/>
    <col min="12301" max="12302" width="11.5703125" style="73" customWidth="1"/>
    <col min="12303" max="12303" width="0.7109375" style="73" customWidth="1"/>
    <col min="12304" max="12544" width="9.140625" style="73"/>
    <col min="12545" max="12545" width="2.5703125" style="73" customWidth="1"/>
    <col min="12546" max="12556" width="9.140625" style="73"/>
    <col min="12557" max="12558" width="11.5703125" style="73" customWidth="1"/>
    <col min="12559" max="12559" width="0.7109375" style="73" customWidth="1"/>
    <col min="12560" max="12800" width="9.140625" style="73"/>
    <col min="12801" max="12801" width="2.5703125" style="73" customWidth="1"/>
    <col min="12802" max="12812" width="9.140625" style="73"/>
    <col min="12813" max="12814" width="11.5703125" style="73" customWidth="1"/>
    <col min="12815" max="12815" width="0.7109375" style="73" customWidth="1"/>
    <col min="12816" max="13056" width="9.140625" style="73"/>
    <col min="13057" max="13057" width="2.5703125" style="73" customWidth="1"/>
    <col min="13058" max="13068" width="9.140625" style="73"/>
    <col min="13069" max="13070" width="11.5703125" style="73" customWidth="1"/>
    <col min="13071" max="13071" width="0.7109375" style="73" customWidth="1"/>
    <col min="13072" max="13312" width="9.140625" style="73"/>
    <col min="13313" max="13313" width="2.5703125" style="73" customWidth="1"/>
    <col min="13314" max="13324" width="9.140625" style="73"/>
    <col min="13325" max="13326" width="11.5703125" style="73" customWidth="1"/>
    <col min="13327" max="13327" width="0.7109375" style="73" customWidth="1"/>
    <col min="13328" max="13568" width="9.140625" style="73"/>
    <col min="13569" max="13569" width="2.5703125" style="73" customWidth="1"/>
    <col min="13570" max="13580" width="9.140625" style="73"/>
    <col min="13581" max="13582" width="11.5703125" style="73" customWidth="1"/>
    <col min="13583" max="13583" width="0.7109375" style="73" customWidth="1"/>
    <col min="13584" max="13824" width="9.140625" style="73"/>
    <col min="13825" max="13825" width="2.5703125" style="73" customWidth="1"/>
    <col min="13826" max="13836" width="9.140625" style="73"/>
    <col min="13837" max="13838" width="11.5703125" style="73" customWidth="1"/>
    <col min="13839" max="13839" width="0.7109375" style="73" customWidth="1"/>
    <col min="13840" max="14080" width="9.140625" style="73"/>
    <col min="14081" max="14081" width="2.5703125" style="73" customWidth="1"/>
    <col min="14082" max="14092" width="9.140625" style="73"/>
    <col min="14093" max="14094" width="11.5703125" style="73" customWidth="1"/>
    <col min="14095" max="14095" width="0.7109375" style="73" customWidth="1"/>
    <col min="14096" max="14336" width="9.140625" style="73"/>
    <col min="14337" max="14337" width="2.5703125" style="73" customWidth="1"/>
    <col min="14338" max="14348" width="9.140625" style="73"/>
    <col min="14349" max="14350" width="11.5703125" style="73" customWidth="1"/>
    <col min="14351" max="14351" width="0.7109375" style="73" customWidth="1"/>
    <col min="14352" max="14592" width="9.140625" style="73"/>
    <col min="14593" max="14593" width="2.5703125" style="73" customWidth="1"/>
    <col min="14594" max="14604" width="9.140625" style="73"/>
    <col min="14605" max="14606" width="11.5703125" style="73" customWidth="1"/>
    <col min="14607" max="14607" width="0.7109375" style="73" customWidth="1"/>
    <col min="14608" max="14848" width="9.140625" style="73"/>
    <col min="14849" max="14849" width="2.5703125" style="73" customWidth="1"/>
    <col min="14850" max="14860" width="9.140625" style="73"/>
    <col min="14861" max="14862" width="11.5703125" style="73" customWidth="1"/>
    <col min="14863" max="14863" width="0.7109375" style="73" customWidth="1"/>
    <col min="14864" max="15104" width="9.140625" style="73"/>
    <col min="15105" max="15105" width="2.5703125" style="73" customWidth="1"/>
    <col min="15106" max="15116" width="9.140625" style="73"/>
    <col min="15117" max="15118" width="11.5703125" style="73" customWidth="1"/>
    <col min="15119" max="15119" width="0.7109375" style="73" customWidth="1"/>
    <col min="15120" max="15360" width="9.140625" style="73"/>
    <col min="15361" max="15361" width="2.5703125" style="73" customWidth="1"/>
    <col min="15362" max="15372" width="9.140625" style="73"/>
    <col min="15373" max="15374" width="11.5703125" style="73" customWidth="1"/>
    <col min="15375" max="15375" width="0.7109375" style="73" customWidth="1"/>
    <col min="15376" max="15616" width="9.140625" style="73"/>
    <col min="15617" max="15617" width="2.5703125" style="73" customWidth="1"/>
    <col min="15618" max="15628" width="9.140625" style="73"/>
    <col min="15629" max="15630" width="11.5703125" style="73" customWidth="1"/>
    <col min="15631" max="15631" width="0.7109375" style="73" customWidth="1"/>
    <col min="15632" max="15872" width="9.140625" style="73"/>
    <col min="15873" max="15873" width="2.5703125" style="73" customWidth="1"/>
    <col min="15874" max="15884" width="9.140625" style="73"/>
    <col min="15885" max="15886" width="11.5703125" style="73" customWidth="1"/>
    <col min="15887" max="15887" width="0.7109375" style="73" customWidth="1"/>
    <col min="15888" max="16128" width="9.140625" style="73"/>
    <col min="16129" max="16129" width="2.5703125" style="73" customWidth="1"/>
    <col min="16130" max="16140" width="9.140625" style="73"/>
    <col min="16141" max="16142" width="11.5703125" style="73" customWidth="1"/>
    <col min="16143" max="16143" width="0.7109375" style="73" customWidth="1"/>
    <col min="16144" max="16384" width="9.140625" style="73"/>
  </cols>
  <sheetData>
    <row r="1" spans="2:15" ht="11.25" customHeight="1" thickBot="1">
      <c r="B1" s="72"/>
      <c r="C1" s="72"/>
      <c r="D1" s="72"/>
      <c r="E1" s="72"/>
      <c r="F1" s="72"/>
      <c r="G1" s="72"/>
      <c r="H1" s="72"/>
      <c r="I1" s="72"/>
      <c r="J1" s="72"/>
      <c r="K1" s="72"/>
    </row>
    <row r="2" spans="2:15">
      <c r="B2" s="74"/>
      <c r="C2" s="75"/>
      <c r="D2" s="75"/>
      <c r="E2" s="75"/>
      <c r="F2" s="75"/>
      <c r="G2" s="75"/>
      <c r="H2" s="75"/>
      <c r="I2" s="75"/>
      <c r="J2" s="75"/>
      <c r="K2" s="75"/>
      <c r="L2" s="75"/>
      <c r="M2" s="75"/>
      <c r="N2" s="75"/>
      <c r="O2" s="76"/>
    </row>
    <row r="3" spans="2:15">
      <c r="B3" s="77"/>
      <c r="O3" s="78"/>
    </row>
    <row r="4" spans="2:15">
      <c r="B4" s="77"/>
      <c r="O4" s="78"/>
    </row>
    <row r="5" spans="2:15">
      <c r="B5" s="77"/>
      <c r="O5" s="78"/>
    </row>
    <row r="6" spans="2:15">
      <c r="B6" s="77"/>
      <c r="O6" s="78"/>
    </row>
    <row r="7" spans="2:15">
      <c r="B7" s="77"/>
      <c r="O7" s="78"/>
    </row>
    <row r="8" spans="2:15">
      <c r="B8" s="77"/>
      <c r="O8" s="78"/>
    </row>
    <row r="9" spans="2:15">
      <c r="B9" s="77"/>
      <c r="O9" s="78"/>
    </row>
    <row r="10" spans="2:15">
      <c r="B10" s="77"/>
      <c r="O10" s="78"/>
    </row>
    <row r="11" spans="2:15">
      <c r="B11" s="77"/>
      <c r="O11" s="78"/>
    </row>
    <row r="12" spans="2:15">
      <c r="B12" s="77"/>
      <c r="O12" s="78"/>
    </row>
    <row r="13" spans="2:15" ht="20.25" customHeight="1">
      <c r="B13" s="79"/>
      <c r="C13" s="80"/>
      <c r="D13" s="80"/>
      <c r="E13" s="136" t="s">
        <v>158</v>
      </c>
      <c r="F13" s="136"/>
      <c r="G13" s="137"/>
      <c r="H13" s="137"/>
      <c r="I13" s="137"/>
      <c r="J13" s="137"/>
      <c r="K13" s="137"/>
      <c r="O13" s="78"/>
    </row>
    <row r="14" spans="2:15" ht="20.25" customHeight="1">
      <c r="B14" s="79"/>
      <c r="C14" s="80"/>
      <c r="D14" s="80"/>
      <c r="E14" s="136" t="s">
        <v>159</v>
      </c>
      <c r="F14" s="136"/>
      <c r="G14" s="137"/>
      <c r="H14" s="137"/>
      <c r="I14" s="137"/>
      <c r="J14" s="137"/>
      <c r="K14" s="137"/>
      <c r="O14" s="78"/>
    </row>
    <row r="15" spans="2:15" ht="20.25" customHeight="1">
      <c r="B15" s="81"/>
      <c r="C15" s="80"/>
      <c r="D15" s="80"/>
      <c r="E15" s="136" t="s">
        <v>160</v>
      </c>
      <c r="F15" s="136"/>
      <c r="G15" s="137"/>
      <c r="H15" s="137"/>
      <c r="I15" s="137"/>
      <c r="J15" s="137"/>
      <c r="K15" s="137"/>
      <c r="O15" s="78"/>
    </row>
    <row r="16" spans="2:15" ht="20.25" customHeight="1">
      <c r="B16" s="79"/>
      <c r="C16" s="80"/>
      <c r="D16" s="82"/>
      <c r="E16" s="136" t="s">
        <v>161</v>
      </c>
      <c r="F16" s="136"/>
      <c r="G16" s="137"/>
      <c r="H16" s="137"/>
      <c r="I16" s="137"/>
      <c r="J16" s="137"/>
      <c r="K16" s="137"/>
      <c r="O16" s="78"/>
    </row>
    <row r="17" spans="2:15" ht="20.25" customHeight="1">
      <c r="B17" s="79"/>
      <c r="C17" s="80"/>
      <c r="D17" s="80"/>
      <c r="E17" s="136" t="s">
        <v>162</v>
      </c>
      <c r="F17" s="136"/>
      <c r="G17" s="137"/>
      <c r="H17" s="137"/>
      <c r="I17" s="137"/>
      <c r="J17" s="137"/>
      <c r="K17" s="137"/>
      <c r="L17" s="80"/>
      <c r="M17" s="80"/>
      <c r="N17" s="80"/>
      <c r="O17" s="83"/>
    </row>
    <row r="18" spans="2:15" ht="20.25" customHeight="1">
      <c r="B18" s="79"/>
      <c r="C18" s="80"/>
      <c r="D18" s="80"/>
      <c r="E18" s="136" t="s">
        <v>163</v>
      </c>
      <c r="F18" s="136"/>
      <c r="G18" s="137"/>
      <c r="H18" s="137"/>
      <c r="I18" s="137"/>
      <c r="J18" s="137"/>
      <c r="K18" s="137"/>
      <c r="L18" s="80"/>
      <c r="M18" s="80"/>
      <c r="N18" s="80"/>
      <c r="O18" s="83"/>
    </row>
    <row r="19" spans="2:15" ht="20.25" customHeight="1">
      <c r="B19" s="79"/>
      <c r="C19" s="80"/>
      <c r="D19" s="80"/>
      <c r="E19" s="136" t="s">
        <v>164</v>
      </c>
      <c r="F19" s="136"/>
      <c r="G19" s="137"/>
      <c r="H19" s="137"/>
      <c r="I19" s="137"/>
      <c r="J19" s="137"/>
      <c r="K19" s="137"/>
      <c r="L19" s="80"/>
      <c r="M19" s="80"/>
      <c r="N19" s="80"/>
      <c r="O19" s="83"/>
    </row>
    <row r="20" spans="2:15">
      <c r="B20" s="77"/>
      <c r="O20" s="78"/>
    </row>
    <row r="21" spans="2:15">
      <c r="B21" s="77"/>
      <c r="O21" s="78"/>
    </row>
    <row r="22" spans="2:15" s="84" customFormat="1" ht="29.25">
      <c r="B22" s="138" t="s">
        <v>165</v>
      </c>
      <c r="C22" s="139"/>
      <c r="D22" s="139"/>
      <c r="E22" s="139"/>
      <c r="F22" s="139"/>
      <c r="G22" s="139"/>
      <c r="H22" s="139"/>
      <c r="I22" s="139"/>
      <c r="J22" s="139"/>
      <c r="K22" s="139"/>
      <c r="L22" s="139"/>
      <c r="M22" s="139"/>
      <c r="N22" s="139"/>
      <c r="O22" s="140"/>
    </row>
    <row r="23" spans="2:15" ht="21">
      <c r="B23" s="141"/>
      <c r="C23" s="142"/>
      <c r="D23" s="142"/>
      <c r="E23" s="142"/>
      <c r="F23" s="142"/>
      <c r="G23" s="142"/>
      <c r="H23" s="142"/>
      <c r="I23" s="142"/>
      <c r="J23" s="142"/>
      <c r="K23" s="142"/>
      <c r="L23" s="142"/>
      <c r="M23" s="142"/>
      <c r="N23" s="142"/>
      <c r="O23" s="143"/>
    </row>
    <row r="24" spans="2:15">
      <c r="B24" s="77"/>
      <c r="O24" s="78"/>
    </row>
    <row r="25" spans="2:15">
      <c r="B25" s="77"/>
      <c r="O25" s="78"/>
    </row>
    <row r="26" spans="2:15" ht="17.25" thickBot="1">
      <c r="B26" s="85"/>
      <c r="C26" s="86"/>
      <c r="D26" s="86"/>
      <c r="E26" s="86"/>
      <c r="F26" s="86"/>
      <c r="G26" s="86"/>
      <c r="H26" s="86"/>
      <c r="I26" s="86"/>
      <c r="J26" s="86"/>
      <c r="K26" s="86"/>
      <c r="L26" s="86"/>
      <c r="M26" s="86"/>
      <c r="N26" s="86"/>
      <c r="O26" s="87"/>
    </row>
  </sheetData>
  <mergeCells count="16">
    <mergeCell ref="E13:F13"/>
    <mergeCell ref="G13:K13"/>
    <mergeCell ref="E14:F14"/>
    <mergeCell ref="G14:K14"/>
    <mergeCell ref="E15:F15"/>
    <mergeCell ref="G15:K15"/>
    <mergeCell ref="E19:F19"/>
    <mergeCell ref="G19:K19"/>
    <mergeCell ref="B22:O22"/>
    <mergeCell ref="B23:O23"/>
    <mergeCell ref="E16:F16"/>
    <mergeCell ref="G16:K16"/>
    <mergeCell ref="E17:F17"/>
    <mergeCell ref="G17:K17"/>
    <mergeCell ref="E18:F18"/>
    <mergeCell ref="G18:K18"/>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topLeftCell="A7" zoomScale="80" zoomScaleNormal="85" zoomScaleSheetLayoutView="80" workbookViewId="0">
      <selection activeCell="E11" sqref="E11:G11"/>
    </sheetView>
  </sheetViews>
  <sheetFormatPr defaultColWidth="9.140625" defaultRowHeight="12.75"/>
  <cols>
    <col min="1" max="1" width="4" style="89" customWidth="1"/>
    <col min="2" max="2" width="3.42578125" style="89" customWidth="1"/>
    <col min="3" max="3" width="9.42578125" style="89" customWidth="1"/>
    <col min="4" max="4" width="20.7109375" style="89" customWidth="1"/>
    <col min="5" max="10" width="7.5703125" style="89" customWidth="1"/>
    <col min="11" max="13" width="8.5703125" style="89" customWidth="1"/>
    <col min="14" max="18" width="10.5703125" style="89" customWidth="1"/>
    <col min="19" max="19" width="1.7109375" style="89" customWidth="1"/>
    <col min="20" max="16384" width="9.140625" style="89"/>
  </cols>
  <sheetData>
    <row r="1" spans="2:25" ht="50.1" customHeight="1">
      <c r="B1" s="88" t="s">
        <v>166</v>
      </c>
      <c r="K1" s="90"/>
    </row>
    <row r="2" spans="2:25" ht="6" customHeight="1"/>
    <row r="3" spans="2:25" ht="30" customHeight="1">
      <c r="C3" s="90" t="s">
        <v>167</v>
      </c>
      <c r="D3" s="91"/>
      <c r="E3" s="91"/>
      <c r="F3" s="91"/>
      <c r="G3" s="91"/>
      <c r="H3" s="91"/>
      <c r="I3" s="91"/>
      <c r="J3" s="91"/>
      <c r="K3" s="91"/>
      <c r="L3" s="91"/>
      <c r="M3" s="91"/>
      <c r="N3" s="91"/>
      <c r="O3" s="91"/>
      <c r="P3" s="91"/>
      <c r="Q3" s="91"/>
      <c r="R3" s="91"/>
    </row>
    <row r="4" spans="2:25" s="92" customFormat="1" ht="20.100000000000001" customHeight="1">
      <c r="C4" s="183" t="s">
        <v>160</v>
      </c>
      <c r="D4" s="184"/>
      <c r="E4" s="184"/>
      <c r="F4" s="180">
        <f>[32]Cover.!G14</f>
        <v>0</v>
      </c>
      <c r="G4" s="181"/>
      <c r="H4" s="181"/>
      <c r="I4" s="182"/>
      <c r="J4" s="179" t="s">
        <v>163</v>
      </c>
      <c r="K4" s="179"/>
      <c r="L4" s="179"/>
      <c r="M4" s="180">
        <f>[32]Cover.!G18</f>
        <v>0</v>
      </c>
      <c r="N4" s="181"/>
      <c r="O4" s="179" t="s">
        <v>161</v>
      </c>
      <c r="P4" s="179"/>
      <c r="Q4" s="185"/>
      <c r="R4" s="186"/>
    </row>
    <row r="5" spans="2:25" s="92" customFormat="1" ht="20.100000000000001" customHeight="1">
      <c r="C5" s="179" t="s">
        <v>159</v>
      </c>
      <c r="D5" s="179"/>
      <c r="E5" s="179"/>
      <c r="F5" s="180">
        <f>[32]Cover.!G15</f>
        <v>0</v>
      </c>
      <c r="G5" s="181"/>
      <c r="H5" s="181"/>
      <c r="I5" s="182"/>
      <c r="J5" s="179" t="s">
        <v>162</v>
      </c>
      <c r="K5" s="179"/>
      <c r="L5" s="179"/>
      <c r="M5" s="180">
        <f>[32]Cover.!G17</f>
        <v>0</v>
      </c>
      <c r="N5" s="182"/>
      <c r="O5" s="179" t="s">
        <v>168</v>
      </c>
      <c r="P5" s="179"/>
      <c r="Q5" s="180"/>
      <c r="R5" s="182"/>
    </row>
    <row r="6" spans="2:25" ht="11.25" customHeight="1"/>
    <row r="7" spans="2:25" ht="9.75" customHeight="1"/>
    <row r="8" spans="2:25" ht="18.95" customHeight="1">
      <c r="C8" s="90" t="s">
        <v>169</v>
      </c>
    </row>
    <row r="9" spans="2:25" ht="22.5" customHeight="1">
      <c r="C9" s="171" t="s">
        <v>170</v>
      </c>
      <c r="D9" s="171" t="s">
        <v>171</v>
      </c>
      <c r="E9" s="172" t="s">
        <v>172</v>
      </c>
      <c r="F9" s="173"/>
      <c r="G9" s="174"/>
      <c r="H9" s="172" t="s">
        <v>173</v>
      </c>
      <c r="I9" s="173"/>
      <c r="J9" s="173"/>
      <c r="K9" s="173"/>
      <c r="L9" s="174"/>
      <c r="M9" s="171" t="s">
        <v>174</v>
      </c>
      <c r="O9" s="93"/>
      <c r="P9" s="93"/>
      <c r="Q9" s="93"/>
      <c r="R9" s="93"/>
      <c r="S9" s="93"/>
      <c r="T9" s="93"/>
      <c r="U9" s="93"/>
    </row>
    <row r="10" spans="2:25" ht="17.25" customHeight="1">
      <c r="C10" s="171"/>
      <c r="D10" s="171"/>
      <c r="E10" s="172" t="s">
        <v>175</v>
      </c>
      <c r="F10" s="173"/>
      <c r="G10" s="174"/>
      <c r="H10" s="175" t="s">
        <v>164</v>
      </c>
      <c r="I10" s="176"/>
      <c r="J10" s="177"/>
      <c r="K10" s="178" t="s">
        <v>176</v>
      </c>
      <c r="L10" s="178"/>
      <c r="M10" s="171"/>
      <c r="O10" s="93"/>
      <c r="P10" s="93"/>
      <c r="Q10" s="93"/>
      <c r="R10" s="93"/>
      <c r="S10" s="93"/>
      <c r="T10" s="93"/>
      <c r="U10" s="93"/>
    </row>
    <row r="11" spans="2:25" ht="24.75" customHeight="1">
      <c r="C11" s="94">
        <v>1</v>
      </c>
      <c r="D11" s="95" t="s">
        <v>205</v>
      </c>
      <c r="E11" s="159">
        <f>'Check sheet'!E46</f>
        <v>12</v>
      </c>
      <c r="F11" s="160"/>
      <c r="G11" s="161"/>
      <c r="H11" s="162">
        <f>'Check sheet'!F53</f>
        <v>0</v>
      </c>
      <c r="I11" s="163"/>
      <c r="J11" s="164"/>
      <c r="K11" s="165">
        <f>H11/E11*100</f>
        <v>0</v>
      </c>
      <c r="L11" s="165"/>
      <c r="M11" s="96"/>
      <c r="O11" s="93"/>
      <c r="P11" s="93"/>
      <c r="Q11" s="93"/>
      <c r="R11" s="93"/>
      <c r="S11" s="93"/>
      <c r="T11" s="93"/>
      <c r="U11" s="93"/>
    </row>
    <row r="12" spans="2:25" ht="24.75" customHeight="1">
      <c r="C12" s="97">
        <v>2</v>
      </c>
      <c r="D12" s="98" t="s">
        <v>51</v>
      </c>
      <c r="E12" s="159">
        <f>'Check sheet'!E47</f>
        <v>16</v>
      </c>
      <c r="F12" s="160"/>
      <c r="G12" s="161"/>
      <c r="H12" s="162">
        <f>'Check sheet'!F54</f>
        <v>0</v>
      </c>
      <c r="I12" s="163"/>
      <c r="J12" s="164"/>
      <c r="K12" s="165">
        <f t="shared" ref="K12:K14" si="0">H12/E12*100</f>
        <v>0</v>
      </c>
      <c r="L12" s="165"/>
      <c r="M12" s="99"/>
      <c r="O12" s="93"/>
      <c r="P12" s="93"/>
      <c r="Q12" s="93"/>
      <c r="R12" s="93"/>
      <c r="S12" s="93"/>
      <c r="T12" s="93"/>
      <c r="U12" s="93"/>
    </row>
    <row r="13" spans="2:25" ht="24.75" customHeight="1">
      <c r="C13" s="97">
        <v>3</v>
      </c>
      <c r="D13" s="98" t="s">
        <v>177</v>
      </c>
      <c r="E13" s="159">
        <f>'Check sheet'!E48</f>
        <v>30</v>
      </c>
      <c r="F13" s="160"/>
      <c r="G13" s="161"/>
      <c r="H13" s="162">
        <f>'Check sheet'!F55</f>
        <v>0</v>
      </c>
      <c r="I13" s="163"/>
      <c r="J13" s="164"/>
      <c r="K13" s="165">
        <f t="shared" si="0"/>
        <v>0</v>
      </c>
      <c r="L13" s="165"/>
      <c r="M13" s="99"/>
      <c r="O13" s="93"/>
      <c r="P13" s="93"/>
      <c r="Q13" s="93"/>
      <c r="R13" s="93"/>
      <c r="S13" s="93"/>
      <c r="T13" s="93"/>
      <c r="U13" s="93"/>
    </row>
    <row r="14" spans="2:25" ht="24.75" customHeight="1">
      <c r="C14" s="97">
        <v>4</v>
      </c>
      <c r="D14" s="98" t="s">
        <v>43</v>
      </c>
      <c r="E14" s="159">
        <f>'Check sheet'!E49</f>
        <v>29</v>
      </c>
      <c r="F14" s="160"/>
      <c r="G14" s="161"/>
      <c r="H14" s="162">
        <f>'Check sheet'!F56</f>
        <v>0</v>
      </c>
      <c r="I14" s="163"/>
      <c r="J14" s="164"/>
      <c r="K14" s="165">
        <f t="shared" si="0"/>
        <v>0</v>
      </c>
      <c r="L14" s="165"/>
      <c r="M14" s="99"/>
      <c r="O14" s="93"/>
      <c r="P14" s="93"/>
      <c r="Q14" s="93"/>
      <c r="R14" s="93"/>
      <c r="S14" s="93"/>
      <c r="T14" s="93"/>
      <c r="U14" s="93"/>
      <c r="Y14" s="89" t="s">
        <v>178</v>
      </c>
    </row>
    <row r="15" spans="2:25" ht="24.75" customHeight="1">
      <c r="C15" s="97">
        <v>5</v>
      </c>
      <c r="D15" s="98" t="s">
        <v>206</v>
      </c>
      <c r="E15" s="159">
        <f>'Check sheet'!E50</f>
        <v>13</v>
      </c>
      <c r="F15" s="160"/>
      <c r="G15" s="161"/>
      <c r="H15" s="162">
        <f>'Check sheet'!F57</f>
        <v>0</v>
      </c>
      <c r="I15" s="163"/>
      <c r="J15" s="164"/>
      <c r="K15" s="165">
        <f>H15/E15*100</f>
        <v>0</v>
      </c>
      <c r="L15" s="165"/>
      <c r="M15" s="99"/>
      <c r="O15" s="93"/>
      <c r="P15" s="93"/>
      <c r="Q15" s="93"/>
      <c r="R15" s="93"/>
      <c r="S15" s="93"/>
      <c r="T15" s="93"/>
      <c r="U15" s="93"/>
    </row>
    <row r="16" spans="2:25" ht="18.95" customHeight="1">
      <c r="C16" s="166" t="s">
        <v>180</v>
      </c>
      <c r="D16" s="166"/>
      <c r="E16" s="167">
        <f>SUM(H11:J15)</f>
        <v>0</v>
      </c>
      <c r="F16" s="167"/>
      <c r="G16" s="167"/>
      <c r="H16" s="168" t="str">
        <f>IF(E16&gt;=90,"A",IF(E16&gt;=80,"B",IF(E16&gt;=70,"C",IF(E16&gt;=60,"D","E"))))</f>
        <v>E</v>
      </c>
      <c r="I16" s="169"/>
      <c r="J16" s="169"/>
      <c r="K16" s="170" t="str">
        <f>IF(H16="A","Very Good",IF(H16="B"," Good",IF(H16="C","Need Improvement",IF(H16="D","Unsatisfactory","Unsatisfactory"))))</f>
        <v>Unsatisfactory</v>
      </c>
      <c r="L16" s="170"/>
      <c r="M16" s="170"/>
      <c r="N16" s="93"/>
      <c r="O16" s="93"/>
      <c r="P16" s="93"/>
      <c r="Q16" s="93"/>
      <c r="R16" s="93"/>
      <c r="S16" s="93"/>
      <c r="T16" s="93"/>
      <c r="U16" s="93"/>
    </row>
    <row r="17" spans="3:19" ht="18.95" customHeight="1">
      <c r="C17" s="100"/>
      <c r="D17" s="101"/>
      <c r="E17" s="101"/>
      <c r="F17" s="101"/>
      <c r="G17" s="101"/>
      <c r="H17" s="101"/>
      <c r="I17" s="101"/>
      <c r="J17" s="89" t="s">
        <v>181</v>
      </c>
    </row>
    <row r="18" spans="3:19" ht="18.95" customHeight="1">
      <c r="C18" s="90" t="s">
        <v>182</v>
      </c>
      <c r="E18" s="101"/>
      <c r="F18" s="101"/>
      <c r="G18" s="101"/>
      <c r="H18" s="101"/>
      <c r="I18" s="101"/>
      <c r="J18" s="100"/>
    </row>
    <row r="19" spans="3:19" ht="21.75" customHeight="1">
      <c r="C19" s="154" t="s">
        <v>183</v>
      </c>
      <c r="D19" s="155"/>
      <c r="E19" s="156" t="s">
        <v>184</v>
      </c>
      <c r="F19" s="157"/>
      <c r="G19" s="157"/>
      <c r="H19" s="158"/>
      <c r="I19" s="102"/>
      <c r="J19" s="100"/>
    </row>
    <row r="20" spans="3:19" ht="21.75" customHeight="1">
      <c r="C20" s="149" t="s">
        <v>185</v>
      </c>
      <c r="D20" s="150"/>
      <c r="E20" s="151"/>
      <c r="F20" s="152"/>
      <c r="G20" s="152"/>
      <c r="H20" s="153"/>
      <c r="I20" s="102"/>
      <c r="J20" s="100"/>
    </row>
    <row r="21" spans="3:19" ht="21.75" customHeight="1">
      <c r="C21" s="149" t="s">
        <v>51</v>
      </c>
      <c r="D21" s="150"/>
      <c r="E21" s="151"/>
      <c r="F21" s="152"/>
      <c r="G21" s="152"/>
      <c r="H21" s="153"/>
      <c r="I21" s="102"/>
      <c r="J21" s="100"/>
    </row>
    <row r="22" spans="3:19" ht="21.75" customHeight="1">
      <c r="C22" s="149" t="s">
        <v>177</v>
      </c>
      <c r="D22" s="150"/>
      <c r="E22" s="151"/>
      <c r="F22" s="152"/>
      <c r="G22" s="152"/>
      <c r="H22" s="153"/>
      <c r="I22" s="102"/>
      <c r="J22" s="100"/>
    </row>
    <row r="23" spans="3:19" ht="21.75" customHeight="1">
      <c r="C23" s="149" t="s">
        <v>43</v>
      </c>
      <c r="D23" s="150"/>
      <c r="E23" s="151"/>
      <c r="F23" s="152"/>
      <c r="G23" s="152"/>
      <c r="H23" s="153"/>
      <c r="I23" s="102"/>
      <c r="J23" s="100"/>
    </row>
    <row r="24" spans="3:19" ht="21.75" customHeight="1">
      <c r="C24" s="149" t="s">
        <v>179</v>
      </c>
      <c r="D24" s="150"/>
      <c r="E24" s="151"/>
      <c r="F24" s="152"/>
      <c r="G24" s="152"/>
      <c r="H24" s="153"/>
      <c r="I24" s="102"/>
      <c r="J24" s="100"/>
    </row>
    <row r="25" spans="3:19" ht="21.75" customHeight="1">
      <c r="C25" s="144" t="s">
        <v>186</v>
      </c>
      <c r="D25" s="144"/>
      <c r="E25" s="145"/>
      <c r="F25" s="146"/>
      <c r="G25" s="146"/>
      <c r="H25" s="147"/>
      <c r="I25" s="102"/>
      <c r="J25" s="100"/>
    </row>
    <row r="26" spans="3:19" ht="22.5" customHeight="1">
      <c r="C26" s="103"/>
      <c r="D26" s="103"/>
      <c r="E26" s="101"/>
      <c r="F26" s="101"/>
      <c r="G26" s="101"/>
      <c r="H26" s="101"/>
      <c r="I26" s="101"/>
      <c r="J26" s="93"/>
      <c r="K26" s="93"/>
      <c r="L26" s="93"/>
      <c r="M26" s="93"/>
    </row>
    <row r="27" spans="3:19" ht="18.75" customHeight="1">
      <c r="C27" s="148"/>
      <c r="D27" s="148"/>
      <c r="E27" s="148"/>
      <c r="F27" s="148"/>
      <c r="G27" s="148"/>
      <c r="H27" s="148"/>
      <c r="I27" s="148"/>
      <c r="J27" s="148"/>
      <c r="K27" s="148"/>
      <c r="L27" s="148"/>
      <c r="M27" s="148"/>
      <c r="N27" s="148"/>
      <c r="O27" s="148"/>
      <c r="P27" s="148"/>
      <c r="Q27" s="148"/>
      <c r="R27" s="148"/>
    </row>
    <row r="28" spans="3:19" ht="21" customHeight="1">
      <c r="D28" s="104"/>
      <c r="E28" s="93"/>
      <c r="F28" s="93"/>
      <c r="G28" s="93"/>
      <c r="H28" s="93"/>
      <c r="I28" s="93"/>
      <c r="N28" s="93"/>
      <c r="O28" s="93"/>
      <c r="P28" s="93"/>
      <c r="Q28" s="93"/>
      <c r="R28" s="93"/>
    </row>
    <row r="29" spans="3:19" ht="30" customHeight="1">
      <c r="S29" s="105"/>
    </row>
    <row r="30" spans="3:19" ht="15" customHeight="1">
      <c r="C30" s="106"/>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Q5:R5"/>
    <mergeCell ref="C4:E4"/>
    <mergeCell ref="F4:I4"/>
    <mergeCell ref="J4:L4"/>
    <mergeCell ref="M4:N4"/>
    <mergeCell ref="O4:P4"/>
    <mergeCell ref="Q4:R4"/>
    <mergeCell ref="C5:E5"/>
    <mergeCell ref="F5:I5"/>
    <mergeCell ref="J5:L5"/>
    <mergeCell ref="M5:N5"/>
    <mergeCell ref="O5:P5"/>
    <mergeCell ref="C9:C10"/>
    <mergeCell ref="D9:D10"/>
    <mergeCell ref="E9:G9"/>
    <mergeCell ref="H9:L9"/>
    <mergeCell ref="M9:M10"/>
    <mergeCell ref="E10:G10"/>
    <mergeCell ref="H10:J10"/>
    <mergeCell ref="K10:L10"/>
    <mergeCell ref="E11:G11"/>
    <mergeCell ref="H11:J11"/>
    <mergeCell ref="K11:L11"/>
    <mergeCell ref="E12:G12"/>
    <mergeCell ref="H12:J12"/>
    <mergeCell ref="K12:L12"/>
    <mergeCell ref="E13:G13"/>
    <mergeCell ref="H13:J13"/>
    <mergeCell ref="K13:L13"/>
    <mergeCell ref="E14:G14"/>
    <mergeCell ref="H14:J14"/>
    <mergeCell ref="K14:L14"/>
    <mergeCell ref="E15:G15"/>
    <mergeCell ref="H15:J15"/>
    <mergeCell ref="K15:L15"/>
    <mergeCell ref="C16:D16"/>
    <mergeCell ref="E16:G16"/>
    <mergeCell ref="H16:J16"/>
    <mergeCell ref="K16:M16"/>
    <mergeCell ref="C19:D19"/>
    <mergeCell ref="E19:H19"/>
    <mergeCell ref="C20:D20"/>
    <mergeCell ref="E20:H20"/>
    <mergeCell ref="C21:D21"/>
    <mergeCell ref="E21:H21"/>
    <mergeCell ref="C25:D25"/>
    <mergeCell ref="E25:H25"/>
    <mergeCell ref="C27:R27"/>
    <mergeCell ref="C22:D22"/>
    <mergeCell ref="E22:H22"/>
    <mergeCell ref="C23:D23"/>
    <mergeCell ref="E23:H23"/>
    <mergeCell ref="C24:D24"/>
    <mergeCell ref="E24:H24"/>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E15" sqref="E15"/>
    </sheetView>
  </sheetViews>
  <sheetFormatPr defaultColWidth="11.42578125" defaultRowHeight="12.75"/>
  <cols>
    <col min="1" max="1" width="3.42578125" style="108" customWidth="1"/>
    <col min="2" max="2" width="19.5703125" style="108" bestFit="1" customWidth="1"/>
    <col min="3" max="3" width="6.28515625" style="108" bestFit="1" customWidth="1"/>
    <col min="4" max="4" width="69.28515625" style="109" customWidth="1"/>
    <col min="5" max="5" width="35" style="109" customWidth="1"/>
    <col min="6" max="6" width="69.140625" style="109" customWidth="1"/>
    <col min="7" max="7" width="55" style="109" customWidth="1"/>
    <col min="8" max="8" width="11.28515625" style="108" customWidth="1"/>
    <col min="9" max="9" width="8.140625" style="108" customWidth="1"/>
    <col min="10" max="10" width="20.140625" style="109" bestFit="1" customWidth="1"/>
    <col min="11" max="11" width="14.7109375" style="108" customWidth="1"/>
    <col min="12" max="12" width="14.140625" style="108" bestFit="1" customWidth="1"/>
    <col min="13" max="13" width="9.140625" style="108" customWidth="1"/>
    <col min="14" max="14" width="13.140625" style="108" bestFit="1" customWidth="1"/>
    <col min="15" max="15" width="3.42578125" style="108" customWidth="1"/>
    <col min="16" max="25" width="10" style="108" customWidth="1"/>
    <col min="26" max="26" width="10.42578125" style="108" customWidth="1"/>
    <col min="27" max="16384" width="11.42578125" style="108"/>
  </cols>
  <sheetData>
    <row r="2" spans="2:21" ht="23.25">
      <c r="B2" s="107" t="s">
        <v>187</v>
      </c>
      <c r="K2" s="110"/>
      <c r="L2" s="110"/>
      <c r="M2" s="110"/>
      <c r="N2" s="111"/>
    </row>
    <row r="3" spans="2:21">
      <c r="K3" s="112"/>
      <c r="L3" s="112"/>
      <c r="M3" s="112"/>
      <c r="N3" s="113"/>
    </row>
    <row r="4" spans="2:21">
      <c r="K4" s="114"/>
      <c r="L4" s="114"/>
      <c r="M4" s="114"/>
      <c r="N4" s="115"/>
    </row>
    <row r="5" spans="2:21" hidden="1">
      <c r="K5" s="114"/>
      <c r="L5" s="114"/>
      <c r="M5" s="114" t="s">
        <v>188</v>
      </c>
      <c r="N5" s="115"/>
    </row>
    <row r="6" spans="2:21" hidden="1">
      <c r="K6" s="114"/>
      <c r="L6" s="114"/>
      <c r="M6" s="114" t="s">
        <v>189</v>
      </c>
      <c r="N6" s="115"/>
    </row>
    <row r="7" spans="2:21" hidden="1"/>
    <row r="8" spans="2:21" ht="22.5" customHeight="1">
      <c r="B8" s="187" t="s">
        <v>190</v>
      </c>
      <c r="C8" s="187" t="s">
        <v>191</v>
      </c>
      <c r="D8" s="116" t="s">
        <v>192</v>
      </c>
      <c r="E8" s="116"/>
      <c r="F8" s="187" t="s">
        <v>193</v>
      </c>
      <c r="G8" s="187"/>
      <c r="H8" s="116"/>
      <c r="I8" s="116"/>
      <c r="J8" s="187" t="s">
        <v>194</v>
      </c>
      <c r="K8" s="187"/>
      <c r="L8" s="187"/>
      <c r="M8" s="188" t="s">
        <v>195</v>
      </c>
      <c r="N8" s="188" t="s">
        <v>196</v>
      </c>
      <c r="P8" s="117"/>
      <c r="Q8" s="117"/>
      <c r="R8" s="117"/>
      <c r="S8" s="117"/>
      <c r="T8" s="117"/>
      <c r="U8" s="117"/>
    </row>
    <row r="9" spans="2:21">
      <c r="B9" s="187"/>
      <c r="C9" s="187"/>
      <c r="D9" s="116" t="s">
        <v>197</v>
      </c>
      <c r="E9" s="116" t="s">
        <v>198</v>
      </c>
      <c r="F9" s="116" t="s">
        <v>199</v>
      </c>
      <c r="G9" s="116" t="s">
        <v>200</v>
      </c>
      <c r="H9" s="116" t="s">
        <v>201</v>
      </c>
      <c r="I9" s="116" t="s">
        <v>202</v>
      </c>
      <c r="J9" s="116" t="s">
        <v>203</v>
      </c>
      <c r="K9" s="116" t="s">
        <v>202</v>
      </c>
      <c r="L9" s="116" t="s">
        <v>204</v>
      </c>
      <c r="M9" s="188"/>
      <c r="N9" s="188"/>
      <c r="P9" s="117"/>
      <c r="Q9" s="117"/>
      <c r="R9" s="117"/>
      <c r="S9" s="117"/>
      <c r="T9" s="117"/>
      <c r="U9" s="117"/>
    </row>
    <row r="10" spans="2:21" ht="126" customHeight="1">
      <c r="B10" s="118"/>
      <c r="C10" s="118"/>
      <c r="D10" s="119"/>
      <c r="E10" s="120"/>
      <c r="F10" s="121"/>
      <c r="G10" s="121"/>
      <c r="H10" s="122"/>
      <c r="I10" s="123"/>
      <c r="J10" s="124"/>
      <c r="K10" s="125"/>
      <c r="L10" s="126"/>
      <c r="M10" s="125"/>
      <c r="N10" s="127"/>
      <c r="P10" s="117"/>
      <c r="Q10" s="117"/>
      <c r="R10" s="117"/>
      <c r="S10" s="117"/>
      <c r="T10" s="117"/>
      <c r="U10" s="117"/>
    </row>
    <row r="11" spans="2:21" ht="121.5" customHeight="1">
      <c r="B11" s="118"/>
      <c r="C11" s="118"/>
      <c r="D11" s="120"/>
      <c r="E11" s="120"/>
      <c r="F11" s="121"/>
      <c r="G11" s="124"/>
      <c r="H11" s="122"/>
      <c r="I11" s="128"/>
      <c r="J11" s="124"/>
      <c r="K11" s="125"/>
      <c r="L11" s="126"/>
      <c r="M11" s="125"/>
      <c r="N11" s="127"/>
      <c r="P11" s="117"/>
      <c r="Q11" s="117"/>
      <c r="R11" s="117"/>
      <c r="S11" s="117"/>
      <c r="T11" s="117"/>
      <c r="U11" s="117"/>
    </row>
    <row r="12" spans="2:21" ht="12.75" customHeight="1">
      <c r="B12" s="129"/>
      <c r="C12" s="118"/>
      <c r="D12" s="130"/>
      <c r="E12" s="120"/>
      <c r="F12" s="120"/>
      <c r="G12" s="120"/>
      <c r="H12" s="122"/>
      <c r="I12" s="125"/>
      <c r="J12" s="124"/>
      <c r="K12" s="125"/>
      <c r="L12" s="126"/>
      <c r="M12" s="125"/>
      <c r="N12" s="127"/>
    </row>
    <row r="13" spans="2:21" ht="12.75" customHeight="1">
      <c r="B13" s="129"/>
      <c r="C13" s="118"/>
      <c r="D13" s="130"/>
      <c r="E13" s="120"/>
      <c r="F13" s="120"/>
      <c r="G13" s="120"/>
      <c r="H13" s="122"/>
      <c r="I13" s="125"/>
      <c r="J13" s="124"/>
      <c r="K13" s="125"/>
      <c r="L13" s="126"/>
      <c r="M13" s="125"/>
      <c r="N13" s="127"/>
    </row>
    <row r="14" spans="2:21" ht="12.75" customHeight="1">
      <c r="B14" s="129"/>
      <c r="C14" s="118"/>
      <c r="D14" s="130"/>
      <c r="E14" s="120"/>
      <c r="F14" s="120"/>
      <c r="G14" s="120"/>
      <c r="H14" s="122"/>
      <c r="I14" s="125"/>
      <c r="J14" s="124"/>
      <c r="K14" s="125"/>
      <c r="L14" s="126"/>
      <c r="M14" s="125"/>
      <c r="N14" s="127"/>
    </row>
    <row r="15" spans="2:21" ht="12.75" customHeight="1">
      <c r="B15" s="129"/>
      <c r="C15" s="118"/>
      <c r="D15" s="130"/>
      <c r="E15" s="120"/>
      <c r="F15" s="120"/>
      <c r="G15" s="120"/>
      <c r="H15" s="122"/>
      <c r="I15" s="125"/>
      <c r="J15" s="124"/>
      <c r="K15" s="125"/>
      <c r="L15" s="126"/>
      <c r="M15" s="125"/>
      <c r="N15" s="127"/>
    </row>
    <row r="16" spans="2:21" ht="12.75" customHeight="1">
      <c r="B16" s="129"/>
      <c r="C16" s="118"/>
      <c r="D16" s="130"/>
      <c r="E16" s="120"/>
      <c r="F16" s="120"/>
      <c r="G16" s="120"/>
      <c r="H16" s="122"/>
      <c r="I16" s="125"/>
      <c r="J16" s="124"/>
      <c r="K16" s="125"/>
      <c r="L16" s="126"/>
      <c r="M16" s="125"/>
      <c r="N16" s="127"/>
    </row>
    <row r="17" spans="2:14" ht="12.75" customHeight="1">
      <c r="B17" s="129"/>
      <c r="C17" s="118"/>
      <c r="D17" s="130"/>
      <c r="E17" s="120"/>
      <c r="F17" s="120"/>
      <c r="G17" s="120"/>
      <c r="H17" s="122"/>
      <c r="I17" s="125"/>
      <c r="J17" s="124"/>
      <c r="K17" s="125"/>
      <c r="L17" s="126"/>
      <c r="M17" s="125"/>
      <c r="N17" s="127"/>
    </row>
    <row r="18" spans="2:14">
      <c r="B18" s="129"/>
      <c r="C18" s="118"/>
      <c r="D18" s="130"/>
      <c r="E18" s="120"/>
      <c r="F18" s="120"/>
      <c r="G18" s="120"/>
      <c r="H18" s="122"/>
      <c r="I18" s="125"/>
      <c r="J18" s="124"/>
      <c r="K18" s="125"/>
      <c r="L18" s="126"/>
      <c r="M18" s="125"/>
      <c r="N18" s="127"/>
    </row>
    <row r="19" spans="2:14">
      <c r="B19" s="129"/>
      <c r="C19" s="118"/>
      <c r="D19" s="130"/>
      <c r="E19" s="120"/>
      <c r="F19" s="120"/>
      <c r="G19" s="120"/>
      <c r="H19" s="122"/>
      <c r="I19" s="125"/>
      <c r="J19" s="124"/>
      <c r="K19" s="125"/>
      <c r="L19" s="126"/>
      <c r="M19" s="125"/>
      <c r="N19" s="127"/>
    </row>
    <row r="20" spans="2:14">
      <c r="B20" s="129"/>
      <c r="C20" s="118"/>
      <c r="D20" s="130"/>
      <c r="E20" s="120"/>
      <c r="F20" s="120"/>
      <c r="G20" s="120"/>
      <c r="H20" s="122"/>
      <c r="I20" s="125"/>
      <c r="J20" s="124"/>
      <c r="K20" s="125"/>
      <c r="L20" s="126"/>
      <c r="M20" s="125"/>
      <c r="N20" s="127"/>
    </row>
    <row r="21" spans="2:14">
      <c r="B21" s="129"/>
      <c r="C21" s="118"/>
      <c r="D21" s="130"/>
      <c r="E21" s="120"/>
      <c r="F21" s="120"/>
      <c r="G21" s="120"/>
      <c r="H21" s="122"/>
      <c r="I21" s="125"/>
      <c r="J21" s="124"/>
      <c r="K21" s="125"/>
      <c r="L21" s="126"/>
      <c r="M21" s="125"/>
      <c r="N21" s="127"/>
    </row>
    <row r="22" spans="2:14">
      <c r="B22" s="129"/>
      <c r="C22" s="118"/>
      <c r="D22" s="130"/>
      <c r="E22" s="120"/>
      <c r="F22" s="120"/>
      <c r="G22" s="120"/>
      <c r="H22" s="122"/>
      <c r="I22" s="125"/>
      <c r="J22" s="124"/>
      <c r="K22" s="125"/>
      <c r="L22" s="126"/>
      <c r="M22" s="125"/>
      <c r="N22" s="127"/>
    </row>
    <row r="23" spans="2:14">
      <c r="B23" s="129"/>
      <c r="C23" s="118"/>
      <c r="D23" s="130"/>
      <c r="E23" s="120"/>
      <c r="F23" s="120"/>
      <c r="G23" s="120"/>
      <c r="H23" s="122"/>
      <c r="I23" s="125"/>
      <c r="J23" s="124"/>
      <c r="K23" s="125"/>
      <c r="L23" s="126"/>
      <c r="M23" s="125"/>
      <c r="N23" s="127"/>
    </row>
    <row r="24" spans="2:14">
      <c r="B24" s="129"/>
      <c r="C24" s="118"/>
      <c r="D24" s="130"/>
      <c r="E24" s="120"/>
      <c r="F24" s="120"/>
      <c r="G24" s="120"/>
      <c r="H24" s="122"/>
      <c r="I24" s="125"/>
      <c r="J24" s="124"/>
      <c r="K24" s="125"/>
      <c r="L24" s="126"/>
      <c r="M24" s="125"/>
      <c r="N24" s="127"/>
    </row>
    <row r="25" spans="2:14">
      <c r="B25" s="129"/>
      <c r="C25" s="118"/>
      <c r="D25" s="130"/>
      <c r="E25" s="120"/>
      <c r="F25" s="120"/>
      <c r="G25" s="120"/>
      <c r="H25" s="122"/>
      <c r="I25" s="125"/>
      <c r="J25" s="124"/>
      <c r="K25" s="125"/>
      <c r="L25" s="126"/>
      <c r="M25" s="125"/>
      <c r="N25" s="127"/>
    </row>
    <row r="26" spans="2:14">
      <c r="B26" s="129"/>
      <c r="C26" s="118"/>
      <c r="D26" s="130"/>
      <c r="E26" s="120"/>
      <c r="F26" s="131"/>
      <c r="G26" s="131"/>
      <c r="H26" s="132"/>
      <c r="I26" s="133"/>
      <c r="J26" s="134"/>
      <c r="K26" s="125"/>
      <c r="L26" s="126"/>
      <c r="M26" s="125"/>
      <c r="N26" s="127"/>
    </row>
    <row r="27" spans="2:14">
      <c r="B27" s="135"/>
      <c r="C27" s="118"/>
      <c r="D27" s="130"/>
      <c r="E27" s="120"/>
      <c r="F27" s="120"/>
      <c r="G27" s="120"/>
      <c r="H27" s="132"/>
      <c r="I27" s="133"/>
      <c r="J27" s="124"/>
      <c r="K27" s="125"/>
      <c r="L27" s="126"/>
      <c r="M27" s="125"/>
      <c r="N27" s="127"/>
    </row>
    <row r="28" spans="2:14">
      <c r="B28" s="135"/>
      <c r="C28" s="118"/>
      <c r="D28" s="130"/>
      <c r="E28" s="120"/>
      <c r="F28" s="120"/>
      <c r="G28" s="120"/>
      <c r="H28" s="122"/>
      <c r="I28" s="125"/>
      <c r="J28" s="124"/>
      <c r="K28" s="125"/>
      <c r="L28" s="126"/>
      <c r="M28" s="125"/>
      <c r="N28" s="127"/>
    </row>
    <row r="29" spans="2:14">
      <c r="B29" s="135"/>
      <c r="C29" s="118"/>
      <c r="D29" s="130"/>
      <c r="E29" s="120"/>
      <c r="F29" s="120"/>
      <c r="G29" s="120"/>
      <c r="H29" s="122"/>
      <c r="I29" s="125"/>
      <c r="J29" s="124"/>
      <c r="K29" s="125"/>
      <c r="L29" s="126"/>
      <c r="M29" s="125"/>
      <c r="N29" s="127"/>
    </row>
    <row r="30" spans="2:14">
      <c r="B30" s="135"/>
      <c r="C30" s="118"/>
      <c r="D30" s="130"/>
      <c r="E30" s="120"/>
      <c r="F30" s="120"/>
      <c r="G30" s="120"/>
      <c r="H30" s="122"/>
      <c r="I30" s="125"/>
      <c r="J30" s="124"/>
      <c r="K30" s="125"/>
      <c r="L30" s="126"/>
      <c r="M30" s="125"/>
      <c r="N30" s="127"/>
    </row>
    <row r="31" spans="2:14">
      <c r="B31" s="135"/>
      <c r="C31" s="118"/>
      <c r="D31" s="130"/>
      <c r="E31" s="120"/>
      <c r="F31" s="120"/>
      <c r="G31" s="120"/>
      <c r="H31" s="122"/>
      <c r="I31" s="125"/>
      <c r="J31" s="124"/>
      <c r="K31" s="125"/>
      <c r="L31" s="126"/>
      <c r="M31" s="125"/>
      <c r="N31" s="127"/>
    </row>
    <row r="32" spans="2:14">
      <c r="B32" s="135"/>
      <c r="C32" s="118"/>
      <c r="D32" s="130"/>
      <c r="E32" s="120"/>
      <c r="F32" s="120"/>
      <c r="G32" s="120"/>
      <c r="H32" s="122"/>
      <c r="I32" s="125"/>
      <c r="J32" s="124"/>
      <c r="K32" s="125"/>
      <c r="L32" s="126"/>
      <c r="M32" s="125"/>
      <c r="N32" s="127"/>
    </row>
    <row r="33" spans="2:14">
      <c r="B33" s="135"/>
      <c r="C33" s="118"/>
      <c r="D33" s="130"/>
      <c r="E33" s="120"/>
      <c r="F33" s="120"/>
      <c r="G33" s="120"/>
      <c r="H33" s="122"/>
      <c r="I33" s="125"/>
      <c r="J33" s="124"/>
      <c r="K33" s="125"/>
      <c r="L33" s="126"/>
      <c r="M33" s="125"/>
      <c r="N33" s="127"/>
    </row>
    <row r="34" spans="2:14">
      <c r="B34" s="135"/>
      <c r="C34" s="118"/>
      <c r="D34" s="130"/>
      <c r="E34" s="120"/>
      <c r="F34" s="120"/>
      <c r="G34" s="120"/>
      <c r="H34" s="122"/>
      <c r="I34" s="125"/>
      <c r="J34" s="124"/>
      <c r="K34" s="125"/>
      <c r="L34" s="126"/>
      <c r="M34" s="125"/>
      <c r="N34" s="127"/>
    </row>
    <row r="35" spans="2:14">
      <c r="B35" s="135"/>
      <c r="C35" s="118"/>
      <c r="D35" s="130"/>
      <c r="E35" s="120"/>
      <c r="F35" s="120"/>
      <c r="G35" s="120"/>
      <c r="H35" s="132"/>
      <c r="I35" s="133"/>
      <c r="J35" s="124"/>
      <c r="K35" s="125"/>
      <c r="L35" s="126"/>
      <c r="M35" s="125"/>
      <c r="N35" s="127"/>
    </row>
    <row r="36" spans="2:14">
      <c r="B36" s="135"/>
      <c r="C36" s="118"/>
      <c r="D36" s="130"/>
      <c r="E36" s="120"/>
      <c r="F36" s="120"/>
      <c r="G36" s="120"/>
      <c r="H36" s="122"/>
      <c r="I36" s="125"/>
      <c r="J36" s="124"/>
      <c r="K36" s="125"/>
      <c r="L36" s="126"/>
      <c r="M36" s="125"/>
      <c r="N36" s="127"/>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65"/>
  <sheetViews>
    <sheetView tabSelected="1" view="pageBreakPreview" topLeftCell="A42" zoomScale="55" zoomScaleNormal="70" zoomScaleSheetLayoutView="55" workbookViewId="0">
      <selection activeCell="M54" sqref="M54"/>
    </sheetView>
  </sheetViews>
  <sheetFormatPr defaultColWidth="9.28515625" defaultRowHeight="15.75"/>
  <cols>
    <col min="1" max="1" width="15" style="17" customWidth="1"/>
    <col min="2" max="2" width="31.42578125" style="18" customWidth="1"/>
    <col min="3" max="3" width="48.7109375" style="15" customWidth="1"/>
    <col min="4" max="4" width="55.5703125" style="16" customWidth="1"/>
    <col min="5" max="5" width="79.42578125" style="15" customWidth="1"/>
    <col min="6" max="7" width="16.42578125" style="14" customWidth="1"/>
    <col min="8" max="8" width="33.140625" style="15" customWidth="1"/>
    <col min="9" max="16384" width="9.28515625" style="15"/>
  </cols>
  <sheetData>
    <row r="1" spans="1:8" ht="45.75" customHeight="1">
      <c r="A1" s="189"/>
      <c r="B1" s="189"/>
      <c r="C1" s="190" t="s">
        <v>156</v>
      </c>
      <c r="D1" s="190"/>
      <c r="E1" s="190"/>
      <c r="F1" s="191" t="s">
        <v>53</v>
      </c>
      <c r="G1" s="192"/>
      <c r="H1" s="32" t="s">
        <v>157</v>
      </c>
    </row>
    <row r="2" spans="1:8" ht="45.75" customHeight="1">
      <c r="A2" s="189"/>
      <c r="B2" s="189"/>
      <c r="C2" s="190"/>
      <c r="D2" s="190"/>
      <c r="E2" s="190"/>
      <c r="F2" s="191" t="s">
        <v>54</v>
      </c>
      <c r="G2" s="192"/>
      <c r="H2" s="71">
        <v>43466</v>
      </c>
    </row>
    <row r="3" spans="1:8" ht="45.75" customHeight="1">
      <c r="A3" s="189"/>
      <c r="B3" s="189"/>
      <c r="C3" s="189" t="s">
        <v>77</v>
      </c>
      <c r="D3" s="189"/>
      <c r="E3" s="25" t="s">
        <v>78</v>
      </c>
      <c r="F3" s="191" t="s">
        <v>55</v>
      </c>
      <c r="G3" s="192"/>
      <c r="H3" s="33" t="s">
        <v>153</v>
      </c>
    </row>
    <row r="4" spans="1:8" ht="33.75" customHeight="1">
      <c r="A4" s="195" t="s">
        <v>57</v>
      </c>
      <c r="B4" s="196"/>
      <c r="C4" s="197" t="s">
        <v>56</v>
      </c>
      <c r="D4" s="196"/>
      <c r="E4" s="45" t="s">
        <v>59</v>
      </c>
      <c r="F4" s="189" t="s">
        <v>58</v>
      </c>
      <c r="G4" s="189"/>
      <c r="H4" s="189"/>
    </row>
    <row r="5" spans="1:8" ht="66" customHeight="1">
      <c r="A5" s="198" t="s">
        <v>154</v>
      </c>
      <c r="B5" s="198"/>
      <c r="C5" s="198"/>
      <c r="D5" s="198"/>
      <c r="E5" s="46"/>
      <c r="F5" s="199" t="s">
        <v>151</v>
      </c>
      <c r="G5" s="195"/>
      <c r="H5" s="60" t="s">
        <v>152</v>
      </c>
    </row>
    <row r="6" spans="1:8" ht="33.75" customHeight="1">
      <c r="A6" s="198" t="s">
        <v>60</v>
      </c>
      <c r="B6" s="198"/>
      <c r="C6" s="65" t="s">
        <v>66</v>
      </c>
      <c r="D6" s="45" t="s">
        <v>67</v>
      </c>
      <c r="E6" s="65" t="s">
        <v>61</v>
      </c>
      <c r="F6" s="198" t="s">
        <v>62</v>
      </c>
      <c r="G6" s="198"/>
      <c r="H6" s="198"/>
    </row>
    <row r="7" spans="1:8" ht="66" customHeight="1">
      <c r="A7" s="200"/>
      <c r="B7" s="201"/>
      <c r="C7" s="25"/>
      <c r="D7" s="26"/>
      <c r="E7" s="69"/>
      <c r="F7" s="189"/>
      <c r="G7" s="189"/>
      <c r="H7" s="189"/>
    </row>
    <row r="8" spans="1:8" ht="10.5" customHeight="1">
      <c r="A8" s="27"/>
      <c r="B8" s="27"/>
      <c r="C8" s="27"/>
      <c r="D8" s="27"/>
      <c r="E8" s="27"/>
      <c r="F8" s="27"/>
      <c r="G8" s="27"/>
    </row>
    <row r="9" spans="1:8" s="3" customFormat="1" ht="35.25" customHeight="1">
      <c r="A9" s="202" t="s">
        <v>63</v>
      </c>
      <c r="B9" s="203"/>
      <c r="C9" s="203"/>
      <c r="D9" s="203"/>
      <c r="E9" s="203"/>
      <c r="F9" s="203"/>
      <c r="G9" s="203"/>
      <c r="H9" s="204"/>
    </row>
    <row r="10" spans="1:8" s="3" customFormat="1" ht="30" customHeight="1">
      <c r="A10" s="193" t="s">
        <v>12</v>
      </c>
      <c r="B10" s="193"/>
      <c r="C10" s="193"/>
      <c r="D10" s="193"/>
      <c r="E10" s="64" t="s">
        <v>17</v>
      </c>
      <c r="F10" s="8">
        <f>SUM(F13:F15)</f>
        <v>12</v>
      </c>
      <c r="G10" s="8">
        <f>SUM(G13:G15)</f>
        <v>0</v>
      </c>
      <c r="H10" s="194" t="s">
        <v>65</v>
      </c>
    </row>
    <row r="11" spans="1:8" s="3" customFormat="1" ht="36" customHeight="1">
      <c r="A11" s="193"/>
      <c r="B11" s="193"/>
      <c r="C11" s="193"/>
      <c r="D11" s="193"/>
      <c r="E11" s="64" t="s">
        <v>8</v>
      </c>
      <c r="F11" s="9">
        <f>F10/100</f>
        <v>0.12</v>
      </c>
      <c r="G11" s="9">
        <f>G10/100</f>
        <v>0</v>
      </c>
      <c r="H11" s="194"/>
    </row>
    <row r="12" spans="1:8" s="3" customFormat="1" ht="59.25" customHeight="1">
      <c r="A12" s="34" t="s">
        <v>18</v>
      </c>
      <c r="B12" s="34" t="s">
        <v>19</v>
      </c>
      <c r="C12" s="35" t="s">
        <v>24</v>
      </c>
      <c r="D12" s="36" t="s">
        <v>0</v>
      </c>
      <c r="E12" s="35" t="s">
        <v>21</v>
      </c>
      <c r="F12" s="37" t="s">
        <v>9</v>
      </c>
      <c r="G12" s="37" t="s">
        <v>10</v>
      </c>
      <c r="H12" s="194"/>
    </row>
    <row r="13" spans="1:8" s="3" customFormat="1" ht="211.5" customHeight="1">
      <c r="A13" s="5">
        <v>1</v>
      </c>
      <c r="B13" s="4" t="s">
        <v>13</v>
      </c>
      <c r="C13" s="19" t="s">
        <v>23</v>
      </c>
      <c r="D13" s="20" t="s">
        <v>11</v>
      </c>
      <c r="E13" s="19" t="s">
        <v>121</v>
      </c>
      <c r="F13" s="10">
        <v>4</v>
      </c>
      <c r="G13" s="10"/>
      <c r="H13" s="28"/>
    </row>
    <row r="14" spans="1:8" s="3" customFormat="1" ht="262.5" customHeight="1">
      <c r="A14" s="5">
        <v>2</v>
      </c>
      <c r="B14" s="4" t="s">
        <v>14</v>
      </c>
      <c r="C14" s="19" t="s">
        <v>1</v>
      </c>
      <c r="D14" s="20" t="s">
        <v>2</v>
      </c>
      <c r="E14" s="19" t="s">
        <v>122</v>
      </c>
      <c r="F14" s="10">
        <v>4</v>
      </c>
      <c r="G14" s="10"/>
      <c r="H14" s="28"/>
    </row>
    <row r="15" spans="1:8" s="3" customFormat="1" ht="267" customHeight="1">
      <c r="A15" s="5">
        <v>3</v>
      </c>
      <c r="B15" s="4" t="s">
        <v>16</v>
      </c>
      <c r="C15" s="19" t="s">
        <v>22</v>
      </c>
      <c r="D15" s="20" t="s">
        <v>15</v>
      </c>
      <c r="E15" s="19" t="s">
        <v>123</v>
      </c>
      <c r="F15" s="10">
        <v>4</v>
      </c>
      <c r="G15" s="10"/>
      <c r="H15" s="28"/>
    </row>
    <row r="16" spans="1:8" s="3" customFormat="1" ht="25.5" customHeight="1">
      <c r="A16" s="193" t="s">
        <v>104</v>
      </c>
      <c r="B16" s="193"/>
      <c r="C16" s="193"/>
      <c r="D16" s="193"/>
      <c r="E16" s="64" t="s">
        <v>17</v>
      </c>
      <c r="F16" s="8">
        <f>SUM(F19:F22)</f>
        <v>16</v>
      </c>
      <c r="G16" s="8">
        <f>SUM(G19:G22)</f>
        <v>0</v>
      </c>
      <c r="H16" s="194" t="s">
        <v>65</v>
      </c>
    </row>
    <row r="17" spans="1:8" s="3" customFormat="1" ht="25.5" customHeight="1">
      <c r="A17" s="193"/>
      <c r="B17" s="193"/>
      <c r="C17" s="193"/>
      <c r="D17" s="193"/>
      <c r="E17" s="64" t="s">
        <v>8</v>
      </c>
      <c r="F17" s="9">
        <f>15/100</f>
        <v>0.15</v>
      </c>
      <c r="G17" s="9">
        <f>G16/100</f>
        <v>0</v>
      </c>
      <c r="H17" s="194"/>
    </row>
    <row r="18" spans="1:8" s="21" customFormat="1" ht="32.25" customHeight="1">
      <c r="A18" s="38" t="s">
        <v>18</v>
      </c>
      <c r="B18" s="38" t="s">
        <v>19</v>
      </c>
      <c r="C18" s="39" t="s">
        <v>20</v>
      </c>
      <c r="D18" s="40" t="s">
        <v>0</v>
      </c>
      <c r="E18" s="39" t="s">
        <v>21</v>
      </c>
      <c r="F18" s="37" t="s">
        <v>9</v>
      </c>
      <c r="G18" s="37" t="s">
        <v>10</v>
      </c>
      <c r="H18" s="194"/>
    </row>
    <row r="19" spans="1:8" s="21" customFormat="1" ht="153.75" customHeight="1">
      <c r="A19" s="5">
        <v>1</v>
      </c>
      <c r="B19" s="4" t="s">
        <v>109</v>
      </c>
      <c r="C19" s="19" t="s">
        <v>115</v>
      </c>
      <c r="D19" s="20" t="s">
        <v>108</v>
      </c>
      <c r="E19" s="22" t="s">
        <v>124</v>
      </c>
      <c r="F19" s="10">
        <v>4</v>
      </c>
      <c r="G19" s="10"/>
      <c r="H19" s="29"/>
    </row>
    <row r="20" spans="1:8" s="23" customFormat="1" ht="147" customHeight="1">
      <c r="A20" s="5">
        <v>2</v>
      </c>
      <c r="B20" s="4" t="s">
        <v>110</v>
      </c>
      <c r="C20" s="19" t="s">
        <v>111</v>
      </c>
      <c r="D20" s="2" t="s">
        <v>114</v>
      </c>
      <c r="E20" s="22" t="s">
        <v>125</v>
      </c>
      <c r="F20" s="10">
        <v>4</v>
      </c>
      <c r="G20" s="10"/>
      <c r="H20" s="30"/>
    </row>
    <row r="21" spans="1:8" s="23" customFormat="1" ht="144" customHeight="1">
      <c r="A21" s="5">
        <v>3</v>
      </c>
      <c r="B21" s="4" t="s">
        <v>110</v>
      </c>
      <c r="C21" s="59" t="s">
        <v>117</v>
      </c>
      <c r="D21" s="59" t="s">
        <v>116</v>
      </c>
      <c r="E21" s="1" t="s">
        <v>126</v>
      </c>
      <c r="F21" s="10">
        <v>4</v>
      </c>
      <c r="G21" s="10"/>
      <c r="H21" s="30"/>
    </row>
    <row r="22" spans="1:8" s="23" customFormat="1" ht="132.75" customHeight="1">
      <c r="A22" s="5">
        <v>4</v>
      </c>
      <c r="B22" s="4" t="s">
        <v>3</v>
      </c>
      <c r="C22" s="57" t="s">
        <v>112</v>
      </c>
      <c r="D22" s="58" t="s">
        <v>113</v>
      </c>
      <c r="E22" s="19" t="s">
        <v>127</v>
      </c>
      <c r="F22" s="10">
        <v>4</v>
      </c>
      <c r="G22" s="10"/>
      <c r="H22" s="30"/>
    </row>
    <row r="23" spans="1:8" s="23" customFormat="1" ht="25.5" customHeight="1">
      <c r="A23" s="193" t="s">
        <v>105</v>
      </c>
      <c r="B23" s="193"/>
      <c r="C23" s="193"/>
      <c r="D23" s="193"/>
      <c r="E23" s="64" t="s">
        <v>17</v>
      </c>
      <c r="F23" s="8">
        <f>SUM(F26:F28)</f>
        <v>30</v>
      </c>
      <c r="G23" s="8">
        <f>SUM(G26:G28)</f>
        <v>0</v>
      </c>
      <c r="H23" s="205" t="s">
        <v>65</v>
      </c>
    </row>
    <row r="24" spans="1:8" s="3" customFormat="1" ht="25.5" customHeight="1">
      <c r="A24" s="193"/>
      <c r="B24" s="193"/>
      <c r="C24" s="193"/>
      <c r="D24" s="193"/>
      <c r="E24" s="64" t="s">
        <v>8</v>
      </c>
      <c r="F24" s="9">
        <f>F23/100</f>
        <v>0.3</v>
      </c>
      <c r="G24" s="9">
        <f>G23/100</f>
        <v>0</v>
      </c>
      <c r="H24" s="206"/>
    </row>
    <row r="25" spans="1:8" s="3" customFormat="1" ht="36.75" customHeight="1">
      <c r="A25" s="41" t="s">
        <v>18</v>
      </c>
      <c r="B25" s="41" t="s">
        <v>19</v>
      </c>
      <c r="C25" s="42" t="s">
        <v>20</v>
      </c>
      <c r="D25" s="43"/>
      <c r="E25" s="42" t="s">
        <v>21</v>
      </c>
      <c r="F25" s="37" t="s">
        <v>9</v>
      </c>
      <c r="G25" s="37" t="s">
        <v>10</v>
      </c>
      <c r="H25" s="207"/>
    </row>
    <row r="26" spans="1:8" s="21" customFormat="1" ht="177.75" customHeight="1">
      <c r="A26" s="5">
        <v>1</v>
      </c>
      <c r="B26" s="1" t="s">
        <v>142</v>
      </c>
      <c r="C26" s="1" t="s">
        <v>143</v>
      </c>
      <c r="D26" s="1" t="s">
        <v>144</v>
      </c>
      <c r="E26" s="1" t="s">
        <v>138</v>
      </c>
      <c r="F26" s="10">
        <v>10</v>
      </c>
      <c r="G26" s="10"/>
      <c r="H26" s="29"/>
    </row>
    <row r="27" spans="1:8" s="21" customFormat="1" ht="172.5" customHeight="1">
      <c r="A27" s="5">
        <v>2</v>
      </c>
      <c r="B27" s="1" t="s">
        <v>136</v>
      </c>
      <c r="C27" s="1" t="s">
        <v>145</v>
      </c>
      <c r="D27" s="1" t="s">
        <v>146</v>
      </c>
      <c r="E27" s="1" t="s">
        <v>150</v>
      </c>
      <c r="F27" s="10">
        <v>10</v>
      </c>
      <c r="G27" s="10"/>
      <c r="H27" s="29"/>
    </row>
    <row r="28" spans="1:8" s="21" customFormat="1" ht="168" customHeight="1">
      <c r="A28" s="5">
        <v>3</v>
      </c>
      <c r="B28" s="1" t="s">
        <v>147</v>
      </c>
      <c r="C28" s="1" t="s">
        <v>148</v>
      </c>
      <c r="D28" s="1" t="s">
        <v>149</v>
      </c>
      <c r="E28" s="1" t="s">
        <v>139</v>
      </c>
      <c r="F28" s="10">
        <v>10</v>
      </c>
      <c r="G28" s="10"/>
      <c r="H28" s="29"/>
    </row>
    <row r="29" spans="1:8" s="23" customFormat="1" ht="38.25" customHeight="1">
      <c r="A29" s="193" t="s">
        <v>106</v>
      </c>
      <c r="B29" s="193"/>
      <c r="C29" s="193"/>
      <c r="D29" s="193"/>
      <c r="E29" s="64" t="s">
        <v>17</v>
      </c>
      <c r="F29" s="8">
        <f>SUM(F31:F37)</f>
        <v>29</v>
      </c>
      <c r="G29" s="8">
        <f>SUM(G31:G37)</f>
        <v>0</v>
      </c>
      <c r="H29" s="194" t="s">
        <v>65</v>
      </c>
    </row>
    <row r="30" spans="1:8" s="3" customFormat="1" ht="38.25" customHeight="1">
      <c r="A30" s="193"/>
      <c r="B30" s="193"/>
      <c r="C30" s="193"/>
      <c r="D30" s="193"/>
      <c r="E30" s="64" t="s">
        <v>8</v>
      </c>
      <c r="F30" s="9">
        <f>F29/100</f>
        <v>0.28999999999999998</v>
      </c>
      <c r="G30" s="9">
        <f>G29/100</f>
        <v>0</v>
      </c>
      <c r="H30" s="194"/>
    </row>
    <row r="31" spans="1:8" ht="194.25" customHeight="1">
      <c r="A31" s="6">
        <v>1</v>
      </c>
      <c r="B31" s="7" t="s">
        <v>32</v>
      </c>
      <c r="C31" s="19" t="s">
        <v>25</v>
      </c>
      <c r="D31" s="20" t="s">
        <v>30</v>
      </c>
      <c r="E31" s="19" t="s">
        <v>128</v>
      </c>
      <c r="F31" s="68">
        <v>4</v>
      </c>
      <c r="G31" s="68"/>
      <c r="H31" s="31"/>
    </row>
    <row r="32" spans="1:8" ht="201.75" customHeight="1">
      <c r="A32" s="6">
        <v>2</v>
      </c>
      <c r="B32" s="7" t="s">
        <v>13</v>
      </c>
      <c r="C32" s="19" t="s">
        <v>26</v>
      </c>
      <c r="D32" s="20" t="s">
        <v>31</v>
      </c>
      <c r="E32" s="19" t="s">
        <v>129</v>
      </c>
      <c r="F32" s="68">
        <v>4</v>
      </c>
      <c r="G32" s="68"/>
      <c r="H32" s="24"/>
    </row>
    <row r="33" spans="1:8" ht="211.5" customHeight="1">
      <c r="A33" s="6">
        <v>3</v>
      </c>
      <c r="B33" s="7" t="s">
        <v>16</v>
      </c>
      <c r="C33" s="19" t="s">
        <v>27</v>
      </c>
      <c r="D33" s="20" t="s">
        <v>33</v>
      </c>
      <c r="E33" s="19" t="s">
        <v>130</v>
      </c>
      <c r="F33" s="68">
        <v>4</v>
      </c>
      <c r="G33" s="68"/>
      <c r="H33" s="24"/>
    </row>
    <row r="34" spans="1:8" ht="268.5" customHeight="1">
      <c r="A34" s="6">
        <v>4</v>
      </c>
      <c r="B34" s="7" t="s">
        <v>40</v>
      </c>
      <c r="C34" s="19" t="s">
        <v>34</v>
      </c>
      <c r="D34" s="20" t="s">
        <v>39</v>
      </c>
      <c r="E34" s="19" t="s">
        <v>131</v>
      </c>
      <c r="F34" s="68">
        <v>4</v>
      </c>
      <c r="G34" s="68"/>
      <c r="H34" s="24"/>
    </row>
    <row r="35" spans="1:8" ht="218.25" customHeight="1">
      <c r="A35" s="6">
        <v>5</v>
      </c>
      <c r="B35" s="7" t="s">
        <v>41</v>
      </c>
      <c r="C35" s="19" t="s">
        <v>28</v>
      </c>
      <c r="D35" s="20" t="s">
        <v>35</v>
      </c>
      <c r="E35" s="19" t="s">
        <v>132</v>
      </c>
      <c r="F35" s="68">
        <v>4</v>
      </c>
      <c r="G35" s="68"/>
      <c r="H35" s="24"/>
    </row>
    <row r="36" spans="1:8" ht="202.5" customHeight="1">
      <c r="A36" s="6">
        <v>6</v>
      </c>
      <c r="B36" s="7" t="s">
        <v>42</v>
      </c>
      <c r="C36" s="19" t="s">
        <v>36</v>
      </c>
      <c r="D36" s="20" t="s">
        <v>37</v>
      </c>
      <c r="E36" s="19" t="s">
        <v>133</v>
      </c>
      <c r="F36" s="68">
        <v>4</v>
      </c>
      <c r="G36" s="68"/>
      <c r="H36" s="24"/>
    </row>
    <row r="37" spans="1:8" ht="202.5" customHeight="1">
      <c r="A37" s="6">
        <v>7</v>
      </c>
      <c r="B37" s="7" t="s">
        <v>43</v>
      </c>
      <c r="C37" s="19" t="s">
        <v>29</v>
      </c>
      <c r="D37" s="20" t="s">
        <v>38</v>
      </c>
      <c r="E37" s="19" t="s">
        <v>141</v>
      </c>
      <c r="F37" s="68">
        <v>5</v>
      </c>
      <c r="G37" s="68"/>
      <c r="H37" s="24"/>
    </row>
    <row r="38" spans="1:8" s="23" customFormat="1" ht="30.75" customHeight="1">
      <c r="A38" s="193" t="s">
        <v>107</v>
      </c>
      <c r="B38" s="193"/>
      <c r="C38" s="193"/>
      <c r="D38" s="193"/>
      <c r="E38" s="64" t="s">
        <v>17</v>
      </c>
      <c r="F38" s="8">
        <f>SUM(F40:F43)</f>
        <v>13</v>
      </c>
      <c r="G38" s="8">
        <f>SUM(G40:G43)</f>
        <v>0</v>
      </c>
      <c r="H38" s="194" t="s">
        <v>65</v>
      </c>
    </row>
    <row r="39" spans="1:8" s="3" customFormat="1" ht="30.75" customHeight="1">
      <c r="A39" s="193"/>
      <c r="B39" s="193"/>
      <c r="C39" s="193"/>
      <c r="D39" s="193"/>
      <c r="E39" s="64" t="s">
        <v>8</v>
      </c>
      <c r="F39" s="9">
        <f>F38/100</f>
        <v>0.13</v>
      </c>
      <c r="G39" s="9">
        <f>G38/100</f>
        <v>0</v>
      </c>
      <c r="H39" s="194"/>
    </row>
    <row r="40" spans="1:8" ht="205.5" customHeight="1">
      <c r="A40" s="6">
        <v>1</v>
      </c>
      <c r="B40" s="7" t="s">
        <v>13</v>
      </c>
      <c r="C40" s="11" t="s">
        <v>44</v>
      </c>
      <c r="D40" s="12" t="s">
        <v>45</v>
      </c>
      <c r="E40" s="11" t="s">
        <v>134</v>
      </c>
      <c r="F40" s="68">
        <v>4</v>
      </c>
      <c r="G40" s="68"/>
      <c r="H40" s="24"/>
    </row>
    <row r="41" spans="1:8" ht="203.25" customHeight="1">
      <c r="A41" s="6">
        <v>2</v>
      </c>
      <c r="B41" s="7" t="s">
        <v>48</v>
      </c>
      <c r="C41" s="11" t="s">
        <v>46</v>
      </c>
      <c r="D41" s="12" t="s">
        <v>49</v>
      </c>
      <c r="E41" s="11" t="s">
        <v>135</v>
      </c>
      <c r="F41" s="68">
        <v>4</v>
      </c>
      <c r="G41" s="68"/>
      <c r="H41" s="24"/>
    </row>
    <row r="42" spans="1:8" ht="246" customHeight="1">
      <c r="A42" s="6">
        <v>3</v>
      </c>
      <c r="B42" s="4" t="s">
        <v>14</v>
      </c>
      <c r="C42" s="11" t="s">
        <v>47</v>
      </c>
      <c r="D42" s="12" t="s">
        <v>50</v>
      </c>
      <c r="E42" s="13" t="s">
        <v>140</v>
      </c>
      <c r="F42" s="68">
        <v>5</v>
      </c>
      <c r="G42" s="68"/>
      <c r="H42" s="24"/>
    </row>
    <row r="43" spans="1:8" s="3" customFormat="1" ht="35.25" customHeight="1">
      <c r="A43" s="208" t="s">
        <v>64</v>
      </c>
      <c r="B43" s="208"/>
      <c r="C43" s="208"/>
      <c r="D43" s="208"/>
      <c r="E43" s="208"/>
      <c r="F43" s="208"/>
      <c r="G43" s="208"/>
      <c r="H43" s="208"/>
    </row>
    <row r="44" spans="1:8" ht="22.5" customHeight="1">
      <c r="A44" s="209" t="s">
        <v>4</v>
      </c>
      <c r="B44" s="210" t="s">
        <v>5</v>
      </c>
      <c r="C44" s="211"/>
      <c r="D44" s="214" t="s">
        <v>6</v>
      </c>
      <c r="E44" s="209" t="s">
        <v>7</v>
      </c>
      <c r="F44" s="209"/>
      <c r="G44" s="209"/>
      <c r="H44" s="209"/>
    </row>
    <row r="45" spans="1:8" ht="36.75" customHeight="1">
      <c r="A45" s="209"/>
      <c r="B45" s="212"/>
      <c r="C45" s="213"/>
      <c r="D45" s="214"/>
      <c r="E45" s="63" t="s">
        <v>68</v>
      </c>
      <c r="F45" s="209" t="s">
        <v>69</v>
      </c>
      <c r="G45" s="209"/>
      <c r="H45" s="63" t="s">
        <v>8</v>
      </c>
    </row>
    <row r="46" spans="1:8" ht="36.75" customHeight="1">
      <c r="A46" s="61">
        <v>1</v>
      </c>
      <c r="B46" s="215" t="s">
        <v>118</v>
      </c>
      <c r="C46" s="216"/>
      <c r="D46" s="62"/>
      <c r="E46" s="44">
        <f>F10</f>
        <v>12</v>
      </c>
      <c r="F46" s="217">
        <f>G10</f>
        <v>0</v>
      </c>
      <c r="G46" s="218"/>
      <c r="H46" s="70">
        <f>F46/100</f>
        <v>0</v>
      </c>
    </row>
    <row r="47" spans="1:8" ht="36.75" customHeight="1">
      <c r="A47" s="61">
        <v>2</v>
      </c>
      <c r="B47" s="219" t="s">
        <v>51</v>
      </c>
      <c r="C47" s="220"/>
      <c r="D47" s="62"/>
      <c r="E47" s="44">
        <f>F16</f>
        <v>16</v>
      </c>
      <c r="F47" s="217">
        <f>G16</f>
        <v>0</v>
      </c>
      <c r="G47" s="218"/>
      <c r="H47" s="70">
        <f t="shared" ref="H47:H50" si="0">F47/100</f>
        <v>0</v>
      </c>
    </row>
    <row r="48" spans="1:8" ht="36.75" customHeight="1">
      <c r="A48" s="61">
        <v>3</v>
      </c>
      <c r="B48" s="219" t="s">
        <v>119</v>
      </c>
      <c r="C48" s="220"/>
      <c r="D48" s="62"/>
      <c r="E48" s="44">
        <f>F23</f>
        <v>30</v>
      </c>
      <c r="F48" s="217">
        <f>G29</f>
        <v>0</v>
      </c>
      <c r="G48" s="218"/>
      <c r="H48" s="70">
        <f t="shared" si="0"/>
        <v>0</v>
      </c>
    </row>
    <row r="49" spans="1:8" ht="36.75" customHeight="1">
      <c r="A49" s="61">
        <v>4</v>
      </c>
      <c r="B49" s="219" t="s">
        <v>120</v>
      </c>
      <c r="C49" s="220"/>
      <c r="D49" s="62"/>
      <c r="E49" s="44">
        <f>F29</f>
        <v>29</v>
      </c>
      <c r="F49" s="217">
        <f>G29</f>
        <v>0</v>
      </c>
      <c r="G49" s="218"/>
      <c r="H49" s="70">
        <f t="shared" si="0"/>
        <v>0</v>
      </c>
    </row>
    <row r="50" spans="1:8" ht="36.75" customHeight="1">
      <c r="A50" s="61">
        <v>5</v>
      </c>
      <c r="B50" s="219" t="s">
        <v>52</v>
      </c>
      <c r="C50" s="220"/>
      <c r="D50" s="62"/>
      <c r="E50" s="44">
        <f>F38</f>
        <v>13</v>
      </c>
      <c r="F50" s="217">
        <f>G38</f>
        <v>0</v>
      </c>
      <c r="G50" s="218"/>
      <c r="H50" s="70">
        <f t="shared" si="0"/>
        <v>0</v>
      </c>
    </row>
    <row r="51" spans="1:8" ht="39" customHeight="1">
      <c r="A51" s="214" t="s">
        <v>103</v>
      </c>
      <c r="B51" s="221"/>
      <c r="C51" s="222"/>
      <c r="D51" s="67">
        <f>SUM(D46:D50)</f>
        <v>0</v>
      </c>
      <c r="E51" s="63">
        <f>SUM(E46:E50)</f>
        <v>100</v>
      </c>
      <c r="F51" s="209">
        <f>SUM(F46:G50)</f>
        <v>0</v>
      </c>
      <c r="G51" s="209"/>
      <c r="H51" s="70">
        <f>SUM(H46:H50)</f>
        <v>0</v>
      </c>
    </row>
    <row r="52" spans="1:8" ht="35.25" customHeight="1">
      <c r="A52" s="223" t="s">
        <v>70</v>
      </c>
      <c r="B52" s="223"/>
      <c r="C52" s="223"/>
      <c r="D52" s="224" t="s">
        <v>81</v>
      </c>
      <c r="E52" s="224"/>
      <c r="F52" s="225" t="s">
        <v>82</v>
      </c>
      <c r="G52" s="225"/>
      <c r="H52" s="225"/>
    </row>
    <row r="53" spans="1:8" ht="36" customHeight="1">
      <c r="A53" s="55" t="s">
        <v>71</v>
      </c>
      <c r="B53" s="56" t="s">
        <v>99</v>
      </c>
      <c r="C53" s="54" t="s">
        <v>80</v>
      </c>
      <c r="D53" s="226"/>
      <c r="E53" s="226"/>
      <c r="F53" s="227"/>
      <c r="G53" s="227"/>
      <c r="H53" s="227"/>
    </row>
    <row r="54" spans="1:8" ht="36" customHeight="1">
      <c r="A54" s="55" t="s">
        <v>72</v>
      </c>
      <c r="B54" s="56" t="s">
        <v>100</v>
      </c>
      <c r="C54" s="54" t="s">
        <v>98</v>
      </c>
      <c r="D54" s="226"/>
      <c r="E54" s="226"/>
      <c r="F54" s="227"/>
      <c r="G54" s="227"/>
      <c r="H54" s="227"/>
    </row>
    <row r="55" spans="1:8" ht="36" customHeight="1">
      <c r="A55" s="55" t="s">
        <v>73</v>
      </c>
      <c r="B55" s="56" t="s">
        <v>101</v>
      </c>
      <c r="C55" s="54" t="s">
        <v>79</v>
      </c>
      <c r="D55" s="228"/>
      <c r="E55" s="229"/>
      <c r="F55" s="227"/>
      <c r="G55" s="227"/>
      <c r="H55" s="227"/>
    </row>
    <row r="56" spans="1:8" ht="36" customHeight="1">
      <c r="A56" s="55" t="s">
        <v>74</v>
      </c>
      <c r="B56" s="56" t="s">
        <v>102</v>
      </c>
      <c r="C56" s="54" t="s">
        <v>76</v>
      </c>
      <c r="D56" s="230"/>
      <c r="E56" s="231"/>
      <c r="F56" s="227"/>
      <c r="G56" s="227"/>
      <c r="H56" s="227"/>
    </row>
    <row r="57" spans="1:8" ht="36" customHeight="1">
      <c r="A57" s="55" t="s">
        <v>97</v>
      </c>
      <c r="B57" s="56" t="s">
        <v>137</v>
      </c>
      <c r="C57" s="54" t="s">
        <v>75</v>
      </c>
      <c r="D57" s="226"/>
      <c r="E57" s="226"/>
      <c r="F57" s="227"/>
      <c r="G57" s="227"/>
      <c r="H57" s="227"/>
    </row>
    <row r="58" spans="1:8" ht="33.75" customHeight="1">
      <c r="A58" s="223" t="s">
        <v>85</v>
      </c>
      <c r="B58" s="223"/>
      <c r="C58" s="66" t="s">
        <v>84</v>
      </c>
      <c r="D58" s="66" t="s">
        <v>84</v>
      </c>
      <c r="E58" s="66" t="s">
        <v>84</v>
      </c>
      <c r="F58" s="223" t="s">
        <v>83</v>
      </c>
      <c r="G58" s="223"/>
      <c r="H58" s="223"/>
    </row>
    <row r="59" spans="1:8" ht="39.75" customHeight="1">
      <c r="A59" s="232" t="s">
        <v>91</v>
      </c>
      <c r="B59" s="232"/>
      <c r="C59" s="47"/>
      <c r="D59" s="48"/>
      <c r="E59" s="47"/>
      <c r="F59" s="233"/>
      <c r="G59" s="234"/>
      <c r="H59" s="235"/>
    </row>
    <row r="60" spans="1:8" ht="24" customHeight="1">
      <c r="A60" s="236" t="s">
        <v>92</v>
      </c>
      <c r="B60" s="236"/>
      <c r="C60" s="49"/>
      <c r="D60" s="50"/>
      <c r="E60" s="49"/>
      <c r="F60" s="237"/>
      <c r="G60" s="238"/>
      <c r="H60" s="239"/>
    </row>
    <row r="61" spans="1:8" ht="24" customHeight="1">
      <c r="A61" s="236" t="s">
        <v>93</v>
      </c>
      <c r="B61" s="236"/>
      <c r="C61" s="49"/>
      <c r="D61" s="50"/>
      <c r="E61" s="49"/>
      <c r="F61" s="237"/>
      <c r="G61" s="238"/>
      <c r="H61" s="239"/>
    </row>
    <row r="62" spans="1:8" ht="24" customHeight="1">
      <c r="A62" s="236" t="s">
        <v>94</v>
      </c>
      <c r="B62" s="236"/>
      <c r="C62" s="49"/>
      <c r="D62" s="50"/>
      <c r="E62" s="49"/>
      <c r="F62" s="237"/>
      <c r="G62" s="238"/>
      <c r="H62" s="239"/>
    </row>
    <row r="63" spans="1:8" ht="24" customHeight="1">
      <c r="A63" s="236" t="s">
        <v>95</v>
      </c>
      <c r="B63" s="236"/>
      <c r="C63" s="49"/>
      <c r="D63" s="50"/>
      <c r="E63" s="49"/>
      <c r="F63" s="237"/>
      <c r="G63" s="238"/>
      <c r="H63" s="239"/>
    </row>
    <row r="64" spans="1:8" ht="24" customHeight="1">
      <c r="A64" s="240" t="s">
        <v>96</v>
      </c>
      <c r="B64" s="240"/>
      <c r="C64" s="51"/>
      <c r="D64" s="52"/>
      <c r="E64" s="51"/>
      <c r="F64" s="241"/>
      <c r="G64" s="242"/>
      <c r="H64" s="243"/>
    </row>
    <row r="65" spans="1:8" ht="34.5" customHeight="1">
      <c r="A65" s="244" t="s">
        <v>155</v>
      </c>
      <c r="B65" s="244"/>
      <c r="C65" s="53" t="s">
        <v>86</v>
      </c>
      <c r="D65" s="53" t="s">
        <v>87</v>
      </c>
      <c r="E65" s="53" t="s">
        <v>88</v>
      </c>
      <c r="F65" s="53" t="s">
        <v>89</v>
      </c>
      <c r="H65" s="53" t="s">
        <v>90</v>
      </c>
    </row>
  </sheetData>
  <mergeCells count="68">
    <mergeCell ref="A64:B64"/>
    <mergeCell ref="F64:H64"/>
    <mergeCell ref="A65:B65"/>
    <mergeCell ref="A61:B61"/>
    <mergeCell ref="F61:H61"/>
    <mergeCell ref="A62:B62"/>
    <mergeCell ref="F62:H62"/>
    <mergeCell ref="A63:B63"/>
    <mergeCell ref="F63:H63"/>
    <mergeCell ref="A58:B58"/>
    <mergeCell ref="F58:H58"/>
    <mergeCell ref="A59:B59"/>
    <mergeCell ref="F59:H59"/>
    <mergeCell ref="A60:B60"/>
    <mergeCell ref="F60:H60"/>
    <mergeCell ref="A52:C52"/>
    <mergeCell ref="D52:E52"/>
    <mergeCell ref="F52:H52"/>
    <mergeCell ref="D53:E53"/>
    <mergeCell ref="F53:H57"/>
    <mergeCell ref="D54:E54"/>
    <mergeCell ref="D55:E56"/>
    <mergeCell ref="D57:E57"/>
    <mergeCell ref="B49:C49"/>
    <mergeCell ref="F49:G49"/>
    <mergeCell ref="B50:C50"/>
    <mergeCell ref="F50:G50"/>
    <mergeCell ref="A51:C51"/>
    <mergeCell ref="F51:G51"/>
    <mergeCell ref="B46:C46"/>
    <mergeCell ref="F46:G46"/>
    <mergeCell ref="B47:C47"/>
    <mergeCell ref="F47:G47"/>
    <mergeCell ref="B48:C48"/>
    <mergeCell ref="F48:G48"/>
    <mergeCell ref="A38:D39"/>
    <mergeCell ref="H38:H39"/>
    <mergeCell ref="A43:H43"/>
    <mergeCell ref="A44:A45"/>
    <mergeCell ref="B44:C45"/>
    <mergeCell ref="D44:D45"/>
    <mergeCell ref="E44:H44"/>
    <mergeCell ref="F45:G45"/>
    <mergeCell ref="A16:D17"/>
    <mergeCell ref="H16:H18"/>
    <mergeCell ref="A23:D24"/>
    <mergeCell ref="H23:H25"/>
    <mergeCell ref="A29:D30"/>
    <mergeCell ref="H29:H30"/>
    <mergeCell ref="A10:D11"/>
    <mergeCell ref="H10:H12"/>
    <mergeCell ref="A4:B4"/>
    <mergeCell ref="C4:D4"/>
    <mergeCell ref="F4:H4"/>
    <mergeCell ref="A5:B5"/>
    <mergeCell ref="C5:D5"/>
    <mergeCell ref="F5:G5"/>
    <mergeCell ref="A6:B6"/>
    <mergeCell ref="F6:H6"/>
    <mergeCell ref="A7:B7"/>
    <mergeCell ref="F7:H7"/>
    <mergeCell ref="A9:H9"/>
    <mergeCell ref="A1:B3"/>
    <mergeCell ref="C1:E2"/>
    <mergeCell ref="F1:G1"/>
    <mergeCell ref="F2:G2"/>
    <mergeCell ref="C3:D3"/>
    <mergeCell ref="F3:G3"/>
  </mergeCells>
  <printOptions horizontalCentered="1"/>
  <pageMargins left="0.5" right="0.5" top="0.5" bottom="0" header="0.5" footer="0"/>
  <pageSetup paperSize="9" scale="44" orientation="landscape" r:id="rId1"/>
  <rowBreaks count="3" manualBreakCount="3">
    <brk id="15" max="7" man="1"/>
    <brk id="28" max="7" man="1"/>
    <brk id="42" max="7"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 sheet</vt:lpstr>
      <vt:lpstr>'Check sheet'!Print_Area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VPSX-QC</cp:lastModifiedBy>
  <cp:lastPrinted>2019-08-13T03:35:45Z</cp:lastPrinted>
  <dcterms:created xsi:type="dcterms:W3CDTF">2019-06-28T07:07:49Z</dcterms:created>
  <dcterms:modified xsi:type="dcterms:W3CDTF">2022-04-17T10:48:52Z</dcterms:modified>
</cp:coreProperties>
</file>