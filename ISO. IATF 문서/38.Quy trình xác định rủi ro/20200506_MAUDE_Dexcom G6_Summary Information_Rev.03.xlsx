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0730" windowHeight="9195"/>
  </bookViews>
  <sheets>
    <sheet name="Summary" sheetId="1" r:id="rId1"/>
    <sheet name="Chart" sheetId="3" r:id="rId2"/>
  </sheets>
  <definedNames>
    <definedName name="_xlnm._FilterDatabase" localSheetId="1" hidden="1">Chart!$A$3:$E$3</definedName>
    <definedName name="_xlnm._FilterDatabase" localSheetId="0" hidden="1">Summary!$A$3:$G$484</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 i="3" l="1"/>
  <c r="F34" i="3"/>
  <c r="F35" i="3"/>
  <c r="F36" i="3"/>
  <c r="F37" i="3"/>
  <c r="F38" i="3"/>
  <c r="F39" i="3"/>
  <c r="F40" i="3"/>
  <c r="F41" i="3"/>
  <c r="F42" i="3"/>
  <c r="F33" i="3"/>
  <c r="G35" i="3" l="1"/>
  <c r="G41" i="3"/>
  <c r="G40" i="3"/>
  <c r="G36" i="3"/>
  <c r="G34" i="3"/>
  <c r="G42" i="3"/>
  <c r="G38" i="3"/>
  <c r="G39" i="3"/>
  <c r="G37" i="3"/>
  <c r="G33" i="3"/>
  <c r="F5" i="3"/>
  <c r="F8" i="3"/>
  <c r="F11" i="3"/>
  <c r="F4" i="3"/>
  <c r="F7" i="3"/>
  <c r="F10" i="3"/>
  <c r="F6" i="3"/>
  <c r="F9" i="3"/>
  <c r="E9" i="3"/>
  <c r="E20" i="3"/>
  <c r="E19" i="3"/>
  <c r="E12" i="3"/>
  <c r="E21" i="3"/>
  <c r="E5" i="3"/>
  <c r="E15" i="3"/>
  <c r="E18" i="3"/>
  <c r="E14" i="3"/>
  <c r="E17" i="3"/>
  <c r="E6" i="3"/>
  <c r="E7" i="3"/>
  <c r="E11" i="3"/>
  <c r="E4" i="3"/>
  <c r="E16" i="3"/>
  <c r="E13" i="3"/>
  <c r="E10" i="3"/>
  <c r="E8" i="3"/>
</calcChain>
</file>

<file path=xl/sharedStrings.xml><?xml version="1.0" encoding="utf-8"?>
<sst xmlns="http://schemas.openxmlformats.org/spreadsheetml/2006/main" count="2502" uniqueCount="303">
  <si>
    <t>No.</t>
  </si>
  <si>
    <t>Model Number</t>
  </si>
  <si>
    <t>Device Problem</t>
  </si>
  <si>
    <t>Event Date</t>
  </si>
  <si>
    <t>9445-02</t>
  </si>
  <si>
    <t>Wireless Communication Problem</t>
  </si>
  <si>
    <t>9438-06</t>
  </si>
  <si>
    <t>MT24078</t>
  </si>
  <si>
    <t>9500-45</t>
  </si>
  <si>
    <t>Break</t>
  </si>
  <si>
    <t>N/A</t>
  </si>
  <si>
    <t>No Device Output</t>
  </si>
  <si>
    <t>It was reported that transmitter failed error occurred. No product or data was provided for evaluation. Confirmation of
the allegation and a probable cause could not be determined. No injury or medical intervention was reported.</t>
  </si>
  <si>
    <t>9500-27</t>
  </si>
  <si>
    <t>Detachment of Device or device Component</t>
  </si>
  <si>
    <t xml:space="preserve"> 9445-02</t>
  </si>
  <si>
    <t>02-29-20</t>
  </si>
  <si>
    <t>03/15/2020</t>
  </si>
  <si>
    <t>It was reported that a transmitter failed error occurred. Data was evaluated and the allegation was confirmed. The
probable cause could not be determined. No injury or medical intervention was reported.</t>
  </si>
  <si>
    <t>It was reported that signal loss over one hour occurred. No product or data was provided for
evaluation. Confirmation of the allegation and a probable cause could not be determined. No injury
or medical intervention was reported.</t>
  </si>
  <si>
    <t>MT23620</t>
  </si>
  <si>
    <t>Imprecision</t>
  </si>
  <si>
    <t>It was reported that transmitter failed error occurred. Data was evaluated and the allegation was
confirmed. The probable cause was determined to be a low transmitter battery. No injury or
medical intervention was reported.</t>
  </si>
  <si>
    <t>Defective Alarm</t>
  </si>
  <si>
    <t>It was reported that a transmitter failed error occurred. Data was evaluated and the allegation was
confirmed. The probable cause could not be determined. No injury or medical intervention was
reported.</t>
  </si>
  <si>
    <t>Unintended Application Program Shut Down</t>
  </si>
  <si>
    <t>It was reported that an app crash occurred. No data or product was provided for evaluation.
Confirmation of the allegation and a probable cause could not be determined. No injury or medical
intervention was reported.</t>
  </si>
  <si>
    <t>STT-OR-001</t>
  </si>
  <si>
    <t>It was reported that the transmitter lost connection with the pump for greater than 1 hour.
Transmitter was replaced to resolve the issue. No additional patient or event information was
available.</t>
  </si>
  <si>
    <t>MT22949</t>
  </si>
  <si>
    <t>It was reported that an unexpected cgm app shut-off occurred. Data was evaluated and the
allegation was confirmed. The probable cause could not be determined. No injury or medical
intervention was reported.</t>
  </si>
  <si>
    <t>It was reported that transmitter failed error occurred. Data was evaluated and the allegation was
not confirmed. The probable cause could not be determined. No injury or medical intervention was
reported.</t>
  </si>
  <si>
    <t>It was reported that transmitter failed error occurred. No product or data was provided for
evaluation. Confirmation of the allegation and a probable cause could not be determined. No injury
or medical intervention was reported.</t>
  </si>
  <si>
    <t>It was reported that signal loss over one hour occurred. Data was received for evaluation.
However, the alleged product is not present within the investigation window. Confirmation of the
allegation and a probable cause could not be determined. No injury or medical intervention was
reported.</t>
  </si>
  <si>
    <t>Unable to Obtain Readings</t>
  </si>
  <si>
    <t>It was reported that error icon displayed occurred. No product or data was provided for evaluation.
Confirmation of the allegation and a probable cause could not be determined. No injury or medical
intervention was reported.</t>
  </si>
  <si>
    <t>Appropriate Term/Code Not Available</t>
  </si>
  <si>
    <t>It was reported that a no readings event occurred. Data was evaluated and the allegation was
confirmed as signal loss over one hour. The probable cause of the signal loss could not be
determined. The reported event of a no readings event is reportable based on the finding of signal
loss over one hour. No injury or medical intervention was reported.</t>
  </si>
  <si>
    <t>It was reported that an app crash alert occurred. Data was evaluated and confirmation of the
allegation and a probable cause could not be determined. No injury or medical intervention was
reported.</t>
  </si>
  <si>
    <t>9500-44</t>
  </si>
  <si>
    <t>Premature End-of-Life Indicator</t>
  </si>
  <si>
    <t>It was reported that early sensor expiration occurred. Data was evaluated and the allegation was
confirmed. The probable cause was determined to be potential patient misuse. No injury or
medical intervention was reported.</t>
  </si>
  <si>
    <t>It was determined that the signal loss was related to the mobile application. It was indicated that
the operating system for the smart device was not a supported system, which is off-label usage of
the device. A review of the share logs was performed and signal loss was found within the
investigation window. The allegation was confirmed. The probable cause could not be determined.
No injury or medical intervention was reported.</t>
  </si>
  <si>
    <t>It was reported that early sensor expiration occurred. Data was evaluated and the allegation was
confirmed. The probable cause could not be determined. No injury or medical intervention was
reported.</t>
  </si>
  <si>
    <t>It was determined that the signal loss was related to the mobile application. A review of the share
logs was performed and signal loss was found within the investigation window. The allegation was
confirmed. The probable cause could not be determined. No injury or medical intervention was
reported.</t>
  </si>
  <si>
    <t>It was reported that bluetooth connection between transmitter and mobile app issue occurred. It
was indicated that the patient was using an unsupported operating system, which is misuse of the
device. Data was received but not investigated as data will not confirm the issue. Confirmation of
the allegation and a probable cause could not be determined. No injury or medical intervention
was reported.</t>
  </si>
  <si>
    <t>It was reported that sensor failure occurred. Data was evaluated and the allegation was confirmed
as a early sensor expiration. The probable cause was determined to be early sensor expiration
due to potential patient misuse. The reported event of a sensor failure is reportable based on the
finding of a early sensor expiration. No injury or medical intervention was reported.</t>
  </si>
  <si>
    <t>It was determined that the signal loss was related to the mobile application. It was indicated that
the operating system for the smart device was not a supported system, which is off-label usage of
the device. Data was provided for evaluation. Per doc (b)(4), cases where the sensor session line
is missing in share support tool and share support service, complaints will be closed since a data
investigation cannot be completed as data ambiguity cannot be resolved further. The allegation
was undetermined. The probable cause could not be determined. No injury or medical intervention
was reported.</t>
  </si>
  <si>
    <t>It was determined that the loss of connection was related to the mobile application. A review of the
share logs was performed and a loss of connection was not found within the investigation window.
The allegation was not confirmed. The probable cause could not be determined. No injury or
medical intervention was reported.</t>
  </si>
  <si>
    <t>It was determined that the signal loss was related to the mobile application. It was indicated that
the operating system for the smart device was not a supported system, which is off-label usage of
the device. No product or data was provided for evaluation. Confirmation of the allegation and a
probable cause could not be determined. No injury or medical intervention was reported.</t>
  </si>
  <si>
    <t>Alarm Not Visible</t>
  </si>
  <si>
    <t>It was reported that no alerts on the mobile app occurred. No data or product was provided for
evaluation. Confirmation of the allegation and a probable cause could not be determined. No injury
or medical intervention was reported.</t>
  </si>
  <si>
    <t>It was reported that an unknown duration of loss of connection on the mobile app occurred. It was
indicated that the patient was using an unsupported operating system, which is misuse of the
device. Data was evaluated and the allegation was confirmed. The probable cause was the
transmitter and app were unable to establish a connection. The reported event of an unknown
duration of loss of connection is reportable based on the finding of loss of connection greater than
one hour. No injury or medical intervention was reported.</t>
  </si>
  <si>
    <t>It was reported that there were no end of life alerts. Data was provided for investigation.
Confirmation of the complaint was undetermined via data. The probable cause could not be
determined via data. No injury or medical intervention was reported.</t>
  </si>
  <si>
    <t>It was determined that the loss of connection was related to the mobile application. A review of the
share logs was performed and a loss of connection was found within the investigation window.
However, the device operated within specification. The allegation was not confirmed. The probable
cause could not be determined. No injury or medical intervention was reported.</t>
  </si>
  <si>
    <t>It was reported that an unknown duration of loss of connection on the mobile app occurred. Data
was evaluated and the allegation was confirmed. The probable cause was determined to be
potential patient misuse as the app was manually closed. The reported event of an unknown
duration of loss of connection is reportable based on the finding of loss of connection greater than
one hour. No injury or medical intervention was reported.</t>
  </si>
  <si>
    <t>It was determined that the signal loss was related to the mobile application. It was indicated that
the operating system for the smart device was not a supported system, which is off-label usage of
the device. A review of the share logs was performed and signal loss was found within the
investigation window. The allegation was confirmed. The probable cause was the patient closed
the mobile app. No injury or medical intervention was reported.</t>
  </si>
  <si>
    <t>MT24078-2</t>
  </si>
  <si>
    <t>It was determined that the signal loss was related to the mobile application. A review of the share
logs was performed and signal loss was found within the investigation window. The allegation was
confirmed. The probable cause was the patient closed the mobile app. No injury or medical
intervention was reported</t>
  </si>
  <si>
    <t>It was reported that transmitter failed error occurred. No product or data was provided for
evaluation. Confirmation of the allegation and a probable cause could not be determined. No injury
or medical intervention was reported</t>
  </si>
  <si>
    <t>It was reported that bluetooth connection between transmitter and mobile app issue occurred.
Data was received but not investigated as data will not confirm the issue. Confirmation of the
allegation and a probable cause could not be determined. No injury or medical intervention was
reported.</t>
  </si>
  <si>
    <t>It was determined that the signal loss was related to the mobile application. A review of the share
logs was performed and signal loss was found within the investigation window. The allegation was
confirmed. The probable cause was the transmitter and app were unable to establish a
connection. No injury or medical intervention was reported</t>
  </si>
  <si>
    <t>Failure to Sense</t>
  </si>
  <si>
    <t xml:space="preserve">                                   Imprecision</t>
  </si>
  <si>
    <t>It was reported that an alert for a new transmitter occurred. Data was evaluated and the allegation
was confirmed. The probable cause was determined to be a transmitter failed error. The reported
event of an alert for a new transmitter is reportable based on the finding of a transmitter failed
error. No injury or medical intervention was reported.</t>
  </si>
  <si>
    <t>It was reported that an app crash alert occurred. No data or product was provided for evaluation.
Confirmation of the allegation and a probable cause could not be determined. No injury or medical
intervention was reported.</t>
  </si>
  <si>
    <t>Communication or Transmission Problem; Wireless Communication Problem</t>
  </si>
  <si>
    <t>Device Output</t>
  </si>
  <si>
    <t>Device Displays Incorrect Message</t>
  </si>
  <si>
    <t>It was reported that transmitter failed error occurred. Data was evaluated and the allegation was
confirmed. The probable cause was determined to be a low transmitter battery. No injury or
medical intervention was reported</t>
  </si>
  <si>
    <t>Communication or Transmission Problem</t>
  </si>
  <si>
    <t>It was reported that intermittent loss of connection issues occurred between the transmitter and
the pump. A root cause could not be determined. Transmitter was replaced to resolve the issue.
No additional patient or event information was available.</t>
  </si>
  <si>
    <t>It was reported that an unexpected cgm app shut-off occurred. It was indicated that the patient
was using an unsupported operating system, which is misuse of the device. Data was evaluated
and the allegation was not confirmed. The probable cause could not be determined. No injury or
medical intervention was reported.</t>
  </si>
  <si>
    <t>Overheating of Device</t>
  </si>
  <si>
    <t>It was reported that the receiver was overheating. No product or data was provided for evaluation.
Confirmation of the allegation and a probable cause could not be determined. No injury or medical
intervention was reported.</t>
  </si>
  <si>
    <t>It was reported that transmitter failed error occurred. Data was evaluated and the allegation was
not confirmed. The probable cause could not be determined. No injuryor medical intervention was
reported</t>
  </si>
  <si>
    <t xml:space="preserve">9445-02
</t>
  </si>
  <si>
    <t xml:space="preserve">               03/15/2020</t>
  </si>
  <si>
    <t>MT22719-2</t>
  </si>
  <si>
    <t>Unexpected Shutdown</t>
  </si>
  <si>
    <t>It was reported that unexpected receiver shutdown occurred. No product or data was provided for
evaluation. Confirmation of the allegation and a probable cause could not be determined. No injury
or medical intervention was reported.</t>
  </si>
  <si>
    <t>It was determined that the signal loss was related to the mobile application. No product or data
was provided for evaluation. Confirmation of the allegation and a probable cause could not be
determined. No injury or medical intervention was reported.</t>
  </si>
  <si>
    <t>It was reported that transmitter failed error occurred. Data was evaluated and the allegation was not confirmed. The
probable cause could not be determined. No injury or medical intervention was reported.</t>
  </si>
  <si>
    <t>It was reported that transmitter failed error occurred. Data was evaluated and the allegation was confirmed. The
probable cause was determined to be a low transmitter battery. No injury or medical intervention was reported.</t>
  </si>
  <si>
    <t>It was reported that transmitter failed error occurred. Data was evaluated and the allegation was confirmed. The
probable cause was determined to be a low transmitter battery. No injury or medical intervention was reported</t>
  </si>
  <si>
    <t xml:space="preserve"> MT22949</t>
  </si>
  <si>
    <t>It was reported that transmitter failed error occurred. Data was evaluated and the allegation was not confirmed. The
probable cause could not be determined. No injury or medical intervention was reported</t>
  </si>
  <si>
    <t xml:space="preserve"> Wireless Communication Problem</t>
  </si>
  <si>
    <t>It was reported that transmitter failed error occurred. No product or data was provided for evaluation. Confirmation of
the allegation and a probable cause could not be determined. No injury or medical intervention was reported</t>
  </si>
  <si>
    <t>It was reported that a transmitter failed error occurred. Data was evaluated and the allegation was confirmed. The
probable cause could not be determined. No injury or medical intervention was reported</t>
  </si>
  <si>
    <t xml:space="preserve"> 03/15/2020</t>
  </si>
  <si>
    <t xml:space="preserve"> 03/14/2020</t>
  </si>
  <si>
    <t xml:space="preserve"> 9500-45</t>
  </si>
  <si>
    <t>03/14/2020</t>
  </si>
  <si>
    <t>03/13/2020</t>
  </si>
  <si>
    <t>03/19/2020</t>
  </si>
  <si>
    <t xml:space="preserve"> 03/09/2020</t>
  </si>
  <si>
    <t>03/16/2020</t>
  </si>
  <si>
    <t xml:space="preserve"> 03/10/2020</t>
  </si>
  <si>
    <t xml:space="preserve"> 9438-06</t>
  </si>
  <si>
    <t xml:space="preserve"> No Device Output</t>
  </si>
  <si>
    <t xml:space="preserve"> Imprecision</t>
  </si>
  <si>
    <t>It was reported that signal loss over one hour occurred. No product or data was provided for evaluation. Confirmation of the allegation and a probable cause could not be determined. No injury or medical intervention was reported.</t>
  </si>
  <si>
    <t xml:space="preserve"> N/A</t>
  </si>
  <si>
    <t xml:space="preserve"> 03/11/2020</t>
  </si>
  <si>
    <t xml:space="preserve"> 03/08/2020</t>
  </si>
  <si>
    <t>03/18/2020</t>
  </si>
  <si>
    <t>02/25/2020</t>
  </si>
  <si>
    <t>MT22719</t>
  </si>
  <si>
    <t>02/28/2020</t>
  </si>
  <si>
    <t xml:space="preserve"> MT23620</t>
  </si>
  <si>
    <t xml:space="preserve"> 03/16/2020</t>
  </si>
  <si>
    <t>03/17/2020</t>
  </si>
  <si>
    <t>Summary</t>
  </si>
  <si>
    <t>Problem</t>
  </si>
  <si>
    <t>Rate (%)</t>
  </si>
  <si>
    <t>It was reported that pair new transmitter alert occurred. Data was evaluated and the allegation was confirmed as a transmitter failed error. The probable cause was determined to be a transmitter failed error. The reported event of a pair new transmitter alert is reportable based on the finding of a transmitter failed error. No injury or medical intervention was reported.</t>
  </si>
  <si>
    <t>It was reported that unknown sensor issue occurred. Data was evaluated and the allegation was
confirmed as a early sensor expiration. The probable cause was determined to be early sensor
expiration due to potential patient misuse. The reported event of a unknown sensor issue is reportable based on the finding of a early sensor expiration. No injury or medical intervention was
reported.</t>
  </si>
  <si>
    <t>It was reported that prompted initial setup on its own on the mobile app occurred. Data was received but cannot confirm the allegation. Confirmation of the allegation and a probable cause
could not be determined. No injury or medical intervention was reported.</t>
  </si>
  <si>
    <t>It was reported that a broken sensor wire occurred. The sensor was inserted at the abdomen on (b)(6) 2020. No product was provided for evaluation. Confirmation of the allegation and probable cause could not be determined. No injury or medical intervention was reported.</t>
  </si>
  <si>
    <t>It was reported that a broken sensor wire occurred. The sensor was inserted into the abdomen on (b)(6) 2020. No product was provided for evaluation. Confirmation of the allegation and a probable cause could not be determined. No injury or medical intervention was reported</t>
  </si>
  <si>
    <t>It was reported that a broken sensor wire occurred. The sensor was inserted into the abdomen on (b)(6) 2020. No product was provided for evaluation. Confirmation of the allegation and a probable cause could not be determined. No injury or medical intervention was reported.</t>
  </si>
  <si>
    <t>It was reported that the customer received an invalid transmitter id alert. Despite multiple attempts, a sensor session was unable to be started. No additional patient or event information was available. A root cause could not be determined. A replacement transmitter was sent to the customer.</t>
  </si>
  <si>
    <t>It was reported that the transmitter lost connection with the pump for greater than 1 hour. In addition, it was reported that the customer received an invalid transmitter id alert. Despite multiple attempts, a sensor session was unable to be started. Transmitter was replaced to resolve the issue. No additional patient or event information was available</t>
  </si>
  <si>
    <t>It was reported that the transmitter lost connection with the pump for greater than 1 hour. In addition, it was reported that the customer received an invalid transmitter id alert. Despite multiple attempts, a sensor session was unable to be started. Transmitter was replaced to resolve the issue. No additional patient or event information was available.</t>
  </si>
  <si>
    <t>It was reported that the transmitter lost connection with the pump for an unspecified duration of time. In addition, it was reported that the customer received an invalid transmitter id alert. Despite multiple attempts, a sensor session was unable to be started. No additional patient or event information was available. A root cause could not be determined. A replacement transmitter was sent to the customer.</t>
  </si>
  <si>
    <t>Event Description</t>
  </si>
  <si>
    <t>It was reported that intermittent vibration occurred. No product or data was provided for evaluation. Confirmation of the allegation and a probable cause could not be determined. No injury or medical intervention was reported.</t>
  </si>
  <si>
    <t>It was reported that intermittent audio output occurred. No product or data was provided for evaluation. Confirmation of the allegation and a probable cause could not be determined. No injury or medical intervention was reported.</t>
  </si>
  <si>
    <t>It was reported that intermittent audio output occurred. Product has been received but is pending evaluation. A follow up report will be submitted upon completion. No injury or medical intervention was reported.</t>
  </si>
  <si>
    <t>It was reported that a missing sensor wire occurred. The sensor was inserted into the abdomen on (b)(6) 2020. Product has been received but is pending evaluation. A follow up report will be submitted upon completion. No injury or medical intervention was reported.</t>
  </si>
  <si>
    <t>It was reported that a detached sensor wire occurred. The sensor was inserted into the abdomen on (b)(6) 2020. No product was provided for evaluation. Confirmation of the allegation and a probable cause could not be determined. No injury or medical intervention was reported.</t>
  </si>
  <si>
    <t>It was reported that a missing sensor wire occurred. The sensor was inserted into the abdomen on (b)(6) 2020. No product was provided for evaluation. Confirmation of the allegation and a probable cause could not be determined. No injury or medical intervention was reported.</t>
  </si>
  <si>
    <t>It was reported that a detached sensor wire occurred. The sensor was inserted into the arm, which is off label usage of the device, on (b)(6) 2020. No product was provided for evaluation. Confirmation of the allegation and a probable cause could not be determined. No injury or medical intervention was reported.</t>
  </si>
  <si>
    <t>It was reported that a missing sensor wire occurred. The sensor was inserted at the abdomen on (b)(6) 2020. No product was provided for evaluation. Confirmation of the allegation and probable cause could not be determined. No injury or medical intervention was reported.</t>
  </si>
  <si>
    <t>It was reported that a detached sensor wire occurred. The sensor was inserted at the abdomen on (b)(6) 2020. It was indicated that the patient removed the transmitter from the sensor pod before removing the sensor from the body, which is misuse of the device. No product was provided for evaluation. Confirmation of the allegation and a probable cause could not be determined. No injury or medical intervention was reported.</t>
  </si>
  <si>
    <t>It was reported that a missing sensor wire occurred. The sensor was inserted into the arm, which is off label usage of the device, on (b)(6) 2020. No product was provided for evaluation. Confirmation of the allegation and a probable cause could not be determined. No injury or medical intervention was reported.</t>
  </si>
  <si>
    <t>It was reported that a missing sensor wire occurred. The sensor was inserted into the abdomen. No product was provided for evaluation. Confirmation of the allegation and a probable cause could not be determined. No injury or medical intervention was reported.</t>
  </si>
  <si>
    <t>It was reported that a missing sensor wire occurred. The sensor was inserted into the abdomen on (b)(6) 2020. It was indicated that the patient removed the transmitter from the sensor pod before removing the sensor from the body, which is misuse of the device. No product was provided for evaluation. Confirmation of the allegation and a probable cause could not be determined. No injury or medical intervention was reported.</t>
  </si>
  <si>
    <t>It was reported that a detached sensor wire occurred. The sensor was inserted into the upper buttocks, which is off label usage of the device, on (b)(6) 2020. No product was provided for evaluation. Confirmation of the allegation and a probable cause could not be determined. No injury or medical intervention was reported.</t>
  </si>
  <si>
    <t>It was reported that a detached sensor wire occurred. The sensor was inserted into the abdomen on (b)(6) 2020. It was indicated that the patient removed the transmitter from the sensor pod before removing the sensor from the body, which is misuse of the device. No product was provided for evaluation. Confirmation of the allegation and a probable cause could not be determined. No injury or medical intervention was reported.</t>
  </si>
  <si>
    <t>It was reported that a detached sensor wire occurred. The sensor was inserted into the upper buttocks on (b)(6) 2020. It was indicated that the patient removed the transmitter from the sensor pod before removing the sensor from the body, which is misuse of the device. No product was provided for evaluation. Confirmation of the allegation and a probable cause could not be determined. No injury or medical intervention was reported.</t>
  </si>
  <si>
    <t>It was reported that a detached sensor wire occurred. The sensor was inserted into the upper buttocks on (b)(6) 2020. No product was provided for evaluation. Confirmation of the allegation and a probable cause could not be determined. No injury or medical intervention was reported.</t>
  </si>
  <si>
    <t>It was reported that a missing sensor wire occurred. It was indicated that the patient removed the transmitter from the sensor pod before removing the sensor from the body, which is misuse of the device. The sensor was inserted into the abdomen on (b)(6)2020. No product was provided for evaluation. Confirmation of the allegation and a probable cause could not be determined. No injury or medical intervention was reported.</t>
  </si>
  <si>
    <t>It was reported that a detached sensor wire occurred. The sensor was inserted at the abdomen on (b)(6) 2020. No product was provided for evaluation. Confirmation of the allegation and probable cause could not be determined. No injury or medical intervention was reported.</t>
  </si>
  <si>
    <t>It was reported that a missing sensor wire occurred. The sensor was inserted at the abdomen on (b)(6) 2020. No product was provided for evaluation. Confirmation of the problem and probable cause could not be determined. No injury or medical intervention was reported.</t>
  </si>
  <si>
    <t>It was reported that the customer received a failed transmitter error. Reportedly, the transmitter had been in use less than 3 months. Reportedly, the customer had not entered in the new transmitter id into their pump. Customer entered in the correct transmitter id and was able to start sensor session.</t>
  </si>
  <si>
    <t>It was reported that the customer received a failed transmitter error. Reportedly, the transmitter had been in use for longer than 3 months. No additional patient or event information was available. Tandem technical support instructed the customer to use a new transmitter.</t>
  </si>
  <si>
    <t>It was reported that a transmitter failed error occurred. Data was evaluated and the allegation was confirmed. The probable cause could not be determined. No injury or medical intervention was reported.</t>
  </si>
  <si>
    <t>It was reported that the sensor expired prematurely. There was no reported adverse impact. Customer replaced the sensor to resolve the issue.</t>
  </si>
  <si>
    <t>It was reported that an inaccuracy between the continuous glucose monitor (cgm) and the blood glucose (bg) meter occurred. The sensor was inserted into the arm, which is off-label usage of the device, on (b)(6) 2020. Data was evaluated and the allegation was confirmed. The probable cause could not be determined via data. The reported glucose values fall within the d zone of the parkes error grid. The data investigation found a difference in values that fall within the b zone of the parkes error grid. No injury or medical intervention was reported.</t>
  </si>
  <si>
    <t>It was reported that an inaccuracy between the continuous glucose monitor (cgm) and the blood glucose (bg) meter occurred. It has been reported that readings were over by 30 percent. No data was provided for evaluation. Confirmation of the allegation and a probable cause could not be determined. There were no reported glucose values available to search within the parkes error grid calculator. No injury or medical intervention was reported.</t>
  </si>
  <si>
    <t>It was reported that an inaccuracy between the continuous glucose monitor (cgm) and the blood glucose (bg) meter occurred. The sensor was inserted into the abdomen on (b)(6) 2020. Data was evaluated and the allegation was confirmed. The probable cause could not be determined via data. The reported glucose values fall within the d zone of the parkes error grid. The data investigation did not find blood glucose calibration values to compare to cgm values during the reported sensor session or the calibrations during the reported sensor session were in accurate range per device specifications. No injury or medical intervention was reported.</t>
  </si>
  <si>
    <t>It was reported that an inaccuracy between the continuous glucose monitor (cgm) and the blood glucose (bg) meter occurred. The sensor was inserted into the abdomen on (b)(6) 2020. Data was evaluated and the allegation was undetermined. The probable cause could not be determined via data. The reported glucose values fall within the d zone of the parkes error grid. The data investigation did not find blood glucose calibration values to compare to cgm values during the reported sensor session or the calibrations during the reported sensor session were in accurate range per device specifications. No injury or medical intervention was reported.</t>
  </si>
  <si>
    <t>It was reported that an inaccuracy between the continuous glucose monitor (cgm) and the blood glucose (bg) meter occurred. The sensor was inserted into the abdomen on (b)(6) 2020. No data was provided for evaluation. Confirmation of the allegation and a probable cause could not be determined. The reported glucose values fall within the d zone of the parkes error grid. No injury or medical intervention was reported.</t>
  </si>
  <si>
    <t>It was reported that there was an inaccuracy between the continuous glucose monitor (cgm) reading and the blood glucose (bg) meter reading. Reportedly, the cgm bg reading was 160 mg/dl, and the meter bg reading was 125 mg/dl. No additional patient or event information was available. A root cause could not be determined. A replacement sensor was sent to the customer.</t>
  </si>
  <si>
    <t>It was reported that an inaccuracy between the continuous glucose monitor (cgm) and the blood glucose (bg) meter occurred. The sensor was inserted into the abdomen on (b)(6) 2020. No data was provided for evaluation. Confirmation of the allegation and a probable cause could not be determined. The reported glucose values fall within the d zone of the parkes error grid. The data investigation did not find blood glucose calibration values to compare to cgm values during the reported sensor session or the calibrations during the reported sensor session were in accurate range per device specifications. No injury or medical intervention was reported.</t>
  </si>
  <si>
    <t>It was reported that there was an inaccuracy between the continuous glucose monitor (cgm) reading and the blood glucose (bg) meter reading. Reportedly, the cgm bg reading was 38 mg/dl, and the meter bg reading was 97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</si>
  <si>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59 mg/dl, and the meter bg reading was 161 mg/dl. Reportedly, the customer entered calibration values during periods when no cgm values were present.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</si>
  <si>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116-263 mg/dl, and the meter bg reading was 172-245 mg/dl. Reportedly, the customer performed a calibration and cgm readings became accurate. No additional patient or event information was available. A root cause could not be determined</t>
  </si>
  <si>
    <t>It was reported that there was an inaccuracy between the continuous glucose monitor (cgm) reading and the blood glucose (bg) meter reading. Reportedly, the cgm bg reading was 68 mg/dl, and the meter bg reading was 173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</si>
  <si>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44 mg/dl, and the meter bg reading was 190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</si>
  <si>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64-296 mg/dl, and the meter bg reading was 133-244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</si>
  <si>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"low" mg/dl, and the meter bg reading was 157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</si>
  <si>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50 mg/dl, and the meter bg reading was 138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</si>
  <si>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50 mg/dl, and the meter bg reading was 160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</si>
  <si>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74 mg/dl, and the meter bg reading was 180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</si>
  <si>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Cgm and meter bg readings were not provided. No additional patient or event information was available. A root cause could not be determined. Customer declined troubleshooting with tandem technical support</t>
  </si>
  <si>
    <t>It was reported that there was an inaccuracy between the continuous glucose monitor (cgm) reading and the blood glucose (bg) meter reading. Reportedly, the cgm bg reading was high mg/dl, and the meter bg reading was 280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</si>
  <si>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"low" mg/dl, and the meter bg reading was 105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</si>
  <si>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"low" mg/dl, and the meter bg reading was 210 mg/dl. No additional patient or event information was available. Reportedly, the customer calibrated the cgm when readings were not present. A replacement sensor was sent to the customer.</t>
  </si>
  <si>
    <t>It was reported that there was an inaccuracy between the continuous glucose monitor (cgm) reading and the blood glucose (bg) meter reading. Reportedly, the cgm bg reading was 225-230 mg/dl, and the meter bg reading was 57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</si>
  <si>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42 mg/dl, and the meter bg reading was 192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</si>
  <si>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45 mg/dl, and the meter bg reading was 78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</si>
  <si>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138-170 mg/dl, and the meter bg reading was 52-90 mg/dl. The customer treated the low bg with carbs. The customer was instructed to consult with healthcare provider regarding bg level.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</si>
  <si>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ranged in 200's mg/dl, and the meter bg reading was "low"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</si>
  <si>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55 mg/dl, and the meter bg reading was 235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</si>
  <si>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"low" mg/dl, and the meter bg reading was 101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</si>
  <si>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54 mg/dl, and the meter bg reading was 208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</si>
  <si>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70 mg/dl, and the meter bg reading was 109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</si>
  <si>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50 mg/dl, and the meter bg reading was 230 mg/dl. Additionally it was reported customer experienced continuous low blood glucose (bg) levels (values not provided). Cause was unknown. Bg was treated by consuming carbohydrates.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</si>
  <si>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100 mg/dl, and the meter bg reading was 40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</si>
  <si>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48 mg/dl, and the meter bg reading was 186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</si>
  <si>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78 mg/dl, and the meter bg reading was 169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</si>
  <si>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120 mg/dl, and the meter bg reading was 200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</si>
  <si>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40 mg/dl, and the meter bg reading was 160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</si>
  <si>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"low" mg/dl, and the meter bg reading was 148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</si>
  <si>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202 mg/dl, and the meter bg reading was 361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</si>
  <si>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125 mg/dl, and the meter bg reading was 197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</si>
  <si>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40 mg/dl, and the meter bg reading was 123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</si>
  <si>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134 mg/dl, and the meter bg reading was 188 mg/dl. Reportedly, the customer performed a calibration and cgm readings became accurate. No additional patient or event information was available. A root cause could not be determined</t>
  </si>
  <si>
    <t>It was reported that there was an inaccuracy between the continuous glucose monitor (cgm) reading and the blood glucose (bg) meter reading. Reportedly, the cgm bg reading was 48 mg/dl, and the meter bg reading was 125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</si>
  <si>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"low" mg/dl, and the meter bg reading was 137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</si>
  <si>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50 mg/dl, and the meter bg reading was 194 mg/dl. No additional patient or event information was available. A root cause could not be determined. A replacement sensor was sent to the customer.</t>
  </si>
  <si>
    <t>It was reported that an inaccuracy between the continuous glucose monitor (cgm) and the blood glucose (bg) meter occurred. The sensor was inserted into the abdomen on (b)(6) 2020. It has been reported that readings were over 35% off. No data was provided for evaluation. The complaint confirmation and probable cause could not be determined. There were no reported glucose values available to search within the parkes error grid calculator. No injury or medical intervention was reported.</t>
  </si>
  <si>
    <t>It was reported that an inaccuracy between the continuous glucose monitor (cgm) and the blood glucose (bg) meter occurred. The sensor was inserted into the upper buttocks on (b)(6) 2020. On (b)(6) 2020, the patient's cgm was 283 mg/dl but his bg was 472. Two days later, (b)(6) 2020, on the same sensor session, the patient¿s cgm was 237 and his bg was 254 ¿ 278 mg/dl. The patient developed ketones because his bg was above 250 mg/dl for 3-4 hours; however, the cgm was below 250 mg/dl. He was taken to the hospital and was admitted for 4 ¿ 5 days. Data was evaluated and the allegation was undetermined. The probable cause could not be determined via data. The reported glucose values fall within the b zone of the parkes error grid. The data investigation did not find blood glucose calibration values to compare to cgm values during the reported sensor session or the calibrations during the reported sensor session were in accurate range per device specifications. No additional patient or event information is available.</t>
  </si>
  <si>
    <t>It was reported that an inaccuracy between the continuous glucose monitor (cgm) and the blood glucose (bg) meter occurred. The sensor was inserted into the abdomen. The patient reported inaccurate cgm values on (b)(6) 2020 and stated that her husband had previously reported this adverse event on (b)(6) 2019. She stated that she is currently (b)(6) pregnant. Due to a defective sensor she had a low blood glucose (bg) and had a seizure at (b)(6) pregnant. At 10:00 pm on (b) (6) 2019 the dexcom read low. She did not feel low, so she did as her doctor had instructed and checked her fingerstick bg which was 87 mg/dl. She checked it a second time to confirm and it was 87 mg/dl. Based on that she felt okay to go to sleep. At some point later she had a seizure and her husband called emergency medical services (ems). She awoke to 5 emts/firefighters in the bedroom. The husband was able to get her to take some juice before ems arrived. Ems checked her bg which had 'raised to' 32 mg/dl. The paramedics gave her 4 tubes of liquid oral glucose. She was transported to the emergency room (er) and given unknown fluids via intravenous (iv) therapy. They checked the baby and found no issues; the patient was kept an hour to an hour and a half for observation, then sent home. She stated that she had not calibrated the cgm when she noted the inaccuracy before going to sleep and she said she was not aware at the time that she could. She and the baby are both fine with no known lasting effects. The patient stated during the time of contact, the patient was doing good but could not remember much about the event because of the seizure. Data was evaluated and the allegation was undetermined. The probable cause could not be determined via data. The reported glucose values fall within the b zone of the parkes error grid. The data investigation did not find blood glucose calibration values to compare to cgm values during the reported sensor session or the calibrations during the reported sensor session were in accurate range per device specifications. This is being reported due to adverse event and/or medical intervention. No additional patient or event information is available.</t>
  </si>
  <si>
    <t>It was reported that an inaccuracy between the continuous glucose monitor (cgm) and the blood glucose (bg) meter occurred. The sensor was inserted into the arm, which is off label usage of the device, on (b)(6) 2020. No data was provided for evaluation. Confirmation of the allegation and a probable cause could not be determined. The reported glucose values fall within the d zone of the parkes error grid. No injury or medical intervention was reported.</t>
  </si>
  <si>
    <t>It was reported that an inaccuracy between the continuous glucose monitor (cgm) and the blood glucose (bg) meter occurred. It has been reported that there was a difference in readings of 100 points. No data was provided for evaluation. The complaint confirmation and probable cause could not be determined. There were no reported glucose values available to search within the parkes error grid calculator. No injury or medical intervention was reported.</t>
  </si>
  <si>
    <t>It was reported that an inaccuracy between the continuous glucose monitor (cgm) and the blood glucose (bg) meter occurred. The sensor was inserted into the abdomen on (b)(6) 2020. Data was evaluated and the allegation was confirmed. The probable cause could not be determined via data. The reported glucose values fall within the e zone of the parkes error grid. The data investigation found a difference in values that fall within the b zone of the parkes error grid. No injury or medical intervention was reported.</t>
  </si>
  <si>
    <t>It was reported that an inaccuracy between the continuous glucose monitor (cgm) and the blood glucose (bg) meter occurred. The sensor was inserted into the abdomen on (b)(6) 2020. Data was evaluated and the allegation was confirmed. The probable cause could not be determined via data. The reported glucose values fall within the e zone of the parkes error grid. The data investigation found a difference in values that fall within the a zone of the parkes error grid. No injury or medical intervention was reported.</t>
  </si>
  <si>
    <t>It was reported that an inaccuracy between the continuous glucose monitor (cgm) and the blood glucose (bg) meter occurred. The sensor was inserted into the abdomen on (b)(6) 2020. The patient indicated she had a hypoglycemic event, and that while the lowest the cgm read was 66 mg/dl, she felt that her bg was much lower than that, though she was unable to check it. On (b)(6) 2020, patient stated that she had gotten off a plane in (b)(6) and her reading was 150 mg/dl with a diagonal arrow down at that time. She ate 25 carbs of a granola bar. She went through customs and got her luggage. She and her friend who is a nurse practitioner were walking toward the airport exit when the patient felt symptoms of vision change and feeling off balance. She ate a 'gel' which had 30 carbs. She indicated that she needed to sit down, before she felt herself going to the ground, and does not recall what occurred after that. The friend indicated that the patient had a seizure, was combative, and had confused speech. She was out for 15 to 20 minutes, and when she became responsive, she drank a soda that the friend gave her. The friend put her in a wheelchair, and they took a van to their hotel. The patient had a headache and confusion for several hours after that. After going to sleep and waking up the next day, she felt normal. She consulted with her doctor on (b)(6) 2020, and he indicated that the dexcom data showed that her cgm value had been over 400 mg/dl for hours after the event and the carb intake. At the time of contact, the patient was in stable condition. Data was evaluated and the allegation was undetermined. The probable cause could not be determined via data. There was not a complete set of reported glucose values available to search within the parkes error grid calculator. The data investigation did not find blood glucose calibration values to compare to cgm values during the reported sensor session or the calibrations during the reported sensor session were in accurate range per device specifications. No additional patient or event information is available.</t>
  </si>
  <si>
    <t>It was reported that an inaccuracy between the continuous glucose monitor (cgm) and the blood glucose (bg) meter occurred. The sensor was inserted into the abdomen on (b)(6) 2020. It has been reported that readings were over 20% off. No data was provided for evaluation. The complaint confirmation and probable cause could not be determined. There were no reported glucose values available to search within the parkes error grid calculator. No injury or medical intervention was reported.</t>
  </si>
  <si>
    <t>It was reported that there was an inaccuracy between the continuous glucose monitor (cgm) reading and the blood glucose (bg) meter reading. Reportedly, the cgm bg reading was 39 mg/dl, and the meter bg reading was 270 mg/dl. No additional patient or event information was available. A root cause could not be determined. A replacement sensor was sent to the customer.</t>
  </si>
  <si>
    <t>It was reported that an inaccuracy between the continuous glucose monitor (cgm) and the blood glucose (bg) meter occurred. The sensor was inserted into the arm, which is off-label usage of the device, on (b)(6) 2020. No data was provided for evaluation. Confirmation of the allegation and a probable cause could not be determined. The reported glucose values fall within the d zone of the parkes error grid. No injury or medical intervention was reported.</t>
  </si>
  <si>
    <t>It was reported that there was an inaccuracy between the continuous glucose monitor (cgm) reading and the blood glucose (bg) meter reading. Reportedly, the cgm bg reading was 64 mg/dl, and the meter bg reading was 94 mg/dl. No additional patient or event information was available. A root cause could not be determined. A replacement sensor was sent to the customer.</t>
  </si>
  <si>
    <t>It was reported that there was an inaccuracy between the continuous glucose monitor (cgm) reading and the blood glucose (bg) meter reading. Reportedly, the cgm bg reading was "low", and the meter bg reading was 180 mg/dl. No additional patient or event information was available. A root cause could not be determined. A replacement sensor was sent to the customer.</t>
  </si>
  <si>
    <t>Happened Times</t>
  </si>
  <si>
    <t>Others</t>
  </si>
  <si>
    <t>Affect by our process</t>
  </si>
  <si>
    <t>No</t>
  </si>
  <si>
    <t>Cause</t>
  </si>
  <si>
    <t>Transmitter failed error</t>
  </si>
  <si>
    <t>Sensor error</t>
  </si>
  <si>
    <t>Sensor wire broken =&gt; Could not determined the cause</t>
  </si>
  <si>
    <t>Transmitter invalid =&gt; Could not determined the cause</t>
  </si>
  <si>
    <t>Could not determined the cause</t>
  </si>
  <si>
    <t>Alert initial setup app on the mobile =&gt; Could not determined the cause</t>
  </si>
  <si>
    <t>Loss of signal over one hour =&gt; Could not determined the cause</t>
  </si>
  <si>
    <t>Loss of signal over one hour =&gt; Replaced transmitter</t>
  </si>
  <si>
    <t>Missing or detached sensor wire =&gt; Could not determined the cause</t>
  </si>
  <si>
    <t>Transmitter failed error due to not entered Transmitter ID =&gt; Entered correct Transmitter ID</t>
  </si>
  <si>
    <t>Transmitter failed error =&gt; Use a new Transmitter</t>
  </si>
  <si>
    <t>Transmitter failed error =&gt; Could not determined the cause</t>
  </si>
  <si>
    <t>Failure to Sensor</t>
  </si>
  <si>
    <t>Sensor expired prematurely =&gt; Replaced the sensor</t>
  </si>
  <si>
    <t>An inaccuracy between the continuous glucose monitor (cgm) and the blood glucose (bg) meter occurred =&gt; Could not determined the cause</t>
  </si>
  <si>
    <t>An inaccuracy between the continuous glucose monitor (cgm) and the blood glucose (bg) meter occurred =&gt; Could not determined the cause =&gt; Replaced a new sensor.</t>
  </si>
  <si>
    <t>Transmitter failed error =&gt; Due to battery of Transmitter was low</t>
  </si>
  <si>
    <t>Early sensor expiration</t>
  </si>
  <si>
    <t>Receiver was overheating =&gt; Could not determined the cause</t>
  </si>
  <si>
    <t>It was reported that early sensor expiration occurred. Data was evaluated and the allegation was
confirmed. The probable cause was determined to be potential patient misuse. No injury or medical intervention was reported.</t>
  </si>
  <si>
    <t>Icon displayed error =&gt; Could not determined the cause</t>
  </si>
  <si>
    <t>Receiver shutdown unexpected =&gt; Could not determined the cause</t>
  </si>
  <si>
    <t>It was reported that an unexpected cgm app shut-off occurred. It was indicated that the operating
system for the smart device was not a supported system, which is misuse of the device. Data was
evaluated and the allegation was confirmed. The probable cause could not be determined. No
injury or medical intervention was reported.</t>
  </si>
  <si>
    <t>An app crash alert =&gt; Could not determined the cause</t>
  </si>
  <si>
    <t>It was determined that the loss of connection was related to the mobile application. A review of the share logs was performed and a loss of connection was found within the investigation window. However, the device operated within specification. The allegation was not confirmed. The probable cause could not be determined. No injury or medical intervention was reported.</t>
  </si>
  <si>
    <t>Loss of connection was related to the mobile application =&gt; Could not determined the cause</t>
  </si>
  <si>
    <t>It was determined that the loss of connection was related to the mobile application. It was indicated that the operating system for the smart device was not a supported system, which is off-label usage of the device. A review of the share logs was performed and a loss of connection was found within the investigation window. However, the device operated within specification. The allegation was not confirmed. The probable cause could not be determined. No injury or medical intervention was reported.</t>
  </si>
  <si>
    <t>It was determined that the loss of connection was related to the mobile application. It was indicated that the operating system for the smart device was not a supported system, which is off-label usage of the device. A review of the share logs was performed and a loss of connection was not found within the investigation window. The allegation was not confirmed. The probable cause could not be determined. No injury or medical intervention was reported.</t>
  </si>
  <si>
    <t>It was determined that the loss of connection was related to the mobile application. It was indicated that the operating system for the smart device was not a supported system, which is offlabel usage of the device. A review of the share logs was performed and a loss of connection was found within the investigation window. However, the device operated within specification. The allegation was not confirmed. The probable cause could not be determined. No injury or medical intervention was reported.</t>
  </si>
  <si>
    <t>It was determined that the loss of connection was related to the mobile application. It was indicated that the operating system for the smart device was not a supported system, which is offlabel usage of the device. A review of the share logs was performed and a loss of connection was not found within the investigation window. The allegation was not confirmed. The probable cause could not be determined. No injury or medical intervention was reported.</t>
  </si>
  <si>
    <t>The signal loss was related to the mobile application =&gt; Could not determined the cause</t>
  </si>
  <si>
    <t>It was determined that the signal loss was related to the mobile application. A review of the share logs was performed and signal loss was found within the investigation window. The allegation was confirmed. The probable cause could not be determined. No injury or medical intervention was reported.</t>
  </si>
  <si>
    <t>It was determined that the signal loss was related to the mobile application. A review of the share logs was performed and signal loss was found within the investigation window. The allegation was confirmed. The probable cause was the transmitter and app were unable to establish a connection. No injury or medical intervention was reported.</t>
  </si>
  <si>
    <t>The signal loss was related to the mobile application =&gt; Due to patient closed the mobile app</t>
  </si>
  <si>
    <t>It was determined that the signal loss was related to the mobile application. Data was provided for evaluation. Per doc (b)(4), cases where the sensor session line is missing in share support tool and share support service, complaints will be closed since a data investigation cannot be completed as data ambiguity cannot be resolved further. The allegation was undetermined. The probable cause could not be determined. No injury or medical intervention was reported.</t>
  </si>
  <si>
    <t>It was determined that the signal loss was related to the mobile application. It was indicated that the operating system for the smart device was not a supported system, which is off-label usage of the device. A review of the share logs was performed and signal loss was found within the investigation window. The allegation was confirmed. The probable cause could not be determined. No injury or medical intervention was reported</t>
  </si>
  <si>
    <t>It was determined that the signal loss was related to the mobile application. It was indicated that the operating system for the smart device was not a supported system, which is off-label usage of the device. A review of the share logs was performed and signal loss was found within the investigation window. The allegation was confirmed. The probable cause was the patient closed the mobile app. No injury or medical intervention was reported</t>
  </si>
  <si>
    <t>It was determined that the signal loss was related to the mobile application. It was indicated that the operating system for the smart device was not a supported system, which is off-label usage of the device. Data was provided for evaluation. Per (b)(4) cases where the sensor session line is missing in share support tool and share support service, complaints will be closed since a data investigation cannot be completed as data ambiguity cannot be resolved further. The allegation was undetermined. The probable cause could not be determined. No injury or medical intervention was reported.</t>
  </si>
  <si>
    <t>It was determined that the signal loss was related to the mobile application. It was indicated that the operating system for the smart device was not a supported system, which is off-label usage of the device. A review of the share logs was performed and signal loss was found within the investigation window. The allegation was confirmed. The probable cause was the transmitter and app were unable to complete a data transfer. No injury or medical intervention was reported.</t>
  </si>
  <si>
    <t>It was determined that the signal loss was related to the mobile application. It was indicated that the operating system for the smart device was not a supported system, which is off-label usage of the device. A review of the share logs was performed and signal loss was found within the investigation window. The allegation was confirmed. The probable cause could not be determined. No injury or medical intervention was reported.</t>
  </si>
  <si>
    <t>It was determined that the signal loss was related to the mobile application. It was indicated that the operating system for the smart device was not a supported system, which is off-label usage of the device. A review of the share logs was performed and signal loss was found within the investigation window. The allegation was confirmed. The probable cause was the patient closed the mobile app. No injury or medical intervention was reported.</t>
  </si>
  <si>
    <t>It was reported that a loss of connection occurred. A review of the share logs was performed and a loss of connection was found within the investigation window. the allegation was confirmed. The probable cause could not be determined. No injury or medical intervention was reported.</t>
  </si>
  <si>
    <t>It was reported that a loss of connection occurred. A review of the share logs was performed and a loss of connection was found within the investigation window. the allegation was confirmed. The probable cause was the transmitter and app were unable to complete a data transfer. No injury or medical intervention was reported.</t>
  </si>
  <si>
    <t>It was reported that a loss of connection occurred. It was determined that loss of connection was related to the mobile application. It was indicated that the operating system for the smart device was not a supported system which is patient misuse. A review of the share logs was performed and a loss of connection was found within the investigation window. the allegation was confirmed. The probable cause could not be determined. No injury or medical intervention was reported.</t>
  </si>
  <si>
    <t>It was reported that a loss of connection occurred. No data was provided for evaluation. Confirmation of the issue was undetermined. The probable cause could not be determined. No injury or medical intervention was reported.</t>
  </si>
  <si>
    <t>It was reported that a loss of connection occurred. A review of the share logs was performed and a
loss of connection was not found within the investigation window. the allegation was not confirmed. The probable cause could not be determined. No injury or medical intervention was reported.</t>
  </si>
  <si>
    <t>It was reported that the transmitter lost connection with the pump for an unspecified duration of time. The customer declined assistance from tandem technical support regarding the issue. No additional patient or event information was available.</t>
  </si>
  <si>
    <t>It was reported that the transmitter lost connection with the pump for an unspecified duration of time. The transmitter ultimately regained connection with the pump. No additional patient or event information was available</t>
  </si>
  <si>
    <t>It was reported that the transmitter lost connection with the pump for an unspecified duration of time. The transmitter ultimately regained connection with the pump. No additional patient or event information was available.</t>
  </si>
  <si>
    <t>It was reported that the transmitter lost connection with the pump for greater than 1 hour. Transmitter was replaced to resolve the issue. No additional patient or event information was available.</t>
  </si>
  <si>
    <t>It was reported that the transmitter lost connection with the pump for greater than 1 hour. The transmitter ultimately regained connection with the pump. No additional patient or event information was available.</t>
  </si>
  <si>
    <t>It was reported that the transmitter lost connection with the pump for greater than one hour. Transmitter was replaced to resolve the issue. No additional patient or event information was available.</t>
  </si>
  <si>
    <t>It was reported that the transmitter lost connection with the pump for an unspecified duration of time. Transmitter was replaced to resolve the issue. No additional patient or event information was available.</t>
  </si>
  <si>
    <t>It was reported that the transmitter lost connection with the pump for greater than 1 hour.
Transmitter was replaced to resolve the issue. No additional patient or event information was available.</t>
  </si>
  <si>
    <t>It was reported that the transmitter lost connection with the pump for an unspecified duration of time. The transmitter ultimately regained connection with the pump. The customer declined assistance from tandem technical support regarding the issue. No additional patient or event information was available.</t>
  </si>
  <si>
    <t>It was reported that the transmitter lost connection with the pump for greater than 1 hour. No additional patient or event information was available. Multiple attempts were made to follow up with the customer; however, no response was received.</t>
  </si>
  <si>
    <t>It was reported that the transmitter lost connection with the pump for greater than 1 hour. Transmitter was replaced to resolve the issue. No additional patient or event information was available</t>
  </si>
  <si>
    <t>It was reported that the transmitter lost connection with the pump for greater than 1 hour. The transmitter ultimately regained connection with the pump. Reportedly, the customer did not have the correct transmitter id entered. No additional patient or event information was available.</t>
  </si>
  <si>
    <t>It was reported that signal loss over one hour occurred. A review of the share logs was performed and signal loss was found within the investigation window. The allegation was confirmed. The probable cause could not be determined. No injury or medical intervention was reported.</t>
  </si>
  <si>
    <t>It was reported that signal loss over one hour occurred. A review of the share logs was performed and signal loss was found within the investigation window. The allegation was confirmed. The probable cause was the transmitter and app were unable to establish a connection. No injury or medical intervention was reported.</t>
  </si>
  <si>
    <t>It was reported that signal loss over one hour occurred. A review of the share logs was performed and signal loss was found within the investigation window. The allegation was confirmed. The probable cause was the patient closed the mobile app. No injury or medical intervention was reported.</t>
  </si>
  <si>
    <t>It was reported that signal loss over one hour occurred. Data was provided for evaluation. Per (b)(4), cases where the sensor session line is missing in share support tool and share support service, complaints will be closed since a data investigation cannot be completed as data ambiguity cannot be resolved further. The allegation was undetermined. The probable cause could not be determined. No injury or medical intervention was reported.</t>
  </si>
  <si>
    <t>It was reported that signal loss over one hour occurred. A review of the share logs was performed and signal loss was found within the investigation window. The allegation was confirmed. The probable cause was determined to be the mobile device lost power. No injury or medical intervention was reported.</t>
  </si>
  <si>
    <t>It was reported that signal loss over one hour occurred. Data was provided for evaluation. Per doc (b)(4), cases where the sensor session line is missing in share support tool and share support service, complaints will be closed since a data investigation cannot be completed as data ambiguity cannot be resolved further. The allegation was undetermined. The probable cause could not be determined. No injury or medical intervention was reported.</t>
  </si>
  <si>
    <t>It was reported that signal loss over one hour occurred. No product or data was provided for evaluation. Confirmation of the allegation and a probable cause could not be determined. No injury or medical intervention was reported</t>
  </si>
  <si>
    <t>It was reported that signal loss over one hour occurred. A review of the share logs was performed and signal loss was found within the investigation window. The allegation was confirmed. The probable cause was the transmitter and app were unable to establish a connection. No injury or medical intervention was reported</t>
  </si>
  <si>
    <t>It was reported that signal loss over one hour occurred. A review of the share logs was performed and a loss of connection was not found within the investigation window. The allegation was not confirmed. The probable cause could not be determined. No injury or medical intervention was reported</t>
  </si>
  <si>
    <t>It was reported that signal loss over one hour occurred. A review of the share logs was performed and a loss of connection was found within the investigation window. However, the device operated within specification. The allegation was not confirmed. The probable cause could not be determined. No injury or medical intervention was reported</t>
  </si>
  <si>
    <t>It was reported that signal loss over one hour occurred. A review of the share logs was performed and a loss of connection was found within the investigation window. However, the device operated within specification. The allegation was not confirmed. The probable cause could not be determined. No injury or medical intervention was reported.</t>
  </si>
  <si>
    <t>It was reported that signal loss over one hour occurred. Data was received for evaluation. However, the alleged product is not present within the investigation window. Confirmation of the allegation and a probable cause could not be determined. No injury or medical intervention was reported.</t>
  </si>
  <si>
    <t>It was reported that signal loss over one hour occurred. It was indicated that the patient was under 2 years old, which is off-label usage of the device. A review of the share logs was performed and a loss of connection was found within the investigation window. However, the device operated within specification. The allegation was not confirmed. The probable cause could not be determined. No injury or medical intervention was reported.</t>
  </si>
  <si>
    <t>It was reported that signal loss over one hour occurred. No product or data was provided for evaluation. Confirmation of the allegation and a probable cause could not be determined. No injury
or medical intervention was reported.</t>
  </si>
  <si>
    <t>It was reported that signal loss over one hour occurred. A review of the share logs was performed and signal loss was found within the investigation window. The allegation was confirmed. [insert probable cause statement]. No injury or medical intervention was reported.</t>
  </si>
  <si>
    <t>It was reported that signal loss over one hour occurred. It was determined that the signal loss was related to the mobile application. A review of the share logs was performed and signal loss was found within the investigation window. The allegation was confirmed. The probable cause was the patient closed the mobile app. No injury or medical intervention was reported.</t>
  </si>
  <si>
    <t>It was reported that signal loss over one hour occurred. Data has been received but is pending evaluation. A follow up report will be submitted upon completion. No injury or medical intervention was reported.</t>
  </si>
  <si>
    <t>It was reported that signal loss over one hour occurred. A review of the share logs was performed and a loss of connection was not found within the investigation window. The allegation was not confirmed. The probable cause could not be determined. No injury or medical intervention was reported.</t>
  </si>
  <si>
    <t>It was reported that signal loss over one hour occurred. The product was evaluated. An external visual inspection was performed and passed. Voltage testing was performed and passed. a (b)(6) bluetooth device pairing test was performed and passed. A review of the share logs was performed and signal loss was not found within the investigation window. the allegation was not confirmed. The probable cause could not be determined. no injury or medical intervention was reported.</t>
  </si>
  <si>
    <t>It was reported that signal loss over one hour occurred. Data was provided for evaluation. Per (b) (4) , cases where the sensor session line is missing in share support tool and share support service, complaints will be closed since a data investigation cannot be completed as data ambiguity cannot be resolved further. The allegation was undetermined. The probable cause could not be determined. No injury or medical intervention was reported.</t>
  </si>
  <si>
    <t>The signal loss was related to the mobile application =&gt; Due to Transmitter and app were unable establish a connection</t>
  </si>
  <si>
    <t>It was reported that bluetooth connection between transmitter and mobile app issue occurred. Data was received but not investigated as data will not confirm the issue. Confirmation of the allegation and a probable cause could not be determined. No injury or medical intervention was reported.</t>
  </si>
  <si>
    <t>The bluetooth connection between transmitter and mobile app issue occurred =&gt; Could not determined the cause</t>
  </si>
  <si>
    <t>The signal loss was related to the mobile application =&gt; The allegation was confirmed</t>
  </si>
  <si>
    <t>The signal loss was related to the mobile application =&gt; Due to mobile device lost power</t>
  </si>
  <si>
    <t>The signal loss was related to the mobile application =&gt; A follow up report will be submitted upon completion</t>
  </si>
  <si>
    <t>The signal loss was related to the mobile application =&gt; The transmitter ultimately regained connection with the pump</t>
  </si>
  <si>
    <t>Intermittent loss of connection issues occurred between the transmitter and the pump =&gt; Replaced a new Transmitter</t>
  </si>
  <si>
    <t>1. Wireless Communication Problem</t>
  </si>
  <si>
    <t>Problem / Cause</t>
  </si>
  <si>
    <t>Happened time</t>
  </si>
  <si>
    <t>Ratio (%)</t>
  </si>
  <si>
    <t>FDA _ MAUDE SUMMARY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</si>
</sst>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11"/>
      <color rgb="FFFF0000"/>
      <name val="Calibri"/>
      <family val="2"/>
      <scheme val="minor"/>
    </font>
    <font>
      <sz val="10"/>
      <color rgb="FF23238E"/>
      <name val="ArialMT"/>
    </font>
    <font>
      <b/>
      <sz val="11"/>
      <name val="Calibri"/>
      <family val="2"/>
      <scheme val="minor"/>
    </font>
    <font>
      <sz val="10"/>
      <name val="ArialMT"/>
    </font>
    <font>
      <sz val="22"/>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9" fontId="3" fillId="0" borderId="0" applyFont="0" applyFill="0" applyBorder="0" applyAlignment="0" applyProtection="0"/>
  </cellStyleXfs>
  <cellXfs count="43">
    <xf numFmtId="0" fontId="0" fillId="0" borderId="0" xfId="0"/>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center" vertical="center"/>
    </xf>
    <xf numFmtId="10" fontId="1" fillId="0" borderId="0" xfId="1" applyNumberFormat="1" applyFont="1" applyAlignment="1">
      <alignment horizontal="center" vertical="center"/>
    </xf>
    <xf numFmtId="0" fontId="1" fillId="0" borderId="0" xfId="0" applyFont="1" applyAlignment="1">
      <alignment horizontal="center" vertical="center"/>
    </xf>
    <xf numFmtId="0" fontId="0" fillId="0" borderId="1" xfId="0" applyBorder="1" applyAlignment="1">
      <alignment horizontal="left" vertical="center" wrapText="1"/>
    </xf>
    <xf numFmtId="14" fontId="0" fillId="0" borderId="1" xfId="0" applyNumberFormat="1" applyBorder="1" applyAlignment="1">
      <alignment horizontal="left" vertical="center" wrapText="1"/>
    </xf>
    <xf numFmtId="0" fontId="0" fillId="0" borderId="1" xfId="0" applyFont="1" applyBorder="1" applyAlignment="1">
      <alignment horizontal="left" vertical="center" wrapText="1"/>
    </xf>
    <xf numFmtId="14" fontId="0" fillId="0" borderId="1" xfId="0" applyNumberFormat="1" applyBorder="1" applyAlignment="1">
      <alignment horizontal="center" vertical="center" wrapText="1"/>
    </xf>
    <xf numFmtId="0" fontId="0" fillId="0" borderId="1" xfId="0" applyBorder="1" applyAlignment="1">
      <alignment horizontal="left" wrapText="1"/>
    </xf>
    <xf numFmtId="0" fontId="0" fillId="0" borderId="1" xfId="0" applyBorder="1" applyAlignment="1">
      <alignment horizontal="center" vertical="center" wrapText="1"/>
    </xf>
    <xf numFmtId="0" fontId="0" fillId="0" borderId="1" xfId="0" applyFont="1" applyBorder="1" applyAlignment="1">
      <alignment horizont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7" fillId="0" borderId="1" xfId="0" applyFont="1" applyBorder="1" applyAlignment="1">
      <alignment horizontal="center" vertical="center" wrapText="1"/>
    </xf>
    <xf numFmtId="0" fontId="2" fillId="0" borderId="1" xfId="0" applyFont="1" applyBorder="1" applyAlignment="1">
      <alignment horizontal="center" vertical="top" wrapText="1"/>
    </xf>
    <xf numFmtId="14" fontId="5" fillId="0" borderId="1" xfId="0" applyNumberFormat="1" applyFont="1" applyBorder="1" applyAlignment="1">
      <alignment horizontal="center" vertical="center" wrapText="1"/>
    </xf>
    <xf numFmtId="0" fontId="0" fillId="0" borderId="1" xfId="0" applyBorder="1" applyAlignment="1">
      <alignment vertical="center" wrapText="1"/>
    </xf>
    <xf numFmtId="0" fontId="1" fillId="0" borderId="0" xfId="0" applyFont="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10" fontId="4" fillId="0" borderId="1" xfId="1" applyNumberFormat="1" applyFont="1" applyBorder="1" applyAlignment="1">
      <alignment horizontal="center" vertical="center"/>
    </xf>
    <xf numFmtId="164" fontId="4" fillId="0" borderId="1" xfId="1" applyNumberFormat="1" applyFont="1" applyBorder="1" applyAlignment="1">
      <alignment horizontal="center" vertical="center"/>
    </xf>
    <xf numFmtId="0" fontId="0" fillId="0" borderId="1" xfId="0" applyBorder="1" applyAlignment="1">
      <alignment horizontal="left" vertical="center"/>
    </xf>
    <xf numFmtId="10" fontId="0" fillId="0" borderId="1" xfId="1" applyNumberFormat="1" applyFont="1" applyBorder="1" applyAlignment="1">
      <alignment horizontal="center" vertical="center"/>
    </xf>
    <xf numFmtId="0" fontId="0" fillId="0" borderId="0" xfId="0" applyAlignment="1">
      <alignment horizontal="left" vertical="center" wrapText="1"/>
    </xf>
    <xf numFmtId="0" fontId="1" fillId="0" borderId="0" xfId="0" applyFont="1" applyAlignment="1">
      <alignment horizontal="center" vertical="center" wrapText="1"/>
    </xf>
    <xf numFmtId="164" fontId="0" fillId="0" borderId="0" xfId="1" applyNumberFormat="1" applyFont="1" applyAlignment="1">
      <alignment horizontal="center" vertical="center"/>
    </xf>
    <xf numFmtId="0" fontId="0" fillId="0" borderId="1" xfId="0" applyBorder="1" applyAlignment="1">
      <alignment horizontal="left" vertical="center"/>
    </xf>
    <xf numFmtId="164" fontId="2" fillId="0" borderId="1" xfId="1" applyNumberFormat="1" applyFont="1" applyBorder="1" applyAlignment="1">
      <alignment horizontal="center" vertical="center"/>
    </xf>
    <xf numFmtId="0" fontId="0" fillId="0" borderId="1" xfId="0" applyBorder="1" applyAlignment="1">
      <alignment horizontal="center" vertical="center"/>
    </xf>
    <xf numFmtId="0" fontId="8" fillId="0" borderId="0" xfId="0" applyFont="1" applyAlignment="1">
      <alignment horizontal="center" vertical="center" wrapText="1"/>
    </xf>
    <xf numFmtId="0" fontId="8" fillId="0" borderId="2" xfId="0" applyFont="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Dexcom</a:t>
            </a:r>
            <a:r>
              <a:rPr lang="en-US" b="1" baseline="0"/>
              <a:t> G6_MAUDE_Problem Status</a:t>
            </a:r>
            <a:endParaRPr lang="en-US" b="1"/>
          </a:p>
        </c:rich>
      </c:tx>
      <c:overlay val="0"/>
      <c:spPr>
        <a:noFill/>
        <a:ln>
          <a:noFill/>
        </a:ln>
        <a:effectLst/>
      </c:spPr>
    </c:title>
    <c:autoTitleDeleted val="0"/>
    <c:view3D>
      <c:rotX val="30"/>
      <c:rotY val="0"/>
      <c:depthPercent val="100"/>
      <c:rAngAx val="0"/>
      <c:perspective val="3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1-2F9C-4CD6-85F6-3CF5DB5D2044}"/>
              </c:ext>
            </c:extLst>
          </c:dPt>
          <c:dPt>
            <c:idx val="1"/>
            <c:bubble3D val="0"/>
            <c:spPr>
              <a:solidFill>
                <a:schemeClr val="accent2"/>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3-2F9C-4CD6-85F6-3CF5DB5D2044}"/>
              </c:ext>
            </c:extLst>
          </c:dPt>
          <c:dPt>
            <c:idx val="2"/>
            <c:bubble3D val="0"/>
            <c:spPr>
              <a:solidFill>
                <a:schemeClr val="accent3"/>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5-2F9C-4CD6-85F6-3CF5DB5D2044}"/>
              </c:ext>
            </c:extLst>
          </c:dPt>
          <c:dPt>
            <c:idx val="3"/>
            <c:bubble3D val="0"/>
            <c:spPr>
              <a:solidFill>
                <a:schemeClr val="accent4"/>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7-2F9C-4CD6-85F6-3CF5DB5D2044}"/>
              </c:ext>
            </c:extLst>
          </c:dPt>
          <c:dPt>
            <c:idx val="4"/>
            <c:bubble3D val="0"/>
            <c:spPr>
              <a:solidFill>
                <a:schemeClr val="accent5"/>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9-2F9C-4CD6-85F6-3CF5DB5D2044}"/>
              </c:ext>
            </c:extLst>
          </c:dPt>
          <c:dPt>
            <c:idx val="5"/>
            <c:bubble3D val="0"/>
            <c:spPr>
              <a:solidFill>
                <a:schemeClr val="accent6"/>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B-2F9C-4CD6-85F6-3CF5DB5D2044}"/>
              </c:ext>
            </c:extLst>
          </c:dPt>
          <c:dPt>
            <c:idx val="6"/>
            <c:bubble3D val="0"/>
            <c:spPr>
              <a:solidFill>
                <a:schemeClr val="accent1">
                  <a:lumMod val="60000"/>
                </a:schemeClr>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D-2F9C-4CD6-85F6-3CF5DB5D2044}"/>
              </c:ext>
            </c:extLst>
          </c:dPt>
          <c:dPt>
            <c:idx val="7"/>
            <c:bubble3D val="0"/>
            <c:spPr>
              <a:solidFill>
                <a:schemeClr val="accent2">
                  <a:lumMod val="60000"/>
                </a:schemeClr>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F-2F9C-4CD6-85F6-3CF5DB5D20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Chart!$C$4:$C$11</c:f>
              <c:strCache>
                <c:ptCount val="8"/>
                <c:pt idx="0">
                  <c:v>Wireless Communication Problem</c:v>
                </c:pt>
                <c:pt idx="1">
                  <c:v>No Device Output</c:v>
                </c:pt>
                <c:pt idx="2">
                  <c:v>Imprecision</c:v>
                </c:pt>
                <c:pt idx="3">
                  <c:v>Detachment of Device or device Component</c:v>
                </c:pt>
                <c:pt idx="4">
                  <c:v>Appropriate Term/Code Not Available</c:v>
                </c:pt>
                <c:pt idx="5">
                  <c:v>Unintended Application Program Shut Down</c:v>
                </c:pt>
                <c:pt idx="6">
                  <c:v>Defective Alarm</c:v>
                </c:pt>
                <c:pt idx="7">
                  <c:v>Others</c:v>
                </c:pt>
              </c:strCache>
              <c:extLst xmlns:c16r2="http://schemas.microsoft.com/office/drawing/2015/06/chart">
                <c:ext xmlns:c15="http://schemas.microsoft.com/office/drawing/2012/chart" uri="{02D57815-91ED-43cb-92C2-25804820EDAC}">
                  <c15:fullRef>
                    <c15:sqref>Chart!$C$4:$C$21</c15:sqref>
                  </c15:fullRef>
                </c:ext>
              </c:extLst>
            </c:strRef>
          </c:cat>
          <c:val>
            <c:numRef>
              <c:f>Chart!$F$4:$F$11</c:f>
              <c:numCache>
                <c:formatCode>0.0%</c:formatCode>
                <c:ptCount val="8"/>
                <c:pt idx="0">
                  <c:v>0.48516949152542371</c:v>
                </c:pt>
                <c:pt idx="1">
                  <c:v>0.22669491525423729</c:v>
                </c:pt>
                <c:pt idx="2">
                  <c:v>0.1271186440677966</c:v>
                </c:pt>
                <c:pt idx="3">
                  <c:v>7.6271186440677971E-2</c:v>
                </c:pt>
                <c:pt idx="4">
                  <c:v>1.2711864406779662E-2</c:v>
                </c:pt>
                <c:pt idx="5">
                  <c:v>1.2711864406779662E-2</c:v>
                </c:pt>
                <c:pt idx="6">
                  <c:v>1.059322033898305E-2</c:v>
                </c:pt>
                <c:pt idx="7">
                  <c:v>4.8728813559322036E-2</c:v>
                </c:pt>
              </c:numCache>
              <c:extLst xmlns:c16r2="http://schemas.microsoft.com/office/drawing/2015/06/chart">
                <c:ext xmlns:c15="http://schemas.microsoft.com/office/drawing/2012/chart" uri="{02D57815-91ED-43cb-92C2-25804820EDAC}">
                  <c15:fullRef>
                    <c15:sqref>Chart!$F$4:$F$21</c15:sqref>
                  </c15:fullRef>
                </c:ext>
              </c:extLst>
            </c:numRef>
          </c:val>
          <c:extLst xmlns:c16r2="http://schemas.microsoft.com/office/drawing/2015/06/chart">
            <c:ext xmlns:c15="http://schemas.microsoft.com/office/drawing/2012/chart" uri="{02D57815-91ED-43cb-92C2-25804820EDAC}">
              <c15:categoryFilterExceptions/>
            </c:ext>
            <c:ext xmlns:c16="http://schemas.microsoft.com/office/drawing/2014/chart" uri="{C3380CC4-5D6E-409C-BE32-E72D297353CC}">
              <c16:uniqueId val="{00000000-BF96-4507-8D6F-9BDC5AC3E5E3}"/>
            </c:ext>
          </c:extLst>
        </c:ser>
        <c:dLbls>
          <c:showLegendKey val="0"/>
          <c:showVal val="0"/>
          <c:showCatName val="0"/>
          <c:showSerName val="0"/>
          <c:showPercent val="0"/>
          <c:showBubbleSize val="0"/>
          <c:showLeaderLines val="1"/>
        </c:dLbls>
      </c:pie3DChart>
      <c:spPr>
        <a:noFill/>
        <a:ln>
          <a:noFill/>
        </a:ln>
        <a:effectLst/>
      </c:spPr>
    </c:plotArea>
    <c:legend>
      <c:legendPos val="b"/>
      <c:legendEntry>
        <c:idx val="0"/>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legendEntry>
      <c:layout>
        <c:manualLayout>
          <c:xMode val="edge"/>
          <c:yMode val="edge"/>
          <c:x val="1.0834593237991356E-2"/>
          <c:y val="0.75345084934222051"/>
          <c:w val="0.98295402398407794"/>
          <c:h val="0.228641757462588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199114</xdr:colOff>
      <xdr:row>0</xdr:row>
      <xdr:rowOff>18388</xdr:rowOff>
    </xdr:from>
    <xdr:to>
      <xdr:col>13</xdr:col>
      <xdr:colOff>417444</xdr:colOff>
      <xdr:row>21</xdr:row>
      <xdr:rowOff>165652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477078</xdr:colOff>
      <xdr:row>0</xdr:row>
      <xdr:rowOff>46382</xdr:rowOff>
    </xdr:from>
    <xdr:to>
      <xdr:col>24</xdr:col>
      <xdr:colOff>363052</xdr:colOff>
      <xdr:row>15</xdr:row>
      <xdr:rowOff>6625</xdr:rowOff>
    </xdr:to>
    <xdr:pic>
      <xdr:nvPicPr>
        <xdr:cNvPr id="2" name="Picture 1"/>
        <xdr:cNvPicPr>
          <a:picLocks noChangeAspect="1"/>
        </xdr:cNvPicPr>
      </xdr:nvPicPr>
      <xdr:blipFill>
        <a:blip xmlns:r="http://schemas.openxmlformats.org/officeDocument/2006/relationships" r:embed="rId2"/>
        <a:stretch>
          <a:fillRect/>
        </a:stretch>
      </xdr:blipFill>
      <xdr:spPr>
        <a:xfrm>
          <a:off x="8832574" y="46382"/>
          <a:ext cx="6591574" cy="2743200"/>
        </a:xfrm>
        <a:prstGeom prst="rect">
          <a:avLst/>
        </a:prstGeom>
      </xdr:spPr>
    </xdr:pic>
    <xdr:clientData/>
  </xdr:twoCellAnchor>
  <xdr:twoCellAnchor editAs="oneCell">
    <xdr:from>
      <xdr:col>16</xdr:col>
      <xdr:colOff>324679</xdr:colOff>
      <xdr:row>15</xdr:row>
      <xdr:rowOff>125895</xdr:rowOff>
    </xdr:from>
    <xdr:to>
      <xdr:col>22</xdr:col>
      <xdr:colOff>225287</xdr:colOff>
      <xdr:row>26</xdr:row>
      <xdr:rowOff>63691</xdr:rowOff>
    </xdr:to>
    <xdr:pic>
      <xdr:nvPicPr>
        <xdr:cNvPr id="4" name="Picture 3"/>
        <xdr:cNvPicPr>
          <a:picLocks noChangeAspect="1"/>
        </xdr:cNvPicPr>
      </xdr:nvPicPr>
      <xdr:blipFill>
        <a:blip xmlns:r="http://schemas.openxmlformats.org/officeDocument/2006/relationships" r:embed="rId3"/>
        <a:stretch>
          <a:fillRect/>
        </a:stretch>
      </xdr:blipFill>
      <xdr:spPr>
        <a:xfrm>
          <a:off x="10508975" y="2908852"/>
          <a:ext cx="3558208" cy="19786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6"/>
  <sheetViews>
    <sheetView tabSelected="1" view="pageBreakPreview" zoomScale="60" zoomScaleNormal="100" workbookViewId="0">
      <pane ySplit="3" topLeftCell="A392" activePane="bottomLeft" state="frozen"/>
      <selection pane="bottomLeft" activeCell="F392" sqref="F392"/>
    </sheetView>
  </sheetViews>
  <sheetFormatPr defaultColWidth="8.85546875" defaultRowHeight="15"/>
  <cols>
    <col min="1" max="1" width="9" style="13" customWidth="1"/>
    <col min="2" max="2" width="15.85546875" style="13" customWidth="1"/>
    <col min="3" max="3" width="21.42578125" style="13" customWidth="1"/>
    <col min="4" max="4" width="17.5703125" style="13" customWidth="1"/>
    <col min="5" max="5" width="98.28515625" style="14" customWidth="1"/>
    <col min="6" max="6" width="67.42578125" style="14" customWidth="1"/>
    <col min="7" max="7" width="13" style="13" customWidth="1"/>
    <col min="8" max="16384" width="8.85546875" style="13"/>
  </cols>
  <sheetData>
    <row r="1" spans="1:7">
      <c r="A1" s="41" t="s">
        <v>302</v>
      </c>
      <c r="B1" s="41"/>
      <c r="C1" s="41"/>
      <c r="D1" s="41"/>
      <c r="E1" s="41"/>
      <c r="F1" s="41"/>
      <c r="G1" s="41"/>
    </row>
    <row r="2" spans="1:7" ht="9" customHeight="1">
      <c r="A2" s="42"/>
      <c r="B2" s="42"/>
      <c r="C2" s="42"/>
      <c r="D2" s="42"/>
      <c r="E2" s="42"/>
      <c r="F2" s="42"/>
      <c r="G2" s="42"/>
    </row>
    <row r="3" spans="1:7" s="16" customFormat="1" ht="37.9" customHeight="1">
      <c r="A3" s="15" t="s">
        <v>0</v>
      </c>
      <c r="B3" s="15" t="s">
        <v>1</v>
      </c>
      <c r="C3" s="15" t="s">
        <v>2</v>
      </c>
      <c r="D3" s="15" t="s">
        <v>3</v>
      </c>
      <c r="E3" s="15" t="s">
        <v>126</v>
      </c>
      <c r="F3" s="15" t="s">
        <v>211</v>
      </c>
      <c r="G3" s="15" t="s">
        <v>209</v>
      </c>
    </row>
    <row r="4" spans="1:7" ht="45">
      <c r="A4" s="17">
        <v>1</v>
      </c>
      <c r="B4" s="17" t="s">
        <v>6</v>
      </c>
      <c r="C4" s="17" t="s">
        <v>5</v>
      </c>
      <c r="D4" s="18">
        <v>43897</v>
      </c>
      <c r="E4" s="19" t="s">
        <v>102</v>
      </c>
      <c r="F4" s="19" t="s">
        <v>242</v>
      </c>
      <c r="G4" s="17" t="s">
        <v>210</v>
      </c>
    </row>
    <row r="5" spans="1:7" ht="45">
      <c r="A5" s="17">
        <v>2</v>
      </c>
      <c r="B5" s="17" t="s">
        <v>4</v>
      </c>
      <c r="C5" s="17" t="s">
        <v>5</v>
      </c>
      <c r="D5" s="18">
        <v>43899</v>
      </c>
      <c r="E5" s="19" t="s">
        <v>270</v>
      </c>
      <c r="F5" s="19" t="s">
        <v>242</v>
      </c>
      <c r="G5" s="17" t="s">
        <v>210</v>
      </c>
    </row>
    <row r="6" spans="1:7" ht="60">
      <c r="A6" s="17">
        <v>3</v>
      </c>
      <c r="B6" s="17" t="s">
        <v>4</v>
      </c>
      <c r="C6" s="17" t="s">
        <v>5</v>
      </c>
      <c r="D6" s="18">
        <v>43897</v>
      </c>
      <c r="E6" s="19" t="s">
        <v>271</v>
      </c>
      <c r="F6" s="19" t="s">
        <v>290</v>
      </c>
      <c r="G6" s="17" t="s">
        <v>210</v>
      </c>
    </row>
    <row r="7" spans="1:7" ht="45">
      <c r="A7" s="17">
        <v>4</v>
      </c>
      <c r="B7" s="17" t="s">
        <v>4</v>
      </c>
      <c r="C7" s="17" t="s">
        <v>5</v>
      </c>
      <c r="D7" s="18">
        <v>43883</v>
      </c>
      <c r="E7" s="19" t="s">
        <v>272</v>
      </c>
      <c r="F7" s="19" t="s">
        <v>245</v>
      </c>
      <c r="G7" s="17" t="s">
        <v>210</v>
      </c>
    </row>
    <row r="8" spans="1:7" ht="45">
      <c r="A8" s="17">
        <v>5</v>
      </c>
      <c r="B8" s="17" t="s">
        <v>7</v>
      </c>
      <c r="C8" s="17" t="s">
        <v>5</v>
      </c>
      <c r="D8" s="18">
        <v>43899</v>
      </c>
      <c r="E8" s="19" t="s">
        <v>102</v>
      </c>
      <c r="F8" s="19" t="s">
        <v>242</v>
      </c>
      <c r="G8" s="17" t="s">
        <v>210</v>
      </c>
    </row>
    <row r="9" spans="1:7" ht="45">
      <c r="A9" s="17">
        <v>6</v>
      </c>
      <c r="B9" s="17" t="s">
        <v>6</v>
      </c>
      <c r="C9" s="17" t="s">
        <v>5</v>
      </c>
      <c r="D9" s="18">
        <v>43897</v>
      </c>
      <c r="E9" s="19" t="s">
        <v>102</v>
      </c>
      <c r="F9" s="19" t="s">
        <v>242</v>
      </c>
      <c r="G9" s="17" t="s">
        <v>210</v>
      </c>
    </row>
    <row r="10" spans="1:7" ht="45">
      <c r="A10" s="17">
        <v>7</v>
      </c>
      <c r="B10" s="17" t="s">
        <v>4</v>
      </c>
      <c r="C10" s="17" t="s">
        <v>5</v>
      </c>
      <c r="D10" s="18">
        <v>43894</v>
      </c>
      <c r="E10" s="19" t="s">
        <v>102</v>
      </c>
      <c r="F10" s="19" t="s">
        <v>242</v>
      </c>
      <c r="G10" s="17" t="s">
        <v>210</v>
      </c>
    </row>
    <row r="11" spans="1:7" ht="45">
      <c r="A11" s="17">
        <v>8</v>
      </c>
      <c r="B11" s="17" t="s">
        <v>6</v>
      </c>
      <c r="C11" s="17" t="s">
        <v>5</v>
      </c>
      <c r="D11" s="18">
        <v>43899</v>
      </c>
      <c r="E11" s="19" t="s">
        <v>253</v>
      </c>
      <c r="F11" s="19" t="s">
        <v>237</v>
      </c>
      <c r="G11" s="17" t="s">
        <v>210</v>
      </c>
    </row>
    <row r="12" spans="1:7" ht="45">
      <c r="A12" s="17">
        <v>9</v>
      </c>
      <c r="B12" s="17" t="s">
        <v>4</v>
      </c>
      <c r="C12" s="17" t="s">
        <v>5</v>
      </c>
      <c r="D12" s="18">
        <v>43908</v>
      </c>
      <c r="E12" s="19" t="s">
        <v>270</v>
      </c>
      <c r="F12" s="19" t="s">
        <v>242</v>
      </c>
      <c r="G12" s="17" t="s">
        <v>210</v>
      </c>
    </row>
    <row r="13" spans="1:7" s="1" customFormat="1" ht="45">
      <c r="A13" s="17">
        <v>10</v>
      </c>
      <c r="B13" s="11" t="s">
        <v>8</v>
      </c>
      <c r="C13" s="11" t="s">
        <v>9</v>
      </c>
      <c r="D13" s="9">
        <v>43902</v>
      </c>
      <c r="E13" s="6" t="s">
        <v>119</v>
      </c>
      <c r="F13" s="6" t="s">
        <v>214</v>
      </c>
      <c r="G13" s="27" t="s">
        <v>210</v>
      </c>
    </row>
    <row r="14" spans="1:7" ht="45">
      <c r="A14" s="17">
        <v>11</v>
      </c>
      <c r="B14" s="17" t="s">
        <v>4</v>
      </c>
      <c r="C14" s="17" t="s">
        <v>5</v>
      </c>
      <c r="D14" s="18">
        <v>43908</v>
      </c>
      <c r="E14" s="19" t="s">
        <v>102</v>
      </c>
      <c r="F14" s="19" t="s">
        <v>242</v>
      </c>
      <c r="G14" s="17" t="s">
        <v>210</v>
      </c>
    </row>
    <row r="15" spans="1:7" ht="75">
      <c r="A15" s="17">
        <v>12</v>
      </c>
      <c r="B15" s="17" t="s">
        <v>4</v>
      </c>
      <c r="C15" s="17" t="s">
        <v>5</v>
      </c>
      <c r="D15" s="18">
        <v>43885</v>
      </c>
      <c r="E15" s="19" t="s">
        <v>273</v>
      </c>
      <c r="F15" s="19" t="s">
        <v>242</v>
      </c>
      <c r="G15" s="17" t="s">
        <v>210</v>
      </c>
    </row>
    <row r="16" spans="1:7" ht="45">
      <c r="A16" s="17">
        <v>13</v>
      </c>
      <c r="B16" s="17" t="s">
        <v>4</v>
      </c>
      <c r="C16" s="17" t="s">
        <v>5</v>
      </c>
      <c r="D16" s="18">
        <v>43908</v>
      </c>
      <c r="E16" s="19" t="s">
        <v>102</v>
      </c>
      <c r="F16" s="19" t="s">
        <v>242</v>
      </c>
      <c r="G16" s="17" t="s">
        <v>210</v>
      </c>
    </row>
    <row r="17" spans="1:7" ht="45">
      <c r="A17" s="17">
        <v>14</v>
      </c>
      <c r="B17" s="17" t="s">
        <v>4</v>
      </c>
      <c r="C17" s="17" t="s">
        <v>5</v>
      </c>
      <c r="D17" s="18">
        <v>43908</v>
      </c>
      <c r="E17" s="19" t="s">
        <v>102</v>
      </c>
      <c r="F17" s="19" t="s">
        <v>242</v>
      </c>
      <c r="G17" s="17" t="s">
        <v>210</v>
      </c>
    </row>
    <row r="18" spans="1:7" ht="45">
      <c r="A18" s="17">
        <v>15</v>
      </c>
      <c r="B18" s="17" t="s">
        <v>4</v>
      </c>
      <c r="C18" s="17" t="s">
        <v>5</v>
      </c>
      <c r="D18" s="18">
        <v>43907</v>
      </c>
      <c r="E18" s="19" t="s">
        <v>102</v>
      </c>
      <c r="F18" s="19" t="s">
        <v>242</v>
      </c>
      <c r="G18" s="17" t="s">
        <v>210</v>
      </c>
    </row>
    <row r="19" spans="1:7" ht="45">
      <c r="A19" s="17">
        <v>16</v>
      </c>
      <c r="B19" s="17" t="s">
        <v>10</v>
      </c>
      <c r="C19" s="17" t="s">
        <v>5</v>
      </c>
      <c r="D19" s="18">
        <v>43908</v>
      </c>
      <c r="E19" s="19" t="s">
        <v>270</v>
      </c>
      <c r="F19" s="19" t="s">
        <v>242</v>
      </c>
      <c r="G19" s="17" t="s">
        <v>210</v>
      </c>
    </row>
    <row r="20" spans="1:7" ht="45">
      <c r="A20" s="17">
        <v>17</v>
      </c>
      <c r="B20" s="17" t="s">
        <v>4</v>
      </c>
      <c r="C20" s="17" t="s">
        <v>5</v>
      </c>
      <c r="D20" s="18">
        <v>43901</v>
      </c>
      <c r="E20" s="19" t="s">
        <v>102</v>
      </c>
      <c r="F20" s="19" t="s">
        <v>242</v>
      </c>
      <c r="G20" s="17" t="s">
        <v>210</v>
      </c>
    </row>
    <row r="21" spans="1:7" s="1" customFormat="1" ht="60">
      <c r="A21" s="17">
        <v>18</v>
      </c>
      <c r="B21" s="11" t="s">
        <v>4</v>
      </c>
      <c r="C21" s="11" t="s">
        <v>11</v>
      </c>
      <c r="D21" s="9">
        <v>43901</v>
      </c>
      <c r="E21" s="6" t="s">
        <v>12</v>
      </c>
      <c r="F21" s="6" t="s">
        <v>223</v>
      </c>
      <c r="G21" s="27" t="s">
        <v>210</v>
      </c>
    </row>
    <row r="22" spans="1:7" ht="45">
      <c r="A22" s="17">
        <v>19</v>
      </c>
      <c r="B22" s="17" t="s">
        <v>4</v>
      </c>
      <c r="C22" s="17" t="s">
        <v>5</v>
      </c>
      <c r="D22" s="18">
        <v>43901</v>
      </c>
      <c r="E22" s="19" t="s">
        <v>102</v>
      </c>
      <c r="F22" s="19" t="s">
        <v>242</v>
      </c>
      <c r="G22" s="17" t="s">
        <v>210</v>
      </c>
    </row>
    <row r="23" spans="1:7" ht="45">
      <c r="A23" s="17">
        <v>20</v>
      </c>
      <c r="B23" s="17" t="s">
        <v>4</v>
      </c>
      <c r="C23" s="17" t="s">
        <v>5</v>
      </c>
      <c r="D23" s="18">
        <v>43900</v>
      </c>
      <c r="E23" s="19" t="s">
        <v>102</v>
      </c>
      <c r="F23" s="19" t="s">
        <v>242</v>
      </c>
      <c r="G23" s="17" t="s">
        <v>210</v>
      </c>
    </row>
    <row r="24" spans="1:7" ht="45">
      <c r="A24" s="17">
        <v>21</v>
      </c>
      <c r="B24" s="17" t="s">
        <v>4</v>
      </c>
      <c r="C24" s="17" t="s">
        <v>5</v>
      </c>
      <c r="D24" s="18">
        <v>43908</v>
      </c>
      <c r="E24" s="19" t="s">
        <v>102</v>
      </c>
      <c r="F24" s="19" t="s">
        <v>242</v>
      </c>
      <c r="G24" s="17" t="s">
        <v>210</v>
      </c>
    </row>
    <row r="25" spans="1:7" ht="60">
      <c r="A25" s="17">
        <v>22</v>
      </c>
      <c r="B25" s="17" t="s">
        <v>10</v>
      </c>
      <c r="C25" s="17" t="s">
        <v>5</v>
      </c>
      <c r="D25" s="18">
        <v>43907</v>
      </c>
      <c r="E25" s="19" t="s">
        <v>236</v>
      </c>
      <c r="F25" s="19" t="s">
        <v>237</v>
      </c>
      <c r="G25" s="17" t="s">
        <v>210</v>
      </c>
    </row>
    <row r="26" spans="1:7" ht="60">
      <c r="A26" s="17">
        <v>23</v>
      </c>
      <c r="B26" s="17" t="s">
        <v>4</v>
      </c>
      <c r="C26" s="17" t="s">
        <v>5</v>
      </c>
      <c r="D26" s="18">
        <v>43901</v>
      </c>
      <c r="E26" s="19" t="s">
        <v>271</v>
      </c>
      <c r="F26" s="19" t="s">
        <v>290</v>
      </c>
      <c r="G26" s="17" t="s">
        <v>210</v>
      </c>
    </row>
    <row r="27" spans="1:7" s="1" customFormat="1" ht="45">
      <c r="A27" s="17">
        <v>24</v>
      </c>
      <c r="B27" s="11" t="s">
        <v>13</v>
      </c>
      <c r="C27" s="11" t="s">
        <v>14</v>
      </c>
      <c r="D27" s="9">
        <v>43893</v>
      </c>
      <c r="E27" s="6" t="s">
        <v>130</v>
      </c>
      <c r="F27" s="6" t="s">
        <v>220</v>
      </c>
      <c r="G27" s="27" t="s">
        <v>210</v>
      </c>
    </row>
    <row r="28" spans="1:7" ht="45">
      <c r="A28" s="17">
        <v>25</v>
      </c>
      <c r="B28" s="17" t="s">
        <v>6</v>
      </c>
      <c r="C28" s="17" t="s">
        <v>5</v>
      </c>
      <c r="D28" s="18">
        <v>43899</v>
      </c>
      <c r="E28" s="19" t="s">
        <v>102</v>
      </c>
      <c r="F28" s="19" t="s">
        <v>242</v>
      </c>
      <c r="G28" s="17" t="s">
        <v>210</v>
      </c>
    </row>
    <row r="29" spans="1:7" ht="45">
      <c r="A29" s="17">
        <v>26</v>
      </c>
      <c r="B29" s="17" t="s">
        <v>4</v>
      </c>
      <c r="C29" s="17" t="s">
        <v>5</v>
      </c>
      <c r="D29" s="18">
        <v>43899</v>
      </c>
      <c r="E29" s="19" t="s">
        <v>270</v>
      </c>
      <c r="F29" s="19" t="s">
        <v>242</v>
      </c>
      <c r="G29" s="17" t="s">
        <v>210</v>
      </c>
    </row>
    <row r="30" spans="1:7" ht="45">
      <c r="A30" s="17">
        <v>27</v>
      </c>
      <c r="B30" s="17" t="s">
        <v>4</v>
      </c>
      <c r="C30" s="17" t="s">
        <v>5</v>
      </c>
      <c r="D30" s="18">
        <v>43901</v>
      </c>
      <c r="E30" s="19" t="s">
        <v>102</v>
      </c>
      <c r="F30" s="19" t="s">
        <v>242</v>
      </c>
      <c r="G30" s="17" t="s">
        <v>210</v>
      </c>
    </row>
    <row r="31" spans="1:7" ht="45">
      <c r="A31" s="17">
        <v>28</v>
      </c>
      <c r="B31" s="17" t="s">
        <v>4</v>
      </c>
      <c r="C31" s="17" t="s">
        <v>5</v>
      </c>
      <c r="D31" s="18">
        <v>43907</v>
      </c>
      <c r="E31" s="19" t="s">
        <v>274</v>
      </c>
      <c r="F31" s="19" t="s">
        <v>294</v>
      </c>
      <c r="G31" s="17" t="s">
        <v>210</v>
      </c>
    </row>
    <row r="32" spans="1:7" ht="45">
      <c r="A32" s="17">
        <v>29</v>
      </c>
      <c r="B32" s="17" t="s">
        <v>4</v>
      </c>
      <c r="C32" s="17" t="s">
        <v>5</v>
      </c>
      <c r="D32" s="18">
        <v>43909</v>
      </c>
      <c r="E32" s="19" t="s">
        <v>270</v>
      </c>
      <c r="F32" s="19" t="s">
        <v>242</v>
      </c>
      <c r="G32" s="17" t="s">
        <v>210</v>
      </c>
    </row>
    <row r="33" spans="1:7" ht="45">
      <c r="A33" s="17">
        <v>30</v>
      </c>
      <c r="B33" s="17" t="s">
        <v>15</v>
      </c>
      <c r="C33" s="17" t="s">
        <v>5</v>
      </c>
      <c r="D33" s="18" t="s">
        <v>16</v>
      </c>
      <c r="E33" s="19" t="s">
        <v>102</v>
      </c>
      <c r="F33" s="19" t="s">
        <v>242</v>
      </c>
      <c r="G33" s="17" t="s">
        <v>210</v>
      </c>
    </row>
    <row r="34" spans="1:7" s="1" customFormat="1" ht="45">
      <c r="A34" s="17">
        <v>31</v>
      </c>
      <c r="B34" s="11" t="s">
        <v>15</v>
      </c>
      <c r="C34" s="17" t="s">
        <v>11</v>
      </c>
      <c r="D34" s="9" t="s">
        <v>17</v>
      </c>
      <c r="E34" s="6" t="s">
        <v>18</v>
      </c>
      <c r="F34" s="6" t="s">
        <v>223</v>
      </c>
      <c r="G34" s="27" t="s">
        <v>210</v>
      </c>
    </row>
    <row r="35" spans="1:7" ht="75">
      <c r="A35" s="17">
        <v>32</v>
      </c>
      <c r="B35" s="17" t="s">
        <v>15</v>
      </c>
      <c r="C35" s="17" t="s">
        <v>5</v>
      </c>
      <c r="D35" s="18">
        <v>44138</v>
      </c>
      <c r="E35" s="19" t="s">
        <v>275</v>
      </c>
      <c r="F35" s="19" t="s">
        <v>242</v>
      </c>
      <c r="G35" s="17" t="s">
        <v>210</v>
      </c>
    </row>
    <row r="36" spans="1:7" ht="45">
      <c r="A36" s="17">
        <v>33</v>
      </c>
      <c r="B36" s="17" t="s">
        <v>4</v>
      </c>
      <c r="C36" s="17" t="s">
        <v>5</v>
      </c>
      <c r="D36" s="18">
        <v>44107</v>
      </c>
      <c r="E36" s="19" t="s">
        <v>270</v>
      </c>
      <c r="F36" s="19" t="s">
        <v>242</v>
      </c>
      <c r="G36" s="17" t="s">
        <v>210</v>
      </c>
    </row>
    <row r="37" spans="1:7" s="1" customFormat="1" ht="60">
      <c r="A37" s="17">
        <v>34</v>
      </c>
      <c r="B37" s="11" t="s">
        <v>4</v>
      </c>
      <c r="C37" s="11" t="s">
        <v>11</v>
      </c>
      <c r="D37" s="22">
        <v>43905</v>
      </c>
      <c r="E37" s="6" t="s">
        <v>84</v>
      </c>
      <c r="F37" s="6" t="s">
        <v>228</v>
      </c>
      <c r="G37" s="27" t="s">
        <v>210</v>
      </c>
    </row>
    <row r="38" spans="1:7" ht="45">
      <c r="A38" s="17">
        <v>35</v>
      </c>
      <c r="B38" s="17" t="s">
        <v>85</v>
      </c>
      <c r="C38" s="17" t="s">
        <v>5</v>
      </c>
      <c r="D38" s="18">
        <v>43901</v>
      </c>
      <c r="E38" s="19" t="s">
        <v>276</v>
      </c>
      <c r="F38" s="19" t="s">
        <v>242</v>
      </c>
      <c r="G38" s="17" t="s">
        <v>210</v>
      </c>
    </row>
    <row r="39" spans="1:7" s="1" customFormat="1" ht="45">
      <c r="A39" s="17">
        <v>36</v>
      </c>
      <c r="B39" s="11" t="s">
        <v>4</v>
      </c>
      <c r="C39" s="11" t="s">
        <v>11</v>
      </c>
      <c r="D39" s="9">
        <v>43905</v>
      </c>
      <c r="E39" s="6" t="s">
        <v>86</v>
      </c>
      <c r="F39" s="6" t="s">
        <v>223</v>
      </c>
      <c r="G39" s="27" t="s">
        <v>210</v>
      </c>
    </row>
    <row r="40" spans="1:7" ht="60">
      <c r="A40" s="17">
        <v>37</v>
      </c>
      <c r="B40" s="17" t="s">
        <v>4</v>
      </c>
      <c r="C40" s="17" t="s">
        <v>5</v>
      </c>
      <c r="D40" s="18">
        <v>43900</v>
      </c>
      <c r="E40" s="19" t="s">
        <v>277</v>
      </c>
      <c r="F40" s="19" t="s">
        <v>290</v>
      </c>
      <c r="G40" s="17" t="s">
        <v>210</v>
      </c>
    </row>
    <row r="41" spans="1:7" ht="45">
      <c r="A41" s="17">
        <v>38</v>
      </c>
      <c r="B41" s="17" t="s">
        <v>4</v>
      </c>
      <c r="C41" s="17" t="s">
        <v>87</v>
      </c>
      <c r="D41" s="18">
        <v>43901</v>
      </c>
      <c r="E41" s="19" t="s">
        <v>278</v>
      </c>
      <c r="F41" s="19" t="s">
        <v>242</v>
      </c>
      <c r="G41" s="17" t="s">
        <v>210</v>
      </c>
    </row>
    <row r="42" spans="1:7" s="1" customFormat="1" ht="45">
      <c r="A42" s="17">
        <v>39</v>
      </c>
      <c r="B42" s="11" t="s">
        <v>13</v>
      </c>
      <c r="C42" s="11" t="s">
        <v>9</v>
      </c>
      <c r="D42" s="9">
        <v>43897</v>
      </c>
      <c r="E42" s="6" t="s">
        <v>120</v>
      </c>
      <c r="F42" s="6" t="s">
        <v>214</v>
      </c>
      <c r="G42" s="27" t="s">
        <v>210</v>
      </c>
    </row>
    <row r="43" spans="1:7" s="1" customFormat="1" ht="60">
      <c r="A43" s="17">
        <v>40</v>
      </c>
      <c r="B43" s="11" t="s">
        <v>4</v>
      </c>
      <c r="C43" s="11" t="s">
        <v>11</v>
      </c>
      <c r="D43" s="9">
        <v>43905</v>
      </c>
      <c r="E43" s="6" t="s">
        <v>88</v>
      </c>
      <c r="F43" s="6" t="s">
        <v>223</v>
      </c>
      <c r="G43" s="27" t="s">
        <v>210</v>
      </c>
    </row>
    <row r="44" spans="1:7" ht="75">
      <c r="A44" s="17">
        <v>41</v>
      </c>
      <c r="B44" s="17" t="s">
        <v>10</v>
      </c>
      <c r="C44" s="17" t="s">
        <v>5</v>
      </c>
      <c r="D44" s="18">
        <v>43901</v>
      </c>
      <c r="E44" s="19" t="s">
        <v>247</v>
      </c>
      <c r="F44" s="19" t="s">
        <v>242</v>
      </c>
      <c r="G44" s="17" t="s">
        <v>210</v>
      </c>
    </row>
    <row r="45" spans="1:7" s="1" customFormat="1" ht="60">
      <c r="A45" s="17">
        <v>42</v>
      </c>
      <c r="B45" s="11" t="s">
        <v>4</v>
      </c>
      <c r="C45" s="11" t="s">
        <v>11</v>
      </c>
      <c r="D45" s="9">
        <v>43895</v>
      </c>
      <c r="E45" s="6" t="s">
        <v>84</v>
      </c>
      <c r="F45" s="6" t="s">
        <v>228</v>
      </c>
      <c r="G45" s="27" t="s">
        <v>210</v>
      </c>
    </row>
    <row r="46" spans="1:7" ht="75">
      <c r="A46" s="17">
        <v>43</v>
      </c>
      <c r="B46" s="17" t="s">
        <v>10</v>
      </c>
      <c r="C46" s="20" t="s">
        <v>5</v>
      </c>
      <c r="D46" s="18">
        <v>43900</v>
      </c>
      <c r="E46" s="19" t="s">
        <v>248</v>
      </c>
      <c r="F46" s="19" t="s">
        <v>245</v>
      </c>
      <c r="G46" s="17" t="s">
        <v>210</v>
      </c>
    </row>
    <row r="47" spans="1:7" s="1" customFormat="1" ht="45">
      <c r="A47" s="17">
        <v>44</v>
      </c>
      <c r="B47" s="11" t="s">
        <v>4</v>
      </c>
      <c r="C47" s="11" t="s">
        <v>11</v>
      </c>
      <c r="D47" s="9">
        <v>43904</v>
      </c>
      <c r="E47" s="6" t="s">
        <v>89</v>
      </c>
      <c r="F47" s="6" t="s">
        <v>223</v>
      </c>
      <c r="G47" s="27" t="s">
        <v>210</v>
      </c>
    </row>
    <row r="48" spans="1:7" s="1" customFormat="1" ht="45">
      <c r="A48" s="17">
        <v>45</v>
      </c>
      <c r="B48" s="11" t="s">
        <v>4</v>
      </c>
      <c r="C48" s="11" t="s">
        <v>11</v>
      </c>
      <c r="D48" s="9">
        <v>43905</v>
      </c>
      <c r="E48" s="6" t="s">
        <v>89</v>
      </c>
      <c r="F48" s="6" t="s">
        <v>223</v>
      </c>
      <c r="G48" s="27" t="s">
        <v>210</v>
      </c>
    </row>
    <row r="49" spans="1:7" ht="45">
      <c r="A49" s="17">
        <v>46</v>
      </c>
      <c r="B49" s="17" t="s">
        <v>4</v>
      </c>
      <c r="C49" s="17" t="s">
        <v>5</v>
      </c>
      <c r="D49" s="18">
        <v>43901</v>
      </c>
      <c r="E49" s="19" t="s">
        <v>278</v>
      </c>
      <c r="F49" s="19" t="s">
        <v>242</v>
      </c>
      <c r="G49" s="17" t="s">
        <v>210</v>
      </c>
    </row>
    <row r="50" spans="1:7" ht="45">
      <c r="A50" s="17">
        <v>47</v>
      </c>
      <c r="B50" s="17" t="s">
        <v>29</v>
      </c>
      <c r="C50" s="17" t="s">
        <v>5</v>
      </c>
      <c r="D50" s="18">
        <v>43901</v>
      </c>
      <c r="E50" s="19" t="s">
        <v>276</v>
      </c>
      <c r="F50" s="19" t="s">
        <v>242</v>
      </c>
      <c r="G50" s="17" t="s">
        <v>210</v>
      </c>
    </row>
    <row r="51" spans="1:7" s="1" customFormat="1" ht="60">
      <c r="A51" s="17">
        <v>48</v>
      </c>
      <c r="B51" s="11" t="s">
        <v>4</v>
      </c>
      <c r="C51" s="11" t="s">
        <v>11</v>
      </c>
      <c r="D51" s="9">
        <v>43904</v>
      </c>
      <c r="E51" s="6" t="s">
        <v>88</v>
      </c>
      <c r="F51" s="6" t="s">
        <v>223</v>
      </c>
      <c r="G51" s="27" t="s">
        <v>210</v>
      </c>
    </row>
    <row r="52" spans="1:7" s="1" customFormat="1" ht="45">
      <c r="A52" s="17">
        <v>49</v>
      </c>
      <c r="B52" s="11" t="s">
        <v>8</v>
      </c>
      <c r="C52" s="11" t="s">
        <v>9</v>
      </c>
      <c r="D52" s="9">
        <v>43895</v>
      </c>
      <c r="E52" s="6" t="s">
        <v>120</v>
      </c>
      <c r="F52" s="6" t="s">
        <v>214</v>
      </c>
      <c r="G52" s="27" t="s">
        <v>210</v>
      </c>
    </row>
    <row r="53" spans="1:7" s="1" customFormat="1" ht="45">
      <c r="A53" s="17">
        <v>50</v>
      </c>
      <c r="B53" s="11" t="s">
        <v>4</v>
      </c>
      <c r="C53" s="11" t="s">
        <v>11</v>
      </c>
      <c r="D53" s="9">
        <v>43886</v>
      </c>
      <c r="E53" s="6" t="s">
        <v>86</v>
      </c>
      <c r="F53" s="6" t="s">
        <v>223</v>
      </c>
      <c r="G53" s="27" t="s">
        <v>210</v>
      </c>
    </row>
    <row r="54" spans="1:7" s="1" customFormat="1" ht="45">
      <c r="A54" s="17">
        <v>51</v>
      </c>
      <c r="B54" s="11" t="s">
        <v>4</v>
      </c>
      <c r="C54" s="11" t="s">
        <v>11</v>
      </c>
      <c r="D54" s="9">
        <v>43905</v>
      </c>
      <c r="E54" s="6" t="s">
        <v>89</v>
      </c>
      <c r="F54" s="6" t="s">
        <v>223</v>
      </c>
      <c r="G54" s="27" t="s">
        <v>210</v>
      </c>
    </row>
    <row r="55" spans="1:7" s="1" customFormat="1" ht="60">
      <c r="A55" s="17">
        <v>52</v>
      </c>
      <c r="B55" s="11" t="s">
        <v>4</v>
      </c>
      <c r="C55" s="11" t="s">
        <v>11</v>
      </c>
      <c r="D55" s="9">
        <v>43767</v>
      </c>
      <c r="E55" s="6" t="s">
        <v>88</v>
      </c>
      <c r="F55" s="6" t="s">
        <v>223</v>
      </c>
      <c r="G55" s="27" t="s">
        <v>210</v>
      </c>
    </row>
    <row r="56" spans="1:7" ht="60">
      <c r="A56" s="17">
        <v>53</v>
      </c>
      <c r="B56" s="17" t="s">
        <v>4</v>
      </c>
      <c r="C56" s="17" t="s">
        <v>5</v>
      </c>
      <c r="D56" s="18">
        <v>43908</v>
      </c>
      <c r="E56" s="19" t="s">
        <v>279</v>
      </c>
      <c r="F56" s="19" t="s">
        <v>242</v>
      </c>
      <c r="G56" s="17" t="s">
        <v>210</v>
      </c>
    </row>
    <row r="57" spans="1:7" s="1" customFormat="1" ht="60">
      <c r="A57" s="17">
        <v>54</v>
      </c>
      <c r="B57" s="11" t="s">
        <v>6</v>
      </c>
      <c r="C57" s="11" t="s">
        <v>11</v>
      </c>
      <c r="D57" s="9">
        <v>43905</v>
      </c>
      <c r="E57" s="6" t="s">
        <v>84</v>
      </c>
      <c r="F57" s="6" t="s">
        <v>223</v>
      </c>
      <c r="G57" s="27" t="s">
        <v>210</v>
      </c>
    </row>
    <row r="58" spans="1:7" s="1" customFormat="1" ht="45">
      <c r="A58" s="17">
        <v>55</v>
      </c>
      <c r="B58" s="11" t="s">
        <v>8</v>
      </c>
      <c r="C58" s="11" t="s">
        <v>9</v>
      </c>
      <c r="D58" s="9">
        <v>43905</v>
      </c>
      <c r="E58" s="6" t="s">
        <v>121</v>
      </c>
      <c r="F58" s="6" t="s">
        <v>214</v>
      </c>
      <c r="G58" s="27" t="s">
        <v>210</v>
      </c>
    </row>
    <row r="59" spans="1:7" ht="45">
      <c r="A59" s="17">
        <v>56</v>
      </c>
      <c r="B59" s="17" t="s">
        <v>4</v>
      </c>
      <c r="C59" s="17" t="s">
        <v>5</v>
      </c>
      <c r="D59" s="18">
        <v>43900</v>
      </c>
      <c r="E59" s="19" t="s">
        <v>276</v>
      </c>
      <c r="F59" s="19" t="s">
        <v>242</v>
      </c>
      <c r="G59" s="17" t="s">
        <v>210</v>
      </c>
    </row>
    <row r="60" spans="1:7" s="1" customFormat="1" ht="45">
      <c r="A60" s="17">
        <v>57</v>
      </c>
      <c r="B60" s="11" t="s">
        <v>15</v>
      </c>
      <c r="C60" s="11" t="s">
        <v>11</v>
      </c>
      <c r="D60" s="9">
        <v>43905</v>
      </c>
      <c r="E60" s="6" t="s">
        <v>18</v>
      </c>
      <c r="F60" s="6" t="s">
        <v>223</v>
      </c>
      <c r="G60" s="27" t="s">
        <v>210</v>
      </c>
    </row>
    <row r="61" spans="1:7" s="1" customFormat="1" ht="60">
      <c r="A61" s="17">
        <v>58</v>
      </c>
      <c r="B61" s="11" t="s">
        <v>4</v>
      </c>
      <c r="C61" s="11" t="s">
        <v>11</v>
      </c>
      <c r="D61" s="9">
        <v>43904</v>
      </c>
      <c r="E61" s="6" t="s">
        <v>84</v>
      </c>
      <c r="F61" s="6" t="s">
        <v>228</v>
      </c>
      <c r="G61" s="27" t="s">
        <v>210</v>
      </c>
    </row>
    <row r="62" spans="1:7" ht="75">
      <c r="A62" s="17">
        <v>59</v>
      </c>
      <c r="B62" s="17" t="s">
        <v>10</v>
      </c>
      <c r="C62" s="17" t="s">
        <v>5</v>
      </c>
      <c r="D62" s="18">
        <v>43899</v>
      </c>
      <c r="E62" s="19" t="s">
        <v>246</v>
      </c>
      <c r="F62" s="19" t="s">
        <v>242</v>
      </c>
      <c r="G62" s="17" t="s">
        <v>210</v>
      </c>
    </row>
    <row r="63" spans="1:7" ht="45">
      <c r="A63" s="17">
        <v>60</v>
      </c>
      <c r="B63" s="17" t="s">
        <v>7</v>
      </c>
      <c r="C63" s="17" t="s">
        <v>5</v>
      </c>
      <c r="D63" s="18">
        <v>43901</v>
      </c>
      <c r="E63" s="19" t="s">
        <v>102</v>
      </c>
      <c r="F63" s="19" t="s">
        <v>242</v>
      </c>
      <c r="G63" s="17" t="s">
        <v>210</v>
      </c>
    </row>
    <row r="64" spans="1:7" s="1" customFormat="1" ht="45">
      <c r="A64" s="17">
        <v>61</v>
      </c>
      <c r="B64" s="11" t="s">
        <v>4</v>
      </c>
      <c r="C64" s="11" t="s">
        <v>11</v>
      </c>
      <c r="D64" s="11" t="s">
        <v>90</v>
      </c>
      <c r="E64" s="6" t="s">
        <v>82</v>
      </c>
      <c r="F64" s="6" t="s">
        <v>223</v>
      </c>
      <c r="G64" s="27" t="s">
        <v>210</v>
      </c>
    </row>
    <row r="65" spans="1:7" s="1" customFormat="1" ht="60">
      <c r="A65" s="17">
        <v>62</v>
      </c>
      <c r="B65" s="11" t="s">
        <v>4</v>
      </c>
      <c r="C65" s="11" t="s">
        <v>36</v>
      </c>
      <c r="D65" s="9">
        <v>43908</v>
      </c>
      <c r="E65" s="6" t="s">
        <v>116</v>
      </c>
      <c r="F65" s="6" t="s">
        <v>212</v>
      </c>
      <c r="G65" s="27" t="s">
        <v>210</v>
      </c>
    </row>
    <row r="66" spans="1:7" s="1" customFormat="1" ht="60">
      <c r="A66" s="17">
        <v>63</v>
      </c>
      <c r="B66" s="11" t="s">
        <v>4</v>
      </c>
      <c r="C66" s="11" t="s">
        <v>11</v>
      </c>
      <c r="D66" s="9">
        <v>43904</v>
      </c>
      <c r="E66" s="6" t="s">
        <v>83</v>
      </c>
      <c r="F66" s="6" t="s">
        <v>228</v>
      </c>
      <c r="G66" s="27" t="s">
        <v>210</v>
      </c>
    </row>
    <row r="67" spans="1:7" s="1" customFormat="1" ht="45">
      <c r="A67" s="17">
        <v>64</v>
      </c>
      <c r="B67" s="11" t="s">
        <v>8</v>
      </c>
      <c r="C67" s="11" t="s">
        <v>14</v>
      </c>
      <c r="D67" s="9">
        <v>43905</v>
      </c>
      <c r="E67" s="6" t="s">
        <v>131</v>
      </c>
      <c r="F67" s="6" t="s">
        <v>220</v>
      </c>
      <c r="G67" s="27" t="s">
        <v>210</v>
      </c>
    </row>
    <row r="68" spans="1:7" ht="45">
      <c r="A68" s="17">
        <v>65</v>
      </c>
      <c r="B68" s="17" t="s">
        <v>4</v>
      </c>
      <c r="C68" s="17" t="s">
        <v>5</v>
      </c>
      <c r="D68" s="18">
        <v>43901</v>
      </c>
      <c r="E68" s="19" t="s">
        <v>276</v>
      </c>
      <c r="F68" s="19" t="s">
        <v>242</v>
      </c>
      <c r="G68" s="17" t="s">
        <v>210</v>
      </c>
    </row>
    <row r="69" spans="1:7" ht="60">
      <c r="A69" s="17">
        <v>66</v>
      </c>
      <c r="B69" s="17" t="s">
        <v>4</v>
      </c>
      <c r="C69" s="17" t="s">
        <v>5</v>
      </c>
      <c r="D69" s="18">
        <v>43900</v>
      </c>
      <c r="E69" s="19" t="s">
        <v>280</v>
      </c>
      <c r="F69" s="19" t="s">
        <v>242</v>
      </c>
      <c r="G69" s="17" t="s">
        <v>210</v>
      </c>
    </row>
    <row r="70" spans="1:7" s="1" customFormat="1" ht="60">
      <c r="A70" s="17">
        <v>67</v>
      </c>
      <c r="B70" s="11" t="s">
        <v>4</v>
      </c>
      <c r="C70" s="11" t="s">
        <v>11</v>
      </c>
      <c r="D70" s="9">
        <v>43902</v>
      </c>
      <c r="E70" s="6" t="s">
        <v>83</v>
      </c>
      <c r="F70" s="6" t="s">
        <v>228</v>
      </c>
      <c r="G70" s="27" t="s">
        <v>210</v>
      </c>
    </row>
    <row r="71" spans="1:7" s="1" customFormat="1" ht="60">
      <c r="A71" s="17">
        <v>68</v>
      </c>
      <c r="B71" s="11" t="s">
        <v>4</v>
      </c>
      <c r="C71" s="11" t="s">
        <v>11</v>
      </c>
      <c r="D71" s="9">
        <v>43904</v>
      </c>
      <c r="E71" s="6" t="s">
        <v>12</v>
      </c>
      <c r="F71" s="6" t="s">
        <v>223</v>
      </c>
      <c r="G71" s="27" t="s">
        <v>210</v>
      </c>
    </row>
    <row r="72" spans="1:7" s="1" customFormat="1" ht="60">
      <c r="A72" s="17">
        <v>69</v>
      </c>
      <c r="B72" s="11" t="s">
        <v>6</v>
      </c>
      <c r="C72" s="11" t="s">
        <v>11</v>
      </c>
      <c r="D72" s="9">
        <v>43906</v>
      </c>
      <c r="E72" s="6" t="s">
        <v>83</v>
      </c>
      <c r="F72" s="6" t="s">
        <v>228</v>
      </c>
      <c r="G72" s="27" t="s">
        <v>210</v>
      </c>
    </row>
    <row r="73" spans="1:7" s="1" customFormat="1" ht="45">
      <c r="A73" s="17">
        <v>70</v>
      </c>
      <c r="B73" s="11" t="s">
        <v>4</v>
      </c>
      <c r="C73" s="11" t="s">
        <v>11</v>
      </c>
      <c r="D73" s="9">
        <v>43904</v>
      </c>
      <c r="E73" s="6" t="s">
        <v>82</v>
      </c>
      <c r="F73" s="6" t="s">
        <v>223</v>
      </c>
      <c r="G73" s="27" t="s">
        <v>210</v>
      </c>
    </row>
    <row r="74" spans="1:7" s="1" customFormat="1" ht="45">
      <c r="A74" s="17">
        <v>71</v>
      </c>
      <c r="B74" s="11" t="s">
        <v>8</v>
      </c>
      <c r="C74" s="11" t="s">
        <v>14</v>
      </c>
      <c r="D74" s="9">
        <v>43877</v>
      </c>
      <c r="E74" s="6" t="s">
        <v>132</v>
      </c>
      <c r="F74" s="6" t="s">
        <v>220</v>
      </c>
      <c r="G74" s="27" t="s">
        <v>210</v>
      </c>
    </row>
    <row r="75" spans="1:7" ht="60">
      <c r="A75" s="17">
        <v>72</v>
      </c>
      <c r="B75" s="17" t="s">
        <v>4</v>
      </c>
      <c r="C75" s="17" t="s">
        <v>87</v>
      </c>
      <c r="D75" s="18">
        <v>43901</v>
      </c>
      <c r="E75" s="19" t="s">
        <v>280</v>
      </c>
      <c r="F75" s="19" t="s">
        <v>242</v>
      </c>
      <c r="G75" s="17" t="s">
        <v>210</v>
      </c>
    </row>
    <row r="76" spans="1:7" ht="45">
      <c r="A76" s="17">
        <v>73</v>
      </c>
      <c r="B76" s="17" t="s">
        <v>6</v>
      </c>
      <c r="C76" s="17" t="s">
        <v>5</v>
      </c>
      <c r="D76" s="18">
        <v>43900</v>
      </c>
      <c r="E76" s="19" t="s">
        <v>102</v>
      </c>
      <c r="F76" s="19" t="s">
        <v>242</v>
      </c>
      <c r="G76" s="17" t="s">
        <v>210</v>
      </c>
    </row>
    <row r="77" spans="1:7" ht="60">
      <c r="A77" s="17">
        <v>74</v>
      </c>
      <c r="B77" s="17" t="s">
        <v>7</v>
      </c>
      <c r="C77" s="17" t="s">
        <v>5</v>
      </c>
      <c r="D77" s="18">
        <v>43901</v>
      </c>
      <c r="E77" s="19" t="s">
        <v>280</v>
      </c>
      <c r="F77" s="19" t="s">
        <v>242</v>
      </c>
      <c r="G77" s="17" t="s">
        <v>210</v>
      </c>
    </row>
    <row r="78" spans="1:7" s="1" customFormat="1" ht="45">
      <c r="A78" s="17">
        <v>75</v>
      </c>
      <c r="B78" s="11" t="s">
        <v>4</v>
      </c>
      <c r="C78" s="11" t="s">
        <v>11</v>
      </c>
      <c r="D78" s="9">
        <v>43902</v>
      </c>
      <c r="E78" s="6" t="s">
        <v>18</v>
      </c>
      <c r="F78" s="6" t="s">
        <v>223</v>
      </c>
      <c r="G78" s="27" t="s">
        <v>210</v>
      </c>
    </row>
    <row r="79" spans="1:7" s="1" customFormat="1" ht="45">
      <c r="A79" s="17">
        <v>76</v>
      </c>
      <c r="B79" s="11" t="s">
        <v>4</v>
      </c>
      <c r="C79" s="11" t="s">
        <v>11</v>
      </c>
      <c r="D79" s="9">
        <v>43902</v>
      </c>
      <c r="E79" s="6" t="s">
        <v>89</v>
      </c>
      <c r="F79" s="6" t="s">
        <v>223</v>
      </c>
      <c r="G79" s="27" t="s">
        <v>210</v>
      </c>
    </row>
    <row r="80" spans="1:7" s="1" customFormat="1" ht="60">
      <c r="A80" s="17">
        <v>77</v>
      </c>
      <c r="B80" s="11" t="s">
        <v>4</v>
      </c>
      <c r="C80" s="11" t="s">
        <v>11</v>
      </c>
      <c r="D80" s="11" t="s">
        <v>91</v>
      </c>
      <c r="E80" s="6" t="s">
        <v>88</v>
      </c>
      <c r="F80" s="6" t="s">
        <v>223</v>
      </c>
      <c r="G80" s="27" t="s">
        <v>210</v>
      </c>
    </row>
    <row r="81" spans="1:7" ht="75">
      <c r="A81" s="17">
        <v>78</v>
      </c>
      <c r="B81" s="17" t="s">
        <v>10</v>
      </c>
      <c r="C81" s="17" t="s">
        <v>5</v>
      </c>
      <c r="D81" s="18">
        <v>43900</v>
      </c>
      <c r="E81" s="19" t="s">
        <v>238</v>
      </c>
      <c r="F81" s="19" t="s">
        <v>237</v>
      </c>
      <c r="G81" s="17" t="s">
        <v>210</v>
      </c>
    </row>
    <row r="82" spans="1:7" s="1" customFormat="1" ht="45">
      <c r="A82" s="17">
        <v>79</v>
      </c>
      <c r="B82" s="11" t="s">
        <v>92</v>
      </c>
      <c r="C82" s="11" t="s">
        <v>14</v>
      </c>
      <c r="D82" s="9">
        <v>43904</v>
      </c>
      <c r="E82" s="7" t="s">
        <v>132</v>
      </c>
      <c r="F82" s="6" t="s">
        <v>220</v>
      </c>
      <c r="G82" s="27" t="s">
        <v>210</v>
      </c>
    </row>
    <row r="83" spans="1:7" ht="60">
      <c r="A83" s="17">
        <v>80</v>
      </c>
      <c r="B83" s="17" t="s">
        <v>4</v>
      </c>
      <c r="C83" s="17" t="s">
        <v>5</v>
      </c>
      <c r="D83" s="18">
        <v>43901</v>
      </c>
      <c r="E83" s="19" t="s">
        <v>271</v>
      </c>
      <c r="F83" s="19" t="s">
        <v>290</v>
      </c>
      <c r="G83" s="17" t="s">
        <v>210</v>
      </c>
    </row>
    <row r="84" spans="1:7" s="1" customFormat="1" ht="60">
      <c r="A84" s="17">
        <v>81</v>
      </c>
      <c r="B84" s="11" t="s">
        <v>4</v>
      </c>
      <c r="C84" s="11" t="s">
        <v>11</v>
      </c>
      <c r="D84" s="11" t="s">
        <v>93</v>
      </c>
      <c r="E84" s="8" t="s">
        <v>12</v>
      </c>
      <c r="F84" s="6" t="s">
        <v>223</v>
      </c>
      <c r="G84" s="27" t="s">
        <v>210</v>
      </c>
    </row>
    <row r="85" spans="1:7" ht="45">
      <c r="A85" s="17">
        <v>82</v>
      </c>
      <c r="B85" s="17" t="s">
        <v>7</v>
      </c>
      <c r="C85" s="17" t="s">
        <v>5</v>
      </c>
      <c r="D85" s="18">
        <v>44015</v>
      </c>
      <c r="E85" s="19" t="s">
        <v>102</v>
      </c>
      <c r="F85" s="19" t="s">
        <v>242</v>
      </c>
      <c r="G85" s="17" t="s">
        <v>210</v>
      </c>
    </row>
    <row r="86" spans="1:7" s="1" customFormat="1" ht="60">
      <c r="A86" s="17">
        <v>83</v>
      </c>
      <c r="B86" s="11" t="s">
        <v>4</v>
      </c>
      <c r="C86" s="11" t="s">
        <v>11</v>
      </c>
      <c r="D86" s="11" t="s">
        <v>93</v>
      </c>
      <c r="E86" s="6" t="s">
        <v>12</v>
      </c>
      <c r="F86" s="6" t="s">
        <v>223</v>
      </c>
      <c r="G86" s="27" t="s">
        <v>210</v>
      </c>
    </row>
    <row r="87" spans="1:7" s="1" customFormat="1" ht="45">
      <c r="A87" s="17">
        <v>84</v>
      </c>
      <c r="B87" s="11" t="s">
        <v>4</v>
      </c>
      <c r="C87" s="11" t="s">
        <v>11</v>
      </c>
      <c r="D87" s="11" t="s">
        <v>94</v>
      </c>
      <c r="E87" s="6" t="s">
        <v>18</v>
      </c>
      <c r="F87" s="6" t="s">
        <v>223</v>
      </c>
      <c r="G87" s="27" t="s">
        <v>210</v>
      </c>
    </row>
    <row r="88" spans="1:7" ht="45">
      <c r="A88" s="17">
        <v>85</v>
      </c>
      <c r="B88" s="17" t="s">
        <v>57</v>
      </c>
      <c r="C88" s="17" t="s">
        <v>5</v>
      </c>
      <c r="D88" s="17" t="s">
        <v>17</v>
      </c>
      <c r="E88" s="19" t="s">
        <v>102</v>
      </c>
      <c r="F88" s="19" t="s">
        <v>242</v>
      </c>
      <c r="G88" s="17" t="s">
        <v>210</v>
      </c>
    </row>
    <row r="89" spans="1:7" ht="60">
      <c r="A89" s="17">
        <v>86</v>
      </c>
      <c r="B89" s="17" t="s">
        <v>10</v>
      </c>
      <c r="C89" s="17" t="s">
        <v>5</v>
      </c>
      <c r="D89" s="17" t="s">
        <v>95</v>
      </c>
      <c r="E89" s="19" t="s">
        <v>244</v>
      </c>
      <c r="F89" s="19" t="s">
        <v>290</v>
      </c>
      <c r="G89" s="17" t="s">
        <v>210</v>
      </c>
    </row>
    <row r="90" spans="1:7" s="1" customFormat="1" ht="90">
      <c r="A90" s="17">
        <v>87</v>
      </c>
      <c r="B90" s="11" t="s">
        <v>8</v>
      </c>
      <c r="C90" s="11" t="s">
        <v>21</v>
      </c>
      <c r="D90" s="11" t="s">
        <v>93</v>
      </c>
      <c r="E90" s="6" t="s">
        <v>150</v>
      </c>
      <c r="F90" s="6" t="s">
        <v>226</v>
      </c>
      <c r="G90" s="27" t="s">
        <v>210</v>
      </c>
    </row>
    <row r="91" spans="1:7" ht="45">
      <c r="A91" s="17">
        <v>88</v>
      </c>
      <c r="B91" s="17" t="s">
        <v>6</v>
      </c>
      <c r="C91" s="17" t="s">
        <v>87</v>
      </c>
      <c r="D91" s="17" t="s">
        <v>96</v>
      </c>
      <c r="E91" s="19" t="s">
        <v>102</v>
      </c>
      <c r="F91" s="19" t="s">
        <v>242</v>
      </c>
      <c r="G91" s="17" t="s">
        <v>210</v>
      </c>
    </row>
    <row r="92" spans="1:7" s="1" customFormat="1" ht="45">
      <c r="A92" s="17">
        <v>89</v>
      </c>
      <c r="B92" s="11" t="s">
        <v>4</v>
      </c>
      <c r="C92" s="11" t="s">
        <v>11</v>
      </c>
      <c r="D92" s="11" t="s">
        <v>93</v>
      </c>
      <c r="E92" s="6" t="s">
        <v>18</v>
      </c>
      <c r="F92" s="6" t="s">
        <v>223</v>
      </c>
      <c r="G92" s="27" t="s">
        <v>210</v>
      </c>
    </row>
    <row r="93" spans="1:7" s="1" customFormat="1" ht="45">
      <c r="A93" s="17">
        <v>90</v>
      </c>
      <c r="B93" s="11" t="s">
        <v>4</v>
      </c>
      <c r="C93" s="11" t="s">
        <v>11</v>
      </c>
      <c r="D93" s="11" t="s">
        <v>94</v>
      </c>
      <c r="E93" s="6" t="s">
        <v>18</v>
      </c>
      <c r="F93" s="6" t="s">
        <v>223</v>
      </c>
      <c r="G93" s="27" t="s">
        <v>210</v>
      </c>
    </row>
    <row r="94" spans="1:7" s="1" customFormat="1" ht="45">
      <c r="A94" s="17">
        <v>91</v>
      </c>
      <c r="B94" s="11" t="s">
        <v>13</v>
      </c>
      <c r="C94" s="11" t="s">
        <v>14</v>
      </c>
      <c r="D94" s="11" t="s">
        <v>94</v>
      </c>
      <c r="E94" s="6" t="s">
        <v>132</v>
      </c>
      <c r="F94" s="6" t="s">
        <v>220</v>
      </c>
      <c r="G94" s="27" t="s">
        <v>210</v>
      </c>
    </row>
    <row r="95" spans="1:7" ht="45">
      <c r="A95" s="17">
        <v>92</v>
      </c>
      <c r="B95" s="17" t="s">
        <v>10</v>
      </c>
      <c r="C95" s="17" t="s">
        <v>5</v>
      </c>
      <c r="D95" s="18">
        <v>44138</v>
      </c>
      <c r="E95" s="19" t="s">
        <v>243</v>
      </c>
      <c r="F95" s="19" t="s">
        <v>242</v>
      </c>
      <c r="G95" s="17" t="s">
        <v>210</v>
      </c>
    </row>
    <row r="96" spans="1:7" ht="45">
      <c r="A96" s="17">
        <v>93</v>
      </c>
      <c r="B96" s="17" t="s">
        <v>4</v>
      </c>
      <c r="C96" s="17" t="s">
        <v>5</v>
      </c>
      <c r="D96" s="18">
        <v>44077</v>
      </c>
      <c r="E96" s="19" t="s">
        <v>270</v>
      </c>
      <c r="F96" s="19" t="s">
        <v>242</v>
      </c>
      <c r="G96" s="17" t="s">
        <v>210</v>
      </c>
    </row>
    <row r="97" spans="1:7" s="1" customFormat="1" ht="45">
      <c r="A97" s="17">
        <v>94</v>
      </c>
      <c r="B97" s="11" t="s">
        <v>4</v>
      </c>
      <c r="C97" s="11" t="s">
        <v>11</v>
      </c>
      <c r="D97" s="11" t="s">
        <v>93</v>
      </c>
      <c r="E97" s="6" t="s">
        <v>18</v>
      </c>
      <c r="F97" s="6" t="s">
        <v>223</v>
      </c>
      <c r="G97" s="27" t="s">
        <v>210</v>
      </c>
    </row>
    <row r="98" spans="1:7" s="1" customFormat="1" ht="60">
      <c r="A98" s="17">
        <v>95</v>
      </c>
      <c r="B98" s="11" t="s">
        <v>15</v>
      </c>
      <c r="C98" s="11" t="s">
        <v>11</v>
      </c>
      <c r="D98" s="11" t="s">
        <v>93</v>
      </c>
      <c r="E98" s="6" t="s">
        <v>12</v>
      </c>
      <c r="F98" s="6" t="s">
        <v>223</v>
      </c>
      <c r="G98" s="27" t="s">
        <v>210</v>
      </c>
    </row>
    <row r="99" spans="1:7" s="1" customFormat="1" ht="75">
      <c r="A99" s="17">
        <v>96</v>
      </c>
      <c r="B99" s="11" t="s">
        <v>8</v>
      </c>
      <c r="C99" s="11" t="s">
        <v>21</v>
      </c>
      <c r="D99" s="11" t="s">
        <v>93</v>
      </c>
      <c r="E99" s="6" t="s">
        <v>154</v>
      </c>
      <c r="F99" s="6" t="s">
        <v>226</v>
      </c>
      <c r="G99" s="27" t="s">
        <v>210</v>
      </c>
    </row>
    <row r="100" spans="1:7" s="1" customFormat="1" ht="60">
      <c r="A100" s="17">
        <v>97</v>
      </c>
      <c r="B100" s="11" t="s">
        <v>4</v>
      </c>
      <c r="C100" s="11" t="s">
        <v>11</v>
      </c>
      <c r="D100" s="9">
        <v>44168</v>
      </c>
      <c r="E100" s="6" t="s">
        <v>83</v>
      </c>
      <c r="F100" s="6" t="s">
        <v>228</v>
      </c>
      <c r="G100" s="27" t="s">
        <v>210</v>
      </c>
    </row>
    <row r="101" spans="1:7" s="1" customFormat="1" ht="45">
      <c r="A101" s="17">
        <v>98</v>
      </c>
      <c r="B101" s="11" t="s">
        <v>8</v>
      </c>
      <c r="C101" s="11" t="s">
        <v>14</v>
      </c>
      <c r="D101" s="11" t="s">
        <v>94</v>
      </c>
      <c r="E101" s="6" t="s">
        <v>133</v>
      </c>
      <c r="F101" s="6" t="s">
        <v>220</v>
      </c>
      <c r="G101" s="27" t="s">
        <v>210</v>
      </c>
    </row>
    <row r="102" spans="1:7" s="1" customFormat="1" ht="45">
      <c r="A102" s="17">
        <v>99</v>
      </c>
      <c r="B102" s="11" t="s">
        <v>4</v>
      </c>
      <c r="C102" s="11" t="s">
        <v>11</v>
      </c>
      <c r="D102" s="11" t="s">
        <v>97</v>
      </c>
      <c r="E102" s="6" t="s">
        <v>82</v>
      </c>
      <c r="F102" s="6" t="s">
        <v>223</v>
      </c>
      <c r="G102" s="27" t="s">
        <v>210</v>
      </c>
    </row>
    <row r="103" spans="1:7" ht="45">
      <c r="A103" s="17">
        <v>100</v>
      </c>
      <c r="B103" s="17" t="s">
        <v>15</v>
      </c>
      <c r="C103" s="17" t="s">
        <v>5</v>
      </c>
      <c r="D103" s="17" t="s">
        <v>98</v>
      </c>
      <c r="E103" s="19" t="s">
        <v>102</v>
      </c>
      <c r="F103" s="19" t="s">
        <v>242</v>
      </c>
      <c r="G103" s="17" t="s">
        <v>210</v>
      </c>
    </row>
    <row r="104" spans="1:7" s="1" customFormat="1" ht="45">
      <c r="A104" s="17">
        <v>101</v>
      </c>
      <c r="B104" s="11" t="s">
        <v>15</v>
      </c>
      <c r="C104" s="11" t="s">
        <v>11</v>
      </c>
      <c r="D104" s="9">
        <v>44107</v>
      </c>
      <c r="E104" s="6" t="s">
        <v>18</v>
      </c>
      <c r="F104" s="6" t="s">
        <v>223</v>
      </c>
      <c r="G104" s="27" t="s">
        <v>210</v>
      </c>
    </row>
    <row r="105" spans="1:7" ht="60">
      <c r="A105" s="17">
        <v>102</v>
      </c>
      <c r="B105" s="17" t="s">
        <v>4</v>
      </c>
      <c r="C105" s="17" t="s">
        <v>5</v>
      </c>
      <c r="D105" s="17" t="s">
        <v>17</v>
      </c>
      <c r="E105" s="19" t="s">
        <v>280</v>
      </c>
      <c r="F105" s="19" t="s">
        <v>242</v>
      </c>
      <c r="G105" s="17" t="s">
        <v>210</v>
      </c>
    </row>
    <row r="106" spans="1:7" ht="90">
      <c r="A106" s="17">
        <v>103</v>
      </c>
      <c r="B106" s="17" t="s">
        <v>10</v>
      </c>
      <c r="C106" s="17" t="s">
        <v>87</v>
      </c>
      <c r="D106" s="18">
        <v>44107</v>
      </c>
      <c r="E106" s="19" t="s">
        <v>249</v>
      </c>
      <c r="F106" s="19" t="s">
        <v>242</v>
      </c>
      <c r="G106" s="17" t="s">
        <v>210</v>
      </c>
    </row>
    <row r="107" spans="1:7" s="1" customFormat="1" ht="60">
      <c r="A107" s="17">
        <v>104</v>
      </c>
      <c r="B107" s="11" t="s">
        <v>4</v>
      </c>
      <c r="C107" s="11" t="s">
        <v>21</v>
      </c>
      <c r="D107" s="9">
        <v>44015</v>
      </c>
      <c r="E107" s="6" t="s">
        <v>155</v>
      </c>
      <c r="F107" s="6" t="s">
        <v>227</v>
      </c>
      <c r="G107" s="27" t="s">
        <v>210</v>
      </c>
    </row>
    <row r="108" spans="1:7" s="1" customFormat="1" ht="45">
      <c r="A108" s="17">
        <v>105</v>
      </c>
      <c r="B108" s="11" t="s">
        <v>4</v>
      </c>
      <c r="C108" s="11" t="s">
        <v>11</v>
      </c>
      <c r="D108" s="11" t="s">
        <v>94</v>
      </c>
      <c r="E108" s="6" t="s">
        <v>18</v>
      </c>
      <c r="F108" s="6" t="s">
        <v>223</v>
      </c>
      <c r="G108" s="27" t="s">
        <v>210</v>
      </c>
    </row>
    <row r="109" spans="1:7" s="1" customFormat="1" ht="45">
      <c r="A109" s="17">
        <v>106</v>
      </c>
      <c r="B109" s="11" t="s">
        <v>27</v>
      </c>
      <c r="C109" s="11" t="s">
        <v>68</v>
      </c>
      <c r="D109" s="9">
        <v>44107</v>
      </c>
      <c r="E109" s="6" t="s">
        <v>146</v>
      </c>
      <c r="F109" s="6" t="s">
        <v>221</v>
      </c>
      <c r="G109" s="27" t="s">
        <v>210</v>
      </c>
    </row>
    <row r="110" spans="1:7" s="1" customFormat="1" ht="45">
      <c r="A110" s="17">
        <v>107</v>
      </c>
      <c r="B110" s="11" t="s">
        <v>4</v>
      </c>
      <c r="C110" s="11" t="s">
        <v>11</v>
      </c>
      <c r="D110" s="11" t="s">
        <v>93</v>
      </c>
      <c r="E110" s="6" t="s">
        <v>82</v>
      </c>
      <c r="F110" s="6" t="s">
        <v>223</v>
      </c>
      <c r="G110" s="27" t="s">
        <v>210</v>
      </c>
    </row>
    <row r="111" spans="1:7" ht="45">
      <c r="A111" s="17">
        <v>108</v>
      </c>
      <c r="B111" s="17" t="s">
        <v>15</v>
      </c>
      <c r="C111" s="17" t="s">
        <v>5</v>
      </c>
      <c r="D111" s="18">
        <v>44077</v>
      </c>
      <c r="E111" s="19" t="s">
        <v>281</v>
      </c>
      <c r="F111" s="19" t="s">
        <v>242</v>
      </c>
      <c r="G111" s="17" t="s">
        <v>210</v>
      </c>
    </row>
    <row r="112" spans="1:7" s="1" customFormat="1" ht="60">
      <c r="A112" s="17">
        <v>109</v>
      </c>
      <c r="B112" s="11" t="s">
        <v>99</v>
      </c>
      <c r="C112" s="11" t="s">
        <v>100</v>
      </c>
      <c r="D112" s="11" t="s">
        <v>93</v>
      </c>
      <c r="E112" s="6" t="s">
        <v>12</v>
      </c>
      <c r="F112" s="6" t="s">
        <v>223</v>
      </c>
      <c r="G112" s="27" t="s">
        <v>210</v>
      </c>
    </row>
    <row r="113" spans="1:7" s="1" customFormat="1" ht="45">
      <c r="A113" s="17">
        <v>110</v>
      </c>
      <c r="B113" s="11" t="s">
        <v>15</v>
      </c>
      <c r="C113" s="11" t="s">
        <v>11</v>
      </c>
      <c r="D113" s="11" t="s">
        <v>93</v>
      </c>
      <c r="E113" s="6" t="s">
        <v>18</v>
      </c>
      <c r="F113" s="6" t="s">
        <v>223</v>
      </c>
      <c r="G113" s="27" t="s">
        <v>210</v>
      </c>
    </row>
    <row r="114" spans="1:7" s="1" customFormat="1" ht="105">
      <c r="A114" s="17">
        <v>111</v>
      </c>
      <c r="B114" s="11" t="s">
        <v>8</v>
      </c>
      <c r="C114" s="11" t="s">
        <v>101</v>
      </c>
      <c r="D114" s="11" t="s">
        <v>93</v>
      </c>
      <c r="E114" s="6" t="s">
        <v>156</v>
      </c>
      <c r="F114" s="6" t="s">
        <v>226</v>
      </c>
      <c r="G114" s="27" t="s">
        <v>210</v>
      </c>
    </row>
    <row r="115" spans="1:7" ht="45">
      <c r="A115" s="17">
        <v>112</v>
      </c>
      <c r="B115" s="17" t="s">
        <v>4</v>
      </c>
      <c r="C115" s="17" t="s">
        <v>5</v>
      </c>
      <c r="D115" s="18">
        <v>44138</v>
      </c>
      <c r="E115" s="19" t="s">
        <v>102</v>
      </c>
      <c r="F115" s="19" t="s">
        <v>242</v>
      </c>
      <c r="G115" s="17" t="s">
        <v>210</v>
      </c>
    </row>
    <row r="116" spans="1:7" s="1" customFormat="1" ht="60">
      <c r="A116" s="17">
        <v>113</v>
      </c>
      <c r="B116" s="11" t="s">
        <v>4</v>
      </c>
      <c r="C116" s="11" t="s">
        <v>11</v>
      </c>
      <c r="D116" s="11" t="s">
        <v>94</v>
      </c>
      <c r="E116" s="6" t="s">
        <v>83</v>
      </c>
      <c r="F116" s="6" t="s">
        <v>228</v>
      </c>
      <c r="G116" s="27" t="s">
        <v>210</v>
      </c>
    </row>
    <row r="117" spans="1:7" ht="75">
      <c r="A117" s="17">
        <v>114</v>
      </c>
      <c r="B117" s="17" t="s">
        <v>103</v>
      </c>
      <c r="C117" s="17" t="s">
        <v>5</v>
      </c>
      <c r="D117" s="18">
        <v>44138</v>
      </c>
      <c r="E117" s="19" t="s">
        <v>239</v>
      </c>
      <c r="F117" s="19" t="s">
        <v>237</v>
      </c>
      <c r="G117" s="17" t="s">
        <v>210</v>
      </c>
    </row>
    <row r="118" spans="1:7" ht="45">
      <c r="A118" s="17">
        <v>115</v>
      </c>
      <c r="B118" s="17" t="s">
        <v>4</v>
      </c>
      <c r="C118" s="17" t="s">
        <v>5</v>
      </c>
      <c r="D118" s="17" t="s">
        <v>104</v>
      </c>
      <c r="E118" s="19" t="s">
        <v>102</v>
      </c>
      <c r="F118" s="19" t="s">
        <v>242</v>
      </c>
      <c r="G118" s="17" t="s">
        <v>210</v>
      </c>
    </row>
    <row r="119" spans="1:7" ht="60">
      <c r="A119" s="17">
        <v>116</v>
      </c>
      <c r="B119" s="17" t="s">
        <v>4</v>
      </c>
      <c r="C119" s="17" t="s">
        <v>5</v>
      </c>
      <c r="D119" s="17" t="s">
        <v>105</v>
      </c>
      <c r="E119" s="19" t="s">
        <v>280</v>
      </c>
      <c r="F119" s="19" t="s">
        <v>242</v>
      </c>
      <c r="G119" s="17" t="s">
        <v>210</v>
      </c>
    </row>
    <row r="120" spans="1:7" s="1" customFormat="1" ht="60">
      <c r="A120" s="17">
        <v>117</v>
      </c>
      <c r="B120" s="11" t="s">
        <v>4</v>
      </c>
      <c r="C120" s="11" t="s">
        <v>11</v>
      </c>
      <c r="D120" s="11" t="s">
        <v>106</v>
      </c>
      <c r="E120" s="6" t="s">
        <v>12</v>
      </c>
      <c r="F120" s="6" t="s">
        <v>223</v>
      </c>
      <c r="G120" s="27" t="s">
        <v>210</v>
      </c>
    </row>
    <row r="121" spans="1:7" s="1" customFormat="1" ht="45">
      <c r="A121" s="17">
        <v>118</v>
      </c>
      <c r="B121" s="11" t="s">
        <v>4</v>
      </c>
      <c r="C121" s="11" t="s">
        <v>11</v>
      </c>
      <c r="D121" s="11" t="s">
        <v>94</v>
      </c>
      <c r="E121" s="6" t="s">
        <v>18</v>
      </c>
      <c r="F121" s="6" t="s">
        <v>223</v>
      </c>
      <c r="G121" s="27" t="s">
        <v>210</v>
      </c>
    </row>
    <row r="122" spans="1:7" s="1" customFormat="1" ht="45">
      <c r="A122" s="17">
        <v>119</v>
      </c>
      <c r="B122" s="11" t="s">
        <v>8</v>
      </c>
      <c r="C122" s="11" t="s">
        <v>14</v>
      </c>
      <c r="D122" s="11" t="s">
        <v>107</v>
      </c>
      <c r="E122" s="6" t="s">
        <v>134</v>
      </c>
      <c r="F122" s="6" t="s">
        <v>220</v>
      </c>
      <c r="G122" s="27" t="s">
        <v>210</v>
      </c>
    </row>
    <row r="123" spans="1:7" ht="45">
      <c r="A123" s="17">
        <v>120</v>
      </c>
      <c r="B123" s="17" t="s">
        <v>4</v>
      </c>
      <c r="C123" s="17" t="s">
        <v>5</v>
      </c>
      <c r="D123" s="17" t="s">
        <v>17</v>
      </c>
      <c r="E123" s="19" t="s">
        <v>281</v>
      </c>
      <c r="F123" s="19" t="s">
        <v>242</v>
      </c>
      <c r="G123" s="17" t="s">
        <v>210</v>
      </c>
    </row>
    <row r="124" spans="1:7" s="1" customFormat="1" ht="105">
      <c r="A124" s="17">
        <v>121</v>
      </c>
      <c r="B124" s="11" t="s">
        <v>92</v>
      </c>
      <c r="C124" s="11" t="s">
        <v>21</v>
      </c>
      <c r="D124" s="11" t="s">
        <v>94</v>
      </c>
      <c r="E124" s="6" t="s">
        <v>153</v>
      </c>
      <c r="F124" s="6" t="s">
        <v>226</v>
      </c>
      <c r="G124" s="27" t="s">
        <v>210</v>
      </c>
    </row>
    <row r="125" spans="1:7" ht="45">
      <c r="A125" s="17">
        <v>122</v>
      </c>
      <c r="B125" s="17" t="s">
        <v>108</v>
      </c>
      <c r="C125" s="17" t="s">
        <v>5</v>
      </c>
      <c r="D125" s="18">
        <v>44107</v>
      </c>
      <c r="E125" s="19" t="s">
        <v>102</v>
      </c>
      <c r="F125" s="19" t="s">
        <v>242</v>
      </c>
      <c r="G125" s="17" t="s">
        <v>210</v>
      </c>
    </row>
    <row r="126" spans="1:7" ht="45">
      <c r="A126" s="17">
        <v>123</v>
      </c>
      <c r="B126" s="17" t="s">
        <v>4</v>
      </c>
      <c r="C126" s="17" t="s">
        <v>5</v>
      </c>
      <c r="D126" s="18">
        <v>44138</v>
      </c>
      <c r="E126" s="19" t="s">
        <v>102</v>
      </c>
      <c r="F126" s="19" t="s">
        <v>242</v>
      </c>
      <c r="G126" s="17" t="s">
        <v>210</v>
      </c>
    </row>
    <row r="127" spans="1:7" ht="60">
      <c r="A127" s="17">
        <v>124</v>
      </c>
      <c r="B127" s="17" t="s">
        <v>10</v>
      </c>
      <c r="C127" s="17" t="s">
        <v>5</v>
      </c>
      <c r="D127" s="17" t="s">
        <v>106</v>
      </c>
      <c r="E127" s="19" t="s">
        <v>244</v>
      </c>
      <c r="F127" s="19" t="s">
        <v>290</v>
      </c>
      <c r="G127" s="17" t="s">
        <v>210</v>
      </c>
    </row>
    <row r="128" spans="1:7" ht="45">
      <c r="A128" s="17">
        <v>125</v>
      </c>
      <c r="B128" s="17" t="s">
        <v>15</v>
      </c>
      <c r="C128" s="17" t="s">
        <v>5</v>
      </c>
      <c r="D128" s="18">
        <v>44107</v>
      </c>
      <c r="E128" s="19" t="s">
        <v>102</v>
      </c>
      <c r="F128" s="19" t="s">
        <v>242</v>
      </c>
      <c r="G128" s="17" t="s">
        <v>210</v>
      </c>
    </row>
    <row r="129" spans="1:7" ht="45">
      <c r="A129" s="17">
        <v>126</v>
      </c>
      <c r="B129" s="17" t="s">
        <v>4</v>
      </c>
      <c r="C129" s="17" t="s">
        <v>5</v>
      </c>
      <c r="D129" s="18">
        <v>43985</v>
      </c>
      <c r="E129" s="19" t="s">
        <v>281</v>
      </c>
      <c r="F129" s="19" t="s">
        <v>242</v>
      </c>
      <c r="G129" s="17" t="s">
        <v>210</v>
      </c>
    </row>
    <row r="130" spans="1:7" s="1" customFormat="1" ht="75">
      <c r="A130" s="17">
        <v>127</v>
      </c>
      <c r="B130" s="11" t="s">
        <v>8</v>
      </c>
      <c r="C130" s="11" t="s">
        <v>14</v>
      </c>
      <c r="D130" s="11" t="s">
        <v>109</v>
      </c>
      <c r="E130" s="6" t="s">
        <v>135</v>
      </c>
      <c r="F130" s="6" t="s">
        <v>220</v>
      </c>
      <c r="G130" s="27" t="s">
        <v>210</v>
      </c>
    </row>
    <row r="131" spans="1:7" ht="45">
      <c r="A131" s="17">
        <v>128</v>
      </c>
      <c r="B131" s="17" t="s">
        <v>110</v>
      </c>
      <c r="C131" s="17" t="s">
        <v>5</v>
      </c>
      <c r="D131" s="17" t="s">
        <v>111</v>
      </c>
      <c r="E131" s="19" t="s">
        <v>253</v>
      </c>
      <c r="F131" s="19" t="s">
        <v>242</v>
      </c>
      <c r="G131" s="17" t="s">
        <v>210</v>
      </c>
    </row>
    <row r="132" spans="1:7" ht="45">
      <c r="A132" s="17">
        <v>129</v>
      </c>
      <c r="B132" s="17" t="s">
        <v>4</v>
      </c>
      <c r="C132" s="17" t="s">
        <v>5</v>
      </c>
      <c r="D132" s="18">
        <v>44015</v>
      </c>
      <c r="E132" s="19" t="s">
        <v>270</v>
      </c>
      <c r="F132" s="19" t="s">
        <v>242</v>
      </c>
      <c r="G132" s="17" t="s">
        <v>210</v>
      </c>
    </row>
    <row r="133" spans="1:7" s="1" customFormat="1" ht="60">
      <c r="A133" s="17">
        <v>130</v>
      </c>
      <c r="B133" s="11" t="s">
        <v>4</v>
      </c>
      <c r="C133" s="11" t="s">
        <v>100</v>
      </c>
      <c r="D133" s="11" t="s">
        <v>106</v>
      </c>
      <c r="E133" s="6" t="s">
        <v>12</v>
      </c>
      <c r="F133" s="6" t="s">
        <v>223</v>
      </c>
      <c r="G133" s="27" t="s">
        <v>210</v>
      </c>
    </row>
    <row r="134" spans="1:7" s="1" customFormat="1" ht="75">
      <c r="A134" s="17">
        <v>131</v>
      </c>
      <c r="B134" s="11" t="s">
        <v>8</v>
      </c>
      <c r="C134" s="11" t="s">
        <v>21</v>
      </c>
      <c r="D134" s="11" t="s">
        <v>94</v>
      </c>
      <c r="E134" s="6" t="s">
        <v>154</v>
      </c>
      <c r="F134" s="6" t="s">
        <v>226</v>
      </c>
      <c r="G134" s="27" t="s">
        <v>210</v>
      </c>
    </row>
    <row r="135" spans="1:7" s="1" customFormat="1" ht="45">
      <c r="A135" s="17">
        <v>132</v>
      </c>
      <c r="B135" s="11" t="s">
        <v>4</v>
      </c>
      <c r="C135" s="11" t="s">
        <v>11</v>
      </c>
      <c r="D135" s="11" t="s">
        <v>93</v>
      </c>
      <c r="E135" s="6" t="s">
        <v>18</v>
      </c>
      <c r="F135" s="6" t="s">
        <v>223</v>
      </c>
      <c r="G135" s="27" t="s">
        <v>210</v>
      </c>
    </row>
    <row r="136" spans="1:7" ht="75">
      <c r="A136" s="17">
        <v>133</v>
      </c>
      <c r="B136" s="17" t="s">
        <v>4</v>
      </c>
      <c r="C136" s="17" t="s">
        <v>5</v>
      </c>
      <c r="D136" s="18">
        <v>44046</v>
      </c>
      <c r="E136" s="19" t="s">
        <v>282</v>
      </c>
      <c r="F136" s="19" t="s">
        <v>242</v>
      </c>
      <c r="G136" s="17" t="s">
        <v>210</v>
      </c>
    </row>
    <row r="137" spans="1:7" s="1" customFormat="1" ht="60">
      <c r="A137" s="17">
        <v>134</v>
      </c>
      <c r="B137" s="11" t="s">
        <v>4</v>
      </c>
      <c r="C137" s="11" t="s">
        <v>11</v>
      </c>
      <c r="D137" s="11" t="s">
        <v>112</v>
      </c>
      <c r="E137" s="6" t="s">
        <v>12</v>
      </c>
      <c r="F137" s="6" t="s">
        <v>223</v>
      </c>
      <c r="G137" s="27" t="s">
        <v>210</v>
      </c>
    </row>
    <row r="138" spans="1:7" ht="45">
      <c r="A138" s="17">
        <v>135</v>
      </c>
      <c r="B138" s="17" t="s">
        <v>15</v>
      </c>
      <c r="C138" s="17" t="s">
        <v>5</v>
      </c>
      <c r="D138" s="17" t="s">
        <v>93</v>
      </c>
      <c r="E138" s="19" t="s">
        <v>102</v>
      </c>
      <c r="F138" s="19" t="s">
        <v>242</v>
      </c>
      <c r="G138" s="17" t="s">
        <v>210</v>
      </c>
    </row>
    <row r="139" spans="1:7" ht="60">
      <c r="A139" s="17">
        <v>136</v>
      </c>
      <c r="B139" s="17" t="s">
        <v>20</v>
      </c>
      <c r="C139" s="17" t="s">
        <v>5</v>
      </c>
      <c r="D139" s="17" t="s">
        <v>97</v>
      </c>
      <c r="E139" s="19" t="s">
        <v>254</v>
      </c>
      <c r="F139" s="19" t="s">
        <v>242</v>
      </c>
      <c r="G139" s="17" t="s">
        <v>210</v>
      </c>
    </row>
    <row r="140" spans="1:7" s="1" customFormat="1" ht="105">
      <c r="A140" s="17">
        <v>137</v>
      </c>
      <c r="B140" s="11" t="s">
        <v>8</v>
      </c>
      <c r="C140" s="11" t="s">
        <v>101</v>
      </c>
      <c r="D140" s="11" t="s">
        <v>94</v>
      </c>
      <c r="E140" s="6" t="s">
        <v>152</v>
      </c>
      <c r="F140" s="6" t="s">
        <v>226</v>
      </c>
      <c r="G140" s="27" t="s">
        <v>210</v>
      </c>
    </row>
    <row r="141" spans="1:7" s="1" customFormat="1" ht="45">
      <c r="A141" s="17">
        <v>138</v>
      </c>
      <c r="B141" s="11" t="s">
        <v>4</v>
      </c>
      <c r="C141" s="11" t="s">
        <v>11</v>
      </c>
      <c r="D141" s="11" t="s">
        <v>93</v>
      </c>
      <c r="E141" s="6" t="s">
        <v>18</v>
      </c>
      <c r="F141" s="6" t="s">
        <v>223</v>
      </c>
      <c r="G141" s="27" t="s">
        <v>210</v>
      </c>
    </row>
    <row r="142" spans="1:7" ht="75">
      <c r="A142" s="17">
        <v>139</v>
      </c>
      <c r="B142" s="17" t="s">
        <v>10</v>
      </c>
      <c r="C142" s="17" t="s">
        <v>5</v>
      </c>
      <c r="D142" s="18">
        <v>43900</v>
      </c>
      <c r="E142" s="19" t="s">
        <v>238</v>
      </c>
      <c r="F142" s="19" t="s">
        <v>237</v>
      </c>
      <c r="G142" s="17" t="s">
        <v>210</v>
      </c>
    </row>
    <row r="143" spans="1:7" ht="75">
      <c r="A143" s="17">
        <v>140</v>
      </c>
      <c r="B143" s="17" t="s">
        <v>10</v>
      </c>
      <c r="C143" s="17" t="s">
        <v>5</v>
      </c>
      <c r="D143" s="18">
        <v>43899</v>
      </c>
      <c r="E143" s="19" t="s">
        <v>238</v>
      </c>
      <c r="F143" s="19" t="s">
        <v>237</v>
      </c>
      <c r="G143" s="17" t="s">
        <v>210</v>
      </c>
    </row>
    <row r="144" spans="1:7" s="1" customFormat="1" ht="60">
      <c r="A144" s="17">
        <v>141</v>
      </c>
      <c r="B144" s="11" t="s">
        <v>4</v>
      </c>
      <c r="C144" s="11" t="s">
        <v>11</v>
      </c>
      <c r="D144" s="9">
        <v>43879</v>
      </c>
      <c r="E144" s="6" t="s">
        <v>12</v>
      </c>
      <c r="F144" s="6" t="s">
        <v>223</v>
      </c>
      <c r="G144" s="27" t="s">
        <v>210</v>
      </c>
    </row>
    <row r="145" spans="1:7" ht="60">
      <c r="A145" s="17">
        <v>142</v>
      </c>
      <c r="B145" s="17" t="s">
        <v>10</v>
      </c>
      <c r="C145" s="17" t="s">
        <v>5</v>
      </c>
      <c r="D145" s="18">
        <v>43901</v>
      </c>
      <c r="E145" s="19" t="s">
        <v>280</v>
      </c>
      <c r="F145" s="19" t="s">
        <v>242</v>
      </c>
      <c r="G145" s="17" t="s">
        <v>210</v>
      </c>
    </row>
    <row r="146" spans="1:7" ht="75">
      <c r="A146" s="17">
        <v>143</v>
      </c>
      <c r="B146" s="17" t="s">
        <v>10</v>
      </c>
      <c r="C146" s="17" t="s">
        <v>5</v>
      </c>
      <c r="D146" s="18">
        <v>43907</v>
      </c>
      <c r="E146" s="19" t="s">
        <v>250</v>
      </c>
      <c r="F146" s="19" t="s">
        <v>290</v>
      </c>
      <c r="G146" s="17" t="s">
        <v>210</v>
      </c>
    </row>
    <row r="147" spans="1:7" s="1" customFormat="1" ht="60">
      <c r="A147" s="17">
        <v>144</v>
      </c>
      <c r="B147" s="11" t="s">
        <v>4</v>
      </c>
      <c r="C147" s="11" t="s">
        <v>11</v>
      </c>
      <c r="D147" s="9">
        <v>43908</v>
      </c>
      <c r="E147" s="6" t="s">
        <v>12</v>
      </c>
      <c r="F147" s="6" t="s">
        <v>223</v>
      </c>
      <c r="G147" s="27" t="s">
        <v>210</v>
      </c>
    </row>
    <row r="148" spans="1:7" s="1" customFormat="1" ht="60">
      <c r="A148" s="17">
        <v>145</v>
      </c>
      <c r="B148" s="11" t="s">
        <v>4</v>
      </c>
      <c r="C148" s="11" t="s">
        <v>11</v>
      </c>
      <c r="D148" s="9">
        <v>43907</v>
      </c>
      <c r="E148" s="6" t="s">
        <v>12</v>
      </c>
      <c r="F148" s="6" t="s">
        <v>223</v>
      </c>
      <c r="G148" s="27" t="s">
        <v>210</v>
      </c>
    </row>
    <row r="149" spans="1:7" ht="45">
      <c r="A149" s="17">
        <v>146</v>
      </c>
      <c r="B149" s="17" t="s">
        <v>4</v>
      </c>
      <c r="C149" s="17" t="s">
        <v>5</v>
      </c>
      <c r="D149" s="18">
        <v>43900</v>
      </c>
      <c r="E149" s="19" t="s">
        <v>102</v>
      </c>
      <c r="F149" s="19" t="s">
        <v>242</v>
      </c>
      <c r="G149" s="17" t="s">
        <v>210</v>
      </c>
    </row>
    <row r="150" spans="1:7" ht="45">
      <c r="A150" s="17">
        <v>147</v>
      </c>
      <c r="B150" s="17" t="s">
        <v>4</v>
      </c>
      <c r="C150" s="17" t="s">
        <v>5</v>
      </c>
      <c r="D150" s="18">
        <v>43900</v>
      </c>
      <c r="E150" s="19" t="s">
        <v>270</v>
      </c>
      <c r="F150" s="19" t="s">
        <v>242</v>
      </c>
      <c r="G150" s="17" t="s">
        <v>210</v>
      </c>
    </row>
    <row r="151" spans="1:7" s="1" customFormat="1" ht="45">
      <c r="A151" s="17">
        <v>148</v>
      </c>
      <c r="B151" s="11" t="s">
        <v>8</v>
      </c>
      <c r="C151" s="11" t="s">
        <v>14</v>
      </c>
      <c r="D151" s="9">
        <v>43893</v>
      </c>
      <c r="E151" s="6" t="s">
        <v>136</v>
      </c>
      <c r="F151" s="6" t="s">
        <v>220</v>
      </c>
      <c r="G151" s="27" t="s">
        <v>210</v>
      </c>
    </row>
    <row r="152" spans="1:7" s="1" customFormat="1" ht="45">
      <c r="A152" s="17">
        <v>149</v>
      </c>
      <c r="B152" s="11" t="s">
        <v>4</v>
      </c>
      <c r="C152" s="11" t="s">
        <v>11</v>
      </c>
      <c r="D152" s="9">
        <v>43904</v>
      </c>
      <c r="E152" s="6" t="s">
        <v>82</v>
      </c>
      <c r="F152" s="6" t="s">
        <v>223</v>
      </c>
      <c r="G152" s="27" t="s">
        <v>210</v>
      </c>
    </row>
    <row r="153" spans="1:7" ht="45">
      <c r="A153" s="17">
        <v>150</v>
      </c>
      <c r="B153" s="17" t="s">
        <v>10</v>
      </c>
      <c r="C153" s="17" t="s">
        <v>5</v>
      </c>
      <c r="D153" s="18">
        <v>43918</v>
      </c>
      <c r="E153" s="19" t="s">
        <v>291</v>
      </c>
      <c r="F153" s="19" t="s">
        <v>292</v>
      </c>
      <c r="G153" s="17" t="s">
        <v>210</v>
      </c>
    </row>
    <row r="154" spans="1:7" ht="45">
      <c r="A154" s="17">
        <v>151</v>
      </c>
      <c r="B154" s="17" t="s">
        <v>4</v>
      </c>
      <c r="C154" s="17" t="s">
        <v>5</v>
      </c>
      <c r="D154" s="18">
        <v>43879</v>
      </c>
      <c r="E154" s="19" t="s">
        <v>102</v>
      </c>
      <c r="F154" s="19" t="s">
        <v>242</v>
      </c>
      <c r="G154" s="17" t="s">
        <v>210</v>
      </c>
    </row>
    <row r="155" spans="1:7" s="1" customFormat="1" ht="45">
      <c r="A155" s="17">
        <v>152</v>
      </c>
      <c r="B155" s="11" t="s">
        <v>4</v>
      </c>
      <c r="C155" s="11" t="s">
        <v>11</v>
      </c>
      <c r="D155" s="9">
        <v>43904</v>
      </c>
      <c r="E155" s="6" t="s">
        <v>18</v>
      </c>
      <c r="F155" s="6" t="s">
        <v>223</v>
      </c>
      <c r="G155" s="27" t="s">
        <v>210</v>
      </c>
    </row>
    <row r="156" spans="1:7" s="1" customFormat="1" ht="60">
      <c r="A156" s="17">
        <v>153</v>
      </c>
      <c r="B156" s="11" t="s">
        <v>4</v>
      </c>
      <c r="C156" s="11" t="s">
        <v>11</v>
      </c>
      <c r="D156" s="9">
        <v>43901</v>
      </c>
      <c r="E156" s="6" t="s">
        <v>12</v>
      </c>
      <c r="F156" s="6" t="s">
        <v>223</v>
      </c>
      <c r="G156" s="27" t="s">
        <v>210</v>
      </c>
    </row>
    <row r="157" spans="1:7" ht="45">
      <c r="A157" s="17">
        <v>154</v>
      </c>
      <c r="B157" s="17" t="s">
        <v>10</v>
      </c>
      <c r="C157" s="17" t="s">
        <v>5</v>
      </c>
      <c r="D157" s="18">
        <v>43917</v>
      </c>
      <c r="E157" s="19" t="s">
        <v>291</v>
      </c>
      <c r="F157" s="19" t="s">
        <v>292</v>
      </c>
      <c r="G157" s="17" t="s">
        <v>210</v>
      </c>
    </row>
    <row r="158" spans="1:7" ht="45">
      <c r="A158" s="17">
        <v>155</v>
      </c>
      <c r="B158" s="17" t="s">
        <v>7</v>
      </c>
      <c r="C158" s="17" t="s">
        <v>5</v>
      </c>
      <c r="D158" s="18">
        <v>43900</v>
      </c>
      <c r="E158" s="19" t="s">
        <v>102</v>
      </c>
      <c r="F158" s="19" t="s">
        <v>242</v>
      </c>
      <c r="G158" s="17" t="s">
        <v>210</v>
      </c>
    </row>
    <row r="159" spans="1:7" s="1" customFormat="1" ht="45">
      <c r="A159" s="17">
        <v>156</v>
      </c>
      <c r="B159" s="11" t="s">
        <v>4</v>
      </c>
      <c r="C159" s="11" t="s">
        <v>11</v>
      </c>
      <c r="D159" s="9">
        <v>43903</v>
      </c>
      <c r="E159" s="6" t="s">
        <v>18</v>
      </c>
      <c r="F159" s="6" t="s">
        <v>223</v>
      </c>
      <c r="G159" s="27" t="s">
        <v>210</v>
      </c>
    </row>
    <row r="160" spans="1:7" s="1" customFormat="1" ht="45">
      <c r="A160" s="17">
        <v>157</v>
      </c>
      <c r="B160" s="11" t="s">
        <v>8</v>
      </c>
      <c r="C160" s="11" t="s">
        <v>14</v>
      </c>
      <c r="D160" s="9">
        <v>43892</v>
      </c>
      <c r="E160" s="6" t="s">
        <v>132</v>
      </c>
      <c r="F160" s="6" t="s">
        <v>220</v>
      </c>
      <c r="G160" s="27" t="s">
        <v>210</v>
      </c>
    </row>
    <row r="161" spans="1:7" s="1" customFormat="1" ht="60">
      <c r="A161" s="17">
        <v>158</v>
      </c>
      <c r="B161" s="11" t="s">
        <v>4</v>
      </c>
      <c r="C161" s="11" t="s">
        <v>11</v>
      </c>
      <c r="D161" s="9">
        <v>43908</v>
      </c>
      <c r="E161" s="6" t="s">
        <v>12</v>
      </c>
      <c r="F161" s="6" t="s">
        <v>223</v>
      </c>
      <c r="G161" s="27" t="s">
        <v>210</v>
      </c>
    </row>
    <row r="162" spans="1:7" s="1" customFormat="1" ht="60">
      <c r="A162" s="17">
        <v>159</v>
      </c>
      <c r="B162" s="11" t="s">
        <v>4</v>
      </c>
      <c r="C162" s="11" t="s">
        <v>11</v>
      </c>
      <c r="D162" s="9">
        <v>43904</v>
      </c>
      <c r="E162" s="6" t="s">
        <v>12</v>
      </c>
      <c r="F162" s="6" t="s">
        <v>223</v>
      </c>
      <c r="G162" s="27" t="s">
        <v>210</v>
      </c>
    </row>
    <row r="163" spans="1:7" s="1" customFormat="1" ht="60">
      <c r="A163" s="17">
        <v>160</v>
      </c>
      <c r="B163" s="11" t="s">
        <v>4</v>
      </c>
      <c r="C163" s="11" t="s">
        <v>11</v>
      </c>
      <c r="D163" s="9">
        <v>43872</v>
      </c>
      <c r="E163" s="6" t="s">
        <v>12</v>
      </c>
      <c r="F163" s="6" t="s">
        <v>223</v>
      </c>
      <c r="G163" s="27" t="s">
        <v>210</v>
      </c>
    </row>
    <row r="164" spans="1:7" s="1" customFormat="1" ht="60">
      <c r="A164" s="17">
        <v>161</v>
      </c>
      <c r="B164" s="11" t="s">
        <v>4</v>
      </c>
      <c r="C164" s="11" t="s">
        <v>11</v>
      </c>
      <c r="D164" s="9">
        <v>43904</v>
      </c>
      <c r="E164" s="6" t="s">
        <v>83</v>
      </c>
      <c r="F164" s="6" t="s">
        <v>228</v>
      </c>
      <c r="G164" s="27" t="s">
        <v>210</v>
      </c>
    </row>
    <row r="165" spans="1:7" ht="75">
      <c r="A165" s="17">
        <v>162</v>
      </c>
      <c r="B165" s="17" t="s">
        <v>10</v>
      </c>
      <c r="C165" s="17" t="s">
        <v>5</v>
      </c>
      <c r="D165" s="18">
        <v>43907</v>
      </c>
      <c r="E165" s="19" t="s">
        <v>255</v>
      </c>
      <c r="F165" s="19" t="s">
        <v>242</v>
      </c>
      <c r="G165" s="17" t="s">
        <v>210</v>
      </c>
    </row>
    <row r="166" spans="1:7" ht="60">
      <c r="A166" s="17">
        <v>163</v>
      </c>
      <c r="B166" s="17" t="s">
        <v>4</v>
      </c>
      <c r="C166" s="17" t="s">
        <v>5</v>
      </c>
      <c r="D166" s="18">
        <v>43899</v>
      </c>
      <c r="E166" s="19" t="s">
        <v>271</v>
      </c>
      <c r="F166" s="19" t="s">
        <v>290</v>
      </c>
      <c r="G166" s="17" t="s">
        <v>210</v>
      </c>
    </row>
    <row r="167" spans="1:7" s="1" customFormat="1" ht="60">
      <c r="A167" s="17">
        <v>164</v>
      </c>
      <c r="B167" s="11" t="s">
        <v>4</v>
      </c>
      <c r="C167" s="11" t="s">
        <v>11</v>
      </c>
      <c r="D167" s="9">
        <v>43907</v>
      </c>
      <c r="E167" s="6" t="s">
        <v>12</v>
      </c>
      <c r="F167" s="6" t="s">
        <v>223</v>
      </c>
      <c r="G167" s="27" t="s">
        <v>210</v>
      </c>
    </row>
    <row r="168" spans="1:7" ht="45">
      <c r="A168" s="17">
        <v>165</v>
      </c>
      <c r="B168" s="17" t="s">
        <v>4</v>
      </c>
      <c r="C168" s="17" t="s">
        <v>5</v>
      </c>
      <c r="D168" s="18">
        <v>43903</v>
      </c>
      <c r="E168" s="19" t="s">
        <v>102</v>
      </c>
      <c r="F168" s="19" t="s">
        <v>242</v>
      </c>
      <c r="G168" s="17" t="s">
        <v>210</v>
      </c>
    </row>
    <row r="169" spans="1:7" s="1" customFormat="1" ht="45">
      <c r="A169" s="17">
        <v>166</v>
      </c>
      <c r="B169" s="11" t="s">
        <v>8</v>
      </c>
      <c r="C169" s="11" t="s">
        <v>14</v>
      </c>
      <c r="D169" s="9">
        <v>43903</v>
      </c>
      <c r="E169" s="6" t="s">
        <v>131</v>
      </c>
      <c r="F169" s="6" t="s">
        <v>220</v>
      </c>
      <c r="G169" s="27" t="s">
        <v>210</v>
      </c>
    </row>
    <row r="170" spans="1:7" ht="60">
      <c r="A170" s="17">
        <v>167</v>
      </c>
      <c r="B170" s="17" t="s">
        <v>4</v>
      </c>
      <c r="C170" s="17" t="s">
        <v>5</v>
      </c>
      <c r="D170" s="18">
        <v>43900</v>
      </c>
      <c r="E170" s="19" t="s">
        <v>271</v>
      </c>
      <c r="F170" s="19" t="s">
        <v>290</v>
      </c>
      <c r="G170" s="17" t="s">
        <v>210</v>
      </c>
    </row>
    <row r="171" spans="1:7" s="1" customFormat="1" ht="60">
      <c r="A171" s="17">
        <v>168</v>
      </c>
      <c r="B171" s="11" t="s">
        <v>6</v>
      </c>
      <c r="C171" s="11" t="s">
        <v>11</v>
      </c>
      <c r="D171" s="9">
        <v>43900</v>
      </c>
      <c r="E171" s="6" t="s">
        <v>12</v>
      </c>
      <c r="F171" s="6" t="s">
        <v>223</v>
      </c>
      <c r="G171" s="27" t="s">
        <v>210</v>
      </c>
    </row>
    <row r="172" spans="1:7" ht="75">
      <c r="A172" s="17">
        <v>169</v>
      </c>
      <c r="B172" s="17" t="s">
        <v>10</v>
      </c>
      <c r="C172" s="17" t="s">
        <v>5</v>
      </c>
      <c r="D172" s="18">
        <v>43897</v>
      </c>
      <c r="E172" s="19" t="s">
        <v>251</v>
      </c>
      <c r="F172" s="19" t="s">
        <v>242</v>
      </c>
      <c r="G172" s="17" t="s">
        <v>210</v>
      </c>
    </row>
    <row r="173" spans="1:7" ht="45">
      <c r="A173" s="17">
        <v>170</v>
      </c>
      <c r="B173" s="17" t="s">
        <v>10</v>
      </c>
      <c r="C173" s="17" t="s">
        <v>5</v>
      </c>
      <c r="D173" s="18">
        <v>43917</v>
      </c>
      <c r="E173" s="19" t="s">
        <v>291</v>
      </c>
      <c r="F173" s="19" t="s">
        <v>292</v>
      </c>
      <c r="G173" s="17" t="s">
        <v>210</v>
      </c>
    </row>
    <row r="174" spans="1:7" s="1" customFormat="1" ht="60">
      <c r="A174" s="17">
        <v>171</v>
      </c>
      <c r="B174" s="11" t="s">
        <v>4</v>
      </c>
      <c r="C174" s="11" t="s">
        <v>11</v>
      </c>
      <c r="D174" s="9">
        <v>43898</v>
      </c>
      <c r="E174" s="6" t="s">
        <v>12</v>
      </c>
      <c r="F174" s="6" t="s">
        <v>223</v>
      </c>
      <c r="G174" s="27" t="s">
        <v>210</v>
      </c>
    </row>
    <row r="175" spans="1:7" s="1" customFormat="1" ht="45">
      <c r="A175" s="17">
        <v>172</v>
      </c>
      <c r="B175" s="11" t="s">
        <v>4</v>
      </c>
      <c r="C175" s="11" t="s">
        <v>11</v>
      </c>
      <c r="D175" s="9">
        <v>43904</v>
      </c>
      <c r="E175" s="6" t="s">
        <v>82</v>
      </c>
      <c r="F175" s="6" t="s">
        <v>223</v>
      </c>
      <c r="G175" s="27" t="s">
        <v>210</v>
      </c>
    </row>
    <row r="176" spans="1:7" s="1" customFormat="1" ht="75">
      <c r="A176" s="17">
        <v>173</v>
      </c>
      <c r="B176" s="11" t="s">
        <v>4</v>
      </c>
      <c r="C176" s="11" t="s">
        <v>21</v>
      </c>
      <c r="D176" s="9">
        <v>43892</v>
      </c>
      <c r="E176" s="6" t="s">
        <v>151</v>
      </c>
      <c r="F176" s="6" t="s">
        <v>226</v>
      </c>
      <c r="G176" s="27" t="s">
        <v>210</v>
      </c>
    </row>
    <row r="177" spans="1:7" s="1" customFormat="1" ht="60">
      <c r="A177" s="17">
        <v>174</v>
      </c>
      <c r="B177" s="11" t="s">
        <v>4</v>
      </c>
      <c r="C177" s="11" t="s">
        <v>11</v>
      </c>
      <c r="D177" s="9">
        <v>43903</v>
      </c>
      <c r="E177" s="6" t="s">
        <v>12</v>
      </c>
      <c r="F177" s="6" t="s">
        <v>223</v>
      </c>
      <c r="G177" s="27" t="s">
        <v>210</v>
      </c>
    </row>
    <row r="178" spans="1:7" s="1" customFormat="1" ht="45">
      <c r="A178" s="17">
        <v>175</v>
      </c>
      <c r="B178" s="11" t="s">
        <v>4</v>
      </c>
      <c r="C178" s="11" t="s">
        <v>11</v>
      </c>
      <c r="D178" s="9">
        <v>43903</v>
      </c>
      <c r="E178" s="6" t="s">
        <v>18</v>
      </c>
      <c r="F178" s="6" t="s">
        <v>223</v>
      </c>
      <c r="G178" s="27" t="s">
        <v>210</v>
      </c>
    </row>
    <row r="179" spans="1:7" s="1" customFormat="1" ht="60">
      <c r="A179" s="17">
        <v>176</v>
      </c>
      <c r="B179" s="11" t="s">
        <v>4</v>
      </c>
      <c r="C179" s="11" t="s">
        <v>21</v>
      </c>
      <c r="D179" s="9">
        <v>43899</v>
      </c>
      <c r="E179" s="6" t="s">
        <v>157</v>
      </c>
      <c r="F179" s="6" t="s">
        <v>227</v>
      </c>
      <c r="G179" s="27" t="s">
        <v>210</v>
      </c>
    </row>
    <row r="180" spans="1:7" s="1" customFormat="1" ht="45">
      <c r="A180" s="17">
        <v>177</v>
      </c>
      <c r="B180" s="11" t="s">
        <v>8</v>
      </c>
      <c r="C180" s="11" t="s">
        <v>14</v>
      </c>
      <c r="D180" s="9">
        <v>43902</v>
      </c>
      <c r="E180" s="6" t="s">
        <v>131</v>
      </c>
      <c r="F180" s="6" t="s">
        <v>220</v>
      </c>
      <c r="G180" s="27" t="s">
        <v>210</v>
      </c>
    </row>
    <row r="181" spans="1:7" s="1" customFormat="1" ht="75">
      <c r="A181" s="17">
        <v>178</v>
      </c>
      <c r="B181" s="11" t="s">
        <v>4</v>
      </c>
      <c r="C181" s="11" t="s">
        <v>21</v>
      </c>
      <c r="D181" s="9">
        <v>43898</v>
      </c>
      <c r="E181" s="6" t="s">
        <v>158</v>
      </c>
      <c r="F181" s="6" t="s">
        <v>227</v>
      </c>
      <c r="G181" s="27" t="s">
        <v>210</v>
      </c>
    </row>
    <row r="182" spans="1:7" ht="75">
      <c r="A182" s="17">
        <v>179</v>
      </c>
      <c r="B182" s="17" t="s">
        <v>10</v>
      </c>
      <c r="C182" s="17" t="s">
        <v>5</v>
      </c>
      <c r="D182" s="18">
        <v>43900</v>
      </c>
      <c r="E182" s="19" t="s">
        <v>252</v>
      </c>
      <c r="F182" s="19" t="s">
        <v>245</v>
      </c>
      <c r="G182" s="17" t="s">
        <v>210</v>
      </c>
    </row>
    <row r="183" spans="1:7" ht="45">
      <c r="A183" s="17">
        <v>180</v>
      </c>
      <c r="B183" s="17" t="s">
        <v>4</v>
      </c>
      <c r="C183" s="17" t="s">
        <v>5</v>
      </c>
      <c r="D183" s="18">
        <v>43899</v>
      </c>
      <c r="E183" s="19" t="s">
        <v>281</v>
      </c>
      <c r="F183" s="19" t="s">
        <v>242</v>
      </c>
      <c r="G183" s="17" t="s">
        <v>210</v>
      </c>
    </row>
    <row r="184" spans="1:7" s="1" customFormat="1" ht="60">
      <c r="A184" s="17">
        <v>181</v>
      </c>
      <c r="B184" s="11" t="s">
        <v>4</v>
      </c>
      <c r="C184" s="11" t="s">
        <v>11</v>
      </c>
      <c r="D184" s="9">
        <v>43903</v>
      </c>
      <c r="E184" s="6" t="s">
        <v>12</v>
      </c>
      <c r="F184" s="6" t="s">
        <v>223</v>
      </c>
      <c r="G184" s="27" t="s">
        <v>210</v>
      </c>
    </row>
    <row r="185" spans="1:7" s="1" customFormat="1" ht="45">
      <c r="A185" s="17">
        <v>182</v>
      </c>
      <c r="B185" s="11" t="s">
        <v>4</v>
      </c>
      <c r="C185" s="11" t="s">
        <v>11</v>
      </c>
      <c r="D185" s="9">
        <v>43902</v>
      </c>
      <c r="E185" s="6" t="s">
        <v>32</v>
      </c>
      <c r="F185" s="6" t="s">
        <v>223</v>
      </c>
      <c r="G185" s="27" t="s">
        <v>210</v>
      </c>
    </row>
    <row r="186" spans="1:7" s="1" customFormat="1" ht="45">
      <c r="A186" s="17">
        <v>183</v>
      </c>
      <c r="B186" s="11" t="s">
        <v>8</v>
      </c>
      <c r="C186" s="9" t="s">
        <v>14</v>
      </c>
      <c r="D186" s="9">
        <v>43902</v>
      </c>
      <c r="E186" s="10" t="s">
        <v>136</v>
      </c>
      <c r="F186" s="6" t="s">
        <v>220</v>
      </c>
      <c r="G186" s="27" t="s">
        <v>210</v>
      </c>
    </row>
    <row r="187" spans="1:7" ht="75">
      <c r="A187" s="17">
        <v>184</v>
      </c>
      <c r="B187" s="17" t="s">
        <v>10</v>
      </c>
      <c r="C187" s="17" t="s">
        <v>5</v>
      </c>
      <c r="D187" s="18">
        <v>43899</v>
      </c>
      <c r="E187" s="19" t="s">
        <v>56</v>
      </c>
      <c r="F187" s="19" t="s">
        <v>245</v>
      </c>
      <c r="G187" s="17" t="s">
        <v>210</v>
      </c>
    </row>
    <row r="188" spans="1:7" ht="45">
      <c r="A188" s="17">
        <v>185</v>
      </c>
      <c r="B188" s="17" t="s">
        <v>57</v>
      </c>
      <c r="C188" s="17" t="s">
        <v>5</v>
      </c>
      <c r="D188" s="18">
        <v>43904</v>
      </c>
      <c r="E188" s="19" t="s">
        <v>256</v>
      </c>
      <c r="F188" s="19" t="s">
        <v>242</v>
      </c>
      <c r="G188" s="17" t="s">
        <v>210</v>
      </c>
    </row>
    <row r="189" spans="1:7" s="1" customFormat="1" ht="45">
      <c r="A189" s="17">
        <v>186</v>
      </c>
      <c r="B189" s="11" t="s">
        <v>4</v>
      </c>
      <c r="C189" s="11" t="s">
        <v>11</v>
      </c>
      <c r="D189" s="9">
        <v>43898</v>
      </c>
      <c r="E189" s="6" t="s">
        <v>24</v>
      </c>
      <c r="F189" s="6" t="s">
        <v>223</v>
      </c>
      <c r="G189" s="27" t="s">
        <v>210</v>
      </c>
    </row>
    <row r="190" spans="1:7" s="1" customFormat="1" ht="45">
      <c r="A190" s="17">
        <v>187</v>
      </c>
      <c r="B190" s="11" t="s">
        <v>4</v>
      </c>
      <c r="C190" s="11" t="s">
        <v>11</v>
      </c>
      <c r="D190" s="9">
        <v>43901</v>
      </c>
      <c r="E190" s="6" t="s">
        <v>32</v>
      </c>
      <c r="F190" s="6" t="s">
        <v>223</v>
      </c>
      <c r="G190" s="27" t="s">
        <v>210</v>
      </c>
    </row>
    <row r="191" spans="1:7" ht="60">
      <c r="A191" s="17">
        <v>188</v>
      </c>
      <c r="B191" s="17" t="s">
        <v>10</v>
      </c>
      <c r="C191" s="17" t="s">
        <v>5</v>
      </c>
      <c r="D191" s="18">
        <v>43899</v>
      </c>
      <c r="E191" s="19" t="s">
        <v>58</v>
      </c>
      <c r="F191" s="19" t="s">
        <v>245</v>
      </c>
      <c r="G191" s="17" t="s">
        <v>210</v>
      </c>
    </row>
    <row r="192" spans="1:7" s="1" customFormat="1" ht="45">
      <c r="A192" s="17">
        <v>189</v>
      </c>
      <c r="B192" s="11" t="s">
        <v>4</v>
      </c>
      <c r="C192" s="11" t="s">
        <v>11</v>
      </c>
      <c r="D192" s="9">
        <v>43903</v>
      </c>
      <c r="E192" s="6" t="s">
        <v>59</v>
      </c>
      <c r="F192" s="6" t="s">
        <v>223</v>
      </c>
      <c r="G192" s="27" t="s">
        <v>210</v>
      </c>
    </row>
    <row r="193" spans="1:7" ht="60">
      <c r="A193" s="17">
        <v>190</v>
      </c>
      <c r="B193" s="17" t="s">
        <v>10</v>
      </c>
      <c r="C193" s="17" t="s">
        <v>5</v>
      </c>
      <c r="D193" s="18">
        <v>43916</v>
      </c>
      <c r="E193" s="19" t="s">
        <v>60</v>
      </c>
      <c r="F193" s="19" t="s">
        <v>292</v>
      </c>
      <c r="G193" s="17" t="s">
        <v>210</v>
      </c>
    </row>
    <row r="194" spans="1:7" s="1" customFormat="1" ht="60">
      <c r="A194" s="17">
        <v>191</v>
      </c>
      <c r="B194" s="11" t="s">
        <v>4</v>
      </c>
      <c r="C194" s="11" t="s">
        <v>21</v>
      </c>
      <c r="D194" s="9">
        <v>43901</v>
      </c>
      <c r="E194" s="6" t="s">
        <v>159</v>
      </c>
      <c r="F194" s="6" t="s">
        <v>226</v>
      </c>
      <c r="G194" s="27" t="s">
        <v>210</v>
      </c>
    </row>
    <row r="195" spans="1:7" s="1" customFormat="1" ht="60">
      <c r="A195" s="17">
        <v>192</v>
      </c>
      <c r="B195" s="11" t="s">
        <v>4</v>
      </c>
      <c r="C195" s="9" t="s">
        <v>21</v>
      </c>
      <c r="D195" s="9">
        <v>43901</v>
      </c>
      <c r="E195" s="6" t="s">
        <v>160</v>
      </c>
      <c r="F195" s="6" t="s">
        <v>227</v>
      </c>
      <c r="G195" s="27" t="s">
        <v>210</v>
      </c>
    </row>
    <row r="196" spans="1:7" ht="60">
      <c r="A196" s="17">
        <v>193</v>
      </c>
      <c r="B196" s="17" t="s">
        <v>10</v>
      </c>
      <c r="C196" s="17" t="s">
        <v>5</v>
      </c>
      <c r="D196" s="18">
        <v>43893</v>
      </c>
      <c r="E196" s="19" t="s">
        <v>61</v>
      </c>
      <c r="F196" s="19" t="s">
        <v>290</v>
      </c>
      <c r="G196" s="17" t="s">
        <v>210</v>
      </c>
    </row>
    <row r="197" spans="1:7" ht="45">
      <c r="A197" s="17">
        <v>194</v>
      </c>
      <c r="B197" s="17" t="s">
        <v>57</v>
      </c>
      <c r="C197" s="18" t="s">
        <v>5</v>
      </c>
      <c r="D197" s="18">
        <v>43907</v>
      </c>
      <c r="E197" s="19" t="s">
        <v>283</v>
      </c>
      <c r="F197" s="19" t="s">
        <v>242</v>
      </c>
      <c r="G197" s="17" t="s">
        <v>210</v>
      </c>
    </row>
    <row r="198" spans="1:7" s="1" customFormat="1" ht="60">
      <c r="A198" s="17">
        <v>195</v>
      </c>
      <c r="B198" s="11" t="s">
        <v>4</v>
      </c>
      <c r="C198" s="11" t="s">
        <v>21</v>
      </c>
      <c r="D198" s="9">
        <v>43901</v>
      </c>
      <c r="E198" s="6" t="s">
        <v>161</v>
      </c>
      <c r="F198" s="6" t="s">
        <v>227</v>
      </c>
      <c r="G198" s="27" t="s">
        <v>210</v>
      </c>
    </row>
    <row r="199" spans="1:7" s="1" customFormat="1" ht="45">
      <c r="A199" s="17">
        <v>196</v>
      </c>
      <c r="B199" s="11" t="s">
        <v>13</v>
      </c>
      <c r="C199" s="11" t="s">
        <v>14</v>
      </c>
      <c r="D199" s="9">
        <v>43901</v>
      </c>
      <c r="E199" s="6" t="s">
        <v>137</v>
      </c>
      <c r="F199" s="6" t="s">
        <v>220</v>
      </c>
      <c r="G199" s="27" t="s">
        <v>210</v>
      </c>
    </row>
    <row r="200" spans="1:7" s="1" customFormat="1" ht="60">
      <c r="A200" s="17">
        <v>197</v>
      </c>
      <c r="B200" s="11" t="s">
        <v>13</v>
      </c>
      <c r="C200" s="11" t="s">
        <v>21</v>
      </c>
      <c r="D200" s="9">
        <v>43901</v>
      </c>
      <c r="E200" s="6" t="s">
        <v>162</v>
      </c>
      <c r="F200" s="6" t="s">
        <v>227</v>
      </c>
      <c r="G200" s="27" t="s">
        <v>210</v>
      </c>
    </row>
    <row r="201" spans="1:7" ht="45">
      <c r="A201" s="17">
        <v>198</v>
      </c>
      <c r="B201" s="17" t="s">
        <v>4</v>
      </c>
      <c r="C201" s="17" t="s">
        <v>5</v>
      </c>
      <c r="D201" s="18">
        <v>43894</v>
      </c>
      <c r="E201" s="19" t="s">
        <v>19</v>
      </c>
      <c r="F201" s="19" t="s">
        <v>242</v>
      </c>
      <c r="G201" s="17" t="s">
        <v>210</v>
      </c>
    </row>
    <row r="202" spans="1:7" s="1" customFormat="1" ht="60">
      <c r="A202" s="17">
        <v>199</v>
      </c>
      <c r="B202" s="11" t="s">
        <v>4</v>
      </c>
      <c r="C202" s="11" t="s">
        <v>21</v>
      </c>
      <c r="D202" s="9">
        <v>43901</v>
      </c>
      <c r="E202" s="6" t="s">
        <v>163</v>
      </c>
      <c r="F202" s="6" t="s">
        <v>227</v>
      </c>
      <c r="G202" s="27" t="s">
        <v>210</v>
      </c>
    </row>
    <row r="203" spans="1:7" s="1" customFormat="1" ht="60">
      <c r="A203" s="17">
        <v>200</v>
      </c>
      <c r="B203" s="11" t="s">
        <v>4</v>
      </c>
      <c r="C203" s="11" t="s">
        <v>21</v>
      </c>
      <c r="D203" s="9">
        <v>43894</v>
      </c>
      <c r="E203" s="6" t="s">
        <v>164</v>
      </c>
      <c r="F203" s="6" t="s">
        <v>227</v>
      </c>
      <c r="G203" s="27" t="s">
        <v>210</v>
      </c>
    </row>
    <row r="204" spans="1:7" s="1" customFormat="1" ht="60">
      <c r="A204" s="17">
        <v>201</v>
      </c>
      <c r="B204" s="11" t="s">
        <v>4</v>
      </c>
      <c r="C204" s="11" t="s">
        <v>21</v>
      </c>
      <c r="D204" s="9">
        <v>43901</v>
      </c>
      <c r="E204" s="6" t="s">
        <v>165</v>
      </c>
      <c r="F204" s="6" t="s">
        <v>227</v>
      </c>
      <c r="G204" s="27" t="s">
        <v>210</v>
      </c>
    </row>
    <row r="205" spans="1:7" s="1" customFormat="1" ht="60">
      <c r="A205" s="17">
        <v>202</v>
      </c>
      <c r="B205" s="11" t="s">
        <v>4</v>
      </c>
      <c r="C205" s="11" t="s">
        <v>21</v>
      </c>
      <c r="D205" s="9">
        <v>43899</v>
      </c>
      <c r="E205" s="6" t="s">
        <v>166</v>
      </c>
      <c r="F205" s="6" t="s">
        <v>227</v>
      </c>
      <c r="G205" s="27" t="s">
        <v>210</v>
      </c>
    </row>
    <row r="206" spans="1:7" ht="45">
      <c r="A206" s="17">
        <v>203</v>
      </c>
      <c r="B206" s="17" t="s">
        <v>27</v>
      </c>
      <c r="C206" s="17" t="s">
        <v>5</v>
      </c>
      <c r="D206" s="18">
        <v>43893</v>
      </c>
      <c r="E206" s="19" t="s">
        <v>269</v>
      </c>
      <c r="F206" s="19" t="s">
        <v>296</v>
      </c>
      <c r="G206" s="17" t="s">
        <v>210</v>
      </c>
    </row>
    <row r="207" spans="1:7" ht="60">
      <c r="A207" s="17">
        <v>204</v>
      </c>
      <c r="B207" s="17" t="s">
        <v>10</v>
      </c>
      <c r="C207" s="17" t="s">
        <v>5</v>
      </c>
      <c r="D207" s="18">
        <v>43914</v>
      </c>
      <c r="E207" s="19" t="s">
        <v>60</v>
      </c>
      <c r="F207" s="19" t="s">
        <v>292</v>
      </c>
      <c r="G207" s="17" t="s">
        <v>210</v>
      </c>
    </row>
    <row r="208" spans="1:7" s="1" customFormat="1" ht="60">
      <c r="A208" s="17">
        <v>205</v>
      </c>
      <c r="B208" s="11" t="s">
        <v>4</v>
      </c>
      <c r="C208" s="11" t="s">
        <v>21</v>
      </c>
      <c r="D208" s="9">
        <v>43891</v>
      </c>
      <c r="E208" s="6" t="s">
        <v>167</v>
      </c>
      <c r="F208" s="6" t="s">
        <v>226</v>
      </c>
      <c r="G208" s="27" t="s">
        <v>210</v>
      </c>
    </row>
    <row r="209" spans="1:7" s="1" customFormat="1" ht="30">
      <c r="A209" s="17">
        <v>206</v>
      </c>
      <c r="B209" s="11" t="s">
        <v>27</v>
      </c>
      <c r="C209" s="11" t="s">
        <v>224</v>
      </c>
      <c r="D209" s="9">
        <v>43901</v>
      </c>
      <c r="E209" s="6" t="s">
        <v>149</v>
      </c>
      <c r="F209" s="6" t="s">
        <v>225</v>
      </c>
      <c r="G209" s="27" t="s">
        <v>210</v>
      </c>
    </row>
    <row r="210" spans="1:7" s="1" customFormat="1" ht="60">
      <c r="A210" s="17">
        <v>207</v>
      </c>
      <c r="B210" s="11" t="s">
        <v>4</v>
      </c>
      <c r="C210" s="11" t="s">
        <v>21</v>
      </c>
      <c r="D210" s="9">
        <v>43896</v>
      </c>
      <c r="E210" s="6" t="s">
        <v>168</v>
      </c>
      <c r="F210" s="6" t="s">
        <v>227</v>
      </c>
      <c r="G210" s="27" t="s">
        <v>210</v>
      </c>
    </row>
    <row r="211" spans="1:7" s="1" customFormat="1" ht="60">
      <c r="A211" s="17">
        <v>208</v>
      </c>
      <c r="B211" s="11" t="s">
        <v>4</v>
      </c>
      <c r="C211" s="11" t="s">
        <v>21</v>
      </c>
      <c r="D211" s="9">
        <v>43901</v>
      </c>
      <c r="E211" s="6" t="s">
        <v>169</v>
      </c>
      <c r="F211" s="6" t="s">
        <v>227</v>
      </c>
      <c r="G211" s="27" t="s">
        <v>210</v>
      </c>
    </row>
    <row r="212" spans="1:7" s="1" customFormat="1" ht="60">
      <c r="A212" s="17">
        <v>209</v>
      </c>
      <c r="B212" s="11" t="s">
        <v>4</v>
      </c>
      <c r="C212" s="11" t="s">
        <v>21</v>
      </c>
      <c r="D212" s="9">
        <v>43897</v>
      </c>
      <c r="E212" s="6" t="s">
        <v>170</v>
      </c>
      <c r="F212" s="6" t="s">
        <v>227</v>
      </c>
      <c r="G212" s="27" t="s">
        <v>210</v>
      </c>
    </row>
    <row r="213" spans="1:7" s="1" customFormat="1" ht="75">
      <c r="A213" s="17">
        <v>210</v>
      </c>
      <c r="B213" s="11" t="s">
        <v>27</v>
      </c>
      <c r="C213" s="11" t="s">
        <v>66</v>
      </c>
      <c r="D213" s="9">
        <v>43900</v>
      </c>
      <c r="E213" s="6" t="s">
        <v>123</v>
      </c>
      <c r="F213" s="6" t="s">
        <v>219</v>
      </c>
      <c r="G213" s="27" t="s">
        <v>210</v>
      </c>
    </row>
    <row r="214" spans="1:7" s="1" customFormat="1" ht="60">
      <c r="A214" s="17">
        <v>211</v>
      </c>
      <c r="B214" s="11" t="s">
        <v>4</v>
      </c>
      <c r="C214" s="23" t="s">
        <v>63</v>
      </c>
      <c r="D214" s="9">
        <v>43900</v>
      </c>
      <c r="E214" s="6" t="s">
        <v>171</v>
      </c>
      <c r="F214" s="6" t="s">
        <v>227</v>
      </c>
      <c r="G214" s="27" t="s">
        <v>210</v>
      </c>
    </row>
    <row r="215" spans="1:7" s="1" customFormat="1" ht="60">
      <c r="A215" s="17">
        <v>212</v>
      </c>
      <c r="B215" s="11" t="s">
        <v>4</v>
      </c>
      <c r="C215" s="11" t="s">
        <v>21</v>
      </c>
      <c r="D215" s="9">
        <v>43901</v>
      </c>
      <c r="E215" s="6" t="s">
        <v>172</v>
      </c>
      <c r="F215" s="6" t="s">
        <v>227</v>
      </c>
      <c r="G215" s="27" t="s">
        <v>210</v>
      </c>
    </row>
    <row r="216" spans="1:7" ht="75">
      <c r="A216" s="17">
        <v>213</v>
      </c>
      <c r="B216" s="17" t="s">
        <v>10</v>
      </c>
      <c r="C216" s="17" t="s">
        <v>5</v>
      </c>
      <c r="D216" s="18">
        <v>43908</v>
      </c>
      <c r="E216" s="19" t="s">
        <v>42</v>
      </c>
      <c r="F216" s="19" t="s">
        <v>242</v>
      </c>
      <c r="G216" s="17" t="s">
        <v>210</v>
      </c>
    </row>
    <row r="217" spans="1:7" s="1" customFormat="1" ht="60">
      <c r="A217" s="17">
        <v>214</v>
      </c>
      <c r="B217" s="11" t="s">
        <v>4</v>
      </c>
      <c r="C217" s="11" t="s">
        <v>36</v>
      </c>
      <c r="D217" s="9">
        <v>43906</v>
      </c>
      <c r="E217" s="6" t="s">
        <v>64</v>
      </c>
      <c r="F217" s="6" t="s">
        <v>212</v>
      </c>
      <c r="G217" s="27" t="s">
        <v>210</v>
      </c>
    </row>
    <row r="218" spans="1:7" s="1" customFormat="1" ht="60">
      <c r="A218" s="17">
        <v>215</v>
      </c>
      <c r="B218" s="11" t="s">
        <v>4</v>
      </c>
      <c r="C218" s="11" t="s">
        <v>21</v>
      </c>
      <c r="D218" s="9">
        <v>43900</v>
      </c>
      <c r="E218" s="6" t="s">
        <v>173</v>
      </c>
      <c r="F218" s="6" t="s">
        <v>227</v>
      </c>
      <c r="G218" s="27" t="s">
        <v>210</v>
      </c>
    </row>
    <row r="219" spans="1:7" s="1" customFormat="1" ht="75">
      <c r="A219" s="17">
        <v>216</v>
      </c>
      <c r="B219" s="11" t="s">
        <v>4</v>
      </c>
      <c r="C219" s="11" t="s">
        <v>21</v>
      </c>
      <c r="D219" s="9">
        <v>43900</v>
      </c>
      <c r="E219" s="6" t="s">
        <v>174</v>
      </c>
      <c r="F219" s="6" t="s">
        <v>227</v>
      </c>
      <c r="G219" s="27" t="s">
        <v>210</v>
      </c>
    </row>
    <row r="220" spans="1:7" s="1" customFormat="1" ht="60">
      <c r="A220" s="17">
        <v>217</v>
      </c>
      <c r="B220" s="11" t="s">
        <v>4</v>
      </c>
      <c r="C220" s="11" t="s">
        <v>21</v>
      </c>
      <c r="D220" s="9">
        <v>43831</v>
      </c>
      <c r="E220" s="6" t="s">
        <v>175</v>
      </c>
      <c r="F220" s="6" t="s">
        <v>227</v>
      </c>
      <c r="G220" s="27" t="s">
        <v>210</v>
      </c>
    </row>
    <row r="221" spans="1:7" ht="45">
      <c r="A221" s="17">
        <v>218</v>
      </c>
      <c r="B221" s="17" t="s">
        <v>27</v>
      </c>
      <c r="C221" s="17" t="s">
        <v>5</v>
      </c>
      <c r="D221" s="18">
        <v>43899</v>
      </c>
      <c r="E221" s="19" t="s">
        <v>268</v>
      </c>
      <c r="F221" s="19" t="s">
        <v>297</v>
      </c>
      <c r="G221" s="17" t="s">
        <v>210</v>
      </c>
    </row>
    <row r="222" spans="1:7" s="1" customFormat="1" ht="60">
      <c r="A222" s="17">
        <v>219</v>
      </c>
      <c r="B222" s="11" t="s">
        <v>4</v>
      </c>
      <c r="C222" s="11" t="s">
        <v>21</v>
      </c>
      <c r="D222" s="9">
        <v>43900</v>
      </c>
      <c r="E222" s="6" t="s">
        <v>176</v>
      </c>
      <c r="F222" s="6" t="s">
        <v>227</v>
      </c>
      <c r="G222" s="27" t="s">
        <v>210</v>
      </c>
    </row>
    <row r="223" spans="1:7" s="1" customFormat="1" ht="45">
      <c r="A223" s="17">
        <v>220</v>
      </c>
      <c r="B223" s="11" t="s">
        <v>10</v>
      </c>
      <c r="C223" s="11" t="s">
        <v>25</v>
      </c>
      <c r="D223" s="9">
        <v>43917</v>
      </c>
      <c r="E223" s="6" t="s">
        <v>65</v>
      </c>
      <c r="F223" s="6" t="s">
        <v>235</v>
      </c>
      <c r="G223" s="27" t="s">
        <v>210</v>
      </c>
    </row>
    <row r="224" spans="1:7" s="1" customFormat="1" ht="60">
      <c r="A224" s="17">
        <v>221</v>
      </c>
      <c r="B224" s="11" t="s">
        <v>4</v>
      </c>
      <c r="C224" s="11" t="s">
        <v>21</v>
      </c>
      <c r="D224" s="9">
        <v>43900</v>
      </c>
      <c r="E224" s="6" t="s">
        <v>177</v>
      </c>
      <c r="F224" s="6" t="s">
        <v>227</v>
      </c>
      <c r="G224" s="27" t="s">
        <v>210</v>
      </c>
    </row>
    <row r="225" spans="1:7" s="1" customFormat="1" ht="60">
      <c r="A225" s="17">
        <v>222</v>
      </c>
      <c r="B225" s="11" t="s">
        <v>4</v>
      </c>
      <c r="C225" s="11" t="s">
        <v>21</v>
      </c>
      <c r="D225" s="9">
        <v>43901</v>
      </c>
      <c r="E225" s="6" t="s">
        <v>178</v>
      </c>
      <c r="F225" s="6" t="s">
        <v>227</v>
      </c>
      <c r="G225" s="27" t="s">
        <v>210</v>
      </c>
    </row>
    <row r="226" spans="1:7" s="1" customFormat="1" ht="75">
      <c r="A226" s="17">
        <v>223</v>
      </c>
      <c r="B226" s="11" t="s">
        <v>27</v>
      </c>
      <c r="C226" s="11" t="s">
        <v>66</v>
      </c>
      <c r="D226" s="9">
        <v>43900</v>
      </c>
      <c r="E226" s="6" t="s">
        <v>124</v>
      </c>
      <c r="F226" s="6" t="s">
        <v>219</v>
      </c>
      <c r="G226" s="27" t="s">
        <v>210</v>
      </c>
    </row>
    <row r="227" spans="1:7" s="1" customFormat="1" ht="45">
      <c r="A227" s="17">
        <v>224</v>
      </c>
      <c r="B227" s="11" t="s">
        <v>8</v>
      </c>
      <c r="C227" s="11" t="s">
        <v>14</v>
      </c>
      <c r="D227" s="9">
        <v>43901</v>
      </c>
      <c r="E227" s="6" t="s">
        <v>132</v>
      </c>
      <c r="F227" s="6" t="s">
        <v>220</v>
      </c>
      <c r="G227" s="27" t="s">
        <v>210</v>
      </c>
    </row>
    <row r="228" spans="1:7" ht="45">
      <c r="A228" s="17">
        <v>225</v>
      </c>
      <c r="B228" s="17" t="s">
        <v>4</v>
      </c>
      <c r="C228" s="25" t="s">
        <v>5</v>
      </c>
      <c r="D228" s="18">
        <v>43900</v>
      </c>
      <c r="E228" s="26" t="s">
        <v>284</v>
      </c>
      <c r="F228" s="26" t="s">
        <v>293</v>
      </c>
      <c r="G228" s="25" t="s">
        <v>210</v>
      </c>
    </row>
    <row r="229" spans="1:7" s="1" customFormat="1" ht="45">
      <c r="A229" s="17">
        <v>226</v>
      </c>
      <c r="B229" s="11" t="s">
        <v>4</v>
      </c>
      <c r="C229" s="11" t="s">
        <v>11</v>
      </c>
      <c r="D229" s="9">
        <v>43904</v>
      </c>
      <c r="E229" s="6" t="s">
        <v>32</v>
      </c>
      <c r="F229" s="6" t="s">
        <v>223</v>
      </c>
      <c r="G229" s="27" t="s">
        <v>210</v>
      </c>
    </row>
    <row r="230" spans="1:7" s="1" customFormat="1" ht="30">
      <c r="A230" s="17">
        <v>227</v>
      </c>
      <c r="B230" s="11" t="s">
        <v>4</v>
      </c>
      <c r="C230" s="11" t="s">
        <v>67</v>
      </c>
      <c r="D230" s="9">
        <v>43903</v>
      </c>
      <c r="E230" s="6" t="s">
        <v>148</v>
      </c>
      <c r="F230" s="6" t="s">
        <v>223</v>
      </c>
      <c r="G230" s="27" t="s">
        <v>210</v>
      </c>
    </row>
    <row r="231" spans="1:7" s="1" customFormat="1" ht="60">
      <c r="A231" s="17">
        <v>228</v>
      </c>
      <c r="B231" s="11" t="s">
        <v>4</v>
      </c>
      <c r="C231" s="11" t="s">
        <v>21</v>
      </c>
      <c r="D231" s="9">
        <v>43899</v>
      </c>
      <c r="E231" s="6" t="s">
        <v>179</v>
      </c>
      <c r="F231" s="6" t="s">
        <v>227</v>
      </c>
      <c r="G231" s="27" t="s">
        <v>210</v>
      </c>
    </row>
    <row r="232" spans="1:7" s="1" customFormat="1" ht="90">
      <c r="A232" s="17">
        <v>229</v>
      </c>
      <c r="B232" s="11" t="s">
        <v>4</v>
      </c>
      <c r="C232" s="11" t="s">
        <v>21</v>
      </c>
      <c r="D232" s="9">
        <v>43900</v>
      </c>
      <c r="E232" s="6" t="s">
        <v>180</v>
      </c>
      <c r="F232" s="6" t="s">
        <v>227</v>
      </c>
      <c r="G232" s="27" t="s">
        <v>210</v>
      </c>
    </row>
    <row r="233" spans="1:7" ht="60">
      <c r="A233" s="17">
        <v>230</v>
      </c>
      <c r="B233" s="17" t="s">
        <v>4</v>
      </c>
      <c r="C233" s="17" t="s">
        <v>5</v>
      </c>
      <c r="D233" s="18">
        <v>43898</v>
      </c>
      <c r="E233" s="19" t="s">
        <v>280</v>
      </c>
      <c r="F233" s="19" t="s">
        <v>242</v>
      </c>
      <c r="G233" s="17" t="s">
        <v>210</v>
      </c>
    </row>
    <row r="234" spans="1:7" s="1" customFormat="1" ht="60">
      <c r="A234" s="17">
        <v>231</v>
      </c>
      <c r="B234" s="11" t="s">
        <v>4</v>
      </c>
      <c r="C234" s="11" t="s">
        <v>21</v>
      </c>
      <c r="D234" s="9">
        <v>43898</v>
      </c>
      <c r="E234" s="6" t="s">
        <v>181</v>
      </c>
      <c r="F234" s="6" t="s">
        <v>227</v>
      </c>
      <c r="G234" s="27" t="s">
        <v>210</v>
      </c>
    </row>
    <row r="235" spans="1:7" ht="45">
      <c r="A235" s="17">
        <v>232</v>
      </c>
      <c r="B235" s="17" t="s">
        <v>27</v>
      </c>
      <c r="C235" s="17" t="s">
        <v>5</v>
      </c>
      <c r="D235" s="18">
        <v>43899</v>
      </c>
      <c r="E235" s="19" t="s">
        <v>262</v>
      </c>
      <c r="F235" s="19" t="s">
        <v>296</v>
      </c>
      <c r="G235" s="17" t="s">
        <v>210</v>
      </c>
    </row>
    <row r="236" spans="1:7" s="1" customFormat="1" ht="30">
      <c r="A236" s="17">
        <v>233</v>
      </c>
      <c r="B236" s="11" t="s">
        <v>27</v>
      </c>
      <c r="C236" s="11" t="s">
        <v>224</v>
      </c>
      <c r="D236" s="9">
        <v>43899</v>
      </c>
      <c r="E236" s="6" t="s">
        <v>149</v>
      </c>
      <c r="F236" s="6" t="s">
        <v>225</v>
      </c>
      <c r="G236" s="27" t="s">
        <v>210</v>
      </c>
    </row>
    <row r="237" spans="1:7" s="1" customFormat="1" ht="60">
      <c r="A237" s="17">
        <v>234</v>
      </c>
      <c r="B237" s="11" t="s">
        <v>4</v>
      </c>
      <c r="C237" s="11" t="s">
        <v>21</v>
      </c>
      <c r="D237" s="9">
        <v>43899</v>
      </c>
      <c r="E237" s="6" t="s">
        <v>182</v>
      </c>
      <c r="F237" s="6" t="s">
        <v>227</v>
      </c>
      <c r="G237" s="27" t="s">
        <v>210</v>
      </c>
    </row>
    <row r="238" spans="1:7" ht="45">
      <c r="A238" s="17">
        <v>235</v>
      </c>
      <c r="B238" s="17" t="s">
        <v>6</v>
      </c>
      <c r="C238" s="17" t="s">
        <v>5</v>
      </c>
      <c r="D238" s="18">
        <v>43906</v>
      </c>
      <c r="E238" s="19" t="s">
        <v>257</v>
      </c>
      <c r="F238" s="19" t="s">
        <v>242</v>
      </c>
      <c r="G238" s="17" t="s">
        <v>210</v>
      </c>
    </row>
    <row r="239" spans="1:7" s="1" customFormat="1" ht="60">
      <c r="A239" s="17">
        <v>236</v>
      </c>
      <c r="B239" s="11" t="s">
        <v>4</v>
      </c>
      <c r="C239" s="11" t="s">
        <v>21</v>
      </c>
      <c r="D239" s="9">
        <v>43900</v>
      </c>
      <c r="E239" s="6" t="s">
        <v>183</v>
      </c>
      <c r="F239" s="6" t="s">
        <v>227</v>
      </c>
      <c r="G239" s="27" t="s">
        <v>210</v>
      </c>
    </row>
    <row r="240" spans="1:7" s="1" customFormat="1" ht="60">
      <c r="A240" s="17">
        <v>237</v>
      </c>
      <c r="B240" s="11" t="s">
        <v>4</v>
      </c>
      <c r="C240" s="11" t="s">
        <v>21</v>
      </c>
      <c r="D240" s="9">
        <v>43898</v>
      </c>
      <c r="E240" s="6" t="s">
        <v>184</v>
      </c>
      <c r="F240" s="6" t="s">
        <v>227</v>
      </c>
      <c r="G240" s="27" t="s">
        <v>210</v>
      </c>
    </row>
    <row r="241" spans="1:7" s="1" customFormat="1" ht="60">
      <c r="A241" s="17">
        <v>238</v>
      </c>
      <c r="B241" s="11" t="s">
        <v>4</v>
      </c>
      <c r="C241" s="11" t="s">
        <v>21</v>
      </c>
      <c r="D241" s="9">
        <v>43898</v>
      </c>
      <c r="E241" s="6" t="s">
        <v>185</v>
      </c>
      <c r="F241" s="6" t="s">
        <v>227</v>
      </c>
      <c r="G241" s="27" t="s">
        <v>210</v>
      </c>
    </row>
    <row r="242" spans="1:7" ht="60">
      <c r="A242" s="17">
        <v>239</v>
      </c>
      <c r="B242" s="17" t="s">
        <v>10</v>
      </c>
      <c r="C242" s="17" t="s">
        <v>5</v>
      </c>
      <c r="D242" s="18">
        <v>43914</v>
      </c>
      <c r="E242" s="19" t="s">
        <v>60</v>
      </c>
      <c r="F242" s="19" t="s">
        <v>292</v>
      </c>
      <c r="G242" s="17" t="s">
        <v>210</v>
      </c>
    </row>
    <row r="243" spans="1:7" ht="45">
      <c r="A243" s="17">
        <v>240</v>
      </c>
      <c r="B243" s="17" t="s">
        <v>27</v>
      </c>
      <c r="C243" s="17" t="s">
        <v>5</v>
      </c>
      <c r="D243" s="18">
        <v>43899</v>
      </c>
      <c r="E243" s="19" t="s">
        <v>262</v>
      </c>
      <c r="F243" s="19" t="s">
        <v>296</v>
      </c>
      <c r="G243" s="17" t="s">
        <v>210</v>
      </c>
    </row>
    <row r="244" spans="1:7" s="1" customFormat="1" ht="45">
      <c r="A244" s="17">
        <v>241</v>
      </c>
      <c r="B244" s="11" t="s">
        <v>27</v>
      </c>
      <c r="C244" s="11" t="s">
        <v>68</v>
      </c>
      <c r="D244" s="9">
        <v>43898</v>
      </c>
      <c r="E244" s="6" t="s">
        <v>147</v>
      </c>
      <c r="F244" s="6" t="s">
        <v>222</v>
      </c>
      <c r="G244" s="27" t="s">
        <v>210</v>
      </c>
    </row>
    <row r="245" spans="1:7" s="1" customFormat="1" ht="45">
      <c r="A245" s="17">
        <v>242</v>
      </c>
      <c r="B245" s="11" t="s">
        <v>4</v>
      </c>
      <c r="C245" s="11" t="s">
        <v>11</v>
      </c>
      <c r="D245" s="9">
        <v>43903</v>
      </c>
      <c r="E245" s="6" t="s">
        <v>69</v>
      </c>
      <c r="F245" s="6" t="s">
        <v>228</v>
      </c>
      <c r="G245" s="27" t="s">
        <v>210</v>
      </c>
    </row>
    <row r="246" spans="1:7" ht="45">
      <c r="A246" s="17">
        <v>243</v>
      </c>
      <c r="B246" s="17" t="s">
        <v>27</v>
      </c>
      <c r="C246" s="17" t="s">
        <v>5</v>
      </c>
      <c r="D246" s="18">
        <v>43899</v>
      </c>
      <c r="E246" s="19" t="s">
        <v>259</v>
      </c>
      <c r="F246" s="19" t="s">
        <v>296</v>
      </c>
      <c r="G246" s="17" t="s">
        <v>210</v>
      </c>
    </row>
    <row r="247" spans="1:7" s="1" customFormat="1" ht="30">
      <c r="A247" s="17">
        <v>244</v>
      </c>
      <c r="B247" s="11" t="s">
        <v>27</v>
      </c>
      <c r="C247" s="11" t="s">
        <v>224</v>
      </c>
      <c r="D247" s="9">
        <v>43893</v>
      </c>
      <c r="E247" s="6" t="s">
        <v>149</v>
      </c>
      <c r="F247" s="6" t="s">
        <v>225</v>
      </c>
      <c r="G247" s="27" t="s">
        <v>210</v>
      </c>
    </row>
    <row r="248" spans="1:7" s="1" customFormat="1" ht="60">
      <c r="A248" s="17">
        <v>245</v>
      </c>
      <c r="B248" s="11" t="s">
        <v>4</v>
      </c>
      <c r="C248" s="11" t="s">
        <v>21</v>
      </c>
      <c r="D248" s="9">
        <v>43899</v>
      </c>
      <c r="E248" s="6" t="s">
        <v>186</v>
      </c>
      <c r="F248" s="6" t="s">
        <v>227</v>
      </c>
      <c r="G248" s="27" t="s">
        <v>210</v>
      </c>
    </row>
    <row r="249" spans="1:7" ht="45">
      <c r="A249" s="17">
        <v>246</v>
      </c>
      <c r="B249" s="17" t="s">
        <v>27</v>
      </c>
      <c r="C249" s="17" t="s">
        <v>5</v>
      </c>
      <c r="D249" s="18">
        <v>43900</v>
      </c>
      <c r="E249" s="19" t="s">
        <v>262</v>
      </c>
      <c r="F249" s="19" t="s">
        <v>296</v>
      </c>
      <c r="G249" s="17" t="s">
        <v>210</v>
      </c>
    </row>
    <row r="250" spans="1:7" s="1" customFormat="1" ht="45">
      <c r="A250" s="17">
        <v>247</v>
      </c>
      <c r="B250" s="11" t="s">
        <v>4</v>
      </c>
      <c r="C250" s="11" t="s">
        <v>11</v>
      </c>
      <c r="D250" s="9">
        <v>43903</v>
      </c>
      <c r="E250" s="6" t="s">
        <v>31</v>
      </c>
      <c r="F250" s="6" t="s">
        <v>223</v>
      </c>
      <c r="G250" s="27" t="s">
        <v>210</v>
      </c>
    </row>
    <row r="251" spans="1:7" s="1" customFormat="1" ht="45">
      <c r="A251" s="17">
        <v>248</v>
      </c>
      <c r="B251" s="11" t="s">
        <v>27</v>
      </c>
      <c r="C251" s="11" t="s">
        <v>70</v>
      </c>
      <c r="D251" s="9">
        <v>43899</v>
      </c>
      <c r="E251" s="6" t="s">
        <v>122</v>
      </c>
      <c r="F251" s="6" t="s">
        <v>215</v>
      </c>
      <c r="G251" s="27" t="s">
        <v>210</v>
      </c>
    </row>
    <row r="252" spans="1:7" s="1" customFormat="1" ht="60">
      <c r="A252" s="17">
        <v>249</v>
      </c>
      <c r="B252" s="11" t="s">
        <v>4</v>
      </c>
      <c r="C252" s="11" t="s">
        <v>21</v>
      </c>
      <c r="D252" s="9">
        <v>43894</v>
      </c>
      <c r="E252" s="6" t="s">
        <v>187</v>
      </c>
      <c r="F252" s="6" t="s">
        <v>227</v>
      </c>
      <c r="G252" s="27" t="s">
        <v>210</v>
      </c>
    </row>
    <row r="253" spans="1:7" ht="75">
      <c r="A253" s="17">
        <v>250</v>
      </c>
      <c r="B253" s="17" t="s">
        <v>10</v>
      </c>
      <c r="C253" s="17" t="s">
        <v>5</v>
      </c>
      <c r="D253" s="18">
        <v>43895</v>
      </c>
      <c r="E253" s="19" t="s">
        <v>241</v>
      </c>
      <c r="F253" s="19" t="s">
        <v>237</v>
      </c>
      <c r="G253" s="17" t="s">
        <v>210</v>
      </c>
    </row>
    <row r="254" spans="1:7" ht="45">
      <c r="A254" s="17">
        <v>251</v>
      </c>
      <c r="B254" s="17" t="s">
        <v>4</v>
      </c>
      <c r="C254" s="17" t="s">
        <v>5</v>
      </c>
      <c r="D254" s="18">
        <v>43900</v>
      </c>
      <c r="E254" s="19" t="s">
        <v>270</v>
      </c>
      <c r="F254" s="19" t="s">
        <v>242</v>
      </c>
      <c r="G254" s="17" t="s">
        <v>210</v>
      </c>
    </row>
    <row r="255" spans="1:7" s="1" customFormat="1" ht="60">
      <c r="A255" s="17">
        <v>252</v>
      </c>
      <c r="B255" s="11" t="s">
        <v>4</v>
      </c>
      <c r="C255" s="11" t="s">
        <v>21</v>
      </c>
      <c r="D255" s="9">
        <v>43897</v>
      </c>
      <c r="E255" s="6" t="s">
        <v>188</v>
      </c>
      <c r="F255" s="6" t="s">
        <v>227</v>
      </c>
      <c r="G255" s="27" t="s">
        <v>210</v>
      </c>
    </row>
    <row r="256" spans="1:7" s="1" customFormat="1" ht="60">
      <c r="A256" s="17">
        <v>253</v>
      </c>
      <c r="B256" s="11" t="s">
        <v>4</v>
      </c>
      <c r="C256" s="11" t="s">
        <v>21</v>
      </c>
      <c r="D256" s="9">
        <v>43898</v>
      </c>
      <c r="E256" s="6" t="s">
        <v>189</v>
      </c>
      <c r="F256" s="6" t="s">
        <v>227</v>
      </c>
      <c r="G256" s="27" t="s">
        <v>210</v>
      </c>
    </row>
    <row r="257" spans="1:7" s="1" customFormat="1" ht="75">
      <c r="A257" s="17">
        <v>254</v>
      </c>
      <c r="B257" s="11" t="s">
        <v>27</v>
      </c>
      <c r="C257" s="11" t="s">
        <v>66</v>
      </c>
      <c r="D257" s="9">
        <v>43898</v>
      </c>
      <c r="E257" s="6" t="s">
        <v>125</v>
      </c>
      <c r="F257" s="6" t="s">
        <v>219</v>
      </c>
      <c r="G257" s="27" t="s">
        <v>210</v>
      </c>
    </row>
    <row r="258" spans="1:7" s="1" customFormat="1" ht="45">
      <c r="A258" s="17">
        <v>255</v>
      </c>
      <c r="B258" s="11" t="s">
        <v>4</v>
      </c>
      <c r="C258" s="11" t="s">
        <v>11</v>
      </c>
      <c r="D258" s="9">
        <v>43908</v>
      </c>
      <c r="E258" s="6" t="s">
        <v>24</v>
      </c>
      <c r="F258" s="6" t="s">
        <v>223</v>
      </c>
      <c r="G258" s="27" t="s">
        <v>210</v>
      </c>
    </row>
    <row r="259" spans="1:7" ht="45">
      <c r="A259" s="17">
        <v>256</v>
      </c>
      <c r="B259" s="17" t="s">
        <v>27</v>
      </c>
      <c r="C259" s="17" t="s">
        <v>5</v>
      </c>
      <c r="D259" s="18">
        <v>43899</v>
      </c>
      <c r="E259" s="19" t="s">
        <v>267</v>
      </c>
      <c r="F259" s="19" t="s">
        <v>242</v>
      </c>
      <c r="G259" s="17" t="s">
        <v>210</v>
      </c>
    </row>
    <row r="260" spans="1:7" s="1" customFormat="1" ht="60">
      <c r="A260" s="17">
        <v>257</v>
      </c>
      <c r="B260" s="11" t="s">
        <v>4</v>
      </c>
      <c r="C260" s="11" t="s">
        <v>21</v>
      </c>
      <c r="D260" s="9">
        <v>43898</v>
      </c>
      <c r="E260" s="6" t="s">
        <v>190</v>
      </c>
      <c r="F260" s="6" t="s">
        <v>226</v>
      </c>
      <c r="G260" s="27" t="s">
        <v>210</v>
      </c>
    </row>
    <row r="261" spans="1:7" s="1" customFormat="1" ht="75">
      <c r="A261" s="17">
        <v>258</v>
      </c>
      <c r="B261" s="11" t="s">
        <v>27</v>
      </c>
      <c r="C261" s="11" t="s">
        <v>66</v>
      </c>
      <c r="D261" s="9">
        <v>43898</v>
      </c>
      <c r="E261" s="6" t="s">
        <v>124</v>
      </c>
      <c r="F261" s="6" t="s">
        <v>219</v>
      </c>
      <c r="G261" s="27" t="s">
        <v>210</v>
      </c>
    </row>
    <row r="262" spans="1:7" s="1" customFormat="1" ht="60">
      <c r="A262" s="17">
        <v>259</v>
      </c>
      <c r="B262" s="11" t="s">
        <v>4</v>
      </c>
      <c r="C262" s="11" t="s">
        <v>21</v>
      </c>
      <c r="D262" s="9">
        <v>43898</v>
      </c>
      <c r="E262" s="6" t="s">
        <v>191</v>
      </c>
      <c r="F262" s="6" t="s">
        <v>227</v>
      </c>
      <c r="G262" s="27" t="s">
        <v>210</v>
      </c>
    </row>
    <row r="263" spans="1:7" s="1" customFormat="1" ht="60">
      <c r="A263" s="17">
        <v>260</v>
      </c>
      <c r="B263" s="11" t="s">
        <v>13</v>
      </c>
      <c r="C263" s="11" t="s">
        <v>21</v>
      </c>
      <c r="D263" s="9">
        <v>43896</v>
      </c>
      <c r="E263" s="6" t="s">
        <v>192</v>
      </c>
      <c r="F263" s="6" t="s">
        <v>227</v>
      </c>
      <c r="G263" s="27" t="s">
        <v>210</v>
      </c>
    </row>
    <row r="264" spans="1:7" ht="45">
      <c r="A264" s="17">
        <v>261</v>
      </c>
      <c r="B264" s="17" t="s">
        <v>27</v>
      </c>
      <c r="C264" s="17" t="s">
        <v>5</v>
      </c>
      <c r="D264" s="18">
        <v>43894</v>
      </c>
      <c r="E264" s="19" t="s">
        <v>71</v>
      </c>
      <c r="F264" s="19" t="s">
        <v>297</v>
      </c>
      <c r="G264" s="17" t="s">
        <v>210</v>
      </c>
    </row>
    <row r="265" spans="1:7" ht="45">
      <c r="A265" s="17">
        <v>262</v>
      </c>
      <c r="B265" s="17" t="s">
        <v>27</v>
      </c>
      <c r="C265" s="17" t="s">
        <v>5</v>
      </c>
      <c r="D265" s="18">
        <v>43897</v>
      </c>
      <c r="E265" s="19" t="s">
        <v>260</v>
      </c>
      <c r="F265" s="19" t="s">
        <v>296</v>
      </c>
      <c r="G265" s="17" t="s">
        <v>210</v>
      </c>
    </row>
    <row r="266" spans="1:7" s="1" customFormat="1" ht="60">
      <c r="A266" s="17">
        <v>263</v>
      </c>
      <c r="B266" s="11" t="s">
        <v>4</v>
      </c>
      <c r="C266" s="11" t="s">
        <v>21</v>
      </c>
      <c r="D266" s="9">
        <v>43897</v>
      </c>
      <c r="E266" s="6" t="s">
        <v>193</v>
      </c>
      <c r="F266" s="6" t="s">
        <v>227</v>
      </c>
      <c r="G266" s="27" t="s">
        <v>210</v>
      </c>
    </row>
    <row r="267" spans="1:7" ht="45">
      <c r="A267" s="17">
        <v>264</v>
      </c>
      <c r="B267" s="17" t="s">
        <v>27</v>
      </c>
      <c r="C267" s="17" t="s">
        <v>5</v>
      </c>
      <c r="D267" s="18">
        <v>43900</v>
      </c>
      <c r="E267" s="19" t="s">
        <v>262</v>
      </c>
      <c r="F267" s="19" t="s">
        <v>296</v>
      </c>
      <c r="G267" s="17" t="s">
        <v>210</v>
      </c>
    </row>
    <row r="268" spans="1:7" ht="60">
      <c r="A268" s="17">
        <v>265</v>
      </c>
      <c r="B268" s="17" t="s">
        <v>10</v>
      </c>
      <c r="C268" s="17" t="s">
        <v>5</v>
      </c>
      <c r="D268" s="18">
        <v>43913</v>
      </c>
      <c r="E268" s="19" t="s">
        <v>60</v>
      </c>
      <c r="F268" s="19" t="s">
        <v>292</v>
      </c>
      <c r="G268" s="17" t="s">
        <v>210</v>
      </c>
    </row>
    <row r="269" spans="1:7" ht="45">
      <c r="A269" s="17">
        <v>266</v>
      </c>
      <c r="B269" s="17" t="s">
        <v>27</v>
      </c>
      <c r="C269" s="17" t="s">
        <v>5</v>
      </c>
      <c r="D269" s="18">
        <v>43900</v>
      </c>
      <c r="E269" s="19" t="s">
        <v>258</v>
      </c>
      <c r="F269" s="19" t="s">
        <v>242</v>
      </c>
      <c r="G269" s="17" t="s">
        <v>210</v>
      </c>
    </row>
    <row r="270" spans="1:7" s="1" customFormat="1" ht="45">
      <c r="A270" s="17">
        <v>267</v>
      </c>
      <c r="B270" s="11" t="s">
        <v>8</v>
      </c>
      <c r="C270" s="11" t="s">
        <v>14</v>
      </c>
      <c r="D270" s="9">
        <v>43901</v>
      </c>
      <c r="E270" s="6" t="s">
        <v>132</v>
      </c>
      <c r="F270" s="6" t="s">
        <v>220</v>
      </c>
      <c r="G270" s="27" t="s">
        <v>210</v>
      </c>
    </row>
    <row r="271" spans="1:7" s="1" customFormat="1" ht="45">
      <c r="A271" s="17">
        <v>268</v>
      </c>
      <c r="B271" s="11" t="s">
        <v>4</v>
      </c>
      <c r="C271" s="11" t="s">
        <v>11</v>
      </c>
      <c r="D271" s="9">
        <v>43891</v>
      </c>
      <c r="E271" s="6" t="s">
        <v>69</v>
      </c>
      <c r="F271" s="6" t="s">
        <v>228</v>
      </c>
      <c r="G271" s="27" t="s">
        <v>210</v>
      </c>
    </row>
    <row r="272" spans="1:7" s="1" customFormat="1" ht="75">
      <c r="A272" s="17">
        <v>269</v>
      </c>
      <c r="B272" s="11" t="s">
        <v>8</v>
      </c>
      <c r="C272" s="11" t="s">
        <v>21</v>
      </c>
      <c r="D272" s="9">
        <v>43836</v>
      </c>
      <c r="E272" s="6" t="s">
        <v>194</v>
      </c>
      <c r="F272" s="6" t="s">
        <v>226</v>
      </c>
      <c r="G272" s="27" t="s">
        <v>210</v>
      </c>
    </row>
    <row r="273" spans="1:7" ht="60">
      <c r="A273" s="17">
        <v>270</v>
      </c>
      <c r="B273" s="17" t="s">
        <v>4</v>
      </c>
      <c r="C273" s="17" t="s">
        <v>5</v>
      </c>
      <c r="D273" s="18">
        <v>43898</v>
      </c>
      <c r="E273" s="19" t="s">
        <v>271</v>
      </c>
      <c r="F273" s="19" t="s">
        <v>290</v>
      </c>
      <c r="G273" s="17" t="s">
        <v>210</v>
      </c>
    </row>
    <row r="274" spans="1:7" s="1" customFormat="1" ht="45">
      <c r="A274" s="17">
        <v>271</v>
      </c>
      <c r="B274" s="11" t="s">
        <v>8</v>
      </c>
      <c r="C274" s="11" t="s">
        <v>14</v>
      </c>
      <c r="D274" s="9">
        <v>43901</v>
      </c>
      <c r="E274" s="6" t="s">
        <v>132</v>
      </c>
      <c r="F274" s="6" t="s">
        <v>220</v>
      </c>
      <c r="G274" s="27" t="s">
        <v>210</v>
      </c>
    </row>
    <row r="275" spans="1:7" ht="60">
      <c r="A275" s="17">
        <v>272</v>
      </c>
      <c r="B275" s="17" t="s">
        <v>4</v>
      </c>
      <c r="C275" s="17" t="s">
        <v>5</v>
      </c>
      <c r="D275" s="18">
        <v>43908</v>
      </c>
      <c r="E275" s="19" t="s">
        <v>271</v>
      </c>
      <c r="F275" s="19" t="s">
        <v>290</v>
      </c>
      <c r="G275" s="17" t="s">
        <v>210</v>
      </c>
    </row>
    <row r="276" spans="1:7" s="1" customFormat="1" ht="75">
      <c r="A276" s="17">
        <v>273</v>
      </c>
      <c r="B276" s="11" t="s">
        <v>8</v>
      </c>
      <c r="C276" s="11" t="s">
        <v>21</v>
      </c>
      <c r="D276" s="9">
        <v>43903</v>
      </c>
      <c r="E276" s="6" t="s">
        <v>154</v>
      </c>
      <c r="F276" s="6" t="s">
        <v>226</v>
      </c>
      <c r="G276" s="27" t="s">
        <v>210</v>
      </c>
    </row>
    <row r="277" spans="1:7" s="1" customFormat="1" ht="60">
      <c r="A277" s="17">
        <v>274</v>
      </c>
      <c r="B277" s="11" t="s">
        <v>10</v>
      </c>
      <c r="C277" s="11" t="s">
        <v>25</v>
      </c>
      <c r="D277" s="9">
        <v>43895</v>
      </c>
      <c r="E277" s="6" t="s">
        <v>72</v>
      </c>
      <c r="F277" s="6" t="s">
        <v>235</v>
      </c>
      <c r="G277" s="27" t="s">
        <v>210</v>
      </c>
    </row>
    <row r="278" spans="1:7" s="1" customFormat="1" ht="45">
      <c r="A278" s="17">
        <v>275</v>
      </c>
      <c r="B278" s="11" t="s">
        <v>4</v>
      </c>
      <c r="C278" s="11" t="s">
        <v>11</v>
      </c>
      <c r="D278" s="9">
        <v>43903</v>
      </c>
      <c r="E278" s="6" t="s">
        <v>31</v>
      </c>
      <c r="F278" s="6" t="s">
        <v>223</v>
      </c>
      <c r="G278" s="27" t="s">
        <v>210</v>
      </c>
    </row>
    <row r="279" spans="1:7" s="1" customFormat="1" ht="45">
      <c r="A279" s="17">
        <v>276</v>
      </c>
      <c r="B279" s="11" t="s">
        <v>8</v>
      </c>
      <c r="C279" s="11" t="s">
        <v>14</v>
      </c>
      <c r="D279" s="9">
        <v>43901</v>
      </c>
      <c r="E279" s="6" t="s">
        <v>131</v>
      </c>
      <c r="F279" s="6" t="s">
        <v>220</v>
      </c>
      <c r="G279" s="27" t="s">
        <v>210</v>
      </c>
    </row>
    <row r="280" spans="1:7" s="1" customFormat="1" ht="45">
      <c r="A280" s="17">
        <v>277</v>
      </c>
      <c r="B280" s="11" t="s">
        <v>7</v>
      </c>
      <c r="C280" s="11" t="s">
        <v>73</v>
      </c>
      <c r="D280" s="9">
        <v>43901</v>
      </c>
      <c r="E280" s="6" t="s">
        <v>74</v>
      </c>
      <c r="F280" s="6" t="s">
        <v>230</v>
      </c>
      <c r="G280" s="27" t="s">
        <v>210</v>
      </c>
    </row>
    <row r="281" spans="1:7" ht="60">
      <c r="A281" s="17">
        <v>278</v>
      </c>
      <c r="B281" s="17" t="s">
        <v>7</v>
      </c>
      <c r="C281" s="17" t="s">
        <v>5</v>
      </c>
      <c r="D281" s="18">
        <v>43900</v>
      </c>
      <c r="E281" s="19" t="s">
        <v>271</v>
      </c>
      <c r="F281" s="19" t="s">
        <v>290</v>
      </c>
      <c r="G281" s="17" t="s">
        <v>210</v>
      </c>
    </row>
    <row r="282" spans="1:7" s="1" customFormat="1" ht="45">
      <c r="A282" s="17">
        <v>279</v>
      </c>
      <c r="B282" s="11" t="s">
        <v>4</v>
      </c>
      <c r="C282" s="11" t="s">
        <v>11</v>
      </c>
      <c r="D282" s="9">
        <v>43907</v>
      </c>
      <c r="E282" s="6" t="s">
        <v>31</v>
      </c>
      <c r="F282" s="6" t="s">
        <v>223</v>
      </c>
      <c r="G282" s="27" t="s">
        <v>210</v>
      </c>
    </row>
    <row r="283" spans="1:7" ht="45">
      <c r="A283" s="17">
        <v>280</v>
      </c>
      <c r="B283" s="17" t="s">
        <v>4</v>
      </c>
      <c r="C283" s="17" t="s">
        <v>5</v>
      </c>
      <c r="D283" s="18">
        <v>43899</v>
      </c>
      <c r="E283" s="19" t="s">
        <v>276</v>
      </c>
      <c r="F283" s="19" t="s">
        <v>242</v>
      </c>
      <c r="G283" s="17" t="s">
        <v>210</v>
      </c>
    </row>
    <row r="284" spans="1:7" s="1" customFormat="1" ht="150">
      <c r="A284" s="17">
        <v>281</v>
      </c>
      <c r="B284" s="11" t="s">
        <v>13</v>
      </c>
      <c r="C284" s="11" t="s">
        <v>21</v>
      </c>
      <c r="D284" s="9">
        <v>43834</v>
      </c>
      <c r="E284" s="6" t="s">
        <v>195</v>
      </c>
      <c r="F284" s="6" t="s">
        <v>226</v>
      </c>
      <c r="G284" s="27" t="s">
        <v>210</v>
      </c>
    </row>
    <row r="285" spans="1:7" ht="60">
      <c r="A285" s="17">
        <v>282</v>
      </c>
      <c r="B285" s="17" t="s">
        <v>4</v>
      </c>
      <c r="C285" s="17" t="s">
        <v>5</v>
      </c>
      <c r="D285" s="18">
        <v>43894</v>
      </c>
      <c r="E285" s="19" t="s">
        <v>280</v>
      </c>
      <c r="F285" s="19" t="s">
        <v>242</v>
      </c>
      <c r="G285" s="17" t="s">
        <v>210</v>
      </c>
    </row>
    <row r="286" spans="1:7" s="1" customFormat="1" ht="45">
      <c r="A286" s="17">
        <v>283</v>
      </c>
      <c r="B286" s="11" t="s">
        <v>4</v>
      </c>
      <c r="C286" s="11" t="s">
        <v>11</v>
      </c>
      <c r="D286" s="9">
        <v>43903</v>
      </c>
      <c r="E286" s="6" t="s">
        <v>32</v>
      </c>
      <c r="F286" s="6" t="s">
        <v>223</v>
      </c>
      <c r="G286" s="27" t="s">
        <v>210</v>
      </c>
    </row>
    <row r="287" spans="1:7" ht="60">
      <c r="A287" s="17">
        <v>284</v>
      </c>
      <c r="B287" s="17" t="s">
        <v>4</v>
      </c>
      <c r="C287" s="17" t="s">
        <v>5</v>
      </c>
      <c r="D287" s="18">
        <v>43893</v>
      </c>
      <c r="E287" s="19" t="s">
        <v>280</v>
      </c>
      <c r="F287" s="19" t="s">
        <v>242</v>
      </c>
      <c r="G287" s="17" t="s">
        <v>210</v>
      </c>
    </row>
    <row r="288" spans="1:7" s="1" customFormat="1" ht="75">
      <c r="A288" s="17">
        <v>285</v>
      </c>
      <c r="B288" s="11" t="s">
        <v>8</v>
      </c>
      <c r="C288" s="11" t="s">
        <v>14</v>
      </c>
      <c r="D288" s="9">
        <v>43901</v>
      </c>
      <c r="E288" s="6" t="s">
        <v>138</v>
      </c>
      <c r="F288" s="6" t="s">
        <v>220</v>
      </c>
      <c r="G288" s="27" t="s">
        <v>210</v>
      </c>
    </row>
    <row r="289" spans="1:7" s="1" customFormat="1" ht="45">
      <c r="A289" s="17">
        <v>286</v>
      </c>
      <c r="B289" s="11" t="s">
        <v>4</v>
      </c>
      <c r="C289" s="11" t="s">
        <v>11</v>
      </c>
      <c r="D289" s="9">
        <v>43904</v>
      </c>
      <c r="E289" s="6" t="s">
        <v>32</v>
      </c>
      <c r="F289" s="6" t="s">
        <v>223</v>
      </c>
      <c r="G289" s="27" t="s">
        <v>210</v>
      </c>
    </row>
    <row r="290" spans="1:7" s="1" customFormat="1" ht="45">
      <c r="A290" s="17">
        <v>287</v>
      </c>
      <c r="B290" s="11" t="s">
        <v>4</v>
      </c>
      <c r="C290" s="11" t="s">
        <v>11</v>
      </c>
      <c r="D290" s="9">
        <v>43883</v>
      </c>
      <c r="E290" s="6" t="s">
        <v>75</v>
      </c>
      <c r="F290" s="6" t="s">
        <v>223</v>
      </c>
      <c r="G290" s="27" t="s">
        <v>210</v>
      </c>
    </row>
    <row r="291" spans="1:7" ht="45">
      <c r="A291" s="17">
        <v>288</v>
      </c>
      <c r="B291" s="17" t="s">
        <v>4</v>
      </c>
      <c r="C291" s="17" t="s">
        <v>5</v>
      </c>
      <c r="D291" s="18">
        <v>43900</v>
      </c>
      <c r="E291" s="19" t="s">
        <v>276</v>
      </c>
      <c r="F291" s="19" t="s">
        <v>242</v>
      </c>
      <c r="G291" s="17" t="s">
        <v>210</v>
      </c>
    </row>
    <row r="292" spans="1:7" ht="60">
      <c r="A292" s="17">
        <v>289</v>
      </c>
      <c r="B292" s="17" t="s">
        <v>4</v>
      </c>
      <c r="C292" s="17" t="s">
        <v>5</v>
      </c>
      <c r="D292" s="18">
        <v>43888</v>
      </c>
      <c r="E292" s="19" t="s">
        <v>280</v>
      </c>
      <c r="F292" s="19" t="s">
        <v>242</v>
      </c>
      <c r="G292" s="17" t="s">
        <v>210</v>
      </c>
    </row>
    <row r="293" spans="1:7" ht="45">
      <c r="A293" s="17">
        <v>290</v>
      </c>
      <c r="B293" s="17" t="s">
        <v>4</v>
      </c>
      <c r="C293" s="17" t="s">
        <v>5</v>
      </c>
      <c r="D293" s="18">
        <v>43899</v>
      </c>
      <c r="E293" s="19" t="s">
        <v>102</v>
      </c>
      <c r="F293" s="19" t="s">
        <v>242</v>
      </c>
      <c r="G293" s="17" t="s">
        <v>210</v>
      </c>
    </row>
    <row r="294" spans="1:7" s="1" customFormat="1" ht="45">
      <c r="A294" s="17">
        <v>291</v>
      </c>
      <c r="B294" s="11" t="s">
        <v>4</v>
      </c>
      <c r="C294" s="11" t="s">
        <v>11</v>
      </c>
      <c r="D294" s="9">
        <v>43903</v>
      </c>
      <c r="E294" s="6" t="s">
        <v>75</v>
      </c>
      <c r="F294" s="6" t="s">
        <v>223</v>
      </c>
      <c r="G294" s="27" t="s">
        <v>210</v>
      </c>
    </row>
    <row r="295" spans="1:7" s="1" customFormat="1" ht="75">
      <c r="A295" s="17">
        <v>292</v>
      </c>
      <c r="B295" s="11" t="s">
        <v>8</v>
      </c>
      <c r="C295" s="11" t="s">
        <v>36</v>
      </c>
      <c r="D295" s="9">
        <v>43889</v>
      </c>
      <c r="E295" s="6" t="s">
        <v>117</v>
      </c>
      <c r="F295" s="6" t="s">
        <v>213</v>
      </c>
      <c r="G295" s="27" t="s">
        <v>210</v>
      </c>
    </row>
    <row r="296" spans="1:7" s="1" customFormat="1" ht="75">
      <c r="A296" s="17">
        <v>293</v>
      </c>
      <c r="B296" s="11" t="s">
        <v>8</v>
      </c>
      <c r="C296" s="11" t="s">
        <v>21</v>
      </c>
      <c r="D296" s="9">
        <v>43903</v>
      </c>
      <c r="E296" s="6" t="s">
        <v>154</v>
      </c>
      <c r="F296" s="6" t="s">
        <v>226</v>
      </c>
      <c r="G296" s="27" t="s">
        <v>210</v>
      </c>
    </row>
    <row r="297" spans="1:7" ht="60">
      <c r="A297" s="17">
        <v>294</v>
      </c>
      <c r="B297" s="17" t="s">
        <v>4</v>
      </c>
      <c r="C297" s="17" t="s">
        <v>5</v>
      </c>
      <c r="D297" s="18">
        <v>43900</v>
      </c>
      <c r="E297" s="19" t="s">
        <v>280</v>
      </c>
      <c r="F297" s="19" t="s">
        <v>242</v>
      </c>
      <c r="G297" s="17" t="s">
        <v>210</v>
      </c>
    </row>
    <row r="298" spans="1:7" ht="45">
      <c r="A298" s="17">
        <v>295</v>
      </c>
      <c r="B298" s="17" t="s">
        <v>4</v>
      </c>
      <c r="C298" s="17" t="s">
        <v>5</v>
      </c>
      <c r="D298" s="18">
        <v>43900</v>
      </c>
      <c r="E298" s="19" t="s">
        <v>102</v>
      </c>
      <c r="F298" s="19" t="s">
        <v>242</v>
      </c>
      <c r="G298" s="17" t="s">
        <v>210</v>
      </c>
    </row>
    <row r="299" spans="1:7" ht="60">
      <c r="A299" s="17">
        <v>296</v>
      </c>
      <c r="B299" s="17" t="s">
        <v>4</v>
      </c>
      <c r="C299" s="17" t="s">
        <v>5</v>
      </c>
      <c r="D299" s="18">
        <v>43907</v>
      </c>
      <c r="E299" s="19" t="s">
        <v>280</v>
      </c>
      <c r="F299" s="19" t="s">
        <v>242</v>
      </c>
      <c r="G299" s="17" t="s">
        <v>210</v>
      </c>
    </row>
    <row r="300" spans="1:7" s="1" customFormat="1" ht="45">
      <c r="A300" s="17">
        <v>297</v>
      </c>
      <c r="B300" s="11" t="s">
        <v>8</v>
      </c>
      <c r="C300" s="11" t="s">
        <v>14</v>
      </c>
      <c r="D300" s="9">
        <v>43901</v>
      </c>
      <c r="E300" s="6" t="s">
        <v>131</v>
      </c>
      <c r="F300" s="6" t="s">
        <v>220</v>
      </c>
      <c r="G300" s="27" t="s">
        <v>210</v>
      </c>
    </row>
    <row r="301" spans="1:7" s="1" customFormat="1" ht="45">
      <c r="A301" s="17">
        <v>298</v>
      </c>
      <c r="B301" s="11" t="s">
        <v>6</v>
      </c>
      <c r="C301" s="11" t="s">
        <v>11</v>
      </c>
      <c r="D301" s="9">
        <v>43906</v>
      </c>
      <c r="E301" s="6" t="s">
        <v>22</v>
      </c>
      <c r="F301" s="6" t="s">
        <v>228</v>
      </c>
      <c r="G301" s="27" t="s">
        <v>210</v>
      </c>
    </row>
    <row r="302" spans="1:7" s="1" customFormat="1" ht="45">
      <c r="A302" s="17">
        <v>299</v>
      </c>
      <c r="B302" s="11" t="s">
        <v>7</v>
      </c>
      <c r="C302" s="11" t="s">
        <v>23</v>
      </c>
      <c r="D302" s="9">
        <v>43901</v>
      </c>
      <c r="E302" s="6" t="s">
        <v>127</v>
      </c>
      <c r="F302" s="6" t="s">
        <v>216</v>
      </c>
      <c r="G302" s="27"/>
    </row>
    <row r="303" spans="1:7" ht="60">
      <c r="A303" s="17">
        <v>300</v>
      </c>
      <c r="B303" s="17" t="s">
        <v>10</v>
      </c>
      <c r="C303" s="17" t="s">
        <v>5</v>
      </c>
      <c r="D303" s="18">
        <v>43907</v>
      </c>
      <c r="E303" s="19" t="s">
        <v>285</v>
      </c>
      <c r="F303" s="19" t="s">
        <v>245</v>
      </c>
      <c r="G303" s="17" t="s">
        <v>210</v>
      </c>
    </row>
    <row r="304" spans="1:7" ht="45">
      <c r="A304" s="17">
        <v>301</v>
      </c>
      <c r="B304" s="17" t="s">
        <v>4</v>
      </c>
      <c r="C304" s="17" t="s">
        <v>5</v>
      </c>
      <c r="D304" s="18">
        <v>43883</v>
      </c>
      <c r="E304" s="19" t="s">
        <v>272</v>
      </c>
      <c r="F304" s="19" t="s">
        <v>245</v>
      </c>
      <c r="G304" s="17" t="s">
        <v>210</v>
      </c>
    </row>
    <row r="305" spans="1:7" ht="60">
      <c r="A305" s="17">
        <v>302</v>
      </c>
      <c r="B305" s="17" t="s">
        <v>4</v>
      </c>
      <c r="C305" s="17" t="s">
        <v>5</v>
      </c>
      <c r="D305" s="18">
        <v>43895</v>
      </c>
      <c r="E305" s="19" t="s">
        <v>271</v>
      </c>
      <c r="F305" s="19" t="s">
        <v>290</v>
      </c>
      <c r="G305" s="17" t="s">
        <v>210</v>
      </c>
    </row>
    <row r="306" spans="1:7" s="1" customFormat="1" ht="45">
      <c r="A306" s="17">
        <v>303</v>
      </c>
      <c r="B306" s="11" t="s">
        <v>76</v>
      </c>
      <c r="C306" s="11" t="s">
        <v>11</v>
      </c>
      <c r="D306" s="9">
        <v>43906</v>
      </c>
      <c r="E306" s="6" t="s">
        <v>22</v>
      </c>
      <c r="F306" s="6" t="s">
        <v>228</v>
      </c>
      <c r="G306" s="27" t="s">
        <v>210</v>
      </c>
    </row>
    <row r="307" spans="1:7" ht="60">
      <c r="A307" s="17">
        <v>304</v>
      </c>
      <c r="B307" s="17" t="s">
        <v>7</v>
      </c>
      <c r="C307" s="17" t="s">
        <v>5</v>
      </c>
      <c r="D307" s="18">
        <v>43900</v>
      </c>
      <c r="E307" s="19" t="s">
        <v>33</v>
      </c>
      <c r="F307" s="19" t="s">
        <v>242</v>
      </c>
      <c r="G307" s="17" t="s">
        <v>210</v>
      </c>
    </row>
    <row r="308" spans="1:7" s="1" customFormat="1" ht="60">
      <c r="A308" s="17">
        <v>305</v>
      </c>
      <c r="B308" s="11" t="s">
        <v>8</v>
      </c>
      <c r="C308" s="12" t="s">
        <v>14</v>
      </c>
      <c r="D308" s="9">
        <v>43888</v>
      </c>
      <c r="E308" s="6" t="s">
        <v>139</v>
      </c>
      <c r="F308" s="6" t="s">
        <v>220</v>
      </c>
      <c r="G308" s="27" t="s">
        <v>210</v>
      </c>
    </row>
    <row r="309" spans="1:7" ht="45">
      <c r="A309" s="17">
        <v>306</v>
      </c>
      <c r="B309" s="17" t="s">
        <v>57</v>
      </c>
      <c r="C309" s="17" t="s">
        <v>5</v>
      </c>
      <c r="D309" s="21" t="s">
        <v>77</v>
      </c>
      <c r="E309" s="19" t="s">
        <v>102</v>
      </c>
      <c r="F309" s="19" t="s">
        <v>242</v>
      </c>
      <c r="G309" s="17" t="s">
        <v>210</v>
      </c>
    </row>
    <row r="310" spans="1:7" s="1" customFormat="1" ht="315">
      <c r="A310" s="17">
        <v>307</v>
      </c>
      <c r="B310" s="11" t="s">
        <v>8</v>
      </c>
      <c r="C310" s="11" t="s">
        <v>21</v>
      </c>
      <c r="D310" s="9">
        <v>43780</v>
      </c>
      <c r="E310" s="6" t="s">
        <v>196</v>
      </c>
      <c r="F310" s="6" t="s">
        <v>226</v>
      </c>
      <c r="G310" s="27" t="s">
        <v>210</v>
      </c>
    </row>
    <row r="311" spans="1:7" s="1" customFormat="1" ht="75">
      <c r="A311" s="17">
        <v>308</v>
      </c>
      <c r="B311" s="11" t="s">
        <v>8</v>
      </c>
      <c r="C311" s="11" t="s">
        <v>21</v>
      </c>
      <c r="D311" s="9">
        <v>43903</v>
      </c>
      <c r="E311" s="6" t="s">
        <v>154</v>
      </c>
      <c r="F311" s="6" t="s">
        <v>226</v>
      </c>
      <c r="G311" s="27" t="s">
        <v>210</v>
      </c>
    </row>
    <row r="312" spans="1:7" ht="45">
      <c r="A312" s="17">
        <v>309</v>
      </c>
      <c r="B312" s="17" t="s">
        <v>4</v>
      </c>
      <c r="C312" s="17" t="s">
        <v>5</v>
      </c>
      <c r="D312" s="18">
        <v>43900</v>
      </c>
      <c r="E312" s="19" t="s">
        <v>270</v>
      </c>
      <c r="F312" s="19" t="s">
        <v>242</v>
      </c>
      <c r="G312" s="17" t="s">
        <v>210</v>
      </c>
    </row>
    <row r="313" spans="1:7" ht="60">
      <c r="A313" s="17">
        <v>310</v>
      </c>
      <c r="B313" s="17" t="s">
        <v>4</v>
      </c>
      <c r="C313" s="17" t="s">
        <v>5</v>
      </c>
      <c r="D313" s="18">
        <v>43900</v>
      </c>
      <c r="E313" s="19" t="s">
        <v>271</v>
      </c>
      <c r="F313" s="19" t="s">
        <v>290</v>
      </c>
      <c r="G313" s="17" t="s">
        <v>210</v>
      </c>
    </row>
    <row r="314" spans="1:7" s="1" customFormat="1" ht="45">
      <c r="A314" s="17">
        <v>311</v>
      </c>
      <c r="B314" s="11" t="s">
        <v>4</v>
      </c>
      <c r="C314" s="11" t="s">
        <v>11</v>
      </c>
      <c r="D314" s="9">
        <v>43908</v>
      </c>
      <c r="E314" s="6" t="s">
        <v>24</v>
      </c>
      <c r="F314" s="6" t="s">
        <v>223</v>
      </c>
      <c r="G314" s="27" t="s">
        <v>210</v>
      </c>
    </row>
    <row r="315" spans="1:7" s="1" customFormat="1" ht="45">
      <c r="A315" s="17">
        <v>312</v>
      </c>
      <c r="B315" s="11" t="s">
        <v>6</v>
      </c>
      <c r="C315" s="11" t="s">
        <v>11</v>
      </c>
      <c r="D315" s="9">
        <v>43908</v>
      </c>
      <c r="E315" s="6" t="s">
        <v>24</v>
      </c>
      <c r="F315" s="6" t="s">
        <v>223</v>
      </c>
      <c r="G315" s="27" t="s">
        <v>210</v>
      </c>
    </row>
    <row r="316" spans="1:7" s="1" customFormat="1" ht="45">
      <c r="A316" s="17">
        <v>313</v>
      </c>
      <c r="B316" s="11" t="s">
        <v>6</v>
      </c>
      <c r="C316" s="11" t="s">
        <v>11</v>
      </c>
      <c r="D316" s="9">
        <v>43903</v>
      </c>
      <c r="E316" s="6" t="s">
        <v>22</v>
      </c>
      <c r="F316" s="6" t="s">
        <v>228</v>
      </c>
      <c r="G316" s="27" t="s">
        <v>210</v>
      </c>
    </row>
    <row r="317" spans="1:7" ht="60">
      <c r="A317" s="17">
        <v>314</v>
      </c>
      <c r="B317" s="17" t="s">
        <v>4</v>
      </c>
      <c r="C317" s="17" t="s">
        <v>5</v>
      </c>
      <c r="D317" s="18">
        <v>43891</v>
      </c>
      <c r="E317" s="19" t="s">
        <v>280</v>
      </c>
      <c r="F317" s="19" t="s">
        <v>242</v>
      </c>
      <c r="G317" s="17" t="s">
        <v>210</v>
      </c>
    </row>
    <row r="318" spans="1:7" s="1" customFormat="1" ht="45">
      <c r="A318" s="17">
        <v>315</v>
      </c>
      <c r="B318" s="11" t="s">
        <v>78</v>
      </c>
      <c r="C318" s="9" t="s">
        <v>79</v>
      </c>
      <c r="D318" s="9">
        <v>43903</v>
      </c>
      <c r="E318" s="6" t="s">
        <v>80</v>
      </c>
      <c r="F318" s="6" t="s">
        <v>233</v>
      </c>
      <c r="G318" s="27" t="s">
        <v>210</v>
      </c>
    </row>
    <row r="319" spans="1:7" ht="60">
      <c r="A319" s="17">
        <v>316</v>
      </c>
      <c r="B319" s="17" t="s">
        <v>20</v>
      </c>
      <c r="C319" s="17" t="s">
        <v>5</v>
      </c>
      <c r="D319" s="18">
        <v>43906</v>
      </c>
      <c r="E319" s="19" t="s">
        <v>280</v>
      </c>
      <c r="F319" s="19" t="s">
        <v>242</v>
      </c>
      <c r="G319" s="17" t="s">
        <v>210</v>
      </c>
    </row>
    <row r="320" spans="1:7" s="1" customFormat="1" ht="45">
      <c r="A320" s="17">
        <v>317</v>
      </c>
      <c r="B320" s="11" t="s">
        <v>4</v>
      </c>
      <c r="C320" s="11" t="s">
        <v>11</v>
      </c>
      <c r="D320" s="9">
        <v>43904</v>
      </c>
      <c r="E320" s="6" t="s">
        <v>24</v>
      </c>
      <c r="F320" s="6" t="s">
        <v>223</v>
      </c>
      <c r="G320" s="27" t="s">
        <v>210</v>
      </c>
    </row>
    <row r="321" spans="1:7" ht="45">
      <c r="A321" s="17">
        <v>318</v>
      </c>
      <c r="B321" s="17" t="s">
        <v>4</v>
      </c>
      <c r="C321" s="17" t="s">
        <v>5</v>
      </c>
      <c r="D321" s="18">
        <v>43900</v>
      </c>
      <c r="E321" s="19" t="s">
        <v>102</v>
      </c>
      <c r="F321" s="19" t="s">
        <v>242</v>
      </c>
      <c r="G321" s="17" t="s">
        <v>210</v>
      </c>
    </row>
    <row r="322" spans="1:7" s="1" customFormat="1" ht="45">
      <c r="A322" s="17">
        <v>319</v>
      </c>
      <c r="B322" s="11" t="s">
        <v>4</v>
      </c>
      <c r="C322" s="11" t="s">
        <v>11</v>
      </c>
      <c r="D322" s="9">
        <v>43904</v>
      </c>
      <c r="E322" s="6" t="s">
        <v>32</v>
      </c>
      <c r="F322" s="6" t="s">
        <v>223</v>
      </c>
      <c r="G322" s="27" t="s">
        <v>210</v>
      </c>
    </row>
    <row r="323" spans="1:7" ht="45">
      <c r="A323" s="17">
        <v>320</v>
      </c>
      <c r="B323" s="17" t="s">
        <v>4</v>
      </c>
      <c r="C323" s="17" t="s">
        <v>5</v>
      </c>
      <c r="D323" s="18">
        <v>43906</v>
      </c>
      <c r="E323" s="19" t="s">
        <v>102</v>
      </c>
      <c r="F323" s="19" t="s">
        <v>242</v>
      </c>
      <c r="G323" s="17" t="s">
        <v>210</v>
      </c>
    </row>
    <row r="324" spans="1:7" ht="45">
      <c r="A324" s="17">
        <v>321</v>
      </c>
      <c r="B324" s="17" t="s">
        <v>4</v>
      </c>
      <c r="C324" s="17" t="s">
        <v>5</v>
      </c>
      <c r="D324" s="18">
        <v>43900</v>
      </c>
      <c r="E324" s="19" t="s">
        <v>270</v>
      </c>
      <c r="F324" s="19" t="s">
        <v>242</v>
      </c>
      <c r="G324" s="17" t="s">
        <v>210</v>
      </c>
    </row>
    <row r="325" spans="1:7" s="1" customFormat="1" ht="45">
      <c r="A325" s="17">
        <v>322</v>
      </c>
      <c r="B325" s="11" t="s">
        <v>4</v>
      </c>
      <c r="C325" s="11" t="s">
        <v>11</v>
      </c>
      <c r="D325" s="9">
        <v>43904</v>
      </c>
      <c r="E325" s="6" t="s">
        <v>32</v>
      </c>
      <c r="F325" s="6" t="s">
        <v>223</v>
      </c>
      <c r="G325" s="27" t="s">
        <v>210</v>
      </c>
    </row>
    <row r="326" spans="1:7" ht="45">
      <c r="A326" s="17">
        <v>323</v>
      </c>
      <c r="B326" s="17" t="s">
        <v>4</v>
      </c>
      <c r="C326" s="17" t="s">
        <v>5</v>
      </c>
      <c r="D326" s="18">
        <v>43901</v>
      </c>
      <c r="E326" s="19" t="s">
        <v>270</v>
      </c>
      <c r="F326" s="19" t="s">
        <v>242</v>
      </c>
      <c r="G326" s="17" t="s">
        <v>210</v>
      </c>
    </row>
    <row r="327" spans="1:7" s="1" customFormat="1" ht="45">
      <c r="A327" s="17">
        <v>324</v>
      </c>
      <c r="B327" s="11" t="s">
        <v>4</v>
      </c>
      <c r="C327" s="11" t="s">
        <v>11</v>
      </c>
      <c r="D327" s="9">
        <v>43904</v>
      </c>
      <c r="E327" s="6" t="s">
        <v>24</v>
      </c>
      <c r="F327" s="6" t="s">
        <v>223</v>
      </c>
      <c r="G327" s="27" t="s">
        <v>210</v>
      </c>
    </row>
    <row r="328" spans="1:7" ht="60">
      <c r="A328" s="17">
        <v>325</v>
      </c>
      <c r="B328" s="17" t="s">
        <v>4</v>
      </c>
      <c r="C328" s="17" t="s">
        <v>5</v>
      </c>
      <c r="D328" s="18">
        <v>43899</v>
      </c>
      <c r="E328" s="19" t="s">
        <v>280</v>
      </c>
      <c r="F328" s="19" t="s">
        <v>242</v>
      </c>
      <c r="G328" s="17" t="s">
        <v>210</v>
      </c>
    </row>
    <row r="329" spans="1:7" ht="45">
      <c r="A329" s="17">
        <v>326</v>
      </c>
      <c r="B329" s="17" t="s">
        <v>10</v>
      </c>
      <c r="C329" s="17" t="s">
        <v>5</v>
      </c>
      <c r="D329" s="18">
        <v>43906</v>
      </c>
      <c r="E329" s="19" t="s">
        <v>81</v>
      </c>
      <c r="F329" s="19" t="s">
        <v>242</v>
      </c>
      <c r="G329" s="17" t="s">
        <v>210</v>
      </c>
    </row>
    <row r="330" spans="1:7" ht="60">
      <c r="A330" s="17">
        <v>327</v>
      </c>
      <c r="B330" s="17" t="s">
        <v>4</v>
      </c>
      <c r="C330" s="17" t="s">
        <v>5</v>
      </c>
      <c r="D330" s="18">
        <v>43900</v>
      </c>
      <c r="E330" s="19" t="s">
        <v>271</v>
      </c>
      <c r="F330" s="19" t="s">
        <v>290</v>
      </c>
      <c r="G330" s="17" t="s">
        <v>210</v>
      </c>
    </row>
    <row r="331" spans="1:7" ht="45">
      <c r="A331" s="17">
        <v>328</v>
      </c>
      <c r="B331" s="17" t="s">
        <v>4</v>
      </c>
      <c r="C331" s="17" t="s">
        <v>5</v>
      </c>
      <c r="D331" s="18">
        <v>43902</v>
      </c>
      <c r="E331" s="19" t="s">
        <v>256</v>
      </c>
      <c r="F331" s="19" t="s">
        <v>242</v>
      </c>
      <c r="G331" s="17" t="s">
        <v>210</v>
      </c>
    </row>
    <row r="332" spans="1:7" ht="45">
      <c r="A332" s="17">
        <v>329</v>
      </c>
      <c r="B332" s="17" t="s">
        <v>4</v>
      </c>
      <c r="C332" s="17" t="s">
        <v>5</v>
      </c>
      <c r="D332" s="18">
        <v>43902</v>
      </c>
      <c r="E332" s="19" t="s">
        <v>256</v>
      </c>
      <c r="F332" s="19" t="s">
        <v>242</v>
      </c>
      <c r="G332" s="17" t="s">
        <v>210</v>
      </c>
    </row>
    <row r="333" spans="1:7" ht="45">
      <c r="A333" s="17">
        <v>330</v>
      </c>
      <c r="B333" s="17" t="s">
        <v>20</v>
      </c>
      <c r="C333" s="17" t="s">
        <v>5</v>
      </c>
      <c r="D333" s="18">
        <v>43903</v>
      </c>
      <c r="E333" s="19" t="s">
        <v>286</v>
      </c>
      <c r="F333" s="19" t="s">
        <v>295</v>
      </c>
      <c r="G333" s="17" t="s">
        <v>210</v>
      </c>
    </row>
    <row r="334" spans="1:7" s="1" customFormat="1" ht="45">
      <c r="A334" s="17">
        <v>331</v>
      </c>
      <c r="B334" s="11" t="s">
        <v>4</v>
      </c>
      <c r="C334" s="11" t="s">
        <v>11</v>
      </c>
      <c r="D334" s="9">
        <v>43881</v>
      </c>
      <c r="E334" s="6" t="s">
        <v>22</v>
      </c>
      <c r="F334" s="6" t="s">
        <v>228</v>
      </c>
      <c r="G334" s="27" t="s">
        <v>210</v>
      </c>
    </row>
    <row r="335" spans="1:7" ht="45">
      <c r="A335" s="17">
        <v>332</v>
      </c>
      <c r="B335" s="17" t="s">
        <v>4</v>
      </c>
      <c r="C335" s="17" t="s">
        <v>5</v>
      </c>
      <c r="D335" s="18">
        <v>43900</v>
      </c>
      <c r="E335" s="19" t="s">
        <v>102</v>
      </c>
      <c r="F335" s="19" t="s">
        <v>242</v>
      </c>
      <c r="G335" s="17" t="s">
        <v>210</v>
      </c>
    </row>
    <row r="336" spans="1:7" ht="45">
      <c r="A336" s="17">
        <v>333</v>
      </c>
      <c r="B336" s="17" t="s">
        <v>20</v>
      </c>
      <c r="C336" s="17" t="s">
        <v>5</v>
      </c>
      <c r="D336" s="18">
        <v>43904</v>
      </c>
      <c r="E336" s="19" t="s">
        <v>286</v>
      </c>
      <c r="F336" s="19" t="s">
        <v>295</v>
      </c>
      <c r="G336" s="17" t="s">
        <v>210</v>
      </c>
    </row>
    <row r="337" spans="1:7" s="1" customFormat="1" ht="75">
      <c r="A337" s="17">
        <v>334</v>
      </c>
      <c r="B337" s="11" t="s">
        <v>8</v>
      </c>
      <c r="C337" s="11" t="s">
        <v>21</v>
      </c>
      <c r="D337" s="9">
        <v>43903</v>
      </c>
      <c r="E337" s="6" t="s">
        <v>197</v>
      </c>
      <c r="F337" s="6" t="s">
        <v>226</v>
      </c>
      <c r="G337" s="27" t="s">
        <v>210</v>
      </c>
    </row>
    <row r="338" spans="1:7" s="1" customFormat="1" ht="45">
      <c r="A338" s="17">
        <v>335</v>
      </c>
      <c r="B338" s="11" t="s">
        <v>4</v>
      </c>
      <c r="C338" s="11" t="s">
        <v>11</v>
      </c>
      <c r="D338" s="9">
        <v>43904</v>
      </c>
      <c r="E338" s="6" t="s">
        <v>22</v>
      </c>
      <c r="F338" s="6" t="s">
        <v>228</v>
      </c>
      <c r="G338" s="27" t="s">
        <v>210</v>
      </c>
    </row>
    <row r="339" spans="1:7" ht="45">
      <c r="A339" s="17">
        <v>336</v>
      </c>
      <c r="B339" s="17" t="s">
        <v>4</v>
      </c>
      <c r="C339" s="17" t="s">
        <v>5</v>
      </c>
      <c r="D339" s="18">
        <v>43902</v>
      </c>
      <c r="E339" s="19" t="s">
        <v>270</v>
      </c>
      <c r="F339" s="19" t="s">
        <v>242</v>
      </c>
      <c r="G339" s="17" t="s">
        <v>210</v>
      </c>
    </row>
    <row r="340" spans="1:7" ht="45">
      <c r="A340" s="17">
        <v>337</v>
      </c>
      <c r="B340" s="17" t="s">
        <v>4</v>
      </c>
      <c r="C340" s="17" t="s">
        <v>5</v>
      </c>
      <c r="D340" s="18">
        <v>43900</v>
      </c>
      <c r="E340" s="19" t="s">
        <v>102</v>
      </c>
      <c r="F340" s="19" t="s">
        <v>242</v>
      </c>
      <c r="G340" s="17" t="s">
        <v>210</v>
      </c>
    </row>
    <row r="341" spans="1:7" ht="60">
      <c r="A341" s="17">
        <v>338</v>
      </c>
      <c r="B341" s="17" t="s">
        <v>4</v>
      </c>
      <c r="C341" s="17" t="s">
        <v>5</v>
      </c>
      <c r="D341" s="18">
        <v>43897</v>
      </c>
      <c r="E341" s="19" t="s">
        <v>280</v>
      </c>
      <c r="F341" s="19" t="s">
        <v>242</v>
      </c>
      <c r="G341" s="17" t="s">
        <v>210</v>
      </c>
    </row>
    <row r="342" spans="1:7" s="1" customFormat="1" ht="45">
      <c r="A342" s="17">
        <v>339</v>
      </c>
      <c r="B342" s="11" t="s">
        <v>7</v>
      </c>
      <c r="C342" s="11" t="s">
        <v>23</v>
      </c>
      <c r="D342" s="9">
        <v>43901</v>
      </c>
      <c r="E342" s="6" t="s">
        <v>128</v>
      </c>
      <c r="F342" s="6" t="s">
        <v>216</v>
      </c>
      <c r="G342" s="27"/>
    </row>
    <row r="343" spans="1:7" ht="75">
      <c r="A343" s="17">
        <v>340</v>
      </c>
      <c r="B343" s="17" t="s">
        <v>10</v>
      </c>
      <c r="C343" s="17" t="s">
        <v>5</v>
      </c>
      <c r="D343" s="18">
        <v>43900</v>
      </c>
      <c r="E343" s="19" t="s">
        <v>241</v>
      </c>
      <c r="F343" s="19" t="s">
        <v>237</v>
      </c>
      <c r="G343" s="17" t="s">
        <v>210</v>
      </c>
    </row>
    <row r="344" spans="1:7" ht="75">
      <c r="A344" s="17">
        <v>341</v>
      </c>
      <c r="B344" s="17" t="s">
        <v>10</v>
      </c>
      <c r="C344" s="17" t="s">
        <v>5</v>
      </c>
      <c r="D344" s="18">
        <v>43899</v>
      </c>
      <c r="E344" s="19" t="s">
        <v>240</v>
      </c>
      <c r="F344" s="19" t="s">
        <v>237</v>
      </c>
      <c r="G344" s="17" t="s">
        <v>210</v>
      </c>
    </row>
    <row r="345" spans="1:7" s="1" customFormat="1" ht="45">
      <c r="A345" s="17">
        <v>342</v>
      </c>
      <c r="B345" s="11" t="s">
        <v>4</v>
      </c>
      <c r="C345" s="11" t="s">
        <v>11</v>
      </c>
      <c r="D345" s="9">
        <v>43904</v>
      </c>
      <c r="E345" s="6" t="s">
        <v>22</v>
      </c>
      <c r="F345" s="6" t="s">
        <v>228</v>
      </c>
      <c r="G345" s="27" t="s">
        <v>210</v>
      </c>
    </row>
    <row r="346" spans="1:7" ht="45">
      <c r="A346" s="17">
        <v>343</v>
      </c>
      <c r="B346" s="17" t="s">
        <v>20</v>
      </c>
      <c r="C346" s="17" t="s">
        <v>5</v>
      </c>
      <c r="D346" s="18">
        <v>43898</v>
      </c>
      <c r="E346" s="19" t="s">
        <v>102</v>
      </c>
      <c r="F346" s="19" t="s">
        <v>242</v>
      </c>
      <c r="G346" s="17" t="s">
        <v>210</v>
      </c>
    </row>
    <row r="347" spans="1:7" s="1" customFormat="1" ht="45">
      <c r="A347" s="17">
        <v>344</v>
      </c>
      <c r="B347" s="11" t="s">
        <v>8</v>
      </c>
      <c r="C347" s="11" t="s">
        <v>14</v>
      </c>
      <c r="D347" s="9">
        <v>43900</v>
      </c>
      <c r="E347" s="6" t="s">
        <v>136</v>
      </c>
      <c r="F347" s="6" t="s">
        <v>220</v>
      </c>
      <c r="G347" s="27" t="s">
        <v>210</v>
      </c>
    </row>
    <row r="348" spans="1:7" s="1" customFormat="1" ht="45">
      <c r="A348" s="17">
        <v>345</v>
      </c>
      <c r="B348" s="11" t="s">
        <v>4</v>
      </c>
      <c r="C348" s="11" t="s">
        <v>11</v>
      </c>
      <c r="D348" s="9">
        <v>43904</v>
      </c>
      <c r="E348" s="6" t="s">
        <v>24</v>
      </c>
      <c r="F348" s="6" t="s">
        <v>223</v>
      </c>
      <c r="G348" s="27" t="s">
        <v>210</v>
      </c>
    </row>
    <row r="349" spans="1:7" s="1" customFormat="1" ht="45">
      <c r="A349" s="17">
        <v>346</v>
      </c>
      <c r="B349" s="11" t="s">
        <v>7</v>
      </c>
      <c r="C349" s="11" t="s">
        <v>23</v>
      </c>
      <c r="D349" s="9">
        <v>43901</v>
      </c>
      <c r="E349" s="6" t="s">
        <v>128</v>
      </c>
      <c r="F349" s="6" t="s">
        <v>216</v>
      </c>
      <c r="G349" s="27"/>
    </row>
    <row r="350" spans="1:7" s="1" customFormat="1" ht="45">
      <c r="A350" s="17">
        <v>347</v>
      </c>
      <c r="B350" s="11" t="s">
        <v>10</v>
      </c>
      <c r="C350" s="11" t="s">
        <v>25</v>
      </c>
      <c r="D350" s="9">
        <v>43904</v>
      </c>
      <c r="E350" s="6" t="s">
        <v>26</v>
      </c>
      <c r="F350" s="6" t="s">
        <v>235</v>
      </c>
      <c r="G350" s="27" t="s">
        <v>210</v>
      </c>
    </row>
    <row r="351" spans="1:7" ht="60">
      <c r="A351" s="17">
        <v>348</v>
      </c>
      <c r="B351" s="17" t="s">
        <v>4</v>
      </c>
      <c r="C351" s="17" t="s">
        <v>5</v>
      </c>
      <c r="D351" s="18">
        <v>43898</v>
      </c>
      <c r="E351" s="19" t="s">
        <v>271</v>
      </c>
      <c r="F351" s="19" t="s">
        <v>290</v>
      </c>
      <c r="G351" s="17" t="s">
        <v>210</v>
      </c>
    </row>
    <row r="352" spans="1:7" s="1" customFormat="1" ht="75">
      <c r="A352" s="17">
        <v>349</v>
      </c>
      <c r="B352" s="11" t="s">
        <v>8</v>
      </c>
      <c r="C352" s="11" t="s">
        <v>21</v>
      </c>
      <c r="D352" s="9">
        <v>43903</v>
      </c>
      <c r="E352" s="6" t="s">
        <v>198</v>
      </c>
      <c r="F352" s="6" t="s">
        <v>226</v>
      </c>
      <c r="G352" s="27" t="s">
        <v>210</v>
      </c>
    </row>
    <row r="353" spans="1:7" ht="45">
      <c r="A353" s="17">
        <v>350</v>
      </c>
      <c r="B353" s="17" t="s">
        <v>27</v>
      </c>
      <c r="C353" s="17" t="s">
        <v>5</v>
      </c>
      <c r="D353" s="18">
        <v>43897</v>
      </c>
      <c r="E353" s="19" t="s">
        <v>266</v>
      </c>
      <c r="F353" s="19" t="s">
        <v>296</v>
      </c>
      <c r="G353" s="17" t="s">
        <v>210</v>
      </c>
    </row>
    <row r="354" spans="1:7" ht="45">
      <c r="A354" s="17">
        <v>351</v>
      </c>
      <c r="B354" s="17" t="s">
        <v>27</v>
      </c>
      <c r="C354" s="17" t="s">
        <v>5</v>
      </c>
      <c r="D354" s="18">
        <v>43900</v>
      </c>
      <c r="E354" s="19" t="s">
        <v>265</v>
      </c>
      <c r="F354" s="19" t="s">
        <v>297</v>
      </c>
      <c r="G354" s="17" t="s">
        <v>210</v>
      </c>
    </row>
    <row r="355" spans="1:7" ht="45">
      <c r="A355" s="17">
        <v>352</v>
      </c>
      <c r="B355" s="17" t="s">
        <v>27</v>
      </c>
      <c r="C355" s="17" t="s">
        <v>5</v>
      </c>
      <c r="D355" s="18">
        <v>43899</v>
      </c>
      <c r="E355" s="19" t="s">
        <v>28</v>
      </c>
      <c r="F355" s="19" t="s">
        <v>297</v>
      </c>
      <c r="G355" s="17" t="s">
        <v>210</v>
      </c>
    </row>
    <row r="356" spans="1:7" ht="45">
      <c r="A356" s="17">
        <v>353</v>
      </c>
      <c r="B356" s="17" t="s">
        <v>27</v>
      </c>
      <c r="C356" s="17" t="s">
        <v>5</v>
      </c>
      <c r="D356" s="18">
        <v>43899</v>
      </c>
      <c r="E356" s="19" t="s">
        <v>264</v>
      </c>
      <c r="F356" s="19" t="s">
        <v>297</v>
      </c>
      <c r="G356" s="17" t="s">
        <v>210</v>
      </c>
    </row>
    <row r="357" spans="1:7" ht="45">
      <c r="A357" s="17">
        <v>354</v>
      </c>
      <c r="B357" s="17" t="s">
        <v>27</v>
      </c>
      <c r="C357" s="17" t="s">
        <v>5</v>
      </c>
      <c r="D357" s="18">
        <v>43898</v>
      </c>
      <c r="E357" s="19" t="s">
        <v>264</v>
      </c>
      <c r="F357" s="19" t="s">
        <v>297</v>
      </c>
      <c r="G357" s="17" t="s">
        <v>210</v>
      </c>
    </row>
    <row r="358" spans="1:7" ht="45">
      <c r="A358" s="17">
        <v>355</v>
      </c>
      <c r="B358" s="17" t="s">
        <v>27</v>
      </c>
      <c r="C358" s="17" t="s">
        <v>5</v>
      </c>
      <c r="D358" s="18">
        <v>43900</v>
      </c>
      <c r="E358" s="19" t="s">
        <v>263</v>
      </c>
      <c r="F358" s="19" t="s">
        <v>297</v>
      </c>
      <c r="G358" s="17" t="s">
        <v>210</v>
      </c>
    </row>
    <row r="359" spans="1:7" s="1" customFormat="1" ht="75">
      <c r="A359" s="17">
        <v>356</v>
      </c>
      <c r="B359" s="11" t="s">
        <v>8</v>
      </c>
      <c r="C359" s="11" t="s">
        <v>14</v>
      </c>
      <c r="D359" s="9">
        <v>43900</v>
      </c>
      <c r="E359" s="6" t="s">
        <v>140</v>
      </c>
      <c r="F359" s="6" t="s">
        <v>220</v>
      </c>
      <c r="G359" s="27" t="s">
        <v>210</v>
      </c>
    </row>
    <row r="360" spans="1:7" ht="45">
      <c r="A360" s="17">
        <v>357</v>
      </c>
      <c r="B360" s="17" t="s">
        <v>27</v>
      </c>
      <c r="C360" s="17" t="s">
        <v>5</v>
      </c>
      <c r="D360" s="18">
        <v>43899</v>
      </c>
      <c r="E360" s="19" t="s">
        <v>261</v>
      </c>
      <c r="F360" s="19" t="s">
        <v>297</v>
      </c>
      <c r="G360" s="17" t="s">
        <v>210</v>
      </c>
    </row>
    <row r="361" spans="1:7" ht="45">
      <c r="A361" s="17">
        <v>358</v>
      </c>
      <c r="B361" s="17" t="s">
        <v>4</v>
      </c>
      <c r="C361" s="17" t="s">
        <v>5</v>
      </c>
      <c r="D361" s="18">
        <v>43905</v>
      </c>
      <c r="E361" s="19" t="s">
        <v>256</v>
      </c>
      <c r="F361" s="19" t="s">
        <v>242</v>
      </c>
      <c r="G361" s="17" t="s">
        <v>210</v>
      </c>
    </row>
    <row r="362" spans="1:7" s="1" customFormat="1" ht="45">
      <c r="A362" s="17">
        <v>359</v>
      </c>
      <c r="B362" s="11" t="s">
        <v>29</v>
      </c>
      <c r="C362" s="11" t="s">
        <v>23</v>
      </c>
      <c r="D362" s="9">
        <v>43901</v>
      </c>
      <c r="E362" s="6" t="s">
        <v>128</v>
      </c>
      <c r="F362" s="6" t="s">
        <v>216</v>
      </c>
      <c r="G362" s="27"/>
    </row>
    <row r="363" spans="1:7" s="1" customFormat="1" ht="45">
      <c r="A363" s="17">
        <v>360</v>
      </c>
      <c r="B363" s="11" t="s">
        <v>10</v>
      </c>
      <c r="C363" s="11" t="s">
        <v>25</v>
      </c>
      <c r="D363" s="9">
        <v>43906</v>
      </c>
      <c r="E363" s="6" t="s">
        <v>30</v>
      </c>
      <c r="F363" s="6" t="s">
        <v>235</v>
      </c>
      <c r="G363" s="27" t="s">
        <v>210</v>
      </c>
    </row>
    <row r="364" spans="1:7" ht="45">
      <c r="A364" s="17">
        <v>361</v>
      </c>
      <c r="B364" s="17" t="s">
        <v>4</v>
      </c>
      <c r="C364" s="17" t="s">
        <v>5</v>
      </c>
      <c r="D364" s="18">
        <v>43908</v>
      </c>
      <c r="E364" s="19" t="s">
        <v>102</v>
      </c>
      <c r="F364" s="19" t="s">
        <v>242</v>
      </c>
      <c r="G364" s="17" t="s">
        <v>210</v>
      </c>
    </row>
    <row r="365" spans="1:7" s="1" customFormat="1" ht="45">
      <c r="A365" s="17">
        <v>362</v>
      </c>
      <c r="B365" s="11" t="s">
        <v>4</v>
      </c>
      <c r="C365" s="11" t="s">
        <v>11</v>
      </c>
      <c r="D365" s="9">
        <v>43904</v>
      </c>
      <c r="E365" s="6" t="s">
        <v>31</v>
      </c>
      <c r="F365" s="6" t="s">
        <v>223</v>
      </c>
      <c r="G365" s="27" t="s">
        <v>210</v>
      </c>
    </row>
    <row r="366" spans="1:7" s="1" customFormat="1" ht="75">
      <c r="A366" s="17">
        <v>363</v>
      </c>
      <c r="B366" s="11" t="s">
        <v>8</v>
      </c>
      <c r="C366" s="11" t="s">
        <v>14</v>
      </c>
      <c r="D366" s="9">
        <v>43899</v>
      </c>
      <c r="E366" s="6" t="s">
        <v>141</v>
      </c>
      <c r="F366" s="6" t="s">
        <v>220</v>
      </c>
      <c r="G366" s="27" t="s">
        <v>210</v>
      </c>
    </row>
    <row r="367" spans="1:7" s="1" customFormat="1" ht="75">
      <c r="A367" s="17">
        <v>364</v>
      </c>
      <c r="B367" s="11" t="s">
        <v>13</v>
      </c>
      <c r="C367" s="11" t="s">
        <v>21</v>
      </c>
      <c r="D367" s="9">
        <v>43903</v>
      </c>
      <c r="E367" s="6" t="s">
        <v>154</v>
      </c>
      <c r="F367" s="6" t="s">
        <v>226</v>
      </c>
      <c r="G367" s="27" t="s">
        <v>210</v>
      </c>
    </row>
    <row r="368" spans="1:7" ht="45">
      <c r="A368" s="17">
        <v>365</v>
      </c>
      <c r="B368" s="17" t="s">
        <v>4</v>
      </c>
      <c r="C368" s="17" t="s">
        <v>5</v>
      </c>
      <c r="D368" s="18">
        <v>43897</v>
      </c>
      <c r="E368" s="19" t="s">
        <v>102</v>
      </c>
      <c r="F368" s="19" t="s">
        <v>242</v>
      </c>
      <c r="G368" s="17" t="s">
        <v>210</v>
      </c>
    </row>
    <row r="369" spans="1:7" s="1" customFormat="1" ht="45">
      <c r="A369" s="17">
        <v>366</v>
      </c>
      <c r="B369" s="11" t="s">
        <v>6</v>
      </c>
      <c r="C369" s="11" t="s">
        <v>11</v>
      </c>
      <c r="D369" s="9">
        <v>43904</v>
      </c>
      <c r="E369" s="6" t="s">
        <v>32</v>
      </c>
      <c r="F369" s="6" t="s">
        <v>223</v>
      </c>
      <c r="G369" s="27" t="s">
        <v>210</v>
      </c>
    </row>
    <row r="370" spans="1:7" s="1" customFormat="1" ht="45">
      <c r="A370" s="17">
        <v>367</v>
      </c>
      <c r="B370" s="11" t="s">
        <v>8</v>
      </c>
      <c r="C370" s="11" t="s">
        <v>14</v>
      </c>
      <c r="D370" s="9">
        <v>43900</v>
      </c>
      <c r="E370" s="6" t="s">
        <v>132</v>
      </c>
      <c r="F370" s="6" t="s">
        <v>220</v>
      </c>
      <c r="G370" s="27" t="s">
        <v>210</v>
      </c>
    </row>
    <row r="371" spans="1:7" s="1" customFormat="1" ht="45">
      <c r="A371" s="17">
        <v>368</v>
      </c>
      <c r="B371" s="11" t="s">
        <v>7</v>
      </c>
      <c r="C371" s="11" t="s">
        <v>23</v>
      </c>
      <c r="D371" s="9">
        <v>43901</v>
      </c>
      <c r="E371" s="6" t="s">
        <v>129</v>
      </c>
      <c r="F371" s="6" t="s">
        <v>216</v>
      </c>
      <c r="G371" s="27"/>
    </row>
    <row r="372" spans="1:7" s="1" customFormat="1" ht="45">
      <c r="A372" s="17">
        <v>369</v>
      </c>
      <c r="B372" s="11" t="s">
        <v>4</v>
      </c>
      <c r="C372" s="11" t="s">
        <v>11</v>
      </c>
      <c r="D372" s="9">
        <v>43904</v>
      </c>
      <c r="E372" s="6" t="s">
        <v>22</v>
      </c>
      <c r="F372" s="6" t="s">
        <v>228</v>
      </c>
      <c r="G372" s="27" t="s">
        <v>210</v>
      </c>
    </row>
    <row r="373" spans="1:7" ht="60">
      <c r="A373" s="17">
        <v>370</v>
      </c>
      <c r="B373" s="17" t="s">
        <v>4</v>
      </c>
      <c r="C373" s="17" t="s">
        <v>5</v>
      </c>
      <c r="D373" s="18">
        <v>43906</v>
      </c>
      <c r="E373" s="19" t="s">
        <v>280</v>
      </c>
      <c r="F373" s="19" t="s">
        <v>242</v>
      </c>
      <c r="G373" s="17" t="s">
        <v>210</v>
      </c>
    </row>
    <row r="374" spans="1:7" ht="45">
      <c r="A374" s="17">
        <v>371</v>
      </c>
      <c r="B374" s="17" t="s">
        <v>4</v>
      </c>
      <c r="C374" s="17" t="s">
        <v>5</v>
      </c>
      <c r="D374" s="18">
        <v>43895</v>
      </c>
      <c r="E374" s="19" t="s">
        <v>270</v>
      </c>
      <c r="F374" s="19" t="s">
        <v>242</v>
      </c>
      <c r="G374" s="17" t="s">
        <v>210</v>
      </c>
    </row>
    <row r="375" spans="1:7" s="1" customFormat="1" ht="45">
      <c r="A375" s="17">
        <v>372</v>
      </c>
      <c r="B375" s="11" t="s">
        <v>4</v>
      </c>
      <c r="C375" s="11" t="s">
        <v>11</v>
      </c>
      <c r="D375" s="9">
        <v>43904</v>
      </c>
      <c r="E375" s="6" t="s">
        <v>32</v>
      </c>
      <c r="F375" s="6" t="s">
        <v>223</v>
      </c>
      <c r="G375" s="27" t="s">
        <v>210</v>
      </c>
    </row>
    <row r="376" spans="1:7" ht="60">
      <c r="A376" s="17">
        <v>373</v>
      </c>
      <c r="B376" s="17" t="s">
        <v>4</v>
      </c>
      <c r="C376" s="17" t="s">
        <v>5</v>
      </c>
      <c r="D376" s="18">
        <v>43896</v>
      </c>
      <c r="E376" s="19" t="s">
        <v>271</v>
      </c>
      <c r="F376" s="19" t="s">
        <v>290</v>
      </c>
      <c r="G376" s="17" t="s">
        <v>210</v>
      </c>
    </row>
    <row r="377" spans="1:7" s="1" customFormat="1" ht="45">
      <c r="A377" s="17">
        <v>374</v>
      </c>
      <c r="B377" s="11" t="s">
        <v>8</v>
      </c>
      <c r="C377" s="11" t="s">
        <v>14</v>
      </c>
      <c r="D377" s="9">
        <v>43894</v>
      </c>
      <c r="E377" s="6" t="s">
        <v>142</v>
      </c>
      <c r="F377" s="6" t="s">
        <v>220</v>
      </c>
      <c r="G377" s="27" t="s">
        <v>210</v>
      </c>
    </row>
    <row r="378" spans="1:7" s="1" customFormat="1" ht="45">
      <c r="A378" s="17">
        <v>375</v>
      </c>
      <c r="B378" s="11" t="s">
        <v>4</v>
      </c>
      <c r="C378" s="11" t="s">
        <v>11</v>
      </c>
      <c r="D378" s="9">
        <v>43904</v>
      </c>
      <c r="E378" s="6" t="s">
        <v>32</v>
      </c>
      <c r="F378" s="6" t="s">
        <v>223</v>
      </c>
      <c r="G378" s="27" t="s">
        <v>210</v>
      </c>
    </row>
    <row r="379" spans="1:7" ht="60">
      <c r="A379" s="17">
        <v>376</v>
      </c>
      <c r="B379" s="17" t="s">
        <v>7</v>
      </c>
      <c r="C379" s="17" t="s">
        <v>5</v>
      </c>
      <c r="D379" s="18">
        <v>43900</v>
      </c>
      <c r="E379" s="19" t="s">
        <v>33</v>
      </c>
      <c r="F379" s="19" t="s">
        <v>242</v>
      </c>
      <c r="G379" s="17" t="s">
        <v>210</v>
      </c>
    </row>
    <row r="380" spans="1:7" s="1" customFormat="1" ht="45">
      <c r="A380" s="17">
        <v>377</v>
      </c>
      <c r="B380" s="11" t="s">
        <v>8</v>
      </c>
      <c r="C380" s="11" t="s">
        <v>14</v>
      </c>
      <c r="D380" s="9">
        <v>43900</v>
      </c>
      <c r="E380" s="6" t="s">
        <v>132</v>
      </c>
      <c r="F380" s="6" t="s">
        <v>220</v>
      </c>
      <c r="G380" s="27" t="s">
        <v>210</v>
      </c>
    </row>
    <row r="381" spans="1:7" s="1" customFormat="1" ht="75">
      <c r="A381" s="17">
        <v>378</v>
      </c>
      <c r="B381" s="11" t="s">
        <v>8</v>
      </c>
      <c r="C381" s="11" t="s">
        <v>21</v>
      </c>
      <c r="D381" s="9">
        <v>43901</v>
      </c>
      <c r="E381" s="6" t="s">
        <v>199</v>
      </c>
      <c r="F381" s="6" t="s">
        <v>226</v>
      </c>
      <c r="G381" s="27" t="s">
        <v>210</v>
      </c>
    </row>
    <row r="382" spans="1:7" s="1" customFormat="1" ht="45">
      <c r="A382" s="17">
        <v>379</v>
      </c>
      <c r="B382" s="11" t="s">
        <v>4</v>
      </c>
      <c r="C382" s="11" t="s">
        <v>11</v>
      </c>
      <c r="D382" s="9">
        <v>43904</v>
      </c>
      <c r="E382" s="6" t="s">
        <v>22</v>
      </c>
      <c r="F382" s="6" t="s">
        <v>228</v>
      </c>
      <c r="G382" s="27" t="s">
        <v>210</v>
      </c>
    </row>
    <row r="383" spans="1:7" ht="45">
      <c r="A383" s="17">
        <v>380</v>
      </c>
      <c r="B383" s="17" t="s">
        <v>4</v>
      </c>
      <c r="C383" s="17" t="s">
        <v>5</v>
      </c>
      <c r="D383" s="18">
        <v>43900</v>
      </c>
      <c r="E383" s="19" t="s">
        <v>270</v>
      </c>
      <c r="F383" s="19" t="s">
        <v>242</v>
      </c>
      <c r="G383" s="17" t="s">
        <v>210</v>
      </c>
    </row>
    <row r="384" spans="1:7" ht="45">
      <c r="A384" s="17">
        <v>381</v>
      </c>
      <c r="B384" s="17" t="s">
        <v>4</v>
      </c>
      <c r="C384" s="17" t="s">
        <v>5</v>
      </c>
      <c r="D384" s="18">
        <v>43900</v>
      </c>
      <c r="E384" s="19" t="s">
        <v>102</v>
      </c>
      <c r="F384" s="19" t="s">
        <v>242</v>
      </c>
      <c r="G384" s="17" t="s">
        <v>210</v>
      </c>
    </row>
    <row r="385" spans="1:7" s="1" customFormat="1" ht="45">
      <c r="A385" s="17">
        <v>382</v>
      </c>
      <c r="B385" s="11" t="s">
        <v>7</v>
      </c>
      <c r="C385" s="11" t="s">
        <v>34</v>
      </c>
      <c r="D385" s="9">
        <v>43900</v>
      </c>
      <c r="E385" s="6" t="s">
        <v>35</v>
      </c>
      <c r="F385" s="6" t="s">
        <v>232</v>
      </c>
      <c r="G385" s="27" t="s">
        <v>210</v>
      </c>
    </row>
    <row r="386" spans="1:7" ht="45">
      <c r="A386" s="17">
        <v>383</v>
      </c>
      <c r="B386" s="17" t="s">
        <v>4</v>
      </c>
      <c r="C386" s="17" t="s">
        <v>5</v>
      </c>
      <c r="D386" s="18">
        <v>43899</v>
      </c>
      <c r="E386" s="19" t="s">
        <v>287</v>
      </c>
      <c r="F386" s="19" t="s">
        <v>242</v>
      </c>
      <c r="G386" s="17" t="s">
        <v>210</v>
      </c>
    </row>
    <row r="387" spans="1:7" s="1" customFormat="1" ht="45">
      <c r="A387" s="17">
        <v>384</v>
      </c>
      <c r="B387" s="11" t="s">
        <v>4</v>
      </c>
      <c r="C387" s="11" t="s">
        <v>11</v>
      </c>
      <c r="D387" s="9">
        <v>43904</v>
      </c>
      <c r="E387" s="6" t="s">
        <v>22</v>
      </c>
      <c r="F387" s="6" t="s">
        <v>228</v>
      </c>
      <c r="G387" s="27" t="s">
        <v>210</v>
      </c>
    </row>
    <row r="388" spans="1:7" s="1" customFormat="1" ht="75">
      <c r="A388" s="17">
        <v>385</v>
      </c>
      <c r="B388" s="11" t="s">
        <v>8</v>
      </c>
      <c r="C388" s="11" t="s">
        <v>14</v>
      </c>
      <c r="D388" s="9">
        <v>43892</v>
      </c>
      <c r="E388" s="6" t="s">
        <v>143</v>
      </c>
      <c r="F388" s="6" t="s">
        <v>220</v>
      </c>
      <c r="G388" s="27" t="s">
        <v>210</v>
      </c>
    </row>
    <row r="389" spans="1:7" ht="75">
      <c r="A389" s="17">
        <v>386</v>
      </c>
      <c r="B389" s="17" t="s">
        <v>4</v>
      </c>
      <c r="C389" s="17" t="s">
        <v>5</v>
      </c>
      <c r="D389" s="18">
        <v>43900</v>
      </c>
      <c r="E389" s="19" t="s">
        <v>288</v>
      </c>
      <c r="F389" s="19" t="s">
        <v>242</v>
      </c>
      <c r="G389" s="17" t="s">
        <v>210</v>
      </c>
    </row>
    <row r="390" spans="1:7" s="1" customFormat="1" ht="60">
      <c r="A390" s="17">
        <v>387</v>
      </c>
      <c r="B390" s="11" t="s">
        <v>13</v>
      </c>
      <c r="C390" s="11" t="s">
        <v>36</v>
      </c>
      <c r="D390" s="9">
        <v>43907</v>
      </c>
      <c r="E390" s="6" t="s">
        <v>37</v>
      </c>
      <c r="F390" s="6" t="s">
        <v>218</v>
      </c>
      <c r="G390" s="27" t="s">
        <v>210</v>
      </c>
    </row>
    <row r="391" spans="1:7" ht="45">
      <c r="A391" s="17">
        <v>388</v>
      </c>
      <c r="B391" s="17" t="s">
        <v>7</v>
      </c>
      <c r="C391" s="17" t="s">
        <v>5</v>
      </c>
      <c r="D391" s="18">
        <v>43899</v>
      </c>
      <c r="E391" s="19" t="s">
        <v>270</v>
      </c>
      <c r="F391" s="19" t="s">
        <v>242</v>
      </c>
      <c r="G391" s="17" t="s">
        <v>210</v>
      </c>
    </row>
    <row r="392" spans="1:7" s="1" customFormat="1" ht="45">
      <c r="A392" s="17">
        <v>389</v>
      </c>
      <c r="B392" s="11" t="s">
        <v>8</v>
      </c>
      <c r="C392" s="11" t="s">
        <v>14</v>
      </c>
      <c r="D392" s="9">
        <v>43899</v>
      </c>
      <c r="E392" s="6" t="s">
        <v>144</v>
      </c>
      <c r="F392" s="6" t="s">
        <v>220</v>
      </c>
      <c r="G392" s="27" t="s">
        <v>210</v>
      </c>
    </row>
    <row r="393" spans="1:7" ht="60">
      <c r="A393" s="17">
        <v>390</v>
      </c>
      <c r="B393" s="17" t="s">
        <v>4</v>
      </c>
      <c r="C393" s="17" t="s">
        <v>5</v>
      </c>
      <c r="D393" s="18">
        <v>43898</v>
      </c>
      <c r="E393" s="19" t="s">
        <v>33</v>
      </c>
      <c r="F393" s="19" t="s">
        <v>242</v>
      </c>
      <c r="G393" s="17" t="s">
        <v>210</v>
      </c>
    </row>
    <row r="394" spans="1:7" ht="45">
      <c r="A394" s="17">
        <v>391</v>
      </c>
      <c r="B394" s="17" t="s">
        <v>6</v>
      </c>
      <c r="C394" s="17" t="s">
        <v>5</v>
      </c>
      <c r="D394" s="18">
        <v>43900</v>
      </c>
      <c r="E394" s="19" t="s">
        <v>262</v>
      </c>
      <c r="F394" s="19" t="s">
        <v>296</v>
      </c>
      <c r="G394" s="17" t="s">
        <v>210</v>
      </c>
    </row>
    <row r="395" spans="1:7" s="1" customFormat="1" ht="45">
      <c r="A395" s="17">
        <v>392</v>
      </c>
      <c r="B395" s="11" t="s">
        <v>6</v>
      </c>
      <c r="C395" s="11" t="s">
        <v>11</v>
      </c>
      <c r="D395" s="9">
        <v>43904</v>
      </c>
      <c r="E395" s="6" t="s">
        <v>22</v>
      </c>
      <c r="F395" s="6" t="s">
        <v>228</v>
      </c>
      <c r="G395" s="27" t="s">
        <v>210</v>
      </c>
    </row>
    <row r="396" spans="1:7" ht="45">
      <c r="A396" s="17">
        <v>393</v>
      </c>
      <c r="B396" s="17" t="s">
        <v>4</v>
      </c>
      <c r="C396" s="17" t="s">
        <v>5</v>
      </c>
      <c r="D396" s="18">
        <v>43900</v>
      </c>
      <c r="E396" s="19" t="s">
        <v>102</v>
      </c>
      <c r="F396" s="19" t="s">
        <v>242</v>
      </c>
      <c r="G396" s="17" t="s">
        <v>210</v>
      </c>
    </row>
    <row r="397" spans="1:7" ht="45">
      <c r="A397" s="17">
        <v>394</v>
      </c>
      <c r="B397" s="17" t="s">
        <v>4</v>
      </c>
      <c r="C397" s="17" t="s">
        <v>5</v>
      </c>
      <c r="D397" s="18">
        <v>43899</v>
      </c>
      <c r="E397" s="19" t="s">
        <v>270</v>
      </c>
      <c r="F397" s="19" t="s">
        <v>242</v>
      </c>
      <c r="G397" s="17" t="s">
        <v>210</v>
      </c>
    </row>
    <row r="398" spans="1:7" ht="75">
      <c r="A398" s="17">
        <v>395</v>
      </c>
      <c r="B398" s="17" t="s">
        <v>10</v>
      </c>
      <c r="C398" s="17" t="s">
        <v>5</v>
      </c>
      <c r="D398" s="18">
        <v>43906</v>
      </c>
      <c r="E398" s="19" t="s">
        <v>255</v>
      </c>
      <c r="F398" s="19" t="s">
        <v>242</v>
      </c>
      <c r="G398" s="17" t="s">
        <v>210</v>
      </c>
    </row>
    <row r="399" spans="1:7" s="1" customFormat="1" ht="45">
      <c r="A399" s="17">
        <v>396</v>
      </c>
      <c r="B399" s="11" t="s">
        <v>4</v>
      </c>
      <c r="C399" s="11" t="s">
        <v>11</v>
      </c>
      <c r="D399" s="9">
        <v>43904</v>
      </c>
      <c r="E399" s="6" t="s">
        <v>22</v>
      </c>
      <c r="F399" s="6" t="s">
        <v>228</v>
      </c>
      <c r="G399" s="27" t="s">
        <v>210</v>
      </c>
    </row>
    <row r="400" spans="1:7" s="1" customFormat="1" ht="45">
      <c r="A400" s="17">
        <v>397</v>
      </c>
      <c r="B400" s="11" t="s">
        <v>10</v>
      </c>
      <c r="C400" s="11" t="s">
        <v>25</v>
      </c>
      <c r="D400" s="9">
        <v>43914</v>
      </c>
      <c r="E400" s="6" t="s">
        <v>38</v>
      </c>
      <c r="F400" s="6" t="s">
        <v>235</v>
      </c>
      <c r="G400" s="27" t="s">
        <v>210</v>
      </c>
    </row>
    <row r="401" spans="1:7" ht="45">
      <c r="A401" s="17">
        <v>398</v>
      </c>
      <c r="B401" s="17" t="s">
        <v>4</v>
      </c>
      <c r="C401" s="17" t="s">
        <v>5</v>
      </c>
      <c r="D401" s="18">
        <v>43900</v>
      </c>
      <c r="E401" s="19" t="s">
        <v>270</v>
      </c>
      <c r="F401" s="19" t="s">
        <v>242</v>
      </c>
      <c r="G401" s="17" t="s">
        <v>210</v>
      </c>
    </row>
    <row r="402" spans="1:7" ht="45">
      <c r="A402" s="17">
        <v>399</v>
      </c>
      <c r="B402" s="17" t="s">
        <v>4</v>
      </c>
      <c r="C402" s="17" t="s">
        <v>5</v>
      </c>
      <c r="D402" s="18">
        <v>43907</v>
      </c>
      <c r="E402" s="19" t="s">
        <v>102</v>
      </c>
      <c r="F402" s="19" t="s">
        <v>242</v>
      </c>
      <c r="G402" s="17" t="s">
        <v>210</v>
      </c>
    </row>
    <row r="403" spans="1:7" ht="60">
      <c r="A403" s="17">
        <v>400</v>
      </c>
      <c r="B403" s="17" t="s">
        <v>4</v>
      </c>
      <c r="C403" s="17" t="s">
        <v>5</v>
      </c>
      <c r="D403" s="18">
        <v>43900</v>
      </c>
      <c r="E403" s="19" t="s">
        <v>280</v>
      </c>
      <c r="F403" s="19" t="s">
        <v>242</v>
      </c>
      <c r="G403" s="17" t="s">
        <v>210</v>
      </c>
    </row>
    <row r="404" spans="1:7" ht="45">
      <c r="A404" s="17">
        <v>401</v>
      </c>
      <c r="B404" s="17" t="s">
        <v>4</v>
      </c>
      <c r="C404" s="17" t="s">
        <v>5</v>
      </c>
      <c r="D404" s="18">
        <v>43906</v>
      </c>
      <c r="E404" s="19" t="s">
        <v>102</v>
      </c>
      <c r="F404" s="19" t="s">
        <v>242</v>
      </c>
      <c r="G404" s="17" t="s">
        <v>210</v>
      </c>
    </row>
    <row r="405" spans="1:7" s="1" customFormat="1" ht="45">
      <c r="A405" s="17">
        <v>402</v>
      </c>
      <c r="B405" s="11" t="s">
        <v>39</v>
      </c>
      <c r="C405" s="11" t="s">
        <v>14</v>
      </c>
      <c r="D405" s="9">
        <v>43891</v>
      </c>
      <c r="E405" s="6" t="s">
        <v>144</v>
      </c>
      <c r="F405" s="6" t="s">
        <v>220</v>
      </c>
      <c r="G405" s="27" t="s">
        <v>210</v>
      </c>
    </row>
    <row r="406" spans="1:7" ht="60">
      <c r="A406" s="17">
        <v>403</v>
      </c>
      <c r="B406" s="17" t="s">
        <v>29</v>
      </c>
      <c r="C406" s="17" t="s">
        <v>5</v>
      </c>
      <c r="D406" s="18">
        <v>43899</v>
      </c>
      <c r="E406" s="19" t="s">
        <v>33</v>
      </c>
      <c r="F406" s="19" t="s">
        <v>242</v>
      </c>
      <c r="G406" s="17" t="s">
        <v>210</v>
      </c>
    </row>
    <row r="407" spans="1:7" ht="45">
      <c r="A407" s="17">
        <v>404</v>
      </c>
      <c r="B407" s="17" t="s">
        <v>4</v>
      </c>
      <c r="C407" s="17" t="s">
        <v>5</v>
      </c>
      <c r="D407" s="18">
        <v>43900</v>
      </c>
      <c r="E407" s="19" t="s">
        <v>270</v>
      </c>
      <c r="F407" s="19" t="s">
        <v>242</v>
      </c>
      <c r="G407" s="17" t="s">
        <v>210</v>
      </c>
    </row>
    <row r="408" spans="1:7" s="1" customFormat="1" ht="45">
      <c r="A408" s="17">
        <v>405</v>
      </c>
      <c r="B408" s="11" t="s">
        <v>10</v>
      </c>
      <c r="C408" s="11" t="s">
        <v>36</v>
      </c>
      <c r="D408" s="9">
        <v>43903</v>
      </c>
      <c r="E408" s="6" t="s">
        <v>118</v>
      </c>
      <c r="F408" s="6" t="s">
        <v>217</v>
      </c>
      <c r="G408" s="27" t="s">
        <v>210</v>
      </c>
    </row>
    <row r="409" spans="1:7" s="1" customFormat="1" ht="45">
      <c r="A409" s="17">
        <v>406</v>
      </c>
      <c r="B409" s="11" t="s">
        <v>8</v>
      </c>
      <c r="C409" s="11" t="s">
        <v>14</v>
      </c>
      <c r="D409" s="9">
        <v>43897</v>
      </c>
      <c r="E409" s="6" t="s">
        <v>144</v>
      </c>
      <c r="F409" s="6" t="s">
        <v>220</v>
      </c>
      <c r="G409" s="27" t="s">
        <v>210</v>
      </c>
    </row>
    <row r="410" spans="1:7" ht="45">
      <c r="A410" s="17">
        <v>407</v>
      </c>
      <c r="B410" s="17" t="s">
        <v>6</v>
      </c>
      <c r="C410" s="17" t="s">
        <v>5</v>
      </c>
      <c r="D410" s="18">
        <v>43900</v>
      </c>
      <c r="E410" s="19" t="s">
        <v>262</v>
      </c>
      <c r="F410" s="19" t="s">
        <v>296</v>
      </c>
      <c r="G410" s="17" t="s">
        <v>210</v>
      </c>
    </row>
    <row r="411" spans="1:7" s="1" customFormat="1" ht="45">
      <c r="A411" s="17">
        <v>408</v>
      </c>
      <c r="B411" s="11" t="s">
        <v>39</v>
      </c>
      <c r="C411" s="11" t="s">
        <v>14</v>
      </c>
      <c r="D411" s="9">
        <v>43891</v>
      </c>
      <c r="E411" s="6" t="s">
        <v>144</v>
      </c>
      <c r="F411" s="6" t="s">
        <v>220</v>
      </c>
      <c r="G411" s="27" t="s">
        <v>210</v>
      </c>
    </row>
    <row r="412" spans="1:7" s="1" customFormat="1" ht="45">
      <c r="A412" s="17">
        <v>409</v>
      </c>
      <c r="B412" s="11" t="s">
        <v>8</v>
      </c>
      <c r="C412" s="11" t="s">
        <v>40</v>
      </c>
      <c r="D412" s="9">
        <v>43906</v>
      </c>
      <c r="E412" s="6" t="s">
        <v>231</v>
      </c>
      <c r="F412" s="6" t="s">
        <v>229</v>
      </c>
      <c r="G412" s="27" t="s">
        <v>210</v>
      </c>
    </row>
    <row r="413" spans="1:7" s="1" customFormat="1" ht="45">
      <c r="A413" s="17">
        <v>410</v>
      </c>
      <c r="B413" s="11" t="s">
        <v>8</v>
      </c>
      <c r="C413" s="11" t="s">
        <v>14</v>
      </c>
      <c r="D413" s="9">
        <v>43897</v>
      </c>
      <c r="E413" s="6" t="s">
        <v>144</v>
      </c>
      <c r="F413" s="6" t="s">
        <v>220</v>
      </c>
      <c r="G413" s="27" t="s">
        <v>210</v>
      </c>
    </row>
    <row r="414" spans="1:7" s="1" customFormat="1" ht="45">
      <c r="A414" s="17">
        <v>411</v>
      </c>
      <c r="B414" s="11" t="s">
        <v>8</v>
      </c>
      <c r="C414" s="11" t="s">
        <v>11</v>
      </c>
      <c r="D414" s="9">
        <v>43906</v>
      </c>
      <c r="E414" s="6" t="s">
        <v>41</v>
      </c>
      <c r="F414" s="6" t="s">
        <v>229</v>
      </c>
      <c r="G414" s="27" t="s">
        <v>210</v>
      </c>
    </row>
    <row r="415" spans="1:7" ht="60">
      <c r="A415" s="17">
        <v>412</v>
      </c>
      <c r="B415" s="17" t="s">
        <v>10</v>
      </c>
      <c r="C415" s="17" t="s">
        <v>5</v>
      </c>
      <c r="D415" s="18">
        <v>43857</v>
      </c>
      <c r="E415" s="19" t="s">
        <v>54</v>
      </c>
      <c r="F415" s="19" t="s">
        <v>237</v>
      </c>
      <c r="G415" s="17" t="s">
        <v>210</v>
      </c>
    </row>
    <row r="416" spans="1:7" ht="45">
      <c r="A416" s="17">
        <v>413</v>
      </c>
      <c r="B416" s="17" t="s">
        <v>6</v>
      </c>
      <c r="C416" s="17" t="s">
        <v>5</v>
      </c>
      <c r="D416" s="18">
        <v>43900</v>
      </c>
      <c r="E416" s="19" t="s">
        <v>261</v>
      </c>
      <c r="F416" s="19" t="s">
        <v>297</v>
      </c>
      <c r="G416" s="17" t="s">
        <v>210</v>
      </c>
    </row>
    <row r="417" spans="1:7" ht="45">
      <c r="A417" s="17">
        <v>414</v>
      </c>
      <c r="B417" s="17" t="s">
        <v>4</v>
      </c>
      <c r="C417" s="17" t="s">
        <v>5</v>
      </c>
      <c r="D417" s="18">
        <v>43899</v>
      </c>
      <c r="E417" s="19" t="s">
        <v>102</v>
      </c>
      <c r="F417" s="19" t="s">
        <v>242</v>
      </c>
      <c r="G417" s="17" t="s">
        <v>210</v>
      </c>
    </row>
    <row r="418" spans="1:7" ht="45">
      <c r="A418" s="17">
        <v>415</v>
      </c>
      <c r="B418" s="17" t="s">
        <v>4</v>
      </c>
      <c r="C418" s="17" t="s">
        <v>5</v>
      </c>
      <c r="D418" s="18">
        <v>43894</v>
      </c>
      <c r="E418" s="19" t="s">
        <v>102</v>
      </c>
      <c r="F418" s="19" t="s">
        <v>242</v>
      </c>
      <c r="G418" s="17" t="s">
        <v>210</v>
      </c>
    </row>
    <row r="419" spans="1:7" ht="75">
      <c r="A419" s="17">
        <v>416</v>
      </c>
      <c r="B419" s="17" t="s">
        <v>10</v>
      </c>
      <c r="C419" s="17" t="s">
        <v>5</v>
      </c>
      <c r="D419" s="18">
        <v>43908</v>
      </c>
      <c r="E419" s="19" t="s">
        <v>42</v>
      </c>
      <c r="F419" s="19" t="s">
        <v>242</v>
      </c>
      <c r="G419" s="17" t="s">
        <v>210</v>
      </c>
    </row>
    <row r="420" spans="1:7" s="1" customFormat="1" ht="45">
      <c r="A420" s="17">
        <v>417</v>
      </c>
      <c r="B420" s="11" t="s">
        <v>8</v>
      </c>
      <c r="C420" s="11" t="s">
        <v>40</v>
      </c>
      <c r="D420" s="9">
        <v>43872</v>
      </c>
      <c r="E420" s="6" t="s">
        <v>43</v>
      </c>
      <c r="F420" s="6" t="s">
        <v>229</v>
      </c>
      <c r="G420" s="27" t="s">
        <v>210</v>
      </c>
    </row>
    <row r="421" spans="1:7" ht="60">
      <c r="A421" s="17">
        <v>418</v>
      </c>
      <c r="B421" s="17" t="s">
        <v>10</v>
      </c>
      <c r="C421" s="17" t="s">
        <v>5</v>
      </c>
      <c r="D421" s="18">
        <v>43900</v>
      </c>
      <c r="E421" s="19" t="s">
        <v>44</v>
      </c>
      <c r="F421" s="19" t="s">
        <v>242</v>
      </c>
      <c r="G421" s="17" t="s">
        <v>210</v>
      </c>
    </row>
    <row r="422" spans="1:7" ht="75">
      <c r="A422" s="17">
        <v>419</v>
      </c>
      <c r="B422" s="17" t="s">
        <v>10</v>
      </c>
      <c r="C422" s="17" t="s">
        <v>5</v>
      </c>
      <c r="D422" s="18">
        <v>43902</v>
      </c>
      <c r="E422" s="19" t="s">
        <v>45</v>
      </c>
      <c r="F422" s="19" t="s">
        <v>292</v>
      </c>
      <c r="G422" s="17" t="s">
        <v>210</v>
      </c>
    </row>
    <row r="423" spans="1:7" s="1" customFormat="1" ht="60">
      <c r="A423" s="17">
        <v>420</v>
      </c>
      <c r="B423" s="11" t="s">
        <v>8</v>
      </c>
      <c r="C423" s="11" t="s">
        <v>36</v>
      </c>
      <c r="D423" s="9">
        <v>43907</v>
      </c>
      <c r="E423" s="6" t="s">
        <v>46</v>
      </c>
      <c r="F423" s="6" t="s">
        <v>213</v>
      </c>
      <c r="G423" s="27" t="s">
        <v>210</v>
      </c>
    </row>
    <row r="424" spans="1:7" ht="45">
      <c r="A424" s="17">
        <v>421</v>
      </c>
      <c r="B424" s="17" t="s">
        <v>7</v>
      </c>
      <c r="C424" s="17" t="s">
        <v>5</v>
      </c>
      <c r="D424" s="18">
        <v>43914</v>
      </c>
      <c r="E424" s="19" t="s">
        <v>102</v>
      </c>
      <c r="F424" s="19" t="s">
        <v>242</v>
      </c>
      <c r="G424" s="17" t="s">
        <v>210</v>
      </c>
    </row>
    <row r="425" spans="1:7" ht="45">
      <c r="A425" s="17">
        <v>422</v>
      </c>
      <c r="B425" s="17" t="s">
        <v>4</v>
      </c>
      <c r="C425" s="17" t="s">
        <v>5</v>
      </c>
      <c r="D425" s="18">
        <v>43898</v>
      </c>
      <c r="E425" s="19" t="s">
        <v>102</v>
      </c>
      <c r="F425" s="19" t="s">
        <v>242</v>
      </c>
      <c r="G425" s="17" t="s">
        <v>210</v>
      </c>
    </row>
    <row r="426" spans="1:7" ht="75">
      <c r="A426" s="17">
        <v>423</v>
      </c>
      <c r="B426" s="17" t="s">
        <v>10</v>
      </c>
      <c r="C426" s="17" t="s">
        <v>5</v>
      </c>
      <c r="D426" s="18">
        <v>43900</v>
      </c>
      <c r="E426" s="19" t="s">
        <v>241</v>
      </c>
      <c r="F426" s="19" t="s">
        <v>237</v>
      </c>
      <c r="G426" s="17" t="s">
        <v>210</v>
      </c>
    </row>
    <row r="427" spans="1:7" ht="45">
      <c r="A427" s="17">
        <v>424</v>
      </c>
      <c r="B427" s="17" t="s">
        <v>4</v>
      </c>
      <c r="C427" s="17" t="s">
        <v>5</v>
      </c>
      <c r="D427" s="18">
        <v>43896</v>
      </c>
      <c r="E427" s="19" t="s">
        <v>102</v>
      </c>
      <c r="F427" s="19" t="s">
        <v>242</v>
      </c>
      <c r="G427" s="17" t="s">
        <v>210</v>
      </c>
    </row>
    <row r="428" spans="1:7" s="1" customFormat="1" ht="75">
      <c r="A428" s="17">
        <v>425</v>
      </c>
      <c r="B428" s="11" t="s">
        <v>8</v>
      </c>
      <c r="C428" s="11" t="s">
        <v>21</v>
      </c>
      <c r="D428" s="9">
        <v>43903</v>
      </c>
      <c r="E428" s="6" t="s">
        <v>200</v>
      </c>
      <c r="F428" s="6" t="s">
        <v>226</v>
      </c>
      <c r="G428" s="27" t="s">
        <v>210</v>
      </c>
    </row>
    <row r="429" spans="1:7" s="1" customFormat="1" ht="45">
      <c r="A429" s="17">
        <v>426</v>
      </c>
      <c r="B429" s="11" t="s">
        <v>39</v>
      </c>
      <c r="C429" s="11" t="s">
        <v>14</v>
      </c>
      <c r="D429" s="9">
        <v>43892</v>
      </c>
      <c r="E429" s="6" t="s">
        <v>133</v>
      </c>
      <c r="F429" s="6" t="s">
        <v>220</v>
      </c>
      <c r="G429" s="27" t="s">
        <v>210</v>
      </c>
    </row>
    <row r="430" spans="1:7" ht="60">
      <c r="A430" s="17">
        <v>427</v>
      </c>
      <c r="B430" s="17" t="s">
        <v>4</v>
      </c>
      <c r="C430" s="17" t="s">
        <v>5</v>
      </c>
      <c r="D430" s="18">
        <v>43896</v>
      </c>
      <c r="E430" s="19" t="s">
        <v>271</v>
      </c>
      <c r="F430" s="19" t="s">
        <v>290</v>
      </c>
      <c r="G430" s="17" t="s">
        <v>210</v>
      </c>
    </row>
    <row r="431" spans="1:7" ht="75">
      <c r="A431" s="17">
        <v>428</v>
      </c>
      <c r="B431" s="17" t="s">
        <v>10</v>
      </c>
      <c r="C431" s="17" t="s">
        <v>5</v>
      </c>
      <c r="D431" s="18">
        <v>43910</v>
      </c>
      <c r="E431" s="19" t="s">
        <v>240</v>
      </c>
      <c r="F431" s="19" t="s">
        <v>237</v>
      </c>
      <c r="G431" s="17" t="s">
        <v>210</v>
      </c>
    </row>
    <row r="432" spans="1:7" s="1" customFormat="1" ht="45">
      <c r="A432" s="17">
        <v>429</v>
      </c>
      <c r="B432" s="11" t="s">
        <v>6</v>
      </c>
      <c r="C432" s="11" t="s">
        <v>11</v>
      </c>
      <c r="D432" s="9">
        <v>43902</v>
      </c>
      <c r="E432" s="6" t="s">
        <v>32</v>
      </c>
      <c r="F432" s="6" t="s">
        <v>223</v>
      </c>
      <c r="G432" s="27" t="s">
        <v>210</v>
      </c>
    </row>
    <row r="433" spans="1:7" s="1" customFormat="1" ht="45">
      <c r="A433" s="17">
        <v>430</v>
      </c>
      <c r="B433" s="11" t="s">
        <v>8</v>
      </c>
      <c r="C433" s="11" t="s">
        <v>14</v>
      </c>
      <c r="D433" s="9">
        <v>43895</v>
      </c>
      <c r="E433" s="6" t="s">
        <v>145</v>
      </c>
      <c r="F433" s="6" t="s">
        <v>220</v>
      </c>
      <c r="G433" s="27" t="s">
        <v>210</v>
      </c>
    </row>
    <row r="434" spans="1:7" ht="105">
      <c r="A434" s="17">
        <v>431</v>
      </c>
      <c r="B434" s="17" t="s">
        <v>10</v>
      </c>
      <c r="C434" s="17" t="s">
        <v>5</v>
      </c>
      <c r="D434" s="18">
        <v>43900</v>
      </c>
      <c r="E434" s="19" t="s">
        <v>47</v>
      </c>
      <c r="F434" s="19" t="s">
        <v>242</v>
      </c>
      <c r="G434" s="17" t="s">
        <v>210</v>
      </c>
    </row>
    <row r="435" spans="1:7" ht="75">
      <c r="A435" s="17">
        <v>432</v>
      </c>
      <c r="B435" s="17" t="s">
        <v>4</v>
      </c>
      <c r="C435" s="17" t="s">
        <v>5</v>
      </c>
      <c r="D435" s="18">
        <v>43900</v>
      </c>
      <c r="E435" s="19" t="s">
        <v>275</v>
      </c>
      <c r="F435" s="19" t="s">
        <v>242</v>
      </c>
      <c r="G435" s="17" t="s">
        <v>210</v>
      </c>
    </row>
    <row r="436" spans="1:7" s="1" customFormat="1" ht="45">
      <c r="A436" s="17">
        <v>433</v>
      </c>
      <c r="B436" s="11" t="s">
        <v>4</v>
      </c>
      <c r="C436" s="11" t="s">
        <v>11</v>
      </c>
      <c r="D436" s="9">
        <v>43902</v>
      </c>
      <c r="E436" s="6" t="s">
        <v>32</v>
      </c>
      <c r="F436" s="6" t="s">
        <v>223</v>
      </c>
      <c r="G436" s="27" t="s">
        <v>210</v>
      </c>
    </row>
    <row r="437" spans="1:7" ht="45">
      <c r="A437" s="17">
        <v>434</v>
      </c>
      <c r="B437" s="17" t="s">
        <v>4</v>
      </c>
      <c r="C437" s="17" t="s">
        <v>5</v>
      </c>
      <c r="D437" s="18">
        <v>43911</v>
      </c>
      <c r="E437" s="19" t="s">
        <v>102</v>
      </c>
      <c r="F437" s="19" t="s">
        <v>242</v>
      </c>
      <c r="G437" s="17" t="s">
        <v>210</v>
      </c>
    </row>
    <row r="438" spans="1:7" s="1" customFormat="1" ht="60">
      <c r="A438" s="17">
        <v>435</v>
      </c>
      <c r="B438" s="11" t="s">
        <v>10</v>
      </c>
      <c r="C438" s="11" t="s">
        <v>25</v>
      </c>
      <c r="D438" s="9">
        <v>43909</v>
      </c>
      <c r="E438" s="6" t="s">
        <v>234</v>
      </c>
      <c r="F438" s="6" t="s">
        <v>235</v>
      </c>
      <c r="G438" s="27" t="s">
        <v>210</v>
      </c>
    </row>
    <row r="439" spans="1:7" ht="45">
      <c r="A439" s="17">
        <v>436</v>
      </c>
      <c r="B439" s="17" t="s">
        <v>4</v>
      </c>
      <c r="C439" s="17" t="s">
        <v>5</v>
      </c>
      <c r="D439" s="18">
        <v>43907</v>
      </c>
      <c r="E439" s="19" t="s">
        <v>270</v>
      </c>
      <c r="F439" s="19" t="s">
        <v>242</v>
      </c>
      <c r="G439" s="17" t="s">
        <v>210</v>
      </c>
    </row>
    <row r="440" spans="1:7" s="1" customFormat="1" ht="45">
      <c r="A440" s="17">
        <v>437</v>
      </c>
      <c r="B440" s="11" t="s">
        <v>4</v>
      </c>
      <c r="C440" s="11" t="s">
        <v>11</v>
      </c>
      <c r="D440" s="9">
        <v>43899</v>
      </c>
      <c r="E440" s="6" t="s">
        <v>32</v>
      </c>
      <c r="F440" s="6" t="s">
        <v>223</v>
      </c>
      <c r="G440" s="27" t="s">
        <v>210</v>
      </c>
    </row>
    <row r="441" spans="1:7" ht="75">
      <c r="A441" s="17">
        <v>438</v>
      </c>
      <c r="B441" s="17" t="s">
        <v>10</v>
      </c>
      <c r="C441" s="17" t="s">
        <v>5</v>
      </c>
      <c r="D441" s="18">
        <v>43914</v>
      </c>
      <c r="E441" s="19" t="s">
        <v>42</v>
      </c>
      <c r="F441" s="19" t="s">
        <v>242</v>
      </c>
      <c r="G441" s="17" t="s">
        <v>210</v>
      </c>
    </row>
    <row r="442" spans="1:7" s="1" customFormat="1" ht="300">
      <c r="A442" s="17">
        <v>439</v>
      </c>
      <c r="B442" s="11" t="s">
        <v>8</v>
      </c>
      <c r="C442" s="11" t="s">
        <v>21</v>
      </c>
      <c r="D442" s="9">
        <v>43884</v>
      </c>
      <c r="E442" s="6" t="s">
        <v>201</v>
      </c>
      <c r="F442" s="6" t="s">
        <v>226</v>
      </c>
      <c r="G442" s="27" t="s">
        <v>210</v>
      </c>
    </row>
    <row r="443" spans="1:7" ht="75">
      <c r="A443" s="17">
        <v>440</v>
      </c>
      <c r="B443" s="17" t="s">
        <v>10</v>
      </c>
      <c r="C443" s="17" t="s">
        <v>5</v>
      </c>
      <c r="D443" s="18">
        <v>43898</v>
      </c>
      <c r="E443" s="19" t="s">
        <v>241</v>
      </c>
      <c r="F443" s="19" t="s">
        <v>237</v>
      </c>
      <c r="G443" s="17" t="s">
        <v>210</v>
      </c>
    </row>
    <row r="444" spans="1:7" s="1" customFormat="1" ht="105">
      <c r="A444" s="17">
        <v>441</v>
      </c>
      <c r="B444" s="11" t="s">
        <v>8</v>
      </c>
      <c r="C444" s="11" t="s">
        <v>21</v>
      </c>
      <c r="D444" s="9">
        <v>43886</v>
      </c>
      <c r="E444" s="6" t="s">
        <v>153</v>
      </c>
      <c r="F444" s="6" t="s">
        <v>226</v>
      </c>
      <c r="G444" s="27" t="s">
        <v>210</v>
      </c>
    </row>
    <row r="445" spans="1:7" ht="45">
      <c r="A445" s="17">
        <v>442</v>
      </c>
      <c r="B445" s="17" t="s">
        <v>4</v>
      </c>
      <c r="C445" s="17" t="s">
        <v>5</v>
      </c>
      <c r="D445" s="18">
        <v>43900</v>
      </c>
      <c r="E445" s="19" t="s">
        <v>270</v>
      </c>
      <c r="F445" s="19" t="s">
        <v>242</v>
      </c>
      <c r="G445" s="17" t="s">
        <v>210</v>
      </c>
    </row>
    <row r="446" spans="1:7" ht="60">
      <c r="A446" s="17">
        <v>443</v>
      </c>
      <c r="B446" s="17" t="s">
        <v>10</v>
      </c>
      <c r="C446" s="17" t="s">
        <v>5</v>
      </c>
      <c r="D446" s="18">
        <v>43914</v>
      </c>
      <c r="E446" s="19" t="s">
        <v>48</v>
      </c>
      <c r="F446" s="19" t="s">
        <v>237</v>
      </c>
      <c r="G446" s="17" t="s">
        <v>210</v>
      </c>
    </row>
    <row r="447" spans="1:7" ht="60">
      <c r="A447" s="17">
        <v>444</v>
      </c>
      <c r="B447" s="17" t="s">
        <v>10</v>
      </c>
      <c r="C447" s="17" t="s">
        <v>5</v>
      </c>
      <c r="D447" s="18">
        <v>43906</v>
      </c>
      <c r="E447" s="19" t="s">
        <v>49</v>
      </c>
      <c r="F447" s="19" t="s">
        <v>242</v>
      </c>
      <c r="G447" s="17" t="s">
        <v>210</v>
      </c>
    </row>
    <row r="448" spans="1:7" s="1" customFormat="1" ht="45">
      <c r="A448" s="17">
        <v>445</v>
      </c>
      <c r="B448" s="11" t="s">
        <v>10</v>
      </c>
      <c r="C448" s="11" t="s">
        <v>50</v>
      </c>
      <c r="D448" s="9">
        <v>43883</v>
      </c>
      <c r="E448" s="6" t="s">
        <v>51</v>
      </c>
      <c r="F448" s="6" t="s">
        <v>216</v>
      </c>
      <c r="G448" s="27" t="s">
        <v>210</v>
      </c>
    </row>
    <row r="449" spans="1:7" ht="90">
      <c r="A449" s="17">
        <v>446</v>
      </c>
      <c r="B449" s="17" t="s">
        <v>10</v>
      </c>
      <c r="C449" s="17" t="s">
        <v>5</v>
      </c>
      <c r="D449" s="18">
        <v>43613</v>
      </c>
      <c r="E449" s="19" t="s">
        <v>52</v>
      </c>
      <c r="F449" s="19" t="s">
        <v>242</v>
      </c>
      <c r="G449" s="17" t="s">
        <v>210</v>
      </c>
    </row>
    <row r="450" spans="1:7" ht="45">
      <c r="A450" s="17">
        <v>447</v>
      </c>
      <c r="B450" s="17" t="s">
        <v>4</v>
      </c>
      <c r="C450" s="17" t="s">
        <v>5</v>
      </c>
      <c r="D450" s="18">
        <v>43898</v>
      </c>
      <c r="E450" s="19" t="s">
        <v>270</v>
      </c>
      <c r="F450" s="19" t="s">
        <v>242</v>
      </c>
      <c r="G450" s="17" t="s">
        <v>210</v>
      </c>
    </row>
    <row r="451" spans="1:7" ht="60">
      <c r="A451" s="17">
        <v>448</v>
      </c>
      <c r="B451" s="17" t="s">
        <v>10</v>
      </c>
      <c r="C451" s="17" t="s">
        <v>5</v>
      </c>
      <c r="D451" s="18">
        <v>43914</v>
      </c>
      <c r="E451" s="19" t="s">
        <v>44</v>
      </c>
      <c r="F451" s="19" t="s">
        <v>242</v>
      </c>
      <c r="G451" s="17" t="s">
        <v>210</v>
      </c>
    </row>
    <row r="452" spans="1:7" s="1" customFormat="1" ht="45">
      <c r="A452" s="17">
        <v>449</v>
      </c>
      <c r="B452" s="11" t="s">
        <v>4</v>
      </c>
      <c r="C452" s="11" t="s">
        <v>11</v>
      </c>
      <c r="D452" s="9">
        <v>43903</v>
      </c>
      <c r="E452" s="6" t="s">
        <v>31</v>
      </c>
      <c r="F452" s="6" t="s">
        <v>223</v>
      </c>
      <c r="G452" s="27" t="s">
        <v>210</v>
      </c>
    </row>
    <row r="453" spans="1:7" ht="60">
      <c r="A453" s="17">
        <v>450</v>
      </c>
      <c r="B453" s="17" t="s">
        <v>4</v>
      </c>
      <c r="C453" s="17" t="s">
        <v>5</v>
      </c>
      <c r="D453" s="18">
        <v>43909</v>
      </c>
      <c r="E453" s="19" t="s">
        <v>271</v>
      </c>
      <c r="F453" s="19" t="s">
        <v>290</v>
      </c>
      <c r="G453" s="17" t="s">
        <v>210</v>
      </c>
    </row>
    <row r="454" spans="1:7" ht="45">
      <c r="A454" s="17">
        <v>451</v>
      </c>
      <c r="B454" s="17" t="s">
        <v>4</v>
      </c>
      <c r="C454" s="17" t="s">
        <v>5</v>
      </c>
      <c r="D454" s="18">
        <v>43900</v>
      </c>
      <c r="E454" s="19" t="s">
        <v>102</v>
      </c>
      <c r="F454" s="19" t="s">
        <v>242</v>
      </c>
      <c r="G454" s="17" t="s">
        <v>210</v>
      </c>
    </row>
    <row r="455" spans="1:7" ht="60">
      <c r="A455" s="17">
        <v>452</v>
      </c>
      <c r="B455" s="17" t="s">
        <v>10</v>
      </c>
      <c r="C455" s="17" t="s">
        <v>5</v>
      </c>
      <c r="D455" s="18">
        <v>43899</v>
      </c>
      <c r="E455" s="19" t="s">
        <v>44</v>
      </c>
      <c r="F455" s="19" t="s">
        <v>242</v>
      </c>
      <c r="G455" s="17" t="s">
        <v>210</v>
      </c>
    </row>
    <row r="456" spans="1:7" s="1" customFormat="1" ht="45">
      <c r="A456" s="17">
        <v>453</v>
      </c>
      <c r="B456" s="11" t="s">
        <v>6</v>
      </c>
      <c r="C456" s="11" t="s">
        <v>11</v>
      </c>
      <c r="D456" s="9">
        <v>43903</v>
      </c>
      <c r="E456" s="6" t="s">
        <v>22</v>
      </c>
      <c r="F456" s="6" t="s">
        <v>228</v>
      </c>
      <c r="G456" s="27" t="s">
        <v>210</v>
      </c>
    </row>
    <row r="457" spans="1:7" ht="60">
      <c r="A457" s="17">
        <v>454</v>
      </c>
      <c r="B457" s="17" t="s">
        <v>4</v>
      </c>
      <c r="C457" s="17" t="s">
        <v>5</v>
      </c>
      <c r="D457" s="18">
        <v>43898</v>
      </c>
      <c r="E457" s="19" t="s">
        <v>280</v>
      </c>
      <c r="F457" s="19" t="s">
        <v>242</v>
      </c>
      <c r="G457" s="17" t="s">
        <v>210</v>
      </c>
    </row>
    <row r="458" spans="1:7" ht="60">
      <c r="A458" s="17">
        <v>455</v>
      </c>
      <c r="B458" s="17" t="s">
        <v>4</v>
      </c>
      <c r="C458" s="17" t="s">
        <v>5</v>
      </c>
      <c r="D458" s="18">
        <v>43910</v>
      </c>
      <c r="E458" s="19" t="s">
        <v>271</v>
      </c>
      <c r="F458" s="19" t="s">
        <v>290</v>
      </c>
      <c r="G458" s="17" t="s">
        <v>210</v>
      </c>
    </row>
    <row r="459" spans="1:7" s="1" customFormat="1" ht="75">
      <c r="A459" s="17">
        <v>456</v>
      </c>
      <c r="B459" s="11" t="s">
        <v>8</v>
      </c>
      <c r="C459" s="11" t="s">
        <v>21</v>
      </c>
      <c r="D459" s="9">
        <v>43898</v>
      </c>
      <c r="E459" s="6" t="s">
        <v>202</v>
      </c>
      <c r="F459" s="6" t="s">
        <v>226</v>
      </c>
      <c r="G459" s="27" t="s">
        <v>210</v>
      </c>
    </row>
    <row r="460" spans="1:7" s="1" customFormat="1" ht="45">
      <c r="A460" s="17">
        <v>457</v>
      </c>
      <c r="B460" s="11" t="s">
        <v>6</v>
      </c>
      <c r="C460" s="11" t="s">
        <v>11</v>
      </c>
      <c r="D460" s="9">
        <v>43903</v>
      </c>
      <c r="E460" s="6" t="s">
        <v>22</v>
      </c>
      <c r="F460" s="6" t="s">
        <v>228</v>
      </c>
      <c r="G460" s="27" t="s">
        <v>210</v>
      </c>
    </row>
    <row r="461" spans="1:7" s="1" customFormat="1" ht="45">
      <c r="A461" s="17">
        <v>458</v>
      </c>
      <c r="B461" s="11" t="s">
        <v>4</v>
      </c>
      <c r="C461" s="11" t="s">
        <v>50</v>
      </c>
      <c r="D461" s="9">
        <v>43885</v>
      </c>
      <c r="E461" s="6" t="s">
        <v>53</v>
      </c>
      <c r="F461" s="6" t="s">
        <v>216</v>
      </c>
      <c r="G461" s="27" t="s">
        <v>210</v>
      </c>
    </row>
    <row r="462" spans="1:7" ht="75">
      <c r="A462" s="17">
        <v>459</v>
      </c>
      <c r="B462" s="17" t="s">
        <v>4</v>
      </c>
      <c r="C462" s="17" t="s">
        <v>5</v>
      </c>
      <c r="D462" s="18">
        <v>43899</v>
      </c>
      <c r="E462" s="19" t="s">
        <v>289</v>
      </c>
      <c r="F462" s="19" t="s">
        <v>242</v>
      </c>
      <c r="G462" s="17" t="s">
        <v>210</v>
      </c>
    </row>
    <row r="463" spans="1:7" ht="60">
      <c r="A463" s="17">
        <v>460</v>
      </c>
      <c r="B463" s="17" t="s">
        <v>4</v>
      </c>
      <c r="C463" s="17" t="s">
        <v>5</v>
      </c>
      <c r="D463" s="18">
        <v>43906</v>
      </c>
      <c r="E463" s="19" t="s">
        <v>280</v>
      </c>
      <c r="F463" s="19" t="s">
        <v>242</v>
      </c>
      <c r="G463" s="17" t="s">
        <v>210</v>
      </c>
    </row>
    <row r="464" spans="1:7" s="1" customFormat="1" ht="45">
      <c r="A464" s="17">
        <v>461</v>
      </c>
      <c r="B464" s="11" t="s">
        <v>7</v>
      </c>
      <c r="C464" s="11" t="s">
        <v>34</v>
      </c>
      <c r="D464" s="9">
        <v>43897</v>
      </c>
      <c r="E464" s="6" t="s">
        <v>35</v>
      </c>
      <c r="F464" s="6" t="s">
        <v>232</v>
      </c>
      <c r="G464" s="27" t="s">
        <v>210</v>
      </c>
    </row>
    <row r="465" spans="1:7" ht="60">
      <c r="A465" s="17">
        <v>462</v>
      </c>
      <c r="B465" s="17" t="s">
        <v>4</v>
      </c>
      <c r="C465" s="17" t="s">
        <v>5</v>
      </c>
      <c r="D465" s="18">
        <v>43897</v>
      </c>
      <c r="E465" s="19" t="s">
        <v>271</v>
      </c>
      <c r="F465" s="19" t="s">
        <v>290</v>
      </c>
      <c r="G465" s="17" t="s">
        <v>210</v>
      </c>
    </row>
    <row r="466" spans="1:7" s="1" customFormat="1" ht="45">
      <c r="A466" s="17">
        <v>463</v>
      </c>
      <c r="B466" s="11" t="s">
        <v>4</v>
      </c>
      <c r="C466" s="11" t="s">
        <v>11</v>
      </c>
      <c r="D466" s="9">
        <v>43903</v>
      </c>
      <c r="E466" s="6" t="s">
        <v>31</v>
      </c>
      <c r="F466" s="6" t="s">
        <v>223</v>
      </c>
      <c r="G466" s="27" t="s">
        <v>210</v>
      </c>
    </row>
    <row r="467" spans="1:7" ht="45">
      <c r="A467" s="17">
        <v>464</v>
      </c>
      <c r="B467" s="17" t="s">
        <v>4</v>
      </c>
      <c r="C467" s="17" t="s">
        <v>5</v>
      </c>
      <c r="D467" s="18">
        <v>43911</v>
      </c>
      <c r="E467" s="19" t="s">
        <v>270</v>
      </c>
      <c r="F467" s="19" t="s">
        <v>242</v>
      </c>
      <c r="G467" s="17" t="s">
        <v>210</v>
      </c>
    </row>
    <row r="468" spans="1:7" ht="45">
      <c r="A468" s="17">
        <v>465</v>
      </c>
      <c r="B468" s="17" t="s">
        <v>4</v>
      </c>
      <c r="C468" s="17" t="s">
        <v>5</v>
      </c>
      <c r="D468" s="18">
        <v>43882</v>
      </c>
      <c r="E468" s="19" t="s">
        <v>270</v>
      </c>
      <c r="F468" s="19" t="s">
        <v>242</v>
      </c>
      <c r="G468" s="17" t="s">
        <v>210</v>
      </c>
    </row>
    <row r="469" spans="1:7" ht="45">
      <c r="A469" s="17">
        <v>466</v>
      </c>
      <c r="B469" s="17" t="s">
        <v>4</v>
      </c>
      <c r="C469" s="17" t="s">
        <v>5</v>
      </c>
      <c r="D469" s="18">
        <v>43900</v>
      </c>
      <c r="E469" s="19" t="s">
        <v>287</v>
      </c>
      <c r="F469" s="19" t="s">
        <v>242</v>
      </c>
      <c r="G469" s="17" t="s">
        <v>210</v>
      </c>
    </row>
    <row r="470" spans="1:7" s="1" customFormat="1" ht="45">
      <c r="A470" s="17">
        <v>467</v>
      </c>
      <c r="B470" s="11" t="s">
        <v>4</v>
      </c>
      <c r="C470" s="11" t="s">
        <v>11</v>
      </c>
      <c r="D470" s="9">
        <v>43895</v>
      </c>
      <c r="E470" s="6" t="s">
        <v>24</v>
      </c>
      <c r="F470" s="6" t="s">
        <v>223</v>
      </c>
      <c r="G470" s="27" t="s">
        <v>210</v>
      </c>
    </row>
    <row r="471" spans="1:7" ht="60">
      <c r="A471" s="17">
        <v>468</v>
      </c>
      <c r="B471" s="17" t="s">
        <v>10</v>
      </c>
      <c r="C471" s="17" t="s">
        <v>5</v>
      </c>
      <c r="D471" s="18">
        <v>43914</v>
      </c>
      <c r="E471" s="19" t="s">
        <v>54</v>
      </c>
      <c r="F471" s="19" t="s">
        <v>237</v>
      </c>
      <c r="G471" s="17" t="s">
        <v>210</v>
      </c>
    </row>
    <row r="472" spans="1:7" s="1" customFormat="1" ht="45">
      <c r="A472" s="17">
        <v>469</v>
      </c>
      <c r="B472" s="11" t="s">
        <v>8</v>
      </c>
      <c r="C472" s="11" t="s">
        <v>14</v>
      </c>
      <c r="D472" s="9">
        <v>43892</v>
      </c>
      <c r="E472" s="6" t="s">
        <v>136</v>
      </c>
      <c r="F472" s="6" t="s">
        <v>220</v>
      </c>
      <c r="G472" s="27" t="s">
        <v>210</v>
      </c>
    </row>
    <row r="473" spans="1:7" ht="60">
      <c r="A473" s="17">
        <v>470</v>
      </c>
      <c r="B473" s="17" t="s">
        <v>4</v>
      </c>
      <c r="C473" s="17" t="s">
        <v>5</v>
      </c>
      <c r="D473" s="18">
        <v>43900</v>
      </c>
      <c r="E473" s="19" t="s">
        <v>280</v>
      </c>
      <c r="F473" s="19" t="s">
        <v>242</v>
      </c>
      <c r="G473" s="17" t="s">
        <v>210</v>
      </c>
    </row>
    <row r="474" spans="1:7" ht="75">
      <c r="A474" s="17">
        <v>471</v>
      </c>
      <c r="B474" s="17" t="s">
        <v>10</v>
      </c>
      <c r="C474" s="17" t="s">
        <v>5</v>
      </c>
      <c r="D474" s="18">
        <v>43609</v>
      </c>
      <c r="E474" s="19" t="s">
        <v>55</v>
      </c>
      <c r="F474" s="19" t="s">
        <v>242</v>
      </c>
      <c r="G474" s="17" t="s">
        <v>210</v>
      </c>
    </row>
    <row r="475" spans="1:7" s="1" customFormat="1" ht="60">
      <c r="A475" s="17">
        <v>472</v>
      </c>
      <c r="B475" s="11" t="s">
        <v>4</v>
      </c>
      <c r="C475" s="11" t="s">
        <v>21</v>
      </c>
      <c r="D475" s="9">
        <v>43899</v>
      </c>
      <c r="E475" s="6" t="s">
        <v>203</v>
      </c>
      <c r="F475" s="6" t="s">
        <v>227</v>
      </c>
      <c r="G475" s="27" t="s">
        <v>210</v>
      </c>
    </row>
    <row r="476" spans="1:7" ht="45">
      <c r="A476" s="17">
        <v>473</v>
      </c>
      <c r="B476" s="17" t="s">
        <v>4</v>
      </c>
      <c r="C476" s="17" t="s">
        <v>5</v>
      </c>
      <c r="D476" s="18">
        <v>43886</v>
      </c>
      <c r="E476" s="19" t="s">
        <v>287</v>
      </c>
      <c r="F476" s="19" t="s">
        <v>242</v>
      </c>
      <c r="G476" s="17" t="s">
        <v>210</v>
      </c>
    </row>
    <row r="477" spans="1:7" ht="45">
      <c r="A477" s="17">
        <v>474</v>
      </c>
      <c r="B477" s="17" t="s">
        <v>4</v>
      </c>
      <c r="C477" s="17" t="s">
        <v>5</v>
      </c>
      <c r="D477" s="18">
        <v>43912</v>
      </c>
      <c r="E477" s="19" t="s">
        <v>287</v>
      </c>
      <c r="F477" s="19" t="s">
        <v>242</v>
      </c>
      <c r="G477" s="17" t="s">
        <v>210</v>
      </c>
    </row>
    <row r="478" spans="1:7" s="1" customFormat="1" ht="75">
      <c r="A478" s="17">
        <v>475</v>
      </c>
      <c r="B478" s="11" t="s">
        <v>8</v>
      </c>
      <c r="C478" s="11" t="s">
        <v>21</v>
      </c>
      <c r="D478" s="9">
        <v>43889</v>
      </c>
      <c r="E478" s="6" t="s">
        <v>204</v>
      </c>
      <c r="F478" s="6" t="s">
        <v>226</v>
      </c>
      <c r="G478" s="27" t="s">
        <v>210</v>
      </c>
    </row>
    <row r="479" spans="1:7" ht="45">
      <c r="A479" s="17">
        <v>476</v>
      </c>
      <c r="B479" s="17" t="s">
        <v>4</v>
      </c>
      <c r="C479" s="17" t="s">
        <v>5</v>
      </c>
      <c r="D479" s="18">
        <v>43906</v>
      </c>
      <c r="E479" s="19" t="s">
        <v>102</v>
      </c>
      <c r="F479" s="19" t="s">
        <v>242</v>
      </c>
      <c r="G479" s="17" t="s">
        <v>210</v>
      </c>
    </row>
    <row r="480" spans="1:7" s="1" customFormat="1" ht="60">
      <c r="A480" s="17">
        <v>477</v>
      </c>
      <c r="B480" s="11" t="s">
        <v>4</v>
      </c>
      <c r="C480" s="11" t="s">
        <v>21</v>
      </c>
      <c r="D480" s="9">
        <v>43899</v>
      </c>
      <c r="E480" s="6" t="s">
        <v>205</v>
      </c>
      <c r="F480" s="6" t="s">
        <v>227</v>
      </c>
      <c r="G480" s="27" t="s">
        <v>210</v>
      </c>
    </row>
    <row r="481" spans="1:7" ht="75">
      <c r="A481" s="17">
        <v>478</v>
      </c>
      <c r="B481" s="17" t="s">
        <v>10</v>
      </c>
      <c r="C481" s="17" t="s">
        <v>5</v>
      </c>
      <c r="D481" s="18">
        <v>43913</v>
      </c>
      <c r="E481" s="19" t="s">
        <v>240</v>
      </c>
      <c r="F481" s="19" t="s">
        <v>237</v>
      </c>
      <c r="G481" s="17" t="s">
        <v>210</v>
      </c>
    </row>
    <row r="482" spans="1:7" ht="45">
      <c r="A482" s="17">
        <v>479</v>
      </c>
      <c r="B482" s="17" t="s">
        <v>4</v>
      </c>
      <c r="C482" s="17" t="s">
        <v>5</v>
      </c>
      <c r="D482" s="18">
        <v>43899</v>
      </c>
      <c r="E482" s="19" t="s">
        <v>102</v>
      </c>
      <c r="F482" s="19" t="s">
        <v>242</v>
      </c>
      <c r="G482" s="17" t="s">
        <v>210</v>
      </c>
    </row>
    <row r="483" spans="1:7" ht="60">
      <c r="A483" s="17">
        <v>480</v>
      </c>
      <c r="B483" s="17" t="s">
        <v>7</v>
      </c>
      <c r="C483" s="17" t="s">
        <v>5</v>
      </c>
      <c r="D483" s="18">
        <v>43899</v>
      </c>
      <c r="E483" s="19" t="s">
        <v>33</v>
      </c>
      <c r="F483" s="19" t="s">
        <v>242</v>
      </c>
      <c r="G483" s="17" t="s">
        <v>210</v>
      </c>
    </row>
    <row r="484" spans="1:7" s="1" customFormat="1" ht="60">
      <c r="A484" s="17">
        <v>481</v>
      </c>
      <c r="B484" s="11" t="s">
        <v>4</v>
      </c>
      <c r="C484" s="11" t="s">
        <v>21</v>
      </c>
      <c r="D484" s="9">
        <v>43906</v>
      </c>
      <c r="E484" s="6" t="s">
        <v>206</v>
      </c>
      <c r="F484" s="6" t="s">
        <v>227</v>
      </c>
      <c r="G484" s="27" t="s">
        <v>210</v>
      </c>
    </row>
    <row r="485" spans="1:7" ht="45" customHeight="1"/>
    <row r="486" spans="1:7" ht="45" customHeight="1"/>
  </sheetData>
  <mergeCells count="1">
    <mergeCell ref="A1:G2"/>
  </mergeCells>
  <pageMargins left="0.7" right="0.7" top="0.75" bottom="0.75" header="0.3" footer="0.3"/>
  <pageSetup paperSize="9" scale="5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zoomScale="115" zoomScaleNormal="115" workbookViewId="0">
      <selection activeCell="N26" sqref="N26"/>
    </sheetView>
  </sheetViews>
  <sheetFormatPr defaultColWidth="8.85546875" defaultRowHeight="15"/>
  <cols>
    <col min="1" max="1" width="8.85546875" style="1"/>
    <col min="2" max="2" width="64.28515625" style="1" hidden="1" customWidth="1"/>
    <col min="3" max="3" width="38.28515625" style="1" customWidth="1"/>
    <col min="4" max="4" width="19.5703125" style="1" hidden="1" customWidth="1"/>
    <col min="5" max="5" width="12.42578125" style="1" hidden="1" customWidth="1"/>
    <col min="6" max="6" width="12.42578125" style="1" customWidth="1"/>
    <col min="7" max="16384" width="8.85546875" style="1"/>
  </cols>
  <sheetData>
    <row r="1" spans="1:6">
      <c r="A1" s="1" t="s">
        <v>113</v>
      </c>
    </row>
    <row r="3" spans="1:6" s="3" customFormat="1">
      <c r="A3" s="28" t="s">
        <v>0</v>
      </c>
      <c r="B3" s="28" t="s">
        <v>114</v>
      </c>
      <c r="C3" s="28" t="s">
        <v>114</v>
      </c>
      <c r="D3" s="28" t="s">
        <v>207</v>
      </c>
      <c r="E3" s="28" t="s">
        <v>115</v>
      </c>
      <c r="F3" s="28" t="s">
        <v>115</v>
      </c>
    </row>
    <row r="4" spans="1:6">
      <c r="A4" s="29">
        <v>1</v>
      </c>
      <c r="B4" s="30" t="s">
        <v>5</v>
      </c>
      <c r="C4" s="30" t="s">
        <v>5</v>
      </c>
      <c r="D4" s="29">
        <f>COUNTIF(Summary!$C$4:$C$484,C4)</f>
        <v>229</v>
      </c>
      <c r="E4" s="31">
        <f t="shared" ref="E4:E21" si="0">D4/SUM($D$4:$D$21)</f>
        <v>0.48516949152542371</v>
      </c>
      <c r="F4" s="32">
        <f>D4/SUM($D$4:$D$21)</f>
        <v>0.48516949152542371</v>
      </c>
    </row>
    <row r="5" spans="1:6">
      <c r="A5" s="29">
        <v>2</v>
      </c>
      <c r="B5" s="30" t="s">
        <v>11</v>
      </c>
      <c r="C5" s="30" t="s">
        <v>11</v>
      </c>
      <c r="D5" s="29">
        <v>107</v>
      </c>
      <c r="E5" s="31">
        <f t="shared" si="0"/>
        <v>0.22669491525423729</v>
      </c>
      <c r="F5" s="32">
        <f t="shared" ref="F5:F10" si="1">D5/SUM($D$4:$D$21)</f>
        <v>0.22669491525423729</v>
      </c>
    </row>
    <row r="6" spans="1:6">
      <c r="A6" s="29">
        <v>3</v>
      </c>
      <c r="B6" s="30" t="s">
        <v>21</v>
      </c>
      <c r="C6" s="30" t="s">
        <v>21</v>
      </c>
      <c r="D6" s="29">
        <v>60</v>
      </c>
      <c r="E6" s="31">
        <f t="shared" si="0"/>
        <v>0.1271186440677966</v>
      </c>
      <c r="F6" s="32">
        <f t="shared" si="1"/>
        <v>0.1271186440677966</v>
      </c>
    </row>
    <row r="7" spans="1:6">
      <c r="A7" s="29">
        <v>4</v>
      </c>
      <c r="B7" s="30" t="s">
        <v>14</v>
      </c>
      <c r="C7" s="30" t="s">
        <v>14</v>
      </c>
      <c r="D7" s="29">
        <v>36</v>
      </c>
      <c r="E7" s="31">
        <f t="shared" si="0"/>
        <v>7.6271186440677971E-2</v>
      </c>
      <c r="F7" s="32">
        <f t="shared" si="1"/>
        <v>7.6271186440677971E-2</v>
      </c>
    </row>
    <row r="8" spans="1:6">
      <c r="A8" s="29">
        <v>5</v>
      </c>
      <c r="B8" s="30" t="s">
        <v>36</v>
      </c>
      <c r="C8" s="30" t="s">
        <v>36</v>
      </c>
      <c r="D8" s="29">
        <v>6</v>
      </c>
      <c r="E8" s="31">
        <f t="shared" si="0"/>
        <v>1.2711864406779662E-2</v>
      </c>
      <c r="F8" s="32">
        <f t="shared" si="1"/>
        <v>1.2711864406779662E-2</v>
      </c>
    </row>
    <row r="9" spans="1:6">
      <c r="A9" s="29">
        <v>6</v>
      </c>
      <c r="B9" s="30" t="s">
        <v>25</v>
      </c>
      <c r="C9" s="30" t="s">
        <v>25</v>
      </c>
      <c r="D9" s="29">
        <v>6</v>
      </c>
      <c r="E9" s="31">
        <f t="shared" si="0"/>
        <v>1.2711864406779662E-2</v>
      </c>
      <c r="F9" s="32">
        <f t="shared" si="1"/>
        <v>1.2711864406779662E-2</v>
      </c>
    </row>
    <row r="10" spans="1:6">
      <c r="A10" s="29">
        <v>7</v>
      </c>
      <c r="B10" s="30" t="s">
        <v>23</v>
      </c>
      <c r="C10" s="30" t="s">
        <v>23</v>
      </c>
      <c r="D10" s="29">
        <v>5</v>
      </c>
      <c r="E10" s="31">
        <f t="shared" si="0"/>
        <v>1.059322033898305E-2</v>
      </c>
      <c r="F10" s="32">
        <f t="shared" si="1"/>
        <v>1.059322033898305E-2</v>
      </c>
    </row>
    <row r="11" spans="1:6">
      <c r="A11" s="40">
        <v>8</v>
      </c>
      <c r="B11" s="33" t="s">
        <v>9</v>
      </c>
      <c r="C11" s="38" t="s">
        <v>208</v>
      </c>
      <c r="D11" s="27">
        <v>4</v>
      </c>
      <c r="E11" s="34">
        <f t="shared" si="0"/>
        <v>8.4745762711864406E-3</v>
      </c>
      <c r="F11" s="39">
        <f>SUM(D11:D21)/SUM(D4:D21)</f>
        <v>4.8728813559322036E-2</v>
      </c>
    </row>
    <row r="12" spans="1:6">
      <c r="A12" s="40"/>
      <c r="B12" s="33" t="s">
        <v>66</v>
      </c>
      <c r="C12" s="38"/>
      <c r="D12" s="27">
        <v>4</v>
      </c>
      <c r="E12" s="34">
        <f t="shared" si="0"/>
        <v>8.4745762711864406E-3</v>
      </c>
      <c r="F12" s="39"/>
    </row>
    <row r="13" spans="1:6">
      <c r="A13" s="40"/>
      <c r="B13" s="33" t="s">
        <v>62</v>
      </c>
      <c r="C13" s="38"/>
      <c r="D13" s="27">
        <v>3</v>
      </c>
      <c r="E13" s="34">
        <f t="shared" si="0"/>
        <v>6.3559322033898309E-3</v>
      </c>
      <c r="F13" s="39"/>
    </row>
    <row r="14" spans="1:6">
      <c r="A14" s="40"/>
      <c r="B14" s="33" t="s">
        <v>50</v>
      </c>
      <c r="C14" s="38"/>
      <c r="D14" s="27">
        <v>2</v>
      </c>
      <c r="E14" s="34">
        <f t="shared" si="0"/>
        <v>4.2372881355932203E-3</v>
      </c>
      <c r="F14" s="39"/>
    </row>
    <row r="15" spans="1:6">
      <c r="A15" s="40"/>
      <c r="B15" s="33" t="s">
        <v>68</v>
      </c>
      <c r="C15" s="38"/>
      <c r="D15" s="27">
        <v>2</v>
      </c>
      <c r="E15" s="34">
        <f t="shared" si="0"/>
        <v>4.2372881355932203E-3</v>
      </c>
      <c r="F15" s="39"/>
    </row>
    <row r="16" spans="1:6">
      <c r="A16" s="40"/>
      <c r="B16" s="33" t="s">
        <v>40</v>
      </c>
      <c r="C16" s="38"/>
      <c r="D16" s="27">
        <v>2</v>
      </c>
      <c r="E16" s="34">
        <f t="shared" si="0"/>
        <v>4.2372881355932203E-3</v>
      </c>
      <c r="F16" s="39"/>
    </row>
    <row r="17" spans="1:7">
      <c r="A17" s="40"/>
      <c r="B17" s="33" t="s">
        <v>34</v>
      </c>
      <c r="C17" s="38"/>
      <c r="D17" s="27">
        <v>2</v>
      </c>
      <c r="E17" s="34">
        <f t="shared" si="0"/>
        <v>4.2372881355932203E-3</v>
      </c>
      <c r="F17" s="39"/>
    </row>
    <row r="18" spans="1:7">
      <c r="A18" s="40"/>
      <c r="B18" s="33" t="s">
        <v>70</v>
      </c>
      <c r="C18" s="38"/>
      <c r="D18" s="27">
        <v>1</v>
      </c>
      <c r="E18" s="34">
        <f t="shared" si="0"/>
        <v>2.1186440677966102E-3</v>
      </c>
      <c r="F18" s="39"/>
    </row>
    <row r="19" spans="1:7">
      <c r="A19" s="40"/>
      <c r="B19" s="33" t="s">
        <v>67</v>
      </c>
      <c r="C19" s="38"/>
      <c r="D19" s="27">
        <v>1</v>
      </c>
      <c r="E19" s="34">
        <f t="shared" si="0"/>
        <v>2.1186440677966102E-3</v>
      </c>
      <c r="F19" s="39"/>
    </row>
    <row r="20" spans="1:7">
      <c r="A20" s="40"/>
      <c r="B20" s="33" t="s">
        <v>73</v>
      </c>
      <c r="C20" s="38"/>
      <c r="D20" s="27">
        <v>1</v>
      </c>
      <c r="E20" s="34">
        <f t="shared" si="0"/>
        <v>2.1186440677966102E-3</v>
      </c>
      <c r="F20" s="39"/>
    </row>
    <row r="21" spans="1:7">
      <c r="A21" s="40"/>
      <c r="B21" s="33" t="s">
        <v>79</v>
      </c>
      <c r="C21" s="38"/>
      <c r="D21" s="27">
        <v>1</v>
      </c>
      <c r="E21" s="34">
        <f t="shared" si="0"/>
        <v>2.1186440677966102E-3</v>
      </c>
      <c r="F21" s="39"/>
    </row>
    <row r="22" spans="1:7" s="3" customFormat="1">
      <c r="A22" s="24"/>
      <c r="B22" s="24"/>
      <c r="C22" s="24"/>
      <c r="D22" s="5"/>
      <c r="E22" s="4"/>
      <c r="F22" s="4"/>
    </row>
    <row r="30" spans="1:7">
      <c r="A30" s="2" t="s">
        <v>298</v>
      </c>
    </row>
    <row r="32" spans="1:7" s="5" customFormat="1" ht="29.45" customHeight="1">
      <c r="A32" s="5" t="s">
        <v>0</v>
      </c>
      <c r="C32" s="5" t="s">
        <v>299</v>
      </c>
      <c r="F32" s="36" t="s">
        <v>300</v>
      </c>
      <c r="G32" s="5" t="s">
        <v>301</v>
      </c>
    </row>
    <row r="33" spans="1:7" ht="45">
      <c r="A33" s="1">
        <v>1</v>
      </c>
      <c r="C33" s="35" t="s">
        <v>297</v>
      </c>
      <c r="F33" s="1">
        <f>COUNTIF(Summary!$F$4:$F$484,Chart!C33)</f>
        <v>9</v>
      </c>
      <c r="G33" s="37">
        <f>F33/SUM($F$33:$F$42)</f>
        <v>3.8626609442060089E-2</v>
      </c>
    </row>
    <row r="34" spans="1:7" ht="45">
      <c r="A34" s="1">
        <v>2</v>
      </c>
      <c r="C34" s="19" t="s">
        <v>237</v>
      </c>
      <c r="F34" s="1">
        <f>COUNTIF(Summary!$F$4:$F$484,Chart!C34)</f>
        <v>16</v>
      </c>
      <c r="G34" s="37">
        <f t="shared" ref="G34:G42" si="2">F34/SUM($F$33:$F$42)</f>
        <v>6.8669527896995708E-2</v>
      </c>
    </row>
    <row r="35" spans="1:7" ht="60">
      <c r="A35" s="1">
        <v>3</v>
      </c>
      <c r="C35" s="19" t="s">
        <v>292</v>
      </c>
      <c r="F35" s="1">
        <f>COUNTIF(Summary!$F$4:$F$484,Chart!C35)</f>
        <v>8</v>
      </c>
      <c r="G35" s="37">
        <f t="shared" si="2"/>
        <v>3.4334763948497854E-2</v>
      </c>
    </row>
    <row r="36" spans="1:7" ht="45">
      <c r="A36" s="1">
        <v>4</v>
      </c>
      <c r="C36" s="19" t="s">
        <v>295</v>
      </c>
      <c r="F36" s="1">
        <f>COUNTIF(Summary!$F$4:$F$484,Chart!C36)</f>
        <v>2</v>
      </c>
      <c r="G36" s="37">
        <f t="shared" si="2"/>
        <v>8.5836909871244635E-3</v>
      </c>
    </row>
    <row r="37" spans="1:7" ht="45">
      <c r="A37" s="1">
        <v>5</v>
      </c>
      <c r="C37" s="19" t="s">
        <v>242</v>
      </c>
      <c r="F37" s="1">
        <f>COUNTIF(Summary!$F$4:$F$484,Chart!C37)</f>
        <v>157</v>
      </c>
      <c r="G37" s="37">
        <f t="shared" si="2"/>
        <v>0.67381974248927035</v>
      </c>
    </row>
    <row r="38" spans="1:7" ht="45">
      <c r="A38" s="1">
        <v>6</v>
      </c>
      <c r="C38" s="19" t="s">
        <v>294</v>
      </c>
      <c r="F38" s="1">
        <f>COUNTIF(Summary!$F$4:$F$484,Chart!C38)</f>
        <v>1</v>
      </c>
      <c r="G38" s="37">
        <f t="shared" si="2"/>
        <v>4.2918454935622317E-3</v>
      </c>
    </row>
    <row r="39" spans="1:7" ht="45">
      <c r="A39" s="1">
        <v>7</v>
      </c>
      <c r="C39" s="19" t="s">
        <v>245</v>
      </c>
      <c r="F39" s="1">
        <f>COUNTIF(Summary!$F$4:$F$484,Chart!C39)</f>
        <v>7</v>
      </c>
      <c r="G39" s="37">
        <f t="shared" si="2"/>
        <v>3.0042918454935622E-2</v>
      </c>
    </row>
    <row r="40" spans="1:7" ht="45">
      <c r="A40" s="1">
        <v>8</v>
      </c>
      <c r="C40" s="19" t="s">
        <v>290</v>
      </c>
      <c r="F40" s="1">
        <f>COUNTIF(Summary!$F$4:$F$484,Chart!C40)</f>
        <v>22</v>
      </c>
      <c r="G40" s="37">
        <f t="shared" si="2"/>
        <v>9.4420600858369105E-2</v>
      </c>
    </row>
    <row r="41" spans="1:7" ht="45">
      <c r="A41" s="1">
        <v>9</v>
      </c>
      <c r="C41" s="26" t="s">
        <v>293</v>
      </c>
      <c r="F41" s="1">
        <f>COUNTIF(Summary!$F$4:$F$484,Chart!C41)</f>
        <v>1</v>
      </c>
      <c r="G41" s="37">
        <f t="shared" si="2"/>
        <v>4.2918454935622317E-3</v>
      </c>
    </row>
    <row r="42" spans="1:7" ht="45">
      <c r="A42" s="1">
        <v>10</v>
      </c>
      <c r="C42" s="19" t="s">
        <v>296</v>
      </c>
      <c r="F42" s="1">
        <f>COUNTIF(Summary!$F$4:$F$484,Chart!C42)</f>
        <v>10</v>
      </c>
      <c r="G42" s="37">
        <f t="shared" si="2"/>
        <v>4.2918454935622317E-2</v>
      </c>
    </row>
  </sheetData>
  <autoFilter ref="A3:E3">
    <sortState ref="A5:E22">
      <sortCondition descending="1" ref="E4"/>
    </sortState>
  </autoFilter>
  <mergeCells count="3">
    <mergeCell ref="C11:C21"/>
    <mergeCell ref="F11:F21"/>
    <mergeCell ref="A11:A2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Chart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Doan Thi Yen</cp:lastModifiedBy>
  <cp:lastPrinted>2020-06-09T09:27:42Z</cp:lastPrinted>
  <dcterms:created xsi:type="dcterms:W3CDTF">2020-04-28T00:21:16Z</dcterms:created>
  <dcterms:modified xsi:type="dcterms:W3CDTF">2020-06-09T09:27:54Z</dcterms:modified>
</cp:coreProperties>
</file>