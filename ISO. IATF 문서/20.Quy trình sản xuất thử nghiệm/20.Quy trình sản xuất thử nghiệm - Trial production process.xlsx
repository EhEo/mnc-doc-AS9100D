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0" yWindow="0" windowWidth="20730" windowHeight="8760" tabRatio="826" activeTab="4"/>
  </bookViews>
  <sheets>
    <sheet name="Convert" sheetId="59" r:id="rId1"/>
    <sheet name="1" sheetId="47" r:id="rId2"/>
    <sheet name="2" sheetId="48" r:id="rId3"/>
    <sheet name="3" sheetId="49" r:id="rId4"/>
    <sheet name="4" sheetId="64" r:id="rId5"/>
    <sheet name="Schedule" sheetId="66" r:id="rId6"/>
    <sheet name="RD-PR-006-003 " sheetId="65"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a" localSheetId="1">#REF!</definedName>
    <definedName name="\a" localSheetId="2">#REF!</definedName>
    <definedName name="\a" localSheetId="3">#REF!</definedName>
    <definedName name="\a" localSheetId="6">#REF!</definedName>
    <definedName name="\a">#REF!</definedName>
    <definedName name="\p" localSheetId="1">#REF!</definedName>
    <definedName name="\p" localSheetId="2">#REF!</definedName>
    <definedName name="\p" localSheetId="3">#REF!</definedName>
    <definedName name="\p" localSheetId="6">#REF!</definedName>
    <definedName name="\p">#REF!</definedName>
    <definedName name="\w" localSheetId="1">#REF!</definedName>
    <definedName name="\w" localSheetId="2">#REF!</definedName>
    <definedName name="\w" localSheetId="3">#REF!</definedName>
    <definedName name="\w" localSheetId="6">#REF!</definedName>
    <definedName name="\w">#REF!</definedName>
    <definedName name="_" localSheetId="1">#REF!</definedName>
    <definedName name="_" localSheetId="2">#REF!</definedName>
    <definedName name="_" localSheetId="3">#REF!</definedName>
    <definedName name="_" localSheetId="6">#REF!</definedName>
    <definedName name="_">#REF!</definedName>
    <definedName name="_?쨲?f" localSheetId="1">#REF!</definedName>
    <definedName name="_?쨲?f" localSheetId="2">#REF!</definedName>
    <definedName name="_?쨲?f" localSheetId="3">#REF!</definedName>
    <definedName name="_?쨲?f" localSheetId="6">#REF!</definedName>
    <definedName name="_?쨲?f">#REF!</definedName>
    <definedName name="__?쨲?f" localSheetId="1">#REF!</definedName>
    <definedName name="__?쨲?f" localSheetId="2">#REF!</definedName>
    <definedName name="__?쨲?f" localSheetId="3">#REF!</definedName>
    <definedName name="__?쨲?f" localSheetId="6">#REF!</definedName>
    <definedName name="__?쨲?f">#REF!</definedName>
    <definedName name="___?쨲?f">#REF!</definedName>
    <definedName name="__1_?쨲?f" localSheetId="1">#REF!</definedName>
    <definedName name="__1_?쨲?f" localSheetId="2">#REF!</definedName>
    <definedName name="__1_?쨲?f" localSheetId="3">#REF!</definedName>
    <definedName name="__1_?쨲?f">#REF!</definedName>
    <definedName name="_1" localSheetId="1">#REF!</definedName>
    <definedName name="_1" localSheetId="2">#REF!</definedName>
    <definedName name="_1" localSheetId="3">#REF!</definedName>
    <definedName name="_1" localSheetId="6">#REF!</definedName>
    <definedName name="_1">#REF!</definedName>
    <definedName name="_1_?쨲?f" localSheetId="1">#REF!</definedName>
    <definedName name="_1_?쨲?f" localSheetId="2">#REF!</definedName>
    <definedName name="_1_?쨲?f" localSheetId="3">#REF!</definedName>
    <definedName name="_1_?쨲?f" localSheetId="6">#REF!</definedName>
    <definedName name="_1_?쨲?f">#REF!</definedName>
    <definedName name="_1_0Print_Area" localSheetId="1">#REF!</definedName>
    <definedName name="_1_0Print_Area" localSheetId="2">#REF!</definedName>
    <definedName name="_1_0Print_Area" localSheetId="3">#REF!</definedName>
    <definedName name="_1_0Print_Area" localSheetId="6">#REF!</definedName>
    <definedName name="_1_0Print_Area">#REF!</definedName>
    <definedName name="_111" localSheetId="1">#REF!</definedName>
    <definedName name="_111" localSheetId="2">#REF!</definedName>
    <definedName name="_111" localSheetId="3">#REF!</definedName>
    <definedName name="_111" localSheetId="6">#REF!</definedName>
    <definedName name="_111">#REF!</definedName>
    <definedName name="_1Print_Area" localSheetId="1">#REF!</definedName>
    <definedName name="_1Print_Area" localSheetId="2">#REF!</definedName>
    <definedName name="_1Print_Area" localSheetId="3">#REF!</definedName>
    <definedName name="_1Print_Area" localSheetId="6">#REF!</definedName>
    <definedName name="_1Print_Area">#REF!</definedName>
    <definedName name="_2" localSheetId="1">#REF!</definedName>
    <definedName name="_2" localSheetId="2">#REF!</definedName>
    <definedName name="_2" localSheetId="3">#REF!</definedName>
    <definedName name="_2" localSheetId="6">#REF!</definedName>
    <definedName name="_2">#REF!</definedName>
    <definedName name="_2_?쨲?f" localSheetId="1">#REF!</definedName>
    <definedName name="_2_?쨲?f" localSheetId="2">#REF!</definedName>
    <definedName name="_2_?쨲?f" localSheetId="3">#REF!</definedName>
    <definedName name="_2_?쨲?f" localSheetId="6">#REF!</definedName>
    <definedName name="_2_?쨲?f">#REF!</definedName>
    <definedName name="_20" localSheetId="1">#REF!</definedName>
    <definedName name="_20" localSheetId="2">#REF!</definedName>
    <definedName name="_20" localSheetId="3">#REF!</definedName>
    <definedName name="_20" localSheetId="6">#REF!</definedName>
    <definedName name="_20">#REF!</definedName>
    <definedName name="_2Print_Area" localSheetId="1">#REF!</definedName>
    <definedName name="_2Print_Area" localSheetId="2">#REF!</definedName>
    <definedName name="_2Print_Area" localSheetId="3">#REF!</definedName>
    <definedName name="_2Print_Area" localSheetId="6">#REF!</definedName>
    <definedName name="_2Print_Area">#REF!</definedName>
    <definedName name="_3_0_0입" localSheetId="1">#REF!</definedName>
    <definedName name="_3_0_0입" localSheetId="2">#REF!</definedName>
    <definedName name="_3_0_0입" localSheetId="3">#REF!</definedName>
    <definedName name="_3_0_0입" localSheetId="6">#REF!</definedName>
    <definedName name="_3_0_0입">#REF!</definedName>
    <definedName name="_30" localSheetId="1">#REF!</definedName>
    <definedName name="_30" localSheetId="2">#REF!</definedName>
    <definedName name="_30" localSheetId="3">#REF!</definedName>
    <definedName name="_30" localSheetId="6">#REF!</definedName>
    <definedName name="_30">#REF!</definedName>
    <definedName name="_3입" localSheetId="1">#REF!</definedName>
    <definedName name="_3입" localSheetId="2">#REF!</definedName>
    <definedName name="_3입" localSheetId="3">#REF!</definedName>
    <definedName name="_3입" localSheetId="6">#REF!</definedName>
    <definedName name="_3입">#REF!</definedName>
    <definedName name="_4_0_0차" localSheetId="1">#REF!</definedName>
    <definedName name="_4_0_0차" localSheetId="2">#REF!</definedName>
    <definedName name="_4_0_0차" localSheetId="3">#REF!</definedName>
    <definedName name="_4_0_0차" localSheetId="6">#REF!</definedName>
    <definedName name="_4_0_0차">#REF!</definedName>
    <definedName name="_40" localSheetId="1">#REF!</definedName>
    <definedName name="_40" localSheetId="2">#REF!</definedName>
    <definedName name="_40" localSheetId="3">#REF!</definedName>
    <definedName name="_40" localSheetId="6">#REF!</definedName>
    <definedName name="_40">#REF!</definedName>
    <definedName name="_4차" localSheetId="1">#REF!</definedName>
    <definedName name="_4차" localSheetId="2">#REF!</definedName>
    <definedName name="_4차" localSheetId="3">#REF!</definedName>
    <definedName name="_4차" localSheetId="6">#REF!</definedName>
    <definedName name="_4차">#REF!</definedName>
    <definedName name="_5입" localSheetId="1">#REF!</definedName>
    <definedName name="_5입" localSheetId="2">#REF!</definedName>
    <definedName name="_5입" localSheetId="3">#REF!</definedName>
    <definedName name="_5입" localSheetId="6">#REF!</definedName>
    <definedName name="_5입">#REF!</definedName>
    <definedName name="_6차" localSheetId="1">#REF!</definedName>
    <definedName name="_6차" localSheetId="2">#REF!</definedName>
    <definedName name="_6차" localSheetId="3">#REF!</definedName>
    <definedName name="_6차" localSheetId="6">#REF!</definedName>
    <definedName name="_6차">#REF!</definedName>
    <definedName name="_93" localSheetId="1">'[1]W-현원가'!#REF!</definedName>
    <definedName name="_93" localSheetId="2">'[1]W-현원가'!#REF!</definedName>
    <definedName name="_93" localSheetId="3">'[1]W-현원가'!#REF!</definedName>
    <definedName name="_93" localSheetId="6">'[1]W-현원가'!#REF!</definedName>
    <definedName name="_93">'[1]W-현원가'!#REF!</definedName>
    <definedName name="_93A" localSheetId="1">'[1]W-현원가'!#REF!</definedName>
    <definedName name="_93A" localSheetId="2">'[1]W-현원가'!#REF!</definedName>
    <definedName name="_93A" localSheetId="3">'[1]W-현원가'!#REF!</definedName>
    <definedName name="_93A" localSheetId="6">'[1]W-현원가'!#REF!</definedName>
    <definedName name="_93A">'[1]W-현원가'!#REF!</definedName>
    <definedName name="_93B" localSheetId="1">'[1]W-현원가'!#REF!</definedName>
    <definedName name="_93B" localSheetId="2">'[1]W-현원가'!#REF!</definedName>
    <definedName name="_93B" localSheetId="3">'[1]W-현원가'!#REF!</definedName>
    <definedName name="_93B" localSheetId="6">'[1]W-현원가'!#REF!</definedName>
    <definedName name="_93B">'[1]W-현원가'!#REF!</definedName>
    <definedName name="_94" localSheetId="1">'[1]W-현원가'!#REF!</definedName>
    <definedName name="_94" localSheetId="2">'[1]W-현원가'!#REF!</definedName>
    <definedName name="_94" localSheetId="3">'[1]W-현원가'!#REF!</definedName>
    <definedName name="_94" localSheetId="6">'[1]W-현원가'!#REF!</definedName>
    <definedName name="_94">'[1]W-현원가'!#REF!</definedName>
    <definedName name="_ASD1">[2]HP1AMLIST!#REF!</definedName>
    <definedName name="_Dist_Bin" localSheetId="1" hidden="1">#REF!</definedName>
    <definedName name="_Dist_Bin" localSheetId="2" hidden="1">#REF!</definedName>
    <definedName name="_Dist_Bin" localSheetId="3" hidden="1">#REF!</definedName>
    <definedName name="_Dist_Bin" localSheetId="6" hidden="1">#REF!</definedName>
    <definedName name="_Dist_Bin" hidden="1">#REF!</definedName>
    <definedName name="_Fill" localSheetId="1" hidden="1">#REF!</definedName>
    <definedName name="_Fill" localSheetId="2" hidden="1">#REF!</definedName>
    <definedName name="_Fill" localSheetId="3" hidden="1">#REF!</definedName>
    <definedName name="_Fill" hidden="1">#REF!</definedName>
    <definedName name="_Key1" localSheetId="1" hidden="1">#REF!</definedName>
    <definedName name="_Key1" localSheetId="2" hidden="1">#REF!</definedName>
    <definedName name="_Key1" localSheetId="3" hidden="1">#REF!</definedName>
    <definedName name="_Key1" hidden="1">#REF!</definedName>
    <definedName name="_Order1" hidden="1">255</definedName>
    <definedName name="_Order2" hidden="1">255</definedName>
    <definedName name="_TTT1" localSheetId="1">#REF!</definedName>
    <definedName name="_TTT1" localSheetId="2">#REF!</definedName>
    <definedName name="_TTT1" localSheetId="3">#REF!</definedName>
    <definedName name="_TTT1" localSheetId="6">#REF!</definedName>
    <definedName name="_TTT1">#REF!</definedName>
    <definedName name="￥" localSheetId="1">[3]작성양식!#REF!</definedName>
    <definedName name="￥" localSheetId="2">[3]작성양식!#REF!</definedName>
    <definedName name="￥" localSheetId="3">[3]작성양식!#REF!</definedName>
    <definedName name="￥" localSheetId="6">[3]작성양식!#REF!</definedName>
    <definedName name="￥">[3]작성양식!#REF!</definedName>
    <definedName name="√">"SQRT"</definedName>
    <definedName name="A" localSheetId="1">#REF!</definedName>
    <definedName name="A" localSheetId="2">#REF!</definedName>
    <definedName name="A" localSheetId="3">#REF!</definedName>
    <definedName name="A" localSheetId="6">#REF!</definedName>
    <definedName name="A">#REF!</definedName>
    <definedName name="AAA" localSheetId="1">#REF!</definedName>
    <definedName name="AAA" localSheetId="2">#REF!</definedName>
    <definedName name="AAA" localSheetId="3">#REF!</definedName>
    <definedName name="AAA" localSheetId="6">#REF!</definedName>
    <definedName name="AAA">#REF!</definedName>
    <definedName name="AB" localSheetId="1">#REF!</definedName>
    <definedName name="AB" localSheetId="2">#REF!</definedName>
    <definedName name="AB" localSheetId="3">#REF!</definedName>
    <definedName name="AB" localSheetId="6">#REF!</definedName>
    <definedName name="AB">#REF!</definedName>
    <definedName name="AS.BB" localSheetId="1">#REF!</definedName>
    <definedName name="AS.BB" localSheetId="2">#REF!</definedName>
    <definedName name="AS.BB" localSheetId="3">#REF!</definedName>
    <definedName name="AS.BB" localSheetId="6">#REF!</definedName>
    <definedName name="AS.BB">#REF!</definedName>
    <definedName name="ASD" localSheetId="1">[2]HP1AMLIST!#REF!</definedName>
    <definedName name="ASD" localSheetId="2">[2]HP1AMLIST!#REF!</definedName>
    <definedName name="ASD" localSheetId="3">[2]HP1AMLIST!#REF!</definedName>
    <definedName name="ASD" localSheetId="6">[2]HP1AMLIST!#REF!</definedName>
    <definedName name="ASD">[2]HP1AMLIST!#REF!</definedName>
    <definedName name="B" localSheetId="1">[2]HP1AMLIST!#REF!</definedName>
    <definedName name="B" localSheetId="2">[2]HP1AMLIST!#REF!</definedName>
    <definedName name="B" localSheetId="3">[2]HP1AMLIST!#REF!</definedName>
    <definedName name="B" localSheetId="6">[2]HP1AMLIST!#REF!</definedName>
    <definedName name="B">[2]HP1AMLIST!#REF!</definedName>
    <definedName name="BBB" localSheetId="1">#REF!</definedName>
    <definedName name="BBB" localSheetId="2">#REF!</definedName>
    <definedName name="BBB" localSheetId="3">#REF!</definedName>
    <definedName name="BBB" localSheetId="6">#REF!</definedName>
    <definedName name="BBB">#REF!</definedName>
    <definedName name="BLOCK" localSheetId="1">#REF!</definedName>
    <definedName name="BLOCK" localSheetId="2">#REF!</definedName>
    <definedName name="BLOCK" localSheetId="3">#REF!</definedName>
    <definedName name="BLOCK" localSheetId="6">#REF!</definedName>
    <definedName name="BLOCK">#REF!</definedName>
    <definedName name="CC" localSheetId="1">#REF!</definedName>
    <definedName name="CC" localSheetId="2">#REF!</definedName>
    <definedName name="CC" localSheetId="3">#REF!</definedName>
    <definedName name="CC" localSheetId="6">#REF!</definedName>
    <definedName name="CC">#REF!</definedName>
    <definedName name="CFprprprrkrkrkrkpdpddkdkdkdkdkd" localSheetId="1">[4]분석mast!#REF!</definedName>
    <definedName name="CFprprprrkrkrkrkpdpddkdkdkdkdkd" localSheetId="2">[4]분석mast!#REF!</definedName>
    <definedName name="CFprprprrkrkrkrkpdpddkdkdkdkdkd" localSheetId="3">[4]분석mast!#REF!</definedName>
    <definedName name="CFprprprrkrkrkrkpdpddkdkdkdkdkd" localSheetId="6">[4]분석mast!#REF!</definedName>
    <definedName name="CFprprprrkrkrkrkpdpddkdkdkdkdkd">[4]분석mast!#REF!</definedName>
    <definedName name="CODE" localSheetId="1">#REF!</definedName>
    <definedName name="CODE" localSheetId="2">#REF!</definedName>
    <definedName name="CODE" localSheetId="3">#REF!</definedName>
    <definedName name="CODE" localSheetId="6">#REF!</definedName>
    <definedName name="CODE">#REF!</definedName>
    <definedName name="_xlnm.Criteria" localSheetId="1">#REF!</definedName>
    <definedName name="_xlnm.Criteria" localSheetId="2">#REF!</definedName>
    <definedName name="_xlnm.Criteria" localSheetId="3">#REF!</definedName>
    <definedName name="_xlnm.Criteria" localSheetId="6">#REF!</definedName>
    <definedName name="_xlnm.Criteria">#REF!</definedName>
    <definedName name="d" localSheetId="1">#REF!</definedName>
    <definedName name="d" localSheetId="2">#REF!</definedName>
    <definedName name="d" localSheetId="3">#REF!</definedName>
    <definedName name="d" localSheetId="6">#REF!</definedName>
    <definedName name="d">#REF!</definedName>
    <definedName name="_xlnm.Database" localSheetId="1">#REF!</definedName>
    <definedName name="_xlnm.Database" localSheetId="2">#REF!</definedName>
    <definedName name="_xlnm.Database" localSheetId="3">#REF!</definedName>
    <definedName name="_xlnm.Database" localSheetId="6">#REF!</definedName>
    <definedName name="_xlnm.Database">#REF!</definedName>
    <definedName name="DOL" localSheetId="1">#REF!</definedName>
    <definedName name="DOL" localSheetId="2">#REF!</definedName>
    <definedName name="DOL" localSheetId="3">#REF!</definedName>
    <definedName name="DOL" localSheetId="6">#REF!</definedName>
    <definedName name="DOL">#REF!</definedName>
    <definedName name="EXP" localSheetId="1">#REF!</definedName>
    <definedName name="EXP" localSheetId="2">#REF!</definedName>
    <definedName name="EXP" localSheetId="3">#REF!</definedName>
    <definedName name="EXP" localSheetId="6">#REF!</definedName>
    <definedName name="EXP">#REF!</definedName>
    <definedName name="FFF" localSheetId="1">#REF!</definedName>
    <definedName name="FFF" localSheetId="2">#REF!</definedName>
    <definedName name="FFF" localSheetId="3">#REF!</definedName>
    <definedName name="FFF" localSheetId="6">#REF!</definedName>
    <definedName name="FFF">#REF!</definedName>
    <definedName name="fgPRRKRKRKTBTB1RT" localSheetId="1">[5]인원계획!#REF!</definedName>
    <definedName name="fgPRRKRKRKTBTB1RT" localSheetId="2">[5]인원계획!#REF!</definedName>
    <definedName name="fgPRRKRKRKTBTB1RT" localSheetId="3">[5]인원계획!#REF!</definedName>
    <definedName name="fgPRRKRKRKTBTB1RT" localSheetId="6">[5]인원계획!#REF!</definedName>
    <definedName name="fgPRRKRKRKTBTB1RT">[5]인원계획!#REF!</definedName>
    <definedName name="FGR12C15TBTB1RTDKDK" localSheetId="1">#REF!</definedName>
    <definedName name="FGR12C15TBTB1RTDKDK" localSheetId="2">#REF!</definedName>
    <definedName name="FGR12C15TBTB1RTDKDK" localSheetId="3">#REF!</definedName>
    <definedName name="FGR12C15TBTB1RTDKDK" localSheetId="6">#REF!</definedName>
    <definedName name="FGR12C15TBTB1RTDKDK">#REF!</definedName>
    <definedName name="Full" localSheetId="1">#REF!</definedName>
    <definedName name="Full" localSheetId="2">#REF!</definedName>
    <definedName name="Full" localSheetId="3">#REF!</definedName>
    <definedName name="Full" localSheetId="6">#REF!</definedName>
    <definedName name="Full">#REF!</definedName>
    <definedName name="FullPb" localSheetId="1">#REF!</definedName>
    <definedName name="FullPb" localSheetId="2">#REF!</definedName>
    <definedName name="FullPb" localSheetId="3">#REF!</definedName>
    <definedName name="FullPb" localSheetId="6">#REF!</definedName>
    <definedName name="FullPb">#REF!</definedName>
    <definedName name="H11A01K" localSheetId="1">#REF!</definedName>
    <definedName name="H11A01K" localSheetId="2">#REF!</definedName>
    <definedName name="H11A01K" localSheetId="3">#REF!</definedName>
    <definedName name="H11A01K" localSheetId="6">#REF!</definedName>
    <definedName name="H11A01K">#REF!</definedName>
    <definedName name="HEAT" localSheetId="1">#REF!</definedName>
    <definedName name="HEAT" localSheetId="2">#REF!</definedName>
    <definedName name="HEAT" localSheetId="3">#REF!</definedName>
    <definedName name="HEAT" localSheetId="6">#REF!</definedName>
    <definedName name="HEAT">#REF!</definedName>
    <definedName name="IMPORT" localSheetId="1">#REF!</definedName>
    <definedName name="IMPORT" localSheetId="2">#REF!</definedName>
    <definedName name="IMPORT" localSheetId="3">#REF!</definedName>
    <definedName name="IMPORT" localSheetId="6">#REF!</definedName>
    <definedName name="IMPORT">#REF!</definedName>
    <definedName name="jjj" localSheetId="1">#REF!</definedName>
    <definedName name="jjj" localSheetId="2">#REF!</definedName>
    <definedName name="jjj" localSheetId="3">#REF!</definedName>
    <definedName name="jjj" localSheetId="6">#REF!</definedName>
    <definedName name="jjj">#REF!</definedName>
    <definedName name="kkk" localSheetId="1">#REF!</definedName>
    <definedName name="kkk" localSheetId="2">#REF!</definedName>
    <definedName name="kkk" localSheetId="3">#REF!</definedName>
    <definedName name="kkk" localSheetId="6">#REF!</definedName>
    <definedName name="kkk">#REF!</definedName>
    <definedName name="LANOS" localSheetId="1">#REF!</definedName>
    <definedName name="LANOS" localSheetId="2">#REF!</definedName>
    <definedName name="LANOS" localSheetId="3">#REF!</definedName>
    <definedName name="LANOS" localSheetId="6">#REF!</definedName>
    <definedName name="LANOS">#REF!</definedName>
    <definedName name="LIM" localSheetId="1">#REF!</definedName>
    <definedName name="LIM" localSheetId="2">#REF!</definedName>
    <definedName name="LIM" localSheetId="3">#REF!</definedName>
    <definedName name="LIM" localSheetId="6">#REF!</definedName>
    <definedName name="LIM">#REF!</definedName>
    <definedName name="MA" localSheetId="1">[6]구동!#REF!</definedName>
    <definedName name="MA" localSheetId="2">[6]구동!#REF!</definedName>
    <definedName name="MA" localSheetId="3">[6]구동!#REF!</definedName>
    <definedName name="MA" localSheetId="6">[6]구동!#REF!</definedName>
    <definedName name="MA">[6]구동!#REF!</definedName>
    <definedName name="Macro11">[7]!Macro11</definedName>
    <definedName name="Macro12">[7]!Macro12</definedName>
    <definedName name="Macro13">[7]!Macro13</definedName>
    <definedName name="Macro14">[7]!Macro14</definedName>
    <definedName name="mtg" localSheetId="1">#REF!</definedName>
    <definedName name="mtg" localSheetId="2">#REF!</definedName>
    <definedName name="mtg" localSheetId="3">#REF!</definedName>
    <definedName name="mtg" localSheetId="6">#REF!</definedName>
    <definedName name="mtg">#REF!</definedName>
    <definedName name="MX" localSheetId="1">[8]구동!#REF!</definedName>
    <definedName name="MX" localSheetId="2">[8]구동!#REF!</definedName>
    <definedName name="MX" localSheetId="3">[8]구동!#REF!</definedName>
    <definedName name="MX" localSheetId="6">[8]구동!#REF!</definedName>
    <definedName name="MX">[8]구동!#REF!</definedName>
    <definedName name="MZ" localSheetId="1">[6]구동!#REF!</definedName>
    <definedName name="MZ" localSheetId="2">[6]구동!#REF!</definedName>
    <definedName name="MZ" localSheetId="3">[6]구동!#REF!</definedName>
    <definedName name="MZ" localSheetId="6">[6]구동!#REF!</definedName>
    <definedName name="MZ">[6]구동!#REF!</definedName>
    <definedName name="M행" localSheetId="1">#REF!</definedName>
    <definedName name="M행" localSheetId="2">#REF!</definedName>
    <definedName name="M행" localSheetId="3">#REF!</definedName>
    <definedName name="M행" localSheetId="6">#REF!</definedName>
    <definedName name="M행">#REF!</definedName>
    <definedName name="n" localSheetId="1">#REF!</definedName>
    <definedName name="n" localSheetId="2">#REF!</definedName>
    <definedName name="n" localSheetId="3">#REF!</definedName>
    <definedName name="n" localSheetId="6">#REF!</definedName>
    <definedName name="n">#REF!</definedName>
    <definedName name="N행" localSheetId="1">#REF!</definedName>
    <definedName name="N행" localSheetId="2">#REF!</definedName>
    <definedName name="N행" localSheetId="3">#REF!</definedName>
    <definedName name="N행" localSheetId="6">#REF!</definedName>
    <definedName name="N행">#REF!</definedName>
    <definedName name="O" localSheetId="1">#REF!</definedName>
    <definedName name="O" localSheetId="2">#REF!</definedName>
    <definedName name="O" localSheetId="3">#REF!</definedName>
    <definedName name="O" localSheetId="6">#REF!</definedName>
    <definedName name="O">#REF!</definedName>
    <definedName name="O행" localSheetId="1">#REF!</definedName>
    <definedName name="O행" localSheetId="2">#REF!</definedName>
    <definedName name="O행" localSheetId="3">#REF!</definedName>
    <definedName name="O행" localSheetId="6">#REF!</definedName>
    <definedName name="O행">#REF!</definedName>
    <definedName name="_xlnm.Print_Area" localSheetId="1">'1'!$B$1:$S$28</definedName>
    <definedName name="_xlnm.Print_Area" localSheetId="2">#REF!</definedName>
    <definedName name="_xlnm.Print_Area" localSheetId="3">#REF!</definedName>
    <definedName name="_xlnm.Print_Area" localSheetId="6">'RD-PR-006-003 '!$A$1:$AC$66</definedName>
    <definedName name="_xlnm.Print_Area" localSheetId="5">Schedule!$A$1:$AL$19</definedName>
    <definedName name="_xlnm.Print_Area">#REF!</definedName>
    <definedName name="PRINT_AREA_MI" localSheetId="1">#REF!</definedName>
    <definedName name="PRINT_AREA_MI" localSheetId="2">#REF!</definedName>
    <definedName name="PRINT_AREA_MI" localSheetId="3">#REF!</definedName>
    <definedName name="PRINT_AREA_MI" localSheetId="6">#REF!</definedName>
    <definedName name="PRINT_AREA_MI">#REF!</definedName>
    <definedName name="Print_Titles_MI" localSheetId="1">#REF!</definedName>
    <definedName name="Print_Titles_MI" localSheetId="2">#REF!</definedName>
    <definedName name="Print_Titles_MI" localSheetId="3">#REF!</definedName>
    <definedName name="Print_Titles_MI" localSheetId="6">#REF!</definedName>
    <definedName name="Print_Titles_MI">#REF!</definedName>
    <definedName name="P행" localSheetId="1">#REF!</definedName>
    <definedName name="P행" localSheetId="2">#REF!</definedName>
    <definedName name="P행" localSheetId="3">#REF!</definedName>
    <definedName name="P행" localSheetId="6">#REF!</definedName>
    <definedName name="P행">#REF!</definedName>
    <definedName name="Q행" localSheetId="1">#REF!</definedName>
    <definedName name="Q행" localSheetId="2">#REF!</definedName>
    <definedName name="Q행" localSheetId="3">#REF!</definedName>
    <definedName name="Q행" localSheetId="6">#REF!</definedName>
    <definedName name="Q행">#REF!</definedName>
    <definedName name="record" localSheetId="1">[9]직원신상!#REF!</definedName>
    <definedName name="record" localSheetId="2">[9]직원신상!#REF!</definedName>
    <definedName name="record" localSheetId="3">[9]직원신상!#REF!</definedName>
    <definedName name="record">[9]직원신상!#REF!</definedName>
    <definedName name="REDATA2" localSheetId="1">#REF!</definedName>
    <definedName name="REDATA2" localSheetId="2">#REF!</definedName>
    <definedName name="REDATA2" localSheetId="3">#REF!</definedName>
    <definedName name="REDATA2" localSheetId="6">#REF!</definedName>
    <definedName name="REDATA2">#REF!</definedName>
    <definedName name="REDATA4" localSheetId="1">#REF!</definedName>
    <definedName name="REDATA4" localSheetId="2">#REF!</definedName>
    <definedName name="REDATA4" localSheetId="3">#REF!</definedName>
    <definedName name="REDATA4" localSheetId="6">#REF!</definedName>
    <definedName name="REDATA4">#REF!</definedName>
    <definedName name="REDATA5" localSheetId="1">#REF!</definedName>
    <definedName name="REDATA5" localSheetId="2">#REF!</definedName>
    <definedName name="REDATA5" localSheetId="3">#REF!</definedName>
    <definedName name="REDATA5" localSheetId="6">#REF!</definedName>
    <definedName name="REDATA5">#REF!</definedName>
    <definedName name="REDATA6" localSheetId="1">#REF!</definedName>
    <definedName name="REDATA6" localSheetId="2">#REF!</definedName>
    <definedName name="REDATA6" localSheetId="3">#REF!</definedName>
    <definedName name="REDATA6" localSheetId="6">#REF!</definedName>
    <definedName name="REDATA6">#REF!</definedName>
    <definedName name="rgrgrgr">#REF!</definedName>
    <definedName name="RTCLCRCRCRCRCRCRDLRTDKDK" localSheetId="1">[9]직원신상!#REF!</definedName>
    <definedName name="RTCLCRCRCRCRCRCRDLRTDKDK" localSheetId="2">[9]직원신상!#REF!</definedName>
    <definedName name="RTCLCRCRCRCRCRCRDLRTDKDK" localSheetId="3">[9]직원신상!#REF!</definedName>
    <definedName name="RTCLCRCRCRCRCRCRDLRTDKDK">[9]직원신상!#REF!</definedName>
    <definedName name="RTCLDLRTDK" localSheetId="1">[9]직원신상!#REF!</definedName>
    <definedName name="RTCLDLRTDK" localSheetId="2">[9]직원신상!#REF!</definedName>
    <definedName name="RTCLDLRTDK" localSheetId="3">[9]직원신상!#REF!</definedName>
    <definedName name="RTCLDLRTDK">[9]직원신상!#REF!</definedName>
    <definedName name="RT울산시RTDKDK" localSheetId="1">#REF!</definedName>
    <definedName name="RT울산시RTDKDK" localSheetId="2">#REF!</definedName>
    <definedName name="RT울산시RTDKDK" localSheetId="3">#REF!</definedName>
    <definedName name="RT울산시RTDKDK" localSheetId="6">#REF!</definedName>
    <definedName name="RT울산시RTDKDK">#REF!</definedName>
    <definedName name="R행" localSheetId="1">#REF!</definedName>
    <definedName name="R행" localSheetId="2">#REF!</definedName>
    <definedName name="R행" localSheetId="3">#REF!</definedName>
    <definedName name="R행" localSheetId="6">#REF!</definedName>
    <definedName name="R행">#REF!</definedName>
    <definedName name="sdad">#REF!</definedName>
    <definedName name="S행" localSheetId="1">#REF!</definedName>
    <definedName name="S행" localSheetId="2">#REF!</definedName>
    <definedName name="S행" localSheetId="3">#REF!</definedName>
    <definedName name="S행" localSheetId="6">#REF!</definedName>
    <definedName name="S행">#REF!</definedName>
    <definedName name="t" localSheetId="1">#REF!</definedName>
    <definedName name="t" localSheetId="2">#REF!</definedName>
    <definedName name="t" localSheetId="3">#REF!</definedName>
    <definedName name="t" localSheetId="6">#REF!</definedName>
    <definedName name="t">#REF!</definedName>
    <definedName name="test" localSheetId="1">[10]Sheet1!#REF!</definedName>
    <definedName name="test" localSheetId="2">[10]Sheet1!#REF!</definedName>
    <definedName name="test" localSheetId="3">[10]Sheet1!#REF!</definedName>
    <definedName name="test">[10]Sheet1!#REF!</definedName>
    <definedName name="TEST1" localSheetId="1">[10]Sheet1!#REF!</definedName>
    <definedName name="TEST1" localSheetId="2">[10]Sheet1!#REF!</definedName>
    <definedName name="TEST1" localSheetId="3">[10]Sheet1!#REF!</definedName>
    <definedName name="TEST1">[10]Sheet1!#REF!</definedName>
    <definedName name="test2" localSheetId="1">#REF!</definedName>
    <definedName name="test2" localSheetId="2">#REF!</definedName>
    <definedName name="test2" localSheetId="3">#REF!</definedName>
    <definedName name="test2" localSheetId="6">#REF!</definedName>
    <definedName name="test2">#REF!</definedName>
    <definedName name="TOPMENU6" localSheetId="1">#REF!</definedName>
    <definedName name="TOPMENU6" localSheetId="2">#REF!</definedName>
    <definedName name="TOPMENU6" localSheetId="3">#REF!</definedName>
    <definedName name="TOPMENU6" localSheetId="6">#REF!</definedName>
    <definedName name="TOPMENU6">#REF!</definedName>
    <definedName name="TTT" localSheetId="1">#REF!</definedName>
    <definedName name="TTT" localSheetId="2">#REF!</definedName>
    <definedName name="TTT" localSheetId="3">#REF!</definedName>
    <definedName name="TTT" localSheetId="6">#REF!</definedName>
    <definedName name="TTT">#REF!</definedName>
    <definedName name="T행" localSheetId="1">#REF!</definedName>
    <definedName name="T행" localSheetId="2">#REF!</definedName>
    <definedName name="T행" localSheetId="3">#REF!</definedName>
    <definedName name="T행" localSheetId="6">#REF!</definedName>
    <definedName name="T행">#REF!</definedName>
    <definedName name="U행" localSheetId="1">#REF!</definedName>
    <definedName name="U행" localSheetId="2">#REF!</definedName>
    <definedName name="U행" localSheetId="3">#REF!</definedName>
    <definedName name="U행" localSheetId="6">#REF!</definedName>
    <definedName name="U행">#REF!</definedName>
    <definedName name="VM" localSheetId="1">[8]구동!#REF!</definedName>
    <definedName name="VM" localSheetId="2">[8]구동!#REF!</definedName>
    <definedName name="VM" localSheetId="3">[8]구동!#REF!</definedName>
    <definedName name="VM">[8]구동!#REF!</definedName>
    <definedName name="V행" localSheetId="1">#REF!</definedName>
    <definedName name="V행" localSheetId="2">#REF!</definedName>
    <definedName name="V행" localSheetId="3">#REF!</definedName>
    <definedName name="V행" localSheetId="6">#REF!</definedName>
    <definedName name="V행">#REF!</definedName>
    <definedName name="W행" localSheetId="1">#REF!</definedName>
    <definedName name="W행" localSheetId="2">#REF!</definedName>
    <definedName name="W행" localSheetId="3">#REF!</definedName>
    <definedName name="W행" localSheetId="6">#REF!</definedName>
    <definedName name="W행">#REF!</definedName>
    <definedName name="X행" localSheetId="1">#REF!</definedName>
    <definedName name="X행" localSheetId="2">#REF!</definedName>
    <definedName name="X행" localSheetId="3">#REF!</definedName>
    <definedName name="X행" localSheetId="6">#REF!</definedName>
    <definedName name="X행">#REF!</definedName>
    <definedName name="YEN" localSheetId="1">#REF!</definedName>
    <definedName name="YEN" localSheetId="2">#REF!</definedName>
    <definedName name="YEN" localSheetId="3">#REF!</definedName>
    <definedName name="YEN" localSheetId="6">#REF!</definedName>
    <definedName name="YEN">#REF!</definedName>
    <definedName name="YY" localSheetId="1">#REF!</definedName>
    <definedName name="YY" localSheetId="2">#REF!</definedName>
    <definedName name="YY" localSheetId="3">#REF!</definedName>
    <definedName name="YY" localSheetId="6">#REF!</definedName>
    <definedName name="YY">#REF!</definedName>
    <definedName name="π">PI()</definedName>
    <definedName name="기안갑" localSheetId="1">#REF!</definedName>
    <definedName name="기안갑" localSheetId="2">#REF!</definedName>
    <definedName name="기안갑" localSheetId="3">#REF!</definedName>
    <definedName name="기안갑" localSheetId="6">#REF!</definedName>
    <definedName name="기안갑">#REF!</definedName>
    <definedName name="기안을" localSheetId="1">#REF!</definedName>
    <definedName name="기안을" localSheetId="2">#REF!</definedName>
    <definedName name="기안을" localSheetId="3">#REF!</definedName>
    <definedName name="기안을" localSheetId="6">#REF!</definedName>
    <definedName name="기안을">#REF!</definedName>
    <definedName name="ㄴㄹ" hidden="1">'[11]4.3 첨부1'!$A$99:$B$208</definedName>
    <definedName name="대림PL" localSheetId="1">[12]ML!#REF!</definedName>
    <definedName name="대림PL" localSheetId="2">[12]ML!#REF!</definedName>
    <definedName name="대림PL" localSheetId="3">[12]ML!#REF!</definedName>
    <definedName name="대림PL" localSheetId="6">[12]ML!#REF!</definedName>
    <definedName name="대림PL">[12]ML!#REF!</definedName>
    <definedName name="대회" localSheetId="1">#REF!</definedName>
    <definedName name="대회" localSheetId="2">#REF!</definedName>
    <definedName name="대회" localSheetId="3">#REF!</definedName>
    <definedName name="대회" localSheetId="6">#REF!</definedName>
    <definedName name="대회">#REF!</definedName>
    <definedName name="승인원양식1_2" localSheetId="1">#REF!</definedName>
    <definedName name="승인원양식1_2" localSheetId="2">#REF!</definedName>
    <definedName name="승인원양식1_2" localSheetId="3">#REF!</definedName>
    <definedName name="승인원양식1_2" localSheetId="6">#REF!</definedName>
    <definedName name="승인원양식1_2">#REF!</definedName>
    <definedName name="입범석" localSheetId="1">#REF!</definedName>
    <definedName name="입범석" localSheetId="2">#REF!</definedName>
    <definedName name="입범석" localSheetId="3">#REF!</definedName>
    <definedName name="입범석" localSheetId="6">#REF!</definedName>
    <definedName name="입범석">#REF!</definedName>
    <definedName name="전장su" localSheetId="1">#REF!</definedName>
    <definedName name="전장su" localSheetId="2">#REF!</definedName>
    <definedName name="전장su" localSheetId="3">#REF!</definedName>
    <definedName name="전장su" localSheetId="6">#REF!</definedName>
    <definedName name="전장su">#REF!</definedName>
    <definedName name="제목" localSheetId="1">#REF!</definedName>
    <definedName name="제목" localSheetId="2">#REF!</definedName>
    <definedName name="제목" localSheetId="3">#REF!</definedName>
    <definedName name="제목" localSheetId="6">#REF!</definedName>
    <definedName name="제목">#REF!</definedName>
    <definedName name="차체2" localSheetId="1">#REF!</definedName>
    <definedName name="차체2" localSheetId="2">#REF!</definedName>
    <definedName name="차체2" localSheetId="3">#REF!</definedName>
    <definedName name="차체2" localSheetId="6">#REF!</definedName>
    <definedName name="차체2">#REF!</definedName>
  </definedNames>
  <calcPr calcId="145621"/>
</workbook>
</file>

<file path=xl/calcChain.xml><?xml version="1.0" encoding="utf-8"?>
<calcChain xmlns="http://schemas.openxmlformats.org/spreadsheetml/2006/main">
  <c r="L69" i="65" l="1"/>
  <c r="K69" i="65"/>
  <c r="L68" i="65"/>
  <c r="K68" i="65"/>
  <c r="BC67" i="65"/>
  <c r="BD67" i="65" s="1"/>
  <c r="L67" i="65"/>
  <c r="K67" i="65"/>
  <c r="BC66" i="65"/>
  <c r="BD66" i="65" s="1"/>
  <c r="L66" i="65"/>
  <c r="K66" i="65"/>
  <c r="BC64" i="65" s="1"/>
  <c r="BD64" i="65" s="1"/>
  <c r="BC65" i="65"/>
  <c r="BD65" i="65" s="1"/>
  <c r="K65" i="65"/>
  <c r="L64" i="65"/>
  <c r="K64" i="65"/>
  <c r="BD63" i="65"/>
  <c r="BC63" i="65"/>
  <c r="L63" i="65"/>
  <c r="K63" i="65"/>
  <c r="BD62" i="65"/>
  <c r="BC62" i="65"/>
  <c r="L62" i="65"/>
  <c r="K62" i="65"/>
  <c r="BD61" i="65"/>
  <c r="BC61" i="65"/>
  <c r="L61" i="65"/>
  <c r="K61" i="65"/>
  <c r="J61" i="65"/>
  <c r="I61" i="65"/>
  <c r="BD60" i="65"/>
  <c r="BC60" i="65"/>
  <c r="L60" i="65"/>
  <c r="K60" i="65"/>
  <c r="J60" i="65"/>
  <c r="BC59" i="65"/>
  <c r="BD59" i="65" s="1"/>
  <c r="L59" i="65"/>
  <c r="K59" i="65"/>
  <c r="J59" i="65"/>
  <c r="H59" i="65"/>
  <c r="BC58" i="65"/>
  <c r="BD58" i="65" s="1"/>
  <c r="L58" i="65"/>
  <c r="K58" i="65"/>
  <c r="BC57" i="65"/>
  <c r="BD57" i="65" s="1"/>
  <c r="L57" i="65"/>
  <c r="K57" i="65"/>
  <c r="BC56" i="65"/>
  <c r="BD56" i="65" s="1"/>
  <c r="BC55" i="65"/>
  <c r="BD55" i="65" s="1"/>
  <c r="L50" i="65"/>
  <c r="K50" i="65"/>
  <c r="L49" i="65"/>
  <c r="K49" i="65"/>
  <c r="L48" i="65"/>
  <c r="K48" i="65"/>
  <c r="L47" i="65"/>
  <c r="K47" i="65"/>
  <c r="L46" i="65"/>
  <c r="K46" i="65"/>
  <c r="BD45" i="65"/>
  <c r="BE45" i="65" s="1"/>
  <c r="L45" i="65"/>
  <c r="K45" i="65"/>
  <c r="BD44" i="65"/>
  <c r="BE44" i="65" s="1"/>
  <c r="L44" i="65"/>
  <c r="K44" i="65"/>
  <c r="BD39" i="65" s="1"/>
  <c r="BE39" i="65" s="1"/>
  <c r="BD43" i="65"/>
  <c r="BE43" i="65" s="1"/>
  <c r="L43" i="65"/>
  <c r="K43" i="65"/>
  <c r="BD38" i="65" s="1"/>
  <c r="BE38" i="65" s="1"/>
  <c r="BD42" i="65"/>
  <c r="BE42" i="65" s="1"/>
  <c r="L42" i="65"/>
  <c r="K42" i="65"/>
  <c r="BD41" i="65"/>
  <c r="BE41" i="65" s="1"/>
  <c r="L41" i="65"/>
  <c r="K41" i="65"/>
  <c r="BD36" i="65" s="1"/>
  <c r="BE36" i="65" s="1"/>
  <c r="J41" i="65"/>
  <c r="I41" i="65"/>
  <c r="BD40" i="65"/>
  <c r="BE40" i="65" s="1"/>
  <c r="L40" i="65"/>
  <c r="K40" i="65"/>
  <c r="J40" i="65"/>
  <c r="L39" i="65"/>
  <c r="K39" i="65"/>
  <c r="J39" i="65"/>
  <c r="H39" i="65"/>
  <c r="L38" i="65"/>
  <c r="K38" i="65"/>
  <c r="E38" i="65"/>
  <c r="C38" i="65"/>
  <c r="BD37" i="65"/>
  <c r="BE37" i="65" s="1"/>
  <c r="E36" i="65"/>
  <c r="C36" i="65"/>
  <c r="BD35" i="65"/>
  <c r="BE35" i="65" s="1"/>
  <c r="E35" i="65"/>
  <c r="D35" i="65"/>
  <c r="C35" i="65"/>
  <c r="BE34" i="65"/>
  <c r="BD34" i="65"/>
  <c r="E34" i="65"/>
  <c r="D34" i="65"/>
  <c r="C34" i="65"/>
  <c r="BD33" i="65"/>
  <c r="BE33" i="65" s="1"/>
  <c r="L33" i="65"/>
  <c r="K33" i="65"/>
  <c r="E33" i="65"/>
  <c r="D33" i="65"/>
  <c r="C33" i="65"/>
  <c r="L32" i="65"/>
  <c r="K32" i="65"/>
  <c r="E32" i="65"/>
  <c r="D32" i="65"/>
  <c r="C32" i="65"/>
  <c r="BD31" i="65"/>
  <c r="BE31" i="65" s="1"/>
  <c r="L31" i="65"/>
  <c r="K31" i="65"/>
  <c r="E31" i="65"/>
  <c r="E37" i="65" s="1"/>
  <c r="D31" i="65"/>
  <c r="D38" i="65" s="1"/>
  <c r="C31" i="65"/>
  <c r="C37" i="65" s="1"/>
  <c r="BE30" i="65"/>
  <c r="BD30" i="65"/>
  <c r="L30" i="65"/>
  <c r="K30" i="65"/>
  <c r="E30" i="65"/>
  <c r="D30" i="65"/>
  <c r="C30" i="65"/>
  <c r="BD29" i="65"/>
  <c r="BE29" i="65" s="1"/>
  <c r="L29" i="65"/>
  <c r="K29" i="65"/>
  <c r="BD27" i="65" s="1"/>
  <c r="BE27" i="65" s="1"/>
  <c r="E29" i="65"/>
  <c r="BE28" i="65"/>
  <c r="BD28" i="65"/>
  <c r="L28" i="65"/>
  <c r="K28" i="65"/>
  <c r="L27" i="65"/>
  <c r="K27" i="65"/>
  <c r="BE26" i="65"/>
  <c r="BD26" i="65"/>
  <c r="M26" i="65"/>
  <c r="L26" i="65"/>
  <c r="K26" i="65"/>
  <c r="BD24" i="65" s="1"/>
  <c r="BE24" i="65" s="1"/>
  <c r="BD25" i="65"/>
  <c r="BE25" i="65" s="1"/>
  <c r="M25" i="65"/>
  <c r="L25" i="65"/>
  <c r="K25" i="65"/>
  <c r="L24" i="65"/>
  <c r="K24" i="65"/>
  <c r="J24" i="65"/>
  <c r="BD23" i="65"/>
  <c r="BE23" i="65" s="1"/>
  <c r="L23" i="65"/>
  <c r="K23" i="65"/>
  <c r="BD21" i="65" s="1"/>
  <c r="BE21" i="65" s="1"/>
  <c r="J23" i="65"/>
  <c r="BE22" i="65"/>
  <c r="BD22" i="65"/>
  <c r="L22" i="65"/>
  <c r="K22" i="65"/>
  <c r="D22" i="65"/>
  <c r="D29" i="65" s="1"/>
  <c r="C22" i="65"/>
  <c r="C29" i="65" s="1"/>
  <c r="L21" i="65"/>
  <c r="K21" i="65"/>
  <c r="BE20" i="65"/>
  <c r="BD20" i="65"/>
  <c r="BE19" i="65"/>
  <c r="BD19" i="65"/>
  <c r="BG2" i="65"/>
  <c r="BF2" i="65"/>
  <c r="BE2" i="65"/>
  <c r="BD2" i="65"/>
  <c r="BC2" i="65"/>
  <c r="AJ18" i="66"/>
  <c r="AJ17" i="66"/>
  <c r="AJ16" i="66"/>
  <c r="AJ15" i="66"/>
  <c r="AJ14" i="66"/>
  <c r="AJ13" i="66"/>
  <c r="AJ12" i="66"/>
  <c r="AJ11" i="66"/>
  <c r="AJ10" i="66"/>
  <c r="AJ9" i="66"/>
  <c r="AJ8" i="66"/>
  <c r="AJ7" i="66"/>
  <c r="K13" i="64"/>
  <c r="D37" i="65" l="1"/>
  <c r="D36" i="65"/>
</calcChain>
</file>

<file path=xl/sharedStrings.xml><?xml version="1.0" encoding="utf-8"?>
<sst xmlns="http://schemas.openxmlformats.org/spreadsheetml/2006/main" count="267" uniqueCount="217">
  <si>
    <t xml:space="preserve"> </t>
  </si>
  <si>
    <t>1/4</t>
    <phoneticPr fontId="1" type="noConversion"/>
  </si>
  <si>
    <t>2/4</t>
    <phoneticPr fontId="1" type="noConversion"/>
  </si>
  <si>
    <t xml:space="preserve">       Tiêu chuẩn quản lý (Control Criteria)</t>
    <phoneticPr fontId="1" type="noConversion"/>
  </si>
  <si>
    <t>3/4</t>
    <phoneticPr fontId="1" type="noConversion"/>
  </si>
  <si>
    <t>Model</t>
  </si>
  <si>
    <t>Item</t>
  </si>
  <si>
    <t>■Dimensions measurement(INPUT DATA)</t>
  </si>
  <si>
    <t xml:space="preserve">Item </t>
  </si>
  <si>
    <t>Spec.</t>
  </si>
  <si>
    <t>Torance +</t>
  </si>
  <si>
    <t>Torance -</t>
  </si>
  <si>
    <t xml:space="preserve"> </t>
    <phoneticPr fontId="3" type="noConversion"/>
  </si>
  <si>
    <t>■ Output DATA</t>
  </si>
  <si>
    <t>Dimensions point of management</t>
  </si>
  <si>
    <t>Main dimensions</t>
  </si>
  <si>
    <t>Item Specification</t>
  </si>
  <si>
    <t>Tolerance(+)</t>
  </si>
  <si>
    <t>Tolerance(-)</t>
  </si>
  <si>
    <t>Upper limit (UCL)</t>
  </si>
  <si>
    <t>Lower limit (LCL)</t>
  </si>
  <si>
    <t>MEASUREMENT DATA</t>
  </si>
  <si>
    <t>Average(X bar)</t>
  </si>
  <si>
    <t>Standard 
deviation(Sigma)</t>
  </si>
  <si>
    <t>Median</t>
  </si>
  <si>
    <t>Mode</t>
  </si>
  <si>
    <t>Maximum(Max)</t>
  </si>
  <si>
    <t>Minimum(Min)</t>
  </si>
  <si>
    <t>Process Capability</t>
  </si>
  <si>
    <t>CA</t>
  </si>
  <si>
    <t>CP</t>
  </si>
  <si>
    <t>CPK</t>
  </si>
  <si>
    <t>Phân loại quy trình
(Procedure clasification)</t>
  </si>
  <si>
    <t>Loại tài liệu
(Document Type)</t>
  </si>
  <si>
    <t xml:space="preserve">Sản xuất hàng loạt
</t>
  </si>
  <si>
    <t>Bộ phận quản lý
(Group)</t>
  </si>
  <si>
    <t>Mã tài liệu
(Doc Code)</t>
  </si>
  <si>
    <t>Phòng phát triển
(R&amp;D)</t>
  </si>
  <si>
    <t>Trang
(Page)</t>
  </si>
  <si>
    <t>Mã tài liệu (Doc code)</t>
  </si>
  <si>
    <t>Ngày ban hành (Issue date)</t>
  </si>
  <si>
    <t>Nội dung (Content)</t>
  </si>
  <si>
    <t>Mã ban hành (Rev No)</t>
  </si>
  <si>
    <t>BẢNG THEO DÕI SỬA ĐỔI (Revised history list)</t>
  </si>
  <si>
    <t>Số TT
(No)</t>
  </si>
  <si>
    <t>Số sửa đổi
(Rev No)</t>
  </si>
  <si>
    <t>Đề mục sửa đổi
(Revised items)</t>
  </si>
  <si>
    <t>Nội dung sửa đổi (Revised contents)</t>
  </si>
  <si>
    <t>Ngày sửa đổi (Revised date)</t>
  </si>
  <si>
    <r>
      <t xml:space="preserve">QUY TRÌNH SẢN XUẤT THỬ NGHIỆM
</t>
    </r>
    <r>
      <rPr>
        <b/>
        <sz val="24"/>
        <color theme="1"/>
        <rFont val="Cambria"/>
        <family val="1"/>
        <charset val="163"/>
        <scheme val="major"/>
      </rPr>
      <t>(TRIAL PRODUCTION PROCEDURE)</t>
    </r>
  </si>
  <si>
    <t>Các bước 
thực hiện
(Step)</t>
  </si>
  <si>
    <t>Khách hàng
(Customer)</t>
  </si>
  <si>
    <t>Nội dung tiến hành và
  giải thích hoạt động
(Contents Deploy &amp; Activity described)</t>
  </si>
  <si>
    <t>Quản trị nhân lực
(Human resource management)
Trách nhiệm/Phê duyệt
(Responsibility/Approval)</t>
  </si>
  <si>
    <t>Đầu vào
(Input)</t>
  </si>
  <si>
    <t>Hồ sơ
[SW,HW]</t>
  </si>
  <si>
    <t>Đầu ra
(Output)</t>
  </si>
  <si>
    <t>Chức năng</t>
  </si>
  <si>
    <t>Tên phòng ban (Tiếng Việt)</t>
  </si>
  <si>
    <t>Tên phòng ban (Tiếng Anh)</t>
  </si>
  <si>
    <t>Phòng quản lý</t>
  </si>
  <si>
    <t>Management Group</t>
  </si>
  <si>
    <t>Phòng kinh doanh</t>
  </si>
  <si>
    <t>Sales Group</t>
  </si>
  <si>
    <t>Phòng chất lượng</t>
  </si>
  <si>
    <t>Phòng nghiên cứu và phát triển</t>
  </si>
  <si>
    <t>R&amp;D Group</t>
  </si>
  <si>
    <t>Phòng sản xuất</t>
  </si>
  <si>
    <t>Production Group</t>
  </si>
  <si>
    <r>
      <t xml:space="preserve">QUY TRÌNH SẢN XUẤT THỬ NGHIỆM
</t>
    </r>
    <r>
      <rPr>
        <b/>
        <sz val="16"/>
        <rFont val="Times New Roman"/>
        <family val="1"/>
        <charset val="163"/>
      </rPr>
      <t>(TRIAL PRODUCTION PROCEDURE)</t>
    </r>
  </si>
  <si>
    <r>
      <rPr>
        <b/>
        <sz val="14"/>
        <rFont val="Cambria"/>
        <family val="1"/>
        <charset val="163"/>
        <scheme val="major"/>
      </rPr>
      <t xml:space="preserve">               □</t>
    </r>
    <r>
      <rPr>
        <b/>
        <sz val="8"/>
        <rFont val="Times New Roman"/>
        <family val="1"/>
      </rPr>
      <t xml:space="preserve"> Sổ tay (Manual)         </t>
    </r>
    <r>
      <rPr>
        <b/>
        <sz val="14"/>
        <rFont val="Cambria"/>
        <family val="1"/>
        <charset val="163"/>
        <scheme val="major"/>
      </rPr>
      <t>■</t>
    </r>
    <r>
      <rPr>
        <b/>
        <sz val="8"/>
        <rFont val="Times New Roman"/>
        <family val="1"/>
      </rPr>
      <t xml:space="preserve"> Quy trình (Procedure)     
                                      </t>
    </r>
    <r>
      <rPr>
        <b/>
        <sz val="14"/>
        <rFont val="Cambria"/>
        <family val="1"/>
        <charset val="163"/>
        <scheme val="major"/>
      </rPr>
      <t xml:space="preserve">□ </t>
    </r>
    <r>
      <rPr>
        <b/>
        <sz val="8"/>
        <rFont val="Times New Roman"/>
        <family val="1"/>
      </rPr>
      <t xml:space="preserve"> Hướng dẫn (Working Instruction)</t>
    </r>
  </si>
  <si>
    <t>Drafted by</t>
  </si>
  <si>
    <t>Checked by</t>
  </si>
  <si>
    <t>Approved by</t>
  </si>
  <si>
    <t>Phòng Nghiên cứu &amp; Phát triển
(R&amp;D)</t>
  </si>
  <si>
    <t>4/4</t>
    <phoneticPr fontId="2" type="noConversion"/>
  </si>
  <si>
    <t>Danh mục hồ sơ (Chất lượng/môi trường/An toàn sức khỏe)
Record list (Quality/Enviroment/Safety&amp;Health)</t>
  </si>
  <si>
    <t>QUY TRÌNH SẢN XUẤT THỬ NGHIỆM
(TRIAL PRODUCTION PROCEDURE)</t>
  </si>
  <si>
    <t xml:space="preserve">Cấu trúc quy trình [ Procedure Structure ] </t>
  </si>
  <si>
    <t>Mô hình hệ thống quản lý tích hợp QEHS
(QEHS Integrated Management System Module)</t>
  </si>
  <si>
    <r>
      <rPr>
        <b/>
        <sz val="14"/>
        <rFont val="Cambria"/>
        <family val="1"/>
        <charset val="163"/>
        <scheme val="major"/>
      </rPr>
      <t xml:space="preserve"> □</t>
    </r>
    <r>
      <rPr>
        <b/>
        <sz val="8"/>
        <rFont val="Times New Roman"/>
        <family val="1"/>
      </rPr>
      <t xml:space="preserve"> Khách hàng (COP)   </t>
    </r>
    <r>
      <rPr>
        <b/>
        <sz val="14"/>
        <rFont val="Cambria"/>
        <family val="1"/>
        <charset val="163"/>
        <scheme val="major"/>
      </rPr>
      <t>■</t>
    </r>
    <r>
      <rPr>
        <b/>
        <sz val="8"/>
        <rFont val="Times New Roman"/>
        <family val="1"/>
      </rPr>
      <t xml:space="preserve"> Quản lý (MP)                      </t>
    </r>
    <r>
      <rPr>
        <b/>
        <sz val="14"/>
        <rFont val="Cambria"/>
        <family val="1"/>
        <charset val="163"/>
        <scheme val="major"/>
      </rPr>
      <t>□</t>
    </r>
    <r>
      <rPr>
        <b/>
        <sz val="8"/>
        <rFont val="Times New Roman"/>
        <family val="1"/>
      </rPr>
      <t xml:space="preserve"> Hỗ trợ (SP)</t>
    </r>
  </si>
  <si>
    <t xml:space="preserve"> Phòng Lãnh đạo
(Board of Manager)</t>
  </si>
  <si>
    <t>Phòng liên quan
(Related parts department)</t>
  </si>
  <si>
    <t>Tất cả phòng liên quan
(All Related department)</t>
  </si>
  <si>
    <t xml:space="preserve">       Quy trình nhiệm vụ (Procedure Map)</t>
  </si>
  <si>
    <t>Tiêu chuẩn tiến hành công việc/ Điều mục kiểm tra
(Job performance standard/ Check sheet)</t>
  </si>
  <si>
    <t xml:space="preserve"> Phòng Nghiên cứu
 &amp; Phát triển
(R&amp;D Dept)</t>
  </si>
  <si>
    <t>NĂNG LỰC SẢN XUẤT QUÁ TRÌNH (CPK)</t>
  </si>
  <si>
    <t>BOKWANG VINABOKWANG VINA.CO.LTD.CO.LTD</t>
  </si>
  <si>
    <t>QC Group</t>
  </si>
  <si>
    <t>MNC ELECTRONIC VINA</t>
  </si>
  <si>
    <t>No</t>
  </si>
  <si>
    <t>Month</t>
  </si>
  <si>
    <t>Total</t>
  </si>
  <si>
    <t>Reason</t>
  </si>
  <si>
    <t>Note</t>
  </si>
  <si>
    <t>Date</t>
  </si>
  <si>
    <t>LT( Day)</t>
  </si>
  <si>
    <t>Plan</t>
  </si>
  <si>
    <t>ACT</t>
  </si>
  <si>
    <t>R&amp;D development status and planing</t>
  </si>
  <si>
    <t xml:space="preserve">Date : </t>
  </si>
  <si>
    <t xml:space="preserve">Written by: </t>
  </si>
  <si>
    <t>R&amp;D.04.00.04</t>
  </si>
  <si>
    <t>Lập</t>
  </si>
  <si>
    <t>Kiểm tra</t>
  </si>
  <si>
    <t>Phê duyệt</t>
  </si>
  <si>
    <t>R&amp;D.04.00.11</t>
  </si>
  <si>
    <t>R&amp;D.04.00.03</t>
  </si>
  <si>
    <t>R&amp;D.04.00.05</t>
  </si>
  <si>
    <t>R&amp;D.04.00.11 (2017/03/27/Rev:00)</t>
  </si>
  <si>
    <t>R&amp;D.04.00.03 (2017/03/27/Rev:00)</t>
  </si>
  <si>
    <t>R&amp;D.02.02.06</t>
  </si>
  <si>
    <t>02</t>
  </si>
  <si>
    <t>01</t>
  </si>
  <si>
    <t>15/1/2018</t>
  </si>
  <si>
    <r>
      <rPr>
        <b/>
        <sz val="20"/>
        <color theme="1"/>
        <rFont val="Cambria"/>
        <family val="1"/>
        <charset val="163"/>
        <scheme val="major"/>
      </rPr>
      <t>M&amp;C ELECTRONICS VINA CO., LTD</t>
    </r>
    <r>
      <rPr>
        <b/>
        <sz val="18"/>
        <color theme="1"/>
        <rFont val="Cambria"/>
        <family val="1"/>
        <charset val="163"/>
        <scheme val="major"/>
      </rPr>
      <t xml:space="preserve">
</t>
    </r>
  </si>
  <si>
    <t>Update</t>
  </si>
  <si>
    <t>Updated</t>
  </si>
  <si>
    <t>Application scope and purpose</t>
  </si>
  <si>
    <t>Management</t>
  </si>
  <si>
    <t xml:space="preserve"> R&amp;D Department</t>
  </si>
  <si>
    <t>Application scope:
The procedure applies to planning, production, inspection, drafting, improvement, trial production, and mass production.
Application purpose
This procedure is aimed to clarify the ratio of "NG" and "OK", detecting errors which often occur in the production procedure for timely treatment and improvement before mass production..</t>
  </si>
  <si>
    <t>Plan setting</t>
  </si>
  <si>
    <t xml:space="preserve">Preparation for production and inspection
</t>
  </si>
  <si>
    <t xml:space="preserve">Trial production
</t>
  </si>
  <si>
    <t>Check, report preparation and error analysis</t>
  </si>
  <si>
    <t>Report preparation for each stage</t>
  </si>
  <si>
    <t>Process capability index (CPK)</t>
  </si>
  <si>
    <t xml:space="preserve">Inspection and shipping
</t>
  </si>
  <si>
    <t xml:space="preserve">Report preparation
</t>
  </si>
  <si>
    <t>Improvement</t>
  </si>
  <si>
    <t>Mass production in the first stage</t>
  </si>
  <si>
    <t>1. Development Manager will recognize customer's requirement and set up production plan with Material purchase and production department.</t>
  </si>
  <si>
    <t xml:space="preserve">1. Development Manager will follow trial production plan to prepare the production and storage of auxiliary materials, then request Quality department to inspect warehoused products.
2. Development and Production Manager will prepare all specifications and technical standards of each stage, including prepaing approval sample to submit customer for preparation for trial production.
</t>
  </si>
  <si>
    <t>1. Production Manager will follow trial production plan in order to conduct production, recording all parameters, conditions and of each relevant stage in production process.
2. Development Manager shall check specifications and technical conditions recorded by production department, check standard samples according to customer requirements in case of no arising production problems.</t>
  </si>
  <si>
    <t>1. After finishing production at each stage, Production and QC department will check, summarize and record errors to QC department manager.
2. QC department manager will send production result of each stage to Production and R&amp;D departments.
Development, QC department, Production Manager will hold a meeting to propose improvement method of "NG" error for each stage of production.</t>
  </si>
  <si>
    <t xml:space="preserve">1. Production Manager will prepare a production report of each stage "specifications, actual production conditions, direct in-charge person, number of products" and then send to QC and R&amp;D departments.
2. Quality department manager will summarize report, "OK" and "NG" error records for file and send to Development Department.
R&amp;D department manager will pepare error record with result analysis to send to customer.
</t>
  </si>
  <si>
    <t>1. Preparation: Development and Production departments will calibrate all machines, equipment and conditions of the stages related to production process.
2. Development department manager will coordinate Production department to ensure product's quality and quantity as required in preparation stage (1), continuous production of one lot (50 pieces). Note "Do not calibrate the machine to avoid suddenly change of product size"</t>
  </si>
  <si>
    <t>1. Warehouse and sale department manager will send checked products to customer.</t>
  </si>
  <si>
    <t>1. Production department manager will send a list of data, specifications and direct in-charge person of quality of each stage to development department and quality department after trial production.
2. Development department and quality department will prepare trial production report after trial production.</t>
  </si>
  <si>
    <t xml:space="preserve">1. Development department manager will receive feedback from customer for trial production report and result, then coordinate with related department to implement improvements. Reproduction as required by customer.
</t>
  </si>
  <si>
    <t>1. Development manager will implement mass production after complete improvement and appropriate action.
When necessary, he/she will seek for customer approval for early mass production limits.</t>
  </si>
  <si>
    <t>Development Manager
Related Department Manager</t>
  </si>
  <si>
    <t>Development Manager
Quality Department Manager</t>
  </si>
  <si>
    <t>Sale Department Manager</t>
  </si>
  <si>
    <t>Development Manager
Production Department Manager Trưởng bộ phận vật tư
Trưởng bộ phận QC</t>
  </si>
  <si>
    <t>Development Manager
Production Department Manager
Quality Department Manager</t>
  </si>
  <si>
    <t xml:space="preserve">Quantity request by customer
</t>
  </si>
  <si>
    <t>Production plan</t>
  </si>
  <si>
    <t xml:space="preserve">Checked frame, type of machine, material
</t>
  </si>
  <si>
    <t>NG test results of QC department at each stage.
Check sheet of specifications, production conditions, machine series</t>
  </si>
  <si>
    <t>NG analysis results</t>
  </si>
  <si>
    <t>All conditions, specifications of machines related to production process</t>
  </si>
  <si>
    <t>Tested products</t>
  </si>
  <si>
    <t xml:space="preserve">Test result of trial production quantity
</t>
  </si>
  <si>
    <t xml:space="preserve">Customer feedback
</t>
  </si>
  <si>
    <t>Trial production report</t>
  </si>
  <si>
    <t>Production report
Equipment testing sheet</t>
  </si>
  <si>
    <t>Minutes of meeting</t>
  </si>
  <si>
    <t>Quality test report</t>
  </si>
  <si>
    <t>Trial production plan</t>
  </si>
  <si>
    <t>Apperance inspection sheet</t>
  </si>
  <si>
    <t>Production line</t>
  </si>
  <si>
    <t xml:space="preserve">Email
Minutes of meeting
Error analysis report
</t>
  </si>
  <si>
    <t>Email
Report of production stage</t>
  </si>
  <si>
    <t>CPK evaluation sheet
Equipment testing sheet</t>
  </si>
  <si>
    <t>Test Standard</t>
  </si>
  <si>
    <t>Setting production plan</t>
  </si>
  <si>
    <t>Tested materials</t>
  </si>
  <si>
    <t xml:space="preserve">Sample product
</t>
  </si>
  <si>
    <t>"NG" improvement</t>
  </si>
  <si>
    <t>"NG" improvement for next production stage</t>
  </si>
  <si>
    <t>Mass production decision or re-evaluation</t>
  </si>
  <si>
    <t>Delivery bill</t>
  </si>
  <si>
    <t xml:space="preserve">Complete trial production report
</t>
  </si>
  <si>
    <t xml:space="preserve">Action and improvement
</t>
  </si>
  <si>
    <t>Customer's requirement</t>
  </si>
  <si>
    <t>Whether customer's required specifications are satisfied?</t>
  </si>
  <si>
    <t>Fit standard jigs
Specifications according to drawing standards
Standard in production</t>
  </si>
  <si>
    <t>Cause analysis</t>
  </si>
  <si>
    <t xml:space="preserve"> Ensur stable production of machine</t>
  </si>
  <si>
    <t>Number of final delivery</t>
  </si>
  <si>
    <t>Feedback from customer
Information for improvement
Improvement plan</t>
  </si>
  <si>
    <t>Schedule and requirement from customer
Cause analysis</t>
  </si>
  <si>
    <t>Số sửa đổi (revision)</t>
  </si>
  <si>
    <t>Administration, Human Resources, and Accounting</t>
  </si>
  <si>
    <t>Purchase, sale, warehouse,
import and export</t>
  </si>
  <si>
    <t>Quality of input, output,
stages, customers</t>
  </si>
  <si>
    <t>Product research and development</t>
  </si>
  <si>
    <t>Production: AI casting, stamping, cnc, grinding, painting, assembling ...</t>
  </si>
  <si>
    <t xml:space="preserve">     1. General provision</t>
  </si>
  <si>
    <t xml:space="preserve">    1.1 Signature by function</t>
  </si>
  <si>
    <t xml:space="preserve">   2. Applied standard:</t>
  </si>
  <si>
    <t>- Testing standard</t>
  </si>
  <si>
    <t>Document</t>
  </si>
  <si>
    <t>Code</t>
  </si>
  <si>
    <t>Record duration</t>
  </si>
  <si>
    <t>Method of removal</t>
  </si>
  <si>
    <t>Existing records</t>
  </si>
  <si>
    <t>New issuance</t>
  </si>
  <si>
    <t>Key Performance Indicator ( KPI )</t>
  </si>
  <si>
    <t>Indicator</t>
  </si>
  <si>
    <t>Calculation method</t>
  </si>
  <si>
    <t>Interval</t>
  </si>
  <si>
    <t>Quarterly</t>
  </si>
  <si>
    <t>Plan and development status</t>
  </si>
  <si>
    <t>R&amp;D Department</t>
  </si>
  <si>
    <t>CPK Check Sheet</t>
  </si>
  <si>
    <t>Error stage report</t>
  </si>
  <si>
    <t>Performance report</t>
  </si>
  <si>
    <t>Out-of-date documents</t>
  </si>
  <si>
    <t>Chopped, shredded</t>
  </si>
  <si>
    <t>Rate of production success</t>
  </si>
  <si>
    <t>Number of mass product / number of evaluated product X 100</t>
  </si>
  <si>
    <t xml:space="preserve">
Nguyễn Khắc Dân</t>
  </si>
  <si>
    <t xml:space="preserve">
Lee Choong Jae</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</si>
</sst>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64" formatCode="mm&quot;월&quot;\ dd&quot;일&quot;"/>
    <numFmt numFmtId="165" formatCode="_ * #,##0_ ;_ * \-#,##0_ ;_ * &quot;-&quot;_ ;_ @_ "/>
    <numFmt numFmtId="166" formatCode="_ * #,##0.00_ ;_ * \-#,##0.00_ ;_ * &quot;-&quot;??_ ;_ @_ "/>
    <numFmt numFmtId="167" formatCode="0.00_ "/>
    <numFmt numFmtId="168" formatCode="#,##0.000"/>
    <numFmt numFmtId="169" formatCode="&quot;₩&quot;#,##0.00\ ;\(&quot;₩&quot;#,##0.00\)"/>
    <numFmt numFmtId="170" formatCode="&quot;₩&quot;#,##0;&quot;₩&quot;\-#,##0"/>
    <numFmt numFmtId="171" formatCode="_-* #,##0_-;\-* #,##0_-;_-* &quot;-&quot;_-;_-@_-"/>
    <numFmt numFmtId="172" formatCode="0.0000_ ;[Red]\-0.0000\ "/>
    <numFmt numFmtId="173" formatCode="0.000_);[Red]\(0.000\)"/>
    <numFmt numFmtId="174" formatCode="0.000"/>
    <numFmt numFmtId="175" formatCode="0.00_);[Red]\(0.00\)"/>
    <numFmt numFmtId="176" formatCode="0.0000_);[Red]\(0.0000\)"/>
    <numFmt numFmtId="177" formatCode="0.00_ ;[Red]\-0.00\ "/>
    <numFmt numFmtId="178" formatCode="0.0000_ "/>
    <numFmt numFmtId="179" formatCode="0.0"/>
  </numFmts>
  <fonts count="80">
    <font>
      <sz val="11"/>
      <name val="돋움"/>
      <family val="3"/>
      <charset val="129"/>
    </font>
    <font>
      <sz val="8"/>
      <name val="돋움"/>
      <family val="3"/>
      <charset val="129"/>
    </font>
    <font>
      <sz val="11"/>
      <name val="돋움"/>
      <family val="3"/>
      <charset val="129"/>
    </font>
    <font>
      <sz val="10"/>
      <name val="Arial"/>
      <family val="2"/>
    </font>
    <font>
      <sz val="9"/>
      <name val="Arial"/>
      <family val="2"/>
    </font>
    <font>
      <sz val="8"/>
      <name val="Arial"/>
      <family val="2"/>
    </font>
    <font>
      <sz val="11"/>
      <name val="Arial"/>
      <family val="2"/>
    </font>
    <font>
      <sz val="12"/>
      <name val="新細明體"/>
      <family val="1"/>
      <charset val="136"/>
    </font>
    <font>
      <b/>
      <sz val="12"/>
      <name val="Arial"/>
      <family val="2"/>
    </font>
    <font>
      <sz val="10"/>
      <name val="MS Sans Serif"/>
      <family val="2"/>
    </font>
    <font>
      <b/>
      <sz val="12"/>
      <name val="돋움체"/>
      <family val="3"/>
      <charset val="129"/>
    </font>
    <font>
      <sz val="7"/>
      <name val="바탕체"/>
      <family val="1"/>
      <charset val="129"/>
    </font>
    <font>
      <sz val="11"/>
      <name val="μ¸¿o"/>
      <family val="3"/>
      <charset val="129"/>
    </font>
    <font>
      <sz val="10"/>
      <name val="μ¸¿oA¼"/>
      <family val="3"/>
      <charset val="129"/>
    </font>
    <font>
      <b/>
      <sz val="10"/>
      <name val="Helv"/>
      <family val="2"/>
    </font>
    <font>
      <sz val="11"/>
      <name val="굴림체"/>
      <family val="3"/>
      <charset val="129"/>
    </font>
    <font>
      <sz val="11"/>
      <name val="±¼¸²A¼"/>
      <family val="3"/>
      <charset val="129"/>
    </font>
    <font>
      <b/>
      <sz val="12"/>
      <name val="Helv"/>
      <family val="2"/>
    </font>
    <font>
      <b/>
      <sz val="11"/>
      <name val="Helv"/>
      <family val="2"/>
    </font>
    <font>
      <sz val="12"/>
      <color indexed="24"/>
      <name val="바탕체"/>
      <family val="1"/>
      <charset val="129"/>
    </font>
    <font>
      <b/>
      <sz val="18"/>
      <color indexed="24"/>
      <name val="바탕체"/>
      <family val="1"/>
      <charset val="129"/>
    </font>
    <font>
      <b/>
      <sz val="15"/>
      <color indexed="24"/>
      <name val="바탕체"/>
      <family val="1"/>
      <charset val="129"/>
    </font>
    <font>
      <u/>
      <sz val="8.25"/>
      <color indexed="36"/>
      <name val="돋움"/>
      <family val="3"/>
      <charset val="129"/>
    </font>
    <font>
      <sz val="12"/>
      <name val="돋움체"/>
      <family val="3"/>
      <charset val="129"/>
    </font>
    <font>
      <sz val="10"/>
      <name val="돋움체"/>
      <family val="3"/>
      <charset val="129"/>
    </font>
    <font>
      <b/>
      <sz val="8"/>
      <name val="Times New Roman"/>
      <family val="1"/>
    </font>
    <font>
      <b/>
      <sz val="22"/>
      <name val="Times New Roman"/>
      <family val="1"/>
    </font>
    <font>
      <sz val="11"/>
      <name val="Times New Roman"/>
      <family val="1"/>
    </font>
    <font>
      <b/>
      <sz val="10"/>
      <name val="Times New Roman"/>
      <family val="1"/>
    </font>
    <font>
      <sz val="10"/>
      <name val="Times New Roman"/>
      <family val="1"/>
    </font>
    <font>
      <sz val="9"/>
      <name val="Times New Roman"/>
      <family val="1"/>
    </font>
    <font>
      <sz val="8"/>
      <name val="Times New Roman"/>
      <family val="1"/>
    </font>
    <font>
      <sz val="10"/>
      <color indexed="12"/>
      <name val="Times New Roman"/>
      <family val="1"/>
    </font>
    <font>
      <b/>
      <sz val="11"/>
      <name val="Times New Roman"/>
      <family val="1"/>
    </font>
    <font>
      <b/>
      <sz val="9"/>
      <name val="Times New Roman"/>
      <family val="1"/>
    </font>
    <font>
      <b/>
      <sz val="18"/>
      <name val="Times New Roman"/>
      <family val="1"/>
    </font>
    <font>
      <b/>
      <sz val="9"/>
      <color indexed="12"/>
      <name val="Times New Roman"/>
      <family val="1"/>
    </font>
    <font>
      <b/>
      <sz val="8"/>
      <color theme="1"/>
      <name val="Times New Roman"/>
      <family val="1"/>
    </font>
    <font>
      <b/>
      <sz val="8"/>
      <name val="Times New Roman"/>
      <family val="1"/>
      <charset val="163"/>
    </font>
    <font>
      <b/>
      <sz val="8"/>
      <name val="Cambria"/>
      <family val="1"/>
      <scheme val="major"/>
    </font>
    <font>
      <b/>
      <sz val="8"/>
      <color theme="1"/>
      <name val="Times New Roman"/>
      <family val="1"/>
      <charset val="163"/>
    </font>
    <font>
      <sz val="11"/>
      <color theme="1"/>
      <name val="Cambria"/>
      <family val="1"/>
      <charset val="163"/>
      <scheme val="major"/>
    </font>
    <font>
      <b/>
      <sz val="18"/>
      <color theme="1"/>
      <name val="Cambria"/>
      <family val="1"/>
      <charset val="163"/>
      <scheme val="major"/>
    </font>
    <font>
      <b/>
      <sz val="20"/>
      <color theme="1"/>
      <name val="Cambria"/>
      <family val="1"/>
      <charset val="163"/>
      <scheme val="major"/>
    </font>
    <font>
      <i/>
      <sz val="10"/>
      <color theme="1"/>
      <name val="Cambria"/>
      <family val="1"/>
      <charset val="163"/>
      <scheme val="major"/>
    </font>
    <font>
      <b/>
      <sz val="28"/>
      <color theme="1"/>
      <name val="Cambria"/>
      <family val="1"/>
      <charset val="163"/>
      <scheme val="major"/>
    </font>
    <font>
      <b/>
      <sz val="24"/>
      <color theme="1"/>
      <name val="Cambria"/>
      <family val="1"/>
      <charset val="163"/>
      <scheme val="major"/>
    </font>
    <font>
      <i/>
      <sz val="11"/>
      <color theme="1"/>
      <name val="Cambria"/>
      <family val="1"/>
      <charset val="163"/>
      <scheme val="major"/>
    </font>
    <font>
      <b/>
      <sz val="16"/>
      <color theme="1"/>
      <name val="Cambria"/>
      <family val="1"/>
      <charset val="163"/>
      <scheme val="major"/>
    </font>
    <font>
      <b/>
      <sz val="11"/>
      <color theme="1"/>
      <name val="Cambria"/>
      <family val="1"/>
      <charset val="163"/>
      <scheme val="major"/>
    </font>
    <font>
      <sz val="11"/>
      <name val="Cambria"/>
      <family val="1"/>
      <charset val="163"/>
      <scheme val="major"/>
    </font>
    <font>
      <b/>
      <sz val="14"/>
      <name val="Cambria"/>
      <family val="1"/>
      <charset val="163"/>
      <scheme val="major"/>
    </font>
    <font>
      <b/>
      <sz val="9"/>
      <name val="Cambria"/>
      <family val="1"/>
      <scheme val="major"/>
    </font>
    <font>
      <b/>
      <sz val="16"/>
      <name val="Times New Roman"/>
      <family val="1"/>
      <charset val="163"/>
    </font>
    <font>
      <sz val="8"/>
      <name val="Times New Roman"/>
      <family val="1"/>
      <charset val="163"/>
    </font>
    <font>
      <sz val="11"/>
      <name val="Times New Roman"/>
      <family val="1"/>
      <charset val="163"/>
    </font>
    <font>
      <sz val="14"/>
      <name val="Cambria"/>
      <family val="1"/>
      <charset val="163"/>
      <scheme val="major"/>
    </font>
    <font>
      <sz val="12"/>
      <name val="Cambria"/>
      <family val="1"/>
      <charset val="163"/>
      <scheme val="major"/>
    </font>
    <font>
      <b/>
      <sz val="11"/>
      <color indexed="12"/>
      <name val="Times New Roman"/>
      <family val="1"/>
    </font>
    <font>
      <b/>
      <sz val="12"/>
      <name val="Times New Roman"/>
      <family val="1"/>
    </font>
    <font>
      <sz val="8"/>
      <name val="Cambria"/>
      <family val="1"/>
      <charset val="163"/>
      <scheme val="major"/>
    </font>
    <font>
      <sz val="28"/>
      <name val="Cambria"/>
      <family val="1"/>
      <charset val="163"/>
      <scheme val="major"/>
    </font>
    <font>
      <b/>
      <sz val="12"/>
      <name val="Cambria"/>
      <family val="1"/>
      <charset val="163"/>
      <scheme val="major"/>
    </font>
    <font>
      <b/>
      <sz val="11"/>
      <name val="Cambria"/>
      <family val="1"/>
      <charset val="163"/>
      <scheme val="major"/>
    </font>
    <font>
      <b/>
      <sz val="10"/>
      <name val="Cambria"/>
      <family val="1"/>
      <charset val="163"/>
      <scheme val="major"/>
    </font>
    <font>
      <sz val="8"/>
      <color indexed="12"/>
      <name val="Cambria"/>
      <family val="1"/>
      <charset val="163"/>
      <scheme val="major"/>
    </font>
    <font>
      <sz val="11"/>
      <color indexed="58"/>
      <name val="Cambria"/>
      <family val="1"/>
      <charset val="163"/>
      <scheme val="major"/>
    </font>
    <font>
      <sz val="8"/>
      <color indexed="58"/>
      <name val="Cambria"/>
      <family val="1"/>
      <charset val="163"/>
      <scheme val="major"/>
    </font>
    <font>
      <sz val="8"/>
      <color indexed="10"/>
      <name val="Cambria"/>
      <family val="1"/>
      <charset val="163"/>
      <scheme val="major"/>
    </font>
    <font>
      <sz val="8"/>
      <color indexed="9"/>
      <name val="Cambria"/>
      <family val="1"/>
      <charset val="163"/>
      <scheme val="major"/>
    </font>
    <font>
      <sz val="10"/>
      <name val="Cambria"/>
      <family val="1"/>
      <charset val="163"/>
      <scheme val="major"/>
    </font>
    <font>
      <b/>
      <sz val="8"/>
      <name val="Cambria"/>
      <family val="1"/>
      <charset val="163"/>
      <scheme val="major"/>
    </font>
    <font>
      <b/>
      <sz val="8"/>
      <color indexed="9"/>
      <name val="Cambria"/>
      <family val="1"/>
      <charset val="163"/>
      <scheme val="major"/>
    </font>
    <font>
      <sz val="10"/>
      <name val="CG Times (WN)"/>
      <family val="1"/>
    </font>
    <font>
      <sz val="11"/>
      <color theme="1"/>
      <name val="Calibri"/>
      <family val="3"/>
      <charset val="129"/>
      <scheme val="minor"/>
    </font>
    <font>
      <sz val="11"/>
      <color theme="1"/>
      <name val="Arial"/>
      <family val="2"/>
    </font>
    <font>
      <sz val="20"/>
      <color theme="1"/>
      <name val="Arial"/>
      <family val="2"/>
    </font>
    <font>
      <i/>
      <sz val="11"/>
      <color theme="1"/>
      <name val="Arial"/>
      <family val="2"/>
    </font>
    <font>
      <sz val="11"/>
      <color rgb="FFFF0000"/>
      <name val="Arial"/>
      <family val="2"/>
    </font>
    <font>
      <sz val="11"/>
      <color theme="1"/>
      <name val="Cambria"/>
      <family val="1"/>
      <scheme val="major"/>
    </font>
  </fonts>
  <fills count="14">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4"/>
        <bgColor indexed="64"/>
      </patternFill>
    </fill>
    <fill>
      <patternFill patternType="solid">
        <fgColor indexed="41"/>
        <bgColor indexed="64"/>
      </patternFill>
    </fill>
    <fill>
      <patternFill patternType="solid">
        <fgColor indexed="24"/>
        <bgColor indexed="64"/>
      </patternFill>
    </fill>
    <fill>
      <patternFill patternType="solid">
        <fgColor indexed="42"/>
        <bgColor indexed="64"/>
      </patternFill>
    </fill>
    <fill>
      <patternFill patternType="solid">
        <fgColor theme="0" tint="-4.9989318521683403E-2"/>
        <bgColor indexed="64"/>
      </patternFill>
    </fill>
    <fill>
      <patternFill patternType="solid">
        <fgColor theme="0"/>
        <bgColor indexed="64"/>
      </patternFill>
    </fill>
    <fill>
      <patternFill patternType="solid">
        <fgColor indexed="58"/>
        <bgColor indexed="64"/>
      </patternFill>
    </fill>
    <fill>
      <patternFill patternType="solid">
        <fgColor indexed="52"/>
        <bgColor indexed="64"/>
      </patternFill>
    </fill>
    <fill>
      <patternFill patternType="solid">
        <fgColor theme="8" tint="0.79998168889431442"/>
        <bgColor indexed="64"/>
      </patternFill>
    </fill>
    <fill>
      <patternFill patternType="solid">
        <fgColor theme="0" tint="-0.14999847407452621"/>
        <bgColor indexed="64"/>
      </patternFill>
    </fill>
  </fills>
  <borders count="128">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top style="thin">
        <color indexed="64"/>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medium">
        <color indexed="64"/>
      </top>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style="thin">
        <color indexed="64"/>
      </left>
      <right style="thin">
        <color indexed="64"/>
      </right>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top style="thick">
        <color indexed="64"/>
      </top>
      <bottom/>
      <diagonal/>
    </border>
    <border>
      <left style="thin">
        <color indexed="64"/>
      </left>
      <right style="thin">
        <color indexed="64"/>
      </right>
      <top style="thick">
        <color indexed="64"/>
      </top>
      <bottom style="thin">
        <color indexed="64"/>
      </bottom>
      <diagonal/>
    </border>
    <border>
      <left style="thick">
        <color indexed="64"/>
      </left>
      <right/>
      <top/>
      <bottom style="medium">
        <color indexed="64"/>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medium">
        <color indexed="64"/>
      </left>
      <right/>
      <top/>
      <bottom style="thick">
        <color indexed="64"/>
      </bottom>
      <diagonal/>
    </border>
    <border>
      <left/>
      <right/>
      <top style="double">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ck">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right style="medium">
        <color indexed="64"/>
      </right>
      <top style="medium">
        <color indexed="64"/>
      </top>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thick">
        <color indexed="64"/>
      </right>
      <top/>
      <bottom style="thin">
        <color indexed="64"/>
      </bottom>
      <diagonal/>
    </border>
    <border>
      <left style="thin">
        <color indexed="64"/>
      </left>
      <right style="thick">
        <color indexed="64"/>
      </right>
      <top style="thin">
        <color indexed="64"/>
      </top>
      <bottom/>
      <diagonal/>
    </border>
    <border>
      <left/>
      <right style="thin">
        <color indexed="64"/>
      </right>
      <top/>
      <bottom style="hair">
        <color indexed="64"/>
      </bottom>
      <diagonal/>
    </border>
    <border>
      <left style="medium">
        <color indexed="64"/>
      </left>
      <right style="thin">
        <color indexed="64"/>
      </right>
      <top style="thin">
        <color indexed="64"/>
      </top>
      <bottom style="hair">
        <color indexed="64"/>
      </bottom>
      <diagonal/>
    </border>
    <border>
      <left/>
      <right/>
      <top/>
      <bottom style="hair">
        <color indexed="64"/>
      </bottom>
      <diagonal/>
    </border>
    <border>
      <left style="medium">
        <color indexed="64"/>
      </left>
      <right/>
      <top style="thick">
        <color indexed="64"/>
      </top>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double">
        <color indexed="64"/>
      </top>
      <bottom/>
      <diagonal/>
    </border>
    <border>
      <left/>
      <right/>
      <top style="double">
        <color indexed="64"/>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63">
    <xf numFmtId="0" fontId="0" fillId="0" borderId="0"/>
    <xf numFmtId="0" fontId="8" fillId="0" borderId="1" applyNumberFormat="0" applyAlignment="0" applyProtection="0">
      <alignment horizontal="left" vertical="center"/>
    </xf>
    <xf numFmtId="0" fontId="8" fillId="0" borderId="2">
      <alignment horizontal="left" vertical="center"/>
    </xf>
    <xf numFmtId="0" fontId="2" fillId="0" borderId="0"/>
    <xf numFmtId="0" fontId="2" fillId="0" borderId="0"/>
    <xf numFmtId="0" fontId="4" fillId="0" borderId="0"/>
    <xf numFmtId="0" fontId="2" fillId="0" borderId="0">
      <alignment vertical="center"/>
    </xf>
    <xf numFmtId="0" fontId="2" fillId="0" borderId="0">
      <alignment vertical="center"/>
    </xf>
    <xf numFmtId="0" fontId="3" fillId="0" borderId="0"/>
    <xf numFmtId="0" fontId="3" fillId="0" borderId="0" applyNumberFormat="0" applyFill="0" applyBorder="0" applyAlignment="0" applyProtection="0"/>
    <xf numFmtId="0" fontId="3" fillId="0" borderId="0"/>
    <xf numFmtId="40" fontId="9" fillId="0" borderId="0" applyFont="0" applyFill="0" applyBorder="0" applyAlignment="0" applyProtection="0"/>
    <xf numFmtId="49" fontId="10" fillId="0" borderId="12" applyBorder="0">
      <alignment vertical="center"/>
    </xf>
    <xf numFmtId="4" fontId="11" fillId="0" borderId="54">
      <alignment vertical="center"/>
    </xf>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3" fillId="0" borderId="0"/>
    <xf numFmtId="0" fontId="14" fillId="0" borderId="0"/>
    <xf numFmtId="0" fontId="15" fillId="0" borderId="0"/>
    <xf numFmtId="0" fontId="6" fillId="0" borderId="0" applyNumberFormat="0" applyFont="0" applyFill="0" applyBorder="0" applyProtection="0"/>
    <xf numFmtId="0" fontId="16" fillId="0" borderId="0" applyFont="0" applyFill="0" applyBorder="0" applyAlignment="0" applyProtection="0"/>
    <xf numFmtId="38" fontId="5" fillId="2" borderId="0" applyNumberFormat="0" applyBorder="0" applyAlignment="0" applyProtection="0"/>
    <xf numFmtId="0" fontId="17" fillId="0" borderId="0">
      <alignment horizontal="left"/>
    </xf>
    <xf numFmtId="10" fontId="5" fillId="2" borderId="4" applyNumberFormat="0" applyBorder="0" applyAlignment="0" applyProtection="0"/>
    <xf numFmtId="0" fontId="9" fillId="0" borderId="0" applyFont="0" applyFill="0" applyBorder="0" applyAlignment="0" applyProtection="0"/>
    <xf numFmtId="0" fontId="6" fillId="0" borderId="0" applyNumberFormat="0" applyFont="0" applyFill="0" applyBorder="0" applyProtection="0">
      <alignment vertical="center"/>
    </xf>
    <xf numFmtId="0" fontId="18" fillId="0" borderId="18"/>
    <xf numFmtId="168" fontId="2" fillId="0" borderId="0"/>
    <xf numFmtId="10" fontId="3" fillId="0" borderId="0" applyFont="0" applyFill="0" applyBorder="0" applyAlignment="0" applyProtection="0"/>
    <xf numFmtId="0" fontId="18" fillId="0" borderId="0"/>
    <xf numFmtId="0" fontId="6" fillId="0" borderId="0" applyNumberFormat="0" applyFont="0" applyFill="0" applyBorder="0" applyProtection="0">
      <alignment vertical="top"/>
    </xf>
    <xf numFmtId="2" fontId="19" fillId="0" borderId="0" applyFon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22" fillId="0" borderId="0" applyNumberFormat="0" applyFill="0" applyBorder="0" applyAlignment="0" applyProtection="0">
      <alignment vertical="top"/>
      <protection locked="0"/>
    </xf>
    <xf numFmtId="40" fontId="9" fillId="0" borderId="0" applyFont="0" applyFill="0" applyBorder="0" applyAlignment="0" applyProtection="0"/>
    <xf numFmtId="4" fontId="19" fillId="0" borderId="0" applyFont="0" applyFill="0" applyBorder="0" applyAlignment="0" applyProtection="0"/>
    <xf numFmtId="3" fontId="19" fillId="0" borderId="0" applyFont="0" applyFill="0" applyBorder="0" applyAlignment="0" applyProtection="0"/>
    <xf numFmtId="165" fontId="23" fillId="0" borderId="0" applyFont="0" applyFill="0" applyBorder="0" applyAlignment="0" applyProtection="0"/>
    <xf numFmtId="166" fontId="2" fillId="0" borderId="0" applyFont="0" applyFill="0" applyBorder="0" applyAlignment="0" applyProtection="0"/>
    <xf numFmtId="10" fontId="19" fillId="0" borderId="0" applyFont="0" applyFill="0" applyBorder="0" applyAlignment="0" applyProtection="0"/>
    <xf numFmtId="0" fontId="2" fillId="0" borderId="0"/>
    <xf numFmtId="0" fontId="24" fillId="0" borderId="0">
      <alignment vertical="center"/>
    </xf>
    <xf numFmtId="0" fontId="19" fillId="0" borderId="80" applyNumberFormat="0" applyFont="0" applyFill="0" applyAlignment="0" applyProtection="0"/>
    <xf numFmtId="169" fontId="19" fillId="0" borderId="0" applyFont="0" applyFill="0" applyBorder="0" applyAlignment="0" applyProtection="0"/>
    <xf numFmtId="170" fontId="19" fillId="0" borderId="0" applyFont="0" applyFill="0" applyBorder="0" applyAlignment="0" applyProtection="0"/>
    <xf numFmtId="0" fontId="7" fillId="0" borderId="0"/>
    <xf numFmtId="0" fontId="3" fillId="0" borderId="0"/>
    <xf numFmtId="0" fontId="2" fillId="0" borderId="0"/>
    <xf numFmtId="0" fontId="2" fillId="0" borderId="0"/>
    <xf numFmtId="0" fontId="2" fillId="0" borderId="0"/>
    <xf numFmtId="0" fontId="2" fillId="0" borderId="0"/>
    <xf numFmtId="0" fontId="73" fillId="0" borderId="0" applyNumberFormat="0" applyFill="0" applyBorder="0" applyAlignment="0" applyProtection="0"/>
    <xf numFmtId="0" fontId="74" fillId="0" borderId="0">
      <alignment vertical="center"/>
    </xf>
    <xf numFmtId="0" fontId="2" fillId="0" borderId="0"/>
    <xf numFmtId="0" fontId="2" fillId="0" borderId="0"/>
    <xf numFmtId="0" fontId="74" fillId="0" borderId="0">
      <alignment vertical="center"/>
    </xf>
    <xf numFmtId="171" fontId="2" fillId="0" borderId="0" applyFont="0" applyFill="0" applyBorder="0" applyAlignment="0" applyProtection="0">
      <alignment vertical="center"/>
    </xf>
    <xf numFmtId="0" fontId="2" fillId="0" borderId="0"/>
  </cellStyleXfs>
  <cellXfs count="614">
    <xf numFmtId="0" fontId="0" fillId="0" borderId="0" xfId="0"/>
    <xf numFmtId="0" fontId="27" fillId="0" borderId="0" xfId="4" applyFont="1"/>
    <xf numFmtId="0" fontId="27" fillId="0" borderId="0" xfId="4" applyFont="1" applyBorder="1"/>
    <xf numFmtId="0" fontId="28" fillId="0" borderId="0" xfId="4" applyFont="1" applyBorder="1" applyAlignment="1">
      <alignment horizontal="left" vertical="center"/>
    </xf>
    <xf numFmtId="0" fontId="29" fillId="0" borderId="0" xfId="4" applyFont="1" applyBorder="1" applyAlignment="1">
      <alignment vertical="center"/>
    </xf>
    <xf numFmtId="0" fontId="30" fillId="0" borderId="0" xfId="4" applyFont="1" applyBorder="1" applyAlignment="1">
      <alignment horizontal="center" vertical="center"/>
    </xf>
    <xf numFmtId="0" fontId="29" fillId="0" borderId="0" xfId="4" applyFont="1" applyBorder="1" applyAlignment="1">
      <alignment horizontal="left" vertical="center" wrapText="1" indent="1"/>
    </xf>
    <xf numFmtId="0" fontId="28" fillId="0" borderId="7" xfId="4" applyFont="1" applyFill="1" applyBorder="1" applyAlignment="1">
      <alignment vertical="top" wrapText="1"/>
    </xf>
    <xf numFmtId="0" fontId="28" fillId="0" borderId="0" xfId="4" applyFont="1" applyFill="1" applyBorder="1" applyAlignment="1">
      <alignment vertical="top" wrapText="1"/>
    </xf>
    <xf numFmtId="0" fontId="28" fillId="0" borderId="9" xfId="4" applyFont="1" applyFill="1" applyBorder="1" applyAlignment="1">
      <alignment vertical="top" wrapText="1"/>
    </xf>
    <xf numFmtId="14" fontId="29" fillId="0" borderId="0" xfId="4" applyNumberFormat="1" applyFont="1" applyBorder="1" applyAlignment="1">
      <alignment horizontal="center" vertical="center"/>
    </xf>
    <xf numFmtId="0" fontId="28" fillId="0" borderId="0" xfId="4" applyFont="1" applyBorder="1" applyAlignment="1">
      <alignment horizontal="center" vertical="center" wrapText="1"/>
    </xf>
    <xf numFmtId="0" fontId="28" fillId="0" borderId="0" xfId="4" applyFont="1" applyBorder="1" applyAlignment="1">
      <alignment vertical="center"/>
    </xf>
    <xf numFmtId="14" fontId="29" fillId="0" borderId="0" xfId="4" applyNumberFormat="1" applyFont="1" applyBorder="1" applyAlignment="1">
      <alignment vertical="center"/>
    </xf>
    <xf numFmtId="0" fontId="32" fillId="0" borderId="0" xfId="4" applyFont="1" applyBorder="1" applyAlignment="1">
      <alignment horizontal="center" vertical="center" wrapText="1"/>
    </xf>
    <xf numFmtId="0" fontId="27" fillId="0" borderId="0" xfId="4" applyFont="1" applyAlignment="1">
      <alignment horizontal="center"/>
    </xf>
    <xf numFmtId="0" fontId="29" fillId="0" borderId="7" xfId="4" applyFont="1" applyBorder="1" applyAlignment="1">
      <alignment vertical="center"/>
    </xf>
    <xf numFmtId="0" fontId="29" fillId="0" borderId="17" xfId="4" applyFont="1" applyBorder="1" applyAlignment="1">
      <alignment vertical="center"/>
    </xf>
    <xf numFmtId="0" fontId="29" fillId="0" borderId="18" xfId="4" applyFont="1" applyBorder="1" applyAlignment="1">
      <alignment vertical="center"/>
    </xf>
    <xf numFmtId="0" fontId="29" fillId="0" borderId="0" xfId="4" applyFont="1"/>
    <xf numFmtId="0" fontId="33" fillId="0" borderId="0" xfId="0" applyFont="1" applyAlignment="1">
      <alignment vertical="center"/>
    </xf>
    <xf numFmtId="0" fontId="28" fillId="2" borderId="0" xfId="0" applyFont="1" applyFill="1" applyBorder="1" applyAlignment="1">
      <alignment horizontal="right" vertical="center"/>
    </xf>
    <xf numFmtId="0" fontId="28" fillId="3" borderId="0" xfId="0" applyFont="1" applyFill="1" applyBorder="1" applyAlignment="1">
      <alignment horizontal="right" vertical="center"/>
    </xf>
    <xf numFmtId="0" fontId="33" fillId="3" borderId="0" xfId="0" applyFont="1" applyFill="1" applyBorder="1" applyAlignment="1">
      <alignment vertical="center"/>
    </xf>
    <xf numFmtId="0" fontId="28" fillId="0" borderId="0" xfId="0" applyFont="1" applyBorder="1" applyAlignment="1">
      <alignment horizontal="right" vertical="center"/>
    </xf>
    <xf numFmtId="0" fontId="28" fillId="0" borderId="13" xfId="0" applyFont="1" applyBorder="1" applyAlignment="1">
      <alignment horizontal="right" vertical="center"/>
    </xf>
    <xf numFmtId="0" fontId="28" fillId="2" borderId="0" xfId="0" applyFont="1" applyFill="1" applyBorder="1" applyAlignment="1">
      <alignment vertical="center"/>
    </xf>
    <xf numFmtId="0" fontId="28" fillId="3" borderId="0" xfId="0" applyFont="1" applyFill="1" applyBorder="1" applyAlignment="1">
      <alignment vertical="center"/>
    </xf>
    <xf numFmtId="0" fontId="28" fillId="0" borderId="0" xfId="0" applyFont="1" applyBorder="1" applyAlignment="1">
      <alignment vertical="center"/>
    </xf>
    <xf numFmtId="0" fontId="28" fillId="0" borderId="13" xfId="0" applyFont="1" applyBorder="1" applyAlignment="1">
      <alignment vertical="center"/>
    </xf>
    <xf numFmtId="0" fontId="28" fillId="2" borderId="18" xfId="0" applyFont="1" applyFill="1" applyBorder="1" applyAlignment="1">
      <alignment vertical="center"/>
    </xf>
    <xf numFmtId="0" fontId="28" fillId="3" borderId="18" xfId="0" applyFont="1" applyFill="1" applyBorder="1" applyAlignment="1">
      <alignment vertical="center"/>
    </xf>
    <xf numFmtId="0" fontId="28" fillId="0" borderId="18" xfId="0" applyFont="1" applyBorder="1" applyAlignment="1">
      <alignment vertical="center"/>
    </xf>
    <xf numFmtId="0" fontId="28" fillId="0" borderId="22" xfId="0" applyFont="1" applyBorder="1" applyAlignment="1">
      <alignment vertical="center"/>
    </xf>
    <xf numFmtId="0" fontId="33" fillId="0" borderId="0" xfId="0" applyFont="1" applyFill="1" applyAlignment="1">
      <alignment vertical="center"/>
    </xf>
    <xf numFmtId="0" fontId="33" fillId="0" borderId="0" xfId="0" applyFont="1" applyAlignment="1">
      <alignment vertical="center" wrapText="1"/>
    </xf>
    <xf numFmtId="0" fontId="33" fillId="0" borderId="0" xfId="0" applyFont="1" applyAlignment="1">
      <alignment horizontal="center" vertical="center" wrapText="1"/>
    </xf>
    <xf numFmtId="0" fontId="28" fillId="0" borderId="7" xfId="4" applyFont="1" applyBorder="1" applyAlignment="1">
      <alignment horizontal="center" vertical="center" wrapText="1"/>
    </xf>
    <xf numFmtId="0" fontId="28" fillId="0" borderId="0" xfId="4" applyFont="1" applyBorder="1" applyAlignment="1">
      <alignment vertical="center" wrapText="1"/>
    </xf>
    <xf numFmtId="0" fontId="28" fillId="0" borderId="9" xfId="4" applyFont="1" applyBorder="1" applyAlignment="1">
      <alignment horizontal="center" vertical="center" wrapText="1"/>
    </xf>
    <xf numFmtId="0" fontId="28" fillId="6" borderId="14" xfId="0" applyFont="1" applyFill="1" applyBorder="1" applyAlignment="1">
      <alignment horizontal="center" vertical="center" wrapText="1"/>
    </xf>
    <xf numFmtId="0" fontId="25" fillId="0" borderId="83" xfId="0" applyFont="1" applyBorder="1" applyAlignment="1">
      <alignment horizontal="center" vertical="center" wrapText="1"/>
    </xf>
    <xf numFmtId="0" fontId="25" fillId="0" borderId="84" xfId="0" applyFont="1" applyBorder="1" applyAlignment="1">
      <alignment horizontal="center" vertical="center" wrapText="1"/>
    </xf>
    <xf numFmtId="0" fontId="25" fillId="0" borderId="85" xfId="0" applyFont="1" applyBorder="1" applyAlignment="1">
      <alignment horizontal="center" vertical="center" wrapText="1"/>
    </xf>
    <xf numFmtId="0" fontId="28" fillId="6" borderId="32" xfId="0" applyFont="1" applyFill="1" applyBorder="1" applyAlignment="1">
      <alignment horizontal="center" vertical="center" wrapText="1"/>
    </xf>
    <xf numFmtId="0" fontId="28" fillId="6" borderId="29" xfId="0" applyFont="1" applyFill="1" applyBorder="1" applyAlignment="1">
      <alignment vertical="center" wrapText="1"/>
    </xf>
    <xf numFmtId="0" fontId="28" fillId="6" borderId="33" xfId="0" applyFont="1" applyFill="1" applyBorder="1" applyAlignment="1">
      <alignment horizontal="center" vertical="center" wrapText="1"/>
    </xf>
    <xf numFmtId="0" fontId="30" fillId="2" borderId="64" xfId="7" applyFont="1" applyFill="1" applyBorder="1" applyAlignment="1">
      <alignment vertical="center"/>
    </xf>
    <xf numFmtId="0" fontId="30" fillId="2" borderId="65" xfId="7" applyFont="1" applyFill="1" applyBorder="1" applyAlignment="1">
      <alignment vertical="center"/>
    </xf>
    <xf numFmtId="0" fontId="26" fillId="2" borderId="65" xfId="7" applyFont="1" applyFill="1" applyBorder="1" applyAlignment="1">
      <alignment vertical="center"/>
    </xf>
    <xf numFmtId="0" fontId="26" fillId="2" borderId="66" xfId="7" applyFont="1" applyFill="1" applyBorder="1" applyAlignment="1">
      <alignment vertical="center"/>
    </xf>
    <xf numFmtId="0" fontId="30" fillId="2" borderId="0" xfId="7" applyFont="1" applyFill="1" applyAlignment="1">
      <alignment vertical="center"/>
    </xf>
    <xf numFmtId="0" fontId="30" fillId="2" borderId="69" xfId="7" applyFont="1" applyFill="1" applyBorder="1" applyAlignment="1">
      <alignment vertical="center"/>
    </xf>
    <xf numFmtId="0" fontId="30" fillId="2" borderId="18" xfId="7" applyFont="1" applyFill="1" applyBorder="1" applyAlignment="1">
      <alignment vertical="center"/>
    </xf>
    <xf numFmtId="0" fontId="26" fillId="2" borderId="18" xfId="7" applyFont="1" applyFill="1" applyBorder="1" applyAlignment="1">
      <alignment vertical="center"/>
    </xf>
    <xf numFmtId="0" fontId="26" fillId="2" borderId="22" xfId="7" applyFont="1" applyFill="1" applyBorder="1" applyAlignment="1">
      <alignment vertical="center"/>
    </xf>
    <xf numFmtId="0" fontId="30" fillId="2" borderId="77" xfId="7" applyFont="1" applyFill="1" applyBorder="1" applyAlignment="1">
      <alignment vertical="center"/>
    </xf>
    <xf numFmtId="0" fontId="30" fillId="2" borderId="20" xfId="7" applyFont="1" applyFill="1" applyBorder="1" applyAlignment="1">
      <alignment vertical="center"/>
    </xf>
    <xf numFmtId="0" fontId="30" fillId="2" borderId="42" xfId="7" applyFont="1" applyFill="1" applyBorder="1" applyAlignment="1">
      <alignment vertical="center"/>
    </xf>
    <xf numFmtId="0" fontId="30" fillId="2" borderId="78" xfId="7" applyFont="1" applyFill="1" applyBorder="1" applyAlignment="1">
      <alignment vertical="center"/>
    </xf>
    <xf numFmtId="0" fontId="34" fillId="2" borderId="7" xfId="7" applyFont="1" applyFill="1" applyBorder="1" applyAlignment="1">
      <alignment vertical="center"/>
    </xf>
    <xf numFmtId="0" fontId="34" fillId="2" borderId="0" xfId="7" applyFont="1" applyFill="1" applyBorder="1" applyAlignment="1">
      <alignment vertical="center"/>
    </xf>
    <xf numFmtId="0" fontId="34" fillId="2" borderId="71" xfId="7" applyFont="1" applyFill="1" applyBorder="1" applyAlignment="1">
      <alignment vertical="center"/>
    </xf>
    <xf numFmtId="0" fontId="34" fillId="2" borderId="70" xfId="7" applyFont="1" applyFill="1" applyBorder="1" applyAlignment="1">
      <alignment vertical="center"/>
    </xf>
    <xf numFmtId="0" fontId="30" fillId="2" borderId="70" xfId="7" applyFont="1" applyFill="1" applyBorder="1" applyAlignment="1">
      <alignment horizontal="left" vertical="center"/>
    </xf>
    <xf numFmtId="0" fontId="30" fillId="2" borderId="0" xfId="7" applyFont="1" applyFill="1" applyBorder="1" applyAlignment="1">
      <alignment horizontal="left" vertical="center"/>
    </xf>
    <xf numFmtId="0" fontId="30" fillId="2" borderId="7" xfId="7" applyFont="1" applyFill="1" applyBorder="1" applyAlignment="1">
      <alignment horizontal="left" vertical="center"/>
    </xf>
    <xf numFmtId="0" fontId="30" fillId="2" borderId="71" xfId="7" applyFont="1" applyFill="1" applyBorder="1" applyAlignment="1">
      <alignment horizontal="left" vertical="center"/>
    </xf>
    <xf numFmtId="0" fontId="30" fillId="2" borderId="70" xfId="7" applyFont="1" applyFill="1" applyBorder="1" applyAlignment="1">
      <alignment vertical="center"/>
    </xf>
    <xf numFmtId="0" fontId="30" fillId="2" borderId="0" xfId="7" applyFont="1" applyFill="1" applyBorder="1" applyAlignment="1">
      <alignment vertical="center"/>
    </xf>
    <xf numFmtId="0" fontId="30" fillId="2" borderId="7" xfId="7" applyFont="1" applyFill="1" applyBorder="1" applyAlignment="1">
      <alignment vertical="center"/>
    </xf>
    <xf numFmtId="0" fontId="30" fillId="2" borderId="71" xfId="7" applyFont="1" applyFill="1" applyBorder="1" applyAlignment="1">
      <alignment vertical="center"/>
    </xf>
    <xf numFmtId="0" fontId="30" fillId="2" borderId="72" xfId="7" applyFont="1" applyFill="1" applyBorder="1" applyAlignment="1">
      <alignment vertical="center"/>
    </xf>
    <xf numFmtId="0" fontId="30" fillId="2" borderId="73" xfId="7" applyFont="1" applyFill="1" applyBorder="1" applyAlignment="1">
      <alignment vertical="center"/>
    </xf>
    <xf numFmtId="0" fontId="30" fillId="2" borderId="79" xfId="7" applyFont="1" applyFill="1" applyBorder="1" applyAlignment="1">
      <alignment vertical="center"/>
    </xf>
    <xf numFmtId="0" fontId="30" fillId="2" borderId="74" xfId="7" applyFont="1" applyFill="1" applyBorder="1" applyAlignment="1">
      <alignment vertical="center"/>
    </xf>
    <xf numFmtId="0" fontId="37" fillId="0" borderId="83" xfId="0" applyFont="1" applyBorder="1" applyAlignment="1">
      <alignment horizontal="center" vertical="center" wrapText="1"/>
    </xf>
    <xf numFmtId="0" fontId="37" fillId="0" borderId="25" xfId="0" applyFont="1" applyBorder="1" applyAlignment="1">
      <alignment horizontal="center" vertical="center" wrapText="1"/>
    </xf>
    <xf numFmtId="0" fontId="37" fillId="0" borderId="82" xfId="0" applyFont="1" applyBorder="1" applyAlignment="1">
      <alignment horizontal="left" vertical="center" wrapText="1"/>
    </xf>
    <xf numFmtId="0" fontId="37" fillId="0" borderId="25" xfId="0" applyFont="1" applyBorder="1" applyAlignment="1">
      <alignment horizontal="left" vertical="center" wrapText="1"/>
    </xf>
    <xf numFmtId="0" fontId="37" fillId="0" borderId="59" xfId="0" applyFont="1" applyBorder="1" applyAlignment="1">
      <alignment horizontal="center" vertical="center" wrapText="1"/>
    </xf>
    <xf numFmtId="0" fontId="37" fillId="0" borderId="26" xfId="0" applyFont="1" applyBorder="1" applyAlignment="1">
      <alignment horizontal="center" vertical="center" wrapText="1"/>
    </xf>
    <xf numFmtId="0" fontId="40" fillId="0" borderId="25" xfId="0" applyFont="1" applyBorder="1" applyAlignment="1">
      <alignment horizontal="left" vertical="center" wrapText="1"/>
    </xf>
    <xf numFmtId="0" fontId="37" fillId="0" borderId="58" xfId="0" applyFont="1" applyBorder="1" applyAlignment="1">
      <alignment horizontal="left" vertical="center" wrapText="1"/>
    </xf>
    <xf numFmtId="0" fontId="37" fillId="0" borderId="56" xfId="0" applyFont="1" applyBorder="1" applyAlignment="1">
      <alignment horizontal="left" vertical="center" wrapText="1"/>
    </xf>
    <xf numFmtId="0" fontId="37" fillId="0" borderId="57" xfId="0" applyFont="1" applyBorder="1" applyAlignment="1">
      <alignment horizontal="center" vertical="center" wrapText="1"/>
    </xf>
    <xf numFmtId="0" fontId="37" fillId="0" borderId="27" xfId="0" applyFont="1" applyBorder="1" applyAlignment="1">
      <alignment horizontal="center" vertical="center" wrapText="1"/>
    </xf>
    <xf numFmtId="0" fontId="37" fillId="0" borderId="28" xfId="0" applyFont="1" applyBorder="1" applyAlignment="1">
      <alignment horizontal="center" vertical="center" wrapText="1"/>
    </xf>
    <xf numFmtId="0" fontId="28" fillId="9" borderId="0" xfId="0" applyFont="1" applyFill="1" applyBorder="1" applyAlignment="1">
      <alignment vertical="center"/>
    </xf>
    <xf numFmtId="0" fontId="28" fillId="9" borderId="13" xfId="0" applyFont="1" applyFill="1" applyBorder="1" applyAlignment="1">
      <alignment vertical="center"/>
    </xf>
    <xf numFmtId="0" fontId="40" fillId="9" borderId="25" xfId="0" applyFont="1" applyFill="1" applyBorder="1" applyAlignment="1">
      <alignment horizontal="left" vertical="top" wrapText="1"/>
    </xf>
    <xf numFmtId="0" fontId="40" fillId="9" borderId="25" xfId="0" applyFont="1" applyFill="1" applyBorder="1" applyAlignment="1">
      <alignment horizontal="center" vertical="center" wrapText="1"/>
    </xf>
    <xf numFmtId="0" fontId="37" fillId="9" borderId="59" xfId="0" applyFont="1" applyFill="1" applyBorder="1" applyAlignment="1">
      <alignment horizontal="center" vertical="center" wrapText="1"/>
    </xf>
    <xf numFmtId="0" fontId="40" fillId="9" borderId="26" xfId="0" applyFont="1" applyFill="1" applyBorder="1" applyAlignment="1">
      <alignment horizontal="center" vertical="center" wrapText="1"/>
    </xf>
    <xf numFmtId="0" fontId="33" fillId="9" borderId="0" xfId="0" applyFont="1" applyFill="1" applyAlignment="1">
      <alignment vertical="center"/>
    </xf>
    <xf numFmtId="0" fontId="37" fillId="0" borderId="47" xfId="0" applyFont="1" applyBorder="1" applyAlignment="1">
      <alignment horizontal="center" vertical="center" wrapText="1"/>
    </xf>
    <xf numFmtId="0" fontId="37" fillId="0" borderId="96" xfId="0" applyFont="1" applyBorder="1" applyAlignment="1">
      <alignment horizontal="center" vertical="center" wrapText="1"/>
    </xf>
    <xf numFmtId="0" fontId="37" fillId="0" borderId="48" xfId="0" applyFont="1" applyBorder="1" applyAlignment="1">
      <alignment horizontal="center" vertical="center" wrapText="1"/>
    </xf>
    <xf numFmtId="0" fontId="28" fillId="6" borderId="97" xfId="0" applyFont="1" applyFill="1" applyBorder="1" applyAlignment="1">
      <alignment horizontal="center" vertical="center" wrapText="1"/>
    </xf>
    <xf numFmtId="0" fontId="37" fillId="0" borderId="95" xfId="0" applyFont="1" applyBorder="1" applyAlignment="1">
      <alignment horizontal="left" vertical="top" wrapText="1"/>
    </xf>
    <xf numFmtId="0" fontId="25" fillId="0" borderId="47" xfId="0" applyFont="1" applyBorder="1" applyAlignment="1">
      <alignment horizontal="center" vertical="center" wrapText="1"/>
    </xf>
    <xf numFmtId="0" fontId="41" fillId="0" borderId="93" xfId="0" applyFont="1" applyBorder="1" applyAlignment="1">
      <alignment vertical="center"/>
    </xf>
    <xf numFmtId="0" fontId="49" fillId="0" borderId="93" xfId="0" applyFont="1" applyBorder="1" applyAlignment="1">
      <alignment vertical="center"/>
    </xf>
    <xf numFmtId="0" fontId="50" fillId="0" borderId="0" xfId="0" applyFont="1" applyAlignment="1">
      <alignment vertical="center"/>
    </xf>
    <xf numFmtId="0" fontId="36" fillId="2" borderId="70" xfId="7" applyFont="1" applyFill="1" applyBorder="1" applyAlignment="1">
      <alignment vertical="center" wrapText="1"/>
    </xf>
    <xf numFmtId="0" fontId="36" fillId="2" borderId="0" xfId="7" applyFont="1" applyFill="1" applyBorder="1" applyAlignment="1">
      <alignment vertical="center" wrapText="1"/>
    </xf>
    <xf numFmtId="0" fontId="36" fillId="2" borderId="9" xfId="7" applyFont="1" applyFill="1" applyBorder="1" applyAlignment="1">
      <alignment vertical="center" wrapText="1"/>
    </xf>
    <xf numFmtId="0" fontId="34" fillId="2" borderId="0" xfId="7" applyFont="1" applyFill="1" applyBorder="1" applyAlignment="1">
      <alignment vertical="top" wrapText="1"/>
    </xf>
    <xf numFmtId="0" fontId="34" fillId="2" borderId="0" xfId="7" applyFont="1" applyFill="1" applyBorder="1" applyAlignment="1">
      <alignment vertical="top"/>
    </xf>
    <xf numFmtId="0" fontId="34" fillId="2" borderId="9" xfId="7" applyFont="1" applyFill="1" applyBorder="1" applyAlignment="1">
      <alignment vertical="top"/>
    </xf>
    <xf numFmtId="0" fontId="25" fillId="9" borderId="68" xfId="3" applyFont="1" applyFill="1" applyBorder="1" applyAlignment="1">
      <alignment horizontal="center" vertical="center" wrapText="1"/>
    </xf>
    <xf numFmtId="0" fontId="25" fillId="9" borderId="68" xfId="4" applyFont="1" applyFill="1" applyBorder="1" applyAlignment="1">
      <alignment horizontal="center" vertical="center" wrapText="1"/>
    </xf>
    <xf numFmtId="0" fontId="25" fillId="9" borderId="75" xfId="3" applyFont="1" applyFill="1" applyBorder="1" applyAlignment="1">
      <alignment horizontal="center" vertical="center" wrapText="1"/>
    </xf>
    <xf numFmtId="0" fontId="33" fillId="9" borderId="0" xfId="3" applyFont="1" applyFill="1"/>
    <xf numFmtId="0" fontId="25" fillId="9" borderId="4" xfId="3" applyFont="1" applyFill="1" applyBorder="1" applyAlignment="1">
      <alignment horizontal="center" vertical="center" wrapText="1"/>
    </xf>
    <xf numFmtId="0" fontId="25" fillId="9" borderId="88" xfId="3" quotePrefix="1" applyFont="1" applyFill="1" applyBorder="1" applyAlignment="1">
      <alignment horizontal="center" vertical="center"/>
    </xf>
    <xf numFmtId="0" fontId="34" fillId="2" borderId="0" xfId="7" quotePrefix="1" applyFont="1" applyFill="1" applyBorder="1" applyAlignment="1">
      <alignment vertical="top"/>
    </xf>
    <xf numFmtId="0" fontId="29" fillId="0" borderId="0" xfId="4" applyFont="1" applyBorder="1" applyAlignment="1">
      <alignment horizontal="center" vertical="center"/>
    </xf>
    <xf numFmtId="0" fontId="29" fillId="0" borderId="9" xfId="4" applyFont="1" applyBorder="1" applyAlignment="1">
      <alignment horizontal="center" vertical="center"/>
    </xf>
    <xf numFmtId="0" fontId="29" fillId="0" borderId="18" xfId="4" applyFont="1" applyBorder="1" applyAlignment="1">
      <alignment horizontal="center" vertical="center"/>
    </xf>
    <xf numFmtId="0" fontId="28" fillId="0" borderId="0" xfId="4" applyFont="1" applyFill="1" applyBorder="1" applyAlignment="1">
      <alignment horizontal="center" vertical="center" wrapText="1"/>
    </xf>
    <xf numFmtId="0" fontId="33" fillId="9" borderId="87" xfId="3" applyFont="1" applyFill="1" applyBorder="1" applyAlignment="1">
      <alignment horizontal="center" vertical="center"/>
    </xf>
    <xf numFmtId="0" fontId="39" fillId="9" borderId="24" xfId="52" applyFont="1" applyFill="1" applyBorder="1" applyAlignment="1">
      <alignment horizontal="center" vertical="center" wrapText="1"/>
    </xf>
    <xf numFmtId="0" fontId="39" fillId="9" borderId="4" xfId="52" applyFont="1" applyFill="1" applyBorder="1" applyAlignment="1">
      <alignment horizontal="center" vertical="center" wrapText="1"/>
    </xf>
    <xf numFmtId="0" fontId="25" fillId="9" borderId="4" xfId="4" applyFont="1" applyFill="1" applyBorder="1" applyAlignment="1">
      <alignment horizontal="center" vertical="center"/>
    </xf>
    <xf numFmtId="0" fontId="25" fillId="9" borderId="50" xfId="0" applyFont="1" applyFill="1" applyBorder="1" applyAlignment="1">
      <alignment horizontal="center" vertical="center" wrapText="1"/>
    </xf>
    <xf numFmtId="0" fontId="25" fillId="9" borderId="39" xfId="4" applyFont="1" applyFill="1" applyBorder="1" applyAlignment="1">
      <alignment horizontal="center" vertical="center" wrapText="1"/>
    </xf>
    <xf numFmtId="0" fontId="39" fillId="9" borderId="36" xfId="52" applyFont="1" applyFill="1" applyBorder="1" applyAlignment="1">
      <alignment horizontal="center" vertical="center" wrapText="1"/>
    </xf>
    <xf numFmtId="0" fontId="25" fillId="9" borderId="39" xfId="0" applyFont="1" applyFill="1" applyBorder="1" applyAlignment="1">
      <alignment horizontal="center" vertical="center" wrapText="1"/>
    </xf>
    <xf numFmtId="164" fontId="25" fillId="9" borderId="46" xfId="0" quotePrefix="1" applyNumberFormat="1" applyFont="1" applyFill="1" applyBorder="1" applyAlignment="1">
      <alignment horizontal="center" vertical="center" wrapText="1"/>
    </xf>
    <xf numFmtId="0" fontId="40" fillId="9" borderId="98" xfId="0" applyFont="1" applyFill="1" applyBorder="1" applyAlignment="1">
      <alignment horizontal="left" vertical="top" wrapText="1"/>
    </xf>
    <xf numFmtId="0" fontId="40" fillId="9" borderId="98" xfId="0" applyFont="1" applyFill="1" applyBorder="1" applyAlignment="1">
      <alignment horizontal="center" vertical="center" wrapText="1"/>
    </xf>
    <xf numFmtId="0" fontId="37" fillId="9" borderId="102" xfId="0" applyFont="1" applyFill="1" applyBorder="1" applyAlignment="1">
      <alignment horizontal="center" vertical="center" wrapText="1"/>
    </xf>
    <xf numFmtId="0" fontId="28" fillId="6" borderId="103" xfId="0" applyFont="1" applyFill="1" applyBorder="1" applyAlignment="1">
      <alignment horizontal="center" vertical="center" wrapText="1"/>
    </xf>
    <xf numFmtId="0" fontId="28" fillId="9" borderId="104" xfId="0" applyFont="1" applyFill="1" applyBorder="1" applyAlignment="1">
      <alignment vertical="center"/>
    </xf>
    <xf numFmtId="0" fontId="28" fillId="3" borderId="104" xfId="0" applyFont="1" applyFill="1" applyBorder="1" applyAlignment="1">
      <alignment horizontal="right" vertical="center"/>
    </xf>
    <xf numFmtId="0" fontId="28" fillId="9" borderId="102" xfId="0" applyFont="1" applyFill="1" applyBorder="1" applyAlignment="1">
      <alignment vertical="center"/>
    </xf>
    <xf numFmtId="0" fontId="33" fillId="9" borderId="104" xfId="0" applyFont="1" applyFill="1" applyBorder="1" applyAlignment="1">
      <alignment vertical="center"/>
    </xf>
    <xf numFmtId="0" fontId="27" fillId="0" borderId="7" xfId="4" applyFont="1" applyBorder="1"/>
    <xf numFmtId="0" fontId="27" fillId="0" borderId="7" xfId="4" applyFont="1" applyBorder="1" applyAlignment="1"/>
    <xf numFmtId="0" fontId="29" fillId="0" borderId="7" xfId="4" applyFont="1" applyBorder="1" applyAlignment="1">
      <alignment horizontal="center" vertical="center"/>
    </xf>
    <xf numFmtId="0" fontId="29" fillId="0" borderId="20" xfId="4" applyFont="1" applyBorder="1" applyAlignment="1">
      <alignment horizontal="left" vertical="center" wrapText="1" indent="1"/>
    </xf>
    <xf numFmtId="0" fontId="31" fillId="0" borderId="9" xfId="4" applyFont="1" applyBorder="1" applyAlignment="1">
      <alignment horizontal="center"/>
    </xf>
    <xf numFmtId="0" fontId="30" fillId="0" borderId="9" xfId="4" applyFont="1" applyBorder="1" applyAlignment="1">
      <alignment horizontal="center" vertical="center"/>
    </xf>
    <xf numFmtId="0" fontId="29" fillId="0" borderId="9" xfId="4" applyFont="1" applyBorder="1" applyAlignment="1">
      <alignment vertical="center"/>
    </xf>
    <xf numFmtId="0" fontId="30" fillId="0" borderId="8" xfId="4" applyFont="1" applyBorder="1" applyAlignment="1">
      <alignment horizontal="center" vertical="center"/>
    </xf>
    <xf numFmtId="0" fontId="31" fillId="0" borderId="41" xfId="4" applyFont="1" applyBorder="1" applyAlignment="1">
      <alignment horizontal="center"/>
    </xf>
    <xf numFmtId="0" fontId="29" fillId="0" borderId="19" xfId="4" applyFont="1" applyBorder="1" applyAlignment="1">
      <alignment vertical="center" wrapText="1"/>
    </xf>
    <xf numFmtId="0" fontId="29" fillId="0" borderId="106" xfId="4" applyFont="1" applyBorder="1" applyAlignment="1">
      <alignment vertical="center"/>
    </xf>
    <xf numFmtId="0" fontId="25" fillId="0" borderId="27" xfId="0" applyFont="1" applyBorder="1" applyAlignment="1">
      <alignment vertical="center" wrapText="1"/>
    </xf>
    <xf numFmtId="0" fontId="55" fillId="9" borderId="4" xfId="54" applyFont="1" applyFill="1" applyBorder="1" applyAlignment="1">
      <alignment horizontal="center" vertical="center"/>
    </xf>
    <xf numFmtId="0" fontId="55" fillId="9" borderId="4" xfId="54" applyFont="1" applyFill="1" applyBorder="1" applyAlignment="1">
      <alignment vertical="center"/>
    </xf>
    <xf numFmtId="0" fontId="55" fillId="9" borderId="4" xfId="3" applyFont="1" applyFill="1" applyBorder="1" applyAlignment="1">
      <alignment horizontal="center" vertical="center" wrapText="1"/>
    </xf>
    <xf numFmtId="0" fontId="33" fillId="9" borderId="0" xfId="3" applyFont="1" applyFill="1" applyBorder="1" applyAlignment="1">
      <alignment horizontal="center" vertical="center"/>
    </xf>
    <xf numFmtId="0" fontId="33" fillId="9" borderId="0" xfId="3" applyFont="1" applyFill="1" applyBorder="1" applyAlignment="1">
      <alignment horizontal="left" vertical="center"/>
    </xf>
    <xf numFmtId="0" fontId="60" fillId="0" borderId="0" xfId="50" applyFont="1" applyFill="1" applyBorder="1"/>
    <xf numFmtId="0" fontId="60" fillId="0" borderId="0" xfId="50" applyFont="1" applyFill="1" applyBorder="1" applyProtection="1">
      <protection hidden="1"/>
    </xf>
    <xf numFmtId="0" fontId="60" fillId="0" borderId="20" xfId="50" applyFont="1" applyFill="1" applyBorder="1"/>
    <xf numFmtId="0" fontId="60" fillId="0" borderId="94" xfId="50" applyFont="1" applyFill="1" applyBorder="1"/>
    <xf numFmtId="0" fontId="63" fillId="5" borderId="60" xfId="50" applyFont="1" applyFill="1" applyBorder="1" applyAlignment="1">
      <alignment horizontal="center" vertical="center"/>
    </xf>
    <xf numFmtId="0" fontId="63" fillId="5" borderId="37" xfId="50" applyFont="1" applyFill="1" applyBorder="1" applyAlignment="1">
      <alignment horizontal="center" vertical="center"/>
    </xf>
    <xf numFmtId="0" fontId="64" fillId="5" borderId="37" xfId="50" applyFont="1" applyFill="1" applyBorder="1" applyAlignment="1">
      <alignment horizontal="center" vertical="center"/>
    </xf>
    <xf numFmtId="0" fontId="65" fillId="7" borderId="37" xfId="50" applyFont="1" applyFill="1" applyBorder="1" applyAlignment="1" applyProtection="1">
      <alignment horizontal="center" vertical="center"/>
      <protection locked="0"/>
    </xf>
    <xf numFmtId="0" fontId="65" fillId="7" borderId="50" xfId="50" applyFont="1" applyFill="1" applyBorder="1" applyAlignment="1" applyProtection="1">
      <alignment horizontal="center" vertical="center"/>
      <protection locked="0"/>
    </xf>
    <xf numFmtId="0" fontId="60" fillId="0" borderId="0" xfId="50" applyFont="1" applyFill="1" applyBorder="1" applyAlignment="1">
      <alignment horizontal="center"/>
    </xf>
    <xf numFmtId="0" fontId="60" fillId="0" borderId="0" xfId="50" applyFont="1" applyFill="1" applyBorder="1" applyAlignment="1" applyProtection="1">
      <alignment horizontal="center"/>
      <protection hidden="1"/>
    </xf>
    <xf numFmtId="2" fontId="60" fillId="0" borderId="2" xfId="51" applyNumberFormat="1" applyFont="1" applyFill="1" applyBorder="1" applyAlignment="1">
      <alignment horizontal="center" vertical="center"/>
    </xf>
    <xf numFmtId="2" fontId="60" fillId="0" borderId="44" xfId="51" applyNumberFormat="1" applyFont="1" applyFill="1" applyBorder="1" applyAlignment="1">
      <alignment horizontal="center" vertical="center"/>
    </xf>
    <xf numFmtId="0" fontId="65" fillId="7" borderId="2" xfId="51" applyNumberFormat="1" applyFont="1" applyFill="1" applyBorder="1" applyAlignment="1" applyProtection="1">
      <alignment horizontal="center" vertical="center"/>
      <protection locked="0"/>
    </xf>
    <xf numFmtId="0" fontId="65" fillId="7" borderId="44" xfId="51" applyNumberFormat="1" applyFont="1" applyFill="1" applyBorder="1" applyAlignment="1" applyProtection="1">
      <alignment horizontal="center" vertical="center"/>
      <protection locked="0"/>
    </xf>
    <xf numFmtId="2" fontId="60" fillId="0" borderId="8" xfId="51" applyNumberFormat="1" applyFont="1" applyFill="1" applyBorder="1" applyAlignment="1">
      <alignment horizontal="center" vertical="center"/>
    </xf>
    <xf numFmtId="2" fontId="60" fillId="0" borderId="8" xfId="50" applyNumberFormat="1" applyFont="1" applyFill="1" applyBorder="1" applyAlignment="1" applyProtection="1">
      <alignment horizontal="center" vertical="center"/>
      <protection locked="0"/>
    </xf>
    <xf numFmtId="0" fontId="60" fillId="0" borderId="8" xfId="50" applyNumberFormat="1" applyFont="1" applyFill="1" applyBorder="1" applyAlignment="1" applyProtection="1">
      <alignment horizontal="center" vertical="center"/>
      <protection locked="0"/>
    </xf>
    <xf numFmtId="0" fontId="60" fillId="0" borderId="41" xfId="50" applyNumberFormat="1" applyFont="1" applyFill="1" applyBorder="1" applyAlignment="1" applyProtection="1">
      <alignment horizontal="center" vertical="center"/>
      <protection locked="0"/>
    </xf>
    <xf numFmtId="173" fontId="60" fillId="0" borderId="0" xfId="50" applyNumberFormat="1" applyFont="1" applyFill="1" applyBorder="1" applyAlignment="1">
      <alignment horizontal="center"/>
    </xf>
    <xf numFmtId="0" fontId="65" fillId="7" borderId="112" xfId="50" applyFont="1" applyFill="1" applyBorder="1" applyAlignment="1" applyProtection="1">
      <alignment horizontal="center" vertical="center"/>
      <protection locked="0"/>
    </xf>
    <xf numFmtId="0" fontId="65" fillId="7" borderId="113" xfId="50" applyFont="1" applyFill="1" applyBorder="1" applyAlignment="1" applyProtection="1">
      <alignment horizontal="center" vertical="center"/>
      <protection locked="0"/>
    </xf>
    <xf numFmtId="2" fontId="60" fillId="0" borderId="109" xfId="51" applyNumberFormat="1" applyFont="1" applyFill="1" applyBorder="1" applyAlignment="1">
      <alignment horizontal="center" vertical="center"/>
    </xf>
    <xf numFmtId="0" fontId="60" fillId="0" borderId="109" xfId="50" applyNumberFormat="1" applyFont="1" applyFill="1" applyBorder="1" applyAlignment="1" applyProtection="1">
      <alignment horizontal="center" vertical="center"/>
      <protection locked="0"/>
    </xf>
    <xf numFmtId="0" fontId="60" fillId="0" borderId="114" xfId="50" applyNumberFormat="1" applyFont="1" applyFill="1" applyBorder="1" applyAlignment="1" applyProtection="1">
      <alignment horizontal="center" vertical="center"/>
      <protection locked="0"/>
    </xf>
    <xf numFmtId="0" fontId="65" fillId="7" borderId="16" xfId="50" applyFont="1" applyFill="1" applyBorder="1" applyAlignment="1" applyProtection="1">
      <alignment horizontal="center" vertical="center"/>
      <protection locked="0"/>
    </xf>
    <xf numFmtId="0" fontId="65" fillId="7" borderId="62" xfId="50" applyFont="1" applyFill="1" applyBorder="1" applyAlignment="1" applyProtection="1">
      <alignment horizontal="center" vertical="center"/>
      <protection locked="0"/>
    </xf>
    <xf numFmtId="2" fontId="60" fillId="0" borderId="45" xfId="51" applyNumberFormat="1" applyFont="1" applyFill="1" applyBorder="1" applyAlignment="1">
      <alignment horizontal="center" vertical="center"/>
    </xf>
    <xf numFmtId="0" fontId="60" fillId="0" borderId="45" xfId="50" applyNumberFormat="1" applyFont="1" applyFill="1" applyBorder="1" applyAlignment="1" applyProtection="1">
      <alignment horizontal="center" vertical="center"/>
      <protection locked="0"/>
    </xf>
    <xf numFmtId="0" fontId="60" fillId="0" borderId="46" xfId="50" applyNumberFormat="1" applyFont="1" applyFill="1" applyBorder="1" applyAlignment="1" applyProtection="1">
      <alignment horizontal="center" vertical="center"/>
      <protection locked="0"/>
    </xf>
    <xf numFmtId="0" fontId="50" fillId="0" borderId="7" xfId="51" applyFont="1" applyFill="1" applyBorder="1" applyAlignment="1" applyProtection="1">
      <alignment horizontal="center" vertical="center"/>
      <protection locked="0"/>
    </xf>
    <xf numFmtId="0" fontId="50" fillId="0" borderId="0" xfId="51" applyFont="1" applyFill="1" applyBorder="1" applyAlignment="1" applyProtection="1">
      <alignment horizontal="center" vertical="center"/>
      <protection locked="0"/>
    </xf>
    <xf numFmtId="0" fontId="50" fillId="0" borderId="0" xfId="51" quotePrefix="1" applyFont="1" applyFill="1" applyBorder="1" applyAlignment="1" applyProtection="1">
      <alignment horizontal="center" vertical="center"/>
      <protection locked="0"/>
    </xf>
    <xf numFmtId="2" fontId="60" fillId="0" borderId="0" xfId="51" applyNumberFormat="1" applyFont="1" applyFill="1" applyBorder="1" applyAlignment="1">
      <alignment horizontal="center" vertical="center"/>
    </xf>
    <xf numFmtId="0" fontId="60" fillId="0" borderId="0" xfId="50" applyNumberFormat="1" applyFont="1" applyFill="1" applyBorder="1" applyAlignment="1" applyProtection="1">
      <alignment horizontal="center" vertical="center"/>
      <protection locked="0"/>
    </xf>
    <xf numFmtId="0" fontId="60" fillId="0" borderId="9" xfId="50" applyNumberFormat="1" applyFont="1" applyFill="1" applyBorder="1" applyAlignment="1" applyProtection="1">
      <alignment horizontal="center" vertical="center"/>
      <protection locked="0"/>
    </xf>
    <xf numFmtId="0" fontId="66" fillId="10" borderId="7" xfId="51" applyFont="1" applyFill="1" applyBorder="1" applyAlignment="1" applyProtection="1">
      <alignment horizontal="center" vertical="center"/>
      <protection locked="0"/>
    </xf>
    <xf numFmtId="0" fontId="66" fillId="10" borderId="0" xfId="51" applyFont="1" applyFill="1" applyBorder="1" applyAlignment="1" applyProtection="1">
      <alignment horizontal="center" vertical="center"/>
      <protection locked="0"/>
    </xf>
    <xf numFmtId="0" fontId="66" fillId="10" borderId="0" xfId="51" quotePrefix="1" applyFont="1" applyFill="1" applyBorder="1" applyAlignment="1" applyProtection="1">
      <alignment horizontal="center" vertical="center"/>
      <protection locked="0"/>
    </xf>
    <xf numFmtId="2" fontId="67" fillId="10" borderId="0" xfId="51" applyNumberFormat="1" applyFont="1" applyFill="1" applyBorder="1" applyAlignment="1">
      <alignment horizontal="center" vertical="center"/>
    </xf>
    <xf numFmtId="0" fontId="67" fillId="10" borderId="0" xfId="50" applyNumberFormat="1" applyFont="1" applyFill="1" applyBorder="1" applyAlignment="1" applyProtection="1">
      <alignment horizontal="center" vertical="center"/>
      <protection locked="0"/>
    </xf>
    <xf numFmtId="0" fontId="67" fillId="10" borderId="9" xfId="50" applyNumberFormat="1" applyFont="1" applyFill="1" applyBorder="1" applyAlignment="1" applyProtection="1">
      <alignment horizontal="center" vertical="center"/>
      <protection locked="0"/>
    </xf>
    <xf numFmtId="0" fontId="60" fillId="0" borderId="7" xfId="50" applyFont="1" applyFill="1" applyBorder="1" applyAlignment="1">
      <alignment horizontal="center"/>
    </xf>
    <xf numFmtId="172" fontId="60" fillId="0" borderId="0" xfId="50" applyNumberFormat="1" applyFont="1" applyFill="1" applyBorder="1" applyAlignment="1">
      <alignment horizontal="center"/>
    </xf>
    <xf numFmtId="173" fontId="68" fillId="0" borderId="0" xfId="50" applyNumberFormat="1" applyFont="1" applyFill="1" applyBorder="1" applyAlignment="1">
      <alignment horizontal="center"/>
    </xf>
    <xf numFmtId="173" fontId="68" fillId="0" borderId="9" xfId="50" applyNumberFormat="1" applyFont="1" applyFill="1" applyBorder="1" applyAlignment="1">
      <alignment horizontal="center"/>
    </xf>
    <xf numFmtId="0" fontId="60" fillId="0" borderId="0" xfId="50" applyFont="1" applyFill="1" applyBorder="1" applyAlignment="1">
      <alignment horizontal="left"/>
    </xf>
    <xf numFmtId="174" fontId="60" fillId="0" borderId="0" xfId="50" applyNumberFormat="1" applyFont="1" applyFill="1" applyBorder="1" applyAlignment="1">
      <alignment horizontal="center"/>
    </xf>
    <xf numFmtId="0" fontId="60" fillId="0" borderId="7" xfId="50" applyFont="1" applyFill="1" applyBorder="1"/>
    <xf numFmtId="0" fontId="60" fillId="0" borderId="9" xfId="50" applyFont="1" applyFill="1" applyBorder="1"/>
    <xf numFmtId="0" fontId="62" fillId="0" borderId="7" xfId="50" applyFont="1" applyFill="1" applyBorder="1"/>
    <xf numFmtId="0" fontId="69" fillId="0" borderId="0" xfId="50" applyFont="1" applyFill="1" applyBorder="1"/>
    <xf numFmtId="0" fontId="69" fillId="0" borderId="0" xfId="50" applyFont="1" applyFill="1" applyBorder="1" applyAlignment="1">
      <alignment horizontal="center"/>
    </xf>
    <xf numFmtId="0" fontId="64" fillId="0" borderId="0" xfId="50" applyFont="1" applyFill="1" applyBorder="1" applyAlignment="1">
      <alignment vertical="center" wrapText="1"/>
    </xf>
    <xf numFmtId="0" fontId="57" fillId="0" borderId="0" xfId="50" applyFont="1" applyBorder="1"/>
    <xf numFmtId="174" fontId="69" fillId="0" borderId="0" xfId="50" applyNumberFormat="1" applyFont="1" applyFill="1" applyBorder="1" applyAlignment="1">
      <alignment horizontal="center"/>
    </xf>
    <xf numFmtId="0" fontId="64" fillId="0" borderId="2" xfId="50" applyFont="1" applyFill="1" applyBorder="1" applyAlignment="1">
      <alignment horizontal="center" vertical="center"/>
    </xf>
    <xf numFmtId="0" fontId="64" fillId="0" borderId="0" xfId="50" applyFont="1" applyFill="1" applyBorder="1" applyAlignment="1">
      <alignment horizontal="center" vertical="center"/>
    </xf>
    <xf numFmtId="0" fontId="70" fillId="0" borderId="2" xfId="50" applyFont="1" applyFill="1" applyBorder="1" applyAlignment="1">
      <alignment horizontal="center" vertical="center"/>
    </xf>
    <xf numFmtId="167" fontId="70" fillId="0" borderId="2" xfId="50" applyNumberFormat="1" applyFont="1" applyFill="1" applyBorder="1" applyAlignment="1">
      <alignment horizontal="center" vertical="center"/>
    </xf>
    <xf numFmtId="167" fontId="70" fillId="0" borderId="0" xfId="50" applyNumberFormat="1" applyFont="1" applyFill="1" applyBorder="1" applyAlignment="1">
      <alignment horizontal="center" vertical="center"/>
    </xf>
    <xf numFmtId="0" fontId="60" fillId="0" borderId="0" xfId="50" applyFont="1" applyFill="1" applyBorder="1" applyAlignment="1">
      <alignment horizontal="right"/>
    </xf>
    <xf numFmtId="175" fontId="69" fillId="0" borderId="0" xfId="50" applyNumberFormat="1" applyFont="1" applyFill="1" applyBorder="1" applyAlignment="1">
      <alignment horizontal="center"/>
    </xf>
    <xf numFmtId="173" fontId="69" fillId="0" borderId="0" xfId="50" applyNumberFormat="1" applyFont="1" applyFill="1" applyBorder="1" applyAlignment="1">
      <alignment horizontal="center"/>
    </xf>
    <xf numFmtId="0" fontId="69" fillId="0" borderId="0" xfId="50" applyFont="1" applyFill="1" applyBorder="1" applyAlignment="1">
      <alignment horizontal="left"/>
    </xf>
    <xf numFmtId="0" fontId="70" fillId="0" borderId="0" xfId="50" applyFont="1" applyFill="1" applyBorder="1" applyAlignment="1">
      <alignment horizontal="center" vertical="center"/>
    </xf>
    <xf numFmtId="174" fontId="60" fillId="0" borderId="0" xfId="50" applyNumberFormat="1" applyFont="1" applyFill="1" applyBorder="1"/>
    <xf numFmtId="0" fontId="64" fillId="0" borderId="0" xfId="50" applyFont="1" applyFill="1" applyBorder="1" applyAlignment="1">
      <alignment vertical="center"/>
    </xf>
    <xf numFmtId="2" fontId="60" fillId="0" borderId="0" xfId="50" applyNumberFormat="1" applyFont="1" applyFill="1" applyBorder="1" applyAlignment="1">
      <alignment horizontal="center"/>
    </xf>
    <xf numFmtId="176" fontId="70" fillId="0" borderId="2" xfId="50" applyNumberFormat="1" applyFont="1" applyFill="1" applyBorder="1" applyAlignment="1">
      <alignment horizontal="center" vertical="center"/>
    </xf>
    <xf numFmtId="176" fontId="70" fillId="0" borderId="0" xfId="50" applyNumberFormat="1" applyFont="1" applyFill="1" applyBorder="1" applyAlignment="1">
      <alignment horizontal="center" vertical="center"/>
    </xf>
    <xf numFmtId="0" fontId="71" fillId="0" borderId="0" xfId="50" applyFont="1" applyFill="1" applyBorder="1" applyAlignment="1">
      <alignment horizontal="center"/>
    </xf>
    <xf numFmtId="175" fontId="60" fillId="0" borderId="0" xfId="50" applyNumberFormat="1" applyFont="1" applyFill="1" applyBorder="1" applyAlignment="1">
      <alignment horizontal="left"/>
    </xf>
    <xf numFmtId="174" fontId="69" fillId="0" borderId="0" xfId="50" applyNumberFormat="1" applyFont="1" applyFill="1" applyBorder="1"/>
    <xf numFmtId="0" fontId="72" fillId="0" borderId="0" xfId="50" applyFont="1" applyFill="1" applyBorder="1" applyAlignment="1">
      <alignment horizontal="center"/>
    </xf>
    <xf numFmtId="177" fontId="70" fillId="0" borderId="2" xfId="50" applyNumberFormat="1" applyFont="1" applyFill="1" applyBorder="1" applyAlignment="1">
      <alignment horizontal="center" vertical="center"/>
    </xf>
    <xf numFmtId="177" fontId="70" fillId="0" borderId="0" xfId="50" applyNumberFormat="1" applyFont="1" applyFill="1" applyBorder="1" applyAlignment="1">
      <alignment horizontal="center" vertical="center"/>
    </xf>
    <xf numFmtId="0" fontId="64" fillId="11" borderId="2" xfId="50" applyFont="1" applyFill="1" applyBorder="1" applyAlignment="1">
      <alignment horizontal="center" vertical="center"/>
    </xf>
    <xf numFmtId="167" fontId="64" fillId="11" borderId="2" xfId="50" applyNumberFormat="1" applyFont="1" applyFill="1" applyBorder="1" applyAlignment="1">
      <alignment horizontal="center" vertical="center"/>
    </xf>
    <xf numFmtId="167" fontId="64" fillId="0" borderId="0" xfId="50" applyNumberFormat="1" applyFont="1" applyFill="1" applyBorder="1" applyAlignment="1">
      <alignment horizontal="center" vertical="center"/>
    </xf>
    <xf numFmtId="0" fontId="57" fillId="0" borderId="7" xfId="50" applyFont="1" applyBorder="1"/>
    <xf numFmtId="0" fontId="69" fillId="0" borderId="0" xfId="50" applyFont="1" applyFill="1" applyBorder="1" applyAlignment="1">
      <alignment horizontal="right"/>
    </xf>
    <xf numFmtId="176" fontId="69" fillId="0" borderId="0" xfId="50" applyNumberFormat="1" applyFont="1" applyFill="1" applyBorder="1" applyAlignment="1">
      <alignment horizontal="center"/>
    </xf>
    <xf numFmtId="4" fontId="57" fillId="0" borderId="0" xfId="50" applyNumberFormat="1" applyFont="1" applyBorder="1"/>
    <xf numFmtId="178" fontId="60" fillId="0" borderId="0" xfId="50" applyNumberFormat="1" applyFont="1" applyFill="1" applyBorder="1"/>
    <xf numFmtId="0" fontId="71" fillId="0" borderId="7" xfId="50" applyFont="1" applyFill="1" applyBorder="1"/>
    <xf numFmtId="0" fontId="60" fillId="0" borderId="17" xfId="50" applyFont="1" applyFill="1" applyBorder="1"/>
    <xf numFmtId="0" fontId="60" fillId="0" borderId="18" xfId="50" applyFont="1" applyFill="1" applyBorder="1" applyAlignment="1">
      <alignment horizontal="center"/>
    </xf>
    <xf numFmtId="0" fontId="60" fillId="0" borderId="18" xfId="50" applyFont="1" applyFill="1" applyBorder="1"/>
    <xf numFmtId="0" fontId="57" fillId="0" borderId="18" xfId="50" applyFont="1" applyBorder="1"/>
    <xf numFmtId="0" fontId="69" fillId="0" borderId="18" xfId="50" applyFont="1" applyFill="1" applyBorder="1" applyAlignment="1">
      <alignment horizontal="left"/>
    </xf>
    <xf numFmtId="174" fontId="69" fillId="0" borderId="18" xfId="50" applyNumberFormat="1" applyFont="1" applyFill="1" applyBorder="1" applyAlignment="1">
      <alignment horizontal="center"/>
    </xf>
    <xf numFmtId="0" fontId="69" fillId="0" borderId="18" xfId="50" applyFont="1" applyFill="1" applyBorder="1" applyAlignment="1">
      <alignment horizontal="center"/>
    </xf>
    <xf numFmtId="0" fontId="60" fillId="0" borderId="19" xfId="50" applyFont="1" applyFill="1" applyBorder="1"/>
    <xf numFmtId="0" fontId="57" fillId="0" borderId="0" xfId="50" applyFont="1"/>
    <xf numFmtId="0" fontId="56" fillId="0" borderId="0" xfId="50" applyFont="1" applyFill="1" applyBorder="1"/>
    <xf numFmtId="0" fontId="75" fillId="0" borderId="0" xfId="60" applyFont="1" applyAlignment="1">
      <alignment horizontal="center" vertical="center"/>
    </xf>
    <xf numFmtId="0" fontId="75" fillId="0" borderId="0" xfId="60" applyFont="1" applyAlignment="1">
      <alignment horizontal="left" vertical="center"/>
    </xf>
    <xf numFmtId="0" fontId="75" fillId="0" borderId="0" xfId="60" applyFont="1" applyAlignment="1">
      <alignment vertical="center"/>
    </xf>
    <xf numFmtId="0" fontId="76" fillId="0" borderId="0" xfId="60" applyFont="1" applyAlignment="1">
      <alignment vertical="center"/>
    </xf>
    <xf numFmtId="0" fontId="77" fillId="0" borderId="0" xfId="60" applyFont="1" applyBorder="1" applyAlignment="1">
      <alignment vertical="center"/>
    </xf>
    <xf numFmtId="0" fontId="75" fillId="0" borderId="0" xfId="60" applyFont="1" applyBorder="1" applyAlignment="1">
      <alignment vertical="center"/>
    </xf>
    <xf numFmtId="0" fontId="77" fillId="0" borderId="16" xfId="60" applyFont="1" applyBorder="1" applyAlignment="1">
      <alignment vertical="center"/>
    </xf>
    <xf numFmtId="0" fontId="75" fillId="0" borderId="16" xfId="60" applyFont="1" applyBorder="1" applyAlignment="1">
      <alignment vertical="center"/>
    </xf>
    <xf numFmtId="16" fontId="75" fillId="13" borderId="4" xfId="60" applyNumberFormat="1" applyFont="1" applyFill="1" applyBorder="1" applyAlignment="1">
      <alignment vertical="center"/>
    </xf>
    <xf numFmtId="3" fontId="75" fillId="13" borderId="4" xfId="60" applyNumberFormat="1" applyFont="1" applyFill="1" applyBorder="1" applyAlignment="1">
      <alignment horizontal="center" vertical="center"/>
    </xf>
    <xf numFmtId="0" fontId="75" fillId="13" borderId="4" xfId="60" applyFont="1" applyFill="1" applyBorder="1" applyAlignment="1">
      <alignment vertical="center"/>
    </xf>
    <xf numFmtId="0" fontId="75" fillId="13" borderId="4" xfId="60" applyFont="1" applyFill="1" applyBorder="1" applyAlignment="1">
      <alignment horizontal="center" vertical="center"/>
    </xf>
    <xf numFmtId="0" fontId="75" fillId="0" borderId="4" xfId="60" applyFont="1" applyBorder="1" applyAlignment="1">
      <alignment vertical="center"/>
    </xf>
    <xf numFmtId="0" fontId="75" fillId="0" borderId="117" xfId="60" applyFont="1" applyBorder="1" applyAlignment="1">
      <alignment vertical="center"/>
    </xf>
    <xf numFmtId="0" fontId="75" fillId="0" borderId="99" xfId="60" applyFont="1" applyBorder="1" applyAlignment="1">
      <alignment vertical="center"/>
    </xf>
    <xf numFmtId="0" fontId="78" fillId="0" borderId="99" xfId="60" applyFont="1" applyFill="1" applyBorder="1" applyAlignment="1">
      <alignment vertical="center"/>
    </xf>
    <xf numFmtId="0" fontId="75" fillId="0" borderId="99" xfId="60" applyFont="1" applyFill="1" applyBorder="1" applyAlignment="1">
      <alignment vertical="center"/>
    </xf>
    <xf numFmtId="0" fontId="75" fillId="0" borderId="99" xfId="60" applyFont="1" applyBorder="1" applyAlignment="1">
      <alignment horizontal="center" vertical="center"/>
    </xf>
    <xf numFmtId="0" fontId="75" fillId="0" borderId="118" xfId="60" applyFont="1" applyBorder="1" applyAlignment="1">
      <alignment vertical="center"/>
    </xf>
    <xf numFmtId="0" fontId="75" fillId="0" borderId="93" xfId="60" applyFont="1" applyBorder="1" applyAlignment="1">
      <alignment vertical="center"/>
    </xf>
    <xf numFmtId="0" fontId="75" fillId="0" borderId="93" xfId="60" applyFont="1" applyBorder="1" applyAlignment="1">
      <alignment horizontal="center" vertical="center"/>
    </xf>
    <xf numFmtId="0" fontId="75" fillId="0" borderId="119" xfId="60" applyFont="1" applyBorder="1" applyAlignment="1">
      <alignment vertical="center"/>
    </xf>
    <xf numFmtId="0" fontId="75" fillId="0" borderId="0" xfId="60" applyFont="1" applyAlignment="1">
      <alignment horizontal="left" vertical="center" wrapText="1"/>
    </xf>
    <xf numFmtId="0" fontId="41" fillId="0" borderId="93" xfId="0" quotePrefix="1" applyFont="1" applyBorder="1" applyAlignment="1">
      <alignment horizontal="center" vertical="center"/>
    </xf>
    <xf numFmtId="0" fontId="34" fillId="2" borderId="70" xfId="0" applyFont="1" applyFill="1" applyBorder="1" applyAlignment="1">
      <alignment vertical="center"/>
    </xf>
    <xf numFmtId="0" fontId="34" fillId="9" borderId="0" xfId="0" applyFont="1" applyFill="1" applyBorder="1" applyAlignment="1">
      <alignment vertical="center"/>
    </xf>
    <xf numFmtId="0" fontId="33" fillId="9" borderId="4" xfId="54" applyFont="1" applyFill="1" applyBorder="1" applyAlignment="1">
      <alignment horizontal="center" vertical="center" wrapText="1"/>
    </xf>
    <xf numFmtId="0" fontId="33" fillId="9" borderId="4" xfId="62" applyFont="1" applyFill="1" applyBorder="1" applyAlignment="1">
      <alignment horizontal="center" vertical="center" wrapText="1"/>
    </xf>
    <xf numFmtId="0" fontId="33" fillId="9" borderId="87" xfId="62" applyFont="1" applyFill="1" applyBorder="1" applyAlignment="1">
      <alignment horizontal="center" vertical="center"/>
    </xf>
    <xf numFmtId="0" fontId="33" fillId="9" borderId="4" xfId="62" applyFont="1" applyFill="1" applyBorder="1" applyAlignment="1">
      <alignment horizontal="center" vertical="center"/>
    </xf>
    <xf numFmtId="0" fontId="33" fillId="9" borderId="88" xfId="62" applyFont="1" applyFill="1" applyBorder="1" applyAlignment="1">
      <alignment horizontal="center" vertical="center"/>
    </xf>
    <xf numFmtId="0" fontId="55" fillId="9" borderId="88" xfId="3" applyFont="1" applyFill="1" applyBorder="1" applyAlignment="1">
      <alignment horizontal="center" vertical="center" wrapText="1"/>
    </xf>
    <xf numFmtId="0" fontId="41" fillId="0" borderId="99" xfId="0" applyFont="1" applyBorder="1" applyAlignment="1">
      <alignment horizontal="center" vertical="center" wrapText="1"/>
    </xf>
    <xf numFmtId="0" fontId="41" fillId="0" borderId="6" xfId="0" applyFont="1" applyBorder="1" applyAlignment="1">
      <alignment horizontal="center" vertical="center"/>
    </xf>
    <xf numFmtId="0" fontId="41" fillId="0" borderId="5" xfId="0" applyFont="1" applyBorder="1" applyAlignment="1">
      <alignment horizontal="center" vertical="center"/>
    </xf>
    <xf numFmtId="0" fontId="79" fillId="0" borderId="6" xfId="0" applyFont="1" applyBorder="1" applyAlignment="1">
      <alignment horizontal="center" vertical="center"/>
    </xf>
    <xf numFmtId="0" fontId="47" fillId="0" borderId="5" xfId="0" applyFont="1" applyBorder="1" applyAlignment="1">
      <alignment horizontal="center" vertical="center"/>
    </xf>
    <xf numFmtId="0" fontId="41" fillId="0" borderId="10" xfId="0" applyFont="1" applyBorder="1" applyAlignment="1">
      <alignment horizontal="center" vertical="center"/>
    </xf>
    <xf numFmtId="0" fontId="41" fillId="0" borderId="11" xfId="0" applyFont="1" applyBorder="1" applyAlignment="1">
      <alignment horizontal="center" vertical="center"/>
    </xf>
    <xf numFmtId="0" fontId="41" fillId="0" borderId="15" xfId="0" applyFont="1" applyBorder="1" applyAlignment="1">
      <alignment horizontal="center" vertical="center"/>
    </xf>
    <xf numFmtId="0" fontId="41" fillId="0" borderId="30" xfId="0" applyFont="1" applyBorder="1" applyAlignment="1">
      <alignment horizontal="center" vertical="center"/>
    </xf>
    <xf numFmtId="0" fontId="41" fillId="0" borderId="93" xfId="0" applyFont="1" applyBorder="1" applyAlignment="1">
      <alignment horizontal="center" vertical="center"/>
    </xf>
    <xf numFmtId="14" fontId="41" fillId="0" borderId="93" xfId="0" applyNumberFormat="1" applyFont="1" applyBorder="1" applyAlignment="1">
      <alignment horizontal="center" vertical="center"/>
    </xf>
    <xf numFmtId="0" fontId="41" fillId="0" borderId="120" xfId="0" applyFont="1" applyBorder="1" applyAlignment="1">
      <alignment horizontal="center" vertical="center"/>
    </xf>
    <xf numFmtId="0" fontId="41" fillId="0" borderId="99" xfId="0" applyFont="1" applyBorder="1" applyAlignment="1">
      <alignment horizontal="center" vertical="center" wrapText="1"/>
    </xf>
    <xf numFmtId="0" fontId="41" fillId="0" borderId="99" xfId="0" applyFont="1" applyBorder="1" applyAlignment="1">
      <alignment horizontal="center" vertical="center"/>
    </xf>
    <xf numFmtId="0" fontId="48" fillId="0" borderId="4" xfId="0" applyFont="1" applyBorder="1" applyAlignment="1">
      <alignment horizontal="center" vertical="center"/>
    </xf>
    <xf numFmtId="0" fontId="45" fillId="0" borderId="4" xfId="0" applyFont="1" applyBorder="1" applyAlignment="1">
      <alignment horizontal="center" vertical="center"/>
    </xf>
    <xf numFmtId="0" fontId="45" fillId="0" borderId="31" xfId="0" applyFont="1" applyBorder="1" applyAlignment="1">
      <alignment horizontal="center" vertical="center"/>
    </xf>
    <xf numFmtId="0" fontId="41" fillId="0" borderId="16" xfId="0" applyFont="1" applyBorder="1" applyAlignment="1">
      <alignment horizontal="center" vertical="center"/>
    </xf>
    <xf numFmtId="0" fontId="47" fillId="0" borderId="0" xfId="0" applyFont="1" applyBorder="1" applyAlignment="1">
      <alignment horizontal="left" vertical="center"/>
    </xf>
    <xf numFmtId="0" fontId="41" fillId="0" borderId="4" xfId="0" applyFont="1" applyBorder="1" applyAlignment="1">
      <alignment horizontal="center" vertical="center"/>
    </xf>
    <xf numFmtId="0" fontId="42" fillId="0" borderId="4" xfId="0" applyFont="1" applyBorder="1" applyAlignment="1">
      <alignment horizontal="center" vertical="center"/>
    </xf>
    <xf numFmtId="0" fontId="44" fillId="0" borderId="6" xfId="0" applyFont="1" applyBorder="1" applyAlignment="1">
      <alignment horizontal="left" vertical="center" wrapText="1"/>
    </xf>
    <xf numFmtId="0" fontId="44" fillId="0" borderId="5" xfId="0" applyFont="1" applyBorder="1" applyAlignment="1">
      <alignment horizontal="left" vertical="center"/>
    </xf>
    <xf numFmtId="14" fontId="41" fillId="0" borderId="6" xfId="0" applyNumberFormat="1" applyFont="1" applyBorder="1" applyAlignment="1">
      <alignment horizontal="center" vertical="center"/>
    </xf>
    <xf numFmtId="179" fontId="41" fillId="0" borderId="6" xfId="0" quotePrefix="1" applyNumberFormat="1" applyFont="1" applyBorder="1" applyAlignment="1">
      <alignment horizontal="center" vertical="center"/>
    </xf>
    <xf numFmtId="0" fontId="29" fillId="0" borderId="0" xfId="4" applyFont="1" applyFill="1" applyBorder="1" applyAlignment="1">
      <alignment horizontal="center" vertical="center"/>
    </xf>
    <xf numFmtId="0" fontId="29" fillId="0" borderId="9" xfId="4" applyFont="1" applyFill="1" applyBorder="1" applyAlignment="1">
      <alignment horizontal="center" vertical="center"/>
    </xf>
    <xf numFmtId="0" fontId="26" fillId="2" borderId="105" xfId="4" applyFont="1" applyFill="1" applyBorder="1" applyAlignment="1">
      <alignment horizontal="center" vertical="center"/>
    </xf>
    <xf numFmtId="0" fontId="26" fillId="2" borderId="65" xfId="4" applyFont="1" applyFill="1" applyBorder="1" applyAlignment="1">
      <alignment horizontal="center" vertical="center"/>
    </xf>
    <xf numFmtId="0" fontId="26" fillId="2" borderId="66" xfId="4" applyFont="1" applyFill="1" applyBorder="1" applyAlignment="1">
      <alignment horizontal="center" vertical="center"/>
    </xf>
    <xf numFmtId="0" fontId="26" fillId="2" borderId="51" xfId="4" applyFont="1" applyFill="1" applyBorder="1" applyAlignment="1">
      <alignment horizontal="center" vertical="center"/>
    </xf>
    <xf numFmtId="0" fontId="26" fillId="2" borderId="16" xfId="4" applyFont="1" applyFill="1" applyBorder="1" applyAlignment="1">
      <alignment horizontal="center" vertical="center"/>
    </xf>
    <xf numFmtId="0" fontId="26" fillId="2" borderId="30" xfId="4" applyFont="1" applyFill="1" applyBorder="1" applyAlignment="1">
      <alignment horizontal="center" vertical="center"/>
    </xf>
    <xf numFmtId="0" fontId="35" fillId="2" borderId="67" xfId="4" applyFont="1" applyFill="1" applyBorder="1" applyAlignment="1">
      <alignment horizontal="center" vertical="center" wrapText="1"/>
    </xf>
    <xf numFmtId="0" fontId="35" fillId="2" borderId="65" xfId="4" applyFont="1" applyFill="1" applyBorder="1" applyAlignment="1">
      <alignment horizontal="center" vertical="center"/>
    </xf>
    <xf numFmtId="0" fontId="35" fillId="2" borderId="66" xfId="4" applyFont="1" applyFill="1" applyBorder="1" applyAlignment="1">
      <alignment horizontal="center" vertical="center"/>
    </xf>
    <xf numFmtId="0" fontId="35" fillId="2" borderId="15" xfId="4" applyFont="1" applyFill="1" applyBorder="1" applyAlignment="1">
      <alignment horizontal="center" vertical="center"/>
    </xf>
    <xf numFmtId="0" fontId="35" fillId="2" borderId="16" xfId="4" applyFont="1" applyFill="1" applyBorder="1" applyAlignment="1">
      <alignment horizontal="center" vertical="center"/>
    </xf>
    <xf numFmtId="0" fontId="35" fillId="2" borderId="30" xfId="4" applyFont="1" applyFill="1" applyBorder="1" applyAlignment="1">
      <alignment horizontal="center" vertical="center"/>
    </xf>
    <xf numFmtId="0" fontId="39" fillId="9" borderId="36" xfId="52" applyFont="1" applyFill="1" applyBorder="1" applyAlignment="1">
      <alignment horizontal="center" vertical="center" wrapText="1"/>
    </xf>
    <xf numFmtId="0" fontId="39" fillId="9" borderId="37" xfId="52" applyFont="1" applyFill="1" applyBorder="1" applyAlignment="1">
      <alignment horizontal="center" vertical="center"/>
    </xf>
    <xf numFmtId="0" fontId="39" fillId="9" borderId="50" xfId="52" applyFont="1" applyFill="1" applyBorder="1" applyAlignment="1">
      <alignment horizontal="center" vertical="center"/>
    </xf>
    <xf numFmtId="0" fontId="25" fillId="9" borderId="6" xfId="4" quotePrefix="1" applyFont="1" applyFill="1" applyBorder="1" applyAlignment="1">
      <alignment horizontal="center" vertical="center"/>
    </xf>
    <xf numFmtId="0" fontId="25" fillId="9" borderId="2" xfId="4" applyFont="1" applyFill="1" applyBorder="1" applyAlignment="1">
      <alignment horizontal="center" vertical="center"/>
    </xf>
    <xf numFmtId="0" fontId="25" fillId="9" borderId="44" xfId="4" applyFont="1" applyFill="1" applyBorder="1" applyAlignment="1">
      <alignment horizontal="center" vertical="center"/>
    </xf>
    <xf numFmtId="0" fontId="39" fillId="8" borderId="60" xfId="4" applyFont="1" applyFill="1" applyBorder="1" applyAlignment="1">
      <alignment horizontal="center" vertical="center" wrapText="1"/>
    </xf>
    <xf numFmtId="0" fontId="39" fillId="8" borderId="49" xfId="4" applyFont="1" applyFill="1" applyBorder="1" applyAlignment="1">
      <alignment horizontal="center" vertical="center" wrapText="1"/>
    </xf>
    <xf numFmtId="0" fontId="38" fillId="9" borderId="36" xfId="52" applyFont="1" applyFill="1" applyBorder="1" applyAlignment="1">
      <alignment horizontal="left" vertical="center" wrapText="1"/>
    </xf>
    <xf numFmtId="0" fontId="25" fillId="9" borderId="37" xfId="52" applyFont="1" applyFill="1" applyBorder="1" applyAlignment="1">
      <alignment horizontal="left" vertical="center" wrapText="1"/>
    </xf>
    <xf numFmtId="0" fontId="25" fillId="9" borderId="50" xfId="52" applyFont="1" applyFill="1" applyBorder="1" applyAlignment="1">
      <alignment horizontal="left" vertical="center" wrapText="1"/>
    </xf>
    <xf numFmtId="0" fontId="28" fillId="8" borderId="60" xfId="4" applyFont="1" applyFill="1" applyBorder="1" applyAlignment="1">
      <alignment horizontal="center" vertical="center" wrapText="1"/>
    </xf>
    <xf numFmtId="0" fontId="28" fillId="8" borderId="37" xfId="4" applyFont="1" applyFill="1" applyBorder="1" applyAlignment="1">
      <alignment horizontal="center" vertical="center" wrapText="1"/>
    </xf>
    <xf numFmtId="0" fontId="31" fillId="8" borderId="37" xfId="4" applyFont="1" applyFill="1" applyBorder="1" applyAlignment="1">
      <alignment horizontal="center"/>
    </xf>
    <xf numFmtId="0" fontId="27" fillId="8" borderId="37" xfId="4" applyFont="1" applyFill="1" applyBorder="1" applyAlignment="1">
      <alignment horizontal="center"/>
    </xf>
    <xf numFmtId="0" fontId="34" fillId="8" borderId="50" xfId="4" applyFont="1" applyFill="1" applyBorder="1" applyAlignment="1">
      <alignment horizontal="center" vertical="center" wrapText="1"/>
    </xf>
    <xf numFmtId="0" fontId="39" fillId="8" borderId="63" xfId="4" applyFont="1" applyFill="1" applyBorder="1" applyAlignment="1">
      <alignment horizontal="center" vertical="center" wrapText="1"/>
    </xf>
    <xf numFmtId="0" fontId="39" fillId="8" borderId="5" xfId="4" applyFont="1" applyFill="1" applyBorder="1" applyAlignment="1">
      <alignment horizontal="center" vertical="center" wrapText="1"/>
    </xf>
    <xf numFmtId="0" fontId="38" fillId="9" borderId="6" xfId="52" applyFont="1" applyFill="1" applyBorder="1" applyAlignment="1">
      <alignment horizontal="left" vertical="center" wrapText="1"/>
    </xf>
    <xf numFmtId="0" fontId="25" fillId="9" borderId="2" xfId="52" applyFont="1" applyFill="1" applyBorder="1" applyAlignment="1">
      <alignment horizontal="left" vertical="center" wrapText="1"/>
    </xf>
    <xf numFmtId="0" fontId="25" fillId="9" borderId="44" xfId="52" applyFont="1" applyFill="1" applyBorder="1" applyAlignment="1">
      <alignment horizontal="left" vertical="center" wrapText="1"/>
    </xf>
    <xf numFmtId="0" fontId="28" fillId="0" borderId="7" xfId="4" applyFont="1" applyFill="1" applyBorder="1" applyAlignment="1">
      <alignment horizontal="center" vertical="center" wrapText="1"/>
    </xf>
    <xf numFmtId="0" fontId="28" fillId="0" borderId="0" xfId="4" applyFont="1" applyFill="1" applyBorder="1" applyAlignment="1">
      <alignment horizontal="center" vertical="center" wrapText="1"/>
    </xf>
    <xf numFmtId="0" fontId="25" fillId="8" borderId="43" xfId="4" applyFont="1" applyFill="1" applyBorder="1" applyAlignment="1">
      <alignment horizontal="center" vertical="center" wrapText="1"/>
    </xf>
    <xf numFmtId="0" fontId="25" fillId="8" borderId="11" xfId="4" applyFont="1" applyFill="1" applyBorder="1" applyAlignment="1">
      <alignment horizontal="center" vertical="center" wrapText="1"/>
    </xf>
    <xf numFmtId="0" fontId="25" fillId="8" borderId="7" xfId="4" applyFont="1" applyFill="1" applyBorder="1" applyAlignment="1">
      <alignment horizontal="center" vertical="center" wrapText="1"/>
    </xf>
    <xf numFmtId="0" fontId="25" fillId="8" borderId="13" xfId="4" applyFont="1" applyFill="1" applyBorder="1" applyAlignment="1">
      <alignment horizontal="center" vertical="center" wrapText="1"/>
    </xf>
    <xf numFmtId="0" fontId="25" fillId="8" borderId="51" xfId="4" applyFont="1" applyFill="1" applyBorder="1" applyAlignment="1">
      <alignment horizontal="center" vertical="center" wrapText="1"/>
    </xf>
    <xf numFmtId="0" fontId="25" fillId="8" borderId="30" xfId="4" applyFont="1" applyFill="1" applyBorder="1" applyAlignment="1">
      <alignment horizontal="center" vertical="center" wrapText="1"/>
    </xf>
    <xf numFmtId="0" fontId="54" fillId="0" borderId="10" xfId="4" applyFont="1" applyBorder="1" applyAlignment="1">
      <alignment horizontal="left" vertical="center" wrapText="1"/>
    </xf>
    <xf numFmtId="0" fontId="54" fillId="0" borderId="8" xfId="4" applyFont="1" applyBorder="1" applyAlignment="1">
      <alignment horizontal="left" vertical="center" wrapText="1"/>
    </xf>
    <xf numFmtId="0" fontId="54" fillId="0" borderId="41" xfId="4" applyFont="1" applyBorder="1" applyAlignment="1">
      <alignment horizontal="left" vertical="center" wrapText="1"/>
    </xf>
    <xf numFmtId="0" fontId="54" fillId="0" borderId="12" xfId="4" applyFont="1" applyBorder="1" applyAlignment="1">
      <alignment horizontal="left" vertical="center" wrapText="1"/>
    </xf>
    <xf numFmtId="0" fontId="54" fillId="0" borderId="0" xfId="4" applyFont="1" applyBorder="1" applyAlignment="1">
      <alignment horizontal="left" vertical="center" wrapText="1"/>
    </xf>
    <xf numFmtId="0" fontId="54" fillId="0" borderId="9" xfId="4" applyFont="1" applyBorder="1" applyAlignment="1">
      <alignment horizontal="left" vertical="center" wrapText="1"/>
    </xf>
    <xf numFmtId="0" fontId="54" fillId="0" borderId="15" xfId="4" applyFont="1" applyBorder="1" applyAlignment="1">
      <alignment horizontal="left" vertical="center" wrapText="1"/>
    </xf>
    <xf numFmtId="0" fontId="54" fillId="0" borderId="16" xfId="4" applyFont="1" applyBorder="1" applyAlignment="1">
      <alignment horizontal="left" vertical="center" wrapText="1"/>
    </xf>
    <xf numFmtId="0" fontId="54" fillId="0" borderId="62" xfId="4" applyFont="1" applyBorder="1" applyAlignment="1">
      <alignment horizontal="left" vertical="center" wrapText="1"/>
    </xf>
    <xf numFmtId="0" fontId="40" fillId="8" borderId="40" xfId="4" applyFont="1" applyFill="1" applyBorder="1" applyAlignment="1">
      <alignment horizontal="center" vertical="center" wrapText="1"/>
    </xf>
    <xf numFmtId="0" fontId="25" fillId="8" borderId="39" xfId="4" applyFont="1" applyFill="1" applyBorder="1" applyAlignment="1">
      <alignment horizontal="center" vertical="center" wrapText="1"/>
    </xf>
    <xf numFmtId="0" fontId="40" fillId="9" borderId="38" xfId="4" applyFont="1" applyFill="1" applyBorder="1" applyAlignment="1">
      <alignment horizontal="left" vertical="center" wrapText="1"/>
    </xf>
    <xf numFmtId="0" fontId="25" fillId="9" borderId="45" xfId="4" applyFont="1" applyFill="1" applyBorder="1" applyAlignment="1">
      <alignment horizontal="left" vertical="center" wrapText="1"/>
    </xf>
    <xf numFmtId="0" fontId="25" fillId="9" borderId="46" xfId="4" applyFont="1" applyFill="1" applyBorder="1" applyAlignment="1">
      <alignment horizontal="left" vertical="center" wrapText="1"/>
    </xf>
    <xf numFmtId="0" fontId="25" fillId="8" borderId="42" xfId="4" applyFont="1" applyFill="1" applyBorder="1" applyAlignment="1">
      <alignment horizontal="center" vertical="center" wrapText="1"/>
    </xf>
    <xf numFmtId="0" fontId="25" fillId="8" borderId="20" xfId="4" applyFont="1" applyFill="1" applyBorder="1" applyAlignment="1">
      <alignment horizontal="center" vertical="center" wrapText="1"/>
    </xf>
    <xf numFmtId="0" fontId="25" fillId="8" borderId="94" xfId="4" applyFont="1" applyFill="1" applyBorder="1" applyAlignment="1">
      <alignment horizontal="center" vertical="center" wrapText="1"/>
    </xf>
    <xf numFmtId="0" fontId="25" fillId="9" borderId="42" xfId="4" applyFont="1" applyFill="1" applyBorder="1" applyAlignment="1">
      <alignment horizontal="center" vertical="center" wrapText="1"/>
    </xf>
    <xf numFmtId="0" fontId="25" fillId="9" borderId="7" xfId="4" applyFont="1" applyFill="1" applyBorder="1" applyAlignment="1">
      <alignment horizontal="center" vertical="center" wrapText="1"/>
    </xf>
    <xf numFmtId="0" fontId="25" fillId="9" borderId="20" xfId="4" applyFont="1" applyFill="1" applyBorder="1" applyAlignment="1">
      <alignment horizontal="center" vertical="center" wrapText="1"/>
    </xf>
    <xf numFmtId="0" fontId="25" fillId="9" borderId="0" xfId="4" applyFont="1" applyFill="1" applyBorder="1" applyAlignment="1">
      <alignment horizontal="center" vertical="center" wrapText="1"/>
    </xf>
    <xf numFmtId="0" fontId="25" fillId="9" borderId="94" xfId="4" applyFont="1" applyFill="1" applyBorder="1" applyAlignment="1">
      <alignment horizontal="center" vertical="center" wrapText="1"/>
    </xf>
    <xf numFmtId="0" fontId="25" fillId="9" borderId="9" xfId="4" applyFont="1" applyFill="1" applyBorder="1" applyAlignment="1">
      <alignment horizontal="center" vertical="center" wrapText="1"/>
    </xf>
    <xf numFmtId="0" fontId="25" fillId="0" borderId="7" xfId="4" applyFont="1" applyBorder="1" applyAlignment="1">
      <alignment horizontal="center" vertical="center"/>
    </xf>
    <xf numFmtId="0" fontId="25" fillId="0" borderId="0" xfId="4" applyFont="1" applyBorder="1" applyAlignment="1">
      <alignment horizontal="center" vertical="center"/>
    </xf>
    <xf numFmtId="14" fontId="25" fillId="0" borderId="0" xfId="4" applyNumberFormat="1" applyFont="1" applyBorder="1" applyAlignment="1">
      <alignment horizontal="left" vertical="center" indent="1"/>
    </xf>
    <xf numFmtId="14" fontId="25" fillId="0" borderId="9" xfId="4" applyNumberFormat="1" applyFont="1" applyBorder="1" applyAlignment="1">
      <alignment horizontal="left" vertical="center" indent="1"/>
    </xf>
    <xf numFmtId="14" fontId="25" fillId="0" borderId="0" xfId="4" applyNumberFormat="1" applyFont="1" applyBorder="1" applyAlignment="1">
      <alignment horizontal="center" vertical="center"/>
    </xf>
    <xf numFmtId="14" fontId="25" fillId="0" borderId="9" xfId="4" applyNumberFormat="1" applyFont="1" applyBorder="1" applyAlignment="1">
      <alignment horizontal="center" vertical="center"/>
    </xf>
    <xf numFmtId="14" fontId="30" fillId="0" borderId="0" xfId="4" applyNumberFormat="1" applyFont="1" applyBorder="1" applyAlignment="1">
      <alignment horizontal="center" vertical="center"/>
    </xf>
    <xf numFmtId="14" fontId="30" fillId="0" borderId="9" xfId="4" applyNumberFormat="1" applyFont="1" applyBorder="1" applyAlignment="1">
      <alignment horizontal="center" vertical="center"/>
    </xf>
    <xf numFmtId="0" fontId="30" fillId="0" borderId="7" xfId="4" applyFont="1" applyBorder="1" applyAlignment="1">
      <alignment horizontal="center" vertical="center"/>
    </xf>
    <xf numFmtId="0" fontId="30" fillId="0" borderId="0" xfId="4" applyFont="1" applyBorder="1" applyAlignment="1">
      <alignment horizontal="center" vertical="center"/>
    </xf>
    <xf numFmtId="14" fontId="30" fillId="0" borderId="0" xfId="4" applyNumberFormat="1" applyFont="1" applyBorder="1" applyAlignment="1">
      <alignment horizontal="left" vertical="center" indent="1"/>
    </xf>
    <xf numFmtId="14" fontId="30" fillId="0" borderId="9" xfId="4" applyNumberFormat="1" applyFont="1" applyBorder="1" applyAlignment="1">
      <alignment horizontal="left" vertical="center" indent="1"/>
    </xf>
    <xf numFmtId="0" fontId="29" fillId="0" borderId="0" xfId="4" applyFont="1" applyBorder="1" applyAlignment="1">
      <alignment horizontal="center" vertical="center"/>
    </xf>
    <xf numFmtId="0" fontId="29" fillId="0" borderId="9" xfId="4" applyFont="1" applyBorder="1" applyAlignment="1">
      <alignment horizontal="center" vertical="center"/>
    </xf>
    <xf numFmtId="0" fontId="29" fillId="0" borderId="18" xfId="4" applyFont="1" applyBorder="1" applyAlignment="1">
      <alignment horizontal="center" vertical="center"/>
    </xf>
    <xf numFmtId="0" fontId="29" fillId="0" borderId="18" xfId="4" applyFont="1" applyBorder="1" applyAlignment="1">
      <alignment horizontal="center" vertical="center" wrapText="1"/>
    </xf>
    <xf numFmtId="0" fontId="27" fillId="0" borderId="0" xfId="4" applyFont="1" applyBorder="1" applyAlignment="1">
      <alignment horizontal="right"/>
    </xf>
    <xf numFmtId="0" fontId="30" fillId="0" borderId="17" xfId="4" applyFont="1" applyBorder="1" applyAlignment="1">
      <alignment horizontal="center" vertical="center"/>
    </xf>
    <xf numFmtId="0" fontId="30" fillId="0" borderId="18" xfId="4" applyFont="1" applyBorder="1" applyAlignment="1">
      <alignment horizontal="center" vertical="center"/>
    </xf>
    <xf numFmtId="14" fontId="30" fillId="0" borderId="18" xfId="4" applyNumberFormat="1" applyFont="1" applyBorder="1" applyAlignment="1">
      <alignment horizontal="center" vertical="center"/>
    </xf>
    <xf numFmtId="14" fontId="30" fillId="0" borderId="19" xfId="4" applyNumberFormat="1" applyFont="1" applyBorder="1" applyAlignment="1">
      <alignment horizontal="center" vertical="center"/>
    </xf>
    <xf numFmtId="0" fontId="29" fillId="0" borderId="19" xfId="4" applyFont="1" applyBorder="1" applyAlignment="1">
      <alignment horizontal="center" vertical="center"/>
    </xf>
    <xf numFmtId="0" fontId="28" fillId="7" borderId="39" xfId="0" applyFont="1" applyFill="1" applyBorder="1" applyAlignment="1">
      <alignment horizontal="center" vertical="center" wrapText="1"/>
    </xf>
    <xf numFmtId="0" fontId="28" fillId="7" borderId="39" xfId="0" applyFont="1" applyFill="1" applyBorder="1" applyAlignment="1">
      <alignment horizontal="center" vertical="center"/>
    </xf>
    <xf numFmtId="0" fontId="28" fillId="7" borderId="31" xfId="0" applyFont="1" applyFill="1" applyBorder="1" applyAlignment="1">
      <alignment horizontal="center" vertical="center" wrapText="1"/>
    </xf>
    <xf numFmtId="0" fontId="28" fillId="7" borderId="55" xfId="0" applyFont="1" applyFill="1" applyBorder="1" applyAlignment="1">
      <alignment horizontal="center" vertical="center" wrapText="1"/>
    </xf>
    <xf numFmtId="0" fontId="28" fillId="7" borderId="11" xfId="0" applyFont="1" applyFill="1" applyBorder="1" applyAlignment="1">
      <alignment horizontal="center" vertical="center" wrapText="1"/>
    </xf>
    <xf numFmtId="0" fontId="28" fillId="7" borderId="22" xfId="0" applyFont="1" applyFill="1" applyBorder="1" applyAlignment="1">
      <alignment horizontal="center" vertical="center" wrapText="1"/>
    </xf>
    <xf numFmtId="0" fontId="28" fillId="7" borderId="4" xfId="0" applyFont="1" applyFill="1" applyBorder="1" applyAlignment="1">
      <alignment horizontal="center" vertical="center" wrapText="1"/>
    </xf>
    <xf numFmtId="0" fontId="28" fillId="7" borderId="4" xfId="0" applyFont="1" applyFill="1" applyBorder="1" applyAlignment="1">
      <alignment horizontal="center" vertical="center"/>
    </xf>
    <xf numFmtId="0" fontId="28" fillId="7" borderId="53" xfId="0" applyFont="1" applyFill="1" applyBorder="1" applyAlignment="1">
      <alignment horizontal="center" vertical="center" wrapText="1"/>
    </xf>
    <xf numFmtId="0" fontId="28" fillId="7" borderId="81" xfId="0" applyFont="1" applyFill="1" applyBorder="1" applyAlignment="1">
      <alignment horizontal="center" vertical="center" wrapText="1"/>
    </xf>
    <xf numFmtId="0" fontId="35" fillId="0" borderId="52" xfId="0" applyFont="1" applyBorder="1" applyAlignment="1">
      <alignment horizontal="center" vertical="center" wrapText="1"/>
    </xf>
    <xf numFmtId="0" fontId="35" fillId="0" borderId="20" xfId="0" applyFont="1" applyBorder="1" applyAlignment="1">
      <alignment horizontal="center" vertical="center" wrapText="1"/>
    </xf>
    <xf numFmtId="0" fontId="35" fillId="0" borderId="21" xfId="0" applyFont="1" applyBorder="1" applyAlignment="1">
      <alignment horizontal="center" vertical="center" wrapText="1"/>
    </xf>
    <xf numFmtId="0" fontId="35" fillId="0" borderId="54" xfId="0" applyFont="1" applyBorder="1" applyAlignment="1">
      <alignment horizontal="center" vertical="center" wrapText="1"/>
    </xf>
    <xf numFmtId="0" fontId="35" fillId="0" borderId="18" xfId="0" applyFont="1" applyBorder="1" applyAlignment="1">
      <alignment horizontal="center" vertical="center" wrapText="1"/>
    </xf>
    <xf numFmtId="0" fontId="35" fillId="0" borderId="22" xfId="0" applyFont="1" applyBorder="1" applyAlignment="1">
      <alignment horizontal="center" vertical="center" wrapText="1"/>
    </xf>
    <xf numFmtId="0" fontId="25" fillId="0" borderId="26" xfId="0" applyFont="1" applyBorder="1" applyAlignment="1">
      <alignment horizontal="center" vertical="center" wrapText="1"/>
    </xf>
    <xf numFmtId="0" fontId="28" fillId="6" borderId="32" xfId="0" applyFont="1" applyFill="1" applyBorder="1" applyAlignment="1">
      <alignment horizontal="center" vertical="center" wrapText="1"/>
    </xf>
    <xf numFmtId="0" fontId="28" fillId="6" borderId="33" xfId="0" applyFont="1" applyFill="1" applyBorder="1" applyAlignment="1">
      <alignment horizontal="center" vertical="center" wrapText="1"/>
    </xf>
    <xf numFmtId="0" fontId="37" fillId="0" borderId="25" xfId="0" applyFont="1" applyFill="1" applyBorder="1" applyAlignment="1">
      <alignment horizontal="left" vertical="top" wrapText="1"/>
    </xf>
    <xf numFmtId="0" fontId="25" fillId="0" borderId="25" xfId="0" applyFont="1" applyBorder="1" applyAlignment="1">
      <alignment horizontal="center" vertical="center" wrapText="1"/>
    </xf>
    <xf numFmtId="0" fontId="37" fillId="0" borderId="25" xfId="0" applyFont="1" applyBorder="1" applyAlignment="1">
      <alignment horizontal="center" vertical="center" wrapText="1"/>
    </xf>
    <xf numFmtId="0" fontId="37" fillId="0" borderId="25" xfId="0" quotePrefix="1" applyFont="1" applyBorder="1" applyAlignment="1">
      <alignment horizontal="center" vertical="center" wrapText="1"/>
    </xf>
    <xf numFmtId="0" fontId="26" fillId="0" borderId="42" xfId="0" applyFont="1" applyBorder="1" applyAlignment="1">
      <alignment horizontal="center" vertical="center"/>
    </xf>
    <xf numFmtId="0" fontId="26" fillId="0" borderId="20" xfId="0" applyFont="1" applyBorder="1" applyAlignment="1">
      <alignment horizontal="center" vertical="center"/>
    </xf>
    <xf numFmtId="0" fontId="26" fillId="0" borderId="21" xfId="0" applyFont="1" applyBorder="1" applyAlignment="1">
      <alignment horizontal="center" vertical="center"/>
    </xf>
    <xf numFmtId="0" fontId="26" fillId="0" borderId="17" xfId="0" applyFont="1" applyBorder="1" applyAlignment="1">
      <alignment horizontal="center" vertical="center"/>
    </xf>
    <xf numFmtId="0" fontId="26" fillId="0" borderId="18" xfId="0" applyFont="1" applyBorder="1" applyAlignment="1">
      <alignment horizontal="center" vertical="center"/>
    </xf>
    <xf numFmtId="0" fontId="26" fillId="0" borderId="22" xfId="0" applyFont="1" applyBorder="1" applyAlignment="1">
      <alignment horizontal="center" vertical="center"/>
    </xf>
    <xf numFmtId="0" fontId="33" fillId="7" borderId="34" xfId="0" applyFont="1" applyFill="1" applyBorder="1" applyAlignment="1">
      <alignment horizontal="center" vertical="center" wrapText="1"/>
    </xf>
    <xf numFmtId="0" fontId="33" fillId="7" borderId="14" xfId="0" applyFont="1" applyFill="1" applyBorder="1" applyAlignment="1">
      <alignment horizontal="center" vertical="center"/>
    </xf>
    <xf numFmtId="0" fontId="33" fillId="7" borderId="35" xfId="0" applyFont="1" applyFill="1" applyBorder="1" applyAlignment="1">
      <alignment horizontal="center" vertical="center"/>
    </xf>
    <xf numFmtId="0" fontId="28" fillId="7" borderId="36" xfId="0" applyFont="1" applyFill="1" applyBorder="1" applyAlignment="1">
      <alignment horizontal="center" vertical="center"/>
    </xf>
    <xf numFmtId="0" fontId="28" fillId="7" borderId="37" xfId="0" applyFont="1" applyFill="1" applyBorder="1" applyAlignment="1">
      <alignment horizontal="center" vertical="center"/>
    </xf>
    <xf numFmtId="0" fontId="28" fillId="7" borderId="49" xfId="0" applyFont="1" applyFill="1" applyBorder="1" applyAlignment="1">
      <alignment horizontal="center" vertical="center"/>
    </xf>
    <xf numFmtId="0" fontId="28" fillId="7" borderId="36" xfId="0" applyFont="1" applyFill="1" applyBorder="1" applyAlignment="1">
      <alignment horizontal="center" vertical="center" wrapText="1"/>
    </xf>
    <xf numFmtId="0" fontId="28" fillId="7" borderId="37" xfId="0" applyFont="1" applyFill="1" applyBorder="1" applyAlignment="1">
      <alignment horizontal="center" vertical="center" wrapText="1"/>
    </xf>
    <xf numFmtId="0" fontId="28" fillId="7" borderId="50" xfId="0" applyFont="1" applyFill="1" applyBorder="1" applyAlignment="1">
      <alignment horizontal="center" vertical="center" wrapText="1"/>
    </xf>
    <xf numFmtId="0" fontId="58" fillId="2" borderId="70" xfId="0" applyFont="1" applyFill="1" applyBorder="1" applyAlignment="1">
      <alignment horizontal="left" vertical="center" wrapText="1"/>
    </xf>
    <xf numFmtId="0" fontId="58" fillId="2" borderId="0" xfId="0" applyFont="1" applyFill="1" applyBorder="1" applyAlignment="1">
      <alignment horizontal="left" vertical="center" wrapText="1"/>
    </xf>
    <xf numFmtId="0" fontId="58" fillId="2" borderId="9" xfId="0" applyFont="1" applyFill="1" applyBorder="1" applyAlignment="1">
      <alignment horizontal="left" vertical="center" wrapText="1"/>
    </xf>
    <xf numFmtId="0" fontId="34" fillId="2" borderId="0" xfId="7" applyFont="1" applyFill="1" applyBorder="1" applyAlignment="1">
      <alignment horizontal="left" vertical="top" wrapText="1"/>
    </xf>
    <xf numFmtId="0" fontId="35" fillId="2" borderId="67" xfId="7" applyFont="1" applyFill="1" applyBorder="1" applyAlignment="1">
      <alignment horizontal="center" vertical="center" wrapText="1"/>
    </xf>
    <xf numFmtId="0" fontId="35" fillId="2" borderId="65" xfId="7" applyFont="1" applyFill="1" applyBorder="1" applyAlignment="1">
      <alignment horizontal="center" vertical="center"/>
    </xf>
    <xf numFmtId="0" fontId="35" fillId="2" borderId="66" xfId="7" applyFont="1" applyFill="1" applyBorder="1" applyAlignment="1">
      <alignment horizontal="center" vertical="center"/>
    </xf>
    <xf numFmtId="0" fontId="35" fillId="2" borderId="54" xfId="7" applyFont="1" applyFill="1" applyBorder="1" applyAlignment="1">
      <alignment horizontal="center" vertical="center"/>
    </xf>
    <xf numFmtId="0" fontId="35" fillId="2" borderId="18" xfId="7" applyFont="1" applyFill="1" applyBorder="1" applyAlignment="1">
      <alignment horizontal="center" vertical="center"/>
    </xf>
    <xf numFmtId="0" fontId="35" fillId="2" borderId="22" xfId="7" applyFont="1" applyFill="1" applyBorder="1" applyAlignment="1">
      <alignment horizontal="center" vertical="center"/>
    </xf>
    <xf numFmtId="0" fontId="25" fillId="9" borderId="68" xfId="0" applyFont="1" applyFill="1" applyBorder="1" applyAlignment="1">
      <alignment horizontal="center" vertical="center" wrapText="1"/>
    </xf>
    <xf numFmtId="0" fontId="25" fillId="9" borderId="68" xfId="0" applyFont="1" applyFill="1" applyBorder="1" applyAlignment="1">
      <alignment horizontal="center" vertical="center"/>
    </xf>
    <xf numFmtId="0" fontId="25" fillId="9" borderId="68" xfId="7" quotePrefix="1" applyFont="1" applyFill="1" applyBorder="1" applyAlignment="1">
      <alignment horizontal="center" vertical="center"/>
    </xf>
    <xf numFmtId="0" fontId="25" fillId="9" borderId="68" xfId="7" applyFont="1" applyFill="1" applyBorder="1" applyAlignment="1">
      <alignment horizontal="center" vertical="center"/>
    </xf>
    <xf numFmtId="0" fontId="25" fillId="9" borderId="75" xfId="7" applyFont="1" applyFill="1" applyBorder="1" applyAlignment="1">
      <alignment horizontal="center" vertical="center"/>
    </xf>
    <xf numFmtId="0" fontId="25" fillId="9" borderId="39" xfId="0" applyFont="1" applyFill="1" applyBorder="1" applyAlignment="1">
      <alignment horizontal="center" vertical="center" wrapText="1"/>
    </xf>
    <xf numFmtId="0" fontId="25" fillId="9" borderId="39" xfId="0" applyFont="1" applyFill="1" applyBorder="1" applyAlignment="1">
      <alignment horizontal="center" vertical="center"/>
    </xf>
    <xf numFmtId="0" fontId="25" fillId="9" borderId="39" xfId="7" applyFont="1" applyFill="1" applyBorder="1" applyAlignment="1">
      <alignment horizontal="center" vertical="center"/>
    </xf>
    <xf numFmtId="164" fontId="25" fillId="9" borderId="39" xfId="7" quotePrefix="1" applyNumberFormat="1" applyFont="1" applyFill="1" applyBorder="1" applyAlignment="1">
      <alignment horizontal="center" vertical="center"/>
    </xf>
    <xf numFmtId="0" fontId="25" fillId="9" borderId="76" xfId="7" applyFont="1" applyFill="1" applyBorder="1" applyAlignment="1">
      <alignment horizontal="center" vertical="center"/>
    </xf>
    <xf numFmtId="0" fontId="52" fillId="9" borderId="29" xfId="0" applyFont="1" applyFill="1" applyBorder="1" applyAlignment="1">
      <alignment horizontal="left" vertical="center" wrapText="1"/>
    </xf>
    <xf numFmtId="0" fontId="52" fillId="9" borderId="4" xfId="0" applyFont="1" applyFill="1" applyBorder="1" applyAlignment="1">
      <alignment horizontal="left" vertical="center"/>
    </xf>
    <xf numFmtId="0" fontId="52" fillId="9" borderId="4" xfId="0" applyFont="1" applyFill="1" applyBorder="1" applyAlignment="1">
      <alignment horizontal="center" vertical="center"/>
    </xf>
    <xf numFmtId="0" fontId="52" fillId="9" borderId="6" xfId="0" applyFont="1" applyFill="1" applyBorder="1" applyAlignment="1">
      <alignment horizontal="center" vertical="center"/>
    </xf>
    <xf numFmtId="0" fontId="52" fillId="9" borderId="2" xfId="0" applyFont="1" applyFill="1" applyBorder="1" applyAlignment="1">
      <alignment horizontal="center" vertical="center"/>
    </xf>
    <xf numFmtId="0" fontId="52" fillId="9" borderId="44" xfId="0" applyFont="1" applyFill="1" applyBorder="1" applyAlignment="1">
      <alignment horizontal="center" vertical="center"/>
    </xf>
    <xf numFmtId="0" fontId="34" fillId="2" borderId="0" xfId="7" applyFont="1" applyFill="1" applyBorder="1" applyAlignment="1">
      <alignment horizontal="center" vertical="center"/>
    </xf>
    <xf numFmtId="0" fontId="34" fillId="2" borderId="0" xfId="7" applyFont="1" applyFill="1" applyBorder="1" applyAlignment="1">
      <alignment horizontal="left" vertical="center" wrapText="1"/>
    </xf>
    <xf numFmtId="0" fontId="36" fillId="2" borderId="70" xfId="7" applyFont="1" applyFill="1" applyBorder="1" applyAlignment="1">
      <alignment horizontal="left" vertical="center" wrapText="1"/>
    </xf>
    <xf numFmtId="0" fontId="36" fillId="2" borderId="0" xfId="7" applyFont="1" applyFill="1" applyBorder="1" applyAlignment="1">
      <alignment horizontal="left" vertical="center" wrapText="1"/>
    </xf>
    <xf numFmtId="0" fontId="36" fillId="2" borderId="9" xfId="7" applyFont="1" applyFill="1" applyBorder="1" applyAlignment="1">
      <alignment horizontal="left" vertical="center" wrapText="1"/>
    </xf>
    <xf numFmtId="0" fontId="34" fillId="2" borderId="9" xfId="7" applyFont="1" applyFill="1" applyBorder="1" applyAlignment="1">
      <alignment horizontal="left" vertical="top" wrapText="1"/>
    </xf>
    <xf numFmtId="0" fontId="52" fillId="12" borderId="23" xfId="0" applyFont="1" applyFill="1" applyBorder="1" applyAlignment="1">
      <alignment horizontal="center" vertical="center"/>
    </xf>
    <xf numFmtId="0" fontId="52" fillId="12" borderId="24" xfId="0" applyFont="1" applyFill="1" applyBorder="1" applyAlignment="1">
      <alignment horizontal="center" vertical="center"/>
    </xf>
    <xf numFmtId="0" fontId="52" fillId="12" borderId="36" xfId="0" applyFont="1" applyFill="1" applyBorder="1" applyAlignment="1">
      <alignment horizontal="center" vertical="center"/>
    </xf>
    <xf numFmtId="0" fontId="52" fillId="12" borderId="37" xfId="0" applyFont="1" applyFill="1" applyBorder="1" applyAlignment="1">
      <alignment horizontal="center" vertical="center"/>
    </xf>
    <xf numFmtId="0" fontId="52" fillId="12" borderId="50" xfId="0" applyFont="1" applyFill="1" applyBorder="1" applyAlignment="1">
      <alignment horizontal="center" vertical="center"/>
    </xf>
    <xf numFmtId="0" fontId="52" fillId="9" borderId="4" xfId="0" applyFont="1" applyFill="1" applyBorder="1" applyAlignment="1">
      <alignment horizontal="left" vertical="center" wrapText="1"/>
    </xf>
    <xf numFmtId="0" fontId="58" fillId="2" borderId="70" xfId="7" applyFont="1" applyFill="1" applyBorder="1" applyAlignment="1">
      <alignment horizontal="left" vertical="center" wrapText="1"/>
    </xf>
    <xf numFmtId="0" fontId="58" fillId="2" borderId="0" xfId="7" applyFont="1" applyFill="1" applyBorder="1" applyAlignment="1">
      <alignment horizontal="left" vertical="center" wrapText="1"/>
    </xf>
    <xf numFmtId="0" fontId="58" fillId="2" borderId="9" xfId="7" applyFont="1" applyFill="1" applyBorder="1" applyAlignment="1">
      <alignment horizontal="left" vertical="center" wrapText="1"/>
    </xf>
    <xf numFmtId="0" fontId="52" fillId="9" borderId="40" xfId="0" applyFont="1" applyFill="1" applyBorder="1" applyAlignment="1">
      <alignment horizontal="left" vertical="center" wrapText="1"/>
    </xf>
    <xf numFmtId="0" fontId="52" fillId="9" borderId="39" xfId="0" applyFont="1" applyFill="1" applyBorder="1" applyAlignment="1">
      <alignment horizontal="left" vertical="center"/>
    </xf>
    <xf numFmtId="0" fontId="52" fillId="9" borderId="39" xfId="0" applyFont="1" applyFill="1" applyBorder="1" applyAlignment="1">
      <alignment horizontal="center" vertical="center"/>
    </xf>
    <xf numFmtId="0" fontId="52" fillId="9" borderId="38" xfId="0" applyFont="1" applyFill="1" applyBorder="1" applyAlignment="1">
      <alignment horizontal="center" vertical="center"/>
    </xf>
    <xf numFmtId="0" fontId="52" fillId="9" borderId="45" xfId="0" applyFont="1" applyFill="1" applyBorder="1" applyAlignment="1">
      <alignment horizontal="center" vertical="center"/>
    </xf>
    <xf numFmtId="0" fontId="52" fillId="9" borderId="46" xfId="0" applyFont="1" applyFill="1" applyBorder="1" applyAlignment="1">
      <alignment horizontal="center" vertical="center"/>
    </xf>
    <xf numFmtId="0" fontId="55" fillId="9" borderId="6" xfId="3" applyFont="1" applyFill="1" applyBorder="1" applyAlignment="1">
      <alignment horizontal="center" vertical="center"/>
    </xf>
    <xf numFmtId="0" fontId="55" fillId="9" borderId="2" xfId="3" applyFont="1" applyFill="1" applyBorder="1" applyAlignment="1">
      <alignment horizontal="center" vertical="center"/>
    </xf>
    <xf numFmtId="0" fontId="55" fillId="9" borderId="5" xfId="3" applyFont="1" applyFill="1" applyBorder="1" applyAlignment="1">
      <alignment horizontal="center" vertical="center"/>
    </xf>
    <xf numFmtId="0" fontId="33" fillId="9" borderId="86" xfId="3" applyFont="1" applyFill="1" applyBorder="1" applyAlignment="1">
      <alignment horizontal="center" vertical="center"/>
    </xf>
    <xf numFmtId="0" fontId="33" fillId="9" borderId="68" xfId="3" applyFont="1" applyFill="1" applyBorder="1" applyAlignment="1">
      <alignment horizontal="center" vertical="center"/>
    </xf>
    <xf numFmtId="0" fontId="33" fillId="9" borderId="87" xfId="3" applyFont="1" applyFill="1" applyBorder="1" applyAlignment="1">
      <alignment horizontal="center" vertical="center"/>
    </xf>
    <xf numFmtId="0" fontId="33" fillId="9" borderId="4" xfId="3" applyFont="1" applyFill="1" applyBorder="1" applyAlignment="1">
      <alignment horizontal="center" vertical="center"/>
    </xf>
    <xf numFmtId="0" fontId="35" fillId="9" borderId="68" xfId="3" applyFont="1" applyFill="1" applyBorder="1" applyAlignment="1">
      <alignment horizontal="center" vertical="center" wrapText="1"/>
    </xf>
    <xf numFmtId="0" fontId="35" fillId="9" borderId="68" xfId="3" applyFont="1" applyFill="1" applyBorder="1" applyAlignment="1">
      <alignment horizontal="center" vertical="center"/>
    </xf>
    <xf numFmtId="0" fontId="35" fillId="9" borderId="4" xfId="3" applyFont="1" applyFill="1" applyBorder="1" applyAlignment="1">
      <alignment horizontal="center" vertical="center"/>
    </xf>
    <xf numFmtId="0" fontId="59" fillId="9" borderId="87" xfId="3" applyFont="1" applyFill="1" applyBorder="1" applyAlignment="1">
      <alignment horizontal="center" vertical="center" wrapText="1"/>
    </xf>
    <xf numFmtId="0" fontId="59" fillId="9" borderId="4" xfId="3" applyFont="1" applyFill="1" applyBorder="1" applyAlignment="1">
      <alignment horizontal="center" vertical="center"/>
    </xf>
    <xf numFmtId="0" fontId="59" fillId="9" borderId="3" xfId="3" applyFont="1" applyFill="1" applyBorder="1" applyAlignment="1">
      <alignment horizontal="center" vertical="center"/>
    </xf>
    <xf numFmtId="0" fontId="59" fillId="9" borderId="88" xfId="3" applyFont="1" applyFill="1" applyBorder="1" applyAlignment="1">
      <alignment horizontal="center" vertical="center"/>
    </xf>
    <xf numFmtId="0" fontId="33" fillId="9" borderId="10" xfId="62" applyFont="1" applyFill="1" applyBorder="1" applyAlignment="1">
      <alignment horizontal="center" vertical="center"/>
    </xf>
    <xf numFmtId="0" fontId="33" fillId="9" borderId="8" xfId="62" applyFont="1" applyFill="1" applyBorder="1" applyAlignment="1">
      <alignment horizontal="center" vertical="center"/>
    </xf>
    <xf numFmtId="0" fontId="33" fillId="9" borderId="11" xfId="62" applyFont="1" applyFill="1" applyBorder="1" applyAlignment="1">
      <alignment horizontal="center" vertical="center"/>
    </xf>
    <xf numFmtId="0" fontId="33" fillId="9" borderId="15" xfId="62" applyFont="1" applyFill="1" applyBorder="1" applyAlignment="1">
      <alignment horizontal="center" vertical="center"/>
    </xf>
    <xf numFmtId="0" fontId="33" fillId="9" borderId="16" xfId="62" applyFont="1" applyFill="1" applyBorder="1" applyAlignment="1">
      <alignment horizontal="center" vertical="center"/>
    </xf>
    <xf numFmtId="0" fontId="33" fillId="9" borderId="30" xfId="62" applyFont="1" applyFill="1" applyBorder="1" applyAlignment="1">
      <alignment horizontal="center" vertical="center"/>
    </xf>
    <xf numFmtId="0" fontId="33" fillId="9" borderId="31" xfId="62" applyFont="1" applyFill="1" applyBorder="1" applyAlignment="1">
      <alignment horizontal="center" vertical="center"/>
    </xf>
    <xf numFmtId="0" fontId="33" fillId="9" borderId="3" xfId="62" applyFont="1" applyFill="1" applyBorder="1" applyAlignment="1">
      <alignment horizontal="center" vertical="center"/>
    </xf>
    <xf numFmtId="0" fontId="33" fillId="9" borderId="6" xfId="62" applyFont="1" applyFill="1" applyBorder="1" applyAlignment="1">
      <alignment horizontal="center" vertical="center"/>
    </xf>
    <xf numFmtId="0" fontId="33" fillId="9" borderId="5" xfId="62" applyFont="1" applyFill="1" applyBorder="1" applyAlignment="1">
      <alignment horizontal="center" vertical="center"/>
    </xf>
    <xf numFmtId="0" fontId="33" fillId="9" borderId="101" xfId="62" applyFont="1" applyFill="1" applyBorder="1" applyAlignment="1">
      <alignment horizontal="center" vertical="center" wrapText="1"/>
    </xf>
    <xf numFmtId="0" fontId="33" fillId="9" borderId="100" xfId="62" applyFont="1" applyFill="1" applyBorder="1" applyAlignment="1">
      <alignment horizontal="center" vertical="center" wrapText="1"/>
    </xf>
    <xf numFmtId="0" fontId="33" fillId="9" borderId="86" xfId="62" applyFont="1" applyFill="1" applyBorder="1" applyAlignment="1">
      <alignment horizontal="center" vertical="center"/>
    </xf>
    <xf numFmtId="0" fontId="33" fillId="9" borderId="68" xfId="62" applyFont="1" applyFill="1" applyBorder="1" applyAlignment="1">
      <alignment horizontal="center" vertical="center"/>
    </xf>
    <xf numFmtId="0" fontId="33" fillId="9" borderId="75" xfId="62" applyFont="1" applyFill="1" applyBorder="1" applyAlignment="1">
      <alignment horizontal="center" vertical="center"/>
    </xf>
    <xf numFmtId="0" fontId="33" fillId="9" borderId="4" xfId="62" applyFont="1" applyFill="1" applyBorder="1" applyAlignment="1">
      <alignment horizontal="center" vertical="center"/>
    </xf>
    <xf numFmtId="0" fontId="33" fillId="9" borderId="4" xfId="3" applyFont="1" applyFill="1" applyBorder="1" applyAlignment="1">
      <alignment horizontal="center" vertical="center" wrapText="1"/>
    </xf>
    <xf numFmtId="0" fontId="33" fillId="9" borderId="88" xfId="62" applyFont="1" applyFill="1" applyBorder="1" applyAlignment="1">
      <alignment horizontal="center" vertical="center"/>
    </xf>
    <xf numFmtId="0" fontId="33" fillId="9" borderId="89" xfId="3" applyFont="1" applyFill="1" applyBorder="1" applyAlignment="1">
      <alignment horizontal="center" vertical="center"/>
    </xf>
    <xf numFmtId="0" fontId="33" fillId="9" borderId="90" xfId="3" applyFont="1" applyFill="1" applyBorder="1" applyAlignment="1">
      <alignment horizontal="center" vertical="center"/>
    </xf>
    <xf numFmtId="0" fontId="33" fillId="9" borderId="88" xfId="3" applyFont="1" applyFill="1" applyBorder="1" applyAlignment="1">
      <alignment horizontal="center" vertical="center"/>
    </xf>
    <xf numFmtId="0" fontId="33" fillId="9" borderId="91" xfId="3" applyFont="1" applyFill="1" applyBorder="1" applyAlignment="1">
      <alignment horizontal="center" vertical="center"/>
    </xf>
    <xf numFmtId="0" fontId="75" fillId="13" borderId="31" xfId="60" applyFont="1" applyFill="1" applyBorder="1" applyAlignment="1">
      <alignment horizontal="center" vertical="center"/>
    </xf>
    <xf numFmtId="0" fontId="75" fillId="13" borderId="61" xfId="60" applyFont="1" applyFill="1" applyBorder="1" applyAlignment="1">
      <alignment horizontal="center" vertical="center"/>
    </xf>
    <xf numFmtId="0" fontId="75" fillId="13" borderId="3" xfId="60" applyFont="1" applyFill="1" applyBorder="1" applyAlignment="1">
      <alignment horizontal="center" vertical="center"/>
    </xf>
    <xf numFmtId="0" fontId="75" fillId="0" borderId="31" xfId="60" applyFont="1" applyBorder="1" applyAlignment="1">
      <alignment horizontal="center" vertical="center" wrapText="1"/>
    </xf>
    <xf numFmtId="0" fontId="75" fillId="0" borderId="61" xfId="60" applyFont="1" applyBorder="1" applyAlignment="1">
      <alignment horizontal="center" vertical="center"/>
    </xf>
    <xf numFmtId="0" fontId="75" fillId="0" borderId="3" xfId="60" applyFont="1" applyBorder="1" applyAlignment="1">
      <alignment horizontal="center" vertical="center"/>
    </xf>
    <xf numFmtId="0" fontId="75" fillId="0" borderId="31" xfId="60" applyFont="1" applyBorder="1" applyAlignment="1">
      <alignment horizontal="center" vertical="center"/>
    </xf>
    <xf numFmtId="0" fontId="75" fillId="0" borderId="31" xfId="60" applyFont="1" applyBorder="1" applyAlignment="1">
      <alignment horizontal="left" vertical="center" wrapText="1"/>
    </xf>
    <xf numFmtId="0" fontId="75" fillId="0" borderId="3" xfId="60" applyFont="1" applyBorder="1" applyAlignment="1">
      <alignment horizontal="left" vertical="center" wrapText="1"/>
    </xf>
    <xf numFmtId="16" fontId="75" fillId="13" borderId="31" xfId="60" applyNumberFormat="1" applyFont="1" applyFill="1" applyBorder="1" applyAlignment="1">
      <alignment horizontal="center" vertical="center" wrapText="1"/>
    </xf>
    <xf numFmtId="16" fontId="75" fillId="13" borderId="61" xfId="60" applyNumberFormat="1" applyFont="1" applyFill="1" applyBorder="1" applyAlignment="1">
      <alignment horizontal="center" vertical="center" wrapText="1"/>
    </xf>
    <xf numFmtId="16" fontId="75" fillId="13" borderId="3" xfId="60" applyNumberFormat="1" applyFont="1" applyFill="1" applyBorder="1" applyAlignment="1">
      <alignment horizontal="center" vertical="center" wrapText="1"/>
    </xf>
    <xf numFmtId="0" fontId="76" fillId="0" borderId="0" xfId="60" applyFont="1" applyBorder="1" applyAlignment="1">
      <alignment vertical="center"/>
    </xf>
    <xf numFmtId="0" fontId="75" fillId="0" borderId="8" xfId="60" applyFont="1" applyBorder="1" applyAlignment="1">
      <alignment horizontal="center" vertical="center"/>
    </xf>
    <xf numFmtId="0" fontId="77" fillId="0" borderId="0" xfId="60" applyFont="1" applyBorder="1" applyAlignment="1">
      <alignment horizontal="left" vertical="center"/>
    </xf>
    <xf numFmtId="0" fontId="77" fillId="0" borderId="16" xfId="60" applyFont="1" applyBorder="1" applyAlignment="1">
      <alignment horizontal="left" vertical="center"/>
    </xf>
    <xf numFmtId="0" fontId="60" fillId="0" borderId="42" xfId="50" applyFont="1" applyFill="1" applyBorder="1" applyAlignment="1">
      <alignment horizontal="center"/>
    </xf>
    <xf numFmtId="0" fontId="60" fillId="0" borderId="20" xfId="50" applyFont="1" applyFill="1" applyBorder="1" applyAlignment="1">
      <alignment horizontal="center"/>
    </xf>
    <xf numFmtId="0" fontId="60" fillId="0" borderId="21" xfId="50" applyFont="1" applyFill="1" applyBorder="1" applyAlignment="1">
      <alignment horizontal="center"/>
    </xf>
    <xf numFmtId="0" fontId="60" fillId="0" borderId="17" xfId="50" applyFont="1" applyFill="1" applyBorder="1" applyAlignment="1">
      <alignment horizontal="center"/>
    </xf>
    <xf numFmtId="0" fontId="60" fillId="0" borderId="18" xfId="50" applyFont="1" applyFill="1" applyBorder="1" applyAlignment="1">
      <alignment horizontal="center"/>
    </xf>
    <xf numFmtId="0" fontId="60" fillId="0" borderId="22" xfId="50" applyFont="1" applyFill="1" applyBorder="1" applyAlignment="1">
      <alignment horizontal="center"/>
    </xf>
    <xf numFmtId="0" fontId="61" fillId="0" borderId="52" xfId="50" applyFont="1" applyFill="1" applyBorder="1" applyAlignment="1">
      <alignment horizontal="center" vertical="center"/>
    </xf>
    <xf numFmtId="0" fontId="61" fillId="0" borderId="20" xfId="50" applyFont="1" applyFill="1" applyBorder="1" applyAlignment="1">
      <alignment horizontal="center" vertical="center"/>
    </xf>
    <xf numFmtId="0" fontId="61" fillId="0" borderId="94" xfId="50" applyFont="1" applyFill="1" applyBorder="1" applyAlignment="1">
      <alignment horizontal="center" vertical="center"/>
    </xf>
    <xf numFmtId="0" fontId="61" fillId="0" borderId="54" xfId="50" applyFont="1" applyFill="1" applyBorder="1" applyAlignment="1">
      <alignment horizontal="center" vertical="center"/>
    </xf>
    <xf numFmtId="0" fontId="61" fillId="0" borderId="18" xfId="50" applyFont="1" applyFill="1" applyBorder="1" applyAlignment="1">
      <alignment horizontal="center" vertical="center"/>
    </xf>
    <xf numFmtId="0" fontId="61" fillId="0" borderId="19" xfId="50" applyFont="1" applyFill="1" applyBorder="1" applyAlignment="1">
      <alignment horizontal="center" vertical="center"/>
    </xf>
    <xf numFmtId="0" fontId="57" fillId="0" borderId="60" xfId="50" applyFont="1" applyFill="1" applyBorder="1" applyAlignment="1">
      <alignment horizontal="center" vertical="center"/>
    </xf>
    <xf numFmtId="0" fontId="57" fillId="0" borderId="37" xfId="50" applyFont="1" applyFill="1" applyBorder="1" applyAlignment="1">
      <alignment horizontal="center" vertical="center"/>
    </xf>
    <xf numFmtId="0" fontId="57" fillId="0" borderId="49" xfId="50" applyFont="1" applyFill="1" applyBorder="1" applyAlignment="1">
      <alignment horizontal="center" vertical="center"/>
    </xf>
    <xf numFmtId="0" fontId="57" fillId="0" borderId="36" xfId="50" applyFont="1" applyFill="1" applyBorder="1" applyAlignment="1">
      <alignment horizontal="center" vertical="center"/>
    </xf>
    <xf numFmtId="0" fontId="57" fillId="0" borderId="50" xfId="50" applyFont="1" applyFill="1" applyBorder="1" applyAlignment="1">
      <alignment horizontal="center" vertical="center"/>
    </xf>
    <xf numFmtId="0" fontId="60" fillId="0" borderId="107" xfId="50" applyFont="1" applyFill="1" applyBorder="1" applyAlignment="1">
      <alignment horizontal="center"/>
    </xf>
    <xf numFmtId="0" fontId="60" fillId="0" borderId="45" xfId="50" applyFont="1" applyFill="1" applyBorder="1" applyAlignment="1">
      <alignment horizontal="center"/>
    </xf>
    <xf numFmtId="0" fontId="60" fillId="0" borderId="92" xfId="50" applyFont="1" applyFill="1" applyBorder="1" applyAlignment="1">
      <alignment horizontal="center"/>
    </xf>
    <xf numFmtId="0" fontId="60" fillId="0" borderId="38" xfId="50" applyFont="1" applyFill="1" applyBorder="1" applyAlignment="1">
      <alignment horizontal="center"/>
    </xf>
    <xf numFmtId="0" fontId="60" fillId="0" borderId="46" xfId="50" applyFont="1" applyFill="1" applyBorder="1" applyAlignment="1">
      <alignment horizontal="center"/>
    </xf>
    <xf numFmtId="0" fontId="62" fillId="0" borderId="42" xfId="50" applyFont="1" applyFill="1" applyBorder="1" applyAlignment="1">
      <alignment horizontal="left" vertical="center"/>
    </xf>
    <xf numFmtId="0" fontId="62" fillId="0" borderId="20" xfId="50" applyFont="1" applyFill="1" applyBorder="1" applyAlignment="1">
      <alignment horizontal="left" vertical="center"/>
    </xf>
    <xf numFmtId="0" fontId="50" fillId="5" borderId="108" xfId="51" applyFont="1" applyFill="1" applyBorder="1" applyAlignment="1" applyProtection="1">
      <alignment horizontal="center" vertical="center"/>
      <protection locked="0"/>
    </xf>
    <xf numFmtId="0" fontId="50" fillId="5" borderId="110" xfId="51" applyFont="1" applyFill="1" applyBorder="1" applyAlignment="1" applyProtection="1">
      <alignment horizontal="center" vertical="center"/>
      <protection locked="0"/>
    </xf>
    <xf numFmtId="167" fontId="50" fillId="5" borderId="109" xfId="51" applyNumberFormat="1" applyFont="1" applyFill="1" applyBorder="1" applyAlignment="1" applyProtection="1">
      <alignment horizontal="center" vertical="center"/>
      <protection locked="0"/>
    </xf>
    <xf numFmtId="167" fontId="50" fillId="5" borderId="111" xfId="51" applyNumberFormat="1" applyFont="1" applyFill="1" applyBorder="1" applyAlignment="1" applyProtection="1">
      <alignment horizontal="center" vertical="center"/>
      <protection locked="0"/>
    </xf>
    <xf numFmtId="167" fontId="50" fillId="5" borderId="109" xfId="51" quotePrefix="1" applyNumberFormat="1" applyFont="1" applyFill="1" applyBorder="1" applyAlignment="1" applyProtection="1">
      <alignment horizontal="center" vertical="center"/>
      <protection locked="0"/>
    </xf>
    <xf numFmtId="167" fontId="50" fillId="5" borderId="111" xfId="51" quotePrefix="1" applyNumberFormat="1" applyFont="1" applyFill="1" applyBorder="1" applyAlignment="1" applyProtection="1">
      <alignment horizontal="center" vertical="center"/>
      <protection locked="0"/>
    </xf>
    <xf numFmtId="0" fontId="50" fillId="5" borderId="115" xfId="51" applyFont="1" applyFill="1" applyBorder="1" applyAlignment="1" applyProtection="1">
      <alignment horizontal="center" vertical="center"/>
      <protection locked="0"/>
    </xf>
    <xf numFmtId="0" fontId="50" fillId="5" borderId="7" xfId="51" applyFont="1" applyFill="1" applyBorder="1" applyAlignment="1" applyProtection="1">
      <alignment horizontal="center" vertical="center"/>
      <protection locked="0"/>
    </xf>
    <xf numFmtId="0" fontId="50" fillId="5" borderId="17" xfId="51" applyFont="1" applyFill="1" applyBorder="1" applyAlignment="1" applyProtection="1">
      <alignment horizontal="center" vertical="center"/>
      <protection locked="0"/>
    </xf>
    <xf numFmtId="167" fontId="50" fillId="5" borderId="116" xfId="51" applyNumberFormat="1" applyFont="1" applyFill="1" applyBorder="1" applyAlignment="1" applyProtection="1">
      <alignment horizontal="center" vertical="center"/>
      <protection locked="0"/>
    </xf>
    <xf numFmtId="167" fontId="50" fillId="5" borderId="116" xfId="51" quotePrefix="1" applyNumberFormat="1" applyFont="1" applyFill="1" applyBorder="1" applyAlignment="1" applyProtection="1">
      <alignment horizontal="center" vertical="center"/>
      <protection locked="0"/>
    </xf>
    <xf numFmtId="0" fontId="64" fillId="0" borderId="63" xfId="50" applyFont="1" applyFill="1" applyBorder="1" applyAlignment="1">
      <alignment horizontal="center" vertical="center"/>
    </xf>
    <xf numFmtId="0" fontId="64" fillId="0" borderId="2" xfId="50" applyFont="1" applyFill="1" applyBorder="1" applyAlignment="1">
      <alignment horizontal="center" vertical="center"/>
    </xf>
    <xf numFmtId="0" fontId="64" fillId="4" borderId="63" xfId="50" applyFont="1" applyFill="1" applyBorder="1" applyAlignment="1">
      <alignment horizontal="center" vertical="center" wrapText="1"/>
    </xf>
    <xf numFmtId="0" fontId="64" fillId="4" borderId="2" xfId="50" applyFont="1" applyFill="1" applyBorder="1" applyAlignment="1">
      <alignment horizontal="center" vertical="center" wrapText="1"/>
    </xf>
    <xf numFmtId="0" fontId="64" fillId="4" borderId="63" xfId="50" applyFont="1" applyFill="1" applyBorder="1" applyAlignment="1">
      <alignment horizontal="center" vertical="center"/>
    </xf>
    <xf numFmtId="0" fontId="64" fillId="4" borderId="2" xfId="50" applyFont="1" applyFill="1" applyBorder="1" applyAlignment="1">
      <alignment horizontal="center" vertical="center"/>
    </xf>
    <xf numFmtId="0" fontId="64" fillId="0" borderId="63" xfId="50" applyFont="1" applyFill="1" applyBorder="1" applyAlignment="1">
      <alignment horizontal="center" vertical="center" wrapText="1"/>
    </xf>
    <xf numFmtId="0" fontId="64" fillId="11" borderId="63" xfId="50" applyFont="1" applyFill="1" applyBorder="1" applyAlignment="1">
      <alignment horizontal="center" vertical="center" wrapText="1"/>
    </xf>
    <xf numFmtId="0" fontId="64" fillId="11" borderId="63" xfId="50" applyFont="1" applyFill="1" applyBorder="1" applyAlignment="1">
      <alignment horizontal="center" vertical="center"/>
    </xf>
    <xf numFmtId="0" fontId="56" fillId="0" borderId="20" xfId="50" applyFont="1" applyFill="1" applyBorder="1" applyAlignment="1">
      <alignment horizontal="center" vertical="center"/>
    </xf>
    <xf numFmtId="0" fontId="56" fillId="0" borderId="0" xfId="50" applyFont="1" applyFill="1" applyBorder="1" applyAlignment="1">
      <alignment horizontal="center" vertical="center"/>
    </xf>
    <xf numFmtId="0" fontId="41" fillId="0" borderId="10" xfId="0" applyFont="1" applyBorder="1" applyAlignment="1">
      <alignment horizontal="center" vertical="center" wrapText="1"/>
    </xf>
    <xf numFmtId="0" fontId="79" fillId="0" borderId="10" xfId="0" applyFont="1" applyBorder="1" applyAlignment="1">
      <alignment horizontal="center" vertical="center" wrapText="1"/>
    </xf>
    <xf numFmtId="0" fontId="79" fillId="0" borderId="11" xfId="0" applyFont="1" applyBorder="1" applyAlignment="1">
      <alignment horizontal="center" vertical="center"/>
    </xf>
    <xf numFmtId="0" fontId="79" fillId="0" borderId="15" xfId="0" applyFont="1" applyBorder="1" applyAlignment="1">
      <alignment horizontal="center" vertical="center"/>
    </xf>
    <xf numFmtId="0" fontId="79" fillId="0" borderId="30" xfId="0" applyFont="1" applyBorder="1" applyAlignment="1">
      <alignment horizontal="center" vertical="center"/>
    </xf>
    <xf numFmtId="0" fontId="41" fillId="0" borderId="23" xfId="0" applyFont="1" applyBorder="1" applyAlignment="1">
      <alignment horizontal="center" vertical="center"/>
    </xf>
    <xf numFmtId="0" fontId="41" fillId="0" borderId="24" xfId="0" applyFont="1" applyBorder="1" applyAlignment="1">
      <alignment horizontal="center" vertical="center"/>
    </xf>
    <xf numFmtId="0" fontId="42" fillId="0" borderId="24" xfId="0" applyFont="1" applyBorder="1" applyAlignment="1">
      <alignment horizontal="center" vertical="center" wrapText="1"/>
    </xf>
    <xf numFmtId="0" fontId="42" fillId="0" borderId="24" xfId="0" applyFont="1" applyBorder="1" applyAlignment="1">
      <alignment horizontal="center" vertical="center"/>
    </xf>
    <xf numFmtId="0" fontId="44" fillId="0" borderId="36" xfId="0" applyFont="1" applyBorder="1" applyAlignment="1">
      <alignment horizontal="left" vertical="center" wrapText="1"/>
    </xf>
    <xf numFmtId="0" fontId="44" fillId="0" borderId="49" xfId="0" applyFont="1" applyBorder="1" applyAlignment="1">
      <alignment horizontal="left" vertical="center"/>
    </xf>
    <xf numFmtId="0" fontId="41" fillId="0" borderId="36" xfId="0" applyFont="1" applyBorder="1" applyAlignment="1">
      <alignment horizontal="center" vertical="center"/>
    </xf>
    <xf numFmtId="0" fontId="41" fillId="0" borderId="50" xfId="0" applyFont="1" applyBorder="1" applyAlignment="1">
      <alignment horizontal="center" vertical="center"/>
    </xf>
    <xf numFmtId="0" fontId="41" fillId="0" borderId="29" xfId="0" applyFont="1" applyBorder="1" applyAlignment="1">
      <alignment horizontal="center" vertical="center"/>
    </xf>
    <xf numFmtId="0" fontId="41" fillId="0" borderId="44" xfId="0" applyFont="1" applyBorder="1" applyAlignment="1">
      <alignment horizontal="center" vertical="center"/>
    </xf>
    <xf numFmtId="179" fontId="41" fillId="0" borderId="44" xfId="0" applyNumberFormat="1" applyFont="1" applyBorder="1" applyAlignment="1">
      <alignment horizontal="center" vertical="center"/>
    </xf>
    <xf numFmtId="0" fontId="45" fillId="0" borderId="29" xfId="0" applyFont="1" applyBorder="1" applyAlignment="1">
      <alignment horizontal="center" vertical="center" wrapText="1"/>
    </xf>
    <xf numFmtId="0" fontId="45" fillId="0" borderId="121" xfId="0" applyFont="1" applyBorder="1" applyAlignment="1">
      <alignment horizontal="center" vertical="center"/>
    </xf>
    <xf numFmtId="0" fontId="45" fillId="0" borderId="29" xfId="0" applyFont="1" applyBorder="1" applyAlignment="1">
      <alignment horizontal="center" vertical="center"/>
    </xf>
    <xf numFmtId="0" fontId="45" fillId="0" borderId="32" xfId="0" applyFont="1" applyBorder="1" applyAlignment="1">
      <alignment horizontal="center" vertical="center"/>
    </xf>
    <xf numFmtId="0" fontId="45" fillId="0" borderId="53" xfId="0" applyFont="1" applyBorder="1" applyAlignment="1">
      <alignment horizontal="center" vertical="center"/>
    </xf>
    <xf numFmtId="0" fontId="47" fillId="0" borderId="7" xfId="0" applyFont="1" applyBorder="1" applyAlignment="1">
      <alignment horizontal="left" vertical="center"/>
    </xf>
    <xf numFmtId="0" fontId="47" fillId="0" borderId="9" xfId="0" applyFont="1" applyBorder="1" applyAlignment="1">
      <alignment horizontal="left" vertical="center"/>
    </xf>
    <xf numFmtId="0" fontId="41" fillId="0" borderId="51" xfId="0" applyFont="1" applyBorder="1" applyAlignment="1">
      <alignment horizontal="center" vertical="center"/>
    </xf>
    <xf numFmtId="0" fontId="41" fillId="0" borderId="62" xfId="0" applyFont="1" applyBorder="1" applyAlignment="1">
      <alignment horizontal="center" vertical="center"/>
    </xf>
    <xf numFmtId="0" fontId="48" fillId="0" borderId="29" xfId="0" applyFont="1" applyBorder="1" applyAlignment="1">
      <alignment horizontal="center" vertical="center" wrapText="1"/>
    </xf>
    <xf numFmtId="0" fontId="48" fillId="0" borderId="121" xfId="0" applyFont="1" applyBorder="1" applyAlignment="1">
      <alignment horizontal="center" vertical="center"/>
    </xf>
    <xf numFmtId="0" fontId="48" fillId="0" borderId="29" xfId="0" applyFont="1" applyBorder="1" applyAlignment="1">
      <alignment horizontal="center" vertical="center"/>
    </xf>
    <xf numFmtId="0" fontId="41" fillId="0" borderId="122" xfId="0" applyFont="1" applyBorder="1" applyAlignment="1">
      <alignment horizontal="center" vertical="center" wrapText="1"/>
    </xf>
    <xf numFmtId="0" fontId="41" fillId="0" borderId="123" xfId="0" applyFont="1" applyBorder="1" applyAlignment="1">
      <alignment horizontal="center" vertical="center"/>
    </xf>
    <xf numFmtId="0" fontId="41" fillId="0" borderId="124" xfId="0" applyFont="1" applyBorder="1" applyAlignment="1">
      <alignment vertical="center"/>
    </xf>
    <xf numFmtId="0" fontId="41" fillId="0" borderId="125" xfId="0" applyFont="1" applyBorder="1" applyAlignment="1">
      <alignment vertical="center"/>
    </xf>
    <xf numFmtId="0" fontId="41" fillId="0" borderId="126" xfId="0" applyFont="1" applyBorder="1" applyAlignment="1">
      <alignment vertical="center"/>
    </xf>
    <xf numFmtId="0" fontId="41" fillId="0" borderId="126" xfId="0" applyFont="1" applyBorder="1" applyAlignment="1">
      <alignment horizontal="center" vertical="center"/>
    </xf>
    <xf numFmtId="0" fontId="41" fillId="0" borderId="127" xfId="0" applyFont="1" applyBorder="1" applyAlignment="1">
      <alignment horizontal="center" vertical="center"/>
    </xf>
  </cellXfs>
  <cellStyles count="63">
    <cellStyle name="          _x000d__x000a_mouse.drv=lmouse.drv" xfId="8"/>
    <cellStyle name="?Ⅱ_x001b__x0005_@?" xfId="9"/>
    <cellStyle name="_M200_승인원 모음" xfId="10"/>
    <cellStyle name="_-m200-telltale" xfId="11"/>
    <cellStyle name="1" xfId="12"/>
    <cellStyle name="120" xfId="13"/>
    <cellStyle name="AeE­ [0]_ ¸n A÷_V100 ºI¹I,³≫¼o 2.2 PILOT " xfId="14"/>
    <cellStyle name="AeE­_ ¸n A÷_V100 ºI¹I,³≫¼o 2.2 PILOT " xfId="15"/>
    <cellStyle name="AÞ¸¶ [0]_ ¸n A÷_V100 ºI¹I,³≫¼o 2.2 PILOT " xfId="16"/>
    <cellStyle name="AÞ¸¶_ ¸n A÷_V100 ºI¹I,³≫¼o 2.2 PILOT " xfId="17"/>
    <cellStyle name="C￥AØ_ °¡°øAu¿e±a AuAa¿ø°¡ " xfId="18"/>
    <cellStyle name="category" xfId="19"/>
    <cellStyle name="Currency1" xfId="20"/>
    <cellStyle name="DOWN" xfId="21"/>
    <cellStyle name="E­Æo±aE￡_¿￡AøºI " xfId="22"/>
    <cellStyle name="Grey" xfId="23"/>
    <cellStyle name="HEADER" xfId="24"/>
    <cellStyle name="Header1" xfId="1"/>
    <cellStyle name="Header2" xfId="2"/>
    <cellStyle name="Input [yellow]" xfId="25"/>
    <cellStyle name="KAGE" xfId="26"/>
    <cellStyle name="MIDDLE" xfId="27"/>
    <cellStyle name="Model" xfId="28"/>
    <cellStyle name="Normal" xfId="0" builtinId="0"/>
    <cellStyle name="Normal - Style1" xfId="29"/>
    <cellStyle name="Normal 2" xfId="55"/>
    <cellStyle name="Normal 3" xfId="50"/>
    <cellStyle name="Normal 4" xfId="60"/>
    <cellStyle name="Normal_New Process Template(Korean) 2" xfId="54"/>
    <cellStyle name="Normal_New Process Template(Korean)_1" xfId="3"/>
    <cellStyle name="Normal_New Process Template(Korean)_1 2" xfId="62"/>
    <cellStyle name="Normal_프로맵 Master 양식(WKR)" xfId="4"/>
    <cellStyle name="Normal_프로맵 Master 양식(WKR) 2" xfId="52"/>
    <cellStyle name="Percent [2]" xfId="30"/>
    <cellStyle name="SPECIAL" xfId="56"/>
    <cellStyle name="subhead" xfId="31"/>
    <cellStyle name="UP" xfId="32"/>
    <cellStyle name="೴ઘЄഈÜ자재영업2\Samsung ML-1750 Series" xfId="53"/>
    <cellStyle name=" 坪 l_Sheet1_Q4 (2)" xfId="5"/>
    <cellStyle name="고정소숫점" xfId="33"/>
    <cellStyle name="고정출력1" xfId="34"/>
    <cellStyle name="고정출력2" xfId="35"/>
    <cellStyle name="날짜" xfId="36"/>
    <cellStyle name="달러" xfId="37"/>
    <cellStyle name="뒤에 오는 하이퍼링크_~att0338" xfId="38"/>
    <cellStyle name="쉼표 [0] 2 2" xfId="61"/>
    <cellStyle name="스타일 1" xfId="39"/>
    <cellStyle name="자리수" xfId="40"/>
    <cellStyle name="자리수0" xfId="41"/>
    <cellStyle name="콤마 [0]_- 4 -" xfId="42"/>
    <cellStyle name="콤마_ 목 차_V100 북미,내수 2.2 PILOT " xfId="43"/>
    <cellStyle name="퍼센트" xfId="44"/>
    <cellStyle name="표준 2" xfId="6"/>
    <cellStyle name="표준 2 2" xfId="45"/>
    <cellStyle name="표준 3" xfId="7"/>
    <cellStyle name="표준 4" xfId="46"/>
    <cellStyle name="표준 41" xfId="57"/>
    <cellStyle name="표준 6_내부심사프로세스" xfId="58"/>
    <cellStyle name="표준_%ED%94%84%EB%A1%9C%EB%A7%B5 Master %EC%96%91%EC%8B%9D(1)" xfId="59"/>
    <cellStyle name="합산" xfId="47"/>
    <cellStyle name="화폐기호" xfId="48"/>
    <cellStyle name="화폐기호0" xfId="49"/>
    <cellStyle name="一般_TM1-TOP" xfId="51"/>
  </cellStyles>
  <dxfs count="0"/>
  <tableStyles count="0" defaultTableStyle="TableStyleMedium9" defaultPivotStyle="PivotStyleLight16"/>
  <colors>
    <mruColors>
      <color rgb="FF66FFFF"/>
      <color rgb="FFFFFFFF"/>
      <color rgb="FF00FF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microsoft.com/office/2006/relationships/attachedToolbars" Target="attachedToolbars.bin"/><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sharedStrings" Target="sharedStrings.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'[13]ss2 lcd cover'!$K$55:$K$68</c:f>
              <c:strCache>
                <c:ptCount val="1"/>
                <c:pt idx="0">
                  <c:v>169.7208 169.7479 169.775 169.8021 169.8292 169.8563 169.8834 169.9105 169.9376 169.9647 169.9918 170.0189 170.046 170.0731</c:v>
                </c:pt>
              </c:strCache>
            </c:strRef>
          </c:tx>
          <c:spPr>
            <a:solidFill>
              <a:srgbClr val="993366"/>
            </a:solidFill>
            <a:ln w="12700">
              <a:solidFill>
                <a:srgbClr val="000000"/>
              </a:solidFill>
              <a:prstDash val="solid"/>
            </a:ln>
          </c:spPr>
          <c:invertIfNegative val="0"/>
          <c:cat>
            <c:numLit>
              <c:formatCode>General</c:formatCode>
              <c:ptCount val="1"/>
              <c:pt idx="0">
                <c:v>0</c:v>
              </c:pt>
            </c:numLit>
          </c:cat>
          <c:val>
            <c:numLit>
              <c:formatCode>General</c:formatCode>
              <c:ptCount val="1"/>
              <c:pt idx="0">
                <c:v>0</c:v>
              </c:pt>
            </c:numLit>
          </c:val>
          <c:extLst xmlns:c16r2="http://schemas.microsoft.com/office/drawing/2015/06/chart">
            <c:ext xmlns:c16="http://schemas.microsoft.com/office/drawing/2014/chart" uri="{C3380CC4-5D6E-409C-BE32-E72D297353CC}">
              <c16:uniqueId val="{00000000-2273-4B45-BDD4-79CCB3F61FA2}"/>
            </c:ext>
          </c:extLst>
        </c:ser>
        <c:dLbls>
          <c:showLegendKey val="0"/>
          <c:showVal val="0"/>
          <c:showCatName val="0"/>
          <c:showSerName val="0"/>
          <c:showPercent val="0"/>
          <c:showBubbleSize val="0"/>
        </c:dLbls>
        <c:gapWidth val="0"/>
        <c:axId val="102054912"/>
        <c:axId val="102068992"/>
      </c:barChart>
      <c:catAx>
        <c:axId val="102054912"/>
        <c:scaling>
          <c:orientation val="minMax"/>
        </c:scaling>
        <c:delete val="0"/>
        <c:axPos val="b"/>
        <c:numFmt formatCode="General" sourceLinked="1"/>
        <c:majorTickMark val="cross"/>
        <c:minorTickMark val="cross"/>
        <c:tickLblPos val="nextTo"/>
        <c:spPr>
          <a:ln w="3175">
            <a:solidFill>
              <a:srgbClr val="000000"/>
            </a:solidFill>
            <a:prstDash val="solid"/>
          </a:ln>
        </c:spPr>
        <c:txPr>
          <a:bodyPr rot="0" vert="horz"/>
          <a:lstStyle/>
          <a:p>
            <a:pPr>
              <a:defRPr sz="200" b="0" i="0" u="none" strike="noStrike" baseline="0">
                <a:solidFill>
                  <a:srgbClr val="000000"/>
                </a:solidFill>
                <a:latin typeface="新細明體"/>
                <a:ea typeface="新細明體"/>
                <a:cs typeface="新細明體"/>
              </a:defRPr>
            </a:pPr>
            <a:endParaRPr lang="en-US"/>
          </a:p>
        </c:txPr>
        <c:crossAx val="102068992"/>
        <c:crosses val="autoZero"/>
        <c:auto val="1"/>
        <c:lblAlgn val="ctr"/>
        <c:lblOffset val="100"/>
        <c:tickLblSkip val="1"/>
        <c:tickMarkSkip val="1"/>
        <c:noMultiLvlLbl val="0"/>
      </c:catAx>
      <c:valAx>
        <c:axId val="102068992"/>
        <c:scaling>
          <c:orientation val="minMax"/>
        </c:scaling>
        <c:delete val="0"/>
        <c:axPos val="l"/>
        <c:majorGridlines>
          <c:spPr>
            <a:ln w="3175">
              <a:solidFill>
                <a:srgbClr val="FFFFFF"/>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新細明體"/>
                <a:ea typeface="新細明體"/>
                <a:cs typeface="新細明體"/>
              </a:defRPr>
            </a:pPr>
            <a:endParaRPr lang="en-US"/>
          </a:p>
        </c:txPr>
        <c:crossAx val="102054912"/>
        <c:crosses val="autoZero"/>
        <c:crossBetween val="between"/>
      </c:valAx>
      <c:spPr>
        <a:solidFill>
          <a:srgbClr val="FFFFFF"/>
        </a:solidFill>
        <a:ln w="12700">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新細明體"/>
          <a:ea typeface="新細明體"/>
          <a:cs typeface="新細明體"/>
        </a:defRPr>
      </a:pPr>
      <a:endParaRPr lang="en-US"/>
    </a:p>
  </c:txPr>
  <c:printSettings>
    <c:headerFooter alignWithMargins="0"/>
    <c:pageMargins b="1" l="0.75000000000000078" r="0.75000000000000078"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itle>
    <c:autoTitleDeleted val="0"/>
    <c:plotArea>
      <c:layout>
        <c:manualLayout>
          <c:layoutTarget val="inner"/>
          <c:xMode val="edge"/>
          <c:yMode val="edge"/>
          <c:x val="4.4117647058823664E-2"/>
          <c:y val="4.2296072507552872E-2"/>
          <c:w val="0.9513574660633487"/>
          <c:h val="0.77189891548289002"/>
        </c:manualLayout>
      </c:layout>
      <c:barChart>
        <c:barDir val="col"/>
        <c:grouping val="clustered"/>
        <c:varyColors val="0"/>
        <c:ser>
          <c:idx val="0"/>
          <c:order val="0"/>
          <c:tx>
            <c:strRef>
              <c:f>'RD-PR-006-003 '!$L$20</c:f>
              <c:strCache>
                <c:ptCount val="1"/>
              </c:strCache>
            </c:strRef>
          </c:tx>
          <c:spPr>
            <a:solidFill>
              <a:srgbClr val="00CCFF"/>
            </a:solidFill>
            <a:ln w="12700">
              <a:solidFill>
                <a:srgbClr val="000000"/>
              </a:solidFill>
              <a:prstDash val="solid"/>
            </a:ln>
          </c:spPr>
          <c:invertIfNegative val="0"/>
          <c:dLbls>
            <c:dLbl>
              <c:idx val="0"/>
              <c:delete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0-7645-4EBC-9E7A-BF56A34A522E}"/>
                </c:ext>
              </c:extLst>
            </c:dLbl>
            <c:dLbl>
              <c:idx val="12"/>
              <c:delete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1-7645-4EBC-9E7A-BF56A34A522E}"/>
                </c:ext>
              </c:extLst>
            </c:dLbl>
            <c:spPr>
              <a:noFill/>
              <a:ln w="25400">
                <a:noFill/>
              </a:ln>
            </c:spPr>
            <c:txPr>
              <a:bodyPr/>
              <a:lstStyle/>
              <a:p>
                <a:pPr>
                  <a:defRPr sz="1200" b="0" i="0" u="none" strike="noStrike" baseline="0">
                    <a:solidFill>
                      <a:srgbClr val="000000"/>
                    </a:solidFill>
                    <a:latin typeface="新細明體"/>
                    <a:ea typeface="新細明體"/>
                    <a:cs typeface="新細明體"/>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val>
            <c:numRef>
              <c:f>'RD-PR-006-003 '!$L$21:$L$33</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xmlns:c16r2="http://schemas.microsoft.com/office/drawing/2015/06/chart">
            <c:ext xmlns:c15="http://schemas.microsoft.com/office/drawing/2012/chart" uri="{02D57815-91ED-43cb-92C2-25804820EDAC}">
              <c15:filteredCategoryTitle>
                <c15:cat>
                  <c:multiLvlStrRef>
                    <c:extLst>
                      <c:ext uri="{02D57815-91ED-43cb-92C2-25804820EDAC}">
                        <c15:formulaRef>
                          <c15:sqref>'RD-PR-006-003 '!$K$21:$K$33</c15:sqref>
                        </c15:formulaRef>
                      </c:ext>
                    </c:extLst>
                  </c:multiLvlStrRef>
                </c15:cat>
              </c15:filteredCategoryTitle>
            </c:ext>
            <c:ext xmlns:c16="http://schemas.microsoft.com/office/drawing/2014/chart" uri="{C3380CC4-5D6E-409C-BE32-E72D297353CC}">
              <c16:uniqueId val="{00000002-7645-4EBC-9E7A-BF56A34A522E}"/>
            </c:ext>
          </c:extLst>
        </c:ser>
        <c:dLbls>
          <c:showLegendKey val="0"/>
          <c:showVal val="0"/>
          <c:showCatName val="0"/>
          <c:showSerName val="0"/>
          <c:showPercent val="0"/>
          <c:showBubbleSize val="0"/>
        </c:dLbls>
        <c:gapWidth val="0"/>
        <c:axId val="103024512"/>
        <c:axId val="103026048"/>
      </c:barChart>
      <c:catAx>
        <c:axId val="10302451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新細明體"/>
                <a:ea typeface="新細明體"/>
                <a:cs typeface="新細明體"/>
              </a:defRPr>
            </a:pPr>
            <a:endParaRPr lang="en-US"/>
          </a:p>
        </c:txPr>
        <c:crossAx val="103026048"/>
        <c:crosses val="autoZero"/>
        <c:auto val="1"/>
        <c:lblAlgn val="ctr"/>
        <c:lblOffset val="100"/>
        <c:tickLblSkip val="1"/>
        <c:tickMarkSkip val="1"/>
        <c:noMultiLvlLbl val="0"/>
      </c:catAx>
      <c:valAx>
        <c:axId val="103026048"/>
        <c:scaling>
          <c:orientation val="minMax"/>
          <c:max val="20"/>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新細明體"/>
                <a:ea typeface="新細明體"/>
                <a:cs typeface="新細明體"/>
              </a:defRPr>
            </a:pPr>
            <a:endParaRPr lang="en-US"/>
          </a:p>
        </c:txPr>
        <c:crossAx val="103024512"/>
        <c:crosses val="autoZero"/>
        <c:crossBetween val="between"/>
        <c:majorUnit val="4"/>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550" b="0" i="0" u="none" strike="noStrike" baseline="0">
          <a:solidFill>
            <a:srgbClr val="000000"/>
          </a:solidFill>
          <a:latin typeface="新細明體"/>
          <a:ea typeface="新細明體"/>
          <a:cs typeface="新細明體"/>
        </a:defRPr>
      </a:pPr>
      <a:endParaRPr lang="en-US"/>
    </a:p>
  </c:txPr>
  <c:printSettings>
    <c:headerFooter alignWithMargins="0"/>
    <c:pageMargins b="1" l="0.75000000000000078" r="0.75000000000000078" t="1" header="0.5" footer="0.5"/>
    <c:pageSetup paperSize="9" orientation="landscape" horizontalDpi="30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5045045045045043E-2"/>
          <c:y val="5.7142857142857141E-2"/>
          <c:w val="0.95045045045045062"/>
          <c:h val="0.8035714285714286"/>
        </c:manualLayout>
      </c:layout>
      <c:barChart>
        <c:barDir val="col"/>
        <c:grouping val="clustered"/>
        <c:varyColors val="0"/>
        <c:ser>
          <c:idx val="1"/>
          <c:order val="0"/>
          <c:spPr>
            <a:solidFill>
              <a:srgbClr val="00CCFF"/>
            </a:solidFill>
            <a:ln w="12700">
              <a:solidFill>
                <a:srgbClr val="000000"/>
              </a:solidFill>
              <a:prstDash val="solid"/>
            </a:ln>
          </c:spPr>
          <c:invertIfNegative val="0"/>
          <c:dLbls>
            <c:dLbl>
              <c:idx val="0"/>
              <c:delete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0-994E-4CC4-B9BF-9174B5BE097D}"/>
                </c:ext>
              </c:extLst>
            </c:dLbl>
            <c:dLbl>
              <c:idx val="12"/>
              <c:delete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1-994E-4CC4-B9BF-9174B5BE097D}"/>
                </c:ext>
              </c:extLst>
            </c:dLbl>
            <c:spPr>
              <a:noFill/>
              <a:ln w="25400">
                <a:noFill/>
              </a:ln>
            </c:spPr>
            <c:txPr>
              <a:bodyPr/>
              <a:lstStyle/>
              <a:p>
                <a:pPr>
                  <a:defRPr sz="1200" b="0" i="0" u="none" strike="noStrike" baseline="0">
                    <a:solidFill>
                      <a:srgbClr val="000000"/>
                    </a:solidFill>
                    <a:latin typeface="新細明體"/>
                    <a:ea typeface="新細明體"/>
                    <a:cs typeface="新細明體"/>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val>
            <c:numRef>
              <c:f>'RD-PR-006-003 '!$L$38:$L$50</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xmlns:c16r2="http://schemas.microsoft.com/office/drawing/2015/06/chart">
            <c:ext xmlns:c15="http://schemas.microsoft.com/office/drawing/2012/chart" uri="{02D57815-91ED-43cb-92C2-25804820EDAC}">
              <c15:filteredCategoryTitle>
                <c15:cat>
                  <c:multiLvlStrRef>
                    <c:extLst>
                      <c:ext uri="{02D57815-91ED-43cb-92C2-25804820EDAC}">
                        <c15:formulaRef>
                          <c15:sqref>'RD-PR-006-003 '!$K$38:$K$50</c15:sqref>
                        </c15:formulaRef>
                      </c:ext>
                    </c:extLst>
                  </c:multiLvlStrRef>
                </c15:cat>
              </c15:filteredCategoryTitle>
            </c:ext>
            <c:ext xmlns:c16="http://schemas.microsoft.com/office/drawing/2014/chart" uri="{C3380CC4-5D6E-409C-BE32-E72D297353CC}">
              <c16:uniqueId val="{00000002-994E-4CC4-B9BF-9174B5BE097D}"/>
            </c:ext>
          </c:extLst>
        </c:ser>
        <c:dLbls>
          <c:showLegendKey val="0"/>
          <c:showVal val="0"/>
          <c:showCatName val="0"/>
          <c:showSerName val="0"/>
          <c:showPercent val="0"/>
          <c:showBubbleSize val="0"/>
        </c:dLbls>
        <c:gapWidth val="0"/>
        <c:axId val="103076992"/>
        <c:axId val="103078528"/>
      </c:barChart>
      <c:catAx>
        <c:axId val="10307699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新細明體"/>
                <a:ea typeface="新細明體"/>
                <a:cs typeface="新細明體"/>
              </a:defRPr>
            </a:pPr>
            <a:endParaRPr lang="en-US"/>
          </a:p>
        </c:txPr>
        <c:crossAx val="103078528"/>
        <c:crosses val="autoZero"/>
        <c:auto val="1"/>
        <c:lblAlgn val="ctr"/>
        <c:lblOffset val="100"/>
        <c:tickLblSkip val="1"/>
        <c:tickMarkSkip val="1"/>
        <c:noMultiLvlLbl val="0"/>
      </c:catAx>
      <c:valAx>
        <c:axId val="103078528"/>
        <c:scaling>
          <c:orientation val="minMax"/>
          <c:max val="23"/>
          <c:min val="0"/>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新細明體"/>
                <a:ea typeface="新細明體"/>
                <a:cs typeface="新細明體"/>
              </a:defRPr>
            </a:pPr>
            <a:endParaRPr lang="en-US"/>
          </a:p>
        </c:txPr>
        <c:crossAx val="103076992"/>
        <c:crosses val="autoZero"/>
        <c:crossBetween val="between"/>
        <c:majorUnit val="4"/>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850" b="0" i="0" u="none" strike="noStrike" baseline="0">
          <a:solidFill>
            <a:srgbClr val="000000"/>
          </a:solidFill>
          <a:latin typeface="新細明體"/>
          <a:ea typeface="新細明體"/>
          <a:cs typeface="新細明體"/>
        </a:defRPr>
      </a:pPr>
      <a:endParaRPr lang="en-US"/>
    </a:p>
  </c:txPr>
  <c:printSettings>
    <c:headerFooter alignWithMargins="0"/>
    <c:pageMargins b="1" l="0.75000000000000078" r="0.75000000000000078"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27539503385996E-2"/>
          <c:y val="6.2271062271062209E-2"/>
          <c:w val="0.94808126410835214"/>
          <c:h val="0.81318681318681363"/>
        </c:manualLayout>
      </c:layout>
      <c:barChart>
        <c:barDir val="col"/>
        <c:grouping val="clustered"/>
        <c:varyColors val="0"/>
        <c:ser>
          <c:idx val="0"/>
          <c:order val="0"/>
          <c:spPr>
            <a:solidFill>
              <a:srgbClr val="00CCFF"/>
            </a:solidFill>
            <a:ln w="12700">
              <a:solidFill>
                <a:srgbClr val="000000"/>
              </a:solidFill>
              <a:prstDash val="solid"/>
            </a:ln>
          </c:spPr>
          <c:invertIfNegative val="0"/>
          <c:dLbls>
            <c:dLbl>
              <c:idx val="0"/>
              <c:delete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0-B8C7-421B-BD5D-0C07AE765941}"/>
                </c:ext>
              </c:extLst>
            </c:dLbl>
            <c:dLbl>
              <c:idx val="12"/>
              <c:delete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1-B8C7-421B-BD5D-0C07AE765941}"/>
                </c:ext>
              </c:extLst>
            </c:dLbl>
            <c:spPr>
              <a:noFill/>
              <a:ln w="25400">
                <a:noFill/>
              </a:ln>
            </c:spPr>
            <c:txPr>
              <a:bodyPr/>
              <a:lstStyle/>
              <a:p>
                <a:pPr>
                  <a:defRPr sz="1200" b="0" i="0" u="none" strike="noStrike" baseline="0">
                    <a:solidFill>
                      <a:srgbClr val="000000"/>
                    </a:solidFill>
                    <a:latin typeface="新細明體"/>
                    <a:ea typeface="新細明體"/>
                    <a:cs typeface="新細明體"/>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'RD-PR-006-003 '!$L$57:$L$69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6r2="http://schemas.microsoft.com/office/drawing/2015/06/chart">
            <c:ext xmlns:c15="http://schemas.microsoft.com/office/drawing/2012/chart" uri="{02D57815-91ED-43cb-92C2-25804820EDAC}">
              <c15:filteredCategoryTitle>
                <c15:cat>
                  <c:multiLvlStrRef>
                    <c:extLst>
                      <c:ext uri="{02D57815-91ED-43cb-92C2-25804820EDAC}">
                        <c15:formulaRef>
                          <c15:sqref>'RD-PR-006-003 '!$K$57:$K$69</c15:sqref>
                        </c15:formulaRef>
                      </c:ext>
                    </c:extLst>
                  </c:multiLvlStrRef>
                </c15:cat>
              </c15:filteredCategoryTitle>
            </c:ext>
            <c:ext xmlns:c16="http://schemas.microsoft.com/office/drawing/2014/chart" uri="{C3380CC4-5D6E-409C-BE32-E72D297353CC}">
              <c16:uniqueId val="{00000002-B8C7-421B-BD5D-0C07AE765941}"/>
            </c:ext>
          </c:extLst>
        </c:ser>
        <c:dLbls>
          <c:showLegendKey val="0"/>
          <c:showVal val="0"/>
          <c:showCatName val="0"/>
          <c:showSerName val="0"/>
          <c:showPercent val="0"/>
          <c:showBubbleSize val="0"/>
        </c:dLbls>
        <c:gapWidth val="0"/>
        <c:axId val="107363712"/>
        <c:axId val="107373696"/>
      </c:barChart>
      <c:catAx>
        <c:axId val="10736371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新細明體"/>
                <a:ea typeface="新細明體"/>
                <a:cs typeface="新細明體"/>
              </a:defRPr>
            </a:pPr>
            <a:endParaRPr lang="en-US"/>
          </a:p>
        </c:txPr>
        <c:crossAx val="107373696"/>
        <c:crosses val="autoZero"/>
        <c:auto val="1"/>
        <c:lblAlgn val="ctr"/>
        <c:lblOffset val="100"/>
        <c:tickLblSkip val="1"/>
        <c:tickMarkSkip val="1"/>
        <c:noMultiLvlLbl val="0"/>
      </c:catAx>
      <c:valAx>
        <c:axId val="107373696"/>
        <c:scaling>
          <c:orientation val="minMax"/>
          <c:max val="20"/>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新細明體"/>
                <a:ea typeface="新細明體"/>
                <a:cs typeface="新細明體"/>
              </a:defRPr>
            </a:pPr>
            <a:endParaRPr lang="en-US"/>
          </a:p>
        </c:txPr>
        <c:crossAx val="107363712"/>
        <c:crosses val="autoZero"/>
        <c:crossBetween val="between"/>
        <c:majorUnit val="4"/>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800" b="0" i="0" u="none" strike="noStrike" baseline="0">
          <a:solidFill>
            <a:srgbClr val="000000"/>
          </a:solidFill>
          <a:latin typeface="新細明體"/>
          <a:ea typeface="新細明體"/>
          <a:cs typeface="新細明體"/>
        </a:defRPr>
      </a:pPr>
      <a:endParaRPr lang="en-US"/>
    </a:p>
  </c:txPr>
  <c:printSettings>
    <c:headerFooter alignWithMargins="0"/>
    <c:pageMargins b="1" l="0.75000000000000078" r="0.75000000000000078"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6.png"/><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91109</xdr:colOff>
      <xdr:row>27</xdr:row>
      <xdr:rowOff>364434</xdr:rowOff>
    </xdr:from>
    <xdr:to>
      <xdr:col>0</xdr:col>
      <xdr:colOff>614984</xdr:colOff>
      <xdr:row>28</xdr:row>
      <xdr:rowOff>182217</xdr:rowOff>
    </xdr:to>
    <xdr:sp macro="" textlink="">
      <xdr:nvSpPr>
        <xdr:cNvPr id="9" name="Heptagon 8"/>
        <xdr:cNvSpPr/>
      </xdr:nvSpPr>
      <xdr:spPr>
        <a:xfrm>
          <a:off x="91109" y="5499651"/>
          <a:ext cx="523875" cy="198783"/>
        </a:xfrm>
        <a:prstGeom prst="heptagon">
          <a:avLst/>
        </a:prstGeom>
        <a:noFill/>
        <a:ln w="0">
          <a:solidFill>
            <a:sysClr val="windowText" lastClr="000000"/>
          </a:solidFill>
        </a:ln>
        <a:effectLst>
          <a:outerShdw sx="1000" sy="1000" algn="ctr" rotWithShape="0">
            <a:srgbClr val="000000"/>
          </a:outerShdw>
          <a:reflection endPos="0" dist="508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rPr>
            <a:t>1</a:t>
          </a:r>
          <a:endParaRPr lang="vi-VN" sz="1100" b="0">
            <a:solidFill>
              <a:sysClr val="windowText" lastClr="000000"/>
            </a:solidFill>
          </a:endParaRPr>
        </a:p>
      </xdr:txBody>
    </xdr:sp>
    <xdr:clientData/>
  </xdr:twoCellAnchor>
  <xdr:twoCellAnchor>
    <xdr:from>
      <xdr:col>0</xdr:col>
      <xdr:colOff>86552</xdr:colOff>
      <xdr:row>29</xdr:row>
      <xdr:rowOff>6448</xdr:rowOff>
    </xdr:from>
    <xdr:to>
      <xdr:col>0</xdr:col>
      <xdr:colOff>628237</xdr:colOff>
      <xdr:row>29</xdr:row>
      <xdr:rowOff>186181</xdr:rowOff>
    </xdr:to>
    <xdr:sp macro="" textlink="">
      <xdr:nvSpPr>
        <xdr:cNvPr id="10" name="Heptagon 9"/>
        <xdr:cNvSpPr/>
      </xdr:nvSpPr>
      <xdr:spPr>
        <a:xfrm>
          <a:off x="86552" y="5713165"/>
          <a:ext cx="541685" cy="179733"/>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2</a:t>
          </a:r>
          <a:endParaRPr lang="vi-VN" sz="1100" b="1">
            <a:ln>
              <a:solidFill>
                <a:schemeClr val="bg1"/>
              </a:solidFill>
            </a:ln>
            <a:solidFill>
              <a:sysClr val="windowText" lastClr="000000"/>
            </a:solidFill>
          </a:endParaRPr>
        </a:p>
      </xdr:txBody>
    </xdr:sp>
    <xdr:clientData/>
  </xdr:twoCellAnchor>
  <xdr:twoCellAnchor>
    <xdr:from>
      <xdr:col>0</xdr:col>
      <xdr:colOff>73300</xdr:colOff>
      <xdr:row>30</xdr:row>
      <xdr:rowOff>8816</xdr:rowOff>
    </xdr:from>
    <xdr:to>
      <xdr:col>0</xdr:col>
      <xdr:colOff>619953</xdr:colOff>
      <xdr:row>30</xdr:row>
      <xdr:rowOff>170741</xdr:rowOff>
    </xdr:to>
    <xdr:sp macro="" textlink="">
      <xdr:nvSpPr>
        <xdr:cNvPr id="11" name="Heptagon 10"/>
        <xdr:cNvSpPr/>
      </xdr:nvSpPr>
      <xdr:spPr>
        <a:xfrm>
          <a:off x="73300" y="5906033"/>
          <a:ext cx="546653" cy="161925"/>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3</a:t>
          </a:r>
          <a:endParaRPr lang="vi-VN" sz="1100" b="1">
            <a:ln>
              <a:solidFill>
                <a:schemeClr val="bg1"/>
              </a:solidFill>
            </a:ln>
            <a:solidFill>
              <a:sysClr val="windowText" lastClr="000000"/>
            </a:solidFill>
          </a:endParaRPr>
        </a:p>
      </xdr:txBody>
    </xdr:sp>
    <xdr:clientData/>
  </xdr:twoCellAnchor>
  <xdr:twoCellAnchor>
    <xdr:from>
      <xdr:col>0</xdr:col>
      <xdr:colOff>82826</xdr:colOff>
      <xdr:row>32</xdr:row>
      <xdr:rowOff>15857</xdr:rowOff>
    </xdr:from>
    <xdr:to>
      <xdr:col>0</xdr:col>
      <xdr:colOff>635276</xdr:colOff>
      <xdr:row>32</xdr:row>
      <xdr:rowOff>178906</xdr:rowOff>
    </xdr:to>
    <xdr:sp macro="" textlink="">
      <xdr:nvSpPr>
        <xdr:cNvPr id="12" name="Heptagon 11"/>
        <xdr:cNvSpPr/>
      </xdr:nvSpPr>
      <xdr:spPr>
        <a:xfrm>
          <a:off x="82826" y="6294074"/>
          <a:ext cx="552450" cy="163049"/>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5</a:t>
          </a:r>
          <a:endParaRPr lang="vi-VN" sz="1100" b="1">
            <a:ln>
              <a:solidFill>
                <a:schemeClr val="bg1"/>
              </a:solidFill>
            </a:ln>
            <a:solidFill>
              <a:sysClr val="windowText" lastClr="000000"/>
            </a:solidFill>
          </a:endParaRPr>
        </a:p>
      </xdr:txBody>
    </xdr:sp>
    <xdr:clientData/>
  </xdr:twoCellAnchor>
  <xdr:twoCellAnchor>
    <xdr:from>
      <xdr:col>0</xdr:col>
      <xdr:colOff>91108</xdr:colOff>
      <xdr:row>33</xdr:row>
      <xdr:rowOff>21182</xdr:rowOff>
    </xdr:from>
    <xdr:to>
      <xdr:col>0</xdr:col>
      <xdr:colOff>643558</xdr:colOff>
      <xdr:row>33</xdr:row>
      <xdr:rowOff>177780</xdr:rowOff>
    </xdr:to>
    <xdr:sp macro="" textlink="">
      <xdr:nvSpPr>
        <xdr:cNvPr id="13" name="Heptagon 12"/>
        <xdr:cNvSpPr/>
      </xdr:nvSpPr>
      <xdr:spPr>
        <a:xfrm>
          <a:off x="91108" y="6489899"/>
          <a:ext cx="552450" cy="156598"/>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6</a:t>
          </a:r>
          <a:endParaRPr lang="vi-VN" sz="1100" b="1">
            <a:ln>
              <a:solidFill>
                <a:schemeClr val="bg1"/>
              </a:solidFill>
            </a:ln>
            <a:solidFill>
              <a:sysClr val="windowText" lastClr="000000"/>
            </a:solidFill>
          </a:endParaRPr>
        </a:p>
      </xdr:txBody>
    </xdr:sp>
    <xdr:clientData/>
  </xdr:twoCellAnchor>
  <xdr:twoCellAnchor>
    <xdr:from>
      <xdr:col>0</xdr:col>
      <xdr:colOff>91109</xdr:colOff>
      <xdr:row>31</xdr:row>
      <xdr:rowOff>16565</xdr:rowOff>
    </xdr:from>
    <xdr:to>
      <xdr:col>0</xdr:col>
      <xdr:colOff>612914</xdr:colOff>
      <xdr:row>31</xdr:row>
      <xdr:rowOff>168966</xdr:rowOff>
    </xdr:to>
    <xdr:sp macro="" textlink="">
      <xdr:nvSpPr>
        <xdr:cNvPr id="14" name="Heptagon 13"/>
        <xdr:cNvSpPr/>
      </xdr:nvSpPr>
      <xdr:spPr>
        <a:xfrm>
          <a:off x="91109" y="6104282"/>
          <a:ext cx="521805" cy="152401"/>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4</a:t>
          </a:r>
          <a:endParaRPr lang="vi-VN" sz="1100" b="1">
            <a:ln>
              <a:solidFill>
                <a:schemeClr val="bg1"/>
              </a:solidFill>
            </a:ln>
            <a:solidFill>
              <a:sysClr val="windowText" lastClr="000000"/>
            </a:solidFill>
          </a:endParaRPr>
        </a:p>
      </xdr:txBody>
    </xdr:sp>
    <xdr:clientData/>
  </xdr:twoCellAnchor>
  <xdr:twoCellAnchor>
    <xdr:from>
      <xdr:col>0</xdr:col>
      <xdr:colOff>587374</xdr:colOff>
      <xdr:row>1</xdr:row>
      <xdr:rowOff>244475</xdr:rowOff>
    </xdr:from>
    <xdr:to>
      <xdr:col>2</xdr:col>
      <xdr:colOff>444499</xdr:colOff>
      <xdr:row>4</xdr:row>
      <xdr:rowOff>132815</xdr:rowOff>
    </xdr:to>
    <xdr:pic>
      <xdr:nvPicPr>
        <xdr:cNvPr id="15" name="Picture 1" descr="Description: Description: Description: cid:image005.jpg@01D1DDF6.788FD34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374" y="419100"/>
          <a:ext cx="1381125" cy="71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189258</xdr:colOff>
      <xdr:row>22</xdr:row>
      <xdr:rowOff>74542</xdr:rowOff>
    </xdr:from>
    <xdr:to>
      <xdr:col>8</xdr:col>
      <xdr:colOff>589308</xdr:colOff>
      <xdr:row>23</xdr:row>
      <xdr:rowOff>231912</xdr:rowOff>
    </xdr:to>
    <xdr:pic>
      <xdr:nvPicPr>
        <xdr:cNvPr id="16"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23258" y="4422912"/>
          <a:ext cx="1162050" cy="5549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287821</xdr:colOff>
      <xdr:row>22</xdr:row>
      <xdr:rowOff>33129</xdr:rowOff>
    </xdr:from>
    <xdr:to>
      <xdr:col>4</xdr:col>
      <xdr:colOff>421171</xdr:colOff>
      <xdr:row>23</xdr:row>
      <xdr:rowOff>173935</xdr:rowOff>
    </xdr:to>
    <xdr:pic>
      <xdr:nvPicPr>
        <xdr:cNvPr id="17" name="Picture 1"/>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73821" y="4381499"/>
          <a:ext cx="895350" cy="5383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753717</xdr:colOff>
      <xdr:row>22</xdr:row>
      <xdr:rowOff>26504</xdr:rowOff>
    </xdr:from>
    <xdr:to>
      <xdr:col>7</xdr:col>
      <xdr:colOff>3314</xdr:colOff>
      <xdr:row>23</xdr:row>
      <xdr:rowOff>381000</xdr:rowOff>
    </xdr:to>
    <xdr:cxnSp macro="">
      <xdr:nvCxnSpPr>
        <xdr:cNvPr id="1027" name="AutoShape 3"/>
        <xdr:cNvCxnSpPr>
          <a:cxnSpLocks noChangeShapeType="1"/>
        </xdr:cNvCxnSpPr>
      </xdr:nvCxnSpPr>
      <xdr:spPr bwMode="auto">
        <a:xfrm flipH="1">
          <a:off x="3801717" y="4374874"/>
          <a:ext cx="1535597" cy="75206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676275</xdr:colOff>
      <xdr:row>5</xdr:row>
      <xdr:rowOff>235324</xdr:rowOff>
    </xdr:from>
    <xdr:to>
      <xdr:col>17</xdr:col>
      <xdr:colOff>200025</xdr:colOff>
      <xdr:row>6</xdr:row>
      <xdr:rowOff>238125</xdr:rowOff>
    </xdr:to>
    <xdr:sp macro="" textlink="">
      <xdr:nvSpPr>
        <xdr:cNvPr id="2" name="Text Box 2"/>
        <xdr:cNvSpPr txBox="1">
          <a:spLocks noChangeArrowheads="1"/>
        </xdr:cNvSpPr>
      </xdr:nvSpPr>
      <xdr:spPr bwMode="auto">
        <a:xfrm>
          <a:off x="9013451" y="2028265"/>
          <a:ext cx="2145927" cy="451036"/>
        </a:xfrm>
        <a:prstGeom prst="rect">
          <a:avLst/>
        </a:prstGeom>
        <a:solidFill>
          <a:schemeClr val="bg1">
            <a:lumMod val="95000"/>
          </a:schemeClr>
        </a:solidFill>
        <a:ln w="9525">
          <a:solidFill>
            <a:srgbClr val="000000"/>
          </a:solidFill>
          <a:miter lim="800000"/>
          <a:headEnd/>
          <a:tailEnd/>
        </a:ln>
      </xdr:spPr>
      <xdr:txBody>
        <a:bodyPr vertOverflow="clip" wrap="square" lIns="18000" tIns="46800" rIns="18000" bIns="46800" anchor="ctr" upright="1"/>
        <a:lstStyle/>
        <a:p>
          <a:pPr algn="ctr" rtl="1"/>
          <a:r>
            <a:rPr kumimoji="0" lang="en-US"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rPr>
            <a:t>Required skills</a:t>
          </a:r>
          <a:endParaRPr lang="ko-KR" altLang="ko-KR" sz="800">
            <a:latin typeface="Times New Roman" pitchFamily="18" charset="0"/>
            <a:ea typeface="+mn-ea"/>
            <a:cs typeface="Times New Roman" pitchFamily="18" charset="0"/>
          </a:endParaRPr>
        </a:p>
      </xdr:txBody>
    </xdr:sp>
    <xdr:clientData/>
  </xdr:twoCellAnchor>
  <xdr:twoCellAnchor>
    <xdr:from>
      <xdr:col>12</xdr:col>
      <xdr:colOff>190500</xdr:colOff>
      <xdr:row>10</xdr:row>
      <xdr:rowOff>133350</xdr:rowOff>
    </xdr:from>
    <xdr:to>
      <xdr:col>13</xdr:col>
      <xdr:colOff>581025</xdr:colOff>
      <xdr:row>21</xdr:row>
      <xdr:rowOff>46381</xdr:rowOff>
    </xdr:to>
    <xdr:sp macro="" textlink="">
      <xdr:nvSpPr>
        <xdr:cNvPr id="3" name="Text Box 3"/>
        <xdr:cNvSpPr txBox="1">
          <a:spLocks noChangeArrowheads="1"/>
        </xdr:cNvSpPr>
      </xdr:nvSpPr>
      <xdr:spPr bwMode="auto">
        <a:xfrm>
          <a:off x="6362700" y="2790825"/>
          <a:ext cx="1076325" cy="2465731"/>
        </a:xfrm>
        <a:prstGeom prst="rect">
          <a:avLst/>
        </a:prstGeom>
        <a:solidFill>
          <a:srgbClr val="FFFFFF"/>
        </a:solidFill>
        <a:ln w="9525">
          <a:solidFill>
            <a:srgbClr val="000000"/>
          </a:solidFill>
          <a:miter lim="800000"/>
          <a:headEnd/>
          <a:tailEnd/>
        </a:ln>
      </xdr:spPr>
      <xdr:txBody>
        <a:bodyPr vertOverflow="clip" wrap="square" lIns="72000" tIns="72000" rIns="18000" bIns="46800" anchor="ctr" upright="1"/>
        <a:lstStyle/>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Number of trial product</a:t>
          </a: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Production plan</a:t>
          </a: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Checked frame,</a:t>
          </a:r>
          <a:r>
            <a:rPr lang="en-US" altLang="ko-KR" sz="800" b="0" i="0" strike="noStrike" baseline="0">
              <a:solidFill>
                <a:srgbClr val="000000"/>
              </a:solidFill>
              <a:latin typeface="Times New Roman" pitchFamily="18" charset="0"/>
              <a:ea typeface="바탕" pitchFamily="18" charset="-127"/>
              <a:cs typeface="Times New Roman" pitchFamily="18" charset="0"/>
            </a:rPr>
            <a:t> </a:t>
          </a:r>
          <a:r>
            <a:rPr lang="en-US" altLang="ko-KR" sz="800" b="0" i="0" strike="noStrike">
              <a:solidFill>
                <a:srgbClr val="000000"/>
              </a:solidFill>
              <a:latin typeface="Times New Roman" pitchFamily="18" charset="0"/>
              <a:ea typeface="바탕" pitchFamily="18" charset="-127"/>
              <a:cs typeface="Times New Roman" pitchFamily="18" charset="0"/>
            </a:rPr>
            <a:t>material</a:t>
          </a: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product</a:t>
          </a: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Test data</a:t>
          </a: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Trial production quantity</a:t>
          </a: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Customer feedback</a:t>
          </a: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Trial production report</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12</xdr:col>
      <xdr:colOff>190500</xdr:colOff>
      <xdr:row>9</xdr:row>
      <xdr:rowOff>180975</xdr:rowOff>
    </xdr:from>
    <xdr:to>
      <xdr:col>13</xdr:col>
      <xdr:colOff>571500</xdr:colOff>
      <xdr:row>10</xdr:row>
      <xdr:rowOff>66675</xdr:rowOff>
    </xdr:to>
    <xdr:sp macro="" textlink="">
      <xdr:nvSpPr>
        <xdr:cNvPr id="4" name="Text Box 4"/>
        <xdr:cNvSpPr txBox="1">
          <a:spLocks noChangeArrowheads="1"/>
        </xdr:cNvSpPr>
      </xdr:nvSpPr>
      <xdr:spPr bwMode="auto">
        <a:xfrm>
          <a:off x="6362700" y="2400300"/>
          <a:ext cx="1066800" cy="323850"/>
        </a:xfrm>
        <a:prstGeom prst="rect">
          <a:avLst/>
        </a:prstGeom>
        <a:solidFill>
          <a:schemeClr val="bg1">
            <a:lumMod val="95000"/>
          </a:schemeClr>
        </a:solidFill>
        <a:ln w="9525">
          <a:solidFill>
            <a:srgbClr val="000000"/>
          </a:solidFill>
          <a:miter lim="800000"/>
          <a:headEnd/>
          <a:tailEnd/>
        </a:ln>
      </xdr:spPr>
      <xdr:txBody>
        <a:bodyPr vertOverflow="clip" wrap="square" lIns="18000" tIns="0" rIns="18000" bIns="0" anchor="ctr" upright="1"/>
        <a:lstStyle/>
        <a:p>
          <a:pPr algn="ctr" rtl="1"/>
          <a:r>
            <a:rPr kumimoji="0" lang="en-US" sz="800" b="1" i="0" u="none" strike="noStrike" kern="0" cap="none" spc="0" normalizeH="0" baseline="0">
              <a:ln>
                <a:noFill/>
              </a:ln>
              <a:solidFill>
                <a:sysClr val="windowText" lastClr="000000"/>
              </a:solidFill>
              <a:effectLst/>
              <a:uLnTx/>
              <a:uFillTx/>
              <a:latin typeface="Times New Roman" pitchFamily="18" charset="0"/>
              <a:ea typeface="+mn-ea"/>
              <a:cs typeface="Times New Roman" pitchFamily="18" charset="0"/>
            </a:rPr>
            <a:t>Input</a:t>
          </a:r>
        </a:p>
      </xdr:txBody>
    </xdr:sp>
    <xdr:clientData/>
  </xdr:twoCellAnchor>
  <xdr:twoCellAnchor>
    <xdr:from>
      <xdr:col>10</xdr:col>
      <xdr:colOff>95250</xdr:colOff>
      <xdr:row>10</xdr:row>
      <xdr:rowOff>152400</xdr:rowOff>
    </xdr:from>
    <xdr:to>
      <xdr:col>12</xdr:col>
      <xdr:colOff>114300</xdr:colOff>
      <xdr:row>21</xdr:row>
      <xdr:rowOff>56029</xdr:rowOff>
    </xdr:to>
    <xdr:sp macro="" textlink="">
      <xdr:nvSpPr>
        <xdr:cNvPr id="5" name="AutoShape 5"/>
        <xdr:cNvSpPr>
          <a:spLocks noChangeArrowheads="1"/>
        </xdr:cNvSpPr>
      </xdr:nvSpPr>
      <xdr:spPr bwMode="auto">
        <a:xfrm>
          <a:off x="5574926" y="3883959"/>
          <a:ext cx="1083609" cy="2581835"/>
        </a:xfrm>
        <a:prstGeom prst="homePlate">
          <a:avLst>
            <a:gd name="adj" fmla="val 10843"/>
          </a:avLst>
        </a:prstGeom>
        <a:solidFill>
          <a:srgbClr val="FFFFFF"/>
        </a:solidFill>
        <a:ln w="3175">
          <a:solidFill>
            <a:srgbClr val="000000"/>
          </a:solidFill>
          <a:miter lim="800000"/>
          <a:headEnd/>
          <a:tailEnd/>
        </a:ln>
      </xdr:spPr>
      <xdr:txBody>
        <a:bodyPr vertOverflow="clip" wrap="square" lIns="72000" tIns="72000" rIns="91440" bIns="45720" anchor="ctr" upright="1"/>
        <a:lstStyle/>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Development process</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lnSpc>
              <a:spcPts val="800"/>
            </a:lnSpc>
            <a:defRPr sz="1000"/>
          </a:pPr>
          <a:r>
            <a:rPr lang="ko-KR" altLang="en-US" sz="800" b="0" i="0" strike="noStrike">
              <a:solidFill>
                <a:srgbClr val="000000"/>
              </a:solidFill>
              <a:latin typeface="Times New Roman" pitchFamily="18" charset="0"/>
              <a:ea typeface="바탕" pitchFamily="18" charset="-127"/>
              <a:cs typeface="Times New Roman" pitchFamily="18" charset="0"/>
            </a:rPr>
            <a:t> </a:t>
          </a:r>
        </a:p>
      </xdr:txBody>
    </xdr:sp>
    <xdr:clientData/>
  </xdr:twoCellAnchor>
  <xdr:twoCellAnchor>
    <xdr:from>
      <xdr:col>10</xdr:col>
      <xdr:colOff>85725</xdr:colOff>
      <xdr:row>9</xdr:row>
      <xdr:rowOff>180975</xdr:rowOff>
    </xdr:from>
    <xdr:to>
      <xdr:col>12</xdr:col>
      <xdr:colOff>114300</xdr:colOff>
      <xdr:row>10</xdr:row>
      <xdr:rowOff>66675</xdr:rowOff>
    </xdr:to>
    <xdr:sp macro="" textlink="">
      <xdr:nvSpPr>
        <xdr:cNvPr id="6" name="Text Box 6"/>
        <xdr:cNvSpPr txBox="1">
          <a:spLocks noChangeArrowheads="1"/>
        </xdr:cNvSpPr>
      </xdr:nvSpPr>
      <xdr:spPr bwMode="auto">
        <a:xfrm>
          <a:off x="5200650" y="2400300"/>
          <a:ext cx="1085850" cy="323850"/>
        </a:xfrm>
        <a:prstGeom prst="rect">
          <a:avLst/>
        </a:prstGeom>
        <a:solidFill>
          <a:schemeClr val="bg1">
            <a:lumMod val="95000"/>
          </a:schemeClr>
        </a:solidFill>
        <a:ln w="9525">
          <a:solidFill>
            <a:srgbClr val="000000"/>
          </a:solidFill>
          <a:miter lim="800000"/>
          <a:headEnd/>
          <a:tailEnd/>
        </a:ln>
      </xdr:spPr>
      <xdr:txBody>
        <a:bodyPr vertOverflow="clip" wrap="square" lIns="18000" tIns="0" rIns="18000" bIns="0" anchor="ctr" upright="1"/>
        <a:lstStyle/>
        <a:p>
          <a:pPr algn="ctr" rtl="1"/>
          <a:r>
            <a:rPr kumimoji="0" lang="en-US"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rPr>
            <a:t>Pre-process</a:t>
          </a:r>
          <a:endParaRPr lang="ko-KR" altLang="ko-KR" sz="800" b="1" i="0">
            <a:latin typeface="+mj-lt"/>
            <a:ea typeface="+mn-ea"/>
            <a:cs typeface="Times New Roman" pitchFamily="18" charset="0"/>
          </a:endParaRPr>
        </a:p>
      </xdr:txBody>
    </xdr:sp>
    <xdr:clientData/>
  </xdr:twoCellAnchor>
  <xdr:twoCellAnchor>
    <xdr:from>
      <xdr:col>15</xdr:col>
      <xdr:colOff>829234</xdr:colOff>
      <xdr:row>10</xdr:row>
      <xdr:rowOff>108502</xdr:rowOff>
    </xdr:from>
    <xdr:to>
      <xdr:col>17</xdr:col>
      <xdr:colOff>208307</xdr:colOff>
      <xdr:row>20</xdr:row>
      <xdr:rowOff>201706</xdr:rowOff>
    </xdr:to>
    <xdr:sp macro="" textlink="">
      <xdr:nvSpPr>
        <xdr:cNvPr id="7" name="AutoShape 7"/>
        <xdr:cNvSpPr>
          <a:spLocks noChangeArrowheads="1"/>
        </xdr:cNvSpPr>
      </xdr:nvSpPr>
      <xdr:spPr bwMode="auto">
        <a:xfrm>
          <a:off x="8230159" y="3985177"/>
          <a:ext cx="741148" cy="2564942"/>
        </a:xfrm>
        <a:prstGeom prst="homePlate">
          <a:avLst>
            <a:gd name="adj" fmla="val 15852"/>
          </a:avLst>
        </a:prstGeom>
        <a:solidFill>
          <a:srgbClr val="FFFFFF"/>
        </a:solidFill>
        <a:ln w="3175">
          <a:solidFill>
            <a:srgbClr val="000000"/>
          </a:solidFill>
          <a:miter lim="800000"/>
          <a:headEnd/>
          <a:tailEnd/>
        </a:ln>
      </xdr:spPr>
      <xdr:txBody>
        <a:bodyPr vertOverflow="clip" wrap="square" lIns="72000" tIns="72000" rIns="91440" bIns="45720" anchor="ctr" upright="1"/>
        <a:lstStyle/>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Production control procedure</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15</xdr:col>
      <xdr:colOff>695325</xdr:colOff>
      <xdr:row>9</xdr:row>
      <xdr:rowOff>161925</xdr:rowOff>
    </xdr:from>
    <xdr:to>
      <xdr:col>17</xdr:col>
      <xdr:colOff>161925</xdr:colOff>
      <xdr:row>10</xdr:row>
      <xdr:rowOff>47625</xdr:rowOff>
    </xdr:to>
    <xdr:sp macro="" textlink="">
      <xdr:nvSpPr>
        <xdr:cNvPr id="8" name="Text Box 8"/>
        <xdr:cNvSpPr txBox="1">
          <a:spLocks noChangeArrowheads="1"/>
        </xdr:cNvSpPr>
      </xdr:nvSpPr>
      <xdr:spPr bwMode="auto">
        <a:xfrm>
          <a:off x="9744075" y="2381250"/>
          <a:ext cx="1181100" cy="323850"/>
        </a:xfrm>
        <a:prstGeom prst="rect">
          <a:avLst/>
        </a:prstGeom>
        <a:solidFill>
          <a:schemeClr val="bg1">
            <a:lumMod val="95000"/>
          </a:schemeClr>
        </a:solidFill>
        <a:ln w="9525">
          <a:solidFill>
            <a:srgbClr val="000000"/>
          </a:solidFill>
          <a:miter lim="800000"/>
          <a:headEnd/>
          <a:tailEnd/>
        </a:ln>
      </xdr:spPr>
      <xdr:txBody>
        <a:bodyPr vertOverflow="clip" wrap="square" lIns="18000" tIns="0" rIns="18000" bIns="0" anchor="ctr" upright="1"/>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rPr>
            <a:t>Post process</a:t>
          </a:r>
          <a:endParaRPr kumimoji="0" lang="ko-KR"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endParaRPr>
        </a:p>
      </xdr:txBody>
    </xdr:sp>
    <xdr:clientData/>
  </xdr:twoCellAnchor>
  <xdr:twoCellAnchor>
    <xdr:from>
      <xdr:col>14</xdr:col>
      <xdr:colOff>482973</xdr:colOff>
      <xdr:row>10</xdr:row>
      <xdr:rowOff>133350</xdr:rowOff>
    </xdr:from>
    <xdr:to>
      <xdr:col>15</xdr:col>
      <xdr:colOff>692523</xdr:colOff>
      <xdr:row>20</xdr:row>
      <xdr:rowOff>203952</xdr:rowOff>
    </xdr:to>
    <xdr:sp macro="" textlink="">
      <xdr:nvSpPr>
        <xdr:cNvPr id="9" name="Text Box 9"/>
        <xdr:cNvSpPr txBox="1">
          <a:spLocks noChangeArrowheads="1"/>
        </xdr:cNvSpPr>
      </xdr:nvSpPr>
      <xdr:spPr bwMode="auto">
        <a:xfrm>
          <a:off x="8820149" y="3864909"/>
          <a:ext cx="1128433" cy="2524690"/>
        </a:xfrm>
        <a:prstGeom prst="rect">
          <a:avLst/>
        </a:prstGeom>
        <a:solidFill>
          <a:srgbClr val="FFFFFF"/>
        </a:solidFill>
        <a:ln w="9525">
          <a:solidFill>
            <a:srgbClr val="000000"/>
          </a:solidFill>
          <a:miter lim="800000"/>
          <a:headEnd/>
          <a:tailEnd/>
        </a:ln>
      </xdr:spPr>
      <xdr:txBody>
        <a:bodyPr vertOverflow="clip" wrap="square" lIns="72000" tIns="72000" rIns="18000" bIns="46800" anchor="ctr" upright="1"/>
        <a:lstStyle/>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Production plan setting</a:t>
          </a: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Checked</a:t>
          </a:r>
          <a:r>
            <a:rPr lang="en-US" altLang="ko-KR" sz="800" b="0" i="0" strike="noStrike" baseline="0">
              <a:solidFill>
                <a:srgbClr val="000000"/>
              </a:solidFill>
              <a:latin typeface="Times New Roman" pitchFamily="18" charset="0"/>
              <a:ea typeface="바탕" pitchFamily="18" charset="-127"/>
              <a:cs typeface="Times New Roman" pitchFamily="18" charset="0"/>
            </a:rPr>
            <a:t> m</a:t>
          </a:r>
          <a:r>
            <a:rPr lang="en-US" altLang="ko-KR" sz="800" b="0" i="0" strike="noStrike">
              <a:solidFill>
                <a:srgbClr val="000000"/>
              </a:solidFill>
              <a:latin typeface="Times New Roman" pitchFamily="18" charset="0"/>
              <a:ea typeface="바탕" pitchFamily="18" charset="-127"/>
              <a:cs typeface="Times New Roman" pitchFamily="18" charset="0"/>
            </a:rPr>
            <a:t>aterial</a:t>
          </a: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Sample</a:t>
          </a: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Delivery bill</a:t>
          </a: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Final production report</a:t>
          </a: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CPK results</a:t>
          </a: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Results after improvement and analysis</a:t>
          </a: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Mass production</a:t>
          </a:r>
        </a:p>
      </xdr:txBody>
    </xdr:sp>
    <xdr:clientData/>
  </xdr:twoCellAnchor>
  <xdr:twoCellAnchor>
    <xdr:from>
      <xdr:col>14</xdr:col>
      <xdr:colOff>438150</xdr:colOff>
      <xdr:row>9</xdr:row>
      <xdr:rowOff>180975</xdr:rowOff>
    </xdr:from>
    <xdr:to>
      <xdr:col>15</xdr:col>
      <xdr:colOff>619125</xdr:colOff>
      <xdr:row>10</xdr:row>
      <xdr:rowOff>66675</xdr:rowOff>
    </xdr:to>
    <xdr:sp macro="" textlink="">
      <xdr:nvSpPr>
        <xdr:cNvPr id="10" name="Text Box 10"/>
        <xdr:cNvSpPr txBox="1">
          <a:spLocks noChangeArrowheads="1"/>
        </xdr:cNvSpPr>
      </xdr:nvSpPr>
      <xdr:spPr bwMode="auto">
        <a:xfrm>
          <a:off x="8562975" y="2400300"/>
          <a:ext cx="1104900" cy="323850"/>
        </a:xfrm>
        <a:prstGeom prst="rect">
          <a:avLst/>
        </a:prstGeom>
        <a:solidFill>
          <a:schemeClr val="bg1">
            <a:lumMod val="95000"/>
          </a:schemeClr>
        </a:solidFill>
        <a:ln w="9525">
          <a:solidFill>
            <a:srgbClr val="000000"/>
          </a:solidFill>
          <a:miter lim="800000"/>
          <a:headEnd/>
          <a:tailEnd/>
        </a:ln>
      </xdr:spPr>
      <xdr:txBody>
        <a:bodyPr vertOverflow="clip" wrap="square" lIns="18000" tIns="0" rIns="1800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rPr>
            <a:t>Output</a:t>
          </a:r>
          <a:endParaRPr kumimoji="0" lang="en-US" altLang="ko-KR" sz="800" b="1" i="0" u="none" strike="noStrike" kern="0" cap="none" spc="0" normalizeH="0" baseline="0" noProof="0">
            <a:ln>
              <a:noFill/>
            </a:ln>
            <a:solidFill>
              <a:srgbClr val="000000"/>
            </a:solidFill>
            <a:effectLst/>
            <a:uLnTx/>
            <a:uFillTx/>
            <a:latin typeface="Times New Roman" pitchFamily="18" charset="0"/>
            <a:ea typeface="바탕" pitchFamily="18" charset="-127"/>
            <a:cs typeface="Times New Roman" pitchFamily="18" charset="0"/>
          </a:endParaRPr>
        </a:p>
      </xdr:txBody>
    </xdr:sp>
    <xdr:clientData/>
  </xdr:twoCellAnchor>
  <xdr:twoCellAnchor>
    <xdr:from>
      <xdr:col>10</xdr:col>
      <xdr:colOff>95250</xdr:colOff>
      <xdr:row>5</xdr:row>
      <xdr:rowOff>201706</xdr:rowOff>
    </xdr:from>
    <xdr:to>
      <xdr:col>13</xdr:col>
      <xdr:colOff>361950</xdr:colOff>
      <xdr:row>6</xdr:row>
      <xdr:rowOff>219075</xdr:rowOff>
    </xdr:to>
    <xdr:sp macro="" textlink="">
      <xdr:nvSpPr>
        <xdr:cNvPr id="11" name="Text Box 11"/>
        <xdr:cNvSpPr txBox="1">
          <a:spLocks noChangeArrowheads="1"/>
        </xdr:cNvSpPr>
      </xdr:nvSpPr>
      <xdr:spPr bwMode="auto">
        <a:xfrm>
          <a:off x="5574926" y="1994647"/>
          <a:ext cx="2014818" cy="465604"/>
        </a:xfrm>
        <a:prstGeom prst="rect">
          <a:avLst/>
        </a:prstGeom>
        <a:solidFill>
          <a:schemeClr val="bg1">
            <a:lumMod val="95000"/>
          </a:schemeClr>
        </a:solidFill>
        <a:ln w="9525">
          <a:solidFill>
            <a:srgbClr val="000000"/>
          </a:solidFill>
          <a:miter lim="800000"/>
          <a:headEnd/>
          <a:tailEnd/>
        </a:ln>
      </xdr:spPr>
      <xdr:txBody>
        <a:bodyPr vertOverflow="clip" wrap="square" lIns="18000" tIns="46800" rIns="18000" bIns="46800" anchor="ctr" upright="1"/>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rPr>
            <a:t>Documents</a:t>
          </a:r>
          <a:endParaRPr kumimoji="0" lang="ko-KR"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endParaRPr>
        </a:p>
      </xdr:txBody>
    </xdr:sp>
    <xdr:clientData/>
  </xdr:twoCellAnchor>
  <xdr:twoCellAnchor>
    <xdr:from>
      <xdr:col>10</xdr:col>
      <xdr:colOff>95250</xdr:colOff>
      <xdr:row>6</xdr:row>
      <xdr:rowOff>209550</xdr:rowOff>
    </xdr:from>
    <xdr:to>
      <xdr:col>13</xdr:col>
      <xdr:colOff>361950</xdr:colOff>
      <xdr:row>8</xdr:row>
      <xdr:rowOff>247650</xdr:rowOff>
    </xdr:to>
    <xdr:sp macro="" textlink="">
      <xdr:nvSpPr>
        <xdr:cNvPr id="12" name="Text Box 12"/>
        <xdr:cNvSpPr txBox="1">
          <a:spLocks noChangeArrowheads="1"/>
        </xdr:cNvSpPr>
      </xdr:nvSpPr>
      <xdr:spPr bwMode="auto">
        <a:xfrm>
          <a:off x="5210175" y="1371600"/>
          <a:ext cx="2009775" cy="762000"/>
        </a:xfrm>
        <a:prstGeom prst="rect">
          <a:avLst/>
        </a:prstGeom>
        <a:solidFill>
          <a:srgbClr val="FFFFFF"/>
        </a:solidFill>
        <a:ln w="9525">
          <a:solidFill>
            <a:srgbClr val="000000"/>
          </a:solidFill>
          <a:miter lim="800000"/>
          <a:headEnd/>
          <a:tailEnd/>
        </a:ln>
      </xdr:spPr>
      <xdr:txBody>
        <a:bodyPr vertOverflow="clip" wrap="square" lIns="108000" tIns="82800" rIns="18000" bIns="46800" anchor="ctr" upright="1"/>
        <a:lstStyle/>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 Error</a:t>
          </a:r>
          <a:r>
            <a:rPr lang="en-US" altLang="ko-KR" sz="800" b="0" i="0" strike="noStrike" baseline="0">
              <a:solidFill>
                <a:srgbClr val="000000"/>
              </a:solidFill>
              <a:latin typeface="Times New Roman" pitchFamily="18" charset="0"/>
              <a:ea typeface="바탕" pitchFamily="18" charset="-127"/>
              <a:cs typeface="Times New Roman" pitchFamily="18" charset="0"/>
            </a:rPr>
            <a:t> a</a:t>
          </a:r>
          <a:r>
            <a:rPr lang="en-US" altLang="ko-KR" sz="800" b="0" i="0" strike="noStrike">
              <a:solidFill>
                <a:srgbClr val="000000"/>
              </a:solidFill>
              <a:latin typeface="Times New Roman" pitchFamily="18" charset="0"/>
              <a:ea typeface="바탕" pitchFamily="18" charset="-127"/>
              <a:cs typeface="Times New Roman" pitchFamily="18" charset="0"/>
            </a:rPr>
            <a:t>nalysis, improvement</a:t>
          </a: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 Production report</a:t>
          </a: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 Minutes of meeting</a:t>
          </a: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 Standard inspection</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14</xdr:col>
      <xdr:colOff>676275</xdr:colOff>
      <xdr:row>6</xdr:row>
      <xdr:rowOff>228600</xdr:rowOff>
    </xdr:from>
    <xdr:to>
      <xdr:col>17</xdr:col>
      <xdr:colOff>200025</xdr:colOff>
      <xdr:row>8</xdr:row>
      <xdr:rowOff>257175</xdr:rowOff>
    </xdr:to>
    <xdr:sp macro="" textlink="">
      <xdr:nvSpPr>
        <xdr:cNvPr id="13" name="Text Box 13"/>
        <xdr:cNvSpPr txBox="1">
          <a:spLocks noChangeArrowheads="1"/>
        </xdr:cNvSpPr>
      </xdr:nvSpPr>
      <xdr:spPr bwMode="auto">
        <a:xfrm>
          <a:off x="8801100" y="1390650"/>
          <a:ext cx="2162175" cy="752475"/>
        </a:xfrm>
        <a:prstGeom prst="rect">
          <a:avLst/>
        </a:prstGeom>
        <a:solidFill>
          <a:srgbClr val="FFFFFF"/>
        </a:solidFill>
        <a:ln w="9525">
          <a:solidFill>
            <a:srgbClr val="000000"/>
          </a:solidFill>
          <a:miter lim="800000"/>
          <a:headEnd/>
          <a:tailEnd/>
        </a:ln>
      </xdr:spPr>
      <xdr:txBody>
        <a:bodyPr vertOverflow="clip" wrap="square" lIns="108000" tIns="82800" rIns="54000" bIns="46800" anchor="ctr" upright="1"/>
        <a:lstStyle/>
        <a:p>
          <a:pPr algn="l" rtl="1">
            <a:defRPr sz="1000"/>
          </a:pPr>
          <a:r>
            <a:rPr lang="en-US" altLang="ko-KR" sz="800" b="0" i="0" strike="noStrike">
              <a:solidFill>
                <a:schemeClr val="tx1"/>
              </a:solidFill>
              <a:latin typeface="Times New Roman" pitchFamily="18" charset="0"/>
              <a:ea typeface="바탕" pitchFamily="18" charset="-127"/>
              <a:cs typeface="Times New Roman" pitchFamily="18" charset="0"/>
            </a:rPr>
            <a:t/>
          </a:r>
          <a:br>
            <a:rPr lang="en-US" altLang="ko-KR" sz="800" b="0" i="0" strike="noStrike">
              <a:solidFill>
                <a:schemeClr val="tx1"/>
              </a:solidFill>
              <a:latin typeface="Times New Roman" pitchFamily="18" charset="0"/>
              <a:ea typeface="바탕" pitchFamily="18" charset="-127"/>
              <a:cs typeface="Times New Roman" pitchFamily="18" charset="0"/>
            </a:rPr>
          </a:br>
          <a:r>
            <a:rPr lang="en-US" altLang="ko-KR" sz="800" b="0" i="0" strike="noStrike">
              <a:solidFill>
                <a:schemeClr val="tx1"/>
              </a:solidFill>
              <a:latin typeface="Times New Roman" pitchFamily="18" charset="0"/>
              <a:ea typeface="바탕" pitchFamily="18" charset="-127"/>
              <a:cs typeface="Times New Roman" pitchFamily="18" charset="0"/>
            </a:rPr>
            <a:t>+ Error analysis skill</a:t>
          </a:r>
        </a:p>
        <a:p>
          <a:pPr algn="l" rtl="1">
            <a:defRPr sz="1000"/>
          </a:pPr>
          <a:r>
            <a:rPr lang="en-US" altLang="ko-KR" sz="800" b="0" i="0" strike="noStrike">
              <a:solidFill>
                <a:schemeClr val="tx1"/>
              </a:solidFill>
              <a:latin typeface="Times New Roman" pitchFamily="18" charset="0"/>
              <a:ea typeface="바탕" pitchFamily="18" charset="-127"/>
              <a:cs typeface="Times New Roman" pitchFamily="18" charset="0"/>
            </a:rPr>
            <a:t>+ Production planning</a:t>
          </a:r>
        </a:p>
        <a:p>
          <a:pPr algn="l" rtl="1">
            <a:defRPr sz="1000"/>
          </a:pPr>
          <a:r>
            <a:rPr lang="en-US" altLang="ko-KR" sz="800" b="0" i="0" strike="noStrike">
              <a:solidFill>
                <a:schemeClr val="tx1"/>
              </a:solidFill>
              <a:latin typeface="Times New Roman" pitchFamily="18" charset="0"/>
              <a:ea typeface="바탕" pitchFamily="18" charset="-127"/>
              <a:cs typeface="Times New Roman" pitchFamily="18" charset="0"/>
            </a:rPr>
            <a:t>+ Preparation of production report</a:t>
          </a:r>
          <a:endParaRPr lang="vi-VN" altLang="ko-KR" sz="800" b="0" i="0" strike="noStrike">
            <a:solidFill>
              <a:schemeClr val="tx1"/>
            </a:solidFill>
            <a:latin typeface="Times New Roman" pitchFamily="18" charset="0"/>
            <a:ea typeface="바탕" pitchFamily="18" charset="-127"/>
            <a:cs typeface="Times New Roman" pitchFamily="18" charset="0"/>
          </a:endParaRPr>
        </a:p>
      </xdr:txBody>
    </xdr:sp>
    <xdr:clientData/>
  </xdr:twoCellAnchor>
  <xdr:twoCellAnchor>
    <xdr:from>
      <xdr:col>10</xdr:col>
      <xdr:colOff>95250</xdr:colOff>
      <xdr:row>21</xdr:row>
      <xdr:rowOff>123825</xdr:rowOff>
    </xdr:from>
    <xdr:to>
      <xdr:col>13</xdr:col>
      <xdr:colOff>361950</xdr:colOff>
      <xdr:row>22</xdr:row>
      <xdr:rowOff>171450</xdr:rowOff>
    </xdr:to>
    <xdr:sp macro="" textlink="">
      <xdr:nvSpPr>
        <xdr:cNvPr id="14" name="Text Box 14"/>
        <xdr:cNvSpPr txBox="1">
          <a:spLocks noChangeArrowheads="1"/>
        </xdr:cNvSpPr>
      </xdr:nvSpPr>
      <xdr:spPr bwMode="auto">
        <a:xfrm>
          <a:off x="5210175" y="5334000"/>
          <a:ext cx="2009775" cy="276225"/>
        </a:xfrm>
        <a:prstGeom prst="rect">
          <a:avLst/>
        </a:prstGeom>
        <a:solidFill>
          <a:schemeClr val="bg1">
            <a:lumMod val="95000"/>
          </a:schemeClr>
        </a:solidFill>
        <a:ln w="9525">
          <a:solidFill>
            <a:srgbClr val="000000"/>
          </a:solidFill>
          <a:miter lim="800000"/>
          <a:headEnd/>
          <a:tailEnd/>
        </a:ln>
      </xdr:spPr>
      <xdr:txBody>
        <a:bodyPr vertOverflow="clip" wrap="square" lIns="18000" tIns="46800" rIns="18000" bIns="46800" anchor="ctr" upright="1"/>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rPr>
            <a:t>Method / Process</a:t>
          </a:r>
          <a:endParaRPr kumimoji="0" lang="ko-KR"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endParaRPr>
        </a:p>
      </xdr:txBody>
    </xdr:sp>
    <xdr:clientData/>
  </xdr:twoCellAnchor>
  <xdr:twoCellAnchor>
    <xdr:from>
      <xdr:col>10</xdr:col>
      <xdr:colOff>95250</xdr:colOff>
      <xdr:row>22</xdr:row>
      <xdr:rowOff>171450</xdr:rowOff>
    </xdr:from>
    <xdr:to>
      <xdr:col>13</xdr:col>
      <xdr:colOff>361950</xdr:colOff>
      <xdr:row>26</xdr:row>
      <xdr:rowOff>171450</xdr:rowOff>
    </xdr:to>
    <xdr:sp macro="" textlink="">
      <xdr:nvSpPr>
        <xdr:cNvPr id="15" name="Text Box 15"/>
        <xdr:cNvSpPr txBox="1">
          <a:spLocks noChangeArrowheads="1"/>
        </xdr:cNvSpPr>
      </xdr:nvSpPr>
      <xdr:spPr bwMode="auto">
        <a:xfrm>
          <a:off x="5210175" y="5610225"/>
          <a:ext cx="2009775" cy="914400"/>
        </a:xfrm>
        <a:prstGeom prst="rect">
          <a:avLst/>
        </a:prstGeom>
        <a:solidFill>
          <a:srgbClr val="FFFFFF"/>
        </a:solidFill>
        <a:ln w="9525">
          <a:solidFill>
            <a:srgbClr val="000000"/>
          </a:solidFill>
          <a:miter lim="800000"/>
          <a:headEnd/>
          <a:tailEnd/>
        </a:ln>
      </xdr:spPr>
      <xdr:txBody>
        <a:bodyPr vertOverflow="clip" wrap="square" lIns="108000" tIns="82800" rIns="18000" bIns="46800" anchor="ctr" upright="1"/>
        <a:lstStyle/>
        <a:p>
          <a:pPr algn="l" rtl="1"/>
          <a:r>
            <a:rPr lang="en-US" altLang="ko-KR" sz="800" b="0" i="0">
              <a:latin typeface="Times New Roman" pitchFamily="18" charset="0"/>
              <a:ea typeface="+mn-ea"/>
              <a:cs typeface="Times New Roman" pitchFamily="18" charset="0"/>
            </a:rPr>
            <a:t>+ Plan</a:t>
          </a:r>
          <a:r>
            <a:rPr lang="en-US" altLang="ko-KR" sz="800" b="0" i="0" baseline="0">
              <a:latin typeface="Times New Roman" pitchFamily="18" charset="0"/>
              <a:ea typeface="+mn-ea"/>
              <a:cs typeface="Times New Roman" pitchFamily="18" charset="0"/>
            </a:rPr>
            <a:t> setting</a:t>
          </a:r>
          <a:endParaRPr lang="en-US" altLang="ko-KR" sz="800" b="0" i="0">
            <a:latin typeface="Times New Roman" pitchFamily="18" charset="0"/>
            <a:ea typeface="+mn-ea"/>
            <a:cs typeface="Times New Roman" pitchFamily="18" charset="0"/>
          </a:endParaRPr>
        </a:p>
        <a:p>
          <a:pPr algn="l" rtl="1"/>
          <a:r>
            <a:rPr lang="en-US" altLang="ko-KR" sz="800" b="0" i="0">
              <a:latin typeface="Times New Roman" pitchFamily="18" charset="0"/>
              <a:ea typeface="+mn-ea"/>
              <a:cs typeface="Times New Roman" pitchFamily="18" charset="0"/>
            </a:rPr>
            <a:t>+ Production preparation</a:t>
          </a:r>
        </a:p>
        <a:p>
          <a:pPr algn="l" rtl="1"/>
          <a:r>
            <a:rPr lang="en-US" altLang="ko-KR" sz="800" b="0" i="0">
              <a:latin typeface="Times New Roman" pitchFamily="18" charset="0"/>
              <a:ea typeface="+mn-ea"/>
              <a:cs typeface="Times New Roman" pitchFamily="18" charset="0"/>
            </a:rPr>
            <a:t>+ Check, shipping</a:t>
          </a:r>
        </a:p>
        <a:p>
          <a:pPr algn="l" rtl="1"/>
          <a:r>
            <a:rPr lang="en-US" altLang="ko-KR" sz="800" b="0" i="0">
              <a:latin typeface="Times New Roman" pitchFamily="18" charset="0"/>
              <a:ea typeface="+mn-ea"/>
              <a:cs typeface="Times New Roman" pitchFamily="18" charset="0"/>
            </a:rPr>
            <a:t>+ Drafting report</a:t>
          </a:r>
        </a:p>
        <a:p>
          <a:pPr algn="l" rtl="1"/>
          <a:r>
            <a:rPr lang="en-US" altLang="ko-KR" sz="800" b="0" i="0">
              <a:latin typeface="Times New Roman" pitchFamily="18" charset="0"/>
              <a:ea typeface="+mn-ea"/>
              <a:cs typeface="Times New Roman" pitchFamily="18" charset="0"/>
            </a:rPr>
            <a:t>+ Action, analysis and improvement</a:t>
          </a:r>
        </a:p>
        <a:p>
          <a:pPr algn="l" rtl="1"/>
          <a:r>
            <a:rPr lang="en-US" altLang="ko-KR" sz="800" b="0" i="0">
              <a:latin typeface="Times New Roman" pitchFamily="18" charset="0"/>
              <a:ea typeface="+mn-ea"/>
              <a:cs typeface="Times New Roman" pitchFamily="18" charset="0"/>
            </a:rPr>
            <a:t>+ Mass production</a:t>
          </a:r>
          <a:endParaRPr lang="ko-KR" altLang="ko-KR" sz="800" b="0" i="0">
            <a:latin typeface="Times New Roman" pitchFamily="18" charset="0"/>
            <a:ea typeface="+mn-ea"/>
            <a:cs typeface="Times New Roman" pitchFamily="18" charset="0"/>
          </a:endParaRPr>
        </a:p>
      </xdr:txBody>
    </xdr:sp>
    <xdr:clientData/>
  </xdr:twoCellAnchor>
  <xdr:twoCellAnchor>
    <xdr:from>
      <xdr:col>14</xdr:col>
      <xdr:colOff>657225</xdr:colOff>
      <xdr:row>21</xdr:row>
      <xdr:rowOff>123825</xdr:rowOff>
    </xdr:from>
    <xdr:to>
      <xdr:col>17</xdr:col>
      <xdr:colOff>180975</xdr:colOff>
      <xdr:row>22</xdr:row>
      <xdr:rowOff>171450</xdr:rowOff>
    </xdr:to>
    <xdr:sp macro="" textlink="">
      <xdr:nvSpPr>
        <xdr:cNvPr id="16" name="Text Box 16"/>
        <xdr:cNvSpPr txBox="1">
          <a:spLocks noChangeArrowheads="1"/>
        </xdr:cNvSpPr>
      </xdr:nvSpPr>
      <xdr:spPr bwMode="auto">
        <a:xfrm>
          <a:off x="8782050" y="5334000"/>
          <a:ext cx="2162175" cy="276225"/>
        </a:xfrm>
        <a:prstGeom prst="rect">
          <a:avLst/>
        </a:prstGeom>
        <a:solidFill>
          <a:schemeClr val="bg1">
            <a:lumMod val="95000"/>
          </a:schemeClr>
        </a:solidFill>
        <a:ln w="9525">
          <a:solidFill>
            <a:srgbClr val="000000"/>
          </a:solidFill>
          <a:miter lim="800000"/>
          <a:headEnd/>
          <a:tailEnd/>
        </a:ln>
      </xdr:spPr>
      <xdr:txBody>
        <a:bodyPr vertOverflow="clip" wrap="square" lIns="18000" tIns="46800" rIns="18000" bIns="46800" anchor="ctr" upright="1"/>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rPr>
            <a:t>Process measurement indicator</a:t>
          </a:r>
          <a:endParaRPr kumimoji="0" lang="ko-KR"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endParaRPr>
        </a:p>
      </xdr:txBody>
    </xdr:sp>
    <xdr:clientData/>
  </xdr:twoCellAnchor>
  <xdr:twoCellAnchor>
    <xdr:from>
      <xdr:col>14</xdr:col>
      <xdr:colOff>657225</xdr:colOff>
      <xdr:row>22</xdr:row>
      <xdr:rowOff>171450</xdr:rowOff>
    </xdr:from>
    <xdr:to>
      <xdr:col>17</xdr:col>
      <xdr:colOff>180975</xdr:colOff>
      <xdr:row>26</xdr:row>
      <xdr:rowOff>171450</xdr:rowOff>
    </xdr:to>
    <xdr:sp macro="" textlink="">
      <xdr:nvSpPr>
        <xdr:cNvPr id="17" name="Text Box 17"/>
        <xdr:cNvSpPr txBox="1">
          <a:spLocks noChangeArrowheads="1"/>
        </xdr:cNvSpPr>
      </xdr:nvSpPr>
      <xdr:spPr bwMode="auto">
        <a:xfrm>
          <a:off x="8782050" y="5610225"/>
          <a:ext cx="2162175" cy="914400"/>
        </a:xfrm>
        <a:prstGeom prst="rect">
          <a:avLst/>
        </a:prstGeom>
        <a:solidFill>
          <a:srgbClr val="FFFFFF"/>
        </a:solidFill>
        <a:ln w="9525">
          <a:solidFill>
            <a:srgbClr val="000000"/>
          </a:solidFill>
          <a:miter lim="800000"/>
          <a:headEnd/>
          <a:tailEnd/>
        </a:ln>
      </xdr:spPr>
      <xdr:txBody>
        <a:bodyPr vertOverflow="clip" wrap="square" lIns="90000" tIns="46800" rIns="18000" bIns="46800" anchor="ctr" upright="1"/>
        <a:lstStyle/>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 Rate of</a:t>
          </a:r>
          <a:r>
            <a:rPr lang="en-US" altLang="ko-KR" sz="800" b="0" i="0" strike="noStrike" baseline="0">
              <a:solidFill>
                <a:srgbClr val="000000"/>
              </a:solidFill>
              <a:latin typeface="Times New Roman" pitchFamily="18" charset="0"/>
              <a:ea typeface="바탕" pitchFamily="18" charset="-127"/>
              <a:cs typeface="Times New Roman" pitchFamily="18" charset="0"/>
            </a:rPr>
            <a:t> qualified (OK) product </a:t>
          </a:r>
          <a:r>
            <a:rPr lang="vi-VN" altLang="ko-KR" sz="800" b="0" i="0" strike="noStrike" baseline="0">
              <a:solidFill>
                <a:srgbClr val="000000"/>
              </a:solidFill>
              <a:latin typeface="Times New Roman" pitchFamily="18" charset="0"/>
              <a:ea typeface="바탕" pitchFamily="18" charset="-127"/>
              <a:cs typeface="Times New Roman" pitchFamily="18" charset="0"/>
            </a:rPr>
            <a:t>%</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9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13</xdr:col>
      <xdr:colOff>638175</xdr:colOff>
      <xdr:row>9</xdr:row>
      <xdr:rowOff>180975</xdr:rowOff>
    </xdr:from>
    <xdr:to>
      <xdr:col>14</xdr:col>
      <xdr:colOff>409575</xdr:colOff>
      <xdr:row>10</xdr:row>
      <xdr:rowOff>66675</xdr:rowOff>
    </xdr:to>
    <xdr:sp macro="" textlink="">
      <xdr:nvSpPr>
        <xdr:cNvPr id="18" name="AutoShape 18"/>
        <xdr:cNvSpPr>
          <a:spLocks noChangeArrowheads="1"/>
        </xdr:cNvSpPr>
      </xdr:nvSpPr>
      <xdr:spPr bwMode="auto">
        <a:xfrm>
          <a:off x="7496175" y="2400300"/>
          <a:ext cx="1038225" cy="323850"/>
        </a:xfrm>
        <a:prstGeom prst="homePlate">
          <a:avLst>
            <a:gd name="adj" fmla="val 34760"/>
          </a:avLst>
        </a:prstGeom>
        <a:solidFill>
          <a:schemeClr val="bg1">
            <a:lumMod val="95000"/>
          </a:schemeClr>
        </a:solidFill>
        <a:ln w="3175">
          <a:solidFill>
            <a:srgbClr val="000000"/>
          </a:solidFill>
          <a:miter lim="800000"/>
          <a:headEnd/>
          <a:tailEnd/>
        </a:ln>
      </xdr:spPr>
      <xdr:txBody>
        <a:bodyPr vertOverflow="clip" wrap="square" lIns="91440" tIns="0" rIns="91440" bIns="0" anchor="ctr" upright="1"/>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rPr>
            <a:t>Process</a:t>
          </a:r>
          <a:endParaRPr kumimoji="0" lang="ko-KR" altLang="ko-KR" sz="800" b="1" i="0" u="none" strike="noStrike" kern="0" cap="none" spc="0" normalizeH="0" baseline="0" noProof="0">
            <a:ln>
              <a:noFill/>
            </a:ln>
            <a:solidFill>
              <a:sysClr val="windowText" lastClr="000000"/>
            </a:solidFill>
            <a:effectLst/>
            <a:uLnTx/>
            <a:uFillTx/>
            <a:latin typeface="Times New Roman" pitchFamily="18" charset="0"/>
            <a:ea typeface="+mn-ea"/>
            <a:cs typeface="Times New Roman" pitchFamily="18" charset="0"/>
          </a:endParaRPr>
        </a:p>
      </xdr:txBody>
    </xdr:sp>
    <xdr:clientData/>
  </xdr:twoCellAnchor>
  <xdr:twoCellAnchor>
    <xdr:from>
      <xdr:col>13</xdr:col>
      <xdr:colOff>638174</xdr:colOff>
      <xdr:row>10</xdr:row>
      <xdr:rowOff>133349</xdr:rowOff>
    </xdr:from>
    <xdr:to>
      <xdr:col>14</xdr:col>
      <xdr:colOff>403411</xdr:colOff>
      <xdr:row>21</xdr:row>
      <xdr:rowOff>11206</xdr:rowOff>
    </xdr:to>
    <xdr:sp macro="" textlink="">
      <xdr:nvSpPr>
        <xdr:cNvPr id="30" name="AutoShape 30" descr="3"/>
        <xdr:cNvSpPr>
          <a:spLocks noChangeArrowheads="1"/>
        </xdr:cNvSpPr>
      </xdr:nvSpPr>
      <xdr:spPr bwMode="auto">
        <a:xfrm>
          <a:off x="7865968" y="3864908"/>
          <a:ext cx="874619" cy="2556063"/>
        </a:xfrm>
        <a:prstGeom prst="flowChartAlternateProcess">
          <a:avLst/>
        </a:prstGeom>
        <a:blipFill dpi="0" rotWithShape="1">
          <a:blip xmlns:r="http://schemas.openxmlformats.org/officeDocument/2006/relationships" r:embed="rId1" cstate="print"/>
          <a:srcRect/>
          <a:stretch>
            <a:fillRect/>
          </a:stretch>
        </a:blipFill>
        <a:ln w="3175">
          <a:solidFill>
            <a:srgbClr val="000000"/>
          </a:solidFill>
          <a:miter lim="800000"/>
          <a:headEnd/>
          <a:tailEnd/>
        </a:ln>
      </xdr:spPr>
      <xdr:txBody>
        <a:bodyPr vertOverflow="clip" wrap="square" lIns="27432" tIns="18288" rIns="27432" bIns="0" anchor="ctr" upright="1"/>
        <a:lstStyle/>
        <a:p>
          <a:pPr algn="ctr" rtl="1">
            <a:defRPr sz="1000"/>
          </a:pPr>
          <a:r>
            <a:rPr lang="en-US" altLang="ko-KR" sz="700" b="0" i="0">
              <a:latin typeface="Times New Roman" pitchFamily="18" charset="0"/>
              <a:ea typeface="+mn-ea"/>
              <a:cs typeface="Times New Roman" pitchFamily="18" charset="0"/>
            </a:rPr>
            <a:t>Plan setting</a:t>
          </a:r>
        </a:p>
        <a:p>
          <a:pPr algn="ctr" rtl="1">
            <a:defRPr sz="1000"/>
          </a:pPr>
          <a:endParaRPr lang="en-US" altLang="ko-KR" sz="700" b="0" i="0">
            <a:latin typeface="Times New Roman" pitchFamily="18" charset="0"/>
            <a:ea typeface="+mn-ea"/>
            <a:cs typeface="Times New Roman" pitchFamily="18" charset="0"/>
          </a:endParaRPr>
        </a:p>
        <a:p>
          <a:pPr algn="ctr" rtl="1">
            <a:defRPr sz="1000"/>
          </a:pPr>
          <a:r>
            <a:rPr lang="en-US" altLang="ko-KR" sz="700" b="0" i="0">
              <a:latin typeface="Times New Roman" pitchFamily="18" charset="0"/>
              <a:ea typeface="+mn-ea"/>
              <a:cs typeface="Times New Roman" pitchFamily="18" charset="0"/>
            </a:rPr>
            <a:t>Preparation</a:t>
          </a:r>
          <a:r>
            <a:rPr lang="en-US" altLang="ko-KR" sz="700" b="0" i="0" baseline="0">
              <a:latin typeface="Times New Roman" pitchFamily="18" charset="0"/>
              <a:ea typeface="+mn-ea"/>
              <a:cs typeface="Times New Roman" pitchFamily="18" charset="0"/>
            </a:rPr>
            <a:t> for </a:t>
          </a:r>
          <a:r>
            <a:rPr lang="en-US" altLang="ko-KR" sz="700" b="0" i="0">
              <a:latin typeface="Times New Roman" pitchFamily="18" charset="0"/>
              <a:ea typeface="+mn-ea"/>
              <a:cs typeface="Times New Roman" pitchFamily="18" charset="0"/>
            </a:rPr>
            <a:t>Production and inspection</a:t>
          </a:r>
        </a:p>
        <a:p>
          <a:pPr algn="ctr" rtl="1">
            <a:defRPr sz="1000"/>
          </a:pPr>
          <a:endParaRPr lang="en-US" altLang="ko-KR" sz="700" b="0" i="0">
            <a:latin typeface="Times New Roman" pitchFamily="18" charset="0"/>
            <a:ea typeface="+mn-ea"/>
            <a:cs typeface="Times New Roman" pitchFamily="18" charset="0"/>
          </a:endParaRPr>
        </a:p>
        <a:p>
          <a:pPr algn="ctr" rtl="1">
            <a:defRPr sz="1000"/>
          </a:pPr>
          <a:r>
            <a:rPr lang="en-US" altLang="ko-KR" sz="700" b="0" i="0">
              <a:latin typeface="Times New Roman" pitchFamily="18" charset="0"/>
              <a:ea typeface="+mn-ea"/>
              <a:cs typeface="Times New Roman" pitchFamily="18" charset="0"/>
            </a:rPr>
            <a:t>Trial production</a:t>
          </a:r>
        </a:p>
        <a:p>
          <a:pPr algn="ctr" rtl="1">
            <a:defRPr sz="1000"/>
          </a:pPr>
          <a:r>
            <a:rPr lang="en-US" altLang="ko-KR" sz="700" b="0" i="0">
              <a:latin typeface="Times New Roman" pitchFamily="18" charset="0"/>
              <a:ea typeface="+mn-ea"/>
              <a:cs typeface="Times New Roman" pitchFamily="18" charset="0"/>
            </a:rPr>
            <a:t>Inspection and shipping</a:t>
          </a:r>
        </a:p>
        <a:p>
          <a:pPr algn="ctr" rtl="1">
            <a:defRPr sz="1000"/>
          </a:pPr>
          <a:endParaRPr lang="en-US" altLang="ko-KR" sz="700" b="0" i="0">
            <a:latin typeface="Times New Roman" pitchFamily="18" charset="0"/>
            <a:ea typeface="+mn-ea"/>
            <a:cs typeface="Times New Roman" pitchFamily="18" charset="0"/>
          </a:endParaRPr>
        </a:p>
        <a:p>
          <a:pPr algn="ctr" rtl="1">
            <a:defRPr sz="1000"/>
          </a:pPr>
          <a:r>
            <a:rPr lang="en-US" altLang="ko-KR" sz="700" b="0" i="0">
              <a:latin typeface="Times New Roman" pitchFamily="18" charset="0"/>
              <a:ea typeface="+mn-ea"/>
              <a:cs typeface="Times New Roman" pitchFamily="18" charset="0"/>
            </a:rPr>
            <a:t>Drafting report</a:t>
          </a:r>
        </a:p>
        <a:p>
          <a:pPr algn="ctr" rtl="1">
            <a:defRPr sz="1000"/>
          </a:pPr>
          <a:r>
            <a:rPr lang="en-US" altLang="ko-KR" sz="700" b="0" i="0">
              <a:latin typeface="Times New Roman" pitchFamily="18" charset="0"/>
              <a:ea typeface="+mn-ea"/>
              <a:cs typeface="Times New Roman" pitchFamily="18" charset="0"/>
            </a:rPr>
            <a:t>Improvement</a:t>
          </a:r>
        </a:p>
        <a:p>
          <a:pPr algn="ctr" rtl="1">
            <a:defRPr sz="1000"/>
          </a:pPr>
          <a:r>
            <a:rPr lang="en-US" altLang="ko-KR" sz="700" b="0" i="0">
              <a:latin typeface="Times New Roman" pitchFamily="18" charset="0"/>
              <a:ea typeface="+mn-ea"/>
              <a:cs typeface="Times New Roman" pitchFamily="18" charset="0"/>
            </a:rPr>
            <a:t>Mass production at the first, or second production trial procedure</a:t>
          </a:r>
          <a:endParaRPr lang="ko-KR" altLang="en-US" sz="700" b="0" i="0" strike="noStrike">
            <a:solidFill>
              <a:schemeClr val="tx1"/>
            </a:solidFill>
            <a:latin typeface="Times New Roman" pitchFamily="18" charset="0"/>
            <a:ea typeface="바탕" pitchFamily="18" charset="-127"/>
            <a:cs typeface="Times New Roman" pitchFamily="18" charset="0"/>
          </a:endParaRPr>
        </a:p>
      </xdr:txBody>
    </xdr:sp>
    <xdr:clientData/>
  </xdr:twoCellAnchor>
  <xdr:twoCellAnchor editAs="oneCell">
    <xdr:from>
      <xdr:col>1</xdr:col>
      <xdr:colOff>112059</xdr:colOff>
      <xdr:row>13</xdr:row>
      <xdr:rowOff>41967</xdr:rowOff>
    </xdr:from>
    <xdr:to>
      <xdr:col>8</xdr:col>
      <xdr:colOff>571500</xdr:colOff>
      <xdr:row>26</xdr:row>
      <xdr:rowOff>118223</xdr:rowOff>
    </xdr:to>
    <xdr:pic>
      <xdr:nvPicPr>
        <xdr:cNvPr id="21" name="Picture 20"/>
        <xdr:cNvPicPr>
          <a:picLocks noChangeAspect="1"/>
        </xdr:cNvPicPr>
      </xdr:nvPicPr>
      <xdr:blipFill rotWithShape="1">
        <a:blip xmlns:r="http://schemas.openxmlformats.org/officeDocument/2006/relationships" r:embed="rId2"/>
        <a:srcRect l="20500" t="13154" r="21366" b="13270"/>
        <a:stretch/>
      </xdr:blipFill>
      <xdr:spPr>
        <a:xfrm>
          <a:off x="179294" y="4322614"/>
          <a:ext cx="5053853" cy="3034609"/>
        </a:xfrm>
        <a:prstGeom prst="rect">
          <a:avLst/>
        </a:prstGeom>
      </xdr:spPr>
    </xdr:pic>
    <xdr:clientData/>
  </xdr:twoCellAnchor>
  <xdr:twoCellAnchor>
    <xdr:from>
      <xdr:col>13</xdr:col>
      <xdr:colOff>357594</xdr:colOff>
      <xdr:row>8</xdr:row>
      <xdr:rowOff>123264</xdr:rowOff>
    </xdr:from>
    <xdr:to>
      <xdr:col>13</xdr:col>
      <xdr:colOff>838755</xdr:colOff>
      <xdr:row>9</xdr:row>
      <xdr:rowOff>177612</xdr:rowOff>
    </xdr:to>
    <xdr:grpSp>
      <xdr:nvGrpSpPr>
        <xdr:cNvPr id="22" name="Group 19"/>
        <xdr:cNvGrpSpPr>
          <a:grpSpLocks/>
        </xdr:cNvGrpSpPr>
      </xdr:nvGrpSpPr>
      <xdr:grpSpPr bwMode="auto">
        <a:xfrm>
          <a:off x="7572782" y="3266514"/>
          <a:ext cx="481161" cy="387723"/>
          <a:chOff x="727" y="217"/>
          <a:chExt cx="53" cy="41"/>
        </a:xfrm>
      </xdr:grpSpPr>
      <xdr:sp macro="" textlink="">
        <xdr:nvSpPr>
          <xdr:cNvPr id="23" name="AutoShape 20"/>
          <xdr:cNvSpPr>
            <a:spLocks noChangeArrowheads="1"/>
          </xdr:cNvSpPr>
        </xdr:nvSpPr>
        <xdr:spPr bwMode="auto">
          <a:xfrm rot="-2418846">
            <a:off x="744" y="217"/>
            <a:ext cx="36" cy="41"/>
          </a:xfrm>
          <a:prstGeom prst="downArrow">
            <a:avLst>
              <a:gd name="adj1" fmla="val 39120"/>
              <a:gd name="adj2" fmla="val 40473"/>
            </a:avLst>
          </a:prstGeom>
          <a:solidFill>
            <a:srgbClr val="969696"/>
          </a:solidFill>
          <a:ln w="3175">
            <a:noFill/>
            <a:miter lim="800000"/>
            <a:headEnd/>
            <a:tailEnd/>
          </a:ln>
        </xdr:spPr>
      </xdr:sp>
      <xdr:sp macro="" textlink="">
        <xdr:nvSpPr>
          <xdr:cNvPr id="24" name="Rectangle 21"/>
          <xdr:cNvSpPr>
            <a:spLocks noChangeArrowheads="1"/>
          </xdr:cNvSpPr>
        </xdr:nvSpPr>
        <xdr:spPr bwMode="auto">
          <a:xfrm>
            <a:off x="727" y="218"/>
            <a:ext cx="26" cy="11"/>
          </a:xfrm>
          <a:prstGeom prst="rect">
            <a:avLst/>
          </a:prstGeom>
          <a:solidFill>
            <a:srgbClr val="969696"/>
          </a:solidFill>
          <a:ln w="3175">
            <a:noFill/>
            <a:miter lim="800000"/>
            <a:headEnd/>
            <a:tailEnd/>
          </a:ln>
        </xdr:spPr>
      </xdr:sp>
    </xdr:grpSp>
    <xdr:clientData/>
  </xdr:twoCellAnchor>
  <xdr:twoCellAnchor>
    <xdr:from>
      <xdr:col>14</xdr:col>
      <xdr:colOff>148474</xdr:colOff>
      <xdr:row>8</xdr:row>
      <xdr:rowOff>132789</xdr:rowOff>
    </xdr:from>
    <xdr:to>
      <xdr:col>14</xdr:col>
      <xdr:colOff>683688</xdr:colOff>
      <xdr:row>9</xdr:row>
      <xdr:rowOff>187137</xdr:rowOff>
    </xdr:to>
    <xdr:grpSp>
      <xdr:nvGrpSpPr>
        <xdr:cNvPr id="25" name="Group 22"/>
        <xdr:cNvGrpSpPr>
          <a:grpSpLocks/>
        </xdr:cNvGrpSpPr>
      </xdr:nvGrpSpPr>
      <xdr:grpSpPr bwMode="auto">
        <a:xfrm>
          <a:off x="8476896" y="3276039"/>
          <a:ext cx="535214" cy="387723"/>
          <a:chOff x="825" y="218"/>
          <a:chExt cx="59" cy="41"/>
        </a:xfrm>
      </xdr:grpSpPr>
      <xdr:sp macro="" textlink="">
        <xdr:nvSpPr>
          <xdr:cNvPr id="26" name="AutoShape 23"/>
          <xdr:cNvSpPr>
            <a:spLocks noChangeArrowheads="1"/>
          </xdr:cNvSpPr>
        </xdr:nvSpPr>
        <xdr:spPr bwMode="auto">
          <a:xfrm rot="2413414">
            <a:off x="825" y="218"/>
            <a:ext cx="36" cy="41"/>
          </a:xfrm>
          <a:prstGeom prst="downArrow">
            <a:avLst>
              <a:gd name="adj1" fmla="val 39120"/>
              <a:gd name="adj2" fmla="val 40473"/>
            </a:avLst>
          </a:prstGeom>
          <a:solidFill>
            <a:srgbClr val="969696"/>
          </a:solidFill>
          <a:ln w="3175">
            <a:noFill/>
            <a:miter lim="800000"/>
            <a:headEnd/>
            <a:tailEnd/>
          </a:ln>
        </xdr:spPr>
      </xdr:sp>
      <xdr:sp macro="" textlink="">
        <xdr:nvSpPr>
          <xdr:cNvPr id="27" name="Rectangle 24"/>
          <xdr:cNvSpPr>
            <a:spLocks noChangeArrowheads="1"/>
          </xdr:cNvSpPr>
        </xdr:nvSpPr>
        <xdr:spPr bwMode="auto">
          <a:xfrm>
            <a:off x="851" y="218"/>
            <a:ext cx="33" cy="14"/>
          </a:xfrm>
          <a:prstGeom prst="rect">
            <a:avLst/>
          </a:prstGeom>
          <a:solidFill>
            <a:srgbClr val="969696"/>
          </a:solidFill>
          <a:ln w="3175">
            <a:noFill/>
            <a:miter lim="800000"/>
            <a:headEnd/>
            <a:tailEnd/>
          </a:ln>
        </xdr:spPr>
      </xdr:sp>
    </xdr:grpSp>
    <xdr:clientData/>
  </xdr:twoCellAnchor>
  <xdr:twoCellAnchor>
    <xdr:from>
      <xdr:col>13</xdr:col>
      <xdr:colOff>358589</xdr:colOff>
      <xdr:row>21</xdr:row>
      <xdr:rowOff>0</xdr:rowOff>
    </xdr:from>
    <xdr:to>
      <xdr:col>14</xdr:col>
      <xdr:colOff>661148</xdr:colOff>
      <xdr:row>23</xdr:row>
      <xdr:rowOff>23533</xdr:rowOff>
    </xdr:to>
    <xdr:grpSp>
      <xdr:nvGrpSpPr>
        <xdr:cNvPr id="28" name="Group 25"/>
        <xdr:cNvGrpSpPr>
          <a:grpSpLocks/>
        </xdr:cNvGrpSpPr>
      </xdr:nvGrpSpPr>
      <xdr:grpSpPr bwMode="auto">
        <a:xfrm>
          <a:off x="7573777" y="6607969"/>
          <a:ext cx="1415793" cy="475970"/>
          <a:chOff x="716" y="527"/>
          <a:chExt cx="171" cy="66"/>
        </a:xfrm>
      </xdr:grpSpPr>
      <xdr:sp macro="" textlink="">
        <xdr:nvSpPr>
          <xdr:cNvPr id="29" name="AutoShape 26"/>
          <xdr:cNvSpPr>
            <a:spLocks noChangeArrowheads="1"/>
          </xdr:cNvSpPr>
        </xdr:nvSpPr>
        <xdr:spPr bwMode="auto">
          <a:xfrm rot="-9352444">
            <a:off x="741" y="527"/>
            <a:ext cx="36" cy="56"/>
          </a:xfrm>
          <a:prstGeom prst="downArrow">
            <a:avLst>
              <a:gd name="adj1" fmla="val 39120"/>
              <a:gd name="adj2" fmla="val 55280"/>
            </a:avLst>
          </a:prstGeom>
          <a:solidFill>
            <a:srgbClr val="969696"/>
          </a:solidFill>
          <a:ln w="3175">
            <a:noFill/>
            <a:miter lim="800000"/>
            <a:headEnd/>
            <a:tailEnd/>
          </a:ln>
        </xdr:spPr>
      </xdr:sp>
      <xdr:sp macro="" textlink="">
        <xdr:nvSpPr>
          <xdr:cNvPr id="32" name="Rectangle 27"/>
          <xdr:cNvSpPr>
            <a:spLocks noChangeArrowheads="1"/>
          </xdr:cNvSpPr>
        </xdr:nvSpPr>
        <xdr:spPr bwMode="auto">
          <a:xfrm>
            <a:off x="716" y="566"/>
            <a:ext cx="37" cy="17"/>
          </a:xfrm>
          <a:prstGeom prst="rect">
            <a:avLst/>
          </a:prstGeom>
          <a:solidFill>
            <a:srgbClr val="969696"/>
          </a:solidFill>
          <a:ln w="3175">
            <a:noFill/>
            <a:miter lim="800000"/>
            <a:headEnd/>
            <a:tailEnd/>
          </a:ln>
        </xdr:spPr>
      </xdr:sp>
      <xdr:sp macro="" textlink="">
        <xdr:nvSpPr>
          <xdr:cNvPr id="33" name="AutoShape 28"/>
          <xdr:cNvSpPr>
            <a:spLocks noChangeArrowheads="1"/>
          </xdr:cNvSpPr>
        </xdr:nvSpPr>
        <xdr:spPr bwMode="auto">
          <a:xfrm rot="-5400000">
            <a:off x="848" y="553"/>
            <a:ext cx="40" cy="39"/>
          </a:xfrm>
          <a:prstGeom prst="downArrow">
            <a:avLst>
              <a:gd name="adj1" fmla="val 39120"/>
              <a:gd name="adj2" fmla="val 35537"/>
            </a:avLst>
          </a:prstGeom>
          <a:solidFill>
            <a:srgbClr val="969696"/>
          </a:solidFill>
          <a:ln w="3175">
            <a:noFill/>
            <a:miter lim="800000"/>
            <a:headEnd/>
            <a:tailEnd/>
          </a:ln>
        </xdr:spPr>
      </xdr:sp>
      <xdr:sp macro="" textlink="">
        <xdr:nvSpPr>
          <xdr:cNvPr id="34" name="Rectangle 29"/>
          <xdr:cNvSpPr>
            <a:spLocks noChangeArrowheads="1"/>
          </xdr:cNvSpPr>
        </xdr:nvSpPr>
        <xdr:spPr bwMode="auto">
          <a:xfrm rot="3303641">
            <a:off x="811" y="547"/>
            <a:ext cx="55" cy="15"/>
          </a:xfrm>
          <a:prstGeom prst="rect">
            <a:avLst/>
          </a:prstGeom>
          <a:solidFill>
            <a:srgbClr val="969696"/>
          </a:solidFill>
          <a:ln w="3175">
            <a:noFill/>
            <a:miter lim="800000"/>
            <a:headEnd/>
            <a:tailEnd/>
          </a:ln>
        </xdr:spPr>
      </xdr:sp>
    </xdr:grpSp>
    <xdr:clientData/>
  </xdr:twoCellAnchor>
  <xdr:twoCellAnchor>
    <xdr:from>
      <xdr:col>1</xdr:col>
      <xdr:colOff>454398</xdr:colOff>
      <xdr:row>0</xdr:row>
      <xdr:rowOff>146236</xdr:rowOff>
    </xdr:from>
    <xdr:to>
      <xdr:col>3</xdr:col>
      <xdr:colOff>274896</xdr:colOff>
      <xdr:row>1</xdr:row>
      <xdr:rowOff>291353</xdr:rowOff>
    </xdr:to>
    <xdr:pic>
      <xdr:nvPicPr>
        <xdr:cNvPr id="35" name="Picture 1" descr="Description: Description: Description: cid:image005.jpg@01D1DDF6.788FD34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21633" y="146236"/>
          <a:ext cx="1266057" cy="660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318247</xdr:colOff>
      <xdr:row>6</xdr:row>
      <xdr:rowOff>366992</xdr:rowOff>
    </xdr:from>
    <xdr:to>
      <xdr:col>9</xdr:col>
      <xdr:colOff>599514</xdr:colOff>
      <xdr:row>6</xdr:row>
      <xdr:rowOff>562535</xdr:rowOff>
    </xdr:to>
    <xdr:sp macro="" textlink="">
      <xdr:nvSpPr>
        <xdr:cNvPr id="2" name="Rectangle 10"/>
        <xdr:cNvSpPr>
          <a:spLocks noChangeArrowheads="1"/>
        </xdr:cNvSpPr>
      </xdr:nvSpPr>
      <xdr:spPr bwMode="auto">
        <a:xfrm flipH="1">
          <a:off x="4542865" y="2518521"/>
          <a:ext cx="281267" cy="195543"/>
        </a:xfrm>
        <a:prstGeom prst="rect">
          <a:avLst/>
        </a:prstGeom>
        <a:solidFill>
          <a:srgbClr val="FFFFFF"/>
        </a:solidFill>
        <a:ln w="9525">
          <a:noFill/>
          <a:miter lim="800000"/>
          <a:headEnd/>
          <a:tailEnd/>
        </a:ln>
        <a:effectLst/>
      </xdr:spPr>
      <xdr:txBody>
        <a:bodyPr vertOverflow="clip" wrap="square" lIns="0" tIns="0" rIns="0" bIns="0" anchor="ctr" upright="1"/>
        <a:lstStyle/>
        <a:p>
          <a:pPr algn="ctr" rtl="1">
            <a:defRPr sz="1000"/>
          </a:pPr>
          <a:r>
            <a:rPr lang="en-US" altLang="ko-KR" sz="1000" b="1" i="0" strike="noStrike">
              <a:solidFill>
                <a:srgbClr val="000000"/>
              </a:solidFill>
              <a:latin typeface="Times New Roman" pitchFamily="18" charset="0"/>
              <a:ea typeface="굴림"/>
              <a:cs typeface="Times New Roman" pitchFamily="18" charset="0"/>
            </a:rPr>
            <a:t>N</a:t>
          </a:r>
        </a:p>
      </xdr:txBody>
    </xdr:sp>
    <xdr:clientData/>
  </xdr:twoCellAnchor>
  <xdr:twoCellAnchor>
    <xdr:from>
      <xdr:col>8</xdr:col>
      <xdr:colOff>219074</xdr:colOff>
      <xdr:row>8</xdr:row>
      <xdr:rowOff>276223</xdr:rowOff>
    </xdr:from>
    <xdr:to>
      <xdr:col>10</xdr:col>
      <xdr:colOff>369793</xdr:colOff>
      <xdr:row>8</xdr:row>
      <xdr:rowOff>862852</xdr:rowOff>
    </xdr:to>
    <xdr:sp macro="" textlink="">
      <xdr:nvSpPr>
        <xdr:cNvPr id="3" name="AutoShape 181"/>
        <xdr:cNvSpPr>
          <a:spLocks noChangeArrowheads="1"/>
        </xdr:cNvSpPr>
      </xdr:nvSpPr>
      <xdr:spPr bwMode="auto">
        <a:xfrm>
          <a:off x="4096309" y="4299135"/>
          <a:ext cx="1360955" cy="586629"/>
        </a:xfrm>
        <a:prstGeom prst="flowChartProcess">
          <a:avLst/>
        </a:prstGeom>
        <a:solidFill>
          <a:srgbClr val="FFFFCC"/>
        </a:solidFill>
        <a:ln w="28575">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1000" b="1" i="0" strike="noStrike">
              <a:solidFill>
                <a:srgbClr val="000000"/>
              </a:solidFill>
              <a:latin typeface="Times New Roman" pitchFamily="18" charset="0"/>
              <a:ea typeface="바탕" pitchFamily="18" charset="-127"/>
              <a:cs typeface="Times New Roman" pitchFamily="18" charset="0"/>
            </a:rPr>
            <a:t>Trial production</a:t>
          </a:r>
          <a:endParaRPr lang="ko-KR" altLang="en-US" sz="10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8</xdr:col>
      <xdr:colOff>168088</xdr:colOff>
      <xdr:row>12</xdr:row>
      <xdr:rowOff>246530</xdr:rowOff>
    </xdr:from>
    <xdr:to>
      <xdr:col>10</xdr:col>
      <xdr:colOff>333375</xdr:colOff>
      <xdr:row>12</xdr:row>
      <xdr:rowOff>862853</xdr:rowOff>
    </xdr:to>
    <xdr:sp macro="" textlink="">
      <xdr:nvSpPr>
        <xdr:cNvPr id="5" name="AutoShape 220"/>
        <xdr:cNvSpPr>
          <a:spLocks noChangeArrowheads="1"/>
        </xdr:cNvSpPr>
      </xdr:nvSpPr>
      <xdr:spPr bwMode="auto">
        <a:xfrm>
          <a:off x="4045323" y="11217089"/>
          <a:ext cx="1375523" cy="616323"/>
        </a:xfrm>
        <a:prstGeom prst="flowChartProcess">
          <a:avLst/>
        </a:prstGeom>
        <a:solidFill>
          <a:srgbClr val="FFFFCC"/>
        </a:solidFill>
        <a:ln w="28575">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1000" b="1" i="0" u="none" strike="noStrike">
              <a:latin typeface="Times New Roman" pitchFamily="18" charset="0"/>
              <a:ea typeface="+mn-ea"/>
              <a:cs typeface="Times New Roman" pitchFamily="18" charset="0"/>
            </a:rPr>
            <a:t>Inspection and shipping</a:t>
          </a:r>
          <a:endParaRPr lang="ko-KR" altLang="en-US" sz="10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4</xdr:col>
      <xdr:colOff>305360</xdr:colOff>
      <xdr:row>13</xdr:row>
      <xdr:rowOff>372596</xdr:rowOff>
    </xdr:from>
    <xdr:to>
      <xdr:col>7</xdr:col>
      <xdr:colOff>295835</xdr:colOff>
      <xdr:row>13</xdr:row>
      <xdr:rowOff>886946</xdr:rowOff>
    </xdr:to>
    <xdr:sp macro="" textlink="">
      <xdr:nvSpPr>
        <xdr:cNvPr id="6" name="AutoShape 221"/>
        <xdr:cNvSpPr>
          <a:spLocks noChangeArrowheads="1"/>
        </xdr:cNvSpPr>
      </xdr:nvSpPr>
      <xdr:spPr bwMode="auto">
        <a:xfrm>
          <a:off x="2389654" y="12486155"/>
          <a:ext cx="1335181" cy="514350"/>
        </a:xfrm>
        <a:prstGeom prst="flowChartProcess">
          <a:avLst/>
        </a:prstGeom>
        <a:solidFill>
          <a:srgbClr val="FFFFCC"/>
        </a:solidFill>
        <a:ln w="28575">
          <a:solidFill>
            <a:srgbClr val="000000"/>
          </a:solidFill>
          <a:miter lim="800000"/>
          <a:headEnd/>
          <a:tailEnd/>
        </a:ln>
        <a:effectLst/>
      </xdr:spPr>
      <xdr:txBody>
        <a:bodyPr vertOverflow="clip" wrap="square" lIns="27432" tIns="18288" rIns="27432" bIns="18288" anchor="ctr" upright="1"/>
        <a:lstStyle/>
        <a:p>
          <a:pPr algn="ctr" rtl="1">
            <a:defRPr sz="1000"/>
          </a:pPr>
          <a:r>
            <a:rPr lang="vi-VN" altLang="ko-KR" sz="1000" b="1" i="0" strike="noStrike">
              <a:solidFill>
                <a:srgbClr val="000000"/>
              </a:solidFill>
              <a:latin typeface="Times New Roman" pitchFamily="18" charset="0"/>
              <a:ea typeface="바탕" pitchFamily="18" charset="-127"/>
              <a:cs typeface="Times New Roman" pitchFamily="18" charset="0"/>
            </a:rPr>
            <a:t>Prepar</a:t>
          </a:r>
          <a:r>
            <a:rPr lang="en-US" altLang="ko-KR" sz="1000" b="1" i="0" strike="noStrike">
              <a:solidFill>
                <a:srgbClr val="000000"/>
              </a:solidFill>
              <a:latin typeface="Times New Roman" pitchFamily="18" charset="0"/>
              <a:ea typeface="바탕" pitchFamily="18" charset="-127"/>
              <a:cs typeface="Times New Roman" pitchFamily="18" charset="0"/>
            </a:rPr>
            <a:t>ation</a:t>
          </a:r>
          <a:r>
            <a:rPr lang="en-US" altLang="ko-KR" sz="1000" b="1" i="0" strike="noStrike" baseline="0">
              <a:solidFill>
                <a:srgbClr val="000000"/>
              </a:solidFill>
              <a:latin typeface="Times New Roman" pitchFamily="18" charset="0"/>
              <a:ea typeface="바탕" pitchFamily="18" charset="-127"/>
              <a:cs typeface="Times New Roman" pitchFamily="18" charset="0"/>
            </a:rPr>
            <a:t> of trial</a:t>
          </a:r>
          <a:r>
            <a:rPr lang="vi-VN" altLang="ko-KR" sz="1000" b="1" i="0" strike="noStrike">
              <a:solidFill>
                <a:srgbClr val="000000"/>
              </a:solidFill>
              <a:latin typeface="Times New Roman" pitchFamily="18" charset="0"/>
              <a:ea typeface="바탕" pitchFamily="18" charset="-127"/>
              <a:cs typeface="Times New Roman" pitchFamily="18" charset="0"/>
            </a:rPr>
            <a:t> production report</a:t>
          </a:r>
          <a:endParaRPr lang="ko-KR" altLang="en-US" sz="10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9</xdr:col>
      <xdr:colOff>267966</xdr:colOff>
      <xdr:row>7</xdr:row>
      <xdr:rowOff>600075</xdr:rowOff>
    </xdr:from>
    <xdr:to>
      <xdr:col>9</xdr:col>
      <xdr:colOff>294433</xdr:colOff>
      <xdr:row>8</xdr:row>
      <xdr:rowOff>276223</xdr:rowOff>
    </xdr:to>
    <xdr:cxnSp macro="">
      <xdr:nvCxnSpPr>
        <xdr:cNvPr id="7" name="AutoShape 240"/>
        <xdr:cNvCxnSpPr>
          <a:cxnSpLocks noChangeShapeType="1"/>
          <a:stCxn id="8" idx="2"/>
          <a:endCxn id="3" idx="0"/>
        </xdr:cNvCxnSpPr>
      </xdr:nvCxnSpPr>
      <xdr:spPr bwMode="auto">
        <a:xfrm rot="16200000" flipH="1">
          <a:off x="4365185" y="3887533"/>
          <a:ext cx="796736" cy="26467"/>
        </a:xfrm>
        <a:prstGeom prst="straightConnector1">
          <a:avLst/>
        </a:prstGeom>
        <a:noFill/>
        <a:ln w="317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160293</xdr:colOff>
      <xdr:row>7</xdr:row>
      <xdr:rowOff>8282</xdr:rowOff>
    </xdr:from>
    <xdr:to>
      <xdr:col>10</xdr:col>
      <xdr:colOff>375641</xdr:colOff>
      <xdr:row>7</xdr:row>
      <xdr:rowOff>600075</xdr:rowOff>
    </xdr:to>
    <xdr:sp macro="" textlink="">
      <xdr:nvSpPr>
        <xdr:cNvPr id="8" name="AutoShape 248"/>
        <xdr:cNvSpPr>
          <a:spLocks noChangeArrowheads="1"/>
        </xdr:cNvSpPr>
      </xdr:nvSpPr>
      <xdr:spPr bwMode="auto">
        <a:xfrm>
          <a:off x="3779793" y="2764929"/>
          <a:ext cx="1425583" cy="591793"/>
        </a:xfrm>
        <a:prstGeom prst="flowChartDecision">
          <a:avLst/>
        </a:prstGeom>
        <a:solidFill>
          <a:srgbClr val="FFFFCC"/>
        </a:solidFill>
        <a:ln w="28575">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1000" b="1" i="0" strike="noStrike">
              <a:solidFill>
                <a:srgbClr val="000000"/>
              </a:solidFill>
              <a:latin typeface="Times New Roman" pitchFamily="18" charset="0"/>
              <a:ea typeface="바탕" pitchFamily="18" charset="-127"/>
              <a:cs typeface="Times New Roman" pitchFamily="18" charset="0"/>
            </a:rPr>
            <a:t>Check storage</a:t>
          </a:r>
          <a:endParaRPr lang="ko-KR" altLang="en-US" sz="10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4</xdr:col>
      <xdr:colOff>133350</xdr:colOff>
      <xdr:row>6</xdr:row>
      <xdr:rowOff>95250</xdr:rowOff>
    </xdr:from>
    <xdr:to>
      <xdr:col>7</xdr:col>
      <xdr:colOff>342900</xdr:colOff>
      <xdr:row>6</xdr:row>
      <xdr:rowOff>495300</xdr:rowOff>
    </xdr:to>
    <xdr:sp macro="" textlink="">
      <xdr:nvSpPr>
        <xdr:cNvPr id="9" name="AutoShape 254"/>
        <xdr:cNvSpPr>
          <a:spLocks noChangeArrowheads="1"/>
        </xdr:cNvSpPr>
      </xdr:nvSpPr>
      <xdr:spPr bwMode="auto">
        <a:xfrm>
          <a:off x="2647950" y="2238375"/>
          <a:ext cx="1552575" cy="400050"/>
        </a:xfrm>
        <a:prstGeom prst="flowChartProcess">
          <a:avLst/>
        </a:prstGeom>
        <a:solidFill>
          <a:srgbClr val="FFFFCC"/>
        </a:solidFill>
        <a:ln w="28575">
          <a:solidFill>
            <a:srgbClr val="000000"/>
          </a:solidFill>
          <a:miter lim="800000"/>
          <a:headEnd/>
          <a:tailEnd/>
        </a:ln>
      </xdr:spPr>
      <xdr:txBody>
        <a:bodyPr vertOverflow="clip" wrap="square" lIns="27432" tIns="18288" rIns="27432" bIns="18288" anchor="ctr" upright="1"/>
        <a:lstStyle/>
        <a:p>
          <a:pPr algn="ctr" rtl="1">
            <a:defRPr sz="1000"/>
          </a:pPr>
          <a:r>
            <a:rPr lang="en-US" altLang="ko-KR" sz="1000" b="1" i="0" strike="noStrike">
              <a:solidFill>
                <a:srgbClr val="000000"/>
              </a:solidFill>
              <a:latin typeface="Times New Roman" pitchFamily="18" charset="0"/>
              <a:ea typeface="바탕" pitchFamily="18" charset="-127"/>
              <a:cs typeface="Times New Roman" pitchFamily="18" charset="0"/>
            </a:rPr>
            <a:t>Production, Storing</a:t>
          </a:r>
          <a:r>
            <a:rPr lang="en-US" altLang="ko-KR" sz="1000" b="1" i="0" strike="noStrike" baseline="0">
              <a:solidFill>
                <a:srgbClr val="000000"/>
              </a:solidFill>
              <a:latin typeface="Times New Roman" pitchFamily="18" charset="0"/>
              <a:ea typeface="바탕" pitchFamily="18" charset="-127"/>
              <a:cs typeface="Times New Roman" pitchFamily="18" charset="0"/>
            </a:rPr>
            <a:t> </a:t>
          </a:r>
          <a:r>
            <a:rPr lang="en-US" altLang="ko-KR" sz="1000" b="1" i="0" strike="noStrike">
              <a:solidFill>
                <a:srgbClr val="000000"/>
              </a:solidFill>
              <a:latin typeface="Times New Roman" pitchFamily="18" charset="0"/>
              <a:ea typeface="바탕" pitchFamily="18" charset="-127"/>
              <a:cs typeface="Times New Roman" pitchFamily="18" charset="0"/>
            </a:rPr>
            <a:t>auxiliary materials</a:t>
          </a:r>
          <a:endParaRPr lang="ko-KR" altLang="en-US" sz="10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1</xdr:col>
      <xdr:colOff>82363</xdr:colOff>
      <xdr:row>13</xdr:row>
      <xdr:rowOff>386883</xdr:rowOff>
    </xdr:from>
    <xdr:to>
      <xdr:col>3</xdr:col>
      <xdr:colOff>244288</xdr:colOff>
      <xdr:row>13</xdr:row>
      <xdr:rowOff>872659</xdr:rowOff>
    </xdr:to>
    <xdr:sp macro="" textlink="">
      <xdr:nvSpPr>
        <xdr:cNvPr id="10" name="AutoShape 269"/>
        <xdr:cNvSpPr>
          <a:spLocks noChangeArrowheads="1"/>
        </xdr:cNvSpPr>
      </xdr:nvSpPr>
      <xdr:spPr bwMode="auto">
        <a:xfrm>
          <a:off x="821951" y="12500442"/>
          <a:ext cx="1058396" cy="485776"/>
        </a:xfrm>
        <a:prstGeom prst="flowChartProcess">
          <a:avLst/>
        </a:prstGeom>
        <a:solidFill>
          <a:srgbClr val="FFFFCC"/>
        </a:solidFill>
        <a:ln w="28575">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1000" b="1" i="0" strike="noStrike">
              <a:solidFill>
                <a:srgbClr val="000000"/>
              </a:solidFill>
              <a:latin typeface="Times New Roman" pitchFamily="18" charset="0"/>
              <a:ea typeface="바탕" pitchFamily="18" charset="-127"/>
              <a:cs typeface="Times New Roman" pitchFamily="18" charset="0"/>
            </a:rPr>
            <a:t>Analysis of trialproduction report</a:t>
          </a:r>
          <a:endParaRPr lang="ko-KR" altLang="en-US" sz="10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2</xdr:col>
      <xdr:colOff>163326</xdr:colOff>
      <xdr:row>13</xdr:row>
      <xdr:rowOff>872658</xdr:rowOff>
    </xdr:from>
    <xdr:to>
      <xdr:col>5</xdr:col>
      <xdr:colOff>357245</xdr:colOff>
      <xdr:row>13</xdr:row>
      <xdr:rowOff>1248797</xdr:rowOff>
    </xdr:to>
    <xdr:cxnSp macro="">
      <xdr:nvCxnSpPr>
        <xdr:cNvPr id="11" name="AutoShape 272"/>
        <xdr:cNvCxnSpPr>
          <a:cxnSpLocks noChangeShapeType="1"/>
          <a:stCxn id="10" idx="2"/>
          <a:endCxn id="17" idx="0"/>
        </xdr:cNvCxnSpPr>
      </xdr:nvCxnSpPr>
      <xdr:spPr bwMode="auto">
        <a:xfrm rot="16200000" flipH="1">
          <a:off x="1966682" y="12370685"/>
          <a:ext cx="376139" cy="1607204"/>
        </a:xfrm>
        <a:prstGeom prst="bentConnector3">
          <a:avLst>
            <a:gd name="adj1" fmla="val 50000"/>
          </a:avLst>
        </a:prstGeom>
        <a:noFill/>
        <a:ln w="317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271183</xdr:colOff>
      <xdr:row>7</xdr:row>
      <xdr:rowOff>512670</xdr:rowOff>
    </xdr:from>
    <xdr:to>
      <xdr:col>9</xdr:col>
      <xdr:colOff>552450</xdr:colOff>
      <xdr:row>8</xdr:row>
      <xdr:rowOff>26895</xdr:rowOff>
    </xdr:to>
    <xdr:sp macro="" textlink="">
      <xdr:nvSpPr>
        <xdr:cNvPr id="13" name="Rectangle 10"/>
        <xdr:cNvSpPr>
          <a:spLocks noChangeArrowheads="1"/>
        </xdr:cNvSpPr>
      </xdr:nvSpPr>
      <xdr:spPr bwMode="auto">
        <a:xfrm flipH="1">
          <a:off x="4495801" y="3269317"/>
          <a:ext cx="281267" cy="421902"/>
        </a:xfrm>
        <a:prstGeom prst="rect">
          <a:avLst/>
        </a:prstGeom>
        <a:noFill/>
        <a:ln w="9525">
          <a:noFill/>
          <a:miter lim="800000"/>
          <a:headEnd/>
          <a:tailEnd/>
        </a:ln>
        <a:effectLst/>
      </xdr:spPr>
      <xdr:txBody>
        <a:bodyPr vertOverflow="clip" wrap="square" lIns="0" tIns="0" rIns="0" bIns="0" anchor="ctr" upright="1"/>
        <a:lstStyle/>
        <a:p>
          <a:pPr algn="ctr" rtl="1">
            <a:defRPr sz="1000"/>
          </a:pPr>
          <a:r>
            <a:rPr lang="en-US" altLang="ko-KR" sz="1000" b="1" i="0" strike="noStrike">
              <a:solidFill>
                <a:srgbClr val="000000"/>
              </a:solidFill>
              <a:latin typeface="Times New Roman" pitchFamily="18" charset="0"/>
              <a:ea typeface="굴림"/>
              <a:cs typeface="Times New Roman" pitchFamily="18" charset="0"/>
            </a:rPr>
            <a:t>Y</a:t>
          </a:r>
        </a:p>
      </xdr:txBody>
    </xdr:sp>
    <xdr:clientData/>
  </xdr:twoCellAnchor>
  <xdr:twoCellAnchor>
    <xdr:from>
      <xdr:col>7</xdr:col>
      <xdr:colOff>295835</xdr:colOff>
      <xdr:row>12</xdr:row>
      <xdr:rowOff>862853</xdr:rowOff>
    </xdr:from>
    <xdr:to>
      <xdr:col>9</xdr:col>
      <xdr:colOff>250732</xdr:colOff>
      <xdr:row>13</xdr:row>
      <xdr:rowOff>629771</xdr:rowOff>
    </xdr:to>
    <xdr:cxnSp macro="">
      <xdr:nvCxnSpPr>
        <xdr:cNvPr id="14" name="AutoShape 313"/>
        <xdr:cNvCxnSpPr>
          <a:cxnSpLocks noChangeShapeType="1"/>
          <a:stCxn id="5" idx="2"/>
          <a:endCxn id="6" idx="3"/>
        </xdr:cNvCxnSpPr>
      </xdr:nvCxnSpPr>
      <xdr:spPr bwMode="auto">
        <a:xfrm rot="5400000">
          <a:off x="3774001" y="11784246"/>
          <a:ext cx="909918" cy="10082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200025</xdr:colOff>
      <xdr:row>5</xdr:row>
      <xdr:rowOff>400050</xdr:rowOff>
    </xdr:from>
    <xdr:to>
      <xdr:col>8</xdr:col>
      <xdr:colOff>247650</xdr:colOff>
      <xdr:row>5</xdr:row>
      <xdr:rowOff>400050</xdr:rowOff>
    </xdr:to>
    <xdr:cxnSp macro="">
      <xdr:nvCxnSpPr>
        <xdr:cNvPr id="15" name="AutoShape 31"/>
        <xdr:cNvCxnSpPr>
          <a:cxnSpLocks noChangeShapeType="1"/>
          <a:stCxn id="23" idx="2"/>
          <a:endCxn id="21" idx="3"/>
        </xdr:cNvCxnSpPr>
      </xdr:nvCxnSpPr>
      <xdr:spPr bwMode="auto">
        <a:xfrm flipH="1">
          <a:off x="4057650" y="1685925"/>
          <a:ext cx="4953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244289</xdr:colOff>
      <xdr:row>13</xdr:row>
      <xdr:rowOff>629771</xdr:rowOff>
    </xdr:from>
    <xdr:to>
      <xdr:col>4</xdr:col>
      <xdr:colOff>305361</xdr:colOff>
      <xdr:row>13</xdr:row>
      <xdr:rowOff>631359</xdr:rowOff>
    </xdr:to>
    <xdr:cxnSp macro="">
      <xdr:nvCxnSpPr>
        <xdr:cNvPr id="16" name="AutoShape 32"/>
        <xdr:cNvCxnSpPr>
          <a:cxnSpLocks noChangeShapeType="1"/>
          <a:stCxn id="6" idx="1"/>
          <a:endCxn id="10" idx="3"/>
        </xdr:cNvCxnSpPr>
      </xdr:nvCxnSpPr>
      <xdr:spPr bwMode="auto">
        <a:xfrm rot="10800000">
          <a:off x="1880348" y="12743330"/>
          <a:ext cx="509307" cy="1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201706</xdr:colOff>
      <xdr:row>13</xdr:row>
      <xdr:rowOff>1248798</xdr:rowOff>
    </xdr:from>
    <xdr:to>
      <xdr:col>7</xdr:col>
      <xdr:colOff>201706</xdr:colOff>
      <xdr:row>14</xdr:row>
      <xdr:rowOff>918882</xdr:rowOff>
    </xdr:to>
    <xdr:sp macro="" textlink="">
      <xdr:nvSpPr>
        <xdr:cNvPr id="17" name="AutoShape 248"/>
        <xdr:cNvSpPr>
          <a:spLocks noChangeArrowheads="1"/>
        </xdr:cNvSpPr>
      </xdr:nvSpPr>
      <xdr:spPr bwMode="auto">
        <a:xfrm>
          <a:off x="1869141" y="14166939"/>
          <a:ext cx="1075765" cy="1014790"/>
        </a:xfrm>
        <a:prstGeom prst="flowChartDecision">
          <a:avLst/>
        </a:prstGeom>
        <a:solidFill>
          <a:srgbClr val="FFFFCC"/>
        </a:solidFill>
        <a:ln w="28575">
          <a:solidFill>
            <a:srgbClr val="000000"/>
          </a:solidFill>
          <a:miter lim="800000"/>
          <a:headEnd/>
          <a:tailEnd/>
        </a:ln>
      </xdr:spPr>
      <xdr:txBody>
        <a:bodyPr vertOverflow="clip" wrap="square" lIns="27432" tIns="18288" rIns="27432" bIns="18288" anchor="ctr" upright="1"/>
        <a:lstStyle/>
        <a:p>
          <a:pPr algn="ctr" rtl="1">
            <a:defRPr sz="1000"/>
          </a:pPr>
          <a:r>
            <a:rPr lang="en-US" altLang="ko-KR" sz="1000" b="1" i="0" strike="noStrike">
              <a:solidFill>
                <a:srgbClr val="000000"/>
              </a:solidFill>
              <a:latin typeface="Times New Roman" pitchFamily="18" charset="0"/>
              <a:ea typeface="바탕" pitchFamily="18" charset="-127"/>
              <a:cs typeface="Times New Roman" pitchFamily="18" charset="0"/>
            </a:rPr>
            <a:t>Completion of trial production</a:t>
          </a:r>
          <a:endParaRPr lang="ko-KR" altLang="en-US" sz="10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7</xdr:col>
      <xdr:colOff>201706</xdr:colOff>
      <xdr:row>14</xdr:row>
      <xdr:rowOff>403131</xdr:rowOff>
    </xdr:from>
    <xdr:to>
      <xdr:col>8</xdr:col>
      <xdr:colOff>474010</xdr:colOff>
      <xdr:row>14</xdr:row>
      <xdr:rowOff>405884</xdr:rowOff>
    </xdr:to>
    <xdr:cxnSp macro="">
      <xdr:nvCxnSpPr>
        <xdr:cNvPr id="18" name="AutoShape 35"/>
        <xdr:cNvCxnSpPr>
          <a:cxnSpLocks noChangeShapeType="1"/>
          <a:stCxn id="17" idx="3"/>
          <a:endCxn id="26" idx="2"/>
        </xdr:cNvCxnSpPr>
      </xdr:nvCxnSpPr>
      <xdr:spPr bwMode="auto">
        <a:xfrm flipV="1">
          <a:off x="3630706" y="13872602"/>
          <a:ext cx="720539" cy="275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228600</xdr:colOff>
      <xdr:row>5</xdr:row>
      <xdr:rowOff>400050</xdr:rowOff>
    </xdr:from>
    <xdr:to>
      <xdr:col>4</xdr:col>
      <xdr:colOff>285750</xdr:colOff>
      <xdr:row>5</xdr:row>
      <xdr:rowOff>400050</xdr:rowOff>
    </xdr:to>
    <xdr:cxnSp macro="">
      <xdr:nvCxnSpPr>
        <xdr:cNvPr id="20" name="AutoShape 39"/>
        <xdr:cNvCxnSpPr>
          <a:cxnSpLocks noChangeShapeType="1"/>
          <a:stCxn id="27" idx="6"/>
          <a:endCxn id="21" idx="1"/>
        </xdr:cNvCxnSpPr>
      </xdr:nvCxnSpPr>
      <xdr:spPr bwMode="auto">
        <a:xfrm>
          <a:off x="2295525" y="1685925"/>
          <a:ext cx="50482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285750</xdr:colOff>
      <xdr:row>5</xdr:row>
      <xdr:rowOff>200025</xdr:rowOff>
    </xdr:from>
    <xdr:to>
      <xdr:col>7</xdr:col>
      <xdr:colOff>200025</xdr:colOff>
      <xdr:row>5</xdr:row>
      <xdr:rowOff>590550</xdr:rowOff>
    </xdr:to>
    <xdr:sp macro="" textlink="">
      <xdr:nvSpPr>
        <xdr:cNvPr id="21" name="AutoShape 40"/>
        <xdr:cNvSpPr>
          <a:spLocks noChangeArrowheads="1"/>
        </xdr:cNvSpPr>
      </xdr:nvSpPr>
      <xdr:spPr bwMode="auto">
        <a:xfrm>
          <a:off x="2800350" y="1485900"/>
          <a:ext cx="1257300" cy="390525"/>
        </a:xfrm>
        <a:prstGeom prst="flowChartTermina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1000" b="1" i="0" u="none" strike="noStrike">
              <a:latin typeface="Times New Roman" pitchFamily="18" charset="0"/>
              <a:ea typeface="+mn-ea"/>
              <a:cs typeface="Times New Roman" pitchFamily="18" charset="0"/>
            </a:rPr>
            <a:t>Plan setting</a:t>
          </a:r>
          <a:endParaRPr lang="ko-KR" altLang="en-US" sz="10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4</xdr:col>
      <xdr:colOff>345610</xdr:colOff>
      <xdr:row>15</xdr:row>
      <xdr:rowOff>404963</xdr:rowOff>
    </xdr:from>
    <xdr:to>
      <xdr:col>7</xdr:col>
      <xdr:colOff>21849</xdr:colOff>
      <xdr:row>15</xdr:row>
      <xdr:rowOff>840441</xdr:rowOff>
    </xdr:to>
    <xdr:sp macro="" textlink="">
      <xdr:nvSpPr>
        <xdr:cNvPr id="22" name="AutoShape 41"/>
        <xdr:cNvSpPr>
          <a:spLocks noChangeArrowheads="1"/>
        </xdr:cNvSpPr>
      </xdr:nvSpPr>
      <xdr:spPr bwMode="auto">
        <a:xfrm>
          <a:off x="2429904" y="14972610"/>
          <a:ext cx="1020945" cy="435478"/>
        </a:xfrm>
        <a:prstGeom prst="flowChartTermina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defRPr sz="1000"/>
          </a:pPr>
          <a:r>
            <a:rPr lang="vi-VN" altLang="ko-KR" sz="1000" b="1" i="0" strike="noStrike">
              <a:solidFill>
                <a:srgbClr val="000000"/>
              </a:solidFill>
              <a:latin typeface="Times New Roman" pitchFamily="18" charset="0"/>
              <a:ea typeface="바탕" pitchFamily="18" charset="-127"/>
              <a:cs typeface="Times New Roman" pitchFamily="18" charset="0"/>
            </a:rPr>
            <a:t>Mass production in the first stage</a:t>
          </a:r>
          <a:endParaRPr lang="ko-KR" altLang="en-US" sz="10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editAs="oneCell">
    <xdr:from>
      <xdr:col>8</xdr:col>
      <xdr:colOff>247650</xdr:colOff>
      <xdr:row>5</xdr:row>
      <xdr:rowOff>180975</xdr:rowOff>
    </xdr:from>
    <xdr:to>
      <xdr:col>10</xdr:col>
      <xdr:colOff>19049</xdr:colOff>
      <xdr:row>5</xdr:row>
      <xdr:rowOff>619125</xdr:rowOff>
    </xdr:to>
    <xdr:sp macro="" textlink="">
      <xdr:nvSpPr>
        <xdr:cNvPr id="23" name="AutoShape 42"/>
        <xdr:cNvSpPr>
          <a:spLocks noChangeArrowheads="1"/>
        </xdr:cNvSpPr>
      </xdr:nvSpPr>
      <xdr:spPr bwMode="auto">
        <a:xfrm rot="5400000">
          <a:off x="4829175" y="1190625"/>
          <a:ext cx="438150" cy="990600"/>
        </a:xfrm>
        <a:prstGeom prst="flowChartOffpageConnec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1000" b="1" i="0" strike="noStrike">
              <a:solidFill>
                <a:srgbClr val="000000"/>
              </a:solidFill>
              <a:latin typeface="Times New Roman" pitchFamily="18" charset="0"/>
              <a:ea typeface="바탕" pitchFamily="18" charset="-127"/>
              <a:cs typeface="Times New Roman" pitchFamily="18" charset="0"/>
            </a:rPr>
            <a:t>Development process</a:t>
          </a:r>
          <a:endParaRPr lang="ko-KR" altLang="en-US" sz="10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editAs="oneCell">
    <xdr:from>
      <xdr:col>8</xdr:col>
      <xdr:colOff>377082</xdr:colOff>
      <xdr:row>15</xdr:row>
      <xdr:rowOff>346822</xdr:rowOff>
    </xdr:from>
    <xdr:to>
      <xdr:col>10</xdr:col>
      <xdr:colOff>302564</xdr:colOff>
      <xdr:row>15</xdr:row>
      <xdr:rowOff>871820</xdr:rowOff>
    </xdr:to>
    <xdr:sp macro="" textlink="">
      <xdr:nvSpPr>
        <xdr:cNvPr id="24" name="AutoShape 43"/>
        <xdr:cNvSpPr>
          <a:spLocks noChangeArrowheads="1"/>
        </xdr:cNvSpPr>
      </xdr:nvSpPr>
      <xdr:spPr bwMode="auto">
        <a:xfrm rot="16200000">
          <a:off x="3734924" y="15519027"/>
          <a:ext cx="524998" cy="893670"/>
        </a:xfrm>
        <a:prstGeom prst="flowChartOffpageConnec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1000" b="1" i="0" strike="noStrike">
              <a:solidFill>
                <a:srgbClr val="000000"/>
              </a:solidFill>
              <a:latin typeface="Times New Roman" pitchFamily="18" charset="0"/>
              <a:ea typeface="바탕" pitchFamily="18" charset="-127"/>
              <a:cs typeface="Times New Roman" pitchFamily="18" charset="0"/>
            </a:rPr>
            <a:t>Production control process</a:t>
          </a:r>
          <a:endParaRPr lang="ko-KR" altLang="en-US" sz="10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7</xdr:col>
      <xdr:colOff>21849</xdr:colOff>
      <xdr:row>15</xdr:row>
      <xdr:rowOff>609321</xdr:rowOff>
    </xdr:from>
    <xdr:to>
      <xdr:col>8</xdr:col>
      <xdr:colOff>377082</xdr:colOff>
      <xdr:row>15</xdr:row>
      <xdr:rowOff>622702</xdr:rowOff>
    </xdr:to>
    <xdr:cxnSp macro="">
      <xdr:nvCxnSpPr>
        <xdr:cNvPr id="25" name="AutoShape 44"/>
        <xdr:cNvCxnSpPr>
          <a:cxnSpLocks noChangeShapeType="1"/>
          <a:stCxn id="22" idx="3"/>
          <a:endCxn id="24" idx="0"/>
        </xdr:cNvCxnSpPr>
      </xdr:nvCxnSpPr>
      <xdr:spPr bwMode="auto">
        <a:xfrm flipV="1">
          <a:off x="3450849" y="15176968"/>
          <a:ext cx="803468" cy="1338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474010</xdr:colOff>
      <xdr:row>14</xdr:row>
      <xdr:rowOff>265018</xdr:rowOff>
    </xdr:from>
    <xdr:to>
      <xdr:col>9</xdr:col>
      <xdr:colOff>145117</xdr:colOff>
      <xdr:row>14</xdr:row>
      <xdr:rowOff>541243</xdr:rowOff>
    </xdr:to>
    <xdr:sp macro="" textlink="">
      <xdr:nvSpPr>
        <xdr:cNvPr id="26" name="Oval 45"/>
        <xdr:cNvSpPr>
          <a:spLocks noChangeArrowheads="1"/>
        </xdr:cNvSpPr>
      </xdr:nvSpPr>
      <xdr:spPr bwMode="auto">
        <a:xfrm>
          <a:off x="4351245" y="13734489"/>
          <a:ext cx="276225" cy="276225"/>
        </a:xfrm>
        <a:prstGeom prst="ellipse">
          <a:avLst/>
        </a:prstGeom>
        <a:solidFill>
          <a:srgbClr val="FFFFFF"/>
        </a:solidFill>
        <a:ln w="9525">
          <a:solidFill>
            <a:srgbClr val="000000"/>
          </a:solidFill>
          <a:round/>
          <a:headEnd/>
          <a:tailEnd/>
        </a:ln>
        <a:effectLst/>
      </xdr:spPr>
      <xdr:txBody>
        <a:bodyPr vertOverflow="clip" wrap="square" lIns="0" tIns="0" rIns="0" bIns="0" anchor="ctr" upright="1"/>
        <a:lstStyle/>
        <a:p>
          <a:pPr algn="ctr" rtl="1">
            <a:defRPr sz="1000"/>
          </a:pPr>
          <a:r>
            <a:rPr lang="en-US" altLang="ko-KR" sz="1000" b="1" i="0" strike="noStrike">
              <a:solidFill>
                <a:srgbClr val="000000"/>
              </a:solidFill>
              <a:latin typeface="Times New Roman" pitchFamily="18" charset="0"/>
              <a:ea typeface="굴림"/>
              <a:cs typeface="Times New Roman" pitchFamily="18" charset="0"/>
            </a:rPr>
            <a:t>1</a:t>
          </a:r>
        </a:p>
      </xdr:txBody>
    </xdr:sp>
    <xdr:clientData/>
  </xdr:twoCellAnchor>
  <xdr:twoCellAnchor>
    <xdr:from>
      <xdr:col>2</xdr:col>
      <xdr:colOff>400050</xdr:colOff>
      <xdr:row>5</xdr:row>
      <xdr:rowOff>257175</xdr:rowOff>
    </xdr:from>
    <xdr:to>
      <xdr:col>3</xdr:col>
      <xdr:colOff>228600</xdr:colOff>
      <xdr:row>5</xdr:row>
      <xdr:rowOff>533400</xdr:rowOff>
    </xdr:to>
    <xdr:sp macro="" textlink="">
      <xdr:nvSpPr>
        <xdr:cNvPr id="27" name="Oval 46"/>
        <xdr:cNvSpPr>
          <a:spLocks noChangeArrowheads="1"/>
        </xdr:cNvSpPr>
      </xdr:nvSpPr>
      <xdr:spPr bwMode="auto">
        <a:xfrm>
          <a:off x="2019300" y="1543050"/>
          <a:ext cx="276225" cy="276225"/>
        </a:xfrm>
        <a:prstGeom prst="ellipse">
          <a:avLst/>
        </a:prstGeom>
        <a:solidFill>
          <a:srgbClr val="FFFFFF"/>
        </a:solidFill>
        <a:ln w="9525">
          <a:solidFill>
            <a:srgbClr val="000000"/>
          </a:solidFill>
          <a:round/>
          <a:headEnd/>
          <a:tailEnd/>
        </a:ln>
        <a:effectLst/>
      </xdr:spPr>
      <xdr:txBody>
        <a:bodyPr vertOverflow="clip" wrap="square" lIns="0" tIns="0" rIns="0" bIns="0" anchor="ctr" upright="1"/>
        <a:lstStyle/>
        <a:p>
          <a:pPr algn="ctr" rtl="1">
            <a:defRPr sz="1000"/>
          </a:pPr>
          <a:r>
            <a:rPr lang="en-US" altLang="ko-KR" sz="1000" b="1" i="0" strike="noStrike">
              <a:solidFill>
                <a:srgbClr val="000000"/>
              </a:solidFill>
              <a:latin typeface="Times New Roman" pitchFamily="18" charset="0"/>
              <a:ea typeface="굴림"/>
              <a:cs typeface="Times New Roman" pitchFamily="18" charset="0"/>
            </a:rPr>
            <a:t>1</a:t>
          </a:r>
        </a:p>
      </xdr:txBody>
    </xdr:sp>
    <xdr:clientData/>
  </xdr:twoCellAnchor>
  <xdr:twoCellAnchor>
    <xdr:from>
      <xdr:col>6</xdr:col>
      <xdr:colOff>19050</xdr:colOff>
      <xdr:row>5</xdr:row>
      <xdr:rowOff>590550</xdr:rowOff>
    </xdr:from>
    <xdr:to>
      <xdr:col>6</xdr:col>
      <xdr:colOff>19050</xdr:colOff>
      <xdr:row>6</xdr:row>
      <xdr:rowOff>95250</xdr:rowOff>
    </xdr:to>
    <xdr:cxnSp macro="">
      <xdr:nvCxnSpPr>
        <xdr:cNvPr id="28" name="AutoShape 48"/>
        <xdr:cNvCxnSpPr>
          <a:cxnSpLocks noChangeShapeType="1"/>
          <a:stCxn id="21" idx="2"/>
          <a:endCxn id="9" idx="0"/>
        </xdr:cNvCxnSpPr>
      </xdr:nvCxnSpPr>
      <xdr:spPr bwMode="auto">
        <a:xfrm rot="5400000">
          <a:off x="3248025" y="2057400"/>
          <a:ext cx="36195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342901</xdr:colOff>
      <xdr:row>6</xdr:row>
      <xdr:rowOff>295275</xdr:rowOff>
    </xdr:from>
    <xdr:to>
      <xdr:col>9</xdr:col>
      <xdr:colOff>267968</xdr:colOff>
      <xdr:row>7</xdr:row>
      <xdr:rowOff>8282</xdr:rowOff>
    </xdr:to>
    <xdr:cxnSp macro="">
      <xdr:nvCxnSpPr>
        <xdr:cNvPr id="29" name="AutoShape 50"/>
        <xdr:cNvCxnSpPr>
          <a:cxnSpLocks noChangeShapeType="1"/>
          <a:stCxn id="8" idx="0"/>
          <a:endCxn id="9" idx="3"/>
        </xdr:cNvCxnSpPr>
      </xdr:nvCxnSpPr>
      <xdr:spPr bwMode="auto">
        <a:xfrm rot="16200000" flipV="1">
          <a:off x="3844313" y="2116657"/>
          <a:ext cx="318125" cy="978420"/>
        </a:xfrm>
        <a:prstGeom prst="bentConnector2">
          <a:avLst/>
        </a:prstGeom>
        <a:ln>
          <a:headEnd/>
          <a:tailEnd type="triangle" w="med" len="med"/>
        </a:ln>
        <a:extLst>
          <a:ext uri="{909E8E84-426E-40DD-AFC4-6F175D3DCCD1}">
            <a14:hiddenFill xmlns:a14="http://schemas.microsoft.com/office/drawing/2010/main">
              <a:noFill/>
            </a14:hiddenFill>
          </a:ext>
        </a:extLst>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14009</xdr:colOff>
      <xdr:row>6</xdr:row>
      <xdr:rowOff>495299</xdr:rowOff>
    </xdr:from>
    <xdr:to>
      <xdr:col>8</xdr:col>
      <xdr:colOff>160294</xdr:colOff>
      <xdr:row>7</xdr:row>
      <xdr:rowOff>304178</xdr:rowOff>
    </xdr:to>
    <xdr:cxnSp macro="">
      <xdr:nvCxnSpPr>
        <xdr:cNvPr id="30" name="AutoShape 51"/>
        <xdr:cNvCxnSpPr>
          <a:cxnSpLocks noChangeShapeType="1"/>
          <a:stCxn id="9" idx="2"/>
          <a:endCxn id="8" idx="1"/>
        </xdr:cNvCxnSpPr>
      </xdr:nvCxnSpPr>
      <xdr:spPr bwMode="auto">
        <a:xfrm rot="16200000" flipH="1">
          <a:off x="3051417" y="2332449"/>
          <a:ext cx="413997" cy="1042756"/>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212913</xdr:colOff>
      <xdr:row>9</xdr:row>
      <xdr:rowOff>437030</xdr:rowOff>
    </xdr:from>
    <xdr:to>
      <xdr:col>10</xdr:col>
      <xdr:colOff>341218</xdr:colOff>
      <xdr:row>9</xdr:row>
      <xdr:rowOff>1053354</xdr:rowOff>
    </xdr:to>
    <xdr:sp macro="" textlink="">
      <xdr:nvSpPr>
        <xdr:cNvPr id="31" name="AutoShape 269"/>
        <xdr:cNvSpPr>
          <a:spLocks noChangeArrowheads="1"/>
        </xdr:cNvSpPr>
      </xdr:nvSpPr>
      <xdr:spPr bwMode="auto">
        <a:xfrm>
          <a:off x="4090148" y="6118412"/>
          <a:ext cx="1338541" cy="616324"/>
        </a:xfrm>
        <a:prstGeom prst="flowChartProcess">
          <a:avLst/>
        </a:prstGeom>
        <a:solidFill>
          <a:srgbClr val="FFFFCC"/>
        </a:solidFill>
        <a:ln w="28575">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1000" b="1" i="0" strike="noStrike">
              <a:solidFill>
                <a:schemeClr val="tx1"/>
              </a:solidFill>
              <a:latin typeface="Times New Roman" pitchFamily="18" charset="0"/>
              <a:ea typeface="바탕" pitchFamily="18" charset="-127"/>
              <a:cs typeface="Times New Roman" pitchFamily="18" charset="0"/>
            </a:rPr>
            <a:t>Check, report preparation and error analysis</a:t>
          </a:r>
          <a:endParaRPr lang="ko-KR" altLang="en-US" sz="1000" b="1" i="0" strike="noStrike">
            <a:solidFill>
              <a:schemeClr val="tx1"/>
            </a:solidFill>
            <a:latin typeface="Times New Roman" pitchFamily="18" charset="0"/>
            <a:ea typeface="바탕" pitchFamily="18" charset="-127"/>
            <a:cs typeface="Times New Roman" pitchFamily="18" charset="0"/>
          </a:endParaRPr>
        </a:p>
      </xdr:txBody>
    </xdr:sp>
    <xdr:clientData/>
  </xdr:twoCellAnchor>
  <xdr:twoCellAnchor>
    <xdr:from>
      <xdr:col>9</xdr:col>
      <xdr:colOff>263338</xdr:colOff>
      <xdr:row>9</xdr:row>
      <xdr:rowOff>1053354</xdr:rowOff>
    </xdr:from>
    <xdr:to>
      <xdr:col>9</xdr:col>
      <xdr:colOff>277066</xdr:colOff>
      <xdr:row>10</xdr:row>
      <xdr:rowOff>683559</xdr:rowOff>
    </xdr:to>
    <xdr:cxnSp macro="">
      <xdr:nvCxnSpPr>
        <xdr:cNvPr id="40" name="AutoShape 206"/>
        <xdr:cNvCxnSpPr>
          <a:cxnSpLocks noChangeShapeType="1"/>
          <a:stCxn id="31" idx="2"/>
          <a:endCxn id="41" idx="0"/>
        </xdr:cNvCxnSpPr>
      </xdr:nvCxnSpPr>
      <xdr:spPr bwMode="auto">
        <a:xfrm rot="5400000">
          <a:off x="4108217" y="7372210"/>
          <a:ext cx="1288676" cy="13728"/>
        </a:xfrm>
        <a:prstGeom prst="straightConnector1">
          <a:avLst/>
        </a:prstGeom>
        <a:noFill/>
        <a:ln w="317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224118</xdr:colOff>
      <xdr:row>10</xdr:row>
      <xdr:rowOff>683559</xdr:rowOff>
    </xdr:from>
    <xdr:to>
      <xdr:col>10</xdr:col>
      <xdr:colOff>302558</xdr:colOff>
      <xdr:row>10</xdr:row>
      <xdr:rowOff>1311088</xdr:rowOff>
    </xdr:to>
    <xdr:sp macro="" textlink="">
      <xdr:nvSpPr>
        <xdr:cNvPr id="41" name="AutoShape 269"/>
        <xdr:cNvSpPr>
          <a:spLocks noChangeArrowheads="1"/>
        </xdr:cNvSpPr>
      </xdr:nvSpPr>
      <xdr:spPr bwMode="auto">
        <a:xfrm>
          <a:off x="4101353" y="8023412"/>
          <a:ext cx="1288676" cy="627529"/>
        </a:xfrm>
        <a:prstGeom prst="flowChartProcess">
          <a:avLst/>
        </a:prstGeom>
        <a:solidFill>
          <a:srgbClr val="FFFFCC"/>
        </a:solidFill>
        <a:ln w="28575">
          <a:solidFill>
            <a:srgbClr val="000000"/>
          </a:solidFill>
          <a:miter lim="800000"/>
          <a:headEnd/>
          <a:tailEnd/>
        </a:ln>
        <a:effectLst/>
      </xdr:spPr>
      <xdr:txBody>
        <a:bodyPr vertOverflow="clip" wrap="square" lIns="27432" tIns="18288" rIns="27432" bIns="18288" anchor="ctr" upright="1"/>
        <a:lstStyle/>
        <a:p>
          <a:pPr algn="ctr" rtl="1">
            <a:defRPr sz="1000"/>
          </a:pPr>
          <a:r>
            <a:rPr lang="en-US" altLang="ko-KR" sz="1000" b="1" i="0" strike="noStrike">
              <a:solidFill>
                <a:schemeClr val="tx1"/>
              </a:solidFill>
              <a:latin typeface="Times New Roman" pitchFamily="18" charset="0"/>
              <a:ea typeface="바탕" pitchFamily="18" charset="-127"/>
              <a:cs typeface="Times New Roman" pitchFamily="18" charset="0"/>
            </a:rPr>
            <a:t>Report preparation for each stage</a:t>
          </a:r>
          <a:endParaRPr lang="ko-KR" altLang="en-US" sz="1000" b="1" i="0" strike="noStrike">
            <a:solidFill>
              <a:schemeClr val="tx1"/>
            </a:solidFill>
            <a:latin typeface="Times New Roman" pitchFamily="18" charset="0"/>
            <a:ea typeface="바탕" pitchFamily="18" charset="-127"/>
            <a:cs typeface="Times New Roman" pitchFamily="18" charset="0"/>
          </a:endParaRPr>
        </a:p>
      </xdr:txBody>
    </xdr:sp>
    <xdr:clientData/>
  </xdr:twoCellAnchor>
  <xdr:twoCellAnchor>
    <xdr:from>
      <xdr:col>9</xdr:col>
      <xdr:colOff>250732</xdr:colOff>
      <xdr:row>10</xdr:row>
      <xdr:rowOff>1311088</xdr:rowOff>
    </xdr:from>
    <xdr:to>
      <xdr:col>9</xdr:col>
      <xdr:colOff>263338</xdr:colOff>
      <xdr:row>12</xdr:row>
      <xdr:rowOff>246530</xdr:rowOff>
    </xdr:to>
    <xdr:cxnSp macro="">
      <xdr:nvCxnSpPr>
        <xdr:cNvPr id="51" name="AutoShape 206"/>
        <xdr:cNvCxnSpPr>
          <a:cxnSpLocks noChangeShapeType="1"/>
          <a:stCxn id="41" idx="2"/>
          <a:endCxn id="5" idx="0"/>
        </xdr:cNvCxnSpPr>
      </xdr:nvCxnSpPr>
      <xdr:spPr bwMode="auto">
        <a:xfrm rot="5400000">
          <a:off x="3456314" y="9927712"/>
          <a:ext cx="2566148" cy="12606"/>
        </a:xfrm>
        <a:prstGeom prst="straightConnector1">
          <a:avLst/>
        </a:prstGeom>
        <a:noFill/>
        <a:ln w="317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11</xdr:col>
      <xdr:colOff>1582271</xdr:colOff>
      <xdr:row>11</xdr:row>
      <xdr:rowOff>400050</xdr:rowOff>
    </xdr:from>
    <xdr:ext cx="65" cy="162224"/>
    <xdr:sp macro="" textlink="">
      <xdr:nvSpPr>
        <xdr:cNvPr id="12" name="TextBox 11"/>
        <xdr:cNvSpPr txBox="1"/>
      </xdr:nvSpPr>
      <xdr:spPr>
        <a:xfrm>
          <a:off x="7073153" y="7594226"/>
          <a:ext cx="65" cy="162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vi-VN" sz="1100"/>
        </a:p>
      </xdr:txBody>
    </xdr:sp>
    <xdr:clientData/>
  </xdr:oneCellAnchor>
  <xdr:twoCellAnchor>
    <xdr:from>
      <xdr:col>5</xdr:col>
      <xdr:colOff>354509</xdr:colOff>
      <xdr:row>14</xdr:row>
      <xdr:rowOff>918881</xdr:rowOff>
    </xdr:from>
    <xdr:to>
      <xdr:col>5</xdr:col>
      <xdr:colOff>357245</xdr:colOff>
      <xdr:row>15</xdr:row>
      <xdr:rowOff>404962</xdr:rowOff>
    </xdr:to>
    <xdr:cxnSp macro="">
      <xdr:nvCxnSpPr>
        <xdr:cNvPr id="136" name="AutoShape 206"/>
        <xdr:cNvCxnSpPr>
          <a:cxnSpLocks noChangeShapeType="1"/>
          <a:stCxn id="17" idx="2"/>
          <a:endCxn id="22" idx="0"/>
        </xdr:cNvCxnSpPr>
      </xdr:nvCxnSpPr>
      <xdr:spPr bwMode="auto">
        <a:xfrm rot="5400000">
          <a:off x="2657237" y="14671493"/>
          <a:ext cx="584257" cy="17976"/>
        </a:xfrm>
        <a:prstGeom prst="straightConnector1">
          <a:avLst/>
        </a:prstGeom>
        <a:noFill/>
        <a:ln w="317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168086</xdr:colOff>
      <xdr:row>8</xdr:row>
      <xdr:rowOff>569539</xdr:rowOff>
    </xdr:from>
    <xdr:to>
      <xdr:col>8</xdr:col>
      <xdr:colOff>219073</xdr:colOff>
      <xdr:row>11</xdr:row>
      <xdr:rowOff>733988</xdr:rowOff>
    </xdr:to>
    <xdr:cxnSp macro="">
      <xdr:nvCxnSpPr>
        <xdr:cNvPr id="141" name="AutoShape 51"/>
        <xdr:cNvCxnSpPr>
          <a:cxnSpLocks noChangeShapeType="1"/>
          <a:stCxn id="166" idx="1"/>
          <a:endCxn id="3" idx="1"/>
        </xdr:cNvCxnSpPr>
      </xdr:nvCxnSpPr>
      <xdr:spPr bwMode="auto">
        <a:xfrm rot="10800000" flipH="1">
          <a:off x="4045321" y="4592451"/>
          <a:ext cx="50987" cy="5296743"/>
        </a:xfrm>
        <a:prstGeom prst="bentConnector3">
          <a:avLst>
            <a:gd name="adj1" fmla="val -2206585"/>
          </a:avLst>
        </a:prstGeom>
        <a:ln>
          <a:headEnd/>
          <a:tailEnd type="triangle" w="med" len="med"/>
        </a:ln>
        <a:extLst>
          <a:ext uri="{909E8E84-426E-40DD-AFC4-6F175D3DCCD1}">
            <a14:hiddenFill xmlns:a14="http://schemas.microsoft.com/office/drawing/2010/main">
              <a:noFill/>
            </a14:hiddenFill>
          </a:ext>
        </a:extLst>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168087</xdr:colOff>
      <xdr:row>11</xdr:row>
      <xdr:rowOff>448236</xdr:rowOff>
    </xdr:from>
    <xdr:to>
      <xdr:col>10</xdr:col>
      <xdr:colOff>403410</xdr:colOff>
      <xdr:row>11</xdr:row>
      <xdr:rowOff>1019737</xdr:rowOff>
    </xdr:to>
    <xdr:sp macro="" textlink="">
      <xdr:nvSpPr>
        <xdr:cNvPr id="166" name="AutoShape 221"/>
        <xdr:cNvSpPr>
          <a:spLocks noChangeArrowheads="1"/>
        </xdr:cNvSpPr>
      </xdr:nvSpPr>
      <xdr:spPr bwMode="auto">
        <a:xfrm>
          <a:off x="4045322" y="9603442"/>
          <a:ext cx="1445559" cy="571501"/>
        </a:xfrm>
        <a:prstGeom prst="flowChartProcess">
          <a:avLst/>
        </a:prstGeom>
        <a:solidFill>
          <a:srgbClr val="FFFFCC"/>
        </a:solidFill>
        <a:ln w="28575">
          <a:solidFill>
            <a:srgbClr val="000000"/>
          </a:solidFill>
          <a:miter lim="800000"/>
          <a:headEnd/>
          <a:tailEnd/>
        </a:ln>
        <a:effectLst/>
      </xdr:spPr>
      <xdr:txBody>
        <a:bodyPr vertOverflow="clip" wrap="square" lIns="27432" tIns="18288" rIns="27432" bIns="18288" anchor="ctr" upright="1"/>
        <a:lstStyle/>
        <a:p>
          <a:pPr algn="ctr" rtl="1">
            <a:defRPr sz="1000"/>
          </a:pPr>
          <a:r>
            <a:rPr lang="vi-VN" altLang="ko-KR" sz="1000" b="1" i="0" strike="noStrike">
              <a:solidFill>
                <a:srgbClr val="000000"/>
              </a:solidFill>
              <a:latin typeface="Times New Roman" pitchFamily="18" charset="0"/>
              <a:ea typeface="바탕" pitchFamily="18" charset="-127"/>
              <a:cs typeface="Times New Roman" pitchFamily="18" charset="0"/>
            </a:rPr>
            <a:t>Process capability index</a:t>
          </a:r>
          <a:r>
            <a:rPr lang="en-US" altLang="ko-KR" sz="1000" b="1" i="0" strike="noStrike">
              <a:solidFill>
                <a:srgbClr val="000000"/>
              </a:solidFill>
              <a:latin typeface="Times New Roman" pitchFamily="18" charset="0"/>
              <a:ea typeface="바탕" pitchFamily="18" charset="-127"/>
              <a:cs typeface="Times New Roman" pitchFamily="18" charset="0"/>
            </a:rPr>
            <a:t> CPK</a:t>
          </a:r>
          <a:endParaRPr lang="ko-KR" altLang="en-US" sz="10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9</xdr:col>
      <xdr:colOff>277066</xdr:colOff>
      <xdr:row>8</xdr:row>
      <xdr:rowOff>862852</xdr:rowOff>
    </xdr:from>
    <xdr:to>
      <xdr:col>9</xdr:col>
      <xdr:colOff>294434</xdr:colOff>
      <xdr:row>9</xdr:row>
      <xdr:rowOff>437030</xdr:rowOff>
    </xdr:to>
    <xdr:cxnSp macro="">
      <xdr:nvCxnSpPr>
        <xdr:cNvPr id="203" name="AutoShape 240"/>
        <xdr:cNvCxnSpPr>
          <a:cxnSpLocks noChangeShapeType="1"/>
          <a:stCxn id="3" idx="2"/>
          <a:endCxn id="31" idx="0"/>
        </xdr:cNvCxnSpPr>
      </xdr:nvCxnSpPr>
      <xdr:spPr bwMode="auto">
        <a:xfrm rot="5400000">
          <a:off x="4151779" y="5493404"/>
          <a:ext cx="1232648" cy="17368"/>
        </a:xfrm>
        <a:prstGeom prst="straightConnector1">
          <a:avLst/>
        </a:prstGeom>
        <a:noFill/>
        <a:ln w="317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179294</xdr:colOff>
      <xdr:row>11</xdr:row>
      <xdr:rowOff>44824</xdr:rowOff>
    </xdr:from>
    <xdr:to>
      <xdr:col>7</xdr:col>
      <xdr:colOff>12326</xdr:colOff>
      <xdr:row>11</xdr:row>
      <xdr:rowOff>240367</xdr:rowOff>
    </xdr:to>
    <xdr:sp macro="" textlink="">
      <xdr:nvSpPr>
        <xdr:cNvPr id="39" name="Rectangle 10"/>
        <xdr:cNvSpPr>
          <a:spLocks noChangeArrowheads="1"/>
        </xdr:cNvSpPr>
      </xdr:nvSpPr>
      <xdr:spPr bwMode="auto">
        <a:xfrm flipH="1">
          <a:off x="3160059" y="9569824"/>
          <a:ext cx="281267" cy="195543"/>
        </a:xfrm>
        <a:prstGeom prst="rect">
          <a:avLst/>
        </a:prstGeom>
        <a:solidFill>
          <a:srgbClr val="FFFF00"/>
        </a:solidFill>
        <a:ln w="9525">
          <a:noFill/>
          <a:miter lim="800000"/>
          <a:headEnd/>
          <a:tailEnd/>
        </a:ln>
        <a:effectLst/>
      </xdr:spPr>
      <xdr:txBody>
        <a:bodyPr vertOverflow="clip" wrap="square" lIns="0" tIns="0" rIns="0" bIns="0" anchor="ctr" upright="1"/>
        <a:lstStyle/>
        <a:p>
          <a:pPr algn="ctr" rtl="1">
            <a:defRPr sz="1000"/>
          </a:pPr>
          <a:r>
            <a:rPr lang="en-US" altLang="ko-KR" sz="1000" b="1" i="0" strike="noStrike">
              <a:solidFill>
                <a:srgbClr val="000000"/>
              </a:solidFill>
              <a:latin typeface="Times New Roman" pitchFamily="18" charset="0"/>
              <a:ea typeface="굴림"/>
              <a:cs typeface="Times New Roman" pitchFamily="18" charset="0"/>
            </a:rPr>
            <a:t>N</a:t>
          </a:r>
        </a:p>
      </xdr:txBody>
    </xdr:sp>
    <xdr:clientData/>
  </xdr:twoCellAnchor>
  <xdr:twoCellAnchor>
    <xdr:from>
      <xdr:col>0</xdr:col>
      <xdr:colOff>621926</xdr:colOff>
      <xdr:row>0</xdr:row>
      <xdr:rowOff>115420</xdr:rowOff>
    </xdr:from>
    <xdr:to>
      <xdr:col>3</xdr:col>
      <xdr:colOff>201706</xdr:colOff>
      <xdr:row>1</xdr:row>
      <xdr:rowOff>298098</xdr:rowOff>
    </xdr:to>
    <xdr:pic>
      <xdr:nvPicPr>
        <xdr:cNvPr id="42" name="Picture 1" descr="Description: Description: Description: cid:image005.jpg@01D1DDF6.788FD34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926" y="115420"/>
          <a:ext cx="1215839" cy="630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117663</xdr:colOff>
      <xdr:row>0</xdr:row>
      <xdr:rowOff>141754</xdr:rowOff>
    </xdr:from>
    <xdr:to>
      <xdr:col>12</xdr:col>
      <xdr:colOff>5481</xdr:colOff>
      <xdr:row>1</xdr:row>
      <xdr:rowOff>257734</xdr:rowOff>
    </xdr:to>
    <xdr:pic>
      <xdr:nvPicPr>
        <xdr:cNvPr id="4" name="Picture 1" descr="Description: Description: Description: cid:image005.jpg@01D1DDF6.788FD34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4192" y="141754"/>
          <a:ext cx="1120465" cy="586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15875</xdr:colOff>
      <xdr:row>0</xdr:row>
      <xdr:rowOff>155574</xdr:rowOff>
    </xdr:from>
    <xdr:to>
      <xdr:col>3</xdr:col>
      <xdr:colOff>327784</xdr:colOff>
      <xdr:row>1</xdr:row>
      <xdr:rowOff>333374</xdr:rowOff>
    </xdr:to>
    <xdr:pic>
      <xdr:nvPicPr>
        <xdr:cNvPr id="3" name="Picture 1" descr="Description: Description: Description: cid:image005.jpg@01D1DDF6.788FD34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2125" y="155574"/>
          <a:ext cx="1296159" cy="669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3</xdr:col>
      <xdr:colOff>571500</xdr:colOff>
      <xdr:row>0</xdr:row>
      <xdr:rowOff>638175</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47625"/>
          <a:ext cx="181927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12</xdr:col>
      <xdr:colOff>323850</xdr:colOff>
      <xdr:row>48</xdr:row>
      <xdr:rowOff>0</xdr:rowOff>
    </xdr:from>
    <xdr:to>
      <xdr:col>21</xdr:col>
      <xdr:colOff>0</xdr:colOff>
      <xdr:row>48</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xdr:colOff>
      <xdr:row>48</xdr:row>
      <xdr:rowOff>0</xdr:rowOff>
    </xdr:from>
    <xdr:to>
      <xdr:col>14</xdr:col>
      <xdr:colOff>133350</xdr:colOff>
      <xdr:row>48</xdr:row>
      <xdr:rowOff>0</xdr:rowOff>
    </xdr:to>
    <xdr:sp macro="" textlink="">
      <xdr:nvSpPr>
        <xdr:cNvPr id="3" name="Text Box 2"/>
        <xdr:cNvSpPr txBox="1">
          <a:spLocks noChangeArrowheads="1"/>
        </xdr:cNvSpPr>
      </xdr:nvSpPr>
      <xdr:spPr bwMode="auto">
        <a:xfrm>
          <a:off x="9591675" y="10677525"/>
          <a:ext cx="733425" cy="0"/>
        </a:xfrm>
        <a:prstGeom prst="rect">
          <a:avLst/>
        </a:prstGeom>
        <a:noFill/>
        <a:ln w="9525">
          <a:noFill/>
          <a:miter lim="800000"/>
          <a:headEnd/>
          <a:tailEnd/>
        </a:ln>
      </xdr:spPr>
      <xdr:txBody>
        <a:bodyPr vertOverflow="clip" wrap="square" lIns="27432" tIns="27432" rIns="0" bIns="0" anchor="t" upright="1"/>
        <a:lstStyle/>
        <a:p>
          <a:pPr algn="l" rtl="0">
            <a:defRPr sz="1000"/>
          </a:pPr>
          <a:r>
            <a:rPr lang="en-US" altLang="ko-KR" sz="1200" b="0" i="0" strike="noStrike">
              <a:solidFill>
                <a:srgbClr val="000000"/>
              </a:solidFill>
              <a:latin typeface="Times New Roman"/>
              <a:cs typeface="Times New Roman"/>
            </a:rPr>
            <a:t>LCL</a:t>
          </a:r>
        </a:p>
        <a:p>
          <a:pPr algn="l" rtl="0">
            <a:defRPr sz="1000"/>
          </a:pPr>
          <a:r>
            <a:rPr lang="en-US" altLang="ko-KR" sz="1200" b="0" i="0" strike="noStrike">
              <a:solidFill>
                <a:srgbClr val="000000"/>
              </a:solidFill>
              <a:latin typeface="Times New Roman"/>
              <a:cs typeface="Times New Roman"/>
            </a:rPr>
            <a:t>169.7356</a:t>
          </a:r>
        </a:p>
      </xdr:txBody>
    </xdr:sp>
    <xdr:clientData/>
  </xdr:twoCellAnchor>
  <xdr:twoCellAnchor>
    <xdr:from>
      <xdr:col>19</xdr:col>
      <xdr:colOff>180975</xdr:colOff>
      <xdr:row>48</xdr:row>
      <xdr:rowOff>0</xdr:rowOff>
    </xdr:from>
    <xdr:to>
      <xdr:col>20</xdr:col>
      <xdr:colOff>285750</xdr:colOff>
      <xdr:row>48</xdr:row>
      <xdr:rowOff>0</xdr:rowOff>
    </xdr:to>
    <xdr:sp macro="" textlink="">
      <xdr:nvSpPr>
        <xdr:cNvPr id="4" name="Text Box 3"/>
        <xdr:cNvSpPr txBox="1">
          <a:spLocks noChangeArrowheads="1"/>
        </xdr:cNvSpPr>
      </xdr:nvSpPr>
      <xdr:spPr bwMode="auto">
        <a:xfrm>
          <a:off x="13420725" y="10677525"/>
          <a:ext cx="714375" cy="0"/>
        </a:xfrm>
        <a:prstGeom prst="rect">
          <a:avLst/>
        </a:prstGeom>
        <a:noFill/>
        <a:ln w="9525">
          <a:noFill/>
          <a:miter lim="800000"/>
          <a:headEnd/>
          <a:tailEnd/>
        </a:ln>
      </xdr:spPr>
      <xdr:txBody>
        <a:bodyPr vertOverflow="clip" wrap="square" lIns="27432" tIns="27432" rIns="0" bIns="0" anchor="t" upright="1"/>
        <a:lstStyle/>
        <a:p>
          <a:pPr algn="l" rtl="0">
            <a:defRPr sz="1000"/>
          </a:pPr>
          <a:r>
            <a:rPr lang="en-US" altLang="ko-KR" sz="1200" b="0" i="0" strike="noStrike">
              <a:solidFill>
                <a:srgbClr val="000000"/>
              </a:solidFill>
              <a:latin typeface="Times New Roman"/>
              <a:cs typeface="Times New Roman"/>
            </a:rPr>
            <a:t>UCL</a:t>
          </a:r>
        </a:p>
        <a:p>
          <a:pPr algn="l" rtl="0">
            <a:defRPr sz="1000"/>
          </a:pPr>
          <a:r>
            <a:rPr lang="en-US" altLang="ko-KR" sz="1200" b="0" i="0" strike="noStrike">
              <a:solidFill>
                <a:srgbClr val="000000"/>
              </a:solidFill>
              <a:latin typeface="Times New Roman"/>
              <a:cs typeface="Times New Roman"/>
            </a:rPr>
            <a:t>170.029</a:t>
          </a:r>
        </a:p>
      </xdr:txBody>
    </xdr:sp>
    <xdr:clientData/>
  </xdr:twoCellAnchor>
  <xdr:twoCellAnchor>
    <xdr:from>
      <xdr:col>12</xdr:col>
      <xdr:colOff>428625</xdr:colOff>
      <xdr:row>17</xdr:row>
      <xdr:rowOff>133350</xdr:rowOff>
    </xdr:from>
    <xdr:to>
      <xdr:col>28</xdr:col>
      <xdr:colOff>123825</xdr:colOff>
      <xdr:row>29</xdr:row>
      <xdr:rowOff>85725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419100</xdr:colOff>
      <xdr:row>30</xdr:row>
      <xdr:rowOff>228600</xdr:rowOff>
    </xdr:from>
    <xdr:to>
      <xdr:col>28</xdr:col>
      <xdr:colOff>161925</xdr:colOff>
      <xdr:row>42</xdr:row>
      <xdr:rowOff>47625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409575</xdr:colOff>
      <xdr:row>44</xdr:row>
      <xdr:rowOff>104775</xdr:rowOff>
    </xdr:from>
    <xdr:to>
      <xdr:col>28</xdr:col>
      <xdr:colOff>123825</xdr:colOff>
      <xdr:row>59</xdr:row>
      <xdr:rowOff>104775</xdr:rowOff>
    </xdr:to>
    <xdr:graphicFrame macro="">
      <xdr:nvGraphicFramePr>
        <xdr:cNvPr id="7"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524743</xdr:colOff>
      <xdr:row>1</xdr:row>
      <xdr:rowOff>277091</xdr:rowOff>
    </xdr:from>
    <xdr:to>
      <xdr:col>19</xdr:col>
      <xdr:colOff>518680</xdr:colOff>
      <xdr:row>1</xdr:row>
      <xdr:rowOff>571500</xdr:rowOff>
    </xdr:to>
    <xdr:sp macro="" textlink="">
      <xdr:nvSpPr>
        <xdr:cNvPr id="8" name="Text Box 18"/>
        <xdr:cNvSpPr txBox="1">
          <a:spLocks noChangeArrowheads="1"/>
        </xdr:cNvSpPr>
      </xdr:nvSpPr>
      <xdr:spPr bwMode="auto">
        <a:xfrm>
          <a:off x="5020543" y="791441"/>
          <a:ext cx="8737887" cy="294409"/>
        </a:xfrm>
        <a:prstGeom prst="rect">
          <a:avLst/>
        </a:prstGeom>
        <a:solidFill>
          <a:srgbClr val="000080"/>
        </a:solidFill>
        <a:ln w="9525">
          <a:solidFill>
            <a:srgbClr val="000000"/>
          </a:solidFill>
          <a:miter lim="800000"/>
          <a:headEnd/>
          <a:tailEnd/>
        </a:ln>
      </xdr:spPr>
      <xdr:txBody>
        <a:bodyPr vertOverflow="clip" wrap="square" lIns="45720" tIns="27432" rIns="45720" bIns="27432" anchor="ctr" upright="1"/>
        <a:lstStyle/>
        <a:p>
          <a:pPr algn="ctr" rtl="1">
            <a:defRPr sz="1000"/>
          </a:pPr>
          <a:r>
            <a:rPr lang="en-US" sz="1800">
              <a:solidFill>
                <a:schemeClr val="bg1"/>
              </a:solidFill>
              <a:latin typeface="+mn-lt"/>
              <a:ea typeface="+mn-ea"/>
              <a:cs typeface="+mn-cs"/>
            </a:rPr>
            <a:t> </a:t>
          </a:r>
          <a:r>
            <a:rPr lang="en-US" sz="1800">
              <a:solidFill>
                <a:schemeClr val="bg1"/>
              </a:solidFill>
              <a:latin typeface="Times New Roman" pitchFamily="18" charset="0"/>
              <a:ea typeface="+mn-ea"/>
              <a:cs typeface="Times New Roman" pitchFamily="18" charset="0"/>
            </a:rPr>
            <a:t>CAPABILITY ANALYSIS CRITICAL  DIMENSIONS DATA CONTROL </a:t>
          </a:r>
          <a:r>
            <a:rPr lang="en-US" sz="1800">
              <a:solidFill>
                <a:schemeClr val="bg1"/>
              </a:solidFill>
              <a:latin typeface="Times New Roman" pitchFamily="18" charset="0"/>
              <a:cs typeface="Times New Roman" pitchFamily="18" charset="0"/>
            </a:rPr>
            <a:t>PROCESS</a:t>
          </a:r>
          <a:r>
            <a:rPr lang="en-US" sz="1800">
              <a:solidFill>
                <a:schemeClr val="bg1"/>
              </a:solidFill>
            </a:rPr>
            <a:t> </a:t>
          </a:r>
          <a:endParaRPr lang="en-US" altLang="ko-KR" sz="1800">
            <a:solidFill>
              <a:schemeClr val="bg1"/>
            </a:solidFill>
            <a:latin typeface="+mn-lt"/>
            <a:ea typeface="+mn-ea"/>
            <a:cs typeface="+mn-cs"/>
          </a:endParaRPr>
        </a:p>
      </xdr:txBody>
    </xdr:sp>
    <xdr:clientData/>
  </xdr:twoCellAnchor>
  <xdr:twoCellAnchor>
    <xdr:from>
      <xdr:col>5</xdr:col>
      <xdr:colOff>666750</xdr:colOff>
      <xdr:row>22</xdr:row>
      <xdr:rowOff>114300</xdr:rowOff>
    </xdr:from>
    <xdr:to>
      <xdr:col>11</xdr:col>
      <xdr:colOff>28575</xdr:colOff>
      <xdr:row>30</xdr:row>
      <xdr:rowOff>85725</xdr:rowOff>
    </xdr:to>
    <xdr:sp macro="" textlink="">
      <xdr:nvSpPr>
        <xdr:cNvPr id="9" name="Rectangle 8"/>
        <xdr:cNvSpPr/>
      </xdr:nvSpPr>
      <xdr:spPr bwMode="auto">
        <a:xfrm>
          <a:off x="5162550" y="5010150"/>
          <a:ext cx="3228975" cy="2009775"/>
        </a:xfrm>
        <a:prstGeom prst="rect">
          <a:avLst/>
        </a:prstGeom>
        <a:solidFill>
          <a:srgbClr val="CCFFCC"/>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3200"/>
            <a:t>DRAWING</a:t>
          </a:r>
        </a:p>
      </xdr:txBody>
    </xdr:sp>
    <xdr:clientData/>
  </xdr:twoCellAnchor>
  <xdr:twoCellAnchor>
    <xdr:from>
      <xdr:col>0</xdr:col>
      <xdr:colOff>874568</xdr:colOff>
      <xdr:row>0</xdr:row>
      <xdr:rowOff>297006</xdr:rowOff>
    </xdr:from>
    <xdr:to>
      <xdr:col>2</xdr:col>
      <xdr:colOff>782907</xdr:colOff>
      <xdr:row>1</xdr:row>
      <xdr:rowOff>554181</xdr:rowOff>
    </xdr:to>
    <xdr:pic>
      <xdr:nvPicPr>
        <xdr:cNvPr id="11" name="Picture 1" descr="Description: Description: Description: cid:image005.jpg@01D1DDF6.788FD34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74568" y="297006"/>
          <a:ext cx="1640157" cy="8459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JUNG\W-CAR\96YEAR\W-1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DHP\HPMLGJ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8986843\c\KANG\CDOWN\97&#44228;&#54925;\&#44228;&#54925;&#54801;&#512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KSB\ACTION\PJH\HP-1\&#50896;&#44032;\NIX\&#50896;&#45800;&#5094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8986843\c\LINE\96&#45380;&#49324;&#5062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OCE105\&#44608;&#48372;&#49885;\HDPIC\DOCUMENT\1RYK\&#50696;&#49328;\PJH\HP-1\&#50896;&#44032;\&#53804;&#51088;&#48516;&#4817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204;&#48337;&#52384;\10.%20T200%20&#44288;\&#44288;&#47532;\PROJECT&#50896;&#44032;&#44288;&#47532;\PROJECT&#48324;%20&#50896;&#44032;&#44288;&#47532;\V220\COSTBOM\2000&#45380;12&#50900;\Book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oce105\kbs\kbs\&#54924;&#51109;&#45784;&#48372;&#44256;(1124)\PJH\HP-1\&#50896;&#44032;\&#53804;&#51088;&#48516;&#48176;.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51649;&#44036;&#53685;&#48372;.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Startup" Target="BOOK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dd4\D\KIM%20DONG-HEE\DONG2\EXCEL\&#49849;&#51064;&#50896;\1.GMT-800\KIM%20DONG-HEE\DONG2\EXCEL\&#49849;&#51064;&#50896;\DMCA-M200\-m200-telltal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50577;&#4988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eh\d\PPAP\CP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현원가"/>
      <sheetName val="환율"/>
      <sheetName val="표지"/>
      <sheetName val="GRAPH"/>
      <sheetName val="승인현황"/>
      <sheetName val="불합격"/>
      <sheetName val="지연사유"/>
      <sheetName val="TOTAL LIST"/>
      <sheetName val="검토중"/>
      <sheetName val="미승인승인계획"/>
      <sheetName val="주요미승인2"/>
      <sheetName val="COVER"/>
      <sheetName val="ext"/>
      <sheetName val="ext (2)"/>
      <sheetName val="int"/>
      <sheetName val="비용"/>
      <sheetName val="PER-PLAN"/>
      <sheetName val="PRE-비용"/>
      <sheetName val="COVER1"/>
      <sheetName val="2.2-1.제품개발기간 측면 (2)"/>
      <sheetName val="start up"/>
      <sheetName val="Sheet3"/>
      <sheetName val="명세서"/>
      <sheetName val="카메라"/>
      <sheetName val="카메라-공과회비기타"/>
      <sheetName val="카메라-외주인쇄비"/>
      <sheetName val="W-???"/>
      <sheetName val="W_현원가"/>
      <sheetName val="PRE-비쒩"/>
      <sheetName val="A-100전제"/>
      <sheetName val="TOTAL"/>
      <sheetName val=""/>
      <sheetName val="세계수요종합OK"/>
      <sheetName val="Domestic"/>
      <sheetName val="W-100"/>
      <sheetName val="등록의뢰"/>
      <sheetName val="Team 종합"/>
      <sheetName val="SUM14ZC1"/>
      <sheetName val="W-Çö¿ø°¡"/>
      <sheetName val="W-泅盔啊"/>
      <sheetName val="2003년예산"/>
      <sheetName val="SOU03 UPDATE용"/>
      <sheetName val="보증팀(작성)"/>
      <sheetName val="장비이력목록추출"/>
      <sheetName val="일자부하시간추출"/>
      <sheetName val="스페어추출"/>
      <sheetName val="TEST1"/>
      <sheetName val="BOM"/>
      <sheetName val="주행"/>
      <sheetName val="W-___"/>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HP1AMLIST"/>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양식"/>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안"/>
      <sheetName val="팀별종합"/>
      <sheetName val="분석"/>
      <sheetName val="UPG"/>
      <sheetName val="그룹별MAST"/>
      <sheetName val="Sheet3"/>
      <sheetName val="차액"/>
      <sheetName val="그룹별MAST (2)"/>
      <sheetName val="팀분석"/>
      <sheetName val="분석mast"/>
      <sheetName val="무빙"/>
      <sheetName val="의장"/>
      <sheetName val="본사"/>
      <sheetName val="고무"/>
      <sheetName val="구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계획"/>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구동"/>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M"/>
      <sheetName val="#REF"/>
      <sheetName val="Book2"/>
      <sheetName val="Europe_PW"/>
      <sheetName val="#ADR"/>
      <sheetName val="직급별인건비"/>
      <sheetName val="1st"/>
      <sheetName val="Team 종합"/>
      <sheetName val="견적요청서"/>
      <sheetName val="목록"/>
      <sheetName val="LIST"/>
      <sheetName val="2수요"/>
      <sheetName val="가격표"/>
      <sheetName val="Sheet6 (3)"/>
      <sheetName val="Sheet5"/>
      <sheetName val="대외공문"/>
      <sheetName val="기안"/>
      <sheetName val="RD제품개발투자비(매가)"/>
      <sheetName val="full (2)"/>
      <sheetName val="간이연락"/>
      <sheetName val="표지"/>
      <sheetName val="●현황"/>
      <sheetName val="●목차"/>
      <sheetName val="노무비"/>
      <sheetName val="회의록 (4)"/>
      <sheetName val="Sheet1"/>
      <sheetName val="Sheet2"/>
      <sheetName val="Sheet3"/>
      <sheetName val="B3보람"/>
      <sheetName val="B3내역"/>
      <sheetName val="5.라인별 생산성운영계획"/>
      <sheetName val="Sheet2 (2)"/>
      <sheetName val="CALENDAR"/>
      <sheetName val="계열사현황종합"/>
      <sheetName val="현금경비중역"/>
      <sheetName val="report_20"/>
      <sheetName val="camera_30"/>
      <sheetName val="#93"/>
      <sheetName val="과제"/>
      <sheetName val="자체실적1Q"/>
      <sheetName val="예산계획"/>
      <sheetName val="2.대외공문"/>
      <sheetName val="차종별"/>
      <sheetName val="VT-5T"/>
      <sheetName val="COST관리"/>
      <sheetName val="pr34"/>
      <sheetName val="Macro1"/>
      <sheetName val="회의실신청"/>
      <sheetName val="DOOR"/>
      <sheetName val="99년판매"/>
      <sheetName val="일괄인쇄"/>
      <sheetName val="주행"/>
      <sheetName val="전체현황"/>
      <sheetName val="PTR台손익"/>
      <sheetName val="업체별담당"/>
      <sheetName val="중단원본"/>
      <sheetName val="BACK"/>
      <sheetName val="Sheet4"/>
      <sheetName val="구동"/>
      <sheetName val="ML"/>
      <sheetName val="HP1AMLIST"/>
      <sheetName val="DATE"/>
      <sheetName val="재료율"/>
      <sheetName val="B-III"/>
      <sheetName val="11"/>
      <sheetName val="major"/>
      <sheetName val="R&amp;D"/>
      <sheetName val="2"/>
      <sheetName val="DBL LPG시험"/>
      <sheetName val="BUS제원1"/>
      <sheetName val="협조전"/>
      <sheetName val="신규DEP"/>
      <sheetName val="p2-1"/>
      <sheetName val="Sheet9"/>
      <sheetName val="본문"/>
      <sheetName val="5.세운W-A"/>
      <sheetName val="계실5-1"/>
      <sheetName val="승용"/>
      <sheetName val="작업일보"/>
      <sheetName val="GRACE"/>
      <sheetName val="차수"/>
      <sheetName val="1.REVIEW"/>
      <sheetName val="2000년 계획(기확정분)"/>
      <sheetName val="절감종합"/>
      <sheetName val="절감세부내역"/>
      <sheetName val="유형별"/>
      <sheetName val="생관"/>
      <sheetName val="단조"/>
      <sheetName val="경합금 (금형1)"/>
      <sheetName val="경합금 (금형2) "/>
      <sheetName val="경합금(금형이월)"/>
      <sheetName val="경합금설비"/>
      <sheetName val="품관"/>
      <sheetName val="주철설비"/>
      <sheetName val="주철금형"/>
      <sheetName val="보전설비"/>
      <sheetName val="열간단조자동원가계산서"/>
      <sheetName val="#REF!"/>
      <sheetName val="Roll Out - Limit"/>
      <sheetName val="LEGAN"/>
      <sheetName val="0107 (2)"/>
      <sheetName val="인상율"/>
      <sheetName val="RA경인"/>
      <sheetName val="RA지방"/>
      <sheetName val="직배"/>
      <sheetName val="이송(HMC1)"/>
      <sheetName val="이송(HMC2)"/>
      <sheetName val="이송(KMC)"/>
      <sheetName val="기아고정"/>
      <sheetName val="역량분석"/>
      <sheetName val="3"/>
      <sheetName val="입력초기LINE UP"/>
      <sheetName val="96수출"/>
      <sheetName val="직원신상"/>
      <sheetName val="사업장별 추이"/>
      <sheetName val="재해분석"/>
      <sheetName val="재해분석2"/>
      <sheetName val="담당별3월"/>
      <sheetName val="재해현황"/>
      <sheetName val="월별,요일시간,형태별,부위상해종류별"/>
      <sheetName val="A-100전제"/>
      <sheetName val="W-현원가"/>
      <sheetName val="Tbom-tot"/>
      <sheetName val="BND"/>
      <sheetName val="FUEL FILLER"/>
      <sheetName val="ORIGIN"/>
      <sheetName val="팀별 합계"/>
      <sheetName val="(BS,CF)-BACK"/>
      <sheetName val="전산품의"/>
      <sheetName val="DailyInput"/>
      <sheetName val="집계"/>
      <sheetName val="절감계획"/>
      <sheetName val="초기화면"/>
      <sheetName val="작성양식"/>
      <sheetName val="engline"/>
      <sheetName val="HCCE01"/>
      <sheetName val="존4"/>
      <sheetName val="품의양식"/>
      <sheetName val="54813M2001"/>
      <sheetName val="수출가격"/>
      <sheetName val="626TD"/>
      <sheetName val="소상 &quot;1&quot;"/>
      <sheetName val="CVT산정"/>
      <sheetName val="거주성제원"/>
      <sheetName val="FO-BO-ER"/>
      <sheetName val="의장"/>
      <sheetName val="MAST S"/>
      <sheetName val="THEME CODE"/>
      <sheetName val="CR CODE"/>
      <sheetName val="부서CODE"/>
      <sheetName val="BASE"/>
      <sheetName val="표지★"/>
      <sheetName val="MX628EX"/>
      <sheetName val="2COMPO_TABLE"/>
      <sheetName val="기초"/>
      <sheetName val="건가이자전체"/>
      <sheetName val="CAUDIT"/>
      <sheetName val="2-3금형 투자비2안(SJ 소하리전개)"/>
      <sheetName val="9-1차이내역"/>
      <sheetName val="원단위"/>
      <sheetName val="자가2급"/>
      <sheetName val="인원01"/>
      <sheetName val="1~3월 지시사항"/>
      <sheetName val="내수1.8GL"/>
      <sheetName val="회의록"/>
      <sheetName val="투자-국내2"/>
      <sheetName val="의장2반 "/>
      <sheetName val="의장34반"/>
      <sheetName val="소유주(원)"/>
      <sheetName val="주소(한문)"/>
      <sheetName val="냉각실용添1"/>
      <sheetName val="유지류添1"/>
      <sheetName val="626TD(COLOR)"/>
      <sheetName val="so-021"/>
      <sheetName val="그패프"/>
      <sheetName val="경쟁실분"/>
      <sheetName val="1.변경범위"/>
      <sheetName val="TCA"/>
      <sheetName val="내구품질향상1"/>
      <sheetName val="MIP"/>
      <sheetName val="DAT(목표)"/>
      <sheetName val="712"/>
      <sheetName val="A-A"/>
      <sheetName val="환산table"/>
      <sheetName val="계정"/>
      <sheetName val="KD율"/>
      <sheetName val="1.개발개요"/>
      <sheetName val="계약서(회사용)"/>
      <sheetName val="계약서(업체용)"/>
      <sheetName val="안전약정서"/>
      <sheetName val="계약용"/>
      <sheetName val="계약명세표"/>
      <sheetName val="대외공문 "/>
      <sheetName val="개선대책 양식"/>
      <sheetName val="개선사례양식"/>
      <sheetName val="191-53 DATA"/>
      <sheetName val="표"/>
      <sheetName val="보고서"/>
      <sheetName val="94B"/>
      <sheetName val="1.POSITIONING"/>
      <sheetName val="카메라03"/>
      <sheetName val="카메라"/>
      <sheetName val="독일GLS"/>
      <sheetName val="인원계획"/>
      <sheetName val="95하U$가격"/>
      <sheetName val="M1master"/>
      <sheetName val="_REF"/>
      <sheetName val="내수(GR순)"/>
      <sheetName val="적용시점통보"/>
      <sheetName val="현황"/>
      <sheetName val="작성기준"/>
      <sheetName val="간지"/>
      <sheetName val="내역갑"/>
      <sheetName val="내역을"/>
      <sheetName val="총수량"/>
      <sheetName val="철근"/>
      <sheetName val="수량"/>
      <sheetName val="단가"/>
      <sheetName val="수량세로"/>
      <sheetName val="가시설1"/>
      <sheetName val="원골재"/>
      <sheetName val="변골재"/>
      <sheetName val="파일집계"/>
      <sheetName val="수량근거"/>
      <sheetName val="수량집계"/>
      <sheetName val="수량증감"/>
      <sheetName val="공사금액"/>
      <sheetName val="위치별수량"/>
      <sheetName val="동프발주서"/>
      <sheetName val="print용(더블) (2)"/>
      <sheetName val="4.TO 및 현재원"/>
      <sheetName val="76410"/>
      <sheetName val="77410"/>
      <sheetName val="76410 CHECK"/>
      <sheetName val="77410 CHECK"/>
      <sheetName val="DETAIL(3)"/>
      <sheetName val="WIPER PIVOT 반대조립"/>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Sheet1 (2)"/>
      <sheetName val="외주품 TAG (2)"/>
      <sheetName val="일일선적 "/>
      <sheetName val="선적누계"/>
      <sheetName val="행정표준(1)"/>
      <sheetName val="행정표준(2)"/>
      <sheetName val="제안서"/>
      <sheetName val="재질단가"/>
      <sheetName val=" SR3차원단위 (3)"/>
      <sheetName val="FMEA(AA)"/>
      <sheetName val="FMEA(BB)"/>
      <sheetName val="초도품보증서 "/>
      <sheetName val="검사협정 갑"/>
      <sheetName val="검사기준서 갑"/>
      <sheetName val="검사기준서 병(BODY)"/>
      <sheetName val="검사성적서(외관)"/>
      <sheetName val="검기준(을)"/>
      <sheetName val="검사성적서(재질)"/>
      <sheetName val="검사성적서(성능)"/>
      <sheetName val="검사성적서(치수)"/>
      <sheetName val=".xls)관리계획서(BODY)"/>
      <sheetName val=".xls)관리계획서(COVER)"/>
      <sheetName val="공정능력평가(BODY)"/>
      <sheetName val="공정능력평가(COVER)"/>
      <sheetName val="도면ASS'Y"/>
      <sheetName val="MILL SHEET"/>
      <sheetName val="중금속"/>
      <sheetName val="연소성"/>
      <sheetName val="냄새성"/>
      <sheetName val="신뢰성"/>
      <sheetName val="Sheet6"/>
      <sheetName val="검사기준서 병(1)"/>
      <sheetName val="검기준(을) )"/>
      <sheetName val="공정능력평가표(BODY)"/>
      <sheetName val="공정능력평가표(COVER)"/>
      <sheetName val="도면"/>
      <sheetName val="검사기준서 갑 "/>
      <sheetName val="BODY"/>
      <sheetName val="COVER"/>
      <sheetName val="SYS검토(1A1)"/>
      <sheetName val="BB1"/>
      <sheetName val="상용_mp"/>
      <sheetName val="10"/>
      <sheetName val="40"/>
      <sheetName val="50"/>
      <sheetName val="60"/>
      <sheetName val="70"/>
      <sheetName val="90"/>
      <sheetName val="camera_10"/>
      <sheetName val="출장거리"/>
      <sheetName val="전부인쇄"/>
      <sheetName val="Macro2"/>
      <sheetName val="2.´e¿U°ø¹R"/>
      <sheetName val="세목별"/>
      <sheetName val="상세(독일)"/>
      <sheetName val="LB Plan 97 neu 15531 Best "/>
      <sheetName val="면담일지"/>
      <sheetName val="PRO(삭제)"/>
      <sheetName val="가동비조사"/>
      <sheetName val="재료POSITION"/>
      <sheetName val="업체별금액"/>
      <sheetName val="원부자재단가LIST"/>
      <sheetName val="과거차종"/>
      <sheetName val="xd year 1"/>
      <sheetName val="물량계획"/>
      <sheetName val="추진 일정"/>
      <sheetName val="지원"/>
      <sheetName val="9.지원계획"/>
      <sheetName val="가단가(台分)"/>
      <sheetName val="SPG구성 (2)"/>
      <sheetName val="9월일정표"/>
      <sheetName val="금형LIST"/>
      <sheetName val="실적(차종별)"/>
      <sheetName val="PAD중량"/>
      <sheetName val="단가합의서"/>
      <sheetName val="JUMP"/>
      <sheetName val="지역별종합1"/>
      <sheetName val="지역별종합2"/>
      <sheetName val="출장경로"/>
      <sheetName val="2_BOM관리업무분장"/>
      <sheetName val="見積書"/>
      <sheetName val="見積書(日本向)"/>
      <sheetName val="見積書(北美向)"/>
      <sheetName val="EFFLIFT"/>
      <sheetName val="SPA SP"/>
      <sheetName val="CRD SP"/>
      <sheetName val="정산"/>
      <sheetName val="품의"/>
      <sheetName val="Sheet8"/>
      <sheetName val="토지면적+건물면적 (2)"/>
      <sheetName val="12월 판관비실적(배부후)"/>
      <sheetName val="Sheet7"/>
      <sheetName val="공정별LAY (4)"/>
      <sheetName val="화일 라벨"/>
      <sheetName val="품의서"/>
      <sheetName val="구매품의서"/>
      <sheetName val="출고전표"/>
      <sheetName val="BOX적재량"/>
      <sheetName val="업체연락망"/>
      <sheetName val="March (2)"/>
      <sheetName val="97323-47000"/>
      <sheetName val="Sheet1 (3)"/>
      <sheetName val="2.손익추이"/>
      <sheetName val="발표회"/>
      <sheetName val="종합"/>
      <sheetName val="개요"/>
      <sheetName val="TEST"/>
      <sheetName val="■첨부#2.원가구성 (GK)(가죽내수) (합의) (2)"/>
      <sheetName val="■첨부#3.수출입비용 (XD)내수"/>
      <sheetName val="시험장비현황"/>
      <sheetName val="W.J.C. 출장 (2)"/>
      <sheetName val="LONG SLIDE"/>
      <sheetName val="비교표"/>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연락망"/>
      <sheetName val="외출중外"/>
      <sheetName val="기준서(갑)"/>
      <sheetName val="기준서(을)"/>
      <sheetName val="상용"/>
      <sheetName val="3월1차"/>
      <sheetName val="Z41,Z42 이외total"/>
      <sheetName val="양식1"/>
    </sheetNames>
    <definedNames>
      <definedName name="Macro11" refersTo="#REF!"/>
      <definedName name="Macro12" refersTo="#REF!"/>
      <definedName name="Macro13" refersTo="#REF!"/>
      <definedName name="Macro14" refersTo="#REF!"/>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refreshError="1"/>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팀별분배"/>
      <sheetName val="내역"/>
      <sheetName val="연구"/>
      <sheetName val="세부list"/>
      <sheetName val="구동"/>
      <sheetName val="GRACE"/>
      <sheetName val="DATA"/>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원신상"/>
      <sheetName val="직,간접인원"/>
      <sheetName val="MX628EX"/>
      <sheetName val="96수출"/>
      <sheetName val="2.대외공문"/>
      <sheetName val="내수1.8GL"/>
      <sheetName val="직원신샀"/>
      <sheetName val="인원계획"/>
      <sheetName val="총"/>
      <sheetName val="윤영환"/>
      <sheetName val="구동"/>
      <sheetName val="기안"/>
      <sheetName val="125PIECE"/>
      <sheetName val="작업명"/>
      <sheetName val="직간통보"/>
      <sheetName val="군산공장추가구매"/>
      <sheetName val="RD제품개발투자비(매가)"/>
      <sheetName val="9806-9901"/>
      <sheetName val="sun(중국접수)"/>
      <sheetName val="95BS"/>
      <sheetName val="126.255"/>
      <sheetName val="PC%계산"/>
      <sheetName val="교육계획"/>
      <sheetName val="공정능력계산"/>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laroux"/>
      <sheetName val="****01"/>
      <sheetName val="****00"/>
      <sheetName val="Sheet4"/>
      <sheetName val="Sheet5"/>
      <sheetName val="Lob_Chart040604"/>
      <sheetName val="Lob_Chart_Tx2040614"/>
      <sheetName val="본관2층(연구관리)"/>
      <sheetName val="본관2층(투자비절감TFT)"/>
      <sheetName val="본관3층(설계관리및인증)"/>
      <sheetName val="본관3층(설계지원)"/>
      <sheetName val="차량인증"/>
      <sheetName val="설계관리"/>
      <sheetName val="본관4층(사양최적화)"/>
      <sheetName val="본관4층(설계원가)"/>
      <sheetName val="게러지2층(종합시험)"/>
      <sheetName val="신관3층(남측)"/>
      <sheetName val="신관3층북쪽"/>
      <sheetName val="신관4층남쪽"/>
      <sheetName val="신관4층북측"/>
      <sheetName val="신관5층남쪽"/>
      <sheetName val="신관5층북쪽"/>
      <sheetName val="PT2층 "/>
      <sheetName val="PT3층"/>
      <sheetName val="전체현황"/>
      <sheetName val="소유주(원)"/>
      <sheetName val=""/>
      <sheetName val="Tong_ke_toantuyen_Mau_TV2"/>
      <sheetName val="64164"/>
      <sheetName val="INJECTION FO"/>
      <sheetName val="TFT组织机构图"/>
      <sheetName val="CHITIET"/>
      <sheetName val="#REF"/>
      <sheetName val="full (2)"/>
      <sheetName val="BP변동"/>
      <sheetName val="Sheet6"/>
      <sheetName val="Sheet7"/>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ccar"/>
      <sheetName val=".mdb,*.htm,*.html,*.pub);웹 페이지("/>
      <sheetName val="목차"/>
      <sheetName val="1-1)개발추진범위"/>
      <sheetName val="1-2)개발일정"/>
      <sheetName val="S_MBR_UPR"/>
      <sheetName val="S_MBR_LWR"/>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_x0005__x0003__x0004_b"/>
      <sheetName val="S"/>
      <sheetName val="사장"/>
      <sheetName val="사원"/>
      <sheetName val="기존젨비교"/>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_x0000_䅀㿠_x0000__x0000__x0000__x0000__x0001__x0000__x0000__x0000__x0000__x0000__x0001_t_x0016__x0000_䅀㿰_x0000__x0000_"/>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측정DATA"/>
      <sheetName val="부품리스트 "/>
      <sheetName val="BOM LIST"/>
      <sheetName val="PO LIST"/>
      <sheetName val="단가"/>
      <sheetName val="架构名单"/>
      <sheetName val="汇总2"/>
      <sheetName val="汇总1 "/>
      <sheetName val="12-29"/>
      <sheetName val="12-30"/>
      <sheetName val="1-2"/>
      <sheetName val="1-3"/>
      <sheetName val="1-4"/>
      <sheetName val="1-5"/>
      <sheetName val="1-6"/>
      <sheetName val="1-7"/>
      <sheetName val="1-8"/>
      <sheetName val="1-9"/>
      <sheetName val="1-10"/>
      <sheetName val="1-11"/>
      <sheetName val="1-12"/>
      <sheetName val="1-13"/>
      <sheetName val="1-14"/>
      <sheetName val="1-15"/>
      <sheetName val="1-16"/>
      <sheetName val="1-17"/>
      <sheetName val="1-18"/>
      <sheetName val="1-19"/>
      <sheetName val="1-20"/>
      <sheetName val="1-21"/>
      <sheetName val="1-22"/>
      <sheetName val="1-23"/>
      <sheetName val="1-24"/>
      <sheetName val="戀椀最㔀"/>
      <sheetName val="bleĤģ_x0000__x0000__x0000__x0000__x0000__x0000_서식을 Ĩĥ_x0000__x0000__x0000__x0000_ħĦ_x0000__x0000__x0000__x0000__x0000__x0000_률_x0000_"/>
      <sheetName val=" 계산(&amp;E)                중지(&amp;A)  "/>
      <sheetName val="_x001e_.&gt;N^n~Žž®¾ÎÞî"/>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2)"/>
      <sheetName val="Sheet1 (3)"/>
      <sheetName val="Sheet1_x0000_ˆŒ_x0004__x0000_ ǅ_x0001__x0000_ˆ&lt;BOOK1.XLS]Shee"/>
      <sheetName val="bleĤģ서식을 ĨĥħĦ_x0000_률_x0000_며_x0000_을 변경īĪ용_x0000_ĭĬ 끌어"/>
      <sheetName val="서식등록대장"/>
      <sheetName val="Sheet1_x0000__x0000__x0004__x0000_ ǅ_x0000__x0001__x0000_&lt;BOOK1.XLS]Sh"/>
      <sheetName val="bleĤģ_x0000_서식을 Ĩĥ_x0000_ħĦ_x0000_률_x0000_며_x0000_을 변경īĪ_x0000_용_x0000_ĭĬ"/>
      <sheetName val="ㅊ.ㅔㅁㅇ"/>
      <sheetName val="1의 공정능력"/>
      <sheetName val="Sheet1_x0000__x0000_ˆŒ_x0000__x0004__x0000__x0000__x0000__x0000__x0000__x0000_ ǅ_x0000__x0000__x0000__x0000__x0000__x0000__x0000__x0000__x0000__x0000__x0000_"/>
      <sheetName val="Sheet1_x0000_ˆŒ_x0004__x0000_ ǅ_x0001__x0000_ˆ&lt;BOOK1.XLS"/>
      <sheetName val="Book1"/>
      <sheetName val="Sheet1_x0000_ˆŒ_x0004__x0000_ ǅ_x0001__x0000_ˆ&lt;BOOK1.XLS]Sh"/>
      <sheetName val="bleĤģ"/>
      <sheetName val="1st Gear"/>
      <sheetName val="1st Gear (2)"/>
      <sheetName val="헤드불량내용"/>
      <sheetName val="크랑크불량내용"/>
      <sheetName val="_x0000_p"/>
      <sheetName val="C"/>
      <sheetName val="intro"/>
      <sheetName val="표시형식"/>
      <sheetName val="셀간 이동"/>
      <sheetName val="영역선택"/>
      <sheetName val="Cdma"/>
      <sheetName val="기안"/>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sheetData sheetId="127" refreshError="1"/>
      <sheetData sheetId="128"/>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sheetData sheetId="168"/>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승인목록"/>
      <sheetName val="신규제품개발계획서-r1"/>
      <sheetName val="공정흐름도"/>
      <sheetName val="관리계획서"/>
      <sheetName val="관리계획서_B"/>
      <sheetName val="FMEA(TT)"/>
      <sheetName val="FMEA(SWITCH)"/>
      <sheetName val="FMEA(SWITCH)-1"/>
      <sheetName val="REVISION"/>
      <sheetName val="CFT구성조직도"/>
      <sheetName val="설비투자계획"/>
      <sheetName val="공정흐름도 -예비 (2)"/>
      <sheetName val="Sheet1 (2)"/>
      <sheetName val="5.6.3).(3)공정배치계획도-END-CAP"/>
      <sheetName val="계약검토서"/>
      <sheetName val="타당성검토확인서"/>
      <sheetName val="3.5특성매트릭스"/>
      <sheetName val="3.9 측정시스템분석계획"/>
      <sheetName val="(3.9SUB)"/>
      <sheetName val="3.10 초기공정능력조사계획"/>
      <sheetName val="4.1시험생산"/>
      <sheetName val="4.3 초기공정능력조사"/>
      <sheetName val="4.3 첨부1"/>
      <sheetName val="4.3 첨부2"/>
      <sheetName val="4.4양산부품승인"/>
      <sheetName val="4.5양산유효성 평가 시험"/>
      <sheetName val="4.6 포장평가"/>
      <sheetName val="신규제품개발계획서"/>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99">
          <cell r="A99">
            <v>9.9</v>
          </cell>
        </row>
        <row r="100">
          <cell r="A100">
            <v>9.8940000000000001</v>
          </cell>
        </row>
        <row r="101">
          <cell r="A101">
            <v>9.8879999999999999</v>
          </cell>
        </row>
        <row r="102">
          <cell r="A102">
            <v>9.8819999999999997</v>
          </cell>
        </row>
        <row r="103">
          <cell r="A103">
            <v>9.8759999999999994</v>
          </cell>
        </row>
        <row r="104">
          <cell r="A104">
            <v>9.8699999999999992</v>
          </cell>
        </row>
        <row r="105">
          <cell r="A105">
            <v>9.863999999999999</v>
          </cell>
        </row>
        <row r="106">
          <cell r="A106">
            <v>9.8579999999999988</v>
          </cell>
        </row>
        <row r="107">
          <cell r="A107">
            <v>9.8519999999999985</v>
          </cell>
        </row>
        <row r="108">
          <cell r="A108">
            <v>9.8459999999999983</v>
          </cell>
        </row>
        <row r="109">
          <cell r="A109">
            <v>9.8399999999999981</v>
          </cell>
        </row>
        <row r="110">
          <cell r="A110">
            <v>9.8339999999999979</v>
          </cell>
        </row>
        <row r="111">
          <cell r="A111">
            <v>9.8279999999999976</v>
          </cell>
        </row>
        <row r="112">
          <cell r="A112">
            <v>9.8219999999999974</v>
          </cell>
        </row>
        <row r="113">
          <cell r="A113">
            <v>9.8159999999999972</v>
          </cell>
        </row>
        <row r="114">
          <cell r="A114">
            <v>9.8099999999999969</v>
          </cell>
        </row>
        <row r="115">
          <cell r="A115">
            <v>9.8039999999999967</v>
          </cell>
        </row>
        <row r="116">
          <cell r="A116">
            <v>9.7979999999999965</v>
          </cell>
        </row>
        <row r="117">
          <cell r="A117">
            <v>9.7919999999999963</v>
          </cell>
        </row>
        <row r="118">
          <cell r="A118">
            <v>9.785999999999996</v>
          </cell>
        </row>
        <row r="119">
          <cell r="A119">
            <v>9.7799999999999958</v>
          </cell>
        </row>
        <row r="120">
          <cell r="A120">
            <v>9.7739999999999956</v>
          </cell>
        </row>
        <row r="121">
          <cell r="A121">
            <v>9.7679999999999954</v>
          </cell>
        </row>
        <row r="122">
          <cell r="A122">
            <v>9.7619999999999951</v>
          </cell>
        </row>
        <row r="123">
          <cell r="A123">
            <v>9.7559999999999949</v>
          </cell>
        </row>
        <row r="124">
          <cell r="A124">
            <v>9.7499999999999947</v>
          </cell>
        </row>
        <row r="125">
          <cell r="A125">
            <v>9.7439999999999944</v>
          </cell>
        </row>
        <row r="126">
          <cell r="A126">
            <v>9.7379999999999942</v>
          </cell>
        </row>
        <row r="127">
          <cell r="A127">
            <v>9.731999999999994</v>
          </cell>
        </row>
        <row r="128">
          <cell r="A128">
            <v>9.7259999999999938</v>
          </cell>
        </row>
        <row r="129">
          <cell r="A129">
            <v>9.7199999999999935</v>
          </cell>
        </row>
        <row r="130">
          <cell r="A130">
            <v>9.7139999999999933</v>
          </cell>
        </row>
        <row r="131">
          <cell r="A131">
            <v>9.7079999999999931</v>
          </cell>
        </row>
        <row r="132">
          <cell r="A132">
            <v>9.7019999999999929</v>
          </cell>
        </row>
        <row r="133">
          <cell r="A133">
            <v>9.6959999999999926</v>
          </cell>
        </row>
        <row r="134">
          <cell r="A134">
            <v>9.6899999999999924</v>
          </cell>
        </row>
        <row r="135">
          <cell r="A135">
            <v>9.6839999999999922</v>
          </cell>
        </row>
        <row r="136">
          <cell r="A136">
            <v>9.6779999999999919</v>
          </cell>
        </row>
        <row r="137">
          <cell r="A137">
            <v>9.6719999999999917</v>
          </cell>
        </row>
        <row r="138">
          <cell r="A138">
            <v>9.6659999999999915</v>
          </cell>
        </row>
        <row r="139">
          <cell r="A139">
            <v>9.6599999999999913</v>
          </cell>
        </row>
        <row r="140">
          <cell r="A140">
            <v>9.653999999999991</v>
          </cell>
        </row>
        <row r="141">
          <cell r="A141">
            <v>9.6479999999999908</v>
          </cell>
        </row>
        <row r="142">
          <cell r="A142">
            <v>9.6419999999999906</v>
          </cell>
        </row>
        <row r="143">
          <cell r="A143">
            <v>9.6359999999999904</v>
          </cell>
        </row>
        <row r="144">
          <cell r="A144">
            <v>9.6299999999999901</v>
          </cell>
        </row>
        <row r="145">
          <cell r="A145">
            <v>9.6239999999999899</v>
          </cell>
        </row>
        <row r="146">
          <cell r="A146">
            <v>9.6179999999999897</v>
          </cell>
        </row>
        <row r="147">
          <cell r="A147">
            <v>9.6119999999999894</v>
          </cell>
        </row>
        <row r="148">
          <cell r="A148">
            <v>9.6059999999999892</v>
          </cell>
        </row>
        <row r="149">
          <cell r="A149">
            <v>9.599999999999989</v>
          </cell>
        </row>
        <row r="150">
          <cell r="A150">
            <v>9.5939999999999888</v>
          </cell>
        </row>
        <row r="151">
          <cell r="A151">
            <v>9.5879999999999885</v>
          </cell>
        </row>
        <row r="152">
          <cell r="A152">
            <v>9.5819999999999883</v>
          </cell>
        </row>
        <row r="153">
          <cell r="A153">
            <v>9.5759999999999881</v>
          </cell>
        </row>
        <row r="154">
          <cell r="A154">
            <v>9.5699999999999878</v>
          </cell>
        </row>
        <row r="155">
          <cell r="A155">
            <v>9.5639999999999876</v>
          </cell>
        </row>
        <row r="156">
          <cell r="A156">
            <v>9.5579999999999874</v>
          </cell>
        </row>
        <row r="157">
          <cell r="A157">
            <v>9.5519999999999872</v>
          </cell>
        </row>
        <row r="158">
          <cell r="A158">
            <v>9.5459999999999869</v>
          </cell>
        </row>
        <row r="159">
          <cell r="A159">
            <v>9.5399999999999867</v>
          </cell>
        </row>
        <row r="160">
          <cell r="A160">
            <v>9.5339999999999865</v>
          </cell>
        </row>
        <row r="161">
          <cell r="A161">
            <v>9.5279999999999863</v>
          </cell>
        </row>
        <row r="162">
          <cell r="A162">
            <v>9.521999999999986</v>
          </cell>
        </row>
        <row r="163">
          <cell r="A163">
            <v>9.5159999999999858</v>
          </cell>
        </row>
        <row r="164">
          <cell r="A164">
            <v>9.5099999999999856</v>
          </cell>
        </row>
        <row r="165">
          <cell r="A165">
            <v>9.5039999999999853</v>
          </cell>
        </row>
        <row r="166">
          <cell r="A166">
            <v>9.4979999999999851</v>
          </cell>
        </row>
        <row r="167">
          <cell r="A167">
            <v>9.4919999999999849</v>
          </cell>
        </row>
        <row r="168">
          <cell r="A168">
            <v>9.4859999999999847</v>
          </cell>
        </row>
        <row r="169">
          <cell r="A169">
            <v>9.4799999999999844</v>
          </cell>
        </row>
        <row r="170">
          <cell r="A170">
            <v>9.4739999999999842</v>
          </cell>
        </row>
        <row r="171">
          <cell r="A171">
            <v>9.467999999999984</v>
          </cell>
        </row>
        <row r="172">
          <cell r="A172">
            <v>9.4619999999999838</v>
          </cell>
        </row>
        <row r="173">
          <cell r="A173">
            <v>9.4559999999999835</v>
          </cell>
        </row>
        <row r="174">
          <cell r="A174">
            <v>9.4499999999999833</v>
          </cell>
        </row>
        <row r="175">
          <cell r="A175">
            <v>9.4439999999999831</v>
          </cell>
        </row>
        <row r="176">
          <cell r="A176">
            <v>9.4379999999999828</v>
          </cell>
        </row>
        <row r="177">
          <cell r="A177">
            <v>9.4319999999999826</v>
          </cell>
        </row>
        <row r="178">
          <cell r="A178">
            <v>9.4259999999999824</v>
          </cell>
        </row>
        <row r="179">
          <cell r="A179">
            <v>9.4199999999999822</v>
          </cell>
        </row>
        <row r="180">
          <cell r="A180">
            <v>9.4139999999999819</v>
          </cell>
        </row>
        <row r="181">
          <cell r="A181">
            <v>9.4079999999999817</v>
          </cell>
        </row>
        <row r="182">
          <cell r="A182">
            <v>9.4019999999999815</v>
          </cell>
        </row>
        <row r="183">
          <cell r="A183">
            <v>9.3959999999999813</v>
          </cell>
        </row>
        <row r="184">
          <cell r="A184">
            <v>9.389999999999981</v>
          </cell>
        </row>
        <row r="185">
          <cell r="A185">
            <v>9.3839999999999808</v>
          </cell>
        </row>
        <row r="186">
          <cell r="A186">
            <v>9.3779999999999806</v>
          </cell>
        </row>
        <row r="187">
          <cell r="A187">
            <v>9.3719999999999803</v>
          </cell>
        </row>
        <row r="188">
          <cell r="A188">
            <v>9.3659999999999801</v>
          </cell>
        </row>
        <row r="189">
          <cell r="A189">
            <v>9.3599999999999799</v>
          </cell>
        </row>
        <row r="190">
          <cell r="A190">
            <v>9.3539999999999797</v>
          </cell>
        </row>
        <row r="191">
          <cell r="A191">
            <v>9.3479999999999794</v>
          </cell>
        </row>
        <row r="192">
          <cell r="A192">
            <v>9.3419999999999792</v>
          </cell>
        </row>
        <row r="193">
          <cell r="A193">
            <v>9.335999999999979</v>
          </cell>
        </row>
        <row r="194">
          <cell r="A194">
            <v>9.3299999999999788</v>
          </cell>
        </row>
        <row r="195">
          <cell r="A195">
            <v>9.3239999999999785</v>
          </cell>
        </row>
        <row r="196">
          <cell r="A196">
            <v>9.3179999999999783</v>
          </cell>
        </row>
        <row r="197">
          <cell r="A197">
            <v>9.3119999999999781</v>
          </cell>
        </row>
        <row r="198">
          <cell r="A198">
            <v>9.3059999999999778</v>
          </cell>
        </row>
        <row r="199">
          <cell r="A199">
            <v>9.2999999999999776</v>
          </cell>
        </row>
        <row r="208">
          <cell r="A208">
            <v>9.2999999999999776</v>
          </cell>
        </row>
      </sheetData>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
      <sheetName val="Sheet1"/>
      <sheetName val="보고양식"/>
    </sheetNames>
    <sheetDataSet>
      <sheetData sheetId="0"/>
      <sheetData sheetId="1" refreshError="1"/>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K(1)"/>
      <sheetName val="CPK(2)"/>
      <sheetName val="ss2 lcd cover"/>
      <sheetName val="ss3 lcd cover"/>
      <sheetName val="ss2 bottom"/>
    </sheetNames>
    <sheetDataSet>
      <sheetData sheetId="0"/>
      <sheetData sheetId="1"/>
      <sheetData sheetId="2" refreshError="1">
        <row r="55">
          <cell r="K55">
            <v>169.72080000000003</v>
          </cell>
        </row>
        <row r="56">
          <cell r="K56">
            <v>169.74790000000002</v>
          </cell>
        </row>
        <row r="57">
          <cell r="K57">
            <v>169.77500000000001</v>
          </cell>
        </row>
        <row r="58">
          <cell r="K58">
            <v>169.8021</v>
          </cell>
        </row>
        <row r="59">
          <cell r="K59">
            <v>169.82919999999999</v>
          </cell>
        </row>
        <row r="60">
          <cell r="K60">
            <v>169.85629999999998</v>
          </cell>
        </row>
        <row r="61">
          <cell r="K61">
            <v>169.88339999999997</v>
          </cell>
        </row>
        <row r="62">
          <cell r="K62">
            <v>169.91049999999996</v>
          </cell>
        </row>
        <row r="63">
          <cell r="K63">
            <v>169.93759999999995</v>
          </cell>
        </row>
        <row r="64">
          <cell r="K64">
            <v>169.96469999999994</v>
          </cell>
        </row>
        <row r="65">
          <cell r="K65">
            <v>169.99179999999993</v>
          </cell>
        </row>
        <row r="66">
          <cell r="K66">
            <v>170.01889999999992</v>
          </cell>
        </row>
        <row r="67">
          <cell r="K67">
            <v>170.04599999999991</v>
          </cell>
        </row>
        <row r="68">
          <cell r="K68">
            <v>170.0730999999999</v>
          </cell>
        </row>
      </sheetData>
      <sheetData sheetId="3" refreshError="1"/>
      <sheetData sheetId="4"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317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317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0"/>
  <sheetViews>
    <sheetView view="pageBreakPreview" topLeftCell="A25" zoomScale="115" zoomScaleNormal="70" zoomScaleSheetLayoutView="115" zoomScalePageLayoutView="70" workbookViewId="0">
      <selection activeCell="K34" sqref="A2:N34"/>
    </sheetView>
  </sheetViews>
  <sheetFormatPr defaultRowHeight="13.5"/>
  <cols>
    <col min="8" max="8" width="8.88671875" customWidth="1"/>
    <col min="10" max="14" width="8.88671875" customWidth="1"/>
  </cols>
  <sheetData>
    <row r="1" spans="1:14" ht="14.25" thickBot="1"/>
    <row r="2" spans="1:14" ht="22.5" customHeight="1">
      <c r="A2" s="584"/>
      <c r="B2" s="585"/>
      <c r="C2" s="585"/>
      <c r="D2" s="586" t="s">
        <v>116</v>
      </c>
      <c r="E2" s="587"/>
      <c r="F2" s="587"/>
      <c r="G2" s="587"/>
      <c r="H2" s="587"/>
      <c r="I2" s="587"/>
      <c r="J2" s="587"/>
      <c r="K2" s="588" t="s">
        <v>39</v>
      </c>
      <c r="L2" s="589"/>
      <c r="M2" s="590" t="s">
        <v>112</v>
      </c>
      <c r="N2" s="591"/>
    </row>
    <row r="3" spans="1:14" ht="24.75" customHeight="1">
      <c r="A3" s="592"/>
      <c r="B3" s="302"/>
      <c r="C3" s="302"/>
      <c r="D3" s="303"/>
      <c r="E3" s="303"/>
      <c r="F3" s="303"/>
      <c r="G3" s="303"/>
      <c r="H3" s="303"/>
      <c r="I3" s="303"/>
      <c r="J3" s="303"/>
      <c r="K3" s="304" t="s">
        <v>40</v>
      </c>
      <c r="L3" s="305"/>
      <c r="M3" s="306">
        <v>43678</v>
      </c>
      <c r="N3" s="593"/>
    </row>
    <row r="4" spans="1:14" ht="17.25" customHeight="1">
      <c r="A4" s="592"/>
      <c r="B4" s="302"/>
      <c r="C4" s="302"/>
      <c r="D4" s="303"/>
      <c r="E4" s="303"/>
      <c r="F4" s="303"/>
      <c r="G4" s="303"/>
      <c r="H4" s="303"/>
      <c r="I4" s="303"/>
      <c r="J4" s="303"/>
      <c r="K4" s="304" t="s">
        <v>41</v>
      </c>
      <c r="L4" s="305"/>
      <c r="M4" s="284" t="s">
        <v>117</v>
      </c>
      <c r="N4" s="593"/>
    </row>
    <row r="5" spans="1:14" ht="30" customHeight="1">
      <c r="A5" s="592"/>
      <c r="B5" s="302"/>
      <c r="C5" s="302"/>
      <c r="D5" s="303"/>
      <c r="E5" s="303"/>
      <c r="F5" s="303"/>
      <c r="G5" s="303"/>
      <c r="H5" s="303"/>
      <c r="I5" s="303"/>
      <c r="J5" s="303"/>
      <c r="K5" s="304" t="s">
        <v>42</v>
      </c>
      <c r="L5" s="305"/>
      <c r="M5" s="307" t="s">
        <v>113</v>
      </c>
      <c r="N5" s="594"/>
    </row>
    <row r="6" spans="1:14">
      <c r="A6" s="595" t="s">
        <v>49</v>
      </c>
      <c r="B6" s="298"/>
      <c r="C6" s="298"/>
      <c r="D6" s="298"/>
      <c r="E6" s="298"/>
      <c r="F6" s="298"/>
      <c r="G6" s="298"/>
      <c r="H6" s="298"/>
      <c r="I6" s="298"/>
      <c r="J6" s="298"/>
      <c r="K6" s="298"/>
      <c r="L6" s="298"/>
      <c r="M6" s="298"/>
      <c r="N6" s="596"/>
    </row>
    <row r="7" spans="1:14">
      <c r="A7" s="597"/>
      <c r="B7" s="298"/>
      <c r="C7" s="298"/>
      <c r="D7" s="298"/>
      <c r="E7" s="298"/>
      <c r="F7" s="298"/>
      <c r="G7" s="298"/>
      <c r="H7" s="298"/>
      <c r="I7" s="298"/>
      <c r="J7" s="298"/>
      <c r="K7" s="298"/>
      <c r="L7" s="298"/>
      <c r="M7" s="298"/>
      <c r="N7" s="596"/>
    </row>
    <row r="8" spans="1:14">
      <c r="A8" s="597"/>
      <c r="B8" s="298"/>
      <c r="C8" s="298"/>
      <c r="D8" s="298"/>
      <c r="E8" s="298"/>
      <c r="F8" s="298"/>
      <c r="G8" s="298"/>
      <c r="H8" s="298"/>
      <c r="I8" s="298"/>
      <c r="J8" s="298"/>
      <c r="K8" s="298"/>
      <c r="L8" s="298"/>
      <c r="M8" s="298"/>
      <c r="N8" s="596"/>
    </row>
    <row r="9" spans="1:14">
      <c r="A9" s="597"/>
      <c r="B9" s="298"/>
      <c r="C9" s="298"/>
      <c r="D9" s="298"/>
      <c r="E9" s="298"/>
      <c r="F9" s="298"/>
      <c r="G9" s="298"/>
      <c r="H9" s="298"/>
      <c r="I9" s="298"/>
      <c r="J9" s="298"/>
      <c r="K9" s="298"/>
      <c r="L9" s="298"/>
      <c r="M9" s="298"/>
      <c r="N9" s="596"/>
    </row>
    <row r="10" spans="1:14">
      <c r="A10" s="597"/>
      <c r="B10" s="298"/>
      <c r="C10" s="298"/>
      <c r="D10" s="298"/>
      <c r="E10" s="298"/>
      <c r="F10" s="298"/>
      <c r="G10" s="298"/>
      <c r="H10" s="298"/>
      <c r="I10" s="298"/>
      <c r="J10" s="298"/>
      <c r="K10" s="298"/>
      <c r="L10" s="298"/>
      <c r="M10" s="298"/>
      <c r="N10" s="596"/>
    </row>
    <row r="11" spans="1:14">
      <c r="A11" s="597"/>
      <c r="B11" s="298"/>
      <c r="C11" s="298"/>
      <c r="D11" s="298"/>
      <c r="E11" s="298"/>
      <c r="F11" s="298"/>
      <c r="G11" s="298"/>
      <c r="H11" s="298"/>
      <c r="I11" s="298"/>
      <c r="J11" s="298"/>
      <c r="K11" s="298"/>
      <c r="L11" s="298"/>
      <c r="M11" s="298"/>
      <c r="N11" s="596"/>
    </row>
    <row r="12" spans="1:14">
      <c r="A12" s="597"/>
      <c r="B12" s="298"/>
      <c r="C12" s="298"/>
      <c r="D12" s="298"/>
      <c r="E12" s="298"/>
      <c r="F12" s="298"/>
      <c r="G12" s="298"/>
      <c r="H12" s="298"/>
      <c r="I12" s="298"/>
      <c r="J12" s="298"/>
      <c r="K12" s="298"/>
      <c r="L12" s="298"/>
      <c r="M12" s="298"/>
      <c r="N12" s="596"/>
    </row>
    <row r="13" spans="1:14">
      <c r="A13" s="597"/>
      <c r="B13" s="298"/>
      <c r="C13" s="298"/>
      <c r="D13" s="298"/>
      <c r="E13" s="298"/>
      <c r="F13" s="298"/>
      <c r="G13" s="298"/>
      <c r="H13" s="298"/>
      <c r="I13" s="298"/>
      <c r="J13" s="298"/>
      <c r="K13" s="298"/>
      <c r="L13" s="298"/>
      <c r="M13" s="298"/>
      <c r="N13" s="596"/>
    </row>
    <row r="14" spans="1:14">
      <c r="A14" s="597"/>
      <c r="B14" s="298"/>
      <c r="C14" s="298"/>
      <c r="D14" s="298"/>
      <c r="E14" s="298"/>
      <c r="F14" s="298"/>
      <c r="G14" s="298"/>
      <c r="H14" s="298"/>
      <c r="I14" s="298"/>
      <c r="J14" s="298"/>
      <c r="K14" s="298"/>
      <c r="L14" s="298"/>
      <c r="M14" s="298"/>
      <c r="N14" s="596"/>
    </row>
    <row r="15" spans="1:14">
      <c r="A15" s="597"/>
      <c r="B15" s="298"/>
      <c r="C15" s="298"/>
      <c r="D15" s="298"/>
      <c r="E15" s="298"/>
      <c r="F15" s="298"/>
      <c r="G15" s="298"/>
      <c r="H15" s="298"/>
      <c r="I15" s="298"/>
      <c r="J15" s="298"/>
      <c r="K15" s="298"/>
      <c r="L15" s="298"/>
      <c r="M15" s="298"/>
      <c r="N15" s="596"/>
    </row>
    <row r="16" spans="1:14">
      <c r="A16" s="597"/>
      <c r="B16" s="298"/>
      <c r="C16" s="298"/>
      <c r="D16" s="298"/>
      <c r="E16" s="298"/>
      <c r="F16" s="298"/>
      <c r="G16" s="298"/>
      <c r="H16" s="298"/>
      <c r="I16" s="298"/>
      <c r="J16" s="298"/>
      <c r="K16" s="298"/>
      <c r="L16" s="298"/>
      <c r="M16" s="298"/>
      <c r="N16" s="596"/>
    </row>
    <row r="17" spans="1:14">
      <c r="A17" s="597"/>
      <c r="B17" s="298"/>
      <c r="C17" s="298"/>
      <c r="D17" s="298"/>
      <c r="E17" s="298"/>
      <c r="F17" s="298"/>
      <c r="G17" s="298"/>
      <c r="H17" s="298"/>
      <c r="I17" s="298"/>
      <c r="J17" s="298"/>
      <c r="K17" s="298"/>
      <c r="L17" s="298"/>
      <c r="M17" s="298"/>
      <c r="N17" s="596"/>
    </row>
    <row r="18" spans="1:14">
      <c r="A18" s="597"/>
      <c r="B18" s="298"/>
      <c r="C18" s="298"/>
      <c r="D18" s="298"/>
      <c r="E18" s="298"/>
      <c r="F18" s="298"/>
      <c r="G18" s="298"/>
      <c r="H18" s="298"/>
      <c r="I18" s="298"/>
      <c r="J18" s="298"/>
      <c r="K18" s="298"/>
      <c r="L18" s="298"/>
      <c r="M18" s="298"/>
      <c r="N18" s="596"/>
    </row>
    <row r="19" spans="1:14">
      <c r="A19" s="597"/>
      <c r="B19" s="298"/>
      <c r="C19" s="298"/>
      <c r="D19" s="298"/>
      <c r="E19" s="298"/>
      <c r="F19" s="298"/>
      <c r="G19" s="298"/>
      <c r="H19" s="298"/>
      <c r="I19" s="298"/>
      <c r="J19" s="298"/>
      <c r="K19" s="298"/>
      <c r="L19" s="298"/>
      <c r="M19" s="298"/>
      <c r="N19" s="596"/>
    </row>
    <row r="20" spans="1:14">
      <c r="A20" s="597"/>
      <c r="B20" s="298"/>
      <c r="C20" s="298"/>
      <c r="D20" s="298"/>
      <c r="E20" s="298"/>
      <c r="F20" s="298"/>
      <c r="G20" s="298"/>
      <c r="H20" s="298"/>
      <c r="I20" s="298"/>
      <c r="J20" s="298"/>
      <c r="K20" s="298"/>
      <c r="L20" s="298"/>
      <c r="M20" s="298"/>
      <c r="N20" s="596"/>
    </row>
    <row r="21" spans="1:14">
      <c r="A21" s="598"/>
      <c r="B21" s="299"/>
      <c r="C21" s="299"/>
      <c r="D21" s="299"/>
      <c r="E21" s="299"/>
      <c r="F21" s="299"/>
      <c r="G21" s="299"/>
      <c r="H21" s="299"/>
      <c r="I21" s="299"/>
      <c r="J21" s="299"/>
      <c r="K21" s="299"/>
      <c r="L21" s="299"/>
      <c r="M21" s="299"/>
      <c r="N21" s="599"/>
    </row>
    <row r="22" spans="1:14" ht="14.25">
      <c r="A22" s="600"/>
      <c r="B22" s="301"/>
      <c r="C22" s="301"/>
      <c r="D22" s="284" t="s">
        <v>104</v>
      </c>
      <c r="E22" s="285"/>
      <c r="F22" s="284" t="s">
        <v>105</v>
      </c>
      <c r="G22" s="285"/>
      <c r="H22" s="286" t="s">
        <v>106</v>
      </c>
      <c r="I22" s="287"/>
      <c r="J22" s="301"/>
      <c r="K22" s="301"/>
      <c r="L22" s="301"/>
      <c r="M22" s="301"/>
      <c r="N22" s="601"/>
    </row>
    <row r="23" spans="1:14" ht="31.5" customHeight="1">
      <c r="A23" s="600"/>
      <c r="B23" s="301"/>
      <c r="C23" s="301"/>
      <c r="D23" s="579" t="s">
        <v>215</v>
      </c>
      <c r="E23" s="289"/>
      <c r="F23" s="288"/>
      <c r="G23" s="289"/>
      <c r="H23" s="580" t="s">
        <v>216</v>
      </c>
      <c r="I23" s="581"/>
      <c r="J23" s="301"/>
      <c r="K23" s="301"/>
      <c r="L23" s="301"/>
      <c r="M23" s="301"/>
      <c r="N23" s="601"/>
    </row>
    <row r="24" spans="1:14" ht="31.5" customHeight="1">
      <c r="A24" s="600"/>
      <c r="B24" s="301"/>
      <c r="C24" s="301"/>
      <c r="D24" s="290"/>
      <c r="E24" s="291"/>
      <c r="F24" s="290"/>
      <c r="G24" s="291"/>
      <c r="H24" s="582"/>
      <c r="I24" s="583"/>
      <c r="J24" s="301"/>
      <c r="K24" s="301"/>
      <c r="L24" s="301"/>
      <c r="M24" s="301"/>
      <c r="N24" s="601"/>
    </row>
    <row r="25" spans="1:14" ht="14.25">
      <c r="A25" s="602"/>
      <c r="B25" s="300"/>
      <c r="C25" s="300"/>
      <c r="D25" s="300"/>
      <c r="E25" s="300"/>
      <c r="F25" s="300"/>
      <c r="G25" s="300"/>
      <c r="H25" s="300"/>
      <c r="I25" s="300"/>
      <c r="J25" s="300"/>
      <c r="K25" s="300"/>
      <c r="L25" s="300"/>
      <c r="M25" s="300"/>
      <c r="N25" s="603"/>
    </row>
    <row r="26" spans="1:14">
      <c r="A26" s="604" t="s">
        <v>43</v>
      </c>
      <c r="B26" s="297"/>
      <c r="C26" s="297"/>
      <c r="D26" s="297"/>
      <c r="E26" s="297"/>
      <c r="F26" s="297"/>
      <c r="G26" s="297"/>
      <c r="H26" s="297"/>
      <c r="I26" s="297"/>
      <c r="J26" s="297"/>
      <c r="K26" s="297"/>
      <c r="L26" s="297"/>
      <c r="M26" s="297"/>
      <c r="N26" s="605"/>
    </row>
    <row r="27" spans="1:14">
      <c r="A27" s="606"/>
      <c r="B27" s="297"/>
      <c r="C27" s="297"/>
      <c r="D27" s="297"/>
      <c r="E27" s="297"/>
      <c r="F27" s="297"/>
      <c r="G27" s="297"/>
      <c r="H27" s="297"/>
      <c r="I27" s="297"/>
      <c r="J27" s="297"/>
      <c r="K27" s="297"/>
      <c r="L27" s="297"/>
      <c r="M27" s="297"/>
      <c r="N27" s="605"/>
    </row>
    <row r="28" spans="1:14" ht="28.5">
      <c r="A28" s="607" t="s">
        <v>44</v>
      </c>
      <c r="B28" s="283" t="s">
        <v>45</v>
      </c>
      <c r="C28" s="295" t="s">
        <v>46</v>
      </c>
      <c r="D28" s="296"/>
      <c r="E28" s="295" t="s">
        <v>47</v>
      </c>
      <c r="F28" s="296"/>
      <c r="G28" s="296"/>
      <c r="H28" s="296"/>
      <c r="I28" s="296"/>
      <c r="J28" s="296"/>
      <c r="K28" s="296" t="s">
        <v>48</v>
      </c>
      <c r="L28" s="296"/>
      <c r="M28" s="296"/>
      <c r="N28" s="608"/>
    </row>
    <row r="29" spans="1:14" ht="14.25">
      <c r="A29" s="609"/>
      <c r="B29" s="274" t="s">
        <v>114</v>
      </c>
      <c r="C29" s="292">
        <v>0</v>
      </c>
      <c r="D29" s="292"/>
      <c r="E29" s="292" t="s">
        <v>118</v>
      </c>
      <c r="F29" s="292"/>
      <c r="G29" s="292"/>
      <c r="H29" s="292"/>
      <c r="I29" s="292"/>
      <c r="J29" s="292"/>
      <c r="K29" s="292" t="s">
        <v>115</v>
      </c>
      <c r="L29" s="292"/>
      <c r="M29" s="292"/>
      <c r="N29" s="294"/>
    </row>
    <row r="30" spans="1:14" ht="14.25">
      <c r="A30" s="609"/>
      <c r="B30" s="274" t="s">
        <v>113</v>
      </c>
      <c r="C30" s="292">
        <v>0</v>
      </c>
      <c r="D30" s="292"/>
      <c r="E30" s="292" t="s">
        <v>118</v>
      </c>
      <c r="F30" s="292"/>
      <c r="G30" s="292"/>
      <c r="H30" s="292"/>
      <c r="I30" s="292"/>
      <c r="J30" s="292"/>
      <c r="K30" s="293">
        <v>43678</v>
      </c>
      <c r="L30" s="292"/>
      <c r="M30" s="292"/>
      <c r="N30" s="294"/>
    </row>
    <row r="31" spans="1:14" ht="14.25">
      <c r="A31" s="609"/>
      <c r="B31" s="101"/>
      <c r="C31" s="292"/>
      <c r="D31" s="292"/>
      <c r="E31" s="292"/>
      <c r="F31" s="292"/>
      <c r="G31" s="292"/>
      <c r="H31" s="292"/>
      <c r="I31" s="292"/>
      <c r="J31" s="292"/>
      <c r="K31" s="292"/>
      <c r="L31" s="292"/>
      <c r="M31" s="292"/>
      <c r="N31" s="294"/>
    </row>
    <row r="32" spans="1:14" ht="14.25">
      <c r="A32" s="609"/>
      <c r="B32" s="102"/>
      <c r="C32" s="292"/>
      <c r="D32" s="292"/>
      <c r="E32" s="292"/>
      <c r="F32" s="292"/>
      <c r="G32" s="292"/>
      <c r="H32" s="292"/>
      <c r="I32" s="292"/>
      <c r="J32" s="292"/>
      <c r="K32" s="292"/>
      <c r="L32" s="292"/>
      <c r="M32" s="292"/>
      <c r="N32" s="294"/>
    </row>
    <row r="33" spans="1:14" ht="14.25">
      <c r="A33" s="609"/>
      <c r="B33" s="101"/>
      <c r="C33" s="292"/>
      <c r="D33" s="292"/>
      <c r="E33" s="292"/>
      <c r="F33" s="292"/>
      <c r="G33" s="292"/>
      <c r="H33" s="292"/>
      <c r="I33" s="292"/>
      <c r="J33" s="292"/>
      <c r="K33" s="292"/>
      <c r="L33" s="292"/>
      <c r="M33" s="292"/>
      <c r="N33" s="294"/>
    </row>
    <row r="34" spans="1:14" ht="15" thickBot="1">
      <c r="A34" s="610"/>
      <c r="B34" s="611"/>
      <c r="C34" s="612"/>
      <c r="D34" s="612"/>
      <c r="E34" s="612"/>
      <c r="F34" s="612"/>
      <c r="G34" s="612"/>
      <c r="H34" s="612"/>
      <c r="I34" s="612"/>
      <c r="J34" s="612"/>
      <c r="K34" s="612"/>
      <c r="L34" s="612"/>
      <c r="M34" s="612"/>
      <c r="N34" s="613"/>
    </row>
    <row r="35" spans="1:14" ht="14.25">
      <c r="A35" s="103"/>
      <c r="B35" s="103"/>
      <c r="C35" s="103"/>
      <c r="D35" s="103"/>
      <c r="E35" s="103"/>
      <c r="F35" s="103"/>
      <c r="G35" s="103"/>
      <c r="H35" s="103"/>
      <c r="I35" s="103"/>
      <c r="J35" s="103"/>
      <c r="K35" s="103"/>
      <c r="L35" s="103"/>
      <c r="M35" s="103"/>
      <c r="N35" s="103"/>
    </row>
    <row r="36" spans="1:14" ht="14.25">
      <c r="A36" s="103"/>
      <c r="B36" s="103"/>
      <c r="C36" s="103"/>
      <c r="D36" s="103"/>
      <c r="E36" s="103"/>
      <c r="F36" s="103"/>
      <c r="G36" s="103"/>
      <c r="H36" s="103"/>
      <c r="I36" s="103"/>
      <c r="J36" s="103"/>
      <c r="K36" s="103"/>
      <c r="L36" s="103"/>
      <c r="M36" s="103"/>
      <c r="N36" s="103"/>
    </row>
    <row r="37" spans="1:14" ht="14.25">
      <c r="A37" s="103"/>
      <c r="B37" s="103"/>
      <c r="C37" s="103"/>
      <c r="D37" s="103"/>
      <c r="E37" s="103"/>
      <c r="F37" s="103"/>
      <c r="G37" s="103"/>
      <c r="H37" s="103"/>
      <c r="I37" s="103"/>
      <c r="J37" s="103"/>
      <c r="K37" s="103"/>
      <c r="L37" s="103"/>
      <c r="M37" s="103"/>
      <c r="N37" s="103"/>
    </row>
    <row r="38" spans="1:14" ht="14.25">
      <c r="A38" s="103"/>
      <c r="B38" s="103"/>
      <c r="C38" s="103"/>
      <c r="D38" s="103"/>
      <c r="E38" s="103"/>
      <c r="F38" s="103"/>
      <c r="G38" s="103"/>
      <c r="H38" s="103"/>
      <c r="I38" s="103"/>
      <c r="J38" s="103"/>
      <c r="K38" s="103"/>
      <c r="L38" s="103"/>
      <c r="M38" s="103"/>
      <c r="N38" s="103"/>
    </row>
    <row r="39" spans="1:14" ht="14.25">
      <c r="A39" s="103"/>
      <c r="B39" s="103"/>
      <c r="C39" s="103"/>
      <c r="D39" s="103"/>
      <c r="E39" s="103"/>
      <c r="F39" s="103"/>
      <c r="G39" s="103"/>
      <c r="H39" s="103"/>
      <c r="I39" s="103"/>
      <c r="J39" s="103"/>
      <c r="K39" s="103"/>
      <c r="L39" s="103"/>
      <c r="M39" s="103"/>
      <c r="N39" s="103"/>
    </row>
    <row r="40" spans="1:14" ht="14.25">
      <c r="A40" s="103"/>
      <c r="B40" s="103"/>
      <c r="C40" s="103"/>
      <c r="D40" s="103"/>
      <c r="E40" s="103"/>
      <c r="F40" s="103"/>
      <c r="G40" s="103"/>
      <c r="H40" s="103"/>
      <c r="I40" s="103"/>
      <c r="J40" s="103"/>
      <c r="K40" s="103"/>
      <c r="L40" s="103"/>
      <c r="M40" s="103"/>
      <c r="N40" s="103"/>
    </row>
    <row r="41" spans="1:14" ht="14.25">
      <c r="A41" s="103"/>
      <c r="B41" s="103"/>
      <c r="C41" s="103"/>
      <c r="D41" s="103"/>
      <c r="E41" s="103"/>
      <c r="F41" s="103"/>
      <c r="G41" s="103"/>
      <c r="H41" s="103"/>
      <c r="I41" s="103"/>
      <c r="J41" s="103"/>
      <c r="K41" s="103"/>
      <c r="L41" s="103"/>
      <c r="M41" s="103"/>
      <c r="N41" s="103"/>
    </row>
    <row r="42" spans="1:14" ht="14.25">
      <c r="A42" s="103"/>
      <c r="B42" s="103"/>
      <c r="C42" s="103"/>
      <c r="D42" s="103"/>
      <c r="E42" s="103"/>
      <c r="F42" s="103"/>
      <c r="G42" s="103"/>
      <c r="H42" s="103"/>
      <c r="I42" s="103"/>
      <c r="J42" s="103"/>
      <c r="K42" s="103"/>
      <c r="L42" s="103"/>
      <c r="M42" s="103"/>
      <c r="N42" s="103"/>
    </row>
    <row r="43" spans="1:14" ht="14.25">
      <c r="A43" s="103"/>
      <c r="B43" s="103"/>
      <c r="C43" s="103"/>
      <c r="D43" s="103"/>
      <c r="E43" s="103"/>
      <c r="F43" s="103"/>
      <c r="G43" s="103"/>
      <c r="H43" s="103"/>
      <c r="I43" s="103"/>
      <c r="J43" s="103"/>
      <c r="K43" s="103"/>
      <c r="L43" s="103"/>
      <c r="M43" s="103"/>
      <c r="N43" s="103"/>
    </row>
    <row r="44" spans="1:14" ht="14.25">
      <c r="A44" s="103"/>
      <c r="B44" s="103"/>
      <c r="C44" s="103"/>
      <c r="D44" s="103"/>
      <c r="E44" s="103"/>
      <c r="F44" s="103"/>
      <c r="G44" s="103"/>
      <c r="H44" s="103"/>
      <c r="I44" s="103"/>
      <c r="J44" s="103"/>
      <c r="K44" s="103"/>
      <c r="L44" s="103"/>
      <c r="M44" s="103"/>
      <c r="N44" s="103"/>
    </row>
    <row r="45" spans="1:14" ht="14.25">
      <c r="A45" s="103"/>
      <c r="B45" s="103"/>
      <c r="C45" s="103"/>
      <c r="D45" s="103"/>
      <c r="E45" s="103"/>
      <c r="F45" s="103"/>
      <c r="G45" s="103"/>
      <c r="H45" s="103"/>
      <c r="I45" s="103"/>
      <c r="J45" s="103"/>
      <c r="K45" s="103"/>
      <c r="L45" s="103"/>
      <c r="M45" s="103"/>
      <c r="N45" s="103"/>
    </row>
    <row r="46" spans="1:14" ht="14.25">
      <c r="A46" s="103"/>
      <c r="B46" s="103"/>
      <c r="C46" s="103"/>
      <c r="D46" s="103"/>
      <c r="E46" s="103"/>
      <c r="F46" s="103"/>
      <c r="G46" s="103"/>
      <c r="H46" s="103"/>
      <c r="I46" s="103"/>
      <c r="J46" s="103"/>
      <c r="K46" s="103"/>
      <c r="L46" s="103"/>
      <c r="M46" s="103"/>
      <c r="N46" s="103"/>
    </row>
    <row r="47" spans="1:14" ht="14.25">
      <c r="A47" s="103"/>
      <c r="B47" s="103"/>
      <c r="C47" s="103"/>
      <c r="D47" s="103"/>
      <c r="E47" s="103"/>
      <c r="F47" s="103"/>
      <c r="G47" s="103"/>
      <c r="H47" s="103"/>
      <c r="I47" s="103"/>
      <c r="J47" s="103"/>
      <c r="K47" s="103"/>
      <c r="L47" s="103"/>
      <c r="M47" s="103"/>
      <c r="N47" s="103"/>
    </row>
    <row r="48" spans="1:14" ht="14.25">
      <c r="A48" s="103"/>
      <c r="B48" s="103"/>
      <c r="C48" s="103"/>
      <c r="D48" s="103"/>
      <c r="E48" s="103"/>
      <c r="F48" s="103"/>
      <c r="G48" s="103"/>
      <c r="H48" s="103"/>
      <c r="I48" s="103"/>
      <c r="J48" s="103"/>
      <c r="K48" s="103"/>
      <c r="L48" s="103"/>
      <c r="M48" s="103"/>
      <c r="N48" s="103"/>
    </row>
    <row r="49" spans="1:14" ht="14.25">
      <c r="A49" s="103"/>
      <c r="B49" s="103"/>
      <c r="C49" s="103"/>
      <c r="D49" s="103"/>
      <c r="E49" s="103"/>
      <c r="F49" s="103"/>
      <c r="G49" s="103"/>
      <c r="H49" s="103"/>
      <c r="I49" s="103"/>
      <c r="J49" s="103"/>
      <c r="K49" s="103"/>
      <c r="L49" s="103"/>
      <c r="M49" s="103"/>
      <c r="N49" s="103"/>
    </row>
    <row r="50" spans="1:14" ht="14.25">
      <c r="A50" s="103"/>
      <c r="B50" s="103"/>
      <c r="C50" s="103"/>
      <c r="D50" s="103"/>
      <c r="E50" s="103"/>
      <c r="F50" s="103"/>
      <c r="G50" s="103"/>
      <c r="H50" s="103"/>
      <c r="I50" s="103"/>
      <c r="J50" s="103"/>
      <c r="K50" s="103"/>
      <c r="L50" s="103"/>
      <c r="M50" s="103"/>
      <c r="N50" s="103"/>
    </row>
    <row r="51" spans="1:14" ht="14.25">
      <c r="A51" s="103"/>
      <c r="B51" s="103"/>
      <c r="C51" s="103"/>
      <c r="D51" s="103"/>
      <c r="E51" s="103"/>
      <c r="F51" s="103"/>
      <c r="G51" s="103"/>
      <c r="H51" s="103"/>
      <c r="I51" s="103"/>
      <c r="J51" s="103"/>
      <c r="K51" s="103"/>
      <c r="L51" s="103"/>
      <c r="M51" s="103"/>
      <c r="N51" s="103"/>
    </row>
    <row r="52" spans="1:14" ht="14.25">
      <c r="A52" s="103"/>
      <c r="B52" s="103"/>
      <c r="C52" s="103"/>
      <c r="D52" s="103"/>
      <c r="E52" s="103"/>
      <c r="F52" s="103"/>
      <c r="G52" s="103"/>
      <c r="H52" s="103"/>
      <c r="I52" s="103"/>
      <c r="J52" s="103"/>
      <c r="K52" s="103"/>
      <c r="L52" s="103"/>
      <c r="M52" s="103"/>
      <c r="N52" s="103"/>
    </row>
    <row r="53" spans="1:14" ht="14.25">
      <c r="A53" s="103"/>
      <c r="B53" s="103"/>
      <c r="C53" s="103"/>
      <c r="D53" s="103"/>
      <c r="E53" s="103"/>
      <c r="F53" s="103"/>
      <c r="G53" s="103"/>
      <c r="H53" s="103"/>
      <c r="I53" s="103"/>
      <c r="J53" s="103"/>
      <c r="K53" s="103"/>
      <c r="L53" s="103"/>
      <c r="M53" s="103"/>
      <c r="N53" s="103"/>
    </row>
    <row r="54" spans="1:14" ht="14.25">
      <c r="A54" s="103"/>
      <c r="B54" s="103"/>
      <c r="C54" s="103"/>
      <c r="D54" s="103"/>
      <c r="E54" s="103"/>
      <c r="F54" s="103"/>
      <c r="G54" s="103"/>
      <c r="H54" s="103"/>
      <c r="I54" s="103"/>
      <c r="J54" s="103"/>
      <c r="K54" s="103"/>
      <c r="L54" s="103"/>
      <c r="M54" s="103"/>
      <c r="N54" s="103"/>
    </row>
    <row r="55" spans="1:14" ht="14.25">
      <c r="A55" s="103"/>
      <c r="B55" s="103"/>
      <c r="C55" s="103"/>
      <c r="D55" s="103"/>
      <c r="E55" s="103"/>
      <c r="F55" s="103"/>
      <c r="G55" s="103"/>
      <c r="H55" s="103"/>
      <c r="I55" s="103"/>
      <c r="J55" s="103"/>
      <c r="K55" s="103"/>
      <c r="L55" s="103"/>
      <c r="M55" s="103"/>
      <c r="N55" s="103"/>
    </row>
    <row r="56" spans="1:14" ht="14.25">
      <c r="A56" s="103"/>
      <c r="B56" s="103"/>
      <c r="C56" s="103"/>
      <c r="D56" s="103"/>
      <c r="E56" s="103"/>
      <c r="F56" s="103"/>
      <c r="G56" s="103"/>
      <c r="H56" s="103"/>
      <c r="I56" s="103"/>
      <c r="J56" s="103"/>
      <c r="K56" s="103"/>
      <c r="L56" s="103"/>
      <c r="M56" s="103"/>
      <c r="N56" s="103"/>
    </row>
    <row r="57" spans="1:14" ht="14.25">
      <c r="A57" s="103"/>
      <c r="B57" s="103"/>
      <c r="C57" s="103"/>
      <c r="D57" s="103"/>
      <c r="E57" s="103"/>
      <c r="F57" s="103"/>
      <c r="G57" s="103"/>
      <c r="H57" s="103"/>
      <c r="I57" s="103"/>
      <c r="J57" s="103"/>
      <c r="K57" s="103"/>
      <c r="L57" s="103"/>
      <c r="M57" s="103"/>
      <c r="N57" s="103"/>
    </row>
    <row r="58" spans="1:14" ht="14.25">
      <c r="A58" s="103"/>
      <c r="B58" s="103"/>
      <c r="C58" s="103"/>
      <c r="D58" s="103"/>
      <c r="E58" s="103"/>
      <c r="F58" s="103"/>
      <c r="G58" s="103"/>
      <c r="H58" s="103"/>
      <c r="I58" s="103"/>
      <c r="J58" s="103"/>
      <c r="K58" s="103"/>
      <c r="L58" s="103"/>
      <c r="M58" s="103"/>
      <c r="N58" s="103"/>
    </row>
    <row r="59" spans="1:14" ht="14.25">
      <c r="A59" s="103"/>
      <c r="B59" s="103"/>
      <c r="C59" s="103"/>
      <c r="D59" s="103"/>
      <c r="E59" s="103"/>
      <c r="F59" s="103"/>
      <c r="G59" s="103"/>
      <c r="H59" s="103"/>
      <c r="I59" s="103"/>
      <c r="J59" s="103"/>
      <c r="K59" s="103"/>
      <c r="L59" s="103"/>
      <c r="M59" s="103"/>
      <c r="N59" s="103"/>
    </row>
    <row r="60" spans="1:14" ht="14.25">
      <c r="A60" s="103"/>
      <c r="B60" s="103"/>
      <c r="C60" s="103"/>
      <c r="D60" s="103"/>
      <c r="E60" s="103"/>
      <c r="F60" s="103"/>
      <c r="G60" s="103"/>
      <c r="H60" s="103"/>
      <c r="I60" s="103"/>
      <c r="J60" s="103"/>
      <c r="K60" s="103"/>
      <c r="L60" s="103"/>
      <c r="M60" s="103"/>
      <c r="N60" s="103"/>
    </row>
    <row r="61" spans="1:14" ht="14.25">
      <c r="A61" s="103"/>
      <c r="B61" s="103"/>
      <c r="C61" s="103"/>
      <c r="D61" s="103"/>
      <c r="E61" s="103"/>
      <c r="F61" s="103"/>
      <c r="G61" s="103"/>
      <c r="H61" s="103"/>
      <c r="I61" s="103"/>
      <c r="J61" s="103"/>
      <c r="K61" s="103"/>
      <c r="L61" s="103"/>
      <c r="M61" s="103"/>
      <c r="N61" s="103"/>
    </row>
    <row r="62" spans="1:14" ht="14.25">
      <c r="A62" s="103"/>
      <c r="B62" s="103"/>
      <c r="C62" s="103"/>
      <c r="D62" s="103"/>
      <c r="E62" s="103"/>
      <c r="F62" s="103"/>
      <c r="G62" s="103"/>
      <c r="H62" s="103"/>
      <c r="I62" s="103"/>
      <c r="J62" s="103"/>
      <c r="K62" s="103"/>
      <c r="L62" s="103"/>
      <c r="M62" s="103"/>
      <c r="N62" s="103"/>
    </row>
    <row r="63" spans="1:14" ht="14.25">
      <c r="A63" s="103"/>
      <c r="B63" s="103"/>
      <c r="C63" s="103"/>
      <c r="D63" s="103"/>
      <c r="E63" s="103"/>
      <c r="F63" s="103"/>
      <c r="G63" s="103"/>
      <c r="H63" s="103"/>
      <c r="I63" s="103"/>
      <c r="J63" s="103"/>
      <c r="K63" s="103"/>
      <c r="L63" s="103"/>
      <c r="M63" s="103"/>
      <c r="N63" s="103"/>
    </row>
    <row r="64" spans="1:14" ht="14.25">
      <c r="A64" s="103"/>
      <c r="B64" s="103"/>
      <c r="C64" s="103"/>
      <c r="D64" s="103"/>
      <c r="E64" s="103"/>
      <c r="F64" s="103"/>
      <c r="G64" s="103"/>
      <c r="H64" s="103"/>
      <c r="I64" s="103"/>
      <c r="J64" s="103"/>
      <c r="K64" s="103"/>
      <c r="L64" s="103"/>
      <c r="M64" s="103"/>
      <c r="N64" s="103"/>
    </row>
    <row r="65" spans="1:14" ht="14.25">
      <c r="A65" s="103"/>
      <c r="B65" s="103"/>
      <c r="C65" s="103"/>
      <c r="D65" s="103"/>
      <c r="E65" s="103"/>
      <c r="F65" s="103"/>
      <c r="G65" s="103"/>
      <c r="H65" s="103"/>
      <c r="I65" s="103"/>
      <c r="J65" s="103"/>
      <c r="K65" s="103"/>
      <c r="L65" s="103"/>
      <c r="M65" s="103"/>
      <c r="N65" s="103"/>
    </row>
    <row r="66" spans="1:14" ht="14.25">
      <c r="A66" s="103"/>
      <c r="B66" s="103"/>
      <c r="C66" s="103"/>
      <c r="D66" s="103"/>
      <c r="E66" s="103"/>
      <c r="F66" s="103"/>
      <c r="G66" s="103"/>
      <c r="H66" s="103"/>
      <c r="I66" s="103"/>
      <c r="J66" s="103"/>
      <c r="K66" s="103"/>
      <c r="L66" s="103"/>
      <c r="M66" s="103"/>
      <c r="N66" s="103"/>
    </row>
    <row r="67" spans="1:14" ht="14.25">
      <c r="A67" s="103"/>
      <c r="B67" s="103"/>
      <c r="C67" s="103"/>
      <c r="D67" s="103"/>
      <c r="E67" s="103"/>
      <c r="F67" s="103"/>
      <c r="G67" s="103"/>
      <c r="H67" s="103"/>
      <c r="I67" s="103"/>
      <c r="J67" s="103"/>
      <c r="K67" s="103"/>
      <c r="L67" s="103"/>
      <c r="M67" s="103"/>
      <c r="N67" s="103"/>
    </row>
    <row r="68" spans="1:14" ht="14.25">
      <c r="A68" s="103"/>
      <c r="B68" s="103"/>
      <c r="C68" s="103"/>
      <c r="D68" s="103"/>
      <c r="E68" s="103"/>
      <c r="F68" s="103"/>
      <c r="G68" s="103"/>
      <c r="H68" s="103"/>
      <c r="I68" s="103"/>
      <c r="J68" s="103"/>
      <c r="K68" s="103"/>
      <c r="L68" s="103"/>
      <c r="M68" s="103"/>
      <c r="N68" s="103"/>
    </row>
    <row r="69" spans="1:14" ht="14.25">
      <c r="A69" s="103"/>
      <c r="B69" s="103"/>
      <c r="C69" s="103"/>
      <c r="D69" s="103"/>
      <c r="E69" s="103"/>
      <c r="F69" s="103"/>
      <c r="G69" s="103"/>
      <c r="H69" s="103"/>
      <c r="I69" s="103"/>
      <c r="J69" s="103"/>
      <c r="K69" s="103"/>
      <c r="L69" s="103"/>
      <c r="M69" s="103"/>
      <c r="N69" s="103"/>
    </row>
    <row r="70" spans="1:14" ht="14.25">
      <c r="A70" s="103"/>
      <c r="B70" s="103"/>
      <c r="C70" s="103"/>
      <c r="D70" s="103"/>
      <c r="E70" s="103"/>
      <c r="F70" s="103"/>
      <c r="G70" s="103"/>
      <c r="H70" s="103"/>
      <c r="I70" s="103"/>
      <c r="J70" s="103"/>
      <c r="K70" s="103"/>
      <c r="L70" s="103"/>
      <c r="M70" s="103"/>
      <c r="N70" s="103"/>
    </row>
    <row r="71" spans="1:14" ht="14.25">
      <c r="A71" s="103"/>
      <c r="B71" s="103"/>
      <c r="C71" s="103"/>
      <c r="D71" s="103"/>
      <c r="E71" s="103"/>
      <c r="F71" s="103"/>
      <c r="G71" s="103"/>
      <c r="H71" s="103"/>
      <c r="I71" s="103"/>
      <c r="J71" s="103"/>
      <c r="K71" s="103"/>
      <c r="L71" s="103"/>
      <c r="M71" s="103"/>
      <c r="N71" s="103"/>
    </row>
    <row r="72" spans="1:14" ht="14.25">
      <c r="A72" s="103"/>
      <c r="B72" s="103"/>
      <c r="C72" s="103"/>
      <c r="D72" s="103"/>
      <c r="E72" s="103"/>
      <c r="F72" s="103"/>
      <c r="G72" s="103"/>
      <c r="H72" s="103"/>
      <c r="I72" s="103"/>
      <c r="J72" s="103"/>
      <c r="K72" s="103"/>
      <c r="L72" s="103"/>
      <c r="M72" s="103"/>
      <c r="N72" s="103"/>
    </row>
    <row r="73" spans="1:14" ht="14.25">
      <c r="A73" s="103"/>
      <c r="B73" s="103"/>
      <c r="C73" s="103"/>
      <c r="D73" s="103"/>
      <c r="E73" s="103"/>
      <c r="F73" s="103"/>
      <c r="G73" s="103"/>
      <c r="H73" s="103"/>
      <c r="I73" s="103"/>
      <c r="J73" s="103"/>
      <c r="K73" s="103"/>
      <c r="L73" s="103"/>
      <c r="M73" s="103"/>
      <c r="N73" s="103"/>
    </row>
    <row r="74" spans="1:14" ht="14.25">
      <c r="A74" s="103"/>
      <c r="B74" s="103"/>
      <c r="C74" s="103"/>
      <c r="D74" s="103"/>
      <c r="E74" s="103"/>
      <c r="F74" s="103"/>
      <c r="G74" s="103"/>
      <c r="H74" s="103"/>
      <c r="I74" s="103"/>
      <c r="J74" s="103"/>
      <c r="K74" s="103"/>
      <c r="L74" s="103"/>
      <c r="M74" s="103"/>
      <c r="N74" s="103"/>
    </row>
    <row r="75" spans="1:14" ht="14.25">
      <c r="A75" s="103"/>
      <c r="B75" s="103"/>
      <c r="C75" s="103"/>
      <c r="D75" s="103"/>
      <c r="E75" s="103"/>
      <c r="F75" s="103"/>
      <c r="G75" s="103"/>
      <c r="H75" s="103"/>
      <c r="I75" s="103"/>
      <c r="J75" s="103"/>
      <c r="K75" s="103"/>
      <c r="L75" s="103"/>
      <c r="M75" s="103"/>
      <c r="N75" s="103"/>
    </row>
    <row r="76" spans="1:14" ht="14.25">
      <c r="A76" s="103"/>
      <c r="B76" s="103"/>
      <c r="C76" s="103"/>
      <c r="D76" s="103"/>
      <c r="E76" s="103"/>
      <c r="F76" s="103"/>
      <c r="G76" s="103"/>
      <c r="H76" s="103"/>
      <c r="I76" s="103"/>
      <c r="J76" s="103"/>
      <c r="K76" s="103"/>
      <c r="L76" s="103"/>
      <c r="M76" s="103"/>
      <c r="N76" s="103"/>
    </row>
    <row r="77" spans="1:14" ht="14.25">
      <c r="A77" s="103"/>
      <c r="B77" s="103"/>
      <c r="C77" s="103"/>
      <c r="D77" s="103"/>
      <c r="E77" s="103"/>
      <c r="F77" s="103"/>
      <c r="G77" s="103"/>
      <c r="H77" s="103"/>
      <c r="I77" s="103"/>
      <c r="J77" s="103"/>
      <c r="K77" s="103"/>
      <c r="L77" s="103"/>
      <c r="M77" s="103"/>
      <c r="N77" s="103"/>
    </row>
    <row r="78" spans="1:14" ht="14.25">
      <c r="A78" s="103"/>
      <c r="B78" s="103"/>
      <c r="C78" s="103"/>
      <c r="D78" s="103"/>
      <c r="E78" s="103"/>
      <c r="F78" s="103"/>
      <c r="G78" s="103"/>
      <c r="H78" s="103"/>
      <c r="I78" s="103"/>
      <c r="J78" s="103"/>
      <c r="K78" s="103"/>
      <c r="L78" s="103"/>
      <c r="M78" s="103"/>
      <c r="N78" s="103"/>
    </row>
    <row r="79" spans="1:14" ht="14.25">
      <c r="A79" s="103"/>
      <c r="B79" s="103"/>
      <c r="C79" s="103"/>
      <c r="D79" s="103"/>
      <c r="E79" s="103"/>
      <c r="F79" s="103"/>
      <c r="G79" s="103"/>
      <c r="H79" s="103"/>
      <c r="I79" s="103"/>
      <c r="J79" s="103"/>
      <c r="K79" s="103"/>
      <c r="L79" s="103"/>
      <c r="M79" s="103"/>
      <c r="N79" s="103"/>
    </row>
    <row r="80" spans="1:14" ht="14.25">
      <c r="A80" s="103"/>
      <c r="B80" s="103"/>
      <c r="C80" s="103"/>
      <c r="D80" s="103"/>
      <c r="E80" s="103"/>
      <c r="F80" s="103"/>
      <c r="G80" s="103"/>
      <c r="H80" s="103"/>
      <c r="I80" s="103"/>
      <c r="J80" s="103"/>
      <c r="K80" s="103"/>
      <c r="L80" s="103"/>
      <c r="M80" s="103"/>
      <c r="N80" s="103"/>
    </row>
    <row r="81" spans="1:14" ht="14.25">
      <c r="A81" s="103"/>
      <c r="B81" s="103"/>
      <c r="C81" s="103"/>
      <c r="D81" s="103"/>
      <c r="E81" s="103"/>
      <c r="F81" s="103"/>
      <c r="G81" s="103"/>
      <c r="H81" s="103"/>
      <c r="I81" s="103"/>
      <c r="J81" s="103"/>
      <c r="K81" s="103"/>
      <c r="L81" s="103"/>
      <c r="M81" s="103"/>
      <c r="N81" s="103"/>
    </row>
    <row r="82" spans="1:14" ht="14.25">
      <c r="A82" s="103"/>
      <c r="B82" s="103"/>
      <c r="C82" s="103"/>
      <c r="D82" s="103"/>
      <c r="E82" s="103"/>
      <c r="F82" s="103"/>
      <c r="G82" s="103"/>
      <c r="H82" s="103"/>
      <c r="I82" s="103"/>
      <c r="J82" s="103"/>
      <c r="K82" s="103"/>
      <c r="L82" s="103"/>
      <c r="M82" s="103"/>
      <c r="N82" s="103"/>
    </row>
    <row r="83" spans="1:14" ht="14.25">
      <c r="A83" s="103"/>
      <c r="B83" s="103"/>
      <c r="C83" s="103"/>
      <c r="D83" s="103"/>
      <c r="E83" s="103"/>
      <c r="F83" s="103"/>
      <c r="G83" s="103"/>
      <c r="H83" s="103"/>
      <c r="I83" s="103"/>
      <c r="J83" s="103"/>
      <c r="K83" s="103"/>
      <c r="L83" s="103"/>
      <c r="M83" s="103"/>
      <c r="N83" s="103"/>
    </row>
    <row r="84" spans="1:14" ht="14.25">
      <c r="A84" s="103"/>
      <c r="B84" s="103"/>
      <c r="C84" s="103"/>
      <c r="D84" s="103"/>
      <c r="E84" s="103"/>
      <c r="F84" s="103"/>
      <c r="G84" s="103"/>
      <c r="H84" s="103"/>
      <c r="I84" s="103"/>
      <c r="J84" s="103"/>
      <c r="K84" s="103"/>
      <c r="L84" s="103"/>
      <c r="M84" s="103"/>
      <c r="N84" s="103"/>
    </row>
    <row r="85" spans="1:14" ht="14.25">
      <c r="A85" s="103"/>
      <c r="B85" s="103"/>
      <c r="C85" s="103"/>
      <c r="D85" s="103"/>
      <c r="E85" s="103"/>
      <c r="F85" s="103"/>
      <c r="G85" s="103"/>
      <c r="H85" s="103"/>
      <c r="I85" s="103"/>
      <c r="J85" s="103"/>
      <c r="K85" s="103"/>
      <c r="L85" s="103"/>
      <c r="M85" s="103"/>
      <c r="N85" s="103"/>
    </row>
    <row r="86" spans="1:14" ht="14.25">
      <c r="A86" s="103"/>
      <c r="B86" s="103"/>
      <c r="C86" s="103"/>
      <c r="D86" s="103"/>
      <c r="E86" s="103"/>
      <c r="F86" s="103"/>
      <c r="G86" s="103"/>
      <c r="H86" s="103"/>
      <c r="I86" s="103"/>
      <c r="J86" s="103"/>
      <c r="K86" s="103"/>
      <c r="L86" s="103"/>
      <c r="M86" s="103"/>
      <c r="N86" s="103"/>
    </row>
    <row r="87" spans="1:14" ht="14.25">
      <c r="A87" s="103"/>
      <c r="B87" s="103"/>
      <c r="C87" s="103"/>
      <c r="D87" s="103"/>
      <c r="E87" s="103"/>
      <c r="F87" s="103"/>
      <c r="G87" s="103"/>
      <c r="H87" s="103"/>
      <c r="I87" s="103"/>
      <c r="J87" s="103"/>
      <c r="K87" s="103"/>
      <c r="L87" s="103"/>
      <c r="M87" s="103"/>
      <c r="N87" s="103"/>
    </row>
    <row r="88" spans="1:14" ht="14.25">
      <c r="A88" s="103"/>
      <c r="B88" s="103"/>
      <c r="C88" s="103"/>
      <c r="D88" s="103"/>
      <c r="E88" s="103"/>
      <c r="F88" s="103"/>
      <c r="G88" s="103"/>
      <c r="H88" s="103"/>
      <c r="I88" s="103"/>
      <c r="J88" s="103"/>
      <c r="K88" s="103"/>
      <c r="L88" s="103"/>
      <c r="M88" s="103"/>
      <c r="N88" s="103"/>
    </row>
    <row r="89" spans="1:14" ht="14.25">
      <c r="A89" s="103"/>
      <c r="B89" s="103"/>
      <c r="C89" s="103"/>
      <c r="D89" s="103"/>
      <c r="E89" s="103"/>
      <c r="F89" s="103"/>
      <c r="G89" s="103"/>
      <c r="H89" s="103"/>
      <c r="I89" s="103"/>
      <c r="J89" s="103"/>
      <c r="K89" s="103"/>
      <c r="L89" s="103"/>
      <c r="M89" s="103"/>
      <c r="N89" s="103"/>
    </row>
    <row r="90" spans="1:14" ht="14.25">
      <c r="A90" s="103"/>
      <c r="B90" s="103"/>
      <c r="C90" s="103"/>
      <c r="D90" s="103"/>
      <c r="E90" s="103"/>
      <c r="F90" s="103"/>
      <c r="G90" s="103"/>
      <c r="H90" s="103"/>
      <c r="I90" s="103"/>
      <c r="J90" s="103"/>
      <c r="K90" s="103"/>
      <c r="L90" s="103"/>
      <c r="M90" s="103"/>
      <c r="N90" s="103"/>
    </row>
    <row r="91" spans="1:14" ht="14.25">
      <c r="A91" s="103"/>
      <c r="B91" s="103"/>
      <c r="C91" s="103"/>
      <c r="D91" s="103"/>
      <c r="E91" s="103"/>
      <c r="F91" s="103"/>
      <c r="G91" s="103"/>
      <c r="H91" s="103"/>
      <c r="I91" s="103"/>
      <c r="J91" s="103"/>
      <c r="K91" s="103"/>
      <c r="L91" s="103"/>
      <c r="M91" s="103"/>
      <c r="N91" s="103"/>
    </row>
    <row r="92" spans="1:14" ht="14.25">
      <c r="A92" s="103"/>
      <c r="B92" s="103"/>
      <c r="C92" s="103"/>
      <c r="D92" s="103"/>
      <c r="E92" s="103"/>
      <c r="F92" s="103"/>
      <c r="G92" s="103"/>
      <c r="H92" s="103"/>
      <c r="I92" s="103"/>
      <c r="J92" s="103"/>
      <c r="K92" s="103"/>
      <c r="L92" s="103"/>
      <c r="M92" s="103"/>
      <c r="N92" s="103"/>
    </row>
    <row r="93" spans="1:14" ht="14.25">
      <c r="A93" s="103"/>
      <c r="B93" s="103"/>
      <c r="C93" s="103"/>
      <c r="D93" s="103"/>
      <c r="E93" s="103"/>
      <c r="F93" s="103"/>
      <c r="G93" s="103"/>
      <c r="H93" s="103"/>
      <c r="I93" s="103"/>
      <c r="J93" s="103"/>
      <c r="K93" s="103"/>
      <c r="L93" s="103"/>
      <c r="M93" s="103"/>
      <c r="N93" s="103"/>
    </row>
    <row r="94" spans="1:14" ht="14.25">
      <c r="A94" s="103"/>
      <c r="B94" s="103"/>
      <c r="C94" s="103"/>
      <c r="D94" s="103"/>
      <c r="E94" s="103"/>
      <c r="F94" s="103"/>
      <c r="G94" s="103"/>
      <c r="H94" s="103"/>
      <c r="I94" s="103"/>
      <c r="J94" s="103"/>
      <c r="K94" s="103"/>
      <c r="L94" s="103"/>
      <c r="M94" s="103"/>
      <c r="N94" s="103"/>
    </row>
    <row r="95" spans="1:14" ht="14.25">
      <c r="A95" s="103"/>
      <c r="B95" s="103"/>
      <c r="C95" s="103"/>
      <c r="D95" s="103"/>
      <c r="E95" s="103"/>
      <c r="F95" s="103"/>
      <c r="G95" s="103"/>
      <c r="H95" s="103"/>
      <c r="I95" s="103"/>
      <c r="J95" s="103"/>
      <c r="K95" s="103"/>
      <c r="L95" s="103"/>
      <c r="M95" s="103"/>
      <c r="N95" s="103"/>
    </row>
    <row r="96" spans="1:14" ht="14.25">
      <c r="A96" s="103"/>
      <c r="B96" s="103"/>
      <c r="C96" s="103"/>
      <c r="D96" s="103"/>
      <c r="E96" s="103"/>
      <c r="F96" s="103"/>
      <c r="G96" s="103"/>
      <c r="H96" s="103"/>
      <c r="I96" s="103"/>
      <c r="J96" s="103"/>
      <c r="K96" s="103"/>
      <c r="L96" s="103"/>
      <c r="M96" s="103"/>
      <c r="N96" s="103"/>
    </row>
    <row r="97" spans="1:14" ht="14.25">
      <c r="A97" s="103"/>
      <c r="B97" s="103"/>
      <c r="C97" s="103"/>
      <c r="D97" s="103"/>
      <c r="E97" s="103"/>
      <c r="F97" s="103"/>
      <c r="G97" s="103"/>
      <c r="H97" s="103"/>
      <c r="I97" s="103"/>
      <c r="J97" s="103"/>
      <c r="K97" s="103"/>
      <c r="L97" s="103"/>
      <c r="M97" s="103"/>
      <c r="N97" s="103"/>
    </row>
    <row r="98" spans="1:14" ht="14.25">
      <c r="A98" s="103"/>
      <c r="B98" s="103"/>
      <c r="C98" s="103"/>
      <c r="D98" s="103"/>
      <c r="E98" s="103"/>
      <c r="F98" s="103"/>
      <c r="G98" s="103"/>
      <c r="H98" s="103"/>
      <c r="I98" s="103"/>
      <c r="J98" s="103"/>
      <c r="K98" s="103"/>
      <c r="L98" s="103"/>
      <c r="M98" s="103"/>
      <c r="N98" s="103"/>
    </row>
    <row r="99" spans="1:14" ht="14.25">
      <c r="A99" s="103"/>
      <c r="B99" s="103"/>
      <c r="C99" s="103"/>
      <c r="D99" s="103"/>
      <c r="E99" s="103"/>
      <c r="F99" s="103"/>
      <c r="G99" s="103"/>
      <c r="H99" s="103"/>
      <c r="I99" s="103"/>
      <c r="J99" s="103"/>
      <c r="K99" s="103"/>
      <c r="L99" s="103"/>
      <c r="M99" s="103"/>
      <c r="N99" s="103"/>
    </row>
    <row r="100" spans="1:14" ht="14.25">
      <c r="A100" s="103"/>
      <c r="B100" s="103"/>
      <c r="C100" s="103"/>
      <c r="D100" s="103"/>
      <c r="E100" s="103"/>
      <c r="F100" s="103"/>
      <c r="G100" s="103"/>
      <c r="H100" s="103"/>
      <c r="I100" s="103"/>
      <c r="J100" s="103"/>
      <c r="K100" s="103"/>
      <c r="L100" s="103"/>
      <c r="M100" s="103"/>
      <c r="N100" s="103"/>
    </row>
    <row r="101" spans="1:14" ht="14.25">
      <c r="A101" s="103"/>
      <c r="B101" s="103"/>
      <c r="C101" s="103"/>
      <c r="D101" s="103"/>
      <c r="E101" s="103"/>
      <c r="F101" s="103"/>
      <c r="G101" s="103"/>
      <c r="H101" s="103"/>
      <c r="I101" s="103"/>
      <c r="J101" s="103"/>
      <c r="K101" s="103"/>
      <c r="L101" s="103"/>
      <c r="M101" s="103"/>
      <c r="N101" s="103"/>
    </row>
    <row r="102" spans="1:14" ht="14.25">
      <c r="A102" s="103"/>
      <c r="B102" s="103"/>
      <c r="C102" s="103"/>
      <c r="D102" s="103"/>
      <c r="E102" s="103"/>
      <c r="F102" s="103"/>
      <c r="G102" s="103"/>
      <c r="H102" s="103"/>
      <c r="I102" s="103"/>
      <c r="J102" s="103"/>
      <c r="K102" s="103"/>
      <c r="L102" s="103"/>
      <c r="M102" s="103"/>
      <c r="N102" s="103"/>
    </row>
    <row r="103" spans="1:14" ht="14.25">
      <c r="A103" s="103"/>
      <c r="B103" s="103"/>
      <c r="C103" s="103"/>
      <c r="D103" s="103"/>
      <c r="E103" s="103"/>
      <c r="F103" s="103"/>
      <c r="G103" s="103"/>
      <c r="H103" s="103"/>
      <c r="I103" s="103"/>
      <c r="J103" s="103"/>
      <c r="K103" s="103"/>
      <c r="L103" s="103"/>
      <c r="M103" s="103"/>
      <c r="N103" s="103"/>
    </row>
    <row r="104" spans="1:14" ht="14.25">
      <c r="A104" s="103"/>
      <c r="B104" s="103"/>
      <c r="C104" s="103"/>
      <c r="D104" s="103"/>
      <c r="E104" s="103"/>
      <c r="F104" s="103"/>
      <c r="G104" s="103"/>
      <c r="H104" s="103"/>
      <c r="I104" s="103"/>
      <c r="J104" s="103"/>
      <c r="K104" s="103"/>
      <c r="L104" s="103"/>
      <c r="M104" s="103"/>
      <c r="N104" s="103"/>
    </row>
    <row r="105" spans="1:14" ht="14.25">
      <c r="A105" s="103"/>
      <c r="B105" s="103"/>
      <c r="C105" s="103"/>
      <c r="D105" s="103"/>
      <c r="E105" s="103"/>
      <c r="F105" s="103"/>
      <c r="G105" s="103"/>
      <c r="H105" s="103"/>
      <c r="I105" s="103"/>
      <c r="J105" s="103"/>
      <c r="K105" s="103"/>
      <c r="L105" s="103"/>
      <c r="M105" s="103"/>
      <c r="N105" s="103"/>
    </row>
    <row r="106" spans="1:14" ht="14.25">
      <c r="A106" s="103"/>
      <c r="B106" s="103"/>
      <c r="C106" s="103"/>
      <c r="D106" s="103"/>
      <c r="E106" s="103"/>
      <c r="F106" s="103"/>
      <c r="G106" s="103"/>
      <c r="H106" s="103"/>
      <c r="I106" s="103"/>
      <c r="J106" s="103"/>
      <c r="K106" s="103"/>
      <c r="L106" s="103"/>
      <c r="M106" s="103"/>
      <c r="N106" s="103"/>
    </row>
    <row r="107" spans="1:14" ht="14.25">
      <c r="A107" s="103"/>
      <c r="B107" s="103"/>
      <c r="C107" s="103"/>
      <c r="D107" s="103"/>
      <c r="E107" s="103"/>
      <c r="F107" s="103"/>
      <c r="G107" s="103"/>
      <c r="H107" s="103"/>
      <c r="I107" s="103"/>
      <c r="J107" s="103"/>
      <c r="K107" s="103"/>
      <c r="L107" s="103"/>
      <c r="M107" s="103"/>
      <c r="N107" s="103"/>
    </row>
    <row r="108" spans="1:14" ht="14.25">
      <c r="A108" s="103"/>
      <c r="B108" s="103"/>
      <c r="C108" s="103"/>
      <c r="D108" s="103"/>
      <c r="E108" s="103"/>
      <c r="F108" s="103"/>
      <c r="G108" s="103"/>
      <c r="H108" s="103"/>
      <c r="I108" s="103"/>
      <c r="J108" s="103"/>
      <c r="K108" s="103"/>
      <c r="L108" s="103"/>
      <c r="M108" s="103"/>
      <c r="N108" s="103"/>
    </row>
    <row r="109" spans="1:14" ht="14.25">
      <c r="A109" s="103"/>
      <c r="B109" s="103"/>
      <c r="C109" s="103"/>
      <c r="D109" s="103"/>
      <c r="E109" s="103"/>
      <c r="F109" s="103"/>
      <c r="G109" s="103"/>
      <c r="H109" s="103"/>
      <c r="I109" s="103"/>
      <c r="J109" s="103"/>
      <c r="K109" s="103"/>
      <c r="L109" s="103"/>
      <c r="M109" s="103"/>
      <c r="N109" s="103"/>
    </row>
    <row r="110" spans="1:14" ht="14.25">
      <c r="A110" s="103"/>
      <c r="B110" s="103"/>
      <c r="C110" s="103"/>
      <c r="D110" s="103"/>
      <c r="E110" s="103"/>
      <c r="F110" s="103"/>
      <c r="G110" s="103"/>
      <c r="H110" s="103"/>
      <c r="I110" s="103"/>
      <c r="J110" s="103"/>
      <c r="K110" s="103"/>
      <c r="L110" s="103"/>
      <c r="M110" s="103"/>
      <c r="N110" s="103"/>
    </row>
    <row r="111" spans="1:14" ht="14.25">
      <c r="A111" s="103"/>
      <c r="B111" s="103"/>
      <c r="C111" s="103"/>
      <c r="D111" s="103"/>
      <c r="E111" s="103"/>
      <c r="F111" s="103"/>
      <c r="G111" s="103"/>
      <c r="H111" s="103"/>
      <c r="I111" s="103"/>
      <c r="J111" s="103"/>
      <c r="K111" s="103"/>
      <c r="L111" s="103"/>
      <c r="M111" s="103"/>
      <c r="N111" s="103"/>
    </row>
    <row r="112" spans="1:14" ht="14.25">
      <c r="A112" s="103"/>
      <c r="B112" s="103"/>
      <c r="C112" s="103"/>
      <c r="D112" s="103"/>
      <c r="E112" s="103"/>
      <c r="F112" s="103"/>
      <c r="G112" s="103"/>
      <c r="H112" s="103"/>
      <c r="I112" s="103"/>
      <c r="J112" s="103"/>
      <c r="K112" s="103"/>
      <c r="L112" s="103"/>
      <c r="M112" s="103"/>
      <c r="N112" s="103"/>
    </row>
    <row r="113" spans="1:14" ht="14.25">
      <c r="A113" s="103"/>
      <c r="B113" s="103"/>
      <c r="C113" s="103"/>
      <c r="D113" s="103"/>
      <c r="E113" s="103"/>
      <c r="F113" s="103"/>
      <c r="G113" s="103"/>
      <c r="H113" s="103"/>
      <c r="I113" s="103"/>
      <c r="J113" s="103"/>
      <c r="K113" s="103"/>
      <c r="L113" s="103"/>
      <c r="M113" s="103"/>
      <c r="N113" s="103"/>
    </row>
    <row r="114" spans="1:14" ht="14.25">
      <c r="A114" s="103"/>
      <c r="B114" s="103"/>
      <c r="C114" s="103"/>
      <c r="D114" s="103"/>
      <c r="E114" s="103"/>
      <c r="F114" s="103"/>
      <c r="G114" s="103"/>
      <c r="H114" s="103"/>
      <c r="I114" s="103"/>
      <c r="J114" s="103"/>
      <c r="K114" s="103"/>
      <c r="L114" s="103"/>
      <c r="M114" s="103"/>
      <c r="N114" s="103"/>
    </row>
    <row r="115" spans="1:14" ht="14.25">
      <c r="A115" s="103"/>
      <c r="B115" s="103"/>
      <c r="C115" s="103"/>
      <c r="D115" s="103"/>
      <c r="E115" s="103"/>
      <c r="F115" s="103"/>
      <c r="G115" s="103"/>
      <c r="H115" s="103"/>
      <c r="I115" s="103"/>
      <c r="J115" s="103"/>
      <c r="K115" s="103"/>
      <c r="L115" s="103"/>
      <c r="M115" s="103"/>
      <c r="N115" s="103"/>
    </row>
    <row r="116" spans="1:14" ht="14.25">
      <c r="A116" s="103"/>
      <c r="B116" s="103"/>
      <c r="C116" s="103"/>
      <c r="D116" s="103"/>
      <c r="E116" s="103"/>
      <c r="F116" s="103"/>
      <c r="G116" s="103"/>
      <c r="H116" s="103"/>
      <c r="I116" s="103"/>
      <c r="J116" s="103"/>
      <c r="K116" s="103"/>
      <c r="L116" s="103"/>
      <c r="M116" s="103"/>
      <c r="N116" s="103"/>
    </row>
    <row r="117" spans="1:14" ht="14.25">
      <c r="A117" s="103"/>
      <c r="B117" s="103"/>
      <c r="C117" s="103"/>
      <c r="D117" s="103"/>
      <c r="E117" s="103"/>
      <c r="F117" s="103"/>
      <c r="G117" s="103"/>
      <c r="H117" s="103"/>
      <c r="I117" s="103"/>
      <c r="J117" s="103"/>
      <c r="K117" s="103"/>
      <c r="L117" s="103"/>
      <c r="M117" s="103"/>
      <c r="N117" s="103"/>
    </row>
    <row r="118" spans="1:14" ht="14.25">
      <c r="A118" s="103"/>
      <c r="B118" s="103"/>
      <c r="C118" s="103"/>
      <c r="D118" s="103"/>
      <c r="E118" s="103"/>
      <c r="F118" s="103"/>
      <c r="G118" s="103"/>
      <c r="H118" s="103"/>
      <c r="I118" s="103"/>
      <c r="J118" s="103"/>
      <c r="K118" s="103"/>
      <c r="L118" s="103"/>
      <c r="M118" s="103"/>
      <c r="N118" s="103"/>
    </row>
    <row r="119" spans="1:14" ht="14.25">
      <c r="A119" s="103"/>
      <c r="B119" s="103"/>
      <c r="C119" s="103"/>
      <c r="D119" s="103"/>
      <c r="E119" s="103"/>
      <c r="F119" s="103"/>
      <c r="G119" s="103"/>
      <c r="H119" s="103"/>
      <c r="I119" s="103"/>
      <c r="J119" s="103"/>
      <c r="K119" s="103"/>
      <c r="L119" s="103"/>
      <c r="M119" s="103"/>
      <c r="N119" s="103"/>
    </row>
    <row r="120" spans="1:14" ht="14.25">
      <c r="A120" s="103"/>
      <c r="B120" s="103"/>
      <c r="C120" s="103"/>
      <c r="D120" s="103"/>
      <c r="E120" s="103"/>
      <c r="F120" s="103"/>
      <c r="G120" s="103"/>
      <c r="H120" s="103"/>
      <c r="I120" s="103"/>
      <c r="J120" s="103"/>
      <c r="K120" s="103"/>
      <c r="L120" s="103"/>
      <c r="M120" s="103"/>
      <c r="N120" s="103"/>
    </row>
    <row r="121" spans="1:14" ht="14.25">
      <c r="A121" s="103"/>
      <c r="B121" s="103"/>
      <c r="C121" s="103"/>
      <c r="D121" s="103"/>
      <c r="E121" s="103"/>
      <c r="F121" s="103"/>
      <c r="G121" s="103"/>
      <c r="H121" s="103"/>
      <c r="I121" s="103"/>
      <c r="J121" s="103"/>
      <c r="K121" s="103"/>
      <c r="L121" s="103"/>
      <c r="M121" s="103"/>
      <c r="N121" s="103"/>
    </row>
    <row r="122" spans="1:14" ht="14.25">
      <c r="A122" s="103"/>
      <c r="B122" s="103"/>
      <c r="C122" s="103"/>
      <c r="D122" s="103"/>
      <c r="E122" s="103"/>
      <c r="F122" s="103"/>
      <c r="G122" s="103"/>
      <c r="H122" s="103"/>
      <c r="I122" s="103"/>
      <c r="J122" s="103"/>
      <c r="K122" s="103"/>
      <c r="L122" s="103"/>
      <c r="M122" s="103"/>
      <c r="N122" s="103"/>
    </row>
    <row r="123" spans="1:14" ht="14.25">
      <c r="A123" s="103"/>
      <c r="B123" s="103"/>
      <c r="C123" s="103"/>
      <c r="D123" s="103"/>
      <c r="E123" s="103"/>
      <c r="F123" s="103"/>
      <c r="G123" s="103"/>
      <c r="H123" s="103"/>
      <c r="I123" s="103"/>
      <c r="J123" s="103"/>
      <c r="K123" s="103"/>
      <c r="L123" s="103"/>
      <c r="M123" s="103"/>
      <c r="N123" s="103"/>
    </row>
    <row r="124" spans="1:14" ht="14.25">
      <c r="A124" s="103"/>
      <c r="B124" s="103"/>
      <c r="C124" s="103"/>
      <c r="D124" s="103"/>
      <c r="E124" s="103"/>
      <c r="F124" s="103"/>
      <c r="G124" s="103"/>
      <c r="H124" s="103"/>
      <c r="I124" s="103"/>
      <c r="J124" s="103"/>
      <c r="K124" s="103"/>
      <c r="L124" s="103"/>
      <c r="M124" s="103"/>
      <c r="N124" s="103"/>
    </row>
    <row r="125" spans="1:14" ht="14.25">
      <c r="A125" s="103"/>
      <c r="B125" s="103"/>
      <c r="C125" s="103"/>
      <c r="D125" s="103"/>
      <c r="E125" s="103"/>
      <c r="F125" s="103"/>
      <c r="G125" s="103"/>
      <c r="H125" s="103"/>
      <c r="I125" s="103"/>
      <c r="J125" s="103"/>
      <c r="K125" s="103"/>
      <c r="L125" s="103"/>
      <c r="M125" s="103"/>
      <c r="N125" s="103"/>
    </row>
    <row r="126" spans="1:14" ht="14.25">
      <c r="A126" s="103"/>
      <c r="B126" s="103"/>
      <c r="C126" s="103"/>
      <c r="D126" s="103"/>
      <c r="E126" s="103"/>
      <c r="F126" s="103"/>
      <c r="G126" s="103"/>
      <c r="H126" s="103"/>
      <c r="I126" s="103"/>
      <c r="J126" s="103"/>
      <c r="K126" s="103"/>
      <c r="L126" s="103"/>
      <c r="M126" s="103"/>
      <c r="N126" s="103"/>
    </row>
    <row r="127" spans="1:14" ht="14.25">
      <c r="A127" s="103"/>
      <c r="B127" s="103"/>
      <c r="C127" s="103"/>
      <c r="D127" s="103"/>
      <c r="E127" s="103"/>
      <c r="F127" s="103"/>
      <c r="G127" s="103"/>
      <c r="H127" s="103"/>
      <c r="I127" s="103"/>
      <c r="J127" s="103"/>
      <c r="K127" s="103"/>
      <c r="L127" s="103"/>
      <c r="M127" s="103"/>
      <c r="N127" s="103"/>
    </row>
    <row r="128" spans="1:14" ht="14.25">
      <c r="A128" s="103"/>
      <c r="B128" s="103"/>
      <c r="C128" s="103"/>
      <c r="D128" s="103"/>
      <c r="E128" s="103"/>
      <c r="F128" s="103"/>
      <c r="G128" s="103"/>
      <c r="H128" s="103"/>
      <c r="I128" s="103"/>
      <c r="J128" s="103"/>
      <c r="K128" s="103"/>
      <c r="L128" s="103"/>
      <c r="M128" s="103"/>
      <c r="N128" s="103"/>
    </row>
    <row r="129" spans="1:14" ht="14.25">
      <c r="A129" s="103"/>
      <c r="B129" s="103"/>
      <c r="C129" s="103"/>
      <c r="D129" s="103"/>
      <c r="E129" s="103"/>
      <c r="F129" s="103"/>
      <c r="G129" s="103"/>
      <c r="H129" s="103"/>
      <c r="I129" s="103"/>
      <c r="J129" s="103"/>
      <c r="K129" s="103"/>
      <c r="L129" s="103"/>
      <c r="M129" s="103"/>
      <c r="N129" s="103"/>
    </row>
    <row r="130" spans="1:14" ht="14.25">
      <c r="A130" s="103"/>
      <c r="B130" s="103"/>
      <c r="C130" s="103"/>
      <c r="D130" s="103"/>
      <c r="E130" s="103"/>
      <c r="F130" s="103"/>
      <c r="G130" s="103"/>
      <c r="H130" s="103"/>
      <c r="I130" s="103"/>
      <c r="J130" s="103"/>
      <c r="K130" s="103"/>
      <c r="L130" s="103"/>
      <c r="M130" s="103"/>
      <c r="N130" s="103"/>
    </row>
    <row r="131" spans="1:14" ht="14.25">
      <c r="A131" s="103"/>
      <c r="B131" s="103"/>
      <c r="C131" s="103"/>
      <c r="D131" s="103"/>
      <c r="E131" s="103"/>
      <c r="F131" s="103"/>
      <c r="G131" s="103"/>
      <c r="H131" s="103"/>
      <c r="I131" s="103"/>
      <c r="J131" s="103"/>
      <c r="K131" s="103"/>
      <c r="L131" s="103"/>
      <c r="M131" s="103"/>
      <c r="N131" s="103"/>
    </row>
    <row r="132" spans="1:14" ht="14.25">
      <c r="A132" s="103"/>
      <c r="B132" s="103"/>
      <c r="C132" s="103"/>
      <c r="D132" s="103"/>
      <c r="E132" s="103"/>
      <c r="F132" s="103"/>
      <c r="G132" s="103"/>
      <c r="H132" s="103"/>
      <c r="I132" s="103"/>
      <c r="J132" s="103"/>
      <c r="K132" s="103"/>
      <c r="L132" s="103"/>
      <c r="M132" s="103"/>
      <c r="N132" s="103"/>
    </row>
    <row r="133" spans="1:14" ht="14.25">
      <c r="A133" s="103"/>
      <c r="B133" s="103"/>
      <c r="C133" s="103"/>
      <c r="D133" s="103"/>
      <c r="E133" s="103"/>
      <c r="F133" s="103"/>
      <c r="G133" s="103"/>
      <c r="H133" s="103"/>
      <c r="I133" s="103"/>
      <c r="J133" s="103"/>
      <c r="K133" s="103"/>
      <c r="L133" s="103"/>
      <c r="M133" s="103"/>
      <c r="N133" s="103"/>
    </row>
    <row r="134" spans="1:14" ht="14.25">
      <c r="A134" s="103"/>
      <c r="B134" s="103"/>
      <c r="C134" s="103"/>
      <c r="D134" s="103"/>
      <c r="E134" s="103"/>
      <c r="F134" s="103"/>
      <c r="G134" s="103"/>
      <c r="H134" s="103"/>
      <c r="I134" s="103"/>
      <c r="J134" s="103"/>
      <c r="K134" s="103"/>
      <c r="L134" s="103"/>
      <c r="M134" s="103"/>
      <c r="N134" s="103"/>
    </row>
    <row r="135" spans="1:14" ht="14.25">
      <c r="A135" s="103"/>
      <c r="B135" s="103"/>
      <c r="C135" s="103"/>
      <c r="D135" s="103"/>
      <c r="E135" s="103"/>
      <c r="F135" s="103"/>
      <c r="G135" s="103"/>
      <c r="H135" s="103"/>
      <c r="I135" s="103"/>
      <c r="J135" s="103"/>
      <c r="K135" s="103"/>
      <c r="L135" s="103"/>
      <c r="M135" s="103"/>
      <c r="N135" s="103"/>
    </row>
    <row r="136" spans="1:14" ht="14.25">
      <c r="A136" s="103"/>
      <c r="B136" s="103"/>
      <c r="C136" s="103"/>
      <c r="D136" s="103"/>
      <c r="E136" s="103"/>
      <c r="F136" s="103"/>
      <c r="G136" s="103"/>
      <c r="H136" s="103"/>
      <c r="I136" s="103"/>
      <c r="J136" s="103"/>
      <c r="K136" s="103"/>
      <c r="L136" s="103"/>
      <c r="M136" s="103"/>
      <c r="N136" s="103"/>
    </row>
    <row r="137" spans="1:14" ht="14.25">
      <c r="A137" s="103"/>
      <c r="B137" s="103"/>
      <c r="C137" s="103"/>
      <c r="D137" s="103"/>
      <c r="E137" s="103"/>
      <c r="F137" s="103"/>
      <c r="G137" s="103"/>
      <c r="H137" s="103"/>
      <c r="I137" s="103"/>
      <c r="J137" s="103"/>
      <c r="K137" s="103"/>
      <c r="L137" s="103"/>
      <c r="M137" s="103"/>
      <c r="N137" s="103"/>
    </row>
    <row r="138" spans="1:14" ht="14.25">
      <c r="A138" s="103"/>
      <c r="B138" s="103"/>
      <c r="C138" s="103"/>
      <c r="D138" s="103"/>
      <c r="E138" s="103"/>
      <c r="F138" s="103"/>
      <c r="G138" s="103"/>
      <c r="H138" s="103"/>
      <c r="I138" s="103"/>
      <c r="J138" s="103"/>
      <c r="K138" s="103"/>
      <c r="L138" s="103"/>
      <c r="M138" s="103"/>
      <c r="N138" s="103"/>
    </row>
    <row r="139" spans="1:14" ht="14.25">
      <c r="A139" s="103"/>
      <c r="B139" s="103"/>
      <c r="C139" s="103"/>
      <c r="D139" s="103"/>
      <c r="E139" s="103"/>
      <c r="F139" s="103"/>
      <c r="G139" s="103"/>
      <c r="H139" s="103"/>
      <c r="I139" s="103"/>
      <c r="J139" s="103"/>
      <c r="K139" s="103"/>
      <c r="L139" s="103"/>
      <c r="M139" s="103"/>
      <c r="N139" s="103"/>
    </row>
    <row r="140" spans="1:14" ht="14.25">
      <c r="A140" s="103"/>
      <c r="B140" s="103"/>
      <c r="C140" s="103"/>
      <c r="D140" s="103"/>
      <c r="E140" s="103"/>
      <c r="F140" s="103"/>
      <c r="G140" s="103"/>
      <c r="H140" s="103"/>
      <c r="I140" s="103"/>
      <c r="J140" s="103"/>
      <c r="K140" s="103"/>
      <c r="L140" s="103"/>
      <c r="M140" s="103"/>
      <c r="N140" s="103"/>
    </row>
    <row r="141" spans="1:14" ht="14.25">
      <c r="A141" s="103"/>
      <c r="B141" s="103"/>
      <c r="C141" s="103"/>
      <c r="D141" s="103"/>
      <c r="E141" s="103"/>
      <c r="F141" s="103"/>
      <c r="G141" s="103"/>
      <c r="H141" s="103"/>
      <c r="I141" s="103"/>
      <c r="J141" s="103"/>
      <c r="K141" s="103"/>
      <c r="L141" s="103"/>
      <c r="M141" s="103"/>
      <c r="N141" s="103"/>
    </row>
    <row r="142" spans="1:14" ht="14.25">
      <c r="A142" s="103"/>
      <c r="B142" s="103"/>
      <c r="C142" s="103"/>
      <c r="D142" s="103"/>
      <c r="E142" s="103"/>
      <c r="F142" s="103"/>
      <c r="G142" s="103"/>
      <c r="H142" s="103"/>
      <c r="I142" s="103"/>
      <c r="J142" s="103"/>
      <c r="K142" s="103"/>
      <c r="L142" s="103"/>
      <c r="M142" s="103"/>
      <c r="N142" s="103"/>
    </row>
    <row r="143" spans="1:14" ht="14.25">
      <c r="A143" s="103"/>
      <c r="B143" s="103"/>
      <c r="C143" s="103"/>
      <c r="D143" s="103"/>
      <c r="E143" s="103"/>
      <c r="F143" s="103"/>
      <c r="G143" s="103"/>
      <c r="H143" s="103"/>
      <c r="I143" s="103"/>
      <c r="J143" s="103"/>
      <c r="K143" s="103"/>
      <c r="L143" s="103"/>
      <c r="M143" s="103"/>
      <c r="N143" s="103"/>
    </row>
    <row r="144" spans="1:14" ht="14.25">
      <c r="A144" s="103"/>
      <c r="B144" s="103"/>
      <c r="C144" s="103"/>
      <c r="D144" s="103"/>
      <c r="E144" s="103"/>
      <c r="F144" s="103"/>
      <c r="G144" s="103"/>
      <c r="H144" s="103"/>
      <c r="I144" s="103"/>
      <c r="J144" s="103"/>
      <c r="K144" s="103"/>
      <c r="L144" s="103"/>
      <c r="M144" s="103"/>
      <c r="N144" s="103"/>
    </row>
    <row r="145" spans="1:14" ht="14.25">
      <c r="A145" s="103"/>
      <c r="B145" s="103"/>
      <c r="C145" s="103"/>
      <c r="D145" s="103"/>
      <c r="E145" s="103"/>
      <c r="F145" s="103"/>
      <c r="G145" s="103"/>
      <c r="H145" s="103"/>
      <c r="I145" s="103"/>
      <c r="J145" s="103"/>
      <c r="K145" s="103"/>
      <c r="L145" s="103"/>
      <c r="M145" s="103"/>
      <c r="N145" s="103"/>
    </row>
    <row r="146" spans="1:14" ht="14.25">
      <c r="A146" s="103"/>
      <c r="B146" s="103"/>
      <c r="C146" s="103"/>
      <c r="D146" s="103"/>
      <c r="E146" s="103"/>
      <c r="F146" s="103"/>
      <c r="G146" s="103"/>
      <c r="H146" s="103"/>
      <c r="I146" s="103"/>
      <c r="J146" s="103"/>
      <c r="K146" s="103"/>
      <c r="L146" s="103"/>
      <c r="M146" s="103"/>
      <c r="N146" s="103"/>
    </row>
    <row r="147" spans="1:14" ht="14.25">
      <c r="A147" s="103"/>
      <c r="B147" s="103"/>
      <c r="C147" s="103"/>
      <c r="D147" s="103"/>
      <c r="E147" s="103"/>
      <c r="F147" s="103"/>
      <c r="G147" s="103"/>
      <c r="H147" s="103"/>
      <c r="I147" s="103"/>
      <c r="J147" s="103"/>
      <c r="K147" s="103"/>
      <c r="L147" s="103"/>
      <c r="M147" s="103"/>
      <c r="N147" s="103"/>
    </row>
    <row r="148" spans="1:14" ht="14.25">
      <c r="A148" s="103"/>
      <c r="B148" s="103"/>
      <c r="C148" s="103"/>
      <c r="D148" s="103"/>
      <c r="E148" s="103"/>
      <c r="F148" s="103"/>
      <c r="G148" s="103"/>
      <c r="H148" s="103"/>
      <c r="I148" s="103"/>
      <c r="J148" s="103"/>
      <c r="K148" s="103"/>
      <c r="L148" s="103"/>
      <c r="M148" s="103"/>
      <c r="N148" s="103"/>
    </row>
    <row r="149" spans="1:14" ht="14.25">
      <c r="A149" s="103"/>
      <c r="B149" s="103"/>
      <c r="C149" s="103"/>
      <c r="D149" s="103"/>
      <c r="E149" s="103"/>
      <c r="F149" s="103"/>
      <c r="G149" s="103"/>
      <c r="H149" s="103"/>
      <c r="I149" s="103"/>
      <c r="J149" s="103"/>
      <c r="K149" s="103"/>
      <c r="L149" s="103"/>
      <c r="M149" s="103"/>
      <c r="N149" s="103"/>
    </row>
    <row r="150" spans="1:14" ht="14.25">
      <c r="A150" s="103"/>
      <c r="B150" s="103"/>
      <c r="C150" s="103"/>
      <c r="D150" s="103"/>
      <c r="E150" s="103"/>
      <c r="F150" s="103"/>
      <c r="G150" s="103"/>
      <c r="H150" s="103"/>
      <c r="I150" s="103"/>
      <c r="J150" s="103"/>
      <c r="K150" s="103"/>
      <c r="L150" s="103"/>
      <c r="M150" s="103"/>
      <c r="N150" s="103"/>
    </row>
    <row r="151" spans="1:14" ht="14.25">
      <c r="A151" s="103"/>
      <c r="B151" s="103"/>
      <c r="C151" s="103"/>
      <c r="D151" s="103"/>
      <c r="E151" s="103"/>
      <c r="F151" s="103"/>
      <c r="G151" s="103"/>
      <c r="H151" s="103"/>
      <c r="I151" s="103"/>
      <c r="J151" s="103"/>
      <c r="K151" s="103"/>
      <c r="L151" s="103"/>
      <c r="M151" s="103"/>
      <c r="N151" s="103"/>
    </row>
    <row r="152" spans="1:14" ht="14.25">
      <c r="A152" s="103"/>
      <c r="B152" s="103"/>
      <c r="C152" s="103"/>
      <c r="D152" s="103"/>
      <c r="E152" s="103"/>
      <c r="F152" s="103"/>
      <c r="G152" s="103"/>
      <c r="H152" s="103"/>
      <c r="I152" s="103"/>
      <c r="J152" s="103"/>
      <c r="K152" s="103"/>
      <c r="L152" s="103"/>
      <c r="M152" s="103"/>
      <c r="N152" s="103"/>
    </row>
    <row r="153" spans="1:14" ht="14.25">
      <c r="A153" s="103"/>
      <c r="B153" s="103"/>
      <c r="C153" s="103"/>
      <c r="D153" s="103"/>
      <c r="E153" s="103"/>
      <c r="F153" s="103"/>
      <c r="G153" s="103"/>
      <c r="H153" s="103"/>
      <c r="I153" s="103"/>
      <c r="J153" s="103"/>
      <c r="K153" s="103"/>
      <c r="L153" s="103"/>
      <c r="M153" s="103"/>
      <c r="N153" s="103"/>
    </row>
    <row r="154" spans="1:14" ht="14.25">
      <c r="A154" s="103"/>
      <c r="B154" s="103"/>
      <c r="C154" s="103"/>
      <c r="D154" s="103"/>
      <c r="E154" s="103"/>
      <c r="F154" s="103"/>
      <c r="G154" s="103"/>
      <c r="H154" s="103"/>
      <c r="I154" s="103"/>
      <c r="J154" s="103"/>
      <c r="K154" s="103"/>
      <c r="L154" s="103"/>
      <c r="M154" s="103"/>
      <c r="N154" s="103"/>
    </row>
    <row r="155" spans="1:14" ht="14.25">
      <c r="A155" s="103"/>
      <c r="B155" s="103"/>
      <c r="C155" s="103"/>
      <c r="D155" s="103"/>
      <c r="E155" s="103"/>
      <c r="F155" s="103"/>
      <c r="G155" s="103"/>
      <c r="H155" s="103"/>
      <c r="I155" s="103"/>
      <c r="J155" s="103"/>
      <c r="K155" s="103"/>
      <c r="L155" s="103"/>
      <c r="M155" s="103"/>
      <c r="N155" s="103"/>
    </row>
    <row r="156" spans="1:14" ht="14.25">
      <c r="A156" s="103"/>
      <c r="B156" s="103"/>
      <c r="C156" s="103"/>
      <c r="D156" s="103"/>
      <c r="E156" s="103"/>
      <c r="F156" s="103"/>
      <c r="G156" s="103"/>
      <c r="H156" s="103"/>
      <c r="I156" s="103"/>
      <c r="J156" s="103"/>
      <c r="K156" s="103"/>
      <c r="L156" s="103"/>
      <c r="M156" s="103"/>
      <c r="N156" s="103"/>
    </row>
    <row r="157" spans="1:14" ht="14.25">
      <c r="A157" s="103"/>
      <c r="B157" s="103"/>
      <c r="C157" s="103"/>
      <c r="D157" s="103"/>
      <c r="E157" s="103"/>
      <c r="F157" s="103"/>
      <c r="G157" s="103"/>
      <c r="H157" s="103"/>
      <c r="I157" s="103"/>
      <c r="J157" s="103"/>
      <c r="K157" s="103"/>
      <c r="L157" s="103"/>
      <c r="M157" s="103"/>
      <c r="N157" s="103"/>
    </row>
    <row r="158" spans="1:14" ht="14.25">
      <c r="A158" s="103"/>
      <c r="B158" s="103"/>
      <c r="C158" s="103"/>
      <c r="D158" s="103"/>
      <c r="E158" s="103"/>
      <c r="F158" s="103"/>
      <c r="G158" s="103"/>
      <c r="H158" s="103"/>
      <c r="I158" s="103"/>
      <c r="J158" s="103"/>
      <c r="K158" s="103"/>
      <c r="L158" s="103"/>
      <c r="M158" s="103"/>
      <c r="N158" s="103"/>
    </row>
    <row r="159" spans="1:14" ht="14.25">
      <c r="A159" s="103"/>
      <c r="B159" s="103"/>
      <c r="C159" s="103"/>
      <c r="D159" s="103"/>
      <c r="E159" s="103"/>
      <c r="F159" s="103"/>
      <c r="G159" s="103"/>
      <c r="H159" s="103"/>
      <c r="I159" s="103"/>
      <c r="J159" s="103"/>
      <c r="K159" s="103"/>
      <c r="L159" s="103"/>
      <c r="M159" s="103"/>
      <c r="N159" s="103"/>
    </row>
    <row r="160" spans="1:14" ht="14.25">
      <c r="A160" s="103"/>
      <c r="B160" s="103"/>
      <c r="C160" s="103"/>
      <c r="D160" s="103"/>
      <c r="E160" s="103"/>
      <c r="F160" s="103"/>
      <c r="G160" s="103"/>
      <c r="H160" s="103"/>
      <c r="I160" s="103"/>
      <c r="J160" s="103"/>
      <c r="K160" s="103"/>
      <c r="L160" s="103"/>
      <c r="M160" s="103"/>
      <c r="N160" s="103"/>
    </row>
    <row r="161" spans="1:14" ht="14.25">
      <c r="A161" s="103"/>
      <c r="B161" s="103"/>
      <c r="C161" s="103"/>
      <c r="D161" s="103"/>
      <c r="E161" s="103"/>
      <c r="F161" s="103"/>
      <c r="G161" s="103"/>
      <c r="H161" s="103"/>
      <c r="I161" s="103"/>
      <c r="J161" s="103"/>
      <c r="K161" s="103"/>
      <c r="L161" s="103"/>
      <c r="M161" s="103"/>
      <c r="N161" s="103"/>
    </row>
    <row r="162" spans="1:14" ht="14.25">
      <c r="A162" s="103"/>
      <c r="B162" s="103"/>
      <c r="C162" s="103"/>
      <c r="D162" s="103"/>
      <c r="E162" s="103"/>
      <c r="F162" s="103"/>
      <c r="G162" s="103"/>
      <c r="H162" s="103"/>
      <c r="I162" s="103"/>
      <c r="J162" s="103"/>
      <c r="K162" s="103"/>
      <c r="L162" s="103"/>
      <c r="M162" s="103"/>
      <c r="N162" s="103"/>
    </row>
    <row r="163" spans="1:14" ht="14.25">
      <c r="A163" s="103"/>
      <c r="B163" s="103"/>
      <c r="C163" s="103"/>
      <c r="D163" s="103"/>
      <c r="E163" s="103"/>
      <c r="F163" s="103"/>
      <c r="G163" s="103"/>
      <c r="H163" s="103"/>
      <c r="I163" s="103"/>
      <c r="J163" s="103"/>
      <c r="K163" s="103"/>
      <c r="L163" s="103"/>
      <c r="M163" s="103"/>
      <c r="N163" s="103"/>
    </row>
    <row r="164" spans="1:14" ht="14.25">
      <c r="A164" s="103"/>
      <c r="B164" s="103"/>
      <c r="C164" s="103"/>
      <c r="D164" s="103"/>
      <c r="E164" s="103"/>
      <c r="F164" s="103"/>
      <c r="G164" s="103"/>
      <c r="H164" s="103"/>
      <c r="I164" s="103"/>
      <c r="J164" s="103"/>
      <c r="K164" s="103"/>
      <c r="L164" s="103"/>
      <c r="M164" s="103"/>
      <c r="N164" s="103"/>
    </row>
    <row r="165" spans="1:14" ht="14.25">
      <c r="A165" s="103"/>
      <c r="B165" s="103"/>
      <c r="C165" s="103"/>
      <c r="D165" s="103"/>
      <c r="E165" s="103"/>
      <c r="F165" s="103"/>
      <c r="G165" s="103"/>
      <c r="H165" s="103"/>
      <c r="I165" s="103"/>
      <c r="J165" s="103"/>
      <c r="K165" s="103"/>
      <c r="L165" s="103"/>
      <c r="M165" s="103"/>
      <c r="N165" s="103"/>
    </row>
    <row r="166" spans="1:14" ht="14.25">
      <c r="A166" s="103"/>
      <c r="B166" s="103"/>
      <c r="C166" s="103"/>
      <c r="D166" s="103"/>
      <c r="E166" s="103"/>
      <c r="F166" s="103"/>
      <c r="G166" s="103"/>
      <c r="H166" s="103"/>
      <c r="I166" s="103"/>
      <c r="J166" s="103"/>
      <c r="K166" s="103"/>
      <c r="L166" s="103"/>
      <c r="M166" s="103"/>
      <c r="N166" s="103"/>
    </row>
    <row r="167" spans="1:14" ht="14.25">
      <c r="A167" s="103"/>
      <c r="B167" s="103"/>
      <c r="C167" s="103"/>
      <c r="D167" s="103"/>
      <c r="E167" s="103"/>
      <c r="F167" s="103"/>
      <c r="G167" s="103"/>
      <c r="H167" s="103"/>
      <c r="I167" s="103"/>
      <c r="J167" s="103"/>
      <c r="K167" s="103"/>
      <c r="L167" s="103"/>
      <c r="M167" s="103"/>
      <c r="N167" s="103"/>
    </row>
    <row r="168" spans="1:14" ht="14.25">
      <c r="A168" s="103"/>
      <c r="B168" s="103"/>
      <c r="C168" s="103"/>
      <c r="D168" s="103"/>
      <c r="E168" s="103"/>
      <c r="F168" s="103"/>
      <c r="G168" s="103"/>
      <c r="H168" s="103"/>
      <c r="I168" s="103"/>
      <c r="J168" s="103"/>
      <c r="K168" s="103"/>
      <c r="L168" s="103"/>
      <c r="M168" s="103"/>
      <c r="N168" s="103"/>
    </row>
    <row r="169" spans="1:14" ht="14.25">
      <c r="A169" s="103"/>
      <c r="B169" s="103"/>
      <c r="C169" s="103"/>
      <c r="D169" s="103"/>
      <c r="E169" s="103"/>
      <c r="F169" s="103"/>
      <c r="G169" s="103"/>
      <c r="H169" s="103"/>
      <c r="I169" s="103"/>
      <c r="J169" s="103"/>
      <c r="K169" s="103"/>
      <c r="L169" s="103"/>
      <c r="M169" s="103"/>
      <c r="N169" s="103"/>
    </row>
    <row r="170" spans="1:14" ht="14.25">
      <c r="A170" s="103"/>
      <c r="B170" s="103"/>
      <c r="C170" s="103"/>
      <c r="D170" s="103"/>
      <c r="E170" s="103"/>
      <c r="F170" s="103"/>
      <c r="G170" s="103"/>
      <c r="H170" s="103"/>
      <c r="I170" s="103"/>
      <c r="J170" s="103"/>
      <c r="K170" s="103"/>
      <c r="L170" s="103"/>
      <c r="M170" s="103"/>
      <c r="N170" s="103"/>
    </row>
    <row r="171" spans="1:14" ht="14.25">
      <c r="A171" s="103"/>
      <c r="B171" s="103"/>
      <c r="C171" s="103"/>
      <c r="D171" s="103"/>
      <c r="E171" s="103"/>
      <c r="F171" s="103"/>
      <c r="G171" s="103"/>
      <c r="H171" s="103"/>
      <c r="I171" s="103"/>
      <c r="J171" s="103"/>
      <c r="K171" s="103"/>
      <c r="L171" s="103"/>
      <c r="M171" s="103"/>
      <c r="N171" s="103"/>
    </row>
    <row r="172" spans="1:14" ht="14.25">
      <c r="A172" s="103"/>
      <c r="B172" s="103"/>
      <c r="C172" s="103"/>
      <c r="D172" s="103"/>
      <c r="E172" s="103"/>
      <c r="F172" s="103"/>
      <c r="G172" s="103"/>
      <c r="H172" s="103"/>
      <c r="I172" s="103"/>
      <c r="J172" s="103"/>
      <c r="K172" s="103"/>
      <c r="L172" s="103"/>
      <c r="M172" s="103"/>
      <c r="N172" s="103"/>
    </row>
    <row r="173" spans="1:14" ht="14.25">
      <c r="A173" s="103"/>
      <c r="B173" s="103"/>
      <c r="C173" s="103"/>
      <c r="D173" s="103"/>
      <c r="E173" s="103"/>
      <c r="F173" s="103"/>
      <c r="G173" s="103"/>
      <c r="H173" s="103"/>
      <c r="I173" s="103"/>
      <c r="J173" s="103"/>
      <c r="K173" s="103"/>
      <c r="L173" s="103"/>
      <c r="M173" s="103"/>
      <c r="N173" s="103"/>
    </row>
    <row r="174" spans="1:14" ht="14.25">
      <c r="A174" s="103"/>
      <c r="B174" s="103"/>
      <c r="C174" s="103"/>
      <c r="D174" s="103"/>
      <c r="E174" s="103"/>
      <c r="F174" s="103"/>
      <c r="G174" s="103"/>
      <c r="H174" s="103"/>
      <c r="I174" s="103"/>
      <c r="J174" s="103"/>
      <c r="K174" s="103"/>
      <c r="L174" s="103"/>
      <c r="M174" s="103"/>
      <c r="N174" s="103"/>
    </row>
    <row r="175" spans="1:14" ht="14.25">
      <c r="A175" s="103"/>
      <c r="B175" s="103"/>
      <c r="C175" s="103"/>
      <c r="D175" s="103"/>
      <c r="E175" s="103"/>
      <c r="F175" s="103"/>
      <c r="G175" s="103"/>
      <c r="H175" s="103"/>
      <c r="I175" s="103"/>
      <c r="J175" s="103"/>
      <c r="K175" s="103"/>
      <c r="L175" s="103"/>
      <c r="M175" s="103"/>
      <c r="N175" s="103"/>
    </row>
    <row r="176" spans="1:14" ht="14.25">
      <c r="A176" s="103"/>
      <c r="B176" s="103"/>
      <c r="C176" s="103"/>
      <c r="D176" s="103"/>
      <c r="E176" s="103"/>
      <c r="F176" s="103"/>
      <c r="G176" s="103"/>
      <c r="H176" s="103"/>
      <c r="I176" s="103"/>
      <c r="J176" s="103"/>
      <c r="K176" s="103"/>
      <c r="L176" s="103"/>
      <c r="M176" s="103"/>
      <c r="N176" s="103"/>
    </row>
    <row r="177" spans="1:14" ht="14.25">
      <c r="A177" s="103"/>
      <c r="B177" s="103"/>
      <c r="C177" s="103"/>
      <c r="D177" s="103"/>
      <c r="E177" s="103"/>
      <c r="F177" s="103"/>
      <c r="G177" s="103"/>
      <c r="H177" s="103"/>
      <c r="I177" s="103"/>
      <c r="J177" s="103"/>
      <c r="K177" s="103"/>
      <c r="L177" s="103"/>
      <c r="M177" s="103"/>
      <c r="N177" s="103"/>
    </row>
    <row r="178" spans="1:14" ht="14.25">
      <c r="A178" s="103"/>
      <c r="B178" s="103"/>
      <c r="C178" s="103"/>
      <c r="D178" s="103"/>
      <c r="E178" s="103"/>
      <c r="F178" s="103"/>
      <c r="G178" s="103"/>
      <c r="H178" s="103"/>
      <c r="I178" s="103"/>
      <c r="J178" s="103"/>
      <c r="K178" s="103"/>
      <c r="L178" s="103"/>
      <c r="M178" s="103"/>
      <c r="N178" s="103"/>
    </row>
    <row r="179" spans="1:14" ht="14.25">
      <c r="A179" s="103"/>
      <c r="B179" s="103"/>
      <c r="C179" s="103"/>
      <c r="D179" s="103"/>
      <c r="E179" s="103"/>
      <c r="F179" s="103"/>
      <c r="G179" s="103"/>
      <c r="H179" s="103"/>
      <c r="I179" s="103"/>
      <c r="J179" s="103"/>
      <c r="K179" s="103"/>
      <c r="L179" s="103"/>
      <c r="M179" s="103"/>
      <c r="N179" s="103"/>
    </row>
    <row r="180" spans="1:14" ht="14.25">
      <c r="A180" s="103"/>
      <c r="B180" s="103"/>
      <c r="C180" s="103"/>
      <c r="D180" s="103"/>
      <c r="E180" s="103"/>
      <c r="F180" s="103"/>
      <c r="G180" s="103"/>
      <c r="H180" s="103"/>
      <c r="I180" s="103"/>
      <c r="J180" s="103"/>
      <c r="K180" s="103"/>
      <c r="L180" s="103"/>
      <c r="M180" s="103"/>
      <c r="N180" s="103"/>
    </row>
    <row r="181" spans="1:14" ht="14.25">
      <c r="A181" s="103"/>
      <c r="B181" s="103"/>
      <c r="C181" s="103"/>
      <c r="D181" s="103"/>
      <c r="E181" s="103"/>
      <c r="F181" s="103"/>
      <c r="G181" s="103"/>
      <c r="H181" s="103"/>
      <c r="I181" s="103"/>
      <c r="J181" s="103"/>
      <c r="K181" s="103"/>
      <c r="L181" s="103"/>
      <c r="M181" s="103"/>
      <c r="N181" s="103"/>
    </row>
    <row r="182" spans="1:14" ht="14.25">
      <c r="A182" s="103"/>
      <c r="B182" s="103"/>
      <c r="C182" s="103"/>
      <c r="D182" s="103"/>
      <c r="E182" s="103"/>
      <c r="F182" s="103"/>
      <c r="G182" s="103"/>
      <c r="H182" s="103"/>
      <c r="I182" s="103"/>
      <c r="J182" s="103"/>
      <c r="K182" s="103"/>
      <c r="L182" s="103"/>
      <c r="M182" s="103"/>
      <c r="N182" s="103"/>
    </row>
    <row r="183" spans="1:14" ht="14.25">
      <c r="A183" s="103"/>
      <c r="B183" s="103"/>
      <c r="C183" s="103"/>
      <c r="D183" s="103"/>
      <c r="E183" s="103"/>
      <c r="F183" s="103"/>
      <c r="G183" s="103"/>
      <c r="H183" s="103"/>
      <c r="I183" s="103"/>
      <c r="J183" s="103"/>
      <c r="K183" s="103"/>
      <c r="L183" s="103"/>
      <c r="M183" s="103"/>
      <c r="N183" s="103"/>
    </row>
    <row r="184" spans="1:14" ht="14.25">
      <c r="A184" s="103"/>
      <c r="B184" s="103"/>
      <c r="C184" s="103"/>
      <c r="D184" s="103"/>
      <c r="E184" s="103"/>
      <c r="F184" s="103"/>
      <c r="G184" s="103"/>
      <c r="H184" s="103"/>
      <c r="I184" s="103"/>
      <c r="J184" s="103"/>
      <c r="K184" s="103"/>
      <c r="L184" s="103"/>
      <c r="M184" s="103"/>
      <c r="N184" s="103"/>
    </row>
    <row r="185" spans="1:14" ht="14.25">
      <c r="A185" s="103"/>
      <c r="B185" s="103"/>
      <c r="C185" s="103"/>
      <c r="D185" s="103"/>
      <c r="E185" s="103"/>
      <c r="F185" s="103"/>
      <c r="G185" s="103"/>
      <c r="H185" s="103"/>
      <c r="I185" s="103"/>
      <c r="J185" s="103"/>
      <c r="K185" s="103"/>
      <c r="L185" s="103"/>
      <c r="M185" s="103"/>
      <c r="N185" s="103"/>
    </row>
    <row r="186" spans="1:14" ht="14.25">
      <c r="A186" s="103"/>
      <c r="B186" s="103"/>
      <c r="C186" s="103"/>
      <c r="D186" s="103"/>
      <c r="E186" s="103"/>
      <c r="F186" s="103"/>
      <c r="G186" s="103"/>
      <c r="H186" s="103"/>
      <c r="I186" s="103"/>
      <c r="J186" s="103"/>
      <c r="K186" s="103"/>
      <c r="L186" s="103"/>
      <c r="M186" s="103"/>
      <c r="N186" s="103"/>
    </row>
    <row r="187" spans="1:14" ht="14.25">
      <c r="A187" s="103"/>
      <c r="B187" s="103"/>
      <c r="C187" s="103"/>
      <c r="D187" s="103"/>
      <c r="E187" s="103"/>
      <c r="F187" s="103"/>
      <c r="G187" s="103"/>
      <c r="H187" s="103"/>
      <c r="I187" s="103"/>
      <c r="J187" s="103"/>
      <c r="K187" s="103"/>
      <c r="L187" s="103"/>
      <c r="M187" s="103"/>
      <c r="N187" s="103"/>
    </row>
    <row r="188" spans="1:14" ht="14.25">
      <c r="A188" s="103"/>
      <c r="B188" s="103"/>
      <c r="C188" s="103"/>
      <c r="D188" s="103"/>
      <c r="E188" s="103"/>
      <c r="F188" s="103"/>
      <c r="G188" s="103"/>
      <c r="H188" s="103"/>
      <c r="I188" s="103"/>
      <c r="J188" s="103"/>
      <c r="K188" s="103"/>
      <c r="L188" s="103"/>
      <c r="M188" s="103"/>
      <c r="N188" s="103"/>
    </row>
    <row r="189" spans="1:14" ht="14.25">
      <c r="A189" s="103"/>
      <c r="B189" s="103"/>
      <c r="C189" s="103"/>
      <c r="D189" s="103"/>
      <c r="E189" s="103"/>
      <c r="F189" s="103"/>
      <c r="G189" s="103"/>
      <c r="H189" s="103"/>
      <c r="I189" s="103"/>
      <c r="J189" s="103"/>
      <c r="K189" s="103"/>
      <c r="L189" s="103"/>
      <c r="M189" s="103"/>
      <c r="N189" s="103"/>
    </row>
    <row r="190" spans="1:14" ht="14.25">
      <c r="A190" s="103"/>
      <c r="B190" s="103"/>
      <c r="C190" s="103"/>
      <c r="D190" s="103"/>
      <c r="E190" s="103"/>
      <c r="F190" s="103"/>
      <c r="G190" s="103"/>
      <c r="H190" s="103"/>
      <c r="I190" s="103"/>
      <c r="J190" s="103"/>
      <c r="K190" s="103"/>
      <c r="L190" s="103"/>
      <c r="M190" s="103"/>
      <c r="N190" s="103"/>
    </row>
    <row r="191" spans="1:14" ht="14.25">
      <c r="A191" s="103"/>
      <c r="B191" s="103"/>
      <c r="C191" s="103"/>
      <c r="D191" s="103"/>
      <c r="E191" s="103"/>
      <c r="F191" s="103"/>
      <c r="G191" s="103"/>
      <c r="H191" s="103"/>
      <c r="I191" s="103"/>
      <c r="J191" s="103"/>
      <c r="K191" s="103"/>
      <c r="L191" s="103"/>
      <c r="M191" s="103"/>
      <c r="N191" s="103"/>
    </row>
    <row r="192" spans="1:14" ht="14.25">
      <c r="A192" s="103"/>
      <c r="B192" s="103"/>
      <c r="C192" s="103"/>
      <c r="D192" s="103"/>
      <c r="E192" s="103"/>
      <c r="F192" s="103"/>
      <c r="G192" s="103"/>
      <c r="H192" s="103"/>
      <c r="I192" s="103"/>
      <c r="J192" s="103"/>
      <c r="K192" s="103"/>
      <c r="L192" s="103"/>
      <c r="M192" s="103"/>
      <c r="N192" s="103"/>
    </row>
    <row r="193" spans="1:14" ht="14.25">
      <c r="A193" s="103"/>
      <c r="B193" s="103"/>
      <c r="C193" s="103"/>
      <c r="D193" s="103"/>
      <c r="E193" s="103"/>
      <c r="F193" s="103"/>
      <c r="G193" s="103"/>
      <c r="H193" s="103"/>
      <c r="I193" s="103"/>
      <c r="J193" s="103"/>
      <c r="K193" s="103"/>
      <c r="L193" s="103"/>
      <c r="M193" s="103"/>
      <c r="N193" s="103"/>
    </row>
    <row r="194" spans="1:14" ht="14.25">
      <c r="A194" s="103"/>
      <c r="B194" s="103"/>
      <c r="C194" s="103"/>
      <c r="D194" s="103"/>
      <c r="E194" s="103"/>
      <c r="F194" s="103"/>
      <c r="G194" s="103"/>
      <c r="H194" s="103"/>
      <c r="I194" s="103"/>
      <c r="J194" s="103"/>
      <c r="K194" s="103"/>
      <c r="L194" s="103"/>
      <c r="M194" s="103"/>
      <c r="N194" s="103"/>
    </row>
    <row r="195" spans="1:14" ht="14.25">
      <c r="A195" s="103"/>
      <c r="B195" s="103"/>
      <c r="C195" s="103"/>
      <c r="D195" s="103"/>
      <c r="E195" s="103"/>
      <c r="F195" s="103"/>
      <c r="G195" s="103"/>
      <c r="H195" s="103"/>
      <c r="I195" s="103"/>
      <c r="J195" s="103"/>
      <c r="K195" s="103"/>
      <c r="L195" s="103"/>
      <c r="M195" s="103"/>
      <c r="N195" s="103"/>
    </row>
    <row r="196" spans="1:14" ht="14.25">
      <c r="A196" s="103"/>
      <c r="B196" s="103"/>
      <c r="C196" s="103"/>
      <c r="D196" s="103"/>
      <c r="E196" s="103"/>
      <c r="F196" s="103"/>
      <c r="G196" s="103"/>
      <c r="H196" s="103"/>
      <c r="I196" s="103"/>
      <c r="J196" s="103"/>
      <c r="K196" s="103"/>
      <c r="L196" s="103"/>
      <c r="M196" s="103"/>
      <c r="N196" s="103"/>
    </row>
    <row r="197" spans="1:14" ht="14.25">
      <c r="A197" s="103"/>
      <c r="B197" s="103"/>
      <c r="C197" s="103"/>
      <c r="D197" s="103"/>
      <c r="E197" s="103"/>
      <c r="F197" s="103"/>
      <c r="G197" s="103"/>
      <c r="H197" s="103"/>
      <c r="I197" s="103"/>
      <c r="J197" s="103"/>
      <c r="K197" s="103"/>
      <c r="L197" s="103"/>
      <c r="M197" s="103"/>
      <c r="N197" s="103"/>
    </row>
    <row r="198" spans="1:14" ht="14.25">
      <c r="A198" s="103"/>
      <c r="B198" s="103"/>
      <c r="C198" s="103"/>
      <c r="D198" s="103"/>
      <c r="E198" s="103"/>
      <c r="F198" s="103"/>
      <c r="G198" s="103"/>
      <c r="H198" s="103"/>
      <c r="I198" s="103"/>
      <c r="J198" s="103"/>
      <c r="K198" s="103"/>
      <c r="L198" s="103"/>
      <c r="M198" s="103"/>
      <c r="N198" s="103"/>
    </row>
    <row r="199" spans="1:14" ht="14.25">
      <c r="A199" s="103"/>
      <c r="B199" s="103"/>
      <c r="C199" s="103"/>
      <c r="D199" s="103"/>
      <c r="E199" s="103"/>
      <c r="F199" s="103"/>
      <c r="G199" s="103"/>
      <c r="H199" s="103"/>
      <c r="I199" s="103"/>
      <c r="J199" s="103"/>
      <c r="K199" s="103"/>
      <c r="L199" s="103"/>
      <c r="M199" s="103"/>
      <c r="N199" s="103"/>
    </row>
    <row r="200" spans="1:14" ht="14.25">
      <c r="A200" s="103"/>
      <c r="B200" s="103"/>
      <c r="C200" s="103"/>
      <c r="D200" s="103"/>
      <c r="E200" s="103"/>
      <c r="F200" s="103"/>
      <c r="G200" s="103"/>
      <c r="H200" s="103"/>
      <c r="I200" s="103"/>
      <c r="J200" s="103"/>
      <c r="K200" s="103"/>
      <c r="L200" s="103"/>
      <c r="M200" s="103"/>
      <c r="N200" s="103"/>
    </row>
    <row r="201" spans="1:14" ht="14.25">
      <c r="A201" s="103"/>
      <c r="B201" s="103"/>
      <c r="C201" s="103"/>
      <c r="D201" s="103"/>
      <c r="E201" s="103"/>
      <c r="F201" s="103"/>
      <c r="G201" s="103"/>
      <c r="H201" s="103"/>
      <c r="I201" s="103"/>
      <c r="J201" s="103"/>
      <c r="K201" s="103"/>
      <c r="L201" s="103"/>
      <c r="M201" s="103"/>
      <c r="N201" s="103"/>
    </row>
    <row r="202" spans="1:14" ht="14.25">
      <c r="A202" s="103"/>
      <c r="B202" s="103"/>
      <c r="C202" s="103"/>
      <c r="D202" s="103"/>
      <c r="E202" s="103"/>
      <c r="F202" s="103"/>
      <c r="G202" s="103"/>
      <c r="H202" s="103"/>
      <c r="I202" s="103"/>
      <c r="J202" s="103"/>
      <c r="K202" s="103"/>
      <c r="L202" s="103"/>
      <c r="M202" s="103"/>
      <c r="N202" s="103"/>
    </row>
    <row r="203" spans="1:14" ht="14.25">
      <c r="A203" s="103"/>
      <c r="B203" s="103"/>
      <c r="C203" s="103"/>
      <c r="D203" s="103"/>
      <c r="E203" s="103"/>
      <c r="F203" s="103"/>
      <c r="G203" s="103"/>
      <c r="H203" s="103"/>
      <c r="I203" s="103"/>
      <c r="J203" s="103"/>
      <c r="K203" s="103"/>
      <c r="L203" s="103"/>
      <c r="M203" s="103"/>
      <c r="N203" s="103"/>
    </row>
    <row r="204" spans="1:14" ht="14.25">
      <c r="A204" s="103"/>
      <c r="B204" s="103"/>
      <c r="C204" s="103"/>
      <c r="D204" s="103"/>
      <c r="E204" s="103"/>
      <c r="F204" s="103"/>
      <c r="G204" s="103"/>
      <c r="H204" s="103"/>
      <c r="I204" s="103"/>
      <c r="J204" s="103"/>
      <c r="K204" s="103"/>
      <c r="L204" s="103"/>
      <c r="M204" s="103"/>
      <c r="N204" s="103"/>
    </row>
    <row r="205" spans="1:14" ht="14.25">
      <c r="A205" s="103"/>
      <c r="B205" s="103"/>
      <c r="C205" s="103"/>
      <c r="D205" s="103"/>
      <c r="E205" s="103"/>
      <c r="F205" s="103"/>
      <c r="G205" s="103"/>
      <c r="H205" s="103"/>
      <c r="I205" s="103"/>
      <c r="J205" s="103"/>
      <c r="K205" s="103"/>
      <c r="L205" s="103"/>
      <c r="M205" s="103"/>
      <c r="N205" s="103"/>
    </row>
    <row r="206" spans="1:14" ht="14.25">
      <c r="A206" s="103"/>
      <c r="B206" s="103"/>
      <c r="C206" s="103"/>
      <c r="D206" s="103"/>
      <c r="E206" s="103"/>
      <c r="F206" s="103"/>
      <c r="G206" s="103"/>
      <c r="H206" s="103"/>
      <c r="I206" s="103"/>
      <c r="J206" s="103"/>
      <c r="K206" s="103"/>
      <c r="L206" s="103"/>
      <c r="M206" s="103"/>
      <c r="N206" s="103"/>
    </row>
    <row r="207" spans="1:14" ht="14.25">
      <c r="A207" s="103"/>
      <c r="B207" s="103"/>
      <c r="C207" s="103"/>
      <c r="D207" s="103"/>
      <c r="E207" s="103"/>
      <c r="F207" s="103"/>
      <c r="G207" s="103"/>
      <c r="H207" s="103"/>
      <c r="I207" s="103"/>
      <c r="J207" s="103"/>
      <c r="K207" s="103"/>
      <c r="L207" s="103"/>
      <c r="M207" s="103"/>
      <c r="N207" s="103"/>
    </row>
    <row r="208" spans="1:14" ht="14.25">
      <c r="A208" s="103"/>
      <c r="B208" s="103"/>
      <c r="C208" s="103"/>
      <c r="D208" s="103"/>
      <c r="E208" s="103"/>
      <c r="F208" s="103"/>
      <c r="G208" s="103"/>
      <c r="H208" s="103"/>
      <c r="I208" s="103"/>
      <c r="J208" s="103"/>
      <c r="K208" s="103"/>
      <c r="L208" s="103"/>
      <c r="M208" s="103"/>
      <c r="N208" s="103"/>
    </row>
    <row r="209" spans="1:14" ht="14.25">
      <c r="A209" s="103"/>
      <c r="B209" s="103"/>
      <c r="C209" s="103"/>
      <c r="D209" s="103"/>
      <c r="E209" s="103"/>
      <c r="F209" s="103"/>
      <c r="G209" s="103"/>
      <c r="H209" s="103"/>
      <c r="I209" s="103"/>
      <c r="J209" s="103"/>
      <c r="K209" s="103"/>
      <c r="L209" s="103"/>
      <c r="M209" s="103"/>
      <c r="N209" s="103"/>
    </row>
    <row r="210" spans="1:14" ht="14.25">
      <c r="A210" s="103"/>
      <c r="B210" s="103"/>
      <c r="C210" s="103"/>
      <c r="D210" s="103"/>
      <c r="E210" s="103"/>
      <c r="F210" s="103"/>
      <c r="G210" s="103"/>
      <c r="H210" s="103"/>
      <c r="I210" s="103"/>
      <c r="J210" s="103"/>
      <c r="K210" s="103"/>
      <c r="L210" s="103"/>
      <c r="M210" s="103"/>
      <c r="N210" s="103"/>
    </row>
    <row r="211" spans="1:14" ht="14.25">
      <c r="A211" s="103"/>
      <c r="B211" s="103"/>
      <c r="C211" s="103"/>
      <c r="D211" s="103"/>
      <c r="E211" s="103"/>
      <c r="F211" s="103"/>
      <c r="G211" s="103"/>
      <c r="H211" s="103"/>
      <c r="I211" s="103"/>
      <c r="J211" s="103"/>
      <c r="K211" s="103"/>
      <c r="L211" s="103"/>
      <c r="M211" s="103"/>
      <c r="N211" s="103"/>
    </row>
    <row r="212" spans="1:14" ht="14.25">
      <c r="A212" s="103"/>
      <c r="B212" s="103"/>
      <c r="C212" s="103"/>
      <c r="D212" s="103"/>
      <c r="E212" s="103"/>
      <c r="F212" s="103"/>
      <c r="G212" s="103"/>
      <c r="H212" s="103"/>
      <c r="I212" s="103"/>
      <c r="J212" s="103"/>
      <c r="K212" s="103"/>
      <c r="L212" s="103"/>
      <c r="M212" s="103"/>
      <c r="N212" s="103"/>
    </row>
    <row r="213" spans="1:14" ht="14.25">
      <c r="A213" s="103"/>
      <c r="B213" s="103"/>
      <c r="C213" s="103"/>
      <c r="D213" s="103"/>
      <c r="E213" s="103"/>
      <c r="F213" s="103"/>
      <c r="G213" s="103"/>
      <c r="H213" s="103"/>
      <c r="I213" s="103"/>
      <c r="J213" s="103"/>
      <c r="K213" s="103"/>
      <c r="L213" s="103"/>
      <c r="M213" s="103"/>
      <c r="N213" s="103"/>
    </row>
    <row r="214" spans="1:14" ht="14.25">
      <c r="A214" s="103"/>
      <c r="B214" s="103"/>
      <c r="C214" s="103"/>
      <c r="D214" s="103"/>
      <c r="E214" s="103"/>
      <c r="F214" s="103"/>
      <c r="G214" s="103"/>
      <c r="H214" s="103"/>
      <c r="I214" s="103"/>
      <c r="J214" s="103"/>
      <c r="K214" s="103"/>
      <c r="L214" s="103"/>
      <c r="M214" s="103"/>
      <c r="N214" s="103"/>
    </row>
    <row r="215" spans="1:14" ht="14.25">
      <c r="A215" s="103"/>
      <c r="B215" s="103"/>
      <c r="C215" s="103"/>
      <c r="D215" s="103"/>
      <c r="E215" s="103"/>
      <c r="F215" s="103"/>
      <c r="G215" s="103"/>
      <c r="H215" s="103"/>
      <c r="I215" s="103"/>
      <c r="J215" s="103"/>
      <c r="K215" s="103"/>
      <c r="L215" s="103"/>
      <c r="M215" s="103"/>
      <c r="N215" s="103"/>
    </row>
    <row r="216" spans="1:14" ht="14.25">
      <c r="A216" s="103"/>
      <c r="B216" s="103"/>
      <c r="C216" s="103"/>
      <c r="D216" s="103"/>
      <c r="E216" s="103"/>
      <c r="F216" s="103"/>
      <c r="G216" s="103"/>
      <c r="H216" s="103"/>
      <c r="I216" s="103"/>
      <c r="J216" s="103"/>
      <c r="K216" s="103"/>
      <c r="L216" s="103"/>
      <c r="M216" s="103"/>
      <c r="N216" s="103"/>
    </row>
    <row r="217" spans="1:14" ht="14.25">
      <c r="A217" s="103"/>
      <c r="B217" s="103"/>
      <c r="C217" s="103"/>
      <c r="D217" s="103"/>
      <c r="E217" s="103"/>
      <c r="F217" s="103"/>
      <c r="G217" s="103"/>
      <c r="H217" s="103"/>
      <c r="I217" s="103"/>
      <c r="J217" s="103"/>
      <c r="K217" s="103"/>
      <c r="L217" s="103"/>
      <c r="M217" s="103"/>
      <c r="N217" s="103"/>
    </row>
    <row r="218" spans="1:14" ht="14.25">
      <c r="A218" s="103"/>
      <c r="B218" s="103"/>
      <c r="C218" s="103"/>
      <c r="D218" s="103"/>
      <c r="E218" s="103"/>
      <c r="F218" s="103"/>
      <c r="G218" s="103"/>
      <c r="H218" s="103"/>
      <c r="I218" s="103"/>
      <c r="J218" s="103"/>
      <c r="K218" s="103"/>
      <c r="L218" s="103"/>
      <c r="M218" s="103"/>
      <c r="N218" s="103"/>
    </row>
    <row r="219" spans="1:14" ht="14.25">
      <c r="A219" s="103"/>
      <c r="B219" s="103"/>
      <c r="C219" s="103"/>
      <c r="D219" s="103"/>
      <c r="E219" s="103"/>
      <c r="F219" s="103"/>
      <c r="G219" s="103"/>
      <c r="H219" s="103"/>
      <c r="I219" s="103"/>
      <c r="J219" s="103"/>
      <c r="K219" s="103"/>
      <c r="L219" s="103"/>
      <c r="M219" s="103"/>
      <c r="N219" s="103"/>
    </row>
    <row r="220" spans="1:14" ht="14.25">
      <c r="A220" s="103"/>
      <c r="B220" s="103"/>
      <c r="C220" s="103"/>
      <c r="D220" s="103"/>
      <c r="E220" s="103"/>
      <c r="F220" s="103"/>
      <c r="G220" s="103"/>
      <c r="H220" s="103"/>
      <c r="I220" s="103"/>
      <c r="J220" s="103"/>
      <c r="K220" s="103"/>
      <c r="L220" s="103"/>
      <c r="M220" s="103"/>
      <c r="N220" s="103"/>
    </row>
    <row r="221" spans="1:14" ht="14.25">
      <c r="A221" s="103"/>
      <c r="B221" s="103"/>
      <c r="C221" s="103"/>
      <c r="D221" s="103"/>
      <c r="E221" s="103"/>
      <c r="F221" s="103"/>
      <c r="G221" s="103"/>
      <c r="H221" s="103"/>
      <c r="I221" s="103"/>
      <c r="J221" s="103"/>
      <c r="K221" s="103"/>
      <c r="L221" s="103"/>
      <c r="M221" s="103"/>
      <c r="N221" s="103"/>
    </row>
    <row r="222" spans="1:14" ht="14.25">
      <c r="A222" s="103"/>
      <c r="B222" s="103"/>
      <c r="C222" s="103"/>
      <c r="D222" s="103"/>
      <c r="E222" s="103"/>
      <c r="F222" s="103"/>
      <c r="G222" s="103"/>
      <c r="H222" s="103"/>
      <c r="I222" s="103"/>
      <c r="J222" s="103"/>
      <c r="K222" s="103"/>
      <c r="L222" s="103"/>
      <c r="M222" s="103"/>
      <c r="N222" s="103"/>
    </row>
    <row r="223" spans="1:14" ht="14.25">
      <c r="A223" s="103"/>
      <c r="B223" s="103"/>
      <c r="C223" s="103"/>
      <c r="D223" s="103"/>
      <c r="E223" s="103"/>
      <c r="F223" s="103"/>
      <c r="G223" s="103"/>
      <c r="H223" s="103"/>
      <c r="I223" s="103"/>
      <c r="J223" s="103"/>
      <c r="K223" s="103"/>
      <c r="L223" s="103"/>
      <c r="M223" s="103"/>
      <c r="N223" s="103"/>
    </row>
    <row r="224" spans="1:14" ht="14.25">
      <c r="A224" s="103"/>
      <c r="B224" s="103"/>
      <c r="C224" s="103"/>
      <c r="D224" s="103"/>
      <c r="E224" s="103"/>
      <c r="F224" s="103"/>
      <c r="G224" s="103"/>
      <c r="H224" s="103"/>
      <c r="I224" s="103"/>
      <c r="J224" s="103"/>
      <c r="K224" s="103"/>
      <c r="L224" s="103"/>
      <c r="M224" s="103"/>
      <c r="N224" s="103"/>
    </row>
    <row r="225" spans="1:14" ht="14.25">
      <c r="A225" s="103"/>
      <c r="B225" s="103"/>
      <c r="C225" s="103"/>
      <c r="D225" s="103"/>
      <c r="E225" s="103"/>
      <c r="F225" s="103"/>
      <c r="G225" s="103"/>
      <c r="H225" s="103"/>
      <c r="I225" s="103"/>
      <c r="J225" s="103"/>
      <c r="K225" s="103"/>
      <c r="L225" s="103"/>
      <c r="M225" s="103"/>
      <c r="N225" s="103"/>
    </row>
    <row r="226" spans="1:14" ht="14.25">
      <c r="A226" s="103"/>
      <c r="B226" s="103"/>
      <c r="C226" s="103"/>
      <c r="D226" s="103"/>
      <c r="E226" s="103"/>
      <c r="F226" s="103"/>
      <c r="G226" s="103"/>
      <c r="H226" s="103"/>
      <c r="I226" s="103"/>
      <c r="J226" s="103"/>
      <c r="K226" s="103"/>
      <c r="L226" s="103"/>
      <c r="M226" s="103"/>
      <c r="N226" s="103"/>
    </row>
    <row r="227" spans="1:14" ht="14.25">
      <c r="A227" s="103"/>
      <c r="B227" s="103"/>
      <c r="C227" s="103"/>
      <c r="D227" s="103"/>
      <c r="E227" s="103"/>
      <c r="F227" s="103"/>
      <c r="G227" s="103"/>
      <c r="H227" s="103"/>
      <c r="I227" s="103"/>
      <c r="J227" s="103"/>
      <c r="K227" s="103"/>
      <c r="L227" s="103"/>
      <c r="M227" s="103"/>
      <c r="N227" s="103"/>
    </row>
    <row r="228" spans="1:14" ht="14.25">
      <c r="A228" s="103"/>
      <c r="B228" s="103"/>
      <c r="C228" s="103"/>
      <c r="D228" s="103"/>
      <c r="E228" s="103"/>
      <c r="F228" s="103"/>
      <c r="G228" s="103"/>
      <c r="H228" s="103"/>
      <c r="I228" s="103"/>
      <c r="J228" s="103"/>
      <c r="K228" s="103"/>
      <c r="L228" s="103"/>
      <c r="M228" s="103"/>
      <c r="N228" s="103"/>
    </row>
    <row r="229" spans="1:14" ht="14.25">
      <c r="A229" s="103"/>
      <c r="B229" s="103"/>
      <c r="C229" s="103"/>
      <c r="D229" s="103"/>
      <c r="E229" s="103"/>
      <c r="F229" s="103"/>
      <c r="G229" s="103"/>
      <c r="H229" s="103"/>
      <c r="I229" s="103"/>
      <c r="J229" s="103"/>
      <c r="K229" s="103"/>
      <c r="L229" s="103"/>
      <c r="M229" s="103"/>
      <c r="N229" s="103"/>
    </row>
    <row r="230" spans="1:14" ht="14.25">
      <c r="A230" s="103"/>
      <c r="B230" s="103"/>
      <c r="C230" s="103"/>
      <c r="D230" s="103"/>
      <c r="E230" s="103"/>
      <c r="F230" s="103"/>
      <c r="G230" s="103"/>
      <c r="H230" s="103"/>
      <c r="I230" s="103"/>
      <c r="J230" s="103"/>
      <c r="K230" s="103"/>
      <c r="L230" s="103"/>
      <c r="M230" s="103"/>
      <c r="N230" s="103"/>
    </row>
    <row r="231" spans="1:14" ht="14.25">
      <c r="A231" s="103"/>
      <c r="B231" s="103"/>
      <c r="C231" s="103"/>
      <c r="D231" s="103"/>
      <c r="E231" s="103"/>
      <c r="F231" s="103"/>
      <c r="G231" s="103"/>
      <c r="H231" s="103"/>
      <c r="I231" s="103"/>
      <c r="J231" s="103"/>
      <c r="K231" s="103"/>
      <c r="L231" s="103"/>
      <c r="M231" s="103"/>
      <c r="N231" s="103"/>
    </row>
    <row r="232" spans="1:14" ht="14.25">
      <c r="A232" s="103"/>
      <c r="B232" s="103"/>
      <c r="C232" s="103"/>
      <c r="D232" s="103"/>
      <c r="E232" s="103"/>
      <c r="F232" s="103"/>
      <c r="G232" s="103"/>
      <c r="H232" s="103"/>
      <c r="I232" s="103"/>
      <c r="J232" s="103"/>
      <c r="K232" s="103"/>
      <c r="L232" s="103"/>
      <c r="M232" s="103"/>
      <c r="N232" s="103"/>
    </row>
    <row r="233" spans="1:14" ht="14.25">
      <c r="A233" s="103"/>
      <c r="B233" s="103"/>
      <c r="C233" s="103"/>
      <c r="D233" s="103"/>
      <c r="E233" s="103"/>
      <c r="F233" s="103"/>
      <c r="G233" s="103"/>
      <c r="H233" s="103"/>
      <c r="I233" s="103"/>
      <c r="J233" s="103"/>
      <c r="K233" s="103"/>
      <c r="L233" s="103"/>
      <c r="M233" s="103"/>
      <c r="N233" s="103"/>
    </row>
    <row r="234" spans="1:14" ht="14.25">
      <c r="A234" s="103"/>
      <c r="B234" s="103"/>
      <c r="C234" s="103"/>
      <c r="D234" s="103"/>
      <c r="E234" s="103"/>
      <c r="F234" s="103"/>
      <c r="G234" s="103"/>
      <c r="H234" s="103"/>
      <c r="I234" s="103"/>
      <c r="J234" s="103"/>
      <c r="K234" s="103"/>
      <c r="L234" s="103"/>
      <c r="M234" s="103"/>
      <c r="N234" s="103"/>
    </row>
    <row r="235" spans="1:14" ht="14.25">
      <c r="A235" s="103"/>
      <c r="B235" s="103"/>
      <c r="C235" s="103"/>
      <c r="D235" s="103"/>
      <c r="E235" s="103"/>
      <c r="F235" s="103"/>
      <c r="G235" s="103"/>
      <c r="H235" s="103"/>
      <c r="I235" s="103"/>
      <c r="J235" s="103"/>
      <c r="K235" s="103"/>
      <c r="L235" s="103"/>
      <c r="M235" s="103"/>
      <c r="N235" s="103"/>
    </row>
    <row r="236" spans="1:14" ht="14.25">
      <c r="A236" s="103"/>
      <c r="B236" s="103"/>
      <c r="C236" s="103"/>
      <c r="D236" s="103"/>
      <c r="E236" s="103"/>
      <c r="F236" s="103"/>
      <c r="G236" s="103"/>
      <c r="H236" s="103"/>
      <c r="I236" s="103"/>
      <c r="J236" s="103"/>
      <c r="K236" s="103"/>
      <c r="L236" s="103"/>
      <c r="M236" s="103"/>
      <c r="N236" s="103"/>
    </row>
    <row r="237" spans="1:14" ht="14.25">
      <c r="A237" s="103"/>
      <c r="B237" s="103"/>
      <c r="C237" s="103"/>
      <c r="D237" s="103"/>
      <c r="E237" s="103"/>
      <c r="F237" s="103"/>
      <c r="G237" s="103"/>
      <c r="H237" s="103"/>
      <c r="I237" s="103"/>
      <c r="J237" s="103"/>
      <c r="K237" s="103"/>
      <c r="L237" s="103"/>
      <c r="M237" s="103"/>
      <c r="N237" s="103"/>
    </row>
    <row r="238" spans="1:14" ht="14.25">
      <c r="A238" s="103"/>
      <c r="B238" s="103"/>
      <c r="C238" s="103"/>
      <c r="D238" s="103"/>
      <c r="E238" s="103"/>
      <c r="F238" s="103"/>
      <c r="G238" s="103"/>
      <c r="H238" s="103"/>
      <c r="I238" s="103"/>
      <c r="J238" s="103"/>
      <c r="K238" s="103"/>
      <c r="L238" s="103"/>
      <c r="M238" s="103"/>
      <c r="N238" s="103"/>
    </row>
    <row r="239" spans="1:14" ht="14.25">
      <c r="A239" s="103"/>
      <c r="B239" s="103"/>
      <c r="C239" s="103"/>
      <c r="D239" s="103"/>
      <c r="E239" s="103"/>
      <c r="F239" s="103"/>
      <c r="G239" s="103"/>
      <c r="H239" s="103"/>
      <c r="I239" s="103"/>
      <c r="J239" s="103"/>
      <c r="K239" s="103"/>
      <c r="L239" s="103"/>
      <c r="M239" s="103"/>
      <c r="N239" s="103"/>
    </row>
    <row r="240" spans="1:14" ht="14.25">
      <c r="A240" s="103"/>
      <c r="B240" s="103"/>
      <c r="C240" s="103"/>
      <c r="D240" s="103"/>
      <c r="E240" s="103"/>
      <c r="F240" s="103"/>
      <c r="G240" s="103"/>
      <c r="H240" s="103"/>
      <c r="I240" s="103"/>
      <c r="J240" s="103"/>
      <c r="K240" s="103"/>
      <c r="L240" s="103"/>
      <c r="M240" s="103"/>
      <c r="N240" s="103"/>
    </row>
  </sheetData>
  <mergeCells count="42">
    <mergeCell ref="A26:N27"/>
    <mergeCell ref="A6:N21"/>
    <mergeCell ref="A25:N25"/>
    <mergeCell ref="A22:C24"/>
    <mergeCell ref="A2:C5"/>
    <mergeCell ref="D2:J5"/>
    <mergeCell ref="K2:L2"/>
    <mergeCell ref="M2:N2"/>
    <mergeCell ref="K3:L3"/>
    <mergeCell ref="M3:N3"/>
    <mergeCell ref="K4:L4"/>
    <mergeCell ref="M4:N4"/>
    <mergeCell ref="K5:L5"/>
    <mergeCell ref="M5:N5"/>
    <mergeCell ref="J22:N24"/>
    <mergeCell ref="D22:E22"/>
    <mergeCell ref="C28:D28"/>
    <mergeCell ref="E28:J28"/>
    <mergeCell ref="K28:N28"/>
    <mergeCell ref="C29:D29"/>
    <mergeCell ref="E29:J29"/>
    <mergeCell ref="K29:N29"/>
    <mergeCell ref="C30:D30"/>
    <mergeCell ref="E30:J30"/>
    <mergeCell ref="K30:N30"/>
    <mergeCell ref="C31:D31"/>
    <mergeCell ref="E31:J31"/>
    <mergeCell ref="K31:N31"/>
    <mergeCell ref="C34:D34"/>
    <mergeCell ref="E34:J34"/>
    <mergeCell ref="K34:N34"/>
    <mergeCell ref="C32:D32"/>
    <mergeCell ref="E32:J32"/>
    <mergeCell ref="K32:N32"/>
    <mergeCell ref="C33:D33"/>
    <mergeCell ref="E33:J33"/>
    <mergeCell ref="K33:N33"/>
    <mergeCell ref="F22:G22"/>
    <mergeCell ref="H22:I22"/>
    <mergeCell ref="D23:E24"/>
    <mergeCell ref="F23:G24"/>
    <mergeCell ref="H23:I24"/>
  </mergeCells>
  <printOptions horizontalCentered="1"/>
  <pageMargins left="0" right="0" top="0.25" bottom="0" header="0" footer="0"/>
  <pageSetup paperSize="9" scale="90" orientation="landscape" r:id="rId1"/>
  <headerFooter>
    <oddHeader>&amp;C&amp;G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S29"/>
  <sheetViews>
    <sheetView showGridLines="0" view="pageBreakPreview" topLeftCell="C19" zoomScale="160" zoomScaleSheetLayoutView="160" workbookViewId="0">
      <selection activeCell="D6" sqref="D6:I10"/>
    </sheetView>
  </sheetViews>
  <sheetFormatPr defaultRowHeight="15"/>
  <cols>
    <col min="1" max="1" width="0.77734375" style="1" customWidth="1"/>
    <col min="2" max="2" width="6.77734375" style="1" customWidth="1"/>
    <col min="3" max="3" width="10" style="1" bestFit="1" customWidth="1"/>
    <col min="4" max="4" width="6.21875" style="1" customWidth="1"/>
    <col min="5" max="5" width="7.21875" style="1" customWidth="1"/>
    <col min="6" max="7" width="8.21875" style="1" customWidth="1"/>
    <col min="8" max="8" width="6.77734375" style="1" customWidth="1"/>
    <col min="9" max="9" width="8.6640625" style="1" customWidth="1"/>
    <col min="10" max="10" width="0.88671875" style="1" customWidth="1"/>
    <col min="11" max="11" width="3.88671875" style="1" customWidth="1"/>
    <col min="12" max="12" width="8.44140625" style="1" customWidth="1"/>
    <col min="13" max="13" width="8" style="1" customWidth="1"/>
    <col min="14" max="14" width="13" style="1" customWidth="1"/>
    <col min="15" max="15" width="10.77734375" style="1" customWidth="1"/>
    <col min="16" max="16" width="12.44140625" style="1" bestFit="1" customWidth="1"/>
    <col min="17" max="17" width="7.44140625" style="1" customWidth="1"/>
    <col min="18" max="18" width="3.77734375" style="1" customWidth="1"/>
    <col min="19" max="19" width="0.6640625" style="1" customWidth="1"/>
    <col min="20" max="256" width="8.88671875" style="1"/>
    <col min="257" max="257" width="0.77734375" style="1" customWidth="1"/>
    <col min="258" max="258" width="6.77734375" style="1" customWidth="1"/>
    <col min="259" max="259" width="10" style="1" bestFit="1" customWidth="1"/>
    <col min="260" max="261" width="4.44140625" style="1" customWidth="1"/>
    <col min="262" max="262" width="7.88671875" style="1" customWidth="1"/>
    <col min="263" max="263" width="10.6640625" style="1" bestFit="1" customWidth="1"/>
    <col min="264" max="265" width="6.77734375" style="1" customWidth="1"/>
    <col min="266" max="266" width="0.88671875" style="1" customWidth="1"/>
    <col min="267" max="267" width="3.88671875" style="1" customWidth="1"/>
    <col min="268" max="268" width="8.44140625" style="1" customWidth="1"/>
    <col min="269" max="269" width="8" style="1" customWidth="1"/>
    <col min="270" max="270" width="14.77734375" style="1" customWidth="1"/>
    <col min="271" max="271" width="10.77734375" style="1" customWidth="1"/>
    <col min="272" max="272" width="12.44140625" style="1" bestFit="1" customWidth="1"/>
    <col min="273" max="273" width="7.44140625" style="1" customWidth="1"/>
    <col min="274" max="274" width="3.77734375" style="1" customWidth="1"/>
    <col min="275" max="275" width="0.6640625" style="1" customWidth="1"/>
    <col min="276" max="512" width="8.88671875" style="1"/>
    <col min="513" max="513" width="0.77734375" style="1" customWidth="1"/>
    <col min="514" max="514" width="6.77734375" style="1" customWidth="1"/>
    <col min="515" max="515" width="10" style="1" bestFit="1" customWidth="1"/>
    <col min="516" max="517" width="4.44140625" style="1" customWidth="1"/>
    <col min="518" max="518" width="7.88671875" style="1" customWidth="1"/>
    <col min="519" max="519" width="10.6640625" style="1" bestFit="1" customWidth="1"/>
    <col min="520" max="521" width="6.77734375" style="1" customWidth="1"/>
    <col min="522" max="522" width="0.88671875" style="1" customWidth="1"/>
    <col min="523" max="523" width="3.88671875" style="1" customWidth="1"/>
    <col min="524" max="524" width="8.44140625" style="1" customWidth="1"/>
    <col min="525" max="525" width="8" style="1" customWidth="1"/>
    <col min="526" max="526" width="14.77734375" style="1" customWidth="1"/>
    <col min="527" max="527" width="10.77734375" style="1" customWidth="1"/>
    <col min="528" max="528" width="12.44140625" style="1" bestFit="1" customWidth="1"/>
    <col min="529" max="529" width="7.44140625" style="1" customWidth="1"/>
    <col min="530" max="530" width="3.77734375" style="1" customWidth="1"/>
    <col min="531" max="531" width="0.6640625" style="1" customWidth="1"/>
    <col min="532" max="768" width="8.88671875" style="1"/>
    <col min="769" max="769" width="0.77734375" style="1" customWidth="1"/>
    <col min="770" max="770" width="6.77734375" style="1" customWidth="1"/>
    <col min="771" max="771" width="10" style="1" bestFit="1" customWidth="1"/>
    <col min="772" max="773" width="4.44140625" style="1" customWidth="1"/>
    <col min="774" max="774" width="7.88671875" style="1" customWidth="1"/>
    <col min="775" max="775" width="10.6640625" style="1" bestFit="1" customWidth="1"/>
    <col min="776" max="777" width="6.77734375" style="1" customWidth="1"/>
    <col min="778" max="778" width="0.88671875" style="1" customWidth="1"/>
    <col min="779" max="779" width="3.88671875" style="1" customWidth="1"/>
    <col min="780" max="780" width="8.44140625" style="1" customWidth="1"/>
    <col min="781" max="781" width="8" style="1" customWidth="1"/>
    <col min="782" max="782" width="14.77734375" style="1" customWidth="1"/>
    <col min="783" max="783" width="10.77734375" style="1" customWidth="1"/>
    <col min="784" max="784" width="12.44140625" style="1" bestFit="1" customWidth="1"/>
    <col min="785" max="785" width="7.44140625" style="1" customWidth="1"/>
    <col min="786" max="786" width="3.77734375" style="1" customWidth="1"/>
    <col min="787" max="787" width="0.6640625" style="1" customWidth="1"/>
    <col min="788" max="1024" width="8.88671875" style="1"/>
    <col min="1025" max="1025" width="0.77734375" style="1" customWidth="1"/>
    <col min="1026" max="1026" width="6.77734375" style="1" customWidth="1"/>
    <col min="1027" max="1027" width="10" style="1" bestFit="1" customWidth="1"/>
    <col min="1028" max="1029" width="4.44140625" style="1" customWidth="1"/>
    <col min="1030" max="1030" width="7.88671875" style="1" customWidth="1"/>
    <col min="1031" max="1031" width="10.6640625" style="1" bestFit="1" customWidth="1"/>
    <col min="1032" max="1033" width="6.77734375" style="1" customWidth="1"/>
    <col min="1034" max="1034" width="0.88671875" style="1" customWidth="1"/>
    <col min="1035" max="1035" width="3.88671875" style="1" customWidth="1"/>
    <col min="1036" max="1036" width="8.44140625" style="1" customWidth="1"/>
    <col min="1037" max="1037" width="8" style="1" customWidth="1"/>
    <col min="1038" max="1038" width="14.77734375" style="1" customWidth="1"/>
    <col min="1039" max="1039" width="10.77734375" style="1" customWidth="1"/>
    <col min="1040" max="1040" width="12.44140625" style="1" bestFit="1" customWidth="1"/>
    <col min="1041" max="1041" width="7.44140625" style="1" customWidth="1"/>
    <col min="1042" max="1042" width="3.77734375" style="1" customWidth="1"/>
    <col min="1043" max="1043" width="0.6640625" style="1" customWidth="1"/>
    <col min="1044" max="1280" width="8.88671875" style="1"/>
    <col min="1281" max="1281" width="0.77734375" style="1" customWidth="1"/>
    <col min="1282" max="1282" width="6.77734375" style="1" customWidth="1"/>
    <col min="1283" max="1283" width="10" style="1" bestFit="1" customWidth="1"/>
    <col min="1284" max="1285" width="4.44140625" style="1" customWidth="1"/>
    <col min="1286" max="1286" width="7.88671875" style="1" customWidth="1"/>
    <col min="1287" max="1287" width="10.6640625" style="1" bestFit="1" customWidth="1"/>
    <col min="1288" max="1289" width="6.77734375" style="1" customWidth="1"/>
    <col min="1290" max="1290" width="0.88671875" style="1" customWidth="1"/>
    <col min="1291" max="1291" width="3.88671875" style="1" customWidth="1"/>
    <col min="1292" max="1292" width="8.44140625" style="1" customWidth="1"/>
    <col min="1293" max="1293" width="8" style="1" customWidth="1"/>
    <col min="1294" max="1294" width="14.77734375" style="1" customWidth="1"/>
    <col min="1295" max="1295" width="10.77734375" style="1" customWidth="1"/>
    <col min="1296" max="1296" width="12.44140625" style="1" bestFit="1" customWidth="1"/>
    <col min="1297" max="1297" width="7.44140625" style="1" customWidth="1"/>
    <col min="1298" max="1298" width="3.77734375" style="1" customWidth="1"/>
    <col min="1299" max="1299" width="0.6640625" style="1" customWidth="1"/>
    <col min="1300" max="1536" width="8.88671875" style="1"/>
    <col min="1537" max="1537" width="0.77734375" style="1" customWidth="1"/>
    <col min="1538" max="1538" width="6.77734375" style="1" customWidth="1"/>
    <col min="1539" max="1539" width="10" style="1" bestFit="1" customWidth="1"/>
    <col min="1540" max="1541" width="4.44140625" style="1" customWidth="1"/>
    <col min="1542" max="1542" width="7.88671875" style="1" customWidth="1"/>
    <col min="1543" max="1543" width="10.6640625" style="1" bestFit="1" customWidth="1"/>
    <col min="1544" max="1545" width="6.77734375" style="1" customWidth="1"/>
    <col min="1546" max="1546" width="0.88671875" style="1" customWidth="1"/>
    <col min="1547" max="1547" width="3.88671875" style="1" customWidth="1"/>
    <col min="1548" max="1548" width="8.44140625" style="1" customWidth="1"/>
    <col min="1549" max="1549" width="8" style="1" customWidth="1"/>
    <col min="1550" max="1550" width="14.77734375" style="1" customWidth="1"/>
    <col min="1551" max="1551" width="10.77734375" style="1" customWidth="1"/>
    <col min="1552" max="1552" width="12.44140625" style="1" bestFit="1" customWidth="1"/>
    <col min="1553" max="1553" width="7.44140625" style="1" customWidth="1"/>
    <col min="1554" max="1554" width="3.77734375" style="1" customWidth="1"/>
    <col min="1555" max="1555" width="0.6640625" style="1" customWidth="1"/>
    <col min="1556" max="1792" width="8.88671875" style="1"/>
    <col min="1793" max="1793" width="0.77734375" style="1" customWidth="1"/>
    <col min="1794" max="1794" width="6.77734375" style="1" customWidth="1"/>
    <col min="1795" max="1795" width="10" style="1" bestFit="1" customWidth="1"/>
    <col min="1796" max="1797" width="4.44140625" style="1" customWidth="1"/>
    <col min="1798" max="1798" width="7.88671875" style="1" customWidth="1"/>
    <col min="1799" max="1799" width="10.6640625" style="1" bestFit="1" customWidth="1"/>
    <col min="1800" max="1801" width="6.77734375" style="1" customWidth="1"/>
    <col min="1802" max="1802" width="0.88671875" style="1" customWidth="1"/>
    <col min="1803" max="1803" width="3.88671875" style="1" customWidth="1"/>
    <col min="1804" max="1804" width="8.44140625" style="1" customWidth="1"/>
    <col min="1805" max="1805" width="8" style="1" customWidth="1"/>
    <col min="1806" max="1806" width="14.77734375" style="1" customWidth="1"/>
    <col min="1807" max="1807" width="10.77734375" style="1" customWidth="1"/>
    <col min="1808" max="1808" width="12.44140625" style="1" bestFit="1" customWidth="1"/>
    <col min="1809" max="1809" width="7.44140625" style="1" customWidth="1"/>
    <col min="1810" max="1810" width="3.77734375" style="1" customWidth="1"/>
    <col min="1811" max="1811" width="0.6640625" style="1" customWidth="1"/>
    <col min="1812" max="2048" width="8.88671875" style="1"/>
    <col min="2049" max="2049" width="0.77734375" style="1" customWidth="1"/>
    <col min="2050" max="2050" width="6.77734375" style="1" customWidth="1"/>
    <col min="2051" max="2051" width="10" style="1" bestFit="1" customWidth="1"/>
    <col min="2052" max="2053" width="4.44140625" style="1" customWidth="1"/>
    <col min="2054" max="2054" width="7.88671875" style="1" customWidth="1"/>
    <col min="2055" max="2055" width="10.6640625" style="1" bestFit="1" customWidth="1"/>
    <col min="2056" max="2057" width="6.77734375" style="1" customWidth="1"/>
    <col min="2058" max="2058" width="0.88671875" style="1" customWidth="1"/>
    <col min="2059" max="2059" width="3.88671875" style="1" customWidth="1"/>
    <col min="2060" max="2060" width="8.44140625" style="1" customWidth="1"/>
    <col min="2061" max="2061" width="8" style="1" customWidth="1"/>
    <col min="2062" max="2062" width="14.77734375" style="1" customWidth="1"/>
    <col min="2063" max="2063" width="10.77734375" style="1" customWidth="1"/>
    <col min="2064" max="2064" width="12.44140625" style="1" bestFit="1" customWidth="1"/>
    <col min="2065" max="2065" width="7.44140625" style="1" customWidth="1"/>
    <col min="2066" max="2066" width="3.77734375" style="1" customWidth="1"/>
    <col min="2067" max="2067" width="0.6640625" style="1" customWidth="1"/>
    <col min="2068" max="2304" width="8.88671875" style="1"/>
    <col min="2305" max="2305" width="0.77734375" style="1" customWidth="1"/>
    <col min="2306" max="2306" width="6.77734375" style="1" customWidth="1"/>
    <col min="2307" max="2307" width="10" style="1" bestFit="1" customWidth="1"/>
    <col min="2308" max="2309" width="4.44140625" style="1" customWidth="1"/>
    <col min="2310" max="2310" width="7.88671875" style="1" customWidth="1"/>
    <col min="2311" max="2311" width="10.6640625" style="1" bestFit="1" customWidth="1"/>
    <col min="2312" max="2313" width="6.77734375" style="1" customWidth="1"/>
    <col min="2314" max="2314" width="0.88671875" style="1" customWidth="1"/>
    <col min="2315" max="2315" width="3.88671875" style="1" customWidth="1"/>
    <col min="2316" max="2316" width="8.44140625" style="1" customWidth="1"/>
    <col min="2317" max="2317" width="8" style="1" customWidth="1"/>
    <col min="2318" max="2318" width="14.77734375" style="1" customWidth="1"/>
    <col min="2319" max="2319" width="10.77734375" style="1" customWidth="1"/>
    <col min="2320" max="2320" width="12.44140625" style="1" bestFit="1" customWidth="1"/>
    <col min="2321" max="2321" width="7.44140625" style="1" customWidth="1"/>
    <col min="2322" max="2322" width="3.77734375" style="1" customWidth="1"/>
    <col min="2323" max="2323" width="0.6640625" style="1" customWidth="1"/>
    <col min="2324" max="2560" width="8.88671875" style="1"/>
    <col min="2561" max="2561" width="0.77734375" style="1" customWidth="1"/>
    <col min="2562" max="2562" width="6.77734375" style="1" customWidth="1"/>
    <col min="2563" max="2563" width="10" style="1" bestFit="1" customWidth="1"/>
    <col min="2564" max="2565" width="4.44140625" style="1" customWidth="1"/>
    <col min="2566" max="2566" width="7.88671875" style="1" customWidth="1"/>
    <col min="2567" max="2567" width="10.6640625" style="1" bestFit="1" customWidth="1"/>
    <col min="2568" max="2569" width="6.77734375" style="1" customWidth="1"/>
    <col min="2570" max="2570" width="0.88671875" style="1" customWidth="1"/>
    <col min="2571" max="2571" width="3.88671875" style="1" customWidth="1"/>
    <col min="2572" max="2572" width="8.44140625" style="1" customWidth="1"/>
    <col min="2573" max="2573" width="8" style="1" customWidth="1"/>
    <col min="2574" max="2574" width="14.77734375" style="1" customWidth="1"/>
    <col min="2575" max="2575" width="10.77734375" style="1" customWidth="1"/>
    <col min="2576" max="2576" width="12.44140625" style="1" bestFit="1" customWidth="1"/>
    <col min="2577" max="2577" width="7.44140625" style="1" customWidth="1"/>
    <col min="2578" max="2578" width="3.77734375" style="1" customWidth="1"/>
    <col min="2579" max="2579" width="0.6640625" style="1" customWidth="1"/>
    <col min="2580" max="2816" width="8.88671875" style="1"/>
    <col min="2817" max="2817" width="0.77734375" style="1" customWidth="1"/>
    <col min="2818" max="2818" width="6.77734375" style="1" customWidth="1"/>
    <col min="2819" max="2819" width="10" style="1" bestFit="1" customWidth="1"/>
    <col min="2820" max="2821" width="4.44140625" style="1" customWidth="1"/>
    <col min="2822" max="2822" width="7.88671875" style="1" customWidth="1"/>
    <col min="2823" max="2823" width="10.6640625" style="1" bestFit="1" customWidth="1"/>
    <col min="2824" max="2825" width="6.77734375" style="1" customWidth="1"/>
    <col min="2826" max="2826" width="0.88671875" style="1" customWidth="1"/>
    <col min="2827" max="2827" width="3.88671875" style="1" customWidth="1"/>
    <col min="2828" max="2828" width="8.44140625" style="1" customWidth="1"/>
    <col min="2829" max="2829" width="8" style="1" customWidth="1"/>
    <col min="2830" max="2830" width="14.77734375" style="1" customWidth="1"/>
    <col min="2831" max="2831" width="10.77734375" style="1" customWidth="1"/>
    <col min="2832" max="2832" width="12.44140625" style="1" bestFit="1" customWidth="1"/>
    <col min="2833" max="2833" width="7.44140625" style="1" customWidth="1"/>
    <col min="2834" max="2834" width="3.77734375" style="1" customWidth="1"/>
    <col min="2835" max="2835" width="0.6640625" style="1" customWidth="1"/>
    <col min="2836" max="3072" width="8.88671875" style="1"/>
    <col min="3073" max="3073" width="0.77734375" style="1" customWidth="1"/>
    <col min="3074" max="3074" width="6.77734375" style="1" customWidth="1"/>
    <col min="3075" max="3075" width="10" style="1" bestFit="1" customWidth="1"/>
    <col min="3076" max="3077" width="4.44140625" style="1" customWidth="1"/>
    <col min="3078" max="3078" width="7.88671875" style="1" customWidth="1"/>
    <col min="3079" max="3079" width="10.6640625" style="1" bestFit="1" customWidth="1"/>
    <col min="3080" max="3081" width="6.77734375" style="1" customWidth="1"/>
    <col min="3082" max="3082" width="0.88671875" style="1" customWidth="1"/>
    <col min="3083" max="3083" width="3.88671875" style="1" customWidth="1"/>
    <col min="3084" max="3084" width="8.44140625" style="1" customWidth="1"/>
    <col min="3085" max="3085" width="8" style="1" customWidth="1"/>
    <col min="3086" max="3086" width="14.77734375" style="1" customWidth="1"/>
    <col min="3087" max="3087" width="10.77734375" style="1" customWidth="1"/>
    <col min="3088" max="3088" width="12.44140625" style="1" bestFit="1" customWidth="1"/>
    <col min="3089" max="3089" width="7.44140625" style="1" customWidth="1"/>
    <col min="3090" max="3090" width="3.77734375" style="1" customWidth="1"/>
    <col min="3091" max="3091" width="0.6640625" style="1" customWidth="1"/>
    <col min="3092" max="3328" width="8.88671875" style="1"/>
    <col min="3329" max="3329" width="0.77734375" style="1" customWidth="1"/>
    <col min="3330" max="3330" width="6.77734375" style="1" customWidth="1"/>
    <col min="3331" max="3331" width="10" style="1" bestFit="1" customWidth="1"/>
    <col min="3332" max="3333" width="4.44140625" style="1" customWidth="1"/>
    <col min="3334" max="3334" width="7.88671875" style="1" customWidth="1"/>
    <col min="3335" max="3335" width="10.6640625" style="1" bestFit="1" customWidth="1"/>
    <col min="3336" max="3337" width="6.77734375" style="1" customWidth="1"/>
    <col min="3338" max="3338" width="0.88671875" style="1" customWidth="1"/>
    <col min="3339" max="3339" width="3.88671875" style="1" customWidth="1"/>
    <col min="3340" max="3340" width="8.44140625" style="1" customWidth="1"/>
    <col min="3341" max="3341" width="8" style="1" customWidth="1"/>
    <col min="3342" max="3342" width="14.77734375" style="1" customWidth="1"/>
    <col min="3343" max="3343" width="10.77734375" style="1" customWidth="1"/>
    <col min="3344" max="3344" width="12.44140625" style="1" bestFit="1" customWidth="1"/>
    <col min="3345" max="3345" width="7.44140625" style="1" customWidth="1"/>
    <col min="3346" max="3346" width="3.77734375" style="1" customWidth="1"/>
    <col min="3347" max="3347" width="0.6640625" style="1" customWidth="1"/>
    <col min="3348" max="3584" width="8.88671875" style="1"/>
    <col min="3585" max="3585" width="0.77734375" style="1" customWidth="1"/>
    <col min="3586" max="3586" width="6.77734375" style="1" customWidth="1"/>
    <col min="3587" max="3587" width="10" style="1" bestFit="1" customWidth="1"/>
    <col min="3588" max="3589" width="4.44140625" style="1" customWidth="1"/>
    <col min="3590" max="3590" width="7.88671875" style="1" customWidth="1"/>
    <col min="3591" max="3591" width="10.6640625" style="1" bestFit="1" customWidth="1"/>
    <col min="3592" max="3593" width="6.77734375" style="1" customWidth="1"/>
    <col min="3594" max="3594" width="0.88671875" style="1" customWidth="1"/>
    <col min="3595" max="3595" width="3.88671875" style="1" customWidth="1"/>
    <col min="3596" max="3596" width="8.44140625" style="1" customWidth="1"/>
    <col min="3597" max="3597" width="8" style="1" customWidth="1"/>
    <col min="3598" max="3598" width="14.77734375" style="1" customWidth="1"/>
    <col min="3599" max="3599" width="10.77734375" style="1" customWidth="1"/>
    <col min="3600" max="3600" width="12.44140625" style="1" bestFit="1" customWidth="1"/>
    <col min="3601" max="3601" width="7.44140625" style="1" customWidth="1"/>
    <col min="3602" max="3602" width="3.77734375" style="1" customWidth="1"/>
    <col min="3603" max="3603" width="0.6640625" style="1" customWidth="1"/>
    <col min="3604" max="3840" width="8.88671875" style="1"/>
    <col min="3841" max="3841" width="0.77734375" style="1" customWidth="1"/>
    <col min="3842" max="3842" width="6.77734375" style="1" customWidth="1"/>
    <col min="3843" max="3843" width="10" style="1" bestFit="1" customWidth="1"/>
    <col min="3844" max="3845" width="4.44140625" style="1" customWidth="1"/>
    <col min="3846" max="3846" width="7.88671875" style="1" customWidth="1"/>
    <col min="3847" max="3847" width="10.6640625" style="1" bestFit="1" customWidth="1"/>
    <col min="3848" max="3849" width="6.77734375" style="1" customWidth="1"/>
    <col min="3850" max="3850" width="0.88671875" style="1" customWidth="1"/>
    <col min="3851" max="3851" width="3.88671875" style="1" customWidth="1"/>
    <col min="3852" max="3852" width="8.44140625" style="1" customWidth="1"/>
    <col min="3853" max="3853" width="8" style="1" customWidth="1"/>
    <col min="3854" max="3854" width="14.77734375" style="1" customWidth="1"/>
    <col min="3855" max="3855" width="10.77734375" style="1" customWidth="1"/>
    <col min="3856" max="3856" width="12.44140625" style="1" bestFit="1" customWidth="1"/>
    <col min="3857" max="3857" width="7.44140625" style="1" customWidth="1"/>
    <col min="3858" max="3858" width="3.77734375" style="1" customWidth="1"/>
    <col min="3859" max="3859" width="0.6640625" style="1" customWidth="1"/>
    <col min="3860" max="4096" width="8.88671875" style="1"/>
    <col min="4097" max="4097" width="0.77734375" style="1" customWidth="1"/>
    <col min="4098" max="4098" width="6.77734375" style="1" customWidth="1"/>
    <col min="4099" max="4099" width="10" style="1" bestFit="1" customWidth="1"/>
    <col min="4100" max="4101" width="4.44140625" style="1" customWidth="1"/>
    <col min="4102" max="4102" width="7.88671875" style="1" customWidth="1"/>
    <col min="4103" max="4103" width="10.6640625" style="1" bestFit="1" customWidth="1"/>
    <col min="4104" max="4105" width="6.77734375" style="1" customWidth="1"/>
    <col min="4106" max="4106" width="0.88671875" style="1" customWidth="1"/>
    <col min="4107" max="4107" width="3.88671875" style="1" customWidth="1"/>
    <col min="4108" max="4108" width="8.44140625" style="1" customWidth="1"/>
    <col min="4109" max="4109" width="8" style="1" customWidth="1"/>
    <col min="4110" max="4110" width="14.77734375" style="1" customWidth="1"/>
    <col min="4111" max="4111" width="10.77734375" style="1" customWidth="1"/>
    <col min="4112" max="4112" width="12.44140625" style="1" bestFit="1" customWidth="1"/>
    <col min="4113" max="4113" width="7.44140625" style="1" customWidth="1"/>
    <col min="4114" max="4114" width="3.77734375" style="1" customWidth="1"/>
    <col min="4115" max="4115" width="0.6640625" style="1" customWidth="1"/>
    <col min="4116" max="4352" width="8.88671875" style="1"/>
    <col min="4353" max="4353" width="0.77734375" style="1" customWidth="1"/>
    <col min="4354" max="4354" width="6.77734375" style="1" customWidth="1"/>
    <col min="4355" max="4355" width="10" style="1" bestFit="1" customWidth="1"/>
    <col min="4356" max="4357" width="4.44140625" style="1" customWidth="1"/>
    <col min="4358" max="4358" width="7.88671875" style="1" customWidth="1"/>
    <col min="4359" max="4359" width="10.6640625" style="1" bestFit="1" customWidth="1"/>
    <col min="4360" max="4361" width="6.77734375" style="1" customWidth="1"/>
    <col min="4362" max="4362" width="0.88671875" style="1" customWidth="1"/>
    <col min="4363" max="4363" width="3.88671875" style="1" customWidth="1"/>
    <col min="4364" max="4364" width="8.44140625" style="1" customWidth="1"/>
    <col min="4365" max="4365" width="8" style="1" customWidth="1"/>
    <col min="4366" max="4366" width="14.77734375" style="1" customWidth="1"/>
    <col min="4367" max="4367" width="10.77734375" style="1" customWidth="1"/>
    <col min="4368" max="4368" width="12.44140625" style="1" bestFit="1" customWidth="1"/>
    <col min="4369" max="4369" width="7.44140625" style="1" customWidth="1"/>
    <col min="4370" max="4370" width="3.77734375" style="1" customWidth="1"/>
    <col min="4371" max="4371" width="0.6640625" style="1" customWidth="1"/>
    <col min="4372" max="4608" width="8.88671875" style="1"/>
    <col min="4609" max="4609" width="0.77734375" style="1" customWidth="1"/>
    <col min="4610" max="4610" width="6.77734375" style="1" customWidth="1"/>
    <col min="4611" max="4611" width="10" style="1" bestFit="1" customWidth="1"/>
    <col min="4612" max="4613" width="4.44140625" style="1" customWidth="1"/>
    <col min="4614" max="4614" width="7.88671875" style="1" customWidth="1"/>
    <col min="4615" max="4615" width="10.6640625" style="1" bestFit="1" customWidth="1"/>
    <col min="4616" max="4617" width="6.77734375" style="1" customWidth="1"/>
    <col min="4618" max="4618" width="0.88671875" style="1" customWidth="1"/>
    <col min="4619" max="4619" width="3.88671875" style="1" customWidth="1"/>
    <col min="4620" max="4620" width="8.44140625" style="1" customWidth="1"/>
    <col min="4621" max="4621" width="8" style="1" customWidth="1"/>
    <col min="4622" max="4622" width="14.77734375" style="1" customWidth="1"/>
    <col min="4623" max="4623" width="10.77734375" style="1" customWidth="1"/>
    <col min="4624" max="4624" width="12.44140625" style="1" bestFit="1" customWidth="1"/>
    <col min="4625" max="4625" width="7.44140625" style="1" customWidth="1"/>
    <col min="4626" max="4626" width="3.77734375" style="1" customWidth="1"/>
    <col min="4627" max="4627" width="0.6640625" style="1" customWidth="1"/>
    <col min="4628" max="4864" width="8.88671875" style="1"/>
    <col min="4865" max="4865" width="0.77734375" style="1" customWidth="1"/>
    <col min="4866" max="4866" width="6.77734375" style="1" customWidth="1"/>
    <col min="4867" max="4867" width="10" style="1" bestFit="1" customWidth="1"/>
    <col min="4868" max="4869" width="4.44140625" style="1" customWidth="1"/>
    <col min="4870" max="4870" width="7.88671875" style="1" customWidth="1"/>
    <col min="4871" max="4871" width="10.6640625" style="1" bestFit="1" customWidth="1"/>
    <col min="4872" max="4873" width="6.77734375" style="1" customWidth="1"/>
    <col min="4874" max="4874" width="0.88671875" style="1" customWidth="1"/>
    <col min="4875" max="4875" width="3.88671875" style="1" customWidth="1"/>
    <col min="4876" max="4876" width="8.44140625" style="1" customWidth="1"/>
    <col min="4877" max="4877" width="8" style="1" customWidth="1"/>
    <col min="4878" max="4878" width="14.77734375" style="1" customWidth="1"/>
    <col min="4879" max="4879" width="10.77734375" style="1" customWidth="1"/>
    <col min="4880" max="4880" width="12.44140625" style="1" bestFit="1" customWidth="1"/>
    <col min="4881" max="4881" width="7.44140625" style="1" customWidth="1"/>
    <col min="4882" max="4882" width="3.77734375" style="1" customWidth="1"/>
    <col min="4883" max="4883" width="0.6640625" style="1" customWidth="1"/>
    <col min="4884" max="5120" width="8.88671875" style="1"/>
    <col min="5121" max="5121" width="0.77734375" style="1" customWidth="1"/>
    <col min="5122" max="5122" width="6.77734375" style="1" customWidth="1"/>
    <col min="5123" max="5123" width="10" style="1" bestFit="1" customWidth="1"/>
    <col min="5124" max="5125" width="4.44140625" style="1" customWidth="1"/>
    <col min="5126" max="5126" width="7.88671875" style="1" customWidth="1"/>
    <col min="5127" max="5127" width="10.6640625" style="1" bestFit="1" customWidth="1"/>
    <col min="5128" max="5129" width="6.77734375" style="1" customWidth="1"/>
    <col min="5130" max="5130" width="0.88671875" style="1" customWidth="1"/>
    <col min="5131" max="5131" width="3.88671875" style="1" customWidth="1"/>
    <col min="5132" max="5132" width="8.44140625" style="1" customWidth="1"/>
    <col min="5133" max="5133" width="8" style="1" customWidth="1"/>
    <col min="5134" max="5134" width="14.77734375" style="1" customWidth="1"/>
    <col min="5135" max="5135" width="10.77734375" style="1" customWidth="1"/>
    <col min="5136" max="5136" width="12.44140625" style="1" bestFit="1" customWidth="1"/>
    <col min="5137" max="5137" width="7.44140625" style="1" customWidth="1"/>
    <col min="5138" max="5138" width="3.77734375" style="1" customWidth="1"/>
    <col min="5139" max="5139" width="0.6640625" style="1" customWidth="1"/>
    <col min="5140" max="5376" width="8.88671875" style="1"/>
    <col min="5377" max="5377" width="0.77734375" style="1" customWidth="1"/>
    <col min="5378" max="5378" width="6.77734375" style="1" customWidth="1"/>
    <col min="5379" max="5379" width="10" style="1" bestFit="1" customWidth="1"/>
    <col min="5380" max="5381" width="4.44140625" style="1" customWidth="1"/>
    <col min="5382" max="5382" width="7.88671875" style="1" customWidth="1"/>
    <col min="5383" max="5383" width="10.6640625" style="1" bestFit="1" customWidth="1"/>
    <col min="5384" max="5385" width="6.77734375" style="1" customWidth="1"/>
    <col min="5386" max="5386" width="0.88671875" style="1" customWidth="1"/>
    <col min="5387" max="5387" width="3.88671875" style="1" customWidth="1"/>
    <col min="5388" max="5388" width="8.44140625" style="1" customWidth="1"/>
    <col min="5389" max="5389" width="8" style="1" customWidth="1"/>
    <col min="5390" max="5390" width="14.77734375" style="1" customWidth="1"/>
    <col min="5391" max="5391" width="10.77734375" style="1" customWidth="1"/>
    <col min="5392" max="5392" width="12.44140625" style="1" bestFit="1" customWidth="1"/>
    <col min="5393" max="5393" width="7.44140625" style="1" customWidth="1"/>
    <col min="5394" max="5394" width="3.77734375" style="1" customWidth="1"/>
    <col min="5395" max="5395" width="0.6640625" style="1" customWidth="1"/>
    <col min="5396" max="5632" width="8.88671875" style="1"/>
    <col min="5633" max="5633" width="0.77734375" style="1" customWidth="1"/>
    <col min="5634" max="5634" width="6.77734375" style="1" customWidth="1"/>
    <col min="5635" max="5635" width="10" style="1" bestFit="1" customWidth="1"/>
    <col min="5636" max="5637" width="4.44140625" style="1" customWidth="1"/>
    <col min="5638" max="5638" width="7.88671875" style="1" customWidth="1"/>
    <col min="5639" max="5639" width="10.6640625" style="1" bestFit="1" customWidth="1"/>
    <col min="5640" max="5641" width="6.77734375" style="1" customWidth="1"/>
    <col min="5642" max="5642" width="0.88671875" style="1" customWidth="1"/>
    <col min="5643" max="5643" width="3.88671875" style="1" customWidth="1"/>
    <col min="5644" max="5644" width="8.44140625" style="1" customWidth="1"/>
    <col min="5645" max="5645" width="8" style="1" customWidth="1"/>
    <col min="5646" max="5646" width="14.77734375" style="1" customWidth="1"/>
    <col min="5647" max="5647" width="10.77734375" style="1" customWidth="1"/>
    <col min="5648" max="5648" width="12.44140625" style="1" bestFit="1" customWidth="1"/>
    <col min="5649" max="5649" width="7.44140625" style="1" customWidth="1"/>
    <col min="5650" max="5650" width="3.77734375" style="1" customWidth="1"/>
    <col min="5651" max="5651" width="0.6640625" style="1" customWidth="1"/>
    <col min="5652" max="5888" width="8.88671875" style="1"/>
    <col min="5889" max="5889" width="0.77734375" style="1" customWidth="1"/>
    <col min="5890" max="5890" width="6.77734375" style="1" customWidth="1"/>
    <col min="5891" max="5891" width="10" style="1" bestFit="1" customWidth="1"/>
    <col min="5892" max="5893" width="4.44140625" style="1" customWidth="1"/>
    <col min="5894" max="5894" width="7.88671875" style="1" customWidth="1"/>
    <col min="5895" max="5895" width="10.6640625" style="1" bestFit="1" customWidth="1"/>
    <col min="5896" max="5897" width="6.77734375" style="1" customWidth="1"/>
    <col min="5898" max="5898" width="0.88671875" style="1" customWidth="1"/>
    <col min="5899" max="5899" width="3.88671875" style="1" customWidth="1"/>
    <col min="5900" max="5900" width="8.44140625" style="1" customWidth="1"/>
    <col min="5901" max="5901" width="8" style="1" customWidth="1"/>
    <col min="5902" max="5902" width="14.77734375" style="1" customWidth="1"/>
    <col min="5903" max="5903" width="10.77734375" style="1" customWidth="1"/>
    <col min="5904" max="5904" width="12.44140625" style="1" bestFit="1" customWidth="1"/>
    <col min="5905" max="5905" width="7.44140625" style="1" customWidth="1"/>
    <col min="5906" max="5906" width="3.77734375" style="1" customWidth="1"/>
    <col min="5907" max="5907" width="0.6640625" style="1" customWidth="1"/>
    <col min="5908" max="6144" width="8.88671875" style="1"/>
    <col min="6145" max="6145" width="0.77734375" style="1" customWidth="1"/>
    <col min="6146" max="6146" width="6.77734375" style="1" customWidth="1"/>
    <col min="6147" max="6147" width="10" style="1" bestFit="1" customWidth="1"/>
    <col min="6148" max="6149" width="4.44140625" style="1" customWidth="1"/>
    <col min="6150" max="6150" width="7.88671875" style="1" customWidth="1"/>
    <col min="6151" max="6151" width="10.6640625" style="1" bestFit="1" customWidth="1"/>
    <col min="6152" max="6153" width="6.77734375" style="1" customWidth="1"/>
    <col min="6154" max="6154" width="0.88671875" style="1" customWidth="1"/>
    <col min="6155" max="6155" width="3.88671875" style="1" customWidth="1"/>
    <col min="6156" max="6156" width="8.44140625" style="1" customWidth="1"/>
    <col min="6157" max="6157" width="8" style="1" customWidth="1"/>
    <col min="6158" max="6158" width="14.77734375" style="1" customWidth="1"/>
    <col min="6159" max="6159" width="10.77734375" style="1" customWidth="1"/>
    <col min="6160" max="6160" width="12.44140625" style="1" bestFit="1" customWidth="1"/>
    <col min="6161" max="6161" width="7.44140625" style="1" customWidth="1"/>
    <col min="6162" max="6162" width="3.77734375" style="1" customWidth="1"/>
    <col min="6163" max="6163" width="0.6640625" style="1" customWidth="1"/>
    <col min="6164" max="6400" width="8.88671875" style="1"/>
    <col min="6401" max="6401" width="0.77734375" style="1" customWidth="1"/>
    <col min="6402" max="6402" width="6.77734375" style="1" customWidth="1"/>
    <col min="6403" max="6403" width="10" style="1" bestFit="1" customWidth="1"/>
    <col min="6404" max="6405" width="4.44140625" style="1" customWidth="1"/>
    <col min="6406" max="6406" width="7.88671875" style="1" customWidth="1"/>
    <col min="6407" max="6407" width="10.6640625" style="1" bestFit="1" customWidth="1"/>
    <col min="6408" max="6409" width="6.77734375" style="1" customWidth="1"/>
    <col min="6410" max="6410" width="0.88671875" style="1" customWidth="1"/>
    <col min="6411" max="6411" width="3.88671875" style="1" customWidth="1"/>
    <col min="6412" max="6412" width="8.44140625" style="1" customWidth="1"/>
    <col min="6413" max="6413" width="8" style="1" customWidth="1"/>
    <col min="6414" max="6414" width="14.77734375" style="1" customWidth="1"/>
    <col min="6415" max="6415" width="10.77734375" style="1" customWidth="1"/>
    <col min="6416" max="6416" width="12.44140625" style="1" bestFit="1" customWidth="1"/>
    <col min="6417" max="6417" width="7.44140625" style="1" customWidth="1"/>
    <col min="6418" max="6418" width="3.77734375" style="1" customWidth="1"/>
    <col min="6419" max="6419" width="0.6640625" style="1" customWidth="1"/>
    <col min="6420" max="6656" width="8.88671875" style="1"/>
    <col min="6657" max="6657" width="0.77734375" style="1" customWidth="1"/>
    <col min="6658" max="6658" width="6.77734375" style="1" customWidth="1"/>
    <col min="6659" max="6659" width="10" style="1" bestFit="1" customWidth="1"/>
    <col min="6660" max="6661" width="4.44140625" style="1" customWidth="1"/>
    <col min="6662" max="6662" width="7.88671875" style="1" customWidth="1"/>
    <col min="6663" max="6663" width="10.6640625" style="1" bestFit="1" customWidth="1"/>
    <col min="6664" max="6665" width="6.77734375" style="1" customWidth="1"/>
    <col min="6666" max="6666" width="0.88671875" style="1" customWidth="1"/>
    <col min="6667" max="6667" width="3.88671875" style="1" customWidth="1"/>
    <col min="6668" max="6668" width="8.44140625" style="1" customWidth="1"/>
    <col min="6669" max="6669" width="8" style="1" customWidth="1"/>
    <col min="6670" max="6670" width="14.77734375" style="1" customWidth="1"/>
    <col min="6671" max="6671" width="10.77734375" style="1" customWidth="1"/>
    <col min="6672" max="6672" width="12.44140625" style="1" bestFit="1" customWidth="1"/>
    <col min="6673" max="6673" width="7.44140625" style="1" customWidth="1"/>
    <col min="6674" max="6674" width="3.77734375" style="1" customWidth="1"/>
    <col min="6675" max="6675" width="0.6640625" style="1" customWidth="1"/>
    <col min="6676" max="6912" width="8.88671875" style="1"/>
    <col min="6913" max="6913" width="0.77734375" style="1" customWidth="1"/>
    <col min="6914" max="6914" width="6.77734375" style="1" customWidth="1"/>
    <col min="6915" max="6915" width="10" style="1" bestFit="1" customWidth="1"/>
    <col min="6916" max="6917" width="4.44140625" style="1" customWidth="1"/>
    <col min="6918" max="6918" width="7.88671875" style="1" customWidth="1"/>
    <col min="6919" max="6919" width="10.6640625" style="1" bestFit="1" customWidth="1"/>
    <col min="6920" max="6921" width="6.77734375" style="1" customWidth="1"/>
    <col min="6922" max="6922" width="0.88671875" style="1" customWidth="1"/>
    <col min="6923" max="6923" width="3.88671875" style="1" customWidth="1"/>
    <col min="6924" max="6924" width="8.44140625" style="1" customWidth="1"/>
    <col min="6925" max="6925" width="8" style="1" customWidth="1"/>
    <col min="6926" max="6926" width="14.77734375" style="1" customWidth="1"/>
    <col min="6927" max="6927" width="10.77734375" style="1" customWidth="1"/>
    <col min="6928" max="6928" width="12.44140625" style="1" bestFit="1" customWidth="1"/>
    <col min="6929" max="6929" width="7.44140625" style="1" customWidth="1"/>
    <col min="6930" max="6930" width="3.77734375" style="1" customWidth="1"/>
    <col min="6931" max="6931" width="0.6640625" style="1" customWidth="1"/>
    <col min="6932" max="7168" width="8.88671875" style="1"/>
    <col min="7169" max="7169" width="0.77734375" style="1" customWidth="1"/>
    <col min="7170" max="7170" width="6.77734375" style="1" customWidth="1"/>
    <col min="7171" max="7171" width="10" style="1" bestFit="1" customWidth="1"/>
    <col min="7172" max="7173" width="4.44140625" style="1" customWidth="1"/>
    <col min="7174" max="7174" width="7.88671875" style="1" customWidth="1"/>
    <col min="7175" max="7175" width="10.6640625" style="1" bestFit="1" customWidth="1"/>
    <col min="7176" max="7177" width="6.77734375" style="1" customWidth="1"/>
    <col min="7178" max="7178" width="0.88671875" style="1" customWidth="1"/>
    <col min="7179" max="7179" width="3.88671875" style="1" customWidth="1"/>
    <col min="7180" max="7180" width="8.44140625" style="1" customWidth="1"/>
    <col min="7181" max="7181" width="8" style="1" customWidth="1"/>
    <col min="7182" max="7182" width="14.77734375" style="1" customWidth="1"/>
    <col min="7183" max="7183" width="10.77734375" style="1" customWidth="1"/>
    <col min="7184" max="7184" width="12.44140625" style="1" bestFit="1" customWidth="1"/>
    <col min="7185" max="7185" width="7.44140625" style="1" customWidth="1"/>
    <col min="7186" max="7186" width="3.77734375" style="1" customWidth="1"/>
    <col min="7187" max="7187" width="0.6640625" style="1" customWidth="1"/>
    <col min="7188" max="7424" width="8.88671875" style="1"/>
    <col min="7425" max="7425" width="0.77734375" style="1" customWidth="1"/>
    <col min="7426" max="7426" width="6.77734375" style="1" customWidth="1"/>
    <col min="7427" max="7427" width="10" style="1" bestFit="1" customWidth="1"/>
    <col min="7428" max="7429" width="4.44140625" style="1" customWidth="1"/>
    <col min="7430" max="7430" width="7.88671875" style="1" customWidth="1"/>
    <col min="7431" max="7431" width="10.6640625" style="1" bestFit="1" customWidth="1"/>
    <col min="7432" max="7433" width="6.77734375" style="1" customWidth="1"/>
    <col min="7434" max="7434" width="0.88671875" style="1" customWidth="1"/>
    <col min="7435" max="7435" width="3.88671875" style="1" customWidth="1"/>
    <col min="7436" max="7436" width="8.44140625" style="1" customWidth="1"/>
    <col min="7437" max="7437" width="8" style="1" customWidth="1"/>
    <col min="7438" max="7438" width="14.77734375" style="1" customWidth="1"/>
    <col min="7439" max="7439" width="10.77734375" style="1" customWidth="1"/>
    <col min="7440" max="7440" width="12.44140625" style="1" bestFit="1" customWidth="1"/>
    <col min="7441" max="7441" width="7.44140625" style="1" customWidth="1"/>
    <col min="7442" max="7442" width="3.77734375" style="1" customWidth="1"/>
    <col min="7443" max="7443" width="0.6640625" style="1" customWidth="1"/>
    <col min="7444" max="7680" width="8.88671875" style="1"/>
    <col min="7681" max="7681" width="0.77734375" style="1" customWidth="1"/>
    <col min="7682" max="7682" width="6.77734375" style="1" customWidth="1"/>
    <col min="7683" max="7683" width="10" style="1" bestFit="1" customWidth="1"/>
    <col min="7684" max="7685" width="4.44140625" style="1" customWidth="1"/>
    <col min="7686" max="7686" width="7.88671875" style="1" customWidth="1"/>
    <col min="7687" max="7687" width="10.6640625" style="1" bestFit="1" customWidth="1"/>
    <col min="7688" max="7689" width="6.77734375" style="1" customWidth="1"/>
    <col min="7690" max="7690" width="0.88671875" style="1" customWidth="1"/>
    <col min="7691" max="7691" width="3.88671875" style="1" customWidth="1"/>
    <col min="7692" max="7692" width="8.44140625" style="1" customWidth="1"/>
    <col min="7693" max="7693" width="8" style="1" customWidth="1"/>
    <col min="7694" max="7694" width="14.77734375" style="1" customWidth="1"/>
    <col min="7695" max="7695" width="10.77734375" style="1" customWidth="1"/>
    <col min="7696" max="7696" width="12.44140625" style="1" bestFit="1" customWidth="1"/>
    <col min="7697" max="7697" width="7.44140625" style="1" customWidth="1"/>
    <col min="7698" max="7698" width="3.77734375" style="1" customWidth="1"/>
    <col min="7699" max="7699" width="0.6640625" style="1" customWidth="1"/>
    <col min="7700" max="7936" width="8.88671875" style="1"/>
    <col min="7937" max="7937" width="0.77734375" style="1" customWidth="1"/>
    <col min="7938" max="7938" width="6.77734375" style="1" customWidth="1"/>
    <col min="7939" max="7939" width="10" style="1" bestFit="1" customWidth="1"/>
    <col min="7940" max="7941" width="4.44140625" style="1" customWidth="1"/>
    <col min="7942" max="7942" width="7.88671875" style="1" customWidth="1"/>
    <col min="7943" max="7943" width="10.6640625" style="1" bestFit="1" customWidth="1"/>
    <col min="7944" max="7945" width="6.77734375" style="1" customWidth="1"/>
    <col min="7946" max="7946" width="0.88671875" style="1" customWidth="1"/>
    <col min="7947" max="7947" width="3.88671875" style="1" customWidth="1"/>
    <col min="7948" max="7948" width="8.44140625" style="1" customWidth="1"/>
    <col min="7949" max="7949" width="8" style="1" customWidth="1"/>
    <col min="7950" max="7950" width="14.77734375" style="1" customWidth="1"/>
    <col min="7951" max="7951" width="10.77734375" style="1" customWidth="1"/>
    <col min="7952" max="7952" width="12.44140625" style="1" bestFit="1" customWidth="1"/>
    <col min="7953" max="7953" width="7.44140625" style="1" customWidth="1"/>
    <col min="7954" max="7954" width="3.77734375" style="1" customWidth="1"/>
    <col min="7955" max="7955" width="0.6640625" style="1" customWidth="1"/>
    <col min="7956" max="8192" width="8.88671875" style="1"/>
    <col min="8193" max="8193" width="0.77734375" style="1" customWidth="1"/>
    <col min="8194" max="8194" width="6.77734375" style="1" customWidth="1"/>
    <col min="8195" max="8195" width="10" style="1" bestFit="1" customWidth="1"/>
    <col min="8196" max="8197" width="4.44140625" style="1" customWidth="1"/>
    <col min="8198" max="8198" width="7.88671875" style="1" customWidth="1"/>
    <col min="8199" max="8199" width="10.6640625" style="1" bestFit="1" customWidth="1"/>
    <col min="8200" max="8201" width="6.77734375" style="1" customWidth="1"/>
    <col min="8202" max="8202" width="0.88671875" style="1" customWidth="1"/>
    <col min="8203" max="8203" width="3.88671875" style="1" customWidth="1"/>
    <col min="8204" max="8204" width="8.44140625" style="1" customWidth="1"/>
    <col min="8205" max="8205" width="8" style="1" customWidth="1"/>
    <col min="8206" max="8206" width="14.77734375" style="1" customWidth="1"/>
    <col min="8207" max="8207" width="10.77734375" style="1" customWidth="1"/>
    <col min="8208" max="8208" width="12.44140625" style="1" bestFit="1" customWidth="1"/>
    <col min="8209" max="8209" width="7.44140625" style="1" customWidth="1"/>
    <col min="8210" max="8210" width="3.77734375" style="1" customWidth="1"/>
    <col min="8211" max="8211" width="0.6640625" style="1" customWidth="1"/>
    <col min="8212" max="8448" width="8.88671875" style="1"/>
    <col min="8449" max="8449" width="0.77734375" style="1" customWidth="1"/>
    <col min="8450" max="8450" width="6.77734375" style="1" customWidth="1"/>
    <col min="8451" max="8451" width="10" style="1" bestFit="1" customWidth="1"/>
    <col min="8452" max="8453" width="4.44140625" style="1" customWidth="1"/>
    <col min="8454" max="8454" width="7.88671875" style="1" customWidth="1"/>
    <col min="8455" max="8455" width="10.6640625" style="1" bestFit="1" customWidth="1"/>
    <col min="8456" max="8457" width="6.77734375" style="1" customWidth="1"/>
    <col min="8458" max="8458" width="0.88671875" style="1" customWidth="1"/>
    <col min="8459" max="8459" width="3.88671875" style="1" customWidth="1"/>
    <col min="8460" max="8460" width="8.44140625" style="1" customWidth="1"/>
    <col min="8461" max="8461" width="8" style="1" customWidth="1"/>
    <col min="8462" max="8462" width="14.77734375" style="1" customWidth="1"/>
    <col min="8463" max="8463" width="10.77734375" style="1" customWidth="1"/>
    <col min="8464" max="8464" width="12.44140625" style="1" bestFit="1" customWidth="1"/>
    <col min="8465" max="8465" width="7.44140625" style="1" customWidth="1"/>
    <col min="8466" max="8466" width="3.77734375" style="1" customWidth="1"/>
    <col min="8467" max="8467" width="0.6640625" style="1" customWidth="1"/>
    <col min="8468" max="8704" width="8.88671875" style="1"/>
    <col min="8705" max="8705" width="0.77734375" style="1" customWidth="1"/>
    <col min="8706" max="8706" width="6.77734375" style="1" customWidth="1"/>
    <col min="8707" max="8707" width="10" style="1" bestFit="1" customWidth="1"/>
    <col min="8708" max="8709" width="4.44140625" style="1" customWidth="1"/>
    <col min="8710" max="8710" width="7.88671875" style="1" customWidth="1"/>
    <col min="8711" max="8711" width="10.6640625" style="1" bestFit="1" customWidth="1"/>
    <col min="8712" max="8713" width="6.77734375" style="1" customWidth="1"/>
    <col min="8714" max="8714" width="0.88671875" style="1" customWidth="1"/>
    <col min="8715" max="8715" width="3.88671875" style="1" customWidth="1"/>
    <col min="8716" max="8716" width="8.44140625" style="1" customWidth="1"/>
    <col min="8717" max="8717" width="8" style="1" customWidth="1"/>
    <col min="8718" max="8718" width="14.77734375" style="1" customWidth="1"/>
    <col min="8719" max="8719" width="10.77734375" style="1" customWidth="1"/>
    <col min="8720" max="8720" width="12.44140625" style="1" bestFit="1" customWidth="1"/>
    <col min="8721" max="8721" width="7.44140625" style="1" customWidth="1"/>
    <col min="8722" max="8722" width="3.77734375" style="1" customWidth="1"/>
    <col min="8723" max="8723" width="0.6640625" style="1" customWidth="1"/>
    <col min="8724" max="8960" width="8.88671875" style="1"/>
    <col min="8961" max="8961" width="0.77734375" style="1" customWidth="1"/>
    <col min="8962" max="8962" width="6.77734375" style="1" customWidth="1"/>
    <col min="8963" max="8963" width="10" style="1" bestFit="1" customWidth="1"/>
    <col min="8964" max="8965" width="4.44140625" style="1" customWidth="1"/>
    <col min="8966" max="8966" width="7.88671875" style="1" customWidth="1"/>
    <col min="8967" max="8967" width="10.6640625" style="1" bestFit="1" customWidth="1"/>
    <col min="8968" max="8969" width="6.77734375" style="1" customWidth="1"/>
    <col min="8970" max="8970" width="0.88671875" style="1" customWidth="1"/>
    <col min="8971" max="8971" width="3.88671875" style="1" customWidth="1"/>
    <col min="8972" max="8972" width="8.44140625" style="1" customWidth="1"/>
    <col min="8973" max="8973" width="8" style="1" customWidth="1"/>
    <col min="8974" max="8974" width="14.77734375" style="1" customWidth="1"/>
    <col min="8975" max="8975" width="10.77734375" style="1" customWidth="1"/>
    <col min="8976" max="8976" width="12.44140625" style="1" bestFit="1" customWidth="1"/>
    <col min="8977" max="8977" width="7.44140625" style="1" customWidth="1"/>
    <col min="8978" max="8978" width="3.77734375" style="1" customWidth="1"/>
    <col min="8979" max="8979" width="0.6640625" style="1" customWidth="1"/>
    <col min="8980" max="9216" width="8.88671875" style="1"/>
    <col min="9217" max="9217" width="0.77734375" style="1" customWidth="1"/>
    <col min="9218" max="9218" width="6.77734375" style="1" customWidth="1"/>
    <col min="9219" max="9219" width="10" style="1" bestFit="1" customWidth="1"/>
    <col min="9220" max="9221" width="4.44140625" style="1" customWidth="1"/>
    <col min="9222" max="9222" width="7.88671875" style="1" customWidth="1"/>
    <col min="9223" max="9223" width="10.6640625" style="1" bestFit="1" customWidth="1"/>
    <col min="9224" max="9225" width="6.77734375" style="1" customWidth="1"/>
    <col min="9226" max="9226" width="0.88671875" style="1" customWidth="1"/>
    <col min="9227" max="9227" width="3.88671875" style="1" customWidth="1"/>
    <col min="9228" max="9228" width="8.44140625" style="1" customWidth="1"/>
    <col min="9229" max="9229" width="8" style="1" customWidth="1"/>
    <col min="9230" max="9230" width="14.77734375" style="1" customWidth="1"/>
    <col min="9231" max="9231" width="10.77734375" style="1" customWidth="1"/>
    <col min="9232" max="9232" width="12.44140625" style="1" bestFit="1" customWidth="1"/>
    <col min="9233" max="9233" width="7.44140625" style="1" customWidth="1"/>
    <col min="9234" max="9234" width="3.77734375" style="1" customWidth="1"/>
    <col min="9235" max="9235" width="0.6640625" style="1" customWidth="1"/>
    <col min="9236" max="9472" width="8.88671875" style="1"/>
    <col min="9473" max="9473" width="0.77734375" style="1" customWidth="1"/>
    <col min="9474" max="9474" width="6.77734375" style="1" customWidth="1"/>
    <col min="9475" max="9475" width="10" style="1" bestFit="1" customWidth="1"/>
    <col min="9476" max="9477" width="4.44140625" style="1" customWidth="1"/>
    <col min="9478" max="9478" width="7.88671875" style="1" customWidth="1"/>
    <col min="9479" max="9479" width="10.6640625" style="1" bestFit="1" customWidth="1"/>
    <col min="9480" max="9481" width="6.77734375" style="1" customWidth="1"/>
    <col min="9482" max="9482" width="0.88671875" style="1" customWidth="1"/>
    <col min="9483" max="9483" width="3.88671875" style="1" customWidth="1"/>
    <col min="9484" max="9484" width="8.44140625" style="1" customWidth="1"/>
    <col min="9485" max="9485" width="8" style="1" customWidth="1"/>
    <col min="9486" max="9486" width="14.77734375" style="1" customWidth="1"/>
    <col min="9487" max="9487" width="10.77734375" style="1" customWidth="1"/>
    <col min="9488" max="9488" width="12.44140625" style="1" bestFit="1" customWidth="1"/>
    <col min="9489" max="9489" width="7.44140625" style="1" customWidth="1"/>
    <col min="9490" max="9490" width="3.77734375" style="1" customWidth="1"/>
    <col min="9491" max="9491" width="0.6640625" style="1" customWidth="1"/>
    <col min="9492" max="9728" width="8.88671875" style="1"/>
    <col min="9729" max="9729" width="0.77734375" style="1" customWidth="1"/>
    <col min="9730" max="9730" width="6.77734375" style="1" customWidth="1"/>
    <col min="9731" max="9731" width="10" style="1" bestFit="1" customWidth="1"/>
    <col min="9732" max="9733" width="4.44140625" style="1" customWidth="1"/>
    <col min="9734" max="9734" width="7.88671875" style="1" customWidth="1"/>
    <col min="9735" max="9735" width="10.6640625" style="1" bestFit="1" customWidth="1"/>
    <col min="9736" max="9737" width="6.77734375" style="1" customWidth="1"/>
    <col min="9738" max="9738" width="0.88671875" style="1" customWidth="1"/>
    <col min="9739" max="9739" width="3.88671875" style="1" customWidth="1"/>
    <col min="9740" max="9740" width="8.44140625" style="1" customWidth="1"/>
    <col min="9741" max="9741" width="8" style="1" customWidth="1"/>
    <col min="9742" max="9742" width="14.77734375" style="1" customWidth="1"/>
    <col min="9743" max="9743" width="10.77734375" style="1" customWidth="1"/>
    <col min="9744" max="9744" width="12.44140625" style="1" bestFit="1" customWidth="1"/>
    <col min="9745" max="9745" width="7.44140625" style="1" customWidth="1"/>
    <col min="9746" max="9746" width="3.77734375" style="1" customWidth="1"/>
    <col min="9747" max="9747" width="0.6640625" style="1" customWidth="1"/>
    <col min="9748" max="9984" width="8.88671875" style="1"/>
    <col min="9985" max="9985" width="0.77734375" style="1" customWidth="1"/>
    <col min="9986" max="9986" width="6.77734375" style="1" customWidth="1"/>
    <col min="9987" max="9987" width="10" style="1" bestFit="1" customWidth="1"/>
    <col min="9988" max="9989" width="4.44140625" style="1" customWidth="1"/>
    <col min="9990" max="9990" width="7.88671875" style="1" customWidth="1"/>
    <col min="9991" max="9991" width="10.6640625" style="1" bestFit="1" customWidth="1"/>
    <col min="9992" max="9993" width="6.77734375" style="1" customWidth="1"/>
    <col min="9994" max="9994" width="0.88671875" style="1" customWidth="1"/>
    <col min="9995" max="9995" width="3.88671875" style="1" customWidth="1"/>
    <col min="9996" max="9996" width="8.44140625" style="1" customWidth="1"/>
    <col min="9997" max="9997" width="8" style="1" customWidth="1"/>
    <col min="9998" max="9998" width="14.77734375" style="1" customWidth="1"/>
    <col min="9999" max="9999" width="10.77734375" style="1" customWidth="1"/>
    <col min="10000" max="10000" width="12.44140625" style="1" bestFit="1" customWidth="1"/>
    <col min="10001" max="10001" width="7.44140625" style="1" customWidth="1"/>
    <col min="10002" max="10002" width="3.77734375" style="1" customWidth="1"/>
    <col min="10003" max="10003" width="0.6640625" style="1" customWidth="1"/>
    <col min="10004" max="10240" width="8.88671875" style="1"/>
    <col min="10241" max="10241" width="0.77734375" style="1" customWidth="1"/>
    <col min="10242" max="10242" width="6.77734375" style="1" customWidth="1"/>
    <col min="10243" max="10243" width="10" style="1" bestFit="1" customWidth="1"/>
    <col min="10244" max="10245" width="4.44140625" style="1" customWidth="1"/>
    <col min="10246" max="10246" width="7.88671875" style="1" customWidth="1"/>
    <col min="10247" max="10247" width="10.6640625" style="1" bestFit="1" customWidth="1"/>
    <col min="10248" max="10249" width="6.77734375" style="1" customWidth="1"/>
    <col min="10250" max="10250" width="0.88671875" style="1" customWidth="1"/>
    <col min="10251" max="10251" width="3.88671875" style="1" customWidth="1"/>
    <col min="10252" max="10252" width="8.44140625" style="1" customWidth="1"/>
    <col min="10253" max="10253" width="8" style="1" customWidth="1"/>
    <col min="10254" max="10254" width="14.77734375" style="1" customWidth="1"/>
    <col min="10255" max="10255" width="10.77734375" style="1" customWidth="1"/>
    <col min="10256" max="10256" width="12.44140625" style="1" bestFit="1" customWidth="1"/>
    <col min="10257" max="10257" width="7.44140625" style="1" customWidth="1"/>
    <col min="10258" max="10258" width="3.77734375" style="1" customWidth="1"/>
    <col min="10259" max="10259" width="0.6640625" style="1" customWidth="1"/>
    <col min="10260" max="10496" width="8.88671875" style="1"/>
    <col min="10497" max="10497" width="0.77734375" style="1" customWidth="1"/>
    <col min="10498" max="10498" width="6.77734375" style="1" customWidth="1"/>
    <col min="10499" max="10499" width="10" style="1" bestFit="1" customWidth="1"/>
    <col min="10500" max="10501" width="4.44140625" style="1" customWidth="1"/>
    <col min="10502" max="10502" width="7.88671875" style="1" customWidth="1"/>
    <col min="10503" max="10503" width="10.6640625" style="1" bestFit="1" customWidth="1"/>
    <col min="10504" max="10505" width="6.77734375" style="1" customWidth="1"/>
    <col min="10506" max="10506" width="0.88671875" style="1" customWidth="1"/>
    <col min="10507" max="10507" width="3.88671875" style="1" customWidth="1"/>
    <col min="10508" max="10508" width="8.44140625" style="1" customWidth="1"/>
    <col min="10509" max="10509" width="8" style="1" customWidth="1"/>
    <col min="10510" max="10510" width="14.77734375" style="1" customWidth="1"/>
    <col min="10511" max="10511" width="10.77734375" style="1" customWidth="1"/>
    <col min="10512" max="10512" width="12.44140625" style="1" bestFit="1" customWidth="1"/>
    <col min="10513" max="10513" width="7.44140625" style="1" customWidth="1"/>
    <col min="10514" max="10514" width="3.77734375" style="1" customWidth="1"/>
    <col min="10515" max="10515" width="0.6640625" style="1" customWidth="1"/>
    <col min="10516" max="10752" width="8.88671875" style="1"/>
    <col min="10753" max="10753" width="0.77734375" style="1" customWidth="1"/>
    <col min="10754" max="10754" width="6.77734375" style="1" customWidth="1"/>
    <col min="10755" max="10755" width="10" style="1" bestFit="1" customWidth="1"/>
    <col min="10756" max="10757" width="4.44140625" style="1" customWidth="1"/>
    <col min="10758" max="10758" width="7.88671875" style="1" customWidth="1"/>
    <col min="10759" max="10759" width="10.6640625" style="1" bestFit="1" customWidth="1"/>
    <col min="10760" max="10761" width="6.77734375" style="1" customWidth="1"/>
    <col min="10762" max="10762" width="0.88671875" style="1" customWidth="1"/>
    <col min="10763" max="10763" width="3.88671875" style="1" customWidth="1"/>
    <col min="10764" max="10764" width="8.44140625" style="1" customWidth="1"/>
    <col min="10765" max="10765" width="8" style="1" customWidth="1"/>
    <col min="10766" max="10766" width="14.77734375" style="1" customWidth="1"/>
    <col min="10767" max="10767" width="10.77734375" style="1" customWidth="1"/>
    <col min="10768" max="10768" width="12.44140625" style="1" bestFit="1" customWidth="1"/>
    <col min="10769" max="10769" width="7.44140625" style="1" customWidth="1"/>
    <col min="10770" max="10770" width="3.77734375" style="1" customWidth="1"/>
    <col min="10771" max="10771" width="0.6640625" style="1" customWidth="1"/>
    <col min="10772" max="11008" width="8.88671875" style="1"/>
    <col min="11009" max="11009" width="0.77734375" style="1" customWidth="1"/>
    <col min="11010" max="11010" width="6.77734375" style="1" customWidth="1"/>
    <col min="11011" max="11011" width="10" style="1" bestFit="1" customWidth="1"/>
    <col min="11012" max="11013" width="4.44140625" style="1" customWidth="1"/>
    <col min="11014" max="11014" width="7.88671875" style="1" customWidth="1"/>
    <col min="11015" max="11015" width="10.6640625" style="1" bestFit="1" customWidth="1"/>
    <col min="11016" max="11017" width="6.77734375" style="1" customWidth="1"/>
    <col min="11018" max="11018" width="0.88671875" style="1" customWidth="1"/>
    <col min="11019" max="11019" width="3.88671875" style="1" customWidth="1"/>
    <col min="11020" max="11020" width="8.44140625" style="1" customWidth="1"/>
    <col min="11021" max="11021" width="8" style="1" customWidth="1"/>
    <col min="11022" max="11022" width="14.77734375" style="1" customWidth="1"/>
    <col min="11023" max="11023" width="10.77734375" style="1" customWidth="1"/>
    <col min="11024" max="11024" width="12.44140625" style="1" bestFit="1" customWidth="1"/>
    <col min="11025" max="11025" width="7.44140625" style="1" customWidth="1"/>
    <col min="11026" max="11026" width="3.77734375" style="1" customWidth="1"/>
    <col min="11027" max="11027" width="0.6640625" style="1" customWidth="1"/>
    <col min="11028" max="11264" width="8.88671875" style="1"/>
    <col min="11265" max="11265" width="0.77734375" style="1" customWidth="1"/>
    <col min="11266" max="11266" width="6.77734375" style="1" customWidth="1"/>
    <col min="11267" max="11267" width="10" style="1" bestFit="1" customWidth="1"/>
    <col min="11268" max="11269" width="4.44140625" style="1" customWidth="1"/>
    <col min="11270" max="11270" width="7.88671875" style="1" customWidth="1"/>
    <col min="11271" max="11271" width="10.6640625" style="1" bestFit="1" customWidth="1"/>
    <col min="11272" max="11273" width="6.77734375" style="1" customWidth="1"/>
    <col min="11274" max="11274" width="0.88671875" style="1" customWidth="1"/>
    <col min="11275" max="11275" width="3.88671875" style="1" customWidth="1"/>
    <col min="11276" max="11276" width="8.44140625" style="1" customWidth="1"/>
    <col min="11277" max="11277" width="8" style="1" customWidth="1"/>
    <col min="11278" max="11278" width="14.77734375" style="1" customWidth="1"/>
    <col min="11279" max="11279" width="10.77734375" style="1" customWidth="1"/>
    <col min="11280" max="11280" width="12.44140625" style="1" bestFit="1" customWidth="1"/>
    <col min="11281" max="11281" width="7.44140625" style="1" customWidth="1"/>
    <col min="11282" max="11282" width="3.77734375" style="1" customWidth="1"/>
    <col min="11283" max="11283" width="0.6640625" style="1" customWidth="1"/>
    <col min="11284" max="11520" width="8.88671875" style="1"/>
    <col min="11521" max="11521" width="0.77734375" style="1" customWidth="1"/>
    <col min="11522" max="11522" width="6.77734375" style="1" customWidth="1"/>
    <col min="11523" max="11523" width="10" style="1" bestFit="1" customWidth="1"/>
    <col min="11524" max="11525" width="4.44140625" style="1" customWidth="1"/>
    <col min="11526" max="11526" width="7.88671875" style="1" customWidth="1"/>
    <col min="11527" max="11527" width="10.6640625" style="1" bestFit="1" customWidth="1"/>
    <col min="11528" max="11529" width="6.77734375" style="1" customWidth="1"/>
    <col min="11530" max="11530" width="0.88671875" style="1" customWidth="1"/>
    <col min="11531" max="11531" width="3.88671875" style="1" customWidth="1"/>
    <col min="11532" max="11532" width="8.44140625" style="1" customWidth="1"/>
    <col min="11533" max="11533" width="8" style="1" customWidth="1"/>
    <col min="11534" max="11534" width="14.77734375" style="1" customWidth="1"/>
    <col min="11535" max="11535" width="10.77734375" style="1" customWidth="1"/>
    <col min="11536" max="11536" width="12.44140625" style="1" bestFit="1" customWidth="1"/>
    <col min="11537" max="11537" width="7.44140625" style="1" customWidth="1"/>
    <col min="11538" max="11538" width="3.77734375" style="1" customWidth="1"/>
    <col min="11539" max="11539" width="0.6640625" style="1" customWidth="1"/>
    <col min="11540" max="11776" width="8.88671875" style="1"/>
    <col min="11777" max="11777" width="0.77734375" style="1" customWidth="1"/>
    <col min="11778" max="11778" width="6.77734375" style="1" customWidth="1"/>
    <col min="11779" max="11779" width="10" style="1" bestFit="1" customWidth="1"/>
    <col min="11780" max="11781" width="4.44140625" style="1" customWidth="1"/>
    <col min="11782" max="11782" width="7.88671875" style="1" customWidth="1"/>
    <col min="11783" max="11783" width="10.6640625" style="1" bestFit="1" customWidth="1"/>
    <col min="11784" max="11785" width="6.77734375" style="1" customWidth="1"/>
    <col min="11786" max="11786" width="0.88671875" style="1" customWidth="1"/>
    <col min="11787" max="11787" width="3.88671875" style="1" customWidth="1"/>
    <col min="11788" max="11788" width="8.44140625" style="1" customWidth="1"/>
    <col min="11789" max="11789" width="8" style="1" customWidth="1"/>
    <col min="11790" max="11790" width="14.77734375" style="1" customWidth="1"/>
    <col min="11791" max="11791" width="10.77734375" style="1" customWidth="1"/>
    <col min="11792" max="11792" width="12.44140625" style="1" bestFit="1" customWidth="1"/>
    <col min="11793" max="11793" width="7.44140625" style="1" customWidth="1"/>
    <col min="11794" max="11794" width="3.77734375" style="1" customWidth="1"/>
    <col min="11795" max="11795" width="0.6640625" style="1" customWidth="1"/>
    <col min="11796" max="12032" width="8.88671875" style="1"/>
    <col min="12033" max="12033" width="0.77734375" style="1" customWidth="1"/>
    <col min="12034" max="12034" width="6.77734375" style="1" customWidth="1"/>
    <col min="12035" max="12035" width="10" style="1" bestFit="1" customWidth="1"/>
    <col min="12036" max="12037" width="4.44140625" style="1" customWidth="1"/>
    <col min="12038" max="12038" width="7.88671875" style="1" customWidth="1"/>
    <col min="12039" max="12039" width="10.6640625" style="1" bestFit="1" customWidth="1"/>
    <col min="12040" max="12041" width="6.77734375" style="1" customWidth="1"/>
    <col min="12042" max="12042" width="0.88671875" style="1" customWidth="1"/>
    <col min="12043" max="12043" width="3.88671875" style="1" customWidth="1"/>
    <col min="12044" max="12044" width="8.44140625" style="1" customWidth="1"/>
    <col min="12045" max="12045" width="8" style="1" customWidth="1"/>
    <col min="12046" max="12046" width="14.77734375" style="1" customWidth="1"/>
    <col min="12047" max="12047" width="10.77734375" style="1" customWidth="1"/>
    <col min="12048" max="12048" width="12.44140625" style="1" bestFit="1" customWidth="1"/>
    <col min="12049" max="12049" width="7.44140625" style="1" customWidth="1"/>
    <col min="12050" max="12050" width="3.77734375" style="1" customWidth="1"/>
    <col min="12051" max="12051" width="0.6640625" style="1" customWidth="1"/>
    <col min="12052" max="12288" width="8.88671875" style="1"/>
    <col min="12289" max="12289" width="0.77734375" style="1" customWidth="1"/>
    <col min="12290" max="12290" width="6.77734375" style="1" customWidth="1"/>
    <col min="12291" max="12291" width="10" style="1" bestFit="1" customWidth="1"/>
    <col min="12292" max="12293" width="4.44140625" style="1" customWidth="1"/>
    <col min="12294" max="12294" width="7.88671875" style="1" customWidth="1"/>
    <col min="12295" max="12295" width="10.6640625" style="1" bestFit="1" customWidth="1"/>
    <col min="12296" max="12297" width="6.77734375" style="1" customWidth="1"/>
    <col min="12298" max="12298" width="0.88671875" style="1" customWidth="1"/>
    <col min="12299" max="12299" width="3.88671875" style="1" customWidth="1"/>
    <col min="12300" max="12300" width="8.44140625" style="1" customWidth="1"/>
    <col min="12301" max="12301" width="8" style="1" customWidth="1"/>
    <col min="12302" max="12302" width="14.77734375" style="1" customWidth="1"/>
    <col min="12303" max="12303" width="10.77734375" style="1" customWidth="1"/>
    <col min="12304" max="12304" width="12.44140625" style="1" bestFit="1" customWidth="1"/>
    <col min="12305" max="12305" width="7.44140625" style="1" customWidth="1"/>
    <col min="12306" max="12306" width="3.77734375" style="1" customWidth="1"/>
    <col min="12307" max="12307" width="0.6640625" style="1" customWidth="1"/>
    <col min="12308" max="12544" width="8.88671875" style="1"/>
    <col min="12545" max="12545" width="0.77734375" style="1" customWidth="1"/>
    <col min="12546" max="12546" width="6.77734375" style="1" customWidth="1"/>
    <col min="12547" max="12547" width="10" style="1" bestFit="1" customWidth="1"/>
    <col min="12548" max="12549" width="4.44140625" style="1" customWidth="1"/>
    <col min="12550" max="12550" width="7.88671875" style="1" customWidth="1"/>
    <col min="12551" max="12551" width="10.6640625" style="1" bestFit="1" customWidth="1"/>
    <col min="12552" max="12553" width="6.77734375" style="1" customWidth="1"/>
    <col min="12554" max="12554" width="0.88671875" style="1" customWidth="1"/>
    <col min="12555" max="12555" width="3.88671875" style="1" customWidth="1"/>
    <col min="12556" max="12556" width="8.44140625" style="1" customWidth="1"/>
    <col min="12557" max="12557" width="8" style="1" customWidth="1"/>
    <col min="12558" max="12558" width="14.77734375" style="1" customWidth="1"/>
    <col min="12559" max="12559" width="10.77734375" style="1" customWidth="1"/>
    <col min="12560" max="12560" width="12.44140625" style="1" bestFit="1" customWidth="1"/>
    <col min="12561" max="12561" width="7.44140625" style="1" customWidth="1"/>
    <col min="12562" max="12562" width="3.77734375" style="1" customWidth="1"/>
    <col min="12563" max="12563" width="0.6640625" style="1" customWidth="1"/>
    <col min="12564" max="12800" width="8.88671875" style="1"/>
    <col min="12801" max="12801" width="0.77734375" style="1" customWidth="1"/>
    <col min="12802" max="12802" width="6.77734375" style="1" customWidth="1"/>
    <col min="12803" max="12803" width="10" style="1" bestFit="1" customWidth="1"/>
    <col min="12804" max="12805" width="4.44140625" style="1" customWidth="1"/>
    <col min="12806" max="12806" width="7.88671875" style="1" customWidth="1"/>
    <col min="12807" max="12807" width="10.6640625" style="1" bestFit="1" customWidth="1"/>
    <col min="12808" max="12809" width="6.77734375" style="1" customWidth="1"/>
    <col min="12810" max="12810" width="0.88671875" style="1" customWidth="1"/>
    <col min="12811" max="12811" width="3.88671875" style="1" customWidth="1"/>
    <col min="12812" max="12812" width="8.44140625" style="1" customWidth="1"/>
    <col min="12813" max="12813" width="8" style="1" customWidth="1"/>
    <col min="12814" max="12814" width="14.77734375" style="1" customWidth="1"/>
    <col min="12815" max="12815" width="10.77734375" style="1" customWidth="1"/>
    <col min="12816" max="12816" width="12.44140625" style="1" bestFit="1" customWidth="1"/>
    <col min="12817" max="12817" width="7.44140625" style="1" customWidth="1"/>
    <col min="12818" max="12818" width="3.77734375" style="1" customWidth="1"/>
    <col min="12819" max="12819" width="0.6640625" style="1" customWidth="1"/>
    <col min="12820" max="13056" width="8.88671875" style="1"/>
    <col min="13057" max="13057" width="0.77734375" style="1" customWidth="1"/>
    <col min="13058" max="13058" width="6.77734375" style="1" customWidth="1"/>
    <col min="13059" max="13059" width="10" style="1" bestFit="1" customWidth="1"/>
    <col min="13060" max="13061" width="4.44140625" style="1" customWidth="1"/>
    <col min="13062" max="13062" width="7.88671875" style="1" customWidth="1"/>
    <col min="13063" max="13063" width="10.6640625" style="1" bestFit="1" customWidth="1"/>
    <col min="13064" max="13065" width="6.77734375" style="1" customWidth="1"/>
    <col min="13066" max="13066" width="0.88671875" style="1" customWidth="1"/>
    <col min="13067" max="13067" width="3.88671875" style="1" customWidth="1"/>
    <col min="13068" max="13068" width="8.44140625" style="1" customWidth="1"/>
    <col min="13069" max="13069" width="8" style="1" customWidth="1"/>
    <col min="13070" max="13070" width="14.77734375" style="1" customWidth="1"/>
    <col min="13071" max="13071" width="10.77734375" style="1" customWidth="1"/>
    <col min="13072" max="13072" width="12.44140625" style="1" bestFit="1" customWidth="1"/>
    <col min="13073" max="13073" width="7.44140625" style="1" customWidth="1"/>
    <col min="13074" max="13074" width="3.77734375" style="1" customWidth="1"/>
    <col min="13075" max="13075" width="0.6640625" style="1" customWidth="1"/>
    <col min="13076" max="13312" width="8.88671875" style="1"/>
    <col min="13313" max="13313" width="0.77734375" style="1" customWidth="1"/>
    <col min="13314" max="13314" width="6.77734375" style="1" customWidth="1"/>
    <col min="13315" max="13315" width="10" style="1" bestFit="1" customWidth="1"/>
    <col min="13316" max="13317" width="4.44140625" style="1" customWidth="1"/>
    <col min="13318" max="13318" width="7.88671875" style="1" customWidth="1"/>
    <col min="13319" max="13319" width="10.6640625" style="1" bestFit="1" customWidth="1"/>
    <col min="13320" max="13321" width="6.77734375" style="1" customWidth="1"/>
    <col min="13322" max="13322" width="0.88671875" style="1" customWidth="1"/>
    <col min="13323" max="13323" width="3.88671875" style="1" customWidth="1"/>
    <col min="13324" max="13324" width="8.44140625" style="1" customWidth="1"/>
    <col min="13325" max="13325" width="8" style="1" customWidth="1"/>
    <col min="13326" max="13326" width="14.77734375" style="1" customWidth="1"/>
    <col min="13327" max="13327" width="10.77734375" style="1" customWidth="1"/>
    <col min="13328" max="13328" width="12.44140625" style="1" bestFit="1" customWidth="1"/>
    <col min="13329" max="13329" width="7.44140625" style="1" customWidth="1"/>
    <col min="13330" max="13330" width="3.77734375" style="1" customWidth="1"/>
    <col min="13331" max="13331" width="0.6640625" style="1" customWidth="1"/>
    <col min="13332" max="13568" width="8.88671875" style="1"/>
    <col min="13569" max="13569" width="0.77734375" style="1" customWidth="1"/>
    <col min="13570" max="13570" width="6.77734375" style="1" customWidth="1"/>
    <col min="13571" max="13571" width="10" style="1" bestFit="1" customWidth="1"/>
    <col min="13572" max="13573" width="4.44140625" style="1" customWidth="1"/>
    <col min="13574" max="13574" width="7.88671875" style="1" customWidth="1"/>
    <col min="13575" max="13575" width="10.6640625" style="1" bestFit="1" customWidth="1"/>
    <col min="13576" max="13577" width="6.77734375" style="1" customWidth="1"/>
    <col min="13578" max="13578" width="0.88671875" style="1" customWidth="1"/>
    <col min="13579" max="13579" width="3.88671875" style="1" customWidth="1"/>
    <col min="13580" max="13580" width="8.44140625" style="1" customWidth="1"/>
    <col min="13581" max="13581" width="8" style="1" customWidth="1"/>
    <col min="13582" max="13582" width="14.77734375" style="1" customWidth="1"/>
    <col min="13583" max="13583" width="10.77734375" style="1" customWidth="1"/>
    <col min="13584" max="13584" width="12.44140625" style="1" bestFit="1" customWidth="1"/>
    <col min="13585" max="13585" width="7.44140625" style="1" customWidth="1"/>
    <col min="13586" max="13586" width="3.77734375" style="1" customWidth="1"/>
    <col min="13587" max="13587" width="0.6640625" style="1" customWidth="1"/>
    <col min="13588" max="13824" width="8.88671875" style="1"/>
    <col min="13825" max="13825" width="0.77734375" style="1" customWidth="1"/>
    <col min="13826" max="13826" width="6.77734375" style="1" customWidth="1"/>
    <col min="13827" max="13827" width="10" style="1" bestFit="1" customWidth="1"/>
    <col min="13828" max="13829" width="4.44140625" style="1" customWidth="1"/>
    <col min="13830" max="13830" width="7.88671875" style="1" customWidth="1"/>
    <col min="13831" max="13831" width="10.6640625" style="1" bestFit="1" customWidth="1"/>
    <col min="13832" max="13833" width="6.77734375" style="1" customWidth="1"/>
    <col min="13834" max="13834" width="0.88671875" style="1" customWidth="1"/>
    <col min="13835" max="13835" width="3.88671875" style="1" customWidth="1"/>
    <col min="13836" max="13836" width="8.44140625" style="1" customWidth="1"/>
    <col min="13837" max="13837" width="8" style="1" customWidth="1"/>
    <col min="13838" max="13838" width="14.77734375" style="1" customWidth="1"/>
    <col min="13839" max="13839" width="10.77734375" style="1" customWidth="1"/>
    <col min="13840" max="13840" width="12.44140625" style="1" bestFit="1" customWidth="1"/>
    <col min="13841" max="13841" width="7.44140625" style="1" customWidth="1"/>
    <col min="13842" max="13842" width="3.77734375" style="1" customWidth="1"/>
    <col min="13843" max="13843" width="0.6640625" style="1" customWidth="1"/>
    <col min="13844" max="14080" width="8.88671875" style="1"/>
    <col min="14081" max="14081" width="0.77734375" style="1" customWidth="1"/>
    <col min="14082" max="14082" width="6.77734375" style="1" customWidth="1"/>
    <col min="14083" max="14083" width="10" style="1" bestFit="1" customWidth="1"/>
    <col min="14084" max="14085" width="4.44140625" style="1" customWidth="1"/>
    <col min="14086" max="14086" width="7.88671875" style="1" customWidth="1"/>
    <col min="14087" max="14087" width="10.6640625" style="1" bestFit="1" customWidth="1"/>
    <col min="14088" max="14089" width="6.77734375" style="1" customWidth="1"/>
    <col min="14090" max="14090" width="0.88671875" style="1" customWidth="1"/>
    <col min="14091" max="14091" width="3.88671875" style="1" customWidth="1"/>
    <col min="14092" max="14092" width="8.44140625" style="1" customWidth="1"/>
    <col min="14093" max="14093" width="8" style="1" customWidth="1"/>
    <col min="14094" max="14094" width="14.77734375" style="1" customWidth="1"/>
    <col min="14095" max="14095" width="10.77734375" style="1" customWidth="1"/>
    <col min="14096" max="14096" width="12.44140625" style="1" bestFit="1" customWidth="1"/>
    <col min="14097" max="14097" width="7.44140625" style="1" customWidth="1"/>
    <col min="14098" max="14098" width="3.77734375" style="1" customWidth="1"/>
    <col min="14099" max="14099" width="0.6640625" style="1" customWidth="1"/>
    <col min="14100" max="14336" width="8.88671875" style="1"/>
    <col min="14337" max="14337" width="0.77734375" style="1" customWidth="1"/>
    <col min="14338" max="14338" width="6.77734375" style="1" customWidth="1"/>
    <col min="14339" max="14339" width="10" style="1" bestFit="1" customWidth="1"/>
    <col min="14340" max="14341" width="4.44140625" style="1" customWidth="1"/>
    <col min="14342" max="14342" width="7.88671875" style="1" customWidth="1"/>
    <col min="14343" max="14343" width="10.6640625" style="1" bestFit="1" customWidth="1"/>
    <col min="14344" max="14345" width="6.77734375" style="1" customWidth="1"/>
    <col min="14346" max="14346" width="0.88671875" style="1" customWidth="1"/>
    <col min="14347" max="14347" width="3.88671875" style="1" customWidth="1"/>
    <col min="14348" max="14348" width="8.44140625" style="1" customWidth="1"/>
    <col min="14349" max="14349" width="8" style="1" customWidth="1"/>
    <col min="14350" max="14350" width="14.77734375" style="1" customWidth="1"/>
    <col min="14351" max="14351" width="10.77734375" style="1" customWidth="1"/>
    <col min="14352" max="14352" width="12.44140625" style="1" bestFit="1" customWidth="1"/>
    <col min="14353" max="14353" width="7.44140625" style="1" customWidth="1"/>
    <col min="14354" max="14354" width="3.77734375" style="1" customWidth="1"/>
    <col min="14355" max="14355" width="0.6640625" style="1" customWidth="1"/>
    <col min="14356" max="14592" width="8.88671875" style="1"/>
    <col min="14593" max="14593" width="0.77734375" style="1" customWidth="1"/>
    <col min="14594" max="14594" width="6.77734375" style="1" customWidth="1"/>
    <col min="14595" max="14595" width="10" style="1" bestFit="1" customWidth="1"/>
    <col min="14596" max="14597" width="4.44140625" style="1" customWidth="1"/>
    <col min="14598" max="14598" width="7.88671875" style="1" customWidth="1"/>
    <col min="14599" max="14599" width="10.6640625" style="1" bestFit="1" customWidth="1"/>
    <col min="14600" max="14601" width="6.77734375" style="1" customWidth="1"/>
    <col min="14602" max="14602" width="0.88671875" style="1" customWidth="1"/>
    <col min="14603" max="14603" width="3.88671875" style="1" customWidth="1"/>
    <col min="14604" max="14604" width="8.44140625" style="1" customWidth="1"/>
    <col min="14605" max="14605" width="8" style="1" customWidth="1"/>
    <col min="14606" max="14606" width="14.77734375" style="1" customWidth="1"/>
    <col min="14607" max="14607" width="10.77734375" style="1" customWidth="1"/>
    <col min="14608" max="14608" width="12.44140625" style="1" bestFit="1" customWidth="1"/>
    <col min="14609" max="14609" width="7.44140625" style="1" customWidth="1"/>
    <col min="14610" max="14610" width="3.77734375" style="1" customWidth="1"/>
    <col min="14611" max="14611" width="0.6640625" style="1" customWidth="1"/>
    <col min="14612" max="14848" width="8.88671875" style="1"/>
    <col min="14849" max="14849" width="0.77734375" style="1" customWidth="1"/>
    <col min="14850" max="14850" width="6.77734375" style="1" customWidth="1"/>
    <col min="14851" max="14851" width="10" style="1" bestFit="1" customWidth="1"/>
    <col min="14852" max="14853" width="4.44140625" style="1" customWidth="1"/>
    <col min="14854" max="14854" width="7.88671875" style="1" customWidth="1"/>
    <col min="14855" max="14855" width="10.6640625" style="1" bestFit="1" customWidth="1"/>
    <col min="14856" max="14857" width="6.77734375" style="1" customWidth="1"/>
    <col min="14858" max="14858" width="0.88671875" style="1" customWidth="1"/>
    <col min="14859" max="14859" width="3.88671875" style="1" customWidth="1"/>
    <col min="14860" max="14860" width="8.44140625" style="1" customWidth="1"/>
    <col min="14861" max="14861" width="8" style="1" customWidth="1"/>
    <col min="14862" max="14862" width="14.77734375" style="1" customWidth="1"/>
    <col min="14863" max="14863" width="10.77734375" style="1" customWidth="1"/>
    <col min="14864" max="14864" width="12.44140625" style="1" bestFit="1" customWidth="1"/>
    <col min="14865" max="14865" width="7.44140625" style="1" customWidth="1"/>
    <col min="14866" max="14866" width="3.77734375" style="1" customWidth="1"/>
    <col min="14867" max="14867" width="0.6640625" style="1" customWidth="1"/>
    <col min="14868" max="15104" width="8.88671875" style="1"/>
    <col min="15105" max="15105" width="0.77734375" style="1" customWidth="1"/>
    <col min="15106" max="15106" width="6.77734375" style="1" customWidth="1"/>
    <col min="15107" max="15107" width="10" style="1" bestFit="1" customWidth="1"/>
    <col min="15108" max="15109" width="4.44140625" style="1" customWidth="1"/>
    <col min="15110" max="15110" width="7.88671875" style="1" customWidth="1"/>
    <col min="15111" max="15111" width="10.6640625" style="1" bestFit="1" customWidth="1"/>
    <col min="15112" max="15113" width="6.77734375" style="1" customWidth="1"/>
    <col min="15114" max="15114" width="0.88671875" style="1" customWidth="1"/>
    <col min="15115" max="15115" width="3.88671875" style="1" customWidth="1"/>
    <col min="15116" max="15116" width="8.44140625" style="1" customWidth="1"/>
    <col min="15117" max="15117" width="8" style="1" customWidth="1"/>
    <col min="15118" max="15118" width="14.77734375" style="1" customWidth="1"/>
    <col min="15119" max="15119" width="10.77734375" style="1" customWidth="1"/>
    <col min="15120" max="15120" width="12.44140625" style="1" bestFit="1" customWidth="1"/>
    <col min="15121" max="15121" width="7.44140625" style="1" customWidth="1"/>
    <col min="15122" max="15122" width="3.77734375" style="1" customWidth="1"/>
    <col min="15123" max="15123" width="0.6640625" style="1" customWidth="1"/>
    <col min="15124" max="15360" width="8.88671875" style="1"/>
    <col min="15361" max="15361" width="0.77734375" style="1" customWidth="1"/>
    <col min="15362" max="15362" width="6.77734375" style="1" customWidth="1"/>
    <col min="15363" max="15363" width="10" style="1" bestFit="1" customWidth="1"/>
    <col min="15364" max="15365" width="4.44140625" style="1" customWidth="1"/>
    <col min="15366" max="15366" width="7.88671875" style="1" customWidth="1"/>
    <col min="15367" max="15367" width="10.6640625" style="1" bestFit="1" customWidth="1"/>
    <col min="15368" max="15369" width="6.77734375" style="1" customWidth="1"/>
    <col min="15370" max="15370" width="0.88671875" style="1" customWidth="1"/>
    <col min="15371" max="15371" width="3.88671875" style="1" customWidth="1"/>
    <col min="15372" max="15372" width="8.44140625" style="1" customWidth="1"/>
    <col min="15373" max="15373" width="8" style="1" customWidth="1"/>
    <col min="15374" max="15374" width="14.77734375" style="1" customWidth="1"/>
    <col min="15375" max="15375" width="10.77734375" style="1" customWidth="1"/>
    <col min="15376" max="15376" width="12.44140625" style="1" bestFit="1" customWidth="1"/>
    <col min="15377" max="15377" width="7.44140625" style="1" customWidth="1"/>
    <col min="15378" max="15378" width="3.77734375" style="1" customWidth="1"/>
    <col min="15379" max="15379" width="0.6640625" style="1" customWidth="1"/>
    <col min="15380" max="15616" width="8.88671875" style="1"/>
    <col min="15617" max="15617" width="0.77734375" style="1" customWidth="1"/>
    <col min="15618" max="15618" width="6.77734375" style="1" customWidth="1"/>
    <col min="15619" max="15619" width="10" style="1" bestFit="1" customWidth="1"/>
    <col min="15620" max="15621" width="4.44140625" style="1" customWidth="1"/>
    <col min="15622" max="15622" width="7.88671875" style="1" customWidth="1"/>
    <col min="15623" max="15623" width="10.6640625" style="1" bestFit="1" customWidth="1"/>
    <col min="15624" max="15625" width="6.77734375" style="1" customWidth="1"/>
    <col min="15626" max="15626" width="0.88671875" style="1" customWidth="1"/>
    <col min="15627" max="15627" width="3.88671875" style="1" customWidth="1"/>
    <col min="15628" max="15628" width="8.44140625" style="1" customWidth="1"/>
    <col min="15629" max="15629" width="8" style="1" customWidth="1"/>
    <col min="15630" max="15630" width="14.77734375" style="1" customWidth="1"/>
    <col min="15631" max="15631" width="10.77734375" style="1" customWidth="1"/>
    <col min="15632" max="15632" width="12.44140625" style="1" bestFit="1" customWidth="1"/>
    <col min="15633" max="15633" width="7.44140625" style="1" customWidth="1"/>
    <col min="15634" max="15634" width="3.77734375" style="1" customWidth="1"/>
    <col min="15635" max="15635" width="0.6640625" style="1" customWidth="1"/>
    <col min="15636" max="15872" width="8.88671875" style="1"/>
    <col min="15873" max="15873" width="0.77734375" style="1" customWidth="1"/>
    <col min="15874" max="15874" width="6.77734375" style="1" customWidth="1"/>
    <col min="15875" max="15875" width="10" style="1" bestFit="1" customWidth="1"/>
    <col min="15876" max="15877" width="4.44140625" style="1" customWidth="1"/>
    <col min="15878" max="15878" width="7.88671875" style="1" customWidth="1"/>
    <col min="15879" max="15879" width="10.6640625" style="1" bestFit="1" customWidth="1"/>
    <col min="15880" max="15881" width="6.77734375" style="1" customWidth="1"/>
    <col min="15882" max="15882" width="0.88671875" style="1" customWidth="1"/>
    <col min="15883" max="15883" width="3.88671875" style="1" customWidth="1"/>
    <col min="15884" max="15884" width="8.44140625" style="1" customWidth="1"/>
    <col min="15885" max="15885" width="8" style="1" customWidth="1"/>
    <col min="15886" max="15886" width="14.77734375" style="1" customWidth="1"/>
    <col min="15887" max="15887" width="10.77734375" style="1" customWidth="1"/>
    <col min="15888" max="15888" width="12.44140625" style="1" bestFit="1" customWidth="1"/>
    <col min="15889" max="15889" width="7.44140625" style="1" customWidth="1"/>
    <col min="15890" max="15890" width="3.77734375" style="1" customWidth="1"/>
    <col min="15891" max="15891" width="0.6640625" style="1" customWidth="1"/>
    <col min="15892" max="16128" width="8.88671875" style="1"/>
    <col min="16129" max="16129" width="0.77734375" style="1" customWidth="1"/>
    <col min="16130" max="16130" width="6.77734375" style="1" customWidth="1"/>
    <col min="16131" max="16131" width="10" style="1" bestFit="1" customWidth="1"/>
    <col min="16132" max="16133" width="4.44140625" style="1" customWidth="1"/>
    <col min="16134" max="16134" width="7.88671875" style="1" customWidth="1"/>
    <col min="16135" max="16135" width="10.6640625" style="1" bestFit="1" customWidth="1"/>
    <col min="16136" max="16137" width="6.77734375" style="1" customWidth="1"/>
    <col min="16138" max="16138" width="0.88671875" style="1" customWidth="1"/>
    <col min="16139" max="16139" width="3.88671875" style="1" customWidth="1"/>
    <col min="16140" max="16140" width="8.44140625" style="1" customWidth="1"/>
    <col min="16141" max="16141" width="8" style="1" customWidth="1"/>
    <col min="16142" max="16142" width="14.77734375" style="1" customWidth="1"/>
    <col min="16143" max="16143" width="10.77734375" style="1" customWidth="1"/>
    <col min="16144" max="16144" width="12.44140625" style="1" bestFit="1" customWidth="1"/>
    <col min="16145" max="16145" width="7.44140625" style="1" customWidth="1"/>
    <col min="16146" max="16146" width="3.77734375" style="1" customWidth="1"/>
    <col min="16147" max="16147" width="0.6640625" style="1" customWidth="1"/>
    <col min="16148" max="16384" width="8.88671875" style="1"/>
  </cols>
  <sheetData>
    <row r="1" spans="1:19" ht="40.5" customHeight="1" thickTop="1">
      <c r="A1" s="310"/>
      <c r="B1" s="311"/>
      <c r="C1" s="311"/>
      <c r="D1" s="312"/>
      <c r="E1" s="316" t="s">
        <v>69</v>
      </c>
      <c r="F1" s="317"/>
      <c r="G1" s="317"/>
      <c r="H1" s="317"/>
      <c r="I1" s="317"/>
      <c r="J1" s="317"/>
      <c r="K1" s="317"/>
      <c r="L1" s="317"/>
      <c r="M1" s="317"/>
      <c r="N1" s="318"/>
      <c r="O1" s="122" t="s">
        <v>35</v>
      </c>
      <c r="P1" s="122" t="s">
        <v>37</v>
      </c>
      <c r="Q1" s="322" t="s">
        <v>38</v>
      </c>
      <c r="R1" s="323"/>
      <c r="S1" s="324"/>
    </row>
    <row r="2" spans="1:19" ht="32.25" customHeight="1">
      <c r="A2" s="313"/>
      <c r="B2" s="314"/>
      <c r="C2" s="314"/>
      <c r="D2" s="315"/>
      <c r="E2" s="319"/>
      <c r="F2" s="320"/>
      <c r="G2" s="320"/>
      <c r="H2" s="320"/>
      <c r="I2" s="320"/>
      <c r="J2" s="320"/>
      <c r="K2" s="320"/>
      <c r="L2" s="320"/>
      <c r="M2" s="320"/>
      <c r="N2" s="321"/>
      <c r="O2" s="123" t="s">
        <v>36</v>
      </c>
      <c r="P2" s="124" t="s">
        <v>112</v>
      </c>
      <c r="Q2" s="325" t="s">
        <v>1</v>
      </c>
      <c r="R2" s="326"/>
      <c r="S2" s="327"/>
    </row>
    <row r="3" spans="1:19" ht="13.5" customHeight="1" thickBot="1">
      <c r="A3" s="138"/>
      <c r="B3" s="2"/>
      <c r="C3" s="2"/>
      <c r="D3" s="2"/>
      <c r="E3" s="2"/>
      <c r="F3" s="2"/>
      <c r="G3" s="2"/>
      <c r="H3" s="3"/>
      <c r="I3" s="3"/>
      <c r="J3" s="3"/>
      <c r="K3" s="3"/>
      <c r="L3" s="3"/>
      <c r="M3" s="3"/>
      <c r="N3" s="4"/>
      <c r="O3" s="5"/>
      <c r="P3" s="5"/>
      <c r="Q3" s="5"/>
      <c r="R3" s="145"/>
      <c r="S3" s="146"/>
    </row>
    <row r="4" spans="1:19" ht="29.25" customHeight="1">
      <c r="A4" s="138"/>
      <c r="B4" s="328" t="s">
        <v>32</v>
      </c>
      <c r="C4" s="329"/>
      <c r="D4" s="330" t="s">
        <v>80</v>
      </c>
      <c r="E4" s="331"/>
      <c r="F4" s="331"/>
      <c r="G4" s="331"/>
      <c r="H4" s="331"/>
      <c r="I4" s="332"/>
      <c r="J4" s="141"/>
      <c r="K4" s="333" t="s">
        <v>78</v>
      </c>
      <c r="L4" s="334"/>
      <c r="M4" s="334"/>
      <c r="N4" s="334"/>
      <c r="O4" s="335"/>
      <c r="P4" s="336"/>
      <c r="Q4" s="336"/>
      <c r="R4" s="337"/>
      <c r="S4" s="142"/>
    </row>
    <row r="5" spans="1:19" ht="39.75" customHeight="1">
      <c r="A5" s="138"/>
      <c r="B5" s="338" t="s">
        <v>33</v>
      </c>
      <c r="C5" s="339"/>
      <c r="D5" s="340" t="s">
        <v>70</v>
      </c>
      <c r="E5" s="341"/>
      <c r="F5" s="341"/>
      <c r="G5" s="341"/>
      <c r="H5" s="341"/>
      <c r="I5" s="342"/>
      <c r="J5" s="6"/>
      <c r="K5" s="37"/>
      <c r="L5" s="11"/>
      <c r="M5" s="11"/>
      <c r="N5" s="11"/>
      <c r="O5" s="38"/>
      <c r="P5" s="11"/>
      <c r="Q5" s="11"/>
      <c r="R5" s="39"/>
      <c r="S5" s="142"/>
    </row>
    <row r="6" spans="1:19" ht="35.25" customHeight="1">
      <c r="A6" s="138"/>
      <c r="B6" s="345" t="s">
        <v>119</v>
      </c>
      <c r="C6" s="346"/>
      <c r="D6" s="351" t="s">
        <v>122</v>
      </c>
      <c r="E6" s="352"/>
      <c r="F6" s="352"/>
      <c r="G6" s="352"/>
      <c r="H6" s="352"/>
      <c r="I6" s="353"/>
      <c r="J6" s="6"/>
      <c r="K6" s="37"/>
      <c r="L6" s="11"/>
      <c r="M6" s="11"/>
      <c r="N6" s="11"/>
      <c r="O6" s="38"/>
      <c r="P6" s="11"/>
      <c r="Q6" s="11"/>
      <c r="R6" s="39"/>
      <c r="S6" s="142"/>
    </row>
    <row r="7" spans="1:19" ht="23.25" customHeight="1">
      <c r="A7" s="139"/>
      <c r="B7" s="347"/>
      <c r="C7" s="348"/>
      <c r="D7" s="354"/>
      <c r="E7" s="355"/>
      <c r="F7" s="355"/>
      <c r="G7" s="355"/>
      <c r="H7" s="355"/>
      <c r="I7" s="356"/>
      <c r="J7" s="6"/>
      <c r="K7" s="343"/>
      <c r="L7" s="344"/>
      <c r="M7" s="120"/>
      <c r="N7" s="308"/>
      <c r="O7" s="308"/>
      <c r="P7" s="308"/>
      <c r="Q7" s="308"/>
      <c r="R7" s="309"/>
      <c r="S7" s="143"/>
    </row>
    <row r="8" spans="1:19" ht="33.75" customHeight="1">
      <c r="A8" s="139"/>
      <c r="B8" s="347"/>
      <c r="C8" s="348"/>
      <c r="D8" s="354"/>
      <c r="E8" s="355"/>
      <c r="F8" s="355"/>
      <c r="G8" s="355"/>
      <c r="H8" s="355"/>
      <c r="I8" s="356"/>
      <c r="J8" s="6"/>
      <c r="K8" s="7" t="s">
        <v>0</v>
      </c>
      <c r="L8" s="8"/>
      <c r="M8" s="8"/>
      <c r="N8" s="8"/>
      <c r="O8" s="8"/>
      <c r="P8" s="8"/>
      <c r="Q8" s="8"/>
      <c r="R8" s="9"/>
      <c r="S8" s="143"/>
    </row>
    <row r="9" spans="1:19" ht="26.25" customHeight="1">
      <c r="A9" s="139"/>
      <c r="B9" s="347"/>
      <c r="C9" s="348"/>
      <c r="D9" s="354"/>
      <c r="E9" s="355"/>
      <c r="F9" s="355"/>
      <c r="G9" s="355"/>
      <c r="H9" s="355"/>
      <c r="I9" s="356"/>
      <c r="J9" s="6"/>
      <c r="K9" s="7"/>
      <c r="L9" s="8"/>
      <c r="M9" s="8"/>
      <c r="N9" s="8"/>
      <c r="O9" s="8"/>
      <c r="P9" s="8"/>
      <c r="Q9" s="8"/>
      <c r="R9" s="9"/>
      <c r="S9" s="142"/>
    </row>
    <row r="10" spans="1:19" ht="34.5" customHeight="1">
      <c r="A10" s="139"/>
      <c r="B10" s="349"/>
      <c r="C10" s="350"/>
      <c r="D10" s="357"/>
      <c r="E10" s="358"/>
      <c r="F10" s="358"/>
      <c r="G10" s="358"/>
      <c r="H10" s="358"/>
      <c r="I10" s="359"/>
      <c r="J10" s="6"/>
      <c r="K10" s="7"/>
      <c r="L10" s="8"/>
      <c r="M10" s="8"/>
      <c r="N10" s="8"/>
      <c r="O10" s="8"/>
      <c r="P10" s="8"/>
      <c r="Q10" s="8"/>
      <c r="R10" s="9"/>
      <c r="S10" s="142"/>
    </row>
    <row r="11" spans="1:19" ht="27.75" customHeight="1" thickBot="1">
      <c r="A11" s="139"/>
      <c r="B11" s="360" t="s">
        <v>120</v>
      </c>
      <c r="C11" s="361"/>
      <c r="D11" s="362" t="s">
        <v>121</v>
      </c>
      <c r="E11" s="363"/>
      <c r="F11" s="363"/>
      <c r="G11" s="363"/>
      <c r="H11" s="363"/>
      <c r="I11" s="364"/>
      <c r="J11" s="10"/>
      <c r="K11" s="7"/>
      <c r="L11" s="8"/>
      <c r="M11" s="8"/>
      <c r="N11" s="8"/>
      <c r="O11" s="8"/>
      <c r="P11" s="8"/>
      <c r="Q11" s="8"/>
      <c r="R11" s="9"/>
      <c r="S11" s="142"/>
    </row>
    <row r="12" spans="1:19" ht="6" customHeight="1" thickBot="1">
      <c r="A12" s="139"/>
      <c r="B12" s="37"/>
      <c r="C12" s="11"/>
      <c r="D12" s="11"/>
      <c r="E12" s="11"/>
      <c r="F12" s="11"/>
      <c r="G12" s="11"/>
      <c r="H12" s="12"/>
      <c r="I12" s="13"/>
      <c r="J12" s="10"/>
      <c r="K12" s="7"/>
      <c r="L12" s="8"/>
      <c r="M12" s="8"/>
      <c r="N12" s="8"/>
      <c r="O12" s="8"/>
      <c r="P12" s="8"/>
      <c r="Q12" s="8"/>
      <c r="R12" s="9"/>
      <c r="S12" s="142"/>
    </row>
    <row r="13" spans="1:19" ht="32.25" customHeight="1" thickBot="1">
      <c r="A13" s="139"/>
      <c r="B13" s="365" t="s">
        <v>79</v>
      </c>
      <c r="C13" s="366"/>
      <c r="D13" s="366"/>
      <c r="E13" s="366"/>
      <c r="F13" s="366"/>
      <c r="G13" s="366"/>
      <c r="H13" s="366"/>
      <c r="I13" s="367"/>
      <c r="J13" s="14"/>
      <c r="K13" s="7"/>
      <c r="L13" s="8"/>
      <c r="M13" s="8"/>
      <c r="N13" s="8"/>
      <c r="O13" s="8"/>
      <c r="P13" s="8"/>
      <c r="Q13" s="8"/>
      <c r="R13" s="9"/>
      <c r="S13" s="142"/>
    </row>
    <row r="14" spans="1:19" s="15" customFormat="1" ht="21" customHeight="1">
      <c r="A14" s="140"/>
      <c r="B14" s="368"/>
      <c r="C14" s="370"/>
      <c r="D14" s="370"/>
      <c r="E14" s="370"/>
      <c r="F14" s="370"/>
      <c r="G14" s="370"/>
      <c r="H14" s="370"/>
      <c r="I14" s="372"/>
      <c r="J14" s="117"/>
      <c r="K14" s="7"/>
      <c r="L14" s="8"/>
      <c r="M14" s="8"/>
      <c r="N14" s="8"/>
      <c r="O14" s="8"/>
      <c r="P14" s="8"/>
      <c r="Q14" s="8"/>
      <c r="R14" s="9"/>
      <c r="S14" s="118"/>
    </row>
    <row r="15" spans="1:19" ht="18" customHeight="1">
      <c r="A15" s="16"/>
      <c r="B15" s="369"/>
      <c r="C15" s="371"/>
      <c r="D15" s="371"/>
      <c r="E15" s="371"/>
      <c r="F15" s="371"/>
      <c r="G15" s="371"/>
      <c r="H15" s="371"/>
      <c r="I15" s="373"/>
      <c r="J15" s="4"/>
      <c r="K15" s="7"/>
      <c r="L15" s="8"/>
      <c r="M15" s="8"/>
      <c r="N15" s="8"/>
      <c r="O15" s="8"/>
      <c r="P15" s="8"/>
      <c r="Q15" s="8"/>
      <c r="R15" s="9"/>
      <c r="S15" s="144"/>
    </row>
    <row r="16" spans="1:19" ht="18" customHeight="1">
      <c r="A16" s="16"/>
      <c r="B16" s="374"/>
      <c r="C16" s="375"/>
      <c r="D16" s="376"/>
      <c r="E16" s="376"/>
      <c r="F16" s="376"/>
      <c r="G16" s="376"/>
      <c r="H16" s="376"/>
      <c r="I16" s="377"/>
      <c r="J16" s="4"/>
      <c r="K16" s="7"/>
      <c r="L16" s="8"/>
      <c r="M16" s="8"/>
      <c r="N16" s="8"/>
      <c r="O16" s="8"/>
      <c r="P16" s="8"/>
      <c r="Q16" s="8"/>
      <c r="R16" s="9"/>
      <c r="S16" s="144"/>
    </row>
    <row r="17" spans="1:19" ht="18" customHeight="1">
      <c r="A17" s="16"/>
      <c r="B17" s="374"/>
      <c r="C17" s="375"/>
      <c r="D17" s="378"/>
      <c r="E17" s="378"/>
      <c r="F17" s="378"/>
      <c r="G17" s="378"/>
      <c r="H17" s="378"/>
      <c r="I17" s="379"/>
      <c r="J17" s="4"/>
      <c r="K17" s="7"/>
      <c r="L17" s="8"/>
      <c r="M17" s="8"/>
      <c r="N17" s="8"/>
      <c r="O17" s="8"/>
      <c r="P17" s="8"/>
      <c r="Q17" s="8"/>
      <c r="R17" s="9"/>
      <c r="S17" s="144"/>
    </row>
    <row r="18" spans="1:19" ht="18" customHeight="1">
      <c r="A18" s="16"/>
      <c r="B18" s="382"/>
      <c r="C18" s="383"/>
      <c r="D18" s="384"/>
      <c r="E18" s="384"/>
      <c r="F18" s="384"/>
      <c r="G18" s="384"/>
      <c r="H18" s="384"/>
      <c r="I18" s="385"/>
      <c r="J18" s="4"/>
      <c r="K18" s="7"/>
      <c r="L18" s="8"/>
      <c r="M18" s="8"/>
      <c r="N18" s="8"/>
      <c r="O18" s="8"/>
      <c r="P18" s="8"/>
      <c r="Q18" s="8"/>
      <c r="R18" s="9"/>
      <c r="S18" s="144"/>
    </row>
    <row r="19" spans="1:19" ht="18" customHeight="1">
      <c r="A19" s="16"/>
      <c r="B19" s="382"/>
      <c r="C19" s="383"/>
      <c r="D19" s="380"/>
      <c r="E19" s="380"/>
      <c r="F19" s="380"/>
      <c r="G19" s="380"/>
      <c r="H19" s="380"/>
      <c r="I19" s="381"/>
      <c r="J19" s="4"/>
      <c r="K19" s="7"/>
      <c r="L19" s="8"/>
      <c r="M19" s="8"/>
      <c r="N19" s="8"/>
      <c r="O19" s="8"/>
      <c r="P19" s="8"/>
      <c r="Q19" s="8"/>
      <c r="R19" s="9"/>
      <c r="S19" s="144"/>
    </row>
    <row r="20" spans="1:19" ht="18" customHeight="1">
      <c r="A20" s="16"/>
      <c r="B20" s="382"/>
      <c r="C20" s="383"/>
      <c r="D20" s="384"/>
      <c r="E20" s="384"/>
      <c r="F20" s="384"/>
      <c r="G20" s="384"/>
      <c r="H20" s="384"/>
      <c r="I20" s="385"/>
      <c r="J20" s="4"/>
      <c r="K20" s="7"/>
      <c r="L20" s="8"/>
      <c r="M20" s="8"/>
      <c r="N20" s="8"/>
      <c r="O20" s="8"/>
      <c r="P20" s="8"/>
      <c r="Q20" s="8"/>
      <c r="R20" s="9"/>
      <c r="S20" s="144"/>
    </row>
    <row r="21" spans="1:19" ht="18" customHeight="1">
      <c r="A21" s="16"/>
      <c r="B21" s="382"/>
      <c r="C21" s="383"/>
      <c r="D21" s="380"/>
      <c r="E21" s="380"/>
      <c r="F21" s="380"/>
      <c r="G21" s="380"/>
      <c r="H21" s="380"/>
      <c r="I21" s="381"/>
      <c r="J21" s="4"/>
      <c r="K21" s="7"/>
      <c r="L21" s="8"/>
      <c r="M21" s="8"/>
      <c r="N21" s="8"/>
      <c r="O21" s="8"/>
      <c r="P21" s="8"/>
      <c r="Q21" s="8"/>
      <c r="R21" s="9"/>
      <c r="S21" s="144"/>
    </row>
    <row r="22" spans="1:19" ht="18" customHeight="1">
      <c r="A22" s="16"/>
      <c r="B22" s="382"/>
      <c r="C22" s="383"/>
      <c r="D22" s="384"/>
      <c r="E22" s="384"/>
      <c r="F22" s="384"/>
      <c r="G22" s="384"/>
      <c r="H22" s="384"/>
      <c r="I22" s="385"/>
      <c r="J22" s="4"/>
      <c r="K22" s="7"/>
      <c r="L22" s="8"/>
      <c r="M22" s="8"/>
      <c r="N22" s="8"/>
      <c r="O22" s="8"/>
      <c r="P22" s="8"/>
      <c r="Q22" s="8"/>
      <c r="R22" s="9"/>
      <c r="S22" s="144"/>
    </row>
    <row r="23" spans="1:19" ht="18" customHeight="1">
      <c r="A23" s="16"/>
      <c r="B23" s="382"/>
      <c r="C23" s="383"/>
      <c r="D23" s="380"/>
      <c r="E23" s="380"/>
      <c r="F23" s="380"/>
      <c r="G23" s="380"/>
      <c r="H23" s="380"/>
      <c r="I23" s="381"/>
      <c r="J23" s="4"/>
      <c r="K23" s="7"/>
      <c r="L23" s="8"/>
      <c r="M23" s="8"/>
      <c r="N23" s="8"/>
      <c r="O23" s="8"/>
      <c r="P23" s="8"/>
      <c r="Q23" s="8"/>
      <c r="R23" s="9"/>
      <c r="S23" s="144"/>
    </row>
    <row r="24" spans="1:19" ht="18" customHeight="1">
      <c r="A24" s="16"/>
      <c r="B24" s="382"/>
      <c r="C24" s="383"/>
      <c r="D24" s="384"/>
      <c r="E24" s="384"/>
      <c r="F24" s="384"/>
      <c r="G24" s="384"/>
      <c r="H24" s="384"/>
      <c r="I24" s="385"/>
      <c r="J24" s="4"/>
      <c r="K24" s="16"/>
      <c r="L24" s="4"/>
      <c r="M24" s="4"/>
      <c r="N24" s="4"/>
      <c r="O24" s="4"/>
      <c r="P24" s="4"/>
      <c r="Q24" s="386"/>
      <c r="R24" s="387"/>
      <c r="S24" s="144"/>
    </row>
    <row r="25" spans="1:19" ht="18" customHeight="1">
      <c r="A25" s="16"/>
      <c r="B25" s="382"/>
      <c r="C25" s="383"/>
      <c r="D25" s="380"/>
      <c r="E25" s="380"/>
      <c r="F25" s="380"/>
      <c r="G25" s="380"/>
      <c r="H25" s="380"/>
      <c r="I25" s="381"/>
      <c r="J25" s="4"/>
      <c r="K25" s="16"/>
      <c r="L25" s="4"/>
      <c r="M25" s="4"/>
      <c r="N25" s="4"/>
      <c r="O25" s="4"/>
      <c r="P25" s="4"/>
      <c r="Q25" s="386"/>
      <c r="R25" s="387"/>
      <c r="S25" s="144"/>
    </row>
    <row r="26" spans="1:19" ht="18" customHeight="1">
      <c r="A26" s="16"/>
      <c r="B26" s="382"/>
      <c r="C26" s="383"/>
      <c r="D26" s="384"/>
      <c r="E26" s="384"/>
      <c r="F26" s="384"/>
      <c r="G26" s="384"/>
      <c r="H26" s="384"/>
      <c r="I26" s="385"/>
      <c r="J26" s="4"/>
      <c r="K26" s="16"/>
      <c r="L26" s="4"/>
      <c r="M26" s="4"/>
      <c r="N26" s="4"/>
      <c r="O26" s="4"/>
      <c r="P26" s="4"/>
      <c r="Q26" s="386"/>
      <c r="R26" s="387"/>
      <c r="S26" s="144"/>
    </row>
    <row r="27" spans="1:19" ht="18" customHeight="1" thickBot="1">
      <c r="A27" s="16"/>
      <c r="B27" s="391"/>
      <c r="C27" s="392"/>
      <c r="D27" s="393"/>
      <c r="E27" s="393"/>
      <c r="F27" s="393"/>
      <c r="G27" s="393"/>
      <c r="H27" s="393"/>
      <c r="I27" s="394"/>
      <c r="J27" s="148"/>
      <c r="K27" s="17"/>
      <c r="L27" s="18"/>
      <c r="M27" s="18"/>
      <c r="N27" s="18"/>
      <c r="O27" s="18"/>
      <c r="P27" s="18"/>
      <c r="Q27" s="388"/>
      <c r="R27" s="395"/>
      <c r="S27" s="144"/>
    </row>
    <row r="28" spans="1:19" ht="5.25" customHeight="1" thickBot="1">
      <c r="A28" s="17"/>
      <c r="B28" s="388"/>
      <c r="C28" s="388"/>
      <c r="D28" s="388"/>
      <c r="E28" s="119"/>
      <c r="F28" s="119"/>
      <c r="G28" s="119"/>
      <c r="H28" s="389"/>
      <c r="I28" s="389"/>
      <c r="J28" s="389"/>
      <c r="K28" s="389"/>
      <c r="L28" s="389"/>
      <c r="M28" s="389"/>
      <c r="N28" s="389"/>
      <c r="O28" s="389"/>
      <c r="P28" s="389"/>
      <c r="Q28" s="389"/>
      <c r="R28" s="389"/>
      <c r="S28" s="147"/>
    </row>
    <row r="29" spans="1:19">
      <c r="A29" s="19"/>
      <c r="B29" s="19"/>
      <c r="C29" s="19"/>
      <c r="D29" s="19"/>
      <c r="E29" s="19"/>
      <c r="F29" s="19"/>
      <c r="G29" s="19"/>
      <c r="Q29" s="390"/>
      <c r="R29" s="390"/>
      <c r="S29" s="390"/>
    </row>
  </sheetData>
  <mergeCells count="65">
    <mergeCell ref="B28:D28"/>
    <mergeCell ref="H28:R28"/>
    <mergeCell ref="Q29:S29"/>
    <mergeCell ref="B26:B27"/>
    <mergeCell ref="C26:C27"/>
    <mergeCell ref="D26:I26"/>
    <mergeCell ref="Q26:R26"/>
    <mergeCell ref="D27:E27"/>
    <mergeCell ref="F27:G27"/>
    <mergeCell ref="H27:I27"/>
    <mergeCell ref="Q27:R27"/>
    <mergeCell ref="D25:E25"/>
    <mergeCell ref="F25:G25"/>
    <mergeCell ref="H25:I25"/>
    <mergeCell ref="Q25:R25"/>
    <mergeCell ref="B22:B23"/>
    <mergeCell ref="C22:C23"/>
    <mergeCell ref="D22:I22"/>
    <mergeCell ref="D23:E23"/>
    <mergeCell ref="F23:G23"/>
    <mergeCell ref="H23:I23"/>
    <mergeCell ref="B24:B25"/>
    <mergeCell ref="C24:C25"/>
    <mergeCell ref="D24:I24"/>
    <mergeCell ref="Q24:R24"/>
    <mergeCell ref="H19:I19"/>
    <mergeCell ref="B20:B21"/>
    <mergeCell ref="C20:C21"/>
    <mergeCell ref="D20:I20"/>
    <mergeCell ref="D21:E21"/>
    <mergeCell ref="F21:G21"/>
    <mergeCell ref="H21:I21"/>
    <mergeCell ref="B18:B19"/>
    <mergeCell ref="C18:C19"/>
    <mergeCell ref="D18:I18"/>
    <mergeCell ref="D19:E19"/>
    <mergeCell ref="F19:G19"/>
    <mergeCell ref="B16:B17"/>
    <mergeCell ref="C16:C17"/>
    <mergeCell ref="D16:I16"/>
    <mergeCell ref="D17:E17"/>
    <mergeCell ref="H17:I17"/>
    <mergeCell ref="F17:G17"/>
    <mergeCell ref="B11:C11"/>
    <mergeCell ref="D11:I11"/>
    <mergeCell ref="B13:I13"/>
    <mergeCell ref="B14:B15"/>
    <mergeCell ref="C14:C15"/>
    <mergeCell ref="D14:I14"/>
    <mergeCell ref="D15:E15"/>
    <mergeCell ref="F15:G15"/>
    <mergeCell ref="H15:I15"/>
    <mergeCell ref="N7:R7"/>
    <mergeCell ref="A1:D2"/>
    <mergeCell ref="E1:N2"/>
    <mergeCell ref="Q1:S1"/>
    <mergeCell ref="Q2:S2"/>
    <mergeCell ref="B4:C4"/>
    <mergeCell ref="D4:I4"/>
    <mergeCell ref="K4:R4"/>
    <mergeCell ref="B5:C5"/>
    <mergeCell ref="D5:I5"/>
    <mergeCell ref="K7:L7"/>
    <mergeCell ref="B6:C10"/>
    <mergeCell ref="D6:I10"/>
  </mergeCells>
  <phoneticPr fontId="1" type="noConversion"/>
  <pageMargins left="0.82677165354330717" right="0.19685039370078741" top="0.70866141732283472" bottom="0.19685039370078741" header="0.51181102362204722" footer="0.19685039370078741"/>
  <pageSetup paperSize="9" scale="83"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Q16"/>
  <sheetViews>
    <sheetView showGridLines="0" view="pageBreakPreview" zoomScale="85" zoomScaleNormal="85" zoomScaleSheetLayoutView="85" workbookViewId="0">
      <selection activeCell="Q16" sqref="Q16"/>
    </sheetView>
  </sheetViews>
  <sheetFormatPr defaultRowHeight="14.25"/>
  <cols>
    <col min="1" max="1" width="8.6640625" style="20" customWidth="1"/>
    <col min="2" max="7" width="5.21875" style="34" customWidth="1"/>
    <col min="8" max="8" width="6.21875" style="34" customWidth="1"/>
    <col min="9" max="11" width="7.109375" style="20" customWidth="1"/>
    <col min="12" max="12" width="21.21875" style="35" customWidth="1"/>
    <col min="13" max="13" width="18.6640625" style="36" customWidth="1"/>
    <col min="14" max="16" width="12.77734375" style="36" customWidth="1"/>
    <col min="17" max="17" width="14.88671875" style="36" customWidth="1"/>
    <col min="18" max="18" width="4.88671875" style="20" customWidth="1"/>
    <col min="19" max="256" width="8.88671875" style="20"/>
    <col min="257" max="257" width="13.6640625" style="20" bestFit="1" customWidth="1"/>
    <col min="258" max="264" width="5.21875" style="20" customWidth="1"/>
    <col min="265" max="267" width="7.109375" style="20" customWidth="1"/>
    <col min="268" max="268" width="21.21875" style="20" customWidth="1"/>
    <col min="269" max="273" width="12.77734375" style="20" customWidth="1"/>
    <col min="274" max="274" width="4.88671875" style="20" customWidth="1"/>
    <col min="275" max="512" width="8.88671875" style="20"/>
    <col min="513" max="513" width="13.6640625" style="20" bestFit="1" customWidth="1"/>
    <col min="514" max="520" width="5.21875" style="20" customWidth="1"/>
    <col min="521" max="523" width="7.109375" style="20" customWidth="1"/>
    <col min="524" max="524" width="21.21875" style="20" customWidth="1"/>
    <col min="525" max="529" width="12.77734375" style="20" customWidth="1"/>
    <col min="530" max="530" width="4.88671875" style="20" customWidth="1"/>
    <col min="531" max="768" width="8.88671875" style="20"/>
    <col min="769" max="769" width="13.6640625" style="20" bestFit="1" customWidth="1"/>
    <col min="770" max="776" width="5.21875" style="20" customWidth="1"/>
    <col min="777" max="779" width="7.109375" style="20" customWidth="1"/>
    <col min="780" max="780" width="21.21875" style="20" customWidth="1"/>
    <col min="781" max="785" width="12.77734375" style="20" customWidth="1"/>
    <col min="786" max="786" width="4.88671875" style="20" customWidth="1"/>
    <col min="787" max="1024" width="8.88671875" style="20"/>
    <col min="1025" max="1025" width="13.6640625" style="20" bestFit="1" customWidth="1"/>
    <col min="1026" max="1032" width="5.21875" style="20" customWidth="1"/>
    <col min="1033" max="1035" width="7.109375" style="20" customWidth="1"/>
    <col min="1036" max="1036" width="21.21875" style="20" customWidth="1"/>
    <col min="1037" max="1041" width="12.77734375" style="20" customWidth="1"/>
    <col min="1042" max="1042" width="4.88671875" style="20" customWidth="1"/>
    <col min="1043" max="1280" width="8.88671875" style="20"/>
    <col min="1281" max="1281" width="13.6640625" style="20" bestFit="1" customWidth="1"/>
    <col min="1282" max="1288" width="5.21875" style="20" customWidth="1"/>
    <col min="1289" max="1291" width="7.109375" style="20" customWidth="1"/>
    <col min="1292" max="1292" width="21.21875" style="20" customWidth="1"/>
    <col min="1293" max="1297" width="12.77734375" style="20" customWidth="1"/>
    <col min="1298" max="1298" width="4.88671875" style="20" customWidth="1"/>
    <col min="1299" max="1536" width="8.88671875" style="20"/>
    <col min="1537" max="1537" width="13.6640625" style="20" bestFit="1" customWidth="1"/>
    <col min="1538" max="1544" width="5.21875" style="20" customWidth="1"/>
    <col min="1545" max="1547" width="7.109375" style="20" customWidth="1"/>
    <col min="1548" max="1548" width="21.21875" style="20" customWidth="1"/>
    <col min="1549" max="1553" width="12.77734375" style="20" customWidth="1"/>
    <col min="1554" max="1554" width="4.88671875" style="20" customWidth="1"/>
    <col min="1555" max="1792" width="8.88671875" style="20"/>
    <col min="1793" max="1793" width="13.6640625" style="20" bestFit="1" customWidth="1"/>
    <col min="1794" max="1800" width="5.21875" style="20" customWidth="1"/>
    <col min="1801" max="1803" width="7.109375" style="20" customWidth="1"/>
    <col min="1804" max="1804" width="21.21875" style="20" customWidth="1"/>
    <col min="1805" max="1809" width="12.77734375" style="20" customWidth="1"/>
    <col min="1810" max="1810" width="4.88671875" style="20" customWidth="1"/>
    <col min="1811" max="2048" width="8.88671875" style="20"/>
    <col min="2049" max="2049" width="13.6640625" style="20" bestFit="1" customWidth="1"/>
    <col min="2050" max="2056" width="5.21875" style="20" customWidth="1"/>
    <col min="2057" max="2059" width="7.109375" style="20" customWidth="1"/>
    <col min="2060" max="2060" width="21.21875" style="20" customWidth="1"/>
    <col min="2061" max="2065" width="12.77734375" style="20" customWidth="1"/>
    <col min="2066" max="2066" width="4.88671875" style="20" customWidth="1"/>
    <col min="2067" max="2304" width="8.88671875" style="20"/>
    <col min="2305" max="2305" width="13.6640625" style="20" bestFit="1" customWidth="1"/>
    <col min="2306" max="2312" width="5.21875" style="20" customWidth="1"/>
    <col min="2313" max="2315" width="7.109375" style="20" customWidth="1"/>
    <col min="2316" max="2316" width="21.21875" style="20" customWidth="1"/>
    <col min="2317" max="2321" width="12.77734375" style="20" customWidth="1"/>
    <col min="2322" max="2322" width="4.88671875" style="20" customWidth="1"/>
    <col min="2323" max="2560" width="8.88671875" style="20"/>
    <col min="2561" max="2561" width="13.6640625" style="20" bestFit="1" customWidth="1"/>
    <col min="2562" max="2568" width="5.21875" style="20" customWidth="1"/>
    <col min="2569" max="2571" width="7.109375" style="20" customWidth="1"/>
    <col min="2572" max="2572" width="21.21875" style="20" customWidth="1"/>
    <col min="2573" max="2577" width="12.77734375" style="20" customWidth="1"/>
    <col min="2578" max="2578" width="4.88671875" style="20" customWidth="1"/>
    <col min="2579" max="2816" width="8.88671875" style="20"/>
    <col min="2817" max="2817" width="13.6640625" style="20" bestFit="1" customWidth="1"/>
    <col min="2818" max="2824" width="5.21875" style="20" customWidth="1"/>
    <col min="2825" max="2827" width="7.109375" style="20" customWidth="1"/>
    <col min="2828" max="2828" width="21.21875" style="20" customWidth="1"/>
    <col min="2829" max="2833" width="12.77734375" style="20" customWidth="1"/>
    <col min="2834" max="2834" width="4.88671875" style="20" customWidth="1"/>
    <col min="2835" max="3072" width="8.88671875" style="20"/>
    <col min="3073" max="3073" width="13.6640625" style="20" bestFit="1" customWidth="1"/>
    <col min="3074" max="3080" width="5.21875" style="20" customWidth="1"/>
    <col min="3081" max="3083" width="7.109375" style="20" customWidth="1"/>
    <col min="3084" max="3084" width="21.21875" style="20" customWidth="1"/>
    <col min="3085" max="3089" width="12.77734375" style="20" customWidth="1"/>
    <col min="3090" max="3090" width="4.88671875" style="20" customWidth="1"/>
    <col min="3091" max="3328" width="8.88671875" style="20"/>
    <col min="3329" max="3329" width="13.6640625" style="20" bestFit="1" customWidth="1"/>
    <col min="3330" max="3336" width="5.21875" style="20" customWidth="1"/>
    <col min="3337" max="3339" width="7.109375" style="20" customWidth="1"/>
    <col min="3340" max="3340" width="21.21875" style="20" customWidth="1"/>
    <col min="3341" max="3345" width="12.77734375" style="20" customWidth="1"/>
    <col min="3346" max="3346" width="4.88671875" style="20" customWidth="1"/>
    <col min="3347" max="3584" width="8.88671875" style="20"/>
    <col min="3585" max="3585" width="13.6640625" style="20" bestFit="1" customWidth="1"/>
    <col min="3586" max="3592" width="5.21875" style="20" customWidth="1"/>
    <col min="3593" max="3595" width="7.109375" style="20" customWidth="1"/>
    <col min="3596" max="3596" width="21.21875" style="20" customWidth="1"/>
    <col min="3597" max="3601" width="12.77734375" style="20" customWidth="1"/>
    <col min="3602" max="3602" width="4.88671875" style="20" customWidth="1"/>
    <col min="3603" max="3840" width="8.88671875" style="20"/>
    <col min="3841" max="3841" width="13.6640625" style="20" bestFit="1" customWidth="1"/>
    <col min="3842" max="3848" width="5.21875" style="20" customWidth="1"/>
    <col min="3849" max="3851" width="7.109375" style="20" customWidth="1"/>
    <col min="3852" max="3852" width="21.21875" style="20" customWidth="1"/>
    <col min="3853" max="3857" width="12.77734375" style="20" customWidth="1"/>
    <col min="3858" max="3858" width="4.88671875" style="20" customWidth="1"/>
    <col min="3859" max="4096" width="8.88671875" style="20"/>
    <col min="4097" max="4097" width="13.6640625" style="20" bestFit="1" customWidth="1"/>
    <col min="4098" max="4104" width="5.21875" style="20" customWidth="1"/>
    <col min="4105" max="4107" width="7.109375" style="20" customWidth="1"/>
    <col min="4108" max="4108" width="21.21875" style="20" customWidth="1"/>
    <col min="4109" max="4113" width="12.77734375" style="20" customWidth="1"/>
    <col min="4114" max="4114" width="4.88671875" style="20" customWidth="1"/>
    <col min="4115" max="4352" width="8.88671875" style="20"/>
    <col min="4353" max="4353" width="13.6640625" style="20" bestFit="1" customWidth="1"/>
    <col min="4354" max="4360" width="5.21875" style="20" customWidth="1"/>
    <col min="4361" max="4363" width="7.109375" style="20" customWidth="1"/>
    <col min="4364" max="4364" width="21.21875" style="20" customWidth="1"/>
    <col min="4365" max="4369" width="12.77734375" style="20" customWidth="1"/>
    <col min="4370" max="4370" width="4.88671875" style="20" customWidth="1"/>
    <col min="4371" max="4608" width="8.88671875" style="20"/>
    <col min="4609" max="4609" width="13.6640625" style="20" bestFit="1" customWidth="1"/>
    <col min="4610" max="4616" width="5.21875" style="20" customWidth="1"/>
    <col min="4617" max="4619" width="7.109375" style="20" customWidth="1"/>
    <col min="4620" max="4620" width="21.21875" style="20" customWidth="1"/>
    <col min="4621" max="4625" width="12.77734375" style="20" customWidth="1"/>
    <col min="4626" max="4626" width="4.88671875" style="20" customWidth="1"/>
    <col min="4627" max="4864" width="8.88671875" style="20"/>
    <col min="4865" max="4865" width="13.6640625" style="20" bestFit="1" customWidth="1"/>
    <col min="4866" max="4872" width="5.21875" style="20" customWidth="1"/>
    <col min="4873" max="4875" width="7.109375" style="20" customWidth="1"/>
    <col min="4876" max="4876" width="21.21875" style="20" customWidth="1"/>
    <col min="4877" max="4881" width="12.77734375" style="20" customWidth="1"/>
    <col min="4882" max="4882" width="4.88671875" style="20" customWidth="1"/>
    <col min="4883" max="5120" width="8.88671875" style="20"/>
    <col min="5121" max="5121" width="13.6640625" style="20" bestFit="1" customWidth="1"/>
    <col min="5122" max="5128" width="5.21875" style="20" customWidth="1"/>
    <col min="5129" max="5131" width="7.109375" style="20" customWidth="1"/>
    <col min="5132" max="5132" width="21.21875" style="20" customWidth="1"/>
    <col min="5133" max="5137" width="12.77734375" style="20" customWidth="1"/>
    <col min="5138" max="5138" width="4.88671875" style="20" customWidth="1"/>
    <col min="5139" max="5376" width="8.88671875" style="20"/>
    <col min="5377" max="5377" width="13.6640625" style="20" bestFit="1" customWidth="1"/>
    <col min="5378" max="5384" width="5.21875" style="20" customWidth="1"/>
    <col min="5385" max="5387" width="7.109375" style="20" customWidth="1"/>
    <col min="5388" max="5388" width="21.21875" style="20" customWidth="1"/>
    <col min="5389" max="5393" width="12.77734375" style="20" customWidth="1"/>
    <col min="5394" max="5394" width="4.88671875" style="20" customWidth="1"/>
    <col min="5395" max="5632" width="8.88671875" style="20"/>
    <col min="5633" max="5633" width="13.6640625" style="20" bestFit="1" customWidth="1"/>
    <col min="5634" max="5640" width="5.21875" style="20" customWidth="1"/>
    <col min="5641" max="5643" width="7.109375" style="20" customWidth="1"/>
    <col min="5644" max="5644" width="21.21875" style="20" customWidth="1"/>
    <col min="5645" max="5649" width="12.77734375" style="20" customWidth="1"/>
    <col min="5650" max="5650" width="4.88671875" style="20" customWidth="1"/>
    <col min="5651" max="5888" width="8.88671875" style="20"/>
    <col min="5889" max="5889" width="13.6640625" style="20" bestFit="1" customWidth="1"/>
    <col min="5890" max="5896" width="5.21875" style="20" customWidth="1"/>
    <col min="5897" max="5899" width="7.109375" style="20" customWidth="1"/>
    <col min="5900" max="5900" width="21.21875" style="20" customWidth="1"/>
    <col min="5901" max="5905" width="12.77734375" style="20" customWidth="1"/>
    <col min="5906" max="5906" width="4.88671875" style="20" customWidth="1"/>
    <col min="5907" max="6144" width="8.88671875" style="20"/>
    <col min="6145" max="6145" width="13.6640625" style="20" bestFit="1" customWidth="1"/>
    <col min="6146" max="6152" width="5.21875" style="20" customWidth="1"/>
    <col min="6153" max="6155" width="7.109375" style="20" customWidth="1"/>
    <col min="6156" max="6156" width="21.21875" style="20" customWidth="1"/>
    <col min="6157" max="6161" width="12.77734375" style="20" customWidth="1"/>
    <col min="6162" max="6162" width="4.88671875" style="20" customWidth="1"/>
    <col min="6163" max="6400" width="8.88671875" style="20"/>
    <col min="6401" max="6401" width="13.6640625" style="20" bestFit="1" customWidth="1"/>
    <col min="6402" max="6408" width="5.21875" style="20" customWidth="1"/>
    <col min="6409" max="6411" width="7.109375" style="20" customWidth="1"/>
    <col min="6412" max="6412" width="21.21875" style="20" customWidth="1"/>
    <col min="6413" max="6417" width="12.77734375" style="20" customWidth="1"/>
    <col min="6418" max="6418" width="4.88671875" style="20" customWidth="1"/>
    <col min="6419" max="6656" width="8.88671875" style="20"/>
    <col min="6657" max="6657" width="13.6640625" style="20" bestFit="1" customWidth="1"/>
    <col min="6658" max="6664" width="5.21875" style="20" customWidth="1"/>
    <col min="6665" max="6667" width="7.109375" style="20" customWidth="1"/>
    <col min="6668" max="6668" width="21.21875" style="20" customWidth="1"/>
    <col min="6669" max="6673" width="12.77734375" style="20" customWidth="1"/>
    <col min="6674" max="6674" width="4.88671875" style="20" customWidth="1"/>
    <col min="6675" max="6912" width="8.88671875" style="20"/>
    <col min="6913" max="6913" width="13.6640625" style="20" bestFit="1" customWidth="1"/>
    <col min="6914" max="6920" width="5.21875" style="20" customWidth="1"/>
    <col min="6921" max="6923" width="7.109375" style="20" customWidth="1"/>
    <col min="6924" max="6924" width="21.21875" style="20" customWidth="1"/>
    <col min="6925" max="6929" width="12.77734375" style="20" customWidth="1"/>
    <col min="6930" max="6930" width="4.88671875" style="20" customWidth="1"/>
    <col min="6931" max="7168" width="8.88671875" style="20"/>
    <col min="7169" max="7169" width="13.6640625" style="20" bestFit="1" customWidth="1"/>
    <col min="7170" max="7176" width="5.21875" style="20" customWidth="1"/>
    <col min="7177" max="7179" width="7.109375" style="20" customWidth="1"/>
    <col min="7180" max="7180" width="21.21875" style="20" customWidth="1"/>
    <col min="7181" max="7185" width="12.77734375" style="20" customWidth="1"/>
    <col min="7186" max="7186" width="4.88671875" style="20" customWidth="1"/>
    <col min="7187" max="7424" width="8.88671875" style="20"/>
    <col min="7425" max="7425" width="13.6640625" style="20" bestFit="1" customWidth="1"/>
    <col min="7426" max="7432" width="5.21875" style="20" customWidth="1"/>
    <col min="7433" max="7435" width="7.109375" style="20" customWidth="1"/>
    <col min="7436" max="7436" width="21.21875" style="20" customWidth="1"/>
    <col min="7437" max="7441" width="12.77734375" style="20" customWidth="1"/>
    <col min="7442" max="7442" width="4.88671875" style="20" customWidth="1"/>
    <col min="7443" max="7680" width="8.88671875" style="20"/>
    <col min="7681" max="7681" width="13.6640625" style="20" bestFit="1" customWidth="1"/>
    <col min="7682" max="7688" width="5.21875" style="20" customWidth="1"/>
    <col min="7689" max="7691" width="7.109375" style="20" customWidth="1"/>
    <col min="7692" max="7692" width="21.21875" style="20" customWidth="1"/>
    <col min="7693" max="7697" width="12.77734375" style="20" customWidth="1"/>
    <col min="7698" max="7698" width="4.88671875" style="20" customWidth="1"/>
    <col min="7699" max="7936" width="8.88671875" style="20"/>
    <col min="7937" max="7937" width="13.6640625" style="20" bestFit="1" customWidth="1"/>
    <col min="7938" max="7944" width="5.21875" style="20" customWidth="1"/>
    <col min="7945" max="7947" width="7.109375" style="20" customWidth="1"/>
    <col min="7948" max="7948" width="21.21875" style="20" customWidth="1"/>
    <col min="7949" max="7953" width="12.77734375" style="20" customWidth="1"/>
    <col min="7954" max="7954" width="4.88671875" style="20" customWidth="1"/>
    <col min="7955" max="8192" width="8.88671875" style="20"/>
    <col min="8193" max="8193" width="13.6640625" style="20" bestFit="1" customWidth="1"/>
    <col min="8194" max="8200" width="5.21875" style="20" customWidth="1"/>
    <col min="8201" max="8203" width="7.109375" style="20" customWidth="1"/>
    <col min="8204" max="8204" width="21.21875" style="20" customWidth="1"/>
    <col min="8205" max="8209" width="12.77734375" style="20" customWidth="1"/>
    <col min="8210" max="8210" width="4.88671875" style="20" customWidth="1"/>
    <col min="8211" max="8448" width="8.88671875" style="20"/>
    <col min="8449" max="8449" width="13.6640625" style="20" bestFit="1" customWidth="1"/>
    <col min="8450" max="8456" width="5.21875" style="20" customWidth="1"/>
    <col min="8457" max="8459" width="7.109375" style="20" customWidth="1"/>
    <col min="8460" max="8460" width="21.21875" style="20" customWidth="1"/>
    <col min="8461" max="8465" width="12.77734375" style="20" customWidth="1"/>
    <col min="8466" max="8466" width="4.88671875" style="20" customWidth="1"/>
    <col min="8467" max="8704" width="8.88671875" style="20"/>
    <col min="8705" max="8705" width="13.6640625" style="20" bestFit="1" customWidth="1"/>
    <col min="8706" max="8712" width="5.21875" style="20" customWidth="1"/>
    <col min="8713" max="8715" width="7.109375" style="20" customWidth="1"/>
    <col min="8716" max="8716" width="21.21875" style="20" customWidth="1"/>
    <col min="8717" max="8721" width="12.77734375" style="20" customWidth="1"/>
    <col min="8722" max="8722" width="4.88671875" style="20" customWidth="1"/>
    <col min="8723" max="8960" width="8.88671875" style="20"/>
    <col min="8961" max="8961" width="13.6640625" style="20" bestFit="1" customWidth="1"/>
    <col min="8962" max="8968" width="5.21875" style="20" customWidth="1"/>
    <col min="8969" max="8971" width="7.109375" style="20" customWidth="1"/>
    <col min="8972" max="8972" width="21.21875" style="20" customWidth="1"/>
    <col min="8973" max="8977" width="12.77734375" style="20" customWidth="1"/>
    <col min="8978" max="8978" width="4.88671875" style="20" customWidth="1"/>
    <col min="8979" max="9216" width="8.88671875" style="20"/>
    <col min="9217" max="9217" width="13.6640625" style="20" bestFit="1" customWidth="1"/>
    <col min="9218" max="9224" width="5.21875" style="20" customWidth="1"/>
    <col min="9225" max="9227" width="7.109375" style="20" customWidth="1"/>
    <col min="9228" max="9228" width="21.21875" style="20" customWidth="1"/>
    <col min="9229" max="9233" width="12.77734375" style="20" customWidth="1"/>
    <col min="9234" max="9234" width="4.88671875" style="20" customWidth="1"/>
    <col min="9235" max="9472" width="8.88671875" style="20"/>
    <col min="9473" max="9473" width="13.6640625" style="20" bestFit="1" customWidth="1"/>
    <col min="9474" max="9480" width="5.21875" style="20" customWidth="1"/>
    <col min="9481" max="9483" width="7.109375" style="20" customWidth="1"/>
    <col min="9484" max="9484" width="21.21875" style="20" customWidth="1"/>
    <col min="9485" max="9489" width="12.77734375" style="20" customWidth="1"/>
    <col min="9490" max="9490" width="4.88671875" style="20" customWidth="1"/>
    <col min="9491" max="9728" width="8.88671875" style="20"/>
    <col min="9729" max="9729" width="13.6640625" style="20" bestFit="1" customWidth="1"/>
    <col min="9730" max="9736" width="5.21875" style="20" customWidth="1"/>
    <col min="9737" max="9739" width="7.109375" style="20" customWidth="1"/>
    <col min="9740" max="9740" width="21.21875" style="20" customWidth="1"/>
    <col min="9741" max="9745" width="12.77734375" style="20" customWidth="1"/>
    <col min="9746" max="9746" width="4.88671875" style="20" customWidth="1"/>
    <col min="9747" max="9984" width="8.88671875" style="20"/>
    <col min="9985" max="9985" width="13.6640625" style="20" bestFit="1" customWidth="1"/>
    <col min="9986" max="9992" width="5.21875" style="20" customWidth="1"/>
    <col min="9993" max="9995" width="7.109375" style="20" customWidth="1"/>
    <col min="9996" max="9996" width="21.21875" style="20" customWidth="1"/>
    <col min="9997" max="10001" width="12.77734375" style="20" customWidth="1"/>
    <col min="10002" max="10002" width="4.88671875" style="20" customWidth="1"/>
    <col min="10003" max="10240" width="8.88671875" style="20"/>
    <col min="10241" max="10241" width="13.6640625" style="20" bestFit="1" customWidth="1"/>
    <col min="10242" max="10248" width="5.21875" style="20" customWidth="1"/>
    <col min="10249" max="10251" width="7.109375" style="20" customWidth="1"/>
    <col min="10252" max="10252" width="21.21875" style="20" customWidth="1"/>
    <col min="10253" max="10257" width="12.77734375" style="20" customWidth="1"/>
    <col min="10258" max="10258" width="4.88671875" style="20" customWidth="1"/>
    <col min="10259" max="10496" width="8.88671875" style="20"/>
    <col min="10497" max="10497" width="13.6640625" style="20" bestFit="1" customWidth="1"/>
    <col min="10498" max="10504" width="5.21875" style="20" customWidth="1"/>
    <col min="10505" max="10507" width="7.109375" style="20" customWidth="1"/>
    <col min="10508" max="10508" width="21.21875" style="20" customWidth="1"/>
    <col min="10509" max="10513" width="12.77734375" style="20" customWidth="1"/>
    <col min="10514" max="10514" width="4.88671875" style="20" customWidth="1"/>
    <col min="10515" max="10752" width="8.88671875" style="20"/>
    <col min="10753" max="10753" width="13.6640625" style="20" bestFit="1" customWidth="1"/>
    <col min="10754" max="10760" width="5.21875" style="20" customWidth="1"/>
    <col min="10761" max="10763" width="7.109375" style="20" customWidth="1"/>
    <col min="10764" max="10764" width="21.21875" style="20" customWidth="1"/>
    <col min="10765" max="10769" width="12.77734375" style="20" customWidth="1"/>
    <col min="10770" max="10770" width="4.88671875" style="20" customWidth="1"/>
    <col min="10771" max="11008" width="8.88671875" style="20"/>
    <col min="11009" max="11009" width="13.6640625" style="20" bestFit="1" customWidth="1"/>
    <col min="11010" max="11016" width="5.21875" style="20" customWidth="1"/>
    <col min="11017" max="11019" width="7.109375" style="20" customWidth="1"/>
    <col min="11020" max="11020" width="21.21875" style="20" customWidth="1"/>
    <col min="11021" max="11025" width="12.77734375" style="20" customWidth="1"/>
    <col min="11026" max="11026" width="4.88671875" style="20" customWidth="1"/>
    <col min="11027" max="11264" width="8.88671875" style="20"/>
    <col min="11265" max="11265" width="13.6640625" style="20" bestFit="1" customWidth="1"/>
    <col min="11266" max="11272" width="5.21875" style="20" customWidth="1"/>
    <col min="11273" max="11275" width="7.109375" style="20" customWidth="1"/>
    <col min="11276" max="11276" width="21.21875" style="20" customWidth="1"/>
    <col min="11277" max="11281" width="12.77734375" style="20" customWidth="1"/>
    <col min="11282" max="11282" width="4.88671875" style="20" customWidth="1"/>
    <col min="11283" max="11520" width="8.88671875" style="20"/>
    <col min="11521" max="11521" width="13.6640625" style="20" bestFit="1" customWidth="1"/>
    <col min="11522" max="11528" width="5.21875" style="20" customWidth="1"/>
    <col min="11529" max="11531" width="7.109375" style="20" customWidth="1"/>
    <col min="11532" max="11532" width="21.21875" style="20" customWidth="1"/>
    <col min="11533" max="11537" width="12.77734375" style="20" customWidth="1"/>
    <col min="11538" max="11538" width="4.88671875" style="20" customWidth="1"/>
    <col min="11539" max="11776" width="8.88671875" style="20"/>
    <col min="11777" max="11777" width="13.6640625" style="20" bestFit="1" customWidth="1"/>
    <col min="11778" max="11784" width="5.21875" style="20" customWidth="1"/>
    <col min="11785" max="11787" width="7.109375" style="20" customWidth="1"/>
    <col min="11788" max="11788" width="21.21875" style="20" customWidth="1"/>
    <col min="11789" max="11793" width="12.77734375" style="20" customWidth="1"/>
    <col min="11794" max="11794" width="4.88671875" style="20" customWidth="1"/>
    <col min="11795" max="12032" width="8.88671875" style="20"/>
    <col min="12033" max="12033" width="13.6640625" style="20" bestFit="1" customWidth="1"/>
    <col min="12034" max="12040" width="5.21875" style="20" customWidth="1"/>
    <col min="12041" max="12043" width="7.109375" style="20" customWidth="1"/>
    <col min="12044" max="12044" width="21.21875" style="20" customWidth="1"/>
    <col min="12045" max="12049" width="12.77734375" style="20" customWidth="1"/>
    <col min="12050" max="12050" width="4.88671875" style="20" customWidth="1"/>
    <col min="12051" max="12288" width="8.88671875" style="20"/>
    <col min="12289" max="12289" width="13.6640625" style="20" bestFit="1" customWidth="1"/>
    <col min="12290" max="12296" width="5.21875" style="20" customWidth="1"/>
    <col min="12297" max="12299" width="7.109375" style="20" customWidth="1"/>
    <col min="12300" max="12300" width="21.21875" style="20" customWidth="1"/>
    <col min="12301" max="12305" width="12.77734375" style="20" customWidth="1"/>
    <col min="12306" max="12306" width="4.88671875" style="20" customWidth="1"/>
    <col min="12307" max="12544" width="8.88671875" style="20"/>
    <col min="12545" max="12545" width="13.6640625" style="20" bestFit="1" customWidth="1"/>
    <col min="12546" max="12552" width="5.21875" style="20" customWidth="1"/>
    <col min="12553" max="12555" width="7.109375" style="20" customWidth="1"/>
    <col min="12556" max="12556" width="21.21875" style="20" customWidth="1"/>
    <col min="12557" max="12561" width="12.77734375" style="20" customWidth="1"/>
    <col min="12562" max="12562" width="4.88671875" style="20" customWidth="1"/>
    <col min="12563" max="12800" width="8.88671875" style="20"/>
    <col min="12801" max="12801" width="13.6640625" style="20" bestFit="1" customWidth="1"/>
    <col min="12802" max="12808" width="5.21875" style="20" customWidth="1"/>
    <col min="12809" max="12811" width="7.109375" style="20" customWidth="1"/>
    <col min="12812" max="12812" width="21.21875" style="20" customWidth="1"/>
    <col min="12813" max="12817" width="12.77734375" style="20" customWidth="1"/>
    <col min="12818" max="12818" width="4.88671875" style="20" customWidth="1"/>
    <col min="12819" max="13056" width="8.88671875" style="20"/>
    <col min="13057" max="13057" width="13.6640625" style="20" bestFit="1" customWidth="1"/>
    <col min="13058" max="13064" width="5.21875" style="20" customWidth="1"/>
    <col min="13065" max="13067" width="7.109375" style="20" customWidth="1"/>
    <col min="13068" max="13068" width="21.21875" style="20" customWidth="1"/>
    <col min="13069" max="13073" width="12.77734375" style="20" customWidth="1"/>
    <col min="13074" max="13074" width="4.88671875" style="20" customWidth="1"/>
    <col min="13075" max="13312" width="8.88671875" style="20"/>
    <col min="13313" max="13313" width="13.6640625" style="20" bestFit="1" customWidth="1"/>
    <col min="13314" max="13320" width="5.21875" style="20" customWidth="1"/>
    <col min="13321" max="13323" width="7.109375" style="20" customWidth="1"/>
    <col min="13324" max="13324" width="21.21875" style="20" customWidth="1"/>
    <col min="13325" max="13329" width="12.77734375" style="20" customWidth="1"/>
    <col min="13330" max="13330" width="4.88671875" style="20" customWidth="1"/>
    <col min="13331" max="13568" width="8.88671875" style="20"/>
    <col min="13569" max="13569" width="13.6640625" style="20" bestFit="1" customWidth="1"/>
    <col min="13570" max="13576" width="5.21875" style="20" customWidth="1"/>
    <col min="13577" max="13579" width="7.109375" style="20" customWidth="1"/>
    <col min="13580" max="13580" width="21.21875" style="20" customWidth="1"/>
    <col min="13581" max="13585" width="12.77734375" style="20" customWidth="1"/>
    <col min="13586" max="13586" width="4.88671875" style="20" customWidth="1"/>
    <col min="13587" max="13824" width="8.88671875" style="20"/>
    <col min="13825" max="13825" width="13.6640625" style="20" bestFit="1" customWidth="1"/>
    <col min="13826" max="13832" width="5.21875" style="20" customWidth="1"/>
    <col min="13833" max="13835" width="7.109375" style="20" customWidth="1"/>
    <col min="13836" max="13836" width="21.21875" style="20" customWidth="1"/>
    <col min="13837" max="13841" width="12.77734375" style="20" customWidth="1"/>
    <col min="13842" max="13842" width="4.88671875" style="20" customWidth="1"/>
    <col min="13843" max="14080" width="8.88671875" style="20"/>
    <col min="14081" max="14081" width="13.6640625" style="20" bestFit="1" customWidth="1"/>
    <col min="14082" max="14088" width="5.21875" style="20" customWidth="1"/>
    <col min="14089" max="14091" width="7.109375" style="20" customWidth="1"/>
    <col min="14092" max="14092" width="21.21875" style="20" customWidth="1"/>
    <col min="14093" max="14097" width="12.77734375" style="20" customWidth="1"/>
    <col min="14098" max="14098" width="4.88671875" style="20" customWidth="1"/>
    <col min="14099" max="14336" width="8.88671875" style="20"/>
    <col min="14337" max="14337" width="13.6640625" style="20" bestFit="1" customWidth="1"/>
    <col min="14338" max="14344" width="5.21875" style="20" customWidth="1"/>
    <col min="14345" max="14347" width="7.109375" style="20" customWidth="1"/>
    <col min="14348" max="14348" width="21.21875" style="20" customWidth="1"/>
    <col min="14349" max="14353" width="12.77734375" style="20" customWidth="1"/>
    <col min="14354" max="14354" width="4.88671875" style="20" customWidth="1"/>
    <col min="14355" max="14592" width="8.88671875" style="20"/>
    <col min="14593" max="14593" width="13.6640625" style="20" bestFit="1" customWidth="1"/>
    <col min="14594" max="14600" width="5.21875" style="20" customWidth="1"/>
    <col min="14601" max="14603" width="7.109375" style="20" customWidth="1"/>
    <col min="14604" max="14604" width="21.21875" style="20" customWidth="1"/>
    <col min="14605" max="14609" width="12.77734375" style="20" customWidth="1"/>
    <col min="14610" max="14610" width="4.88671875" style="20" customWidth="1"/>
    <col min="14611" max="14848" width="8.88671875" style="20"/>
    <col min="14849" max="14849" width="13.6640625" style="20" bestFit="1" customWidth="1"/>
    <col min="14850" max="14856" width="5.21875" style="20" customWidth="1"/>
    <col min="14857" max="14859" width="7.109375" style="20" customWidth="1"/>
    <col min="14860" max="14860" width="21.21875" style="20" customWidth="1"/>
    <col min="14861" max="14865" width="12.77734375" style="20" customWidth="1"/>
    <col min="14866" max="14866" width="4.88671875" style="20" customWidth="1"/>
    <col min="14867" max="15104" width="8.88671875" style="20"/>
    <col min="15105" max="15105" width="13.6640625" style="20" bestFit="1" customWidth="1"/>
    <col min="15106" max="15112" width="5.21875" style="20" customWidth="1"/>
    <col min="15113" max="15115" width="7.109375" style="20" customWidth="1"/>
    <col min="15116" max="15116" width="21.21875" style="20" customWidth="1"/>
    <col min="15117" max="15121" width="12.77734375" style="20" customWidth="1"/>
    <col min="15122" max="15122" width="4.88671875" style="20" customWidth="1"/>
    <col min="15123" max="15360" width="8.88671875" style="20"/>
    <col min="15361" max="15361" width="13.6640625" style="20" bestFit="1" customWidth="1"/>
    <col min="15362" max="15368" width="5.21875" style="20" customWidth="1"/>
    <col min="15369" max="15371" width="7.109375" style="20" customWidth="1"/>
    <col min="15372" max="15372" width="21.21875" style="20" customWidth="1"/>
    <col min="15373" max="15377" width="12.77734375" style="20" customWidth="1"/>
    <col min="15378" max="15378" width="4.88671875" style="20" customWidth="1"/>
    <col min="15379" max="15616" width="8.88671875" style="20"/>
    <col min="15617" max="15617" width="13.6640625" style="20" bestFit="1" customWidth="1"/>
    <col min="15618" max="15624" width="5.21875" style="20" customWidth="1"/>
    <col min="15625" max="15627" width="7.109375" style="20" customWidth="1"/>
    <col min="15628" max="15628" width="21.21875" style="20" customWidth="1"/>
    <col min="15629" max="15633" width="12.77734375" style="20" customWidth="1"/>
    <col min="15634" max="15634" width="4.88671875" style="20" customWidth="1"/>
    <col min="15635" max="15872" width="8.88671875" style="20"/>
    <col min="15873" max="15873" width="13.6640625" style="20" bestFit="1" customWidth="1"/>
    <col min="15874" max="15880" width="5.21875" style="20" customWidth="1"/>
    <col min="15881" max="15883" width="7.109375" style="20" customWidth="1"/>
    <col min="15884" max="15884" width="21.21875" style="20" customWidth="1"/>
    <col min="15885" max="15889" width="12.77734375" style="20" customWidth="1"/>
    <col min="15890" max="15890" width="4.88671875" style="20" customWidth="1"/>
    <col min="15891" max="16128" width="8.88671875" style="20"/>
    <col min="16129" max="16129" width="13.6640625" style="20" bestFit="1" customWidth="1"/>
    <col min="16130" max="16136" width="5.21875" style="20" customWidth="1"/>
    <col min="16137" max="16139" width="7.109375" style="20" customWidth="1"/>
    <col min="16140" max="16140" width="21.21875" style="20" customWidth="1"/>
    <col min="16141" max="16145" width="12.77734375" style="20" customWidth="1"/>
    <col min="16146" max="16146" width="4.88671875" style="20" customWidth="1"/>
    <col min="16147" max="16384" width="8.88671875" style="20"/>
  </cols>
  <sheetData>
    <row r="1" spans="1:17" ht="35.25" customHeight="1">
      <c r="A1" s="419"/>
      <c r="B1" s="420"/>
      <c r="C1" s="420"/>
      <c r="D1" s="420"/>
      <c r="E1" s="421"/>
      <c r="F1" s="406" t="s">
        <v>69</v>
      </c>
      <c r="G1" s="407"/>
      <c r="H1" s="407"/>
      <c r="I1" s="407"/>
      <c r="J1" s="407"/>
      <c r="K1" s="407"/>
      <c r="L1" s="407"/>
      <c r="M1" s="407"/>
      <c r="N1" s="408"/>
      <c r="O1" s="127" t="s">
        <v>35</v>
      </c>
      <c r="P1" s="122" t="s">
        <v>37</v>
      </c>
      <c r="Q1" s="125" t="s">
        <v>38</v>
      </c>
    </row>
    <row r="2" spans="1:17" ht="31.5" customHeight="1" thickBot="1">
      <c r="A2" s="422"/>
      <c r="B2" s="423"/>
      <c r="C2" s="423"/>
      <c r="D2" s="423"/>
      <c r="E2" s="424"/>
      <c r="F2" s="409"/>
      <c r="G2" s="410"/>
      <c r="H2" s="410"/>
      <c r="I2" s="410"/>
      <c r="J2" s="410"/>
      <c r="K2" s="410"/>
      <c r="L2" s="410"/>
      <c r="M2" s="410"/>
      <c r="N2" s="411"/>
      <c r="O2" s="126" t="s">
        <v>36</v>
      </c>
      <c r="P2" s="128" t="s">
        <v>112</v>
      </c>
      <c r="Q2" s="129" t="s">
        <v>2</v>
      </c>
    </row>
    <row r="3" spans="1:17" ht="28.5" customHeight="1">
      <c r="A3" s="425" t="s">
        <v>50</v>
      </c>
      <c r="B3" s="428" t="s">
        <v>84</v>
      </c>
      <c r="C3" s="429"/>
      <c r="D3" s="429"/>
      <c r="E3" s="429"/>
      <c r="F3" s="429"/>
      <c r="G3" s="429"/>
      <c r="H3" s="429"/>
      <c r="I3" s="429"/>
      <c r="J3" s="429"/>
      <c r="K3" s="429"/>
      <c r="L3" s="430"/>
      <c r="M3" s="431" t="s">
        <v>3</v>
      </c>
      <c r="N3" s="432"/>
      <c r="O3" s="432"/>
      <c r="P3" s="432"/>
      <c r="Q3" s="433"/>
    </row>
    <row r="4" spans="1:17" ht="33.75" customHeight="1">
      <c r="A4" s="426"/>
      <c r="B4" s="402" t="s">
        <v>51</v>
      </c>
      <c r="C4" s="403"/>
      <c r="D4" s="403"/>
      <c r="E4" s="402" t="s">
        <v>81</v>
      </c>
      <c r="F4" s="403"/>
      <c r="G4" s="403"/>
      <c r="H4" s="403"/>
      <c r="I4" s="402" t="s">
        <v>82</v>
      </c>
      <c r="J4" s="403"/>
      <c r="K4" s="403"/>
      <c r="L4" s="398" t="s">
        <v>52</v>
      </c>
      <c r="M4" s="398" t="s">
        <v>53</v>
      </c>
      <c r="N4" s="400" t="s">
        <v>54</v>
      </c>
      <c r="O4" s="398" t="s">
        <v>55</v>
      </c>
      <c r="P4" s="398" t="s">
        <v>56</v>
      </c>
      <c r="Q4" s="404" t="s">
        <v>85</v>
      </c>
    </row>
    <row r="5" spans="1:17" ht="45.75" customHeight="1" thickBot="1">
      <c r="A5" s="427"/>
      <c r="B5" s="397"/>
      <c r="C5" s="397"/>
      <c r="D5" s="397"/>
      <c r="E5" s="396" t="s">
        <v>86</v>
      </c>
      <c r="F5" s="397"/>
      <c r="G5" s="397"/>
      <c r="H5" s="397"/>
      <c r="I5" s="396" t="s">
        <v>83</v>
      </c>
      <c r="J5" s="397"/>
      <c r="K5" s="397"/>
      <c r="L5" s="399"/>
      <c r="M5" s="399"/>
      <c r="N5" s="401"/>
      <c r="O5" s="399"/>
      <c r="P5" s="399"/>
      <c r="Q5" s="405"/>
    </row>
    <row r="6" spans="1:17" ht="67.5" customHeight="1">
      <c r="A6" s="40" t="s">
        <v>123</v>
      </c>
      <c r="B6" s="26"/>
      <c r="C6" s="26"/>
      <c r="D6" s="26"/>
      <c r="E6" s="27"/>
      <c r="F6" s="27"/>
      <c r="G6" s="27"/>
      <c r="H6" s="27"/>
      <c r="I6" s="28"/>
      <c r="J6" s="28"/>
      <c r="K6" s="29"/>
      <c r="L6" s="78" t="s">
        <v>133</v>
      </c>
      <c r="M6" s="76" t="s">
        <v>146</v>
      </c>
      <c r="N6" s="42" t="s">
        <v>148</v>
      </c>
      <c r="O6" s="76" t="s">
        <v>161</v>
      </c>
      <c r="P6" s="41" t="s">
        <v>168</v>
      </c>
      <c r="Q6" s="43" t="s">
        <v>177</v>
      </c>
    </row>
    <row r="7" spans="1:17" ht="47.25" customHeight="1">
      <c r="A7" s="413" t="s">
        <v>124</v>
      </c>
      <c r="B7" s="21"/>
      <c r="C7" s="21"/>
      <c r="D7" s="21"/>
      <c r="E7" s="22"/>
      <c r="F7" s="22"/>
      <c r="G7" s="23"/>
      <c r="H7" s="22"/>
      <c r="I7" s="24"/>
      <c r="J7" s="24"/>
      <c r="K7" s="25"/>
      <c r="L7" s="415" t="s">
        <v>134</v>
      </c>
      <c r="M7" s="416" t="s">
        <v>147</v>
      </c>
      <c r="N7" s="416" t="s">
        <v>149</v>
      </c>
      <c r="O7" s="417" t="s">
        <v>162</v>
      </c>
      <c r="P7" s="416" t="s">
        <v>169</v>
      </c>
      <c r="Q7" s="412" t="s">
        <v>178</v>
      </c>
    </row>
    <row r="8" spans="1:17" ht="93.75" customHeight="1">
      <c r="A8" s="414"/>
      <c r="B8" s="26"/>
      <c r="C8" s="26"/>
      <c r="D8" s="26"/>
      <c r="E8" s="27"/>
      <c r="F8" s="27"/>
      <c r="G8" s="27"/>
      <c r="H8" s="27"/>
      <c r="I8" s="28"/>
      <c r="J8" s="28"/>
      <c r="K8" s="29"/>
      <c r="L8" s="415"/>
      <c r="M8" s="416"/>
      <c r="N8" s="416"/>
      <c r="O8" s="418"/>
      <c r="P8" s="416"/>
      <c r="Q8" s="412"/>
    </row>
    <row r="9" spans="1:17" ht="130.5" customHeight="1">
      <c r="A9" s="40" t="s">
        <v>125</v>
      </c>
      <c r="B9" s="26"/>
      <c r="C9" s="26"/>
      <c r="D9" s="26"/>
      <c r="E9" s="27"/>
      <c r="F9" s="27"/>
      <c r="G9" s="27"/>
      <c r="H9" s="27"/>
      <c r="I9" s="28"/>
      <c r="J9" s="28"/>
      <c r="K9" s="29"/>
      <c r="L9" s="79" t="s">
        <v>135</v>
      </c>
      <c r="M9" s="77" t="s">
        <v>147</v>
      </c>
      <c r="N9" s="80" t="s">
        <v>150</v>
      </c>
      <c r="O9" s="77" t="s">
        <v>163</v>
      </c>
      <c r="P9" s="77" t="s">
        <v>170</v>
      </c>
      <c r="Q9" s="81" t="s">
        <v>179</v>
      </c>
    </row>
    <row r="10" spans="1:17" s="137" customFormat="1" ht="132" customHeight="1">
      <c r="A10" s="133" t="s">
        <v>126</v>
      </c>
      <c r="B10" s="134"/>
      <c r="C10" s="134"/>
      <c r="D10" s="134"/>
      <c r="E10" s="135"/>
      <c r="F10" s="135"/>
      <c r="G10" s="135"/>
      <c r="H10" s="135"/>
      <c r="I10" s="134"/>
      <c r="J10" s="134"/>
      <c r="K10" s="136"/>
      <c r="L10" s="90" t="s">
        <v>136</v>
      </c>
      <c r="M10" s="91" t="s">
        <v>147</v>
      </c>
      <c r="N10" s="92" t="s">
        <v>151</v>
      </c>
      <c r="O10" s="91" t="s">
        <v>164</v>
      </c>
      <c r="P10" s="91" t="s">
        <v>171</v>
      </c>
      <c r="Q10" s="93" t="s">
        <v>180</v>
      </c>
    </row>
    <row r="11" spans="1:17" s="94" customFormat="1" ht="142.5" customHeight="1">
      <c r="A11" s="40" t="s">
        <v>127</v>
      </c>
      <c r="B11" s="88"/>
      <c r="C11" s="88"/>
      <c r="D11" s="88"/>
      <c r="E11" s="23"/>
      <c r="F11" s="23"/>
      <c r="G11" s="22"/>
      <c r="H11" s="22"/>
      <c r="I11" s="88"/>
      <c r="J11" s="88"/>
      <c r="K11" s="89"/>
      <c r="L11" s="130" t="s">
        <v>137</v>
      </c>
      <c r="M11" s="131" t="s">
        <v>147</v>
      </c>
      <c r="N11" s="132" t="s">
        <v>152</v>
      </c>
      <c r="O11" s="131" t="s">
        <v>165</v>
      </c>
      <c r="P11" s="131" t="s">
        <v>172</v>
      </c>
      <c r="Q11" s="93" t="s">
        <v>180</v>
      </c>
    </row>
    <row r="12" spans="1:17" s="94" customFormat="1" ht="142.5" customHeight="1">
      <c r="A12" s="40" t="s">
        <v>128</v>
      </c>
      <c r="B12" s="88"/>
      <c r="C12" s="88"/>
      <c r="D12" s="88"/>
      <c r="E12" s="23"/>
      <c r="F12" s="23"/>
      <c r="G12" s="22"/>
      <c r="H12" s="22"/>
      <c r="I12" s="88"/>
      <c r="J12" s="88"/>
      <c r="K12" s="89"/>
      <c r="L12" s="99" t="s">
        <v>138</v>
      </c>
      <c r="M12" s="100" t="s">
        <v>147</v>
      </c>
      <c r="N12" s="96" t="s">
        <v>153</v>
      </c>
      <c r="O12" s="95" t="s">
        <v>166</v>
      </c>
      <c r="P12" s="95" t="s">
        <v>173</v>
      </c>
      <c r="Q12" s="97" t="s">
        <v>181</v>
      </c>
    </row>
    <row r="13" spans="1:17" ht="90" customHeight="1">
      <c r="A13" s="44" t="s">
        <v>129</v>
      </c>
      <c r="B13" s="21"/>
      <c r="C13" s="21"/>
      <c r="D13" s="21"/>
      <c r="E13" s="22"/>
      <c r="F13" s="22"/>
      <c r="G13" s="23"/>
      <c r="H13" s="22"/>
      <c r="I13" s="24"/>
      <c r="J13" s="24"/>
      <c r="K13" s="25"/>
      <c r="L13" s="79" t="s">
        <v>139</v>
      </c>
      <c r="M13" s="77" t="s">
        <v>145</v>
      </c>
      <c r="N13" s="80" t="s">
        <v>154</v>
      </c>
      <c r="O13" s="77" t="s">
        <v>167</v>
      </c>
      <c r="P13" s="77" t="s">
        <v>174</v>
      </c>
      <c r="Q13" s="81" t="s">
        <v>182</v>
      </c>
    </row>
    <row r="14" spans="1:17" ht="106.5" customHeight="1">
      <c r="A14" s="45" t="s">
        <v>130</v>
      </c>
      <c r="B14" s="26"/>
      <c r="C14" s="26"/>
      <c r="D14" s="26"/>
      <c r="E14" s="27"/>
      <c r="F14" s="27"/>
      <c r="G14" s="27"/>
      <c r="H14" s="27"/>
      <c r="I14" s="28"/>
      <c r="J14" s="28"/>
      <c r="K14" s="29"/>
      <c r="L14" s="82" t="s">
        <v>140</v>
      </c>
      <c r="M14" s="77" t="s">
        <v>144</v>
      </c>
      <c r="N14" s="80" t="s">
        <v>155</v>
      </c>
      <c r="O14" s="77" t="s">
        <v>160</v>
      </c>
      <c r="P14" s="77" t="s">
        <v>175</v>
      </c>
      <c r="Q14" s="81" t="s">
        <v>183</v>
      </c>
    </row>
    <row r="15" spans="1:17" ht="86.25" customHeight="1" thickBot="1">
      <c r="A15" s="46" t="s">
        <v>131</v>
      </c>
      <c r="B15" s="26"/>
      <c r="C15" s="26"/>
      <c r="D15" s="26"/>
      <c r="E15" s="27"/>
      <c r="F15" s="27"/>
      <c r="G15" s="27"/>
      <c r="H15" s="27"/>
      <c r="I15" s="28"/>
      <c r="J15" s="28"/>
      <c r="K15" s="29"/>
      <c r="L15" s="83" t="s">
        <v>141</v>
      </c>
      <c r="M15" s="77" t="s">
        <v>143</v>
      </c>
      <c r="N15" s="80" t="s">
        <v>156</v>
      </c>
      <c r="O15" s="77" t="s">
        <v>159</v>
      </c>
      <c r="P15" s="77" t="s">
        <v>176</v>
      </c>
      <c r="Q15" s="81" t="s">
        <v>184</v>
      </c>
    </row>
    <row r="16" spans="1:17" ht="90" customHeight="1" thickBot="1">
      <c r="A16" s="98" t="s">
        <v>132</v>
      </c>
      <c r="B16" s="30"/>
      <c r="C16" s="30"/>
      <c r="D16" s="30"/>
      <c r="E16" s="31"/>
      <c r="F16" s="31"/>
      <c r="G16" s="31"/>
      <c r="H16" s="31"/>
      <c r="I16" s="32"/>
      <c r="J16" s="32"/>
      <c r="K16" s="33"/>
      <c r="L16" s="84" t="s">
        <v>142</v>
      </c>
      <c r="M16" s="149"/>
      <c r="N16" s="85" t="s">
        <v>157</v>
      </c>
      <c r="O16" s="86" t="s">
        <v>158</v>
      </c>
      <c r="P16" s="86" t="s">
        <v>34</v>
      </c>
      <c r="Q16" s="87"/>
    </row>
  </sheetData>
  <mergeCells count="23">
    <mergeCell ref="P4:P5"/>
    <mergeCell ref="Q4:Q5"/>
    <mergeCell ref="F1:N2"/>
    <mergeCell ref="Q7:Q8"/>
    <mergeCell ref="A7:A8"/>
    <mergeCell ref="L7:L8"/>
    <mergeCell ref="M7:M8"/>
    <mergeCell ref="N7:N8"/>
    <mergeCell ref="O7:O8"/>
    <mergeCell ref="P7:P8"/>
    <mergeCell ref="A1:E2"/>
    <mergeCell ref="A3:A5"/>
    <mergeCell ref="B3:L3"/>
    <mergeCell ref="M3:Q3"/>
    <mergeCell ref="B4:D5"/>
    <mergeCell ref="E4:H4"/>
    <mergeCell ref="E5:H5"/>
    <mergeCell ref="I5:K5"/>
    <mergeCell ref="M4:M5"/>
    <mergeCell ref="N4:N5"/>
    <mergeCell ref="O4:O5"/>
    <mergeCell ref="I4:K4"/>
    <mergeCell ref="L4:L5"/>
  </mergeCells>
  <phoneticPr fontId="1" type="noConversion"/>
  <printOptions horizontalCentered="1"/>
  <pageMargins left="0.19685039370078741" right="0.19685039370078741" top="0.64" bottom="0.35433070866141736" header="0.51181102362204722" footer="0.19685039370078741"/>
  <pageSetup paperSize="9" scale="78"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Y35"/>
  <sheetViews>
    <sheetView view="pageBreakPreview" zoomScale="85" zoomScaleSheetLayoutView="85" workbookViewId="0">
      <selection activeCell="D15" sqref="D15"/>
    </sheetView>
  </sheetViews>
  <sheetFormatPr defaultRowHeight="12"/>
  <cols>
    <col min="1" max="14" width="1.44140625" style="51" customWidth="1"/>
    <col min="15" max="15" width="6.44140625" style="51" customWidth="1"/>
    <col min="16" max="26" width="1.44140625" style="51" customWidth="1"/>
    <col min="27" max="27" width="4.21875" style="51" customWidth="1"/>
    <col min="28" max="35" width="1.44140625" style="51" customWidth="1"/>
    <col min="36" max="36" width="6.5546875" style="51" customWidth="1"/>
    <col min="37" max="64" width="1.44140625" style="51" customWidth="1"/>
    <col min="65" max="65" width="4.77734375" style="51" customWidth="1"/>
    <col min="66" max="117" width="1.44140625" style="51" customWidth="1"/>
    <col min="118" max="255" width="8.88671875" style="51"/>
    <col min="256" max="320" width="1.44140625" style="51" customWidth="1"/>
    <col min="321" max="321" width="4.77734375" style="51" customWidth="1"/>
    <col min="322" max="373" width="1.44140625" style="51" customWidth="1"/>
    <col min="374" max="511" width="8.88671875" style="51"/>
    <col min="512" max="576" width="1.44140625" style="51" customWidth="1"/>
    <col min="577" max="577" width="4.77734375" style="51" customWidth="1"/>
    <col min="578" max="629" width="1.44140625" style="51" customWidth="1"/>
    <col min="630" max="767" width="8.88671875" style="51"/>
    <col min="768" max="832" width="1.44140625" style="51" customWidth="1"/>
    <col min="833" max="833" width="4.77734375" style="51" customWidth="1"/>
    <col min="834" max="885" width="1.44140625" style="51" customWidth="1"/>
    <col min="886" max="1023" width="8.88671875" style="51"/>
    <col min="1024" max="1088" width="1.44140625" style="51" customWidth="1"/>
    <col min="1089" max="1089" width="4.77734375" style="51" customWidth="1"/>
    <col min="1090" max="1141" width="1.44140625" style="51" customWidth="1"/>
    <col min="1142" max="1279" width="8.88671875" style="51"/>
    <col min="1280" max="1344" width="1.44140625" style="51" customWidth="1"/>
    <col min="1345" max="1345" width="4.77734375" style="51" customWidth="1"/>
    <col min="1346" max="1397" width="1.44140625" style="51" customWidth="1"/>
    <col min="1398" max="1535" width="8.88671875" style="51"/>
    <col min="1536" max="1600" width="1.44140625" style="51" customWidth="1"/>
    <col min="1601" max="1601" width="4.77734375" style="51" customWidth="1"/>
    <col min="1602" max="1653" width="1.44140625" style="51" customWidth="1"/>
    <col min="1654" max="1791" width="8.88671875" style="51"/>
    <col min="1792" max="1856" width="1.44140625" style="51" customWidth="1"/>
    <col min="1857" max="1857" width="4.77734375" style="51" customWidth="1"/>
    <col min="1858" max="1909" width="1.44140625" style="51" customWidth="1"/>
    <col min="1910" max="2047" width="8.88671875" style="51"/>
    <col min="2048" max="2112" width="1.44140625" style="51" customWidth="1"/>
    <col min="2113" max="2113" width="4.77734375" style="51" customWidth="1"/>
    <col min="2114" max="2165" width="1.44140625" style="51" customWidth="1"/>
    <col min="2166" max="2303" width="8.88671875" style="51"/>
    <col min="2304" max="2368" width="1.44140625" style="51" customWidth="1"/>
    <col min="2369" max="2369" width="4.77734375" style="51" customWidth="1"/>
    <col min="2370" max="2421" width="1.44140625" style="51" customWidth="1"/>
    <col min="2422" max="2559" width="8.88671875" style="51"/>
    <col min="2560" max="2624" width="1.44140625" style="51" customWidth="1"/>
    <col min="2625" max="2625" width="4.77734375" style="51" customWidth="1"/>
    <col min="2626" max="2677" width="1.44140625" style="51" customWidth="1"/>
    <col min="2678" max="2815" width="8.88671875" style="51"/>
    <col min="2816" max="2880" width="1.44140625" style="51" customWidth="1"/>
    <col min="2881" max="2881" width="4.77734375" style="51" customWidth="1"/>
    <col min="2882" max="2933" width="1.44140625" style="51" customWidth="1"/>
    <col min="2934" max="3071" width="8.88671875" style="51"/>
    <col min="3072" max="3136" width="1.44140625" style="51" customWidth="1"/>
    <col min="3137" max="3137" width="4.77734375" style="51" customWidth="1"/>
    <col min="3138" max="3189" width="1.44140625" style="51" customWidth="1"/>
    <col min="3190" max="3327" width="8.88671875" style="51"/>
    <col min="3328" max="3392" width="1.44140625" style="51" customWidth="1"/>
    <col min="3393" max="3393" width="4.77734375" style="51" customWidth="1"/>
    <col min="3394" max="3445" width="1.44140625" style="51" customWidth="1"/>
    <col min="3446" max="3583" width="8.88671875" style="51"/>
    <col min="3584" max="3648" width="1.44140625" style="51" customWidth="1"/>
    <col min="3649" max="3649" width="4.77734375" style="51" customWidth="1"/>
    <col min="3650" max="3701" width="1.44140625" style="51" customWidth="1"/>
    <col min="3702" max="3839" width="8.88671875" style="51"/>
    <col min="3840" max="3904" width="1.44140625" style="51" customWidth="1"/>
    <col min="3905" max="3905" width="4.77734375" style="51" customWidth="1"/>
    <col min="3906" max="3957" width="1.44140625" style="51" customWidth="1"/>
    <col min="3958" max="4095" width="8.88671875" style="51"/>
    <col min="4096" max="4160" width="1.44140625" style="51" customWidth="1"/>
    <col min="4161" max="4161" width="4.77734375" style="51" customWidth="1"/>
    <col min="4162" max="4213" width="1.44140625" style="51" customWidth="1"/>
    <col min="4214" max="4351" width="8.88671875" style="51"/>
    <col min="4352" max="4416" width="1.44140625" style="51" customWidth="1"/>
    <col min="4417" max="4417" width="4.77734375" style="51" customWidth="1"/>
    <col min="4418" max="4469" width="1.44140625" style="51" customWidth="1"/>
    <col min="4470" max="4607" width="8.88671875" style="51"/>
    <col min="4608" max="4672" width="1.44140625" style="51" customWidth="1"/>
    <col min="4673" max="4673" width="4.77734375" style="51" customWidth="1"/>
    <col min="4674" max="4725" width="1.44140625" style="51" customWidth="1"/>
    <col min="4726" max="4863" width="8.88671875" style="51"/>
    <col min="4864" max="4928" width="1.44140625" style="51" customWidth="1"/>
    <col min="4929" max="4929" width="4.77734375" style="51" customWidth="1"/>
    <col min="4930" max="4981" width="1.44140625" style="51" customWidth="1"/>
    <col min="4982" max="5119" width="8.88671875" style="51"/>
    <col min="5120" max="5184" width="1.44140625" style="51" customWidth="1"/>
    <col min="5185" max="5185" width="4.77734375" style="51" customWidth="1"/>
    <col min="5186" max="5237" width="1.44140625" style="51" customWidth="1"/>
    <col min="5238" max="5375" width="8.88671875" style="51"/>
    <col min="5376" max="5440" width="1.44140625" style="51" customWidth="1"/>
    <col min="5441" max="5441" width="4.77734375" style="51" customWidth="1"/>
    <col min="5442" max="5493" width="1.44140625" style="51" customWidth="1"/>
    <col min="5494" max="5631" width="8.88671875" style="51"/>
    <col min="5632" max="5696" width="1.44140625" style="51" customWidth="1"/>
    <col min="5697" max="5697" width="4.77734375" style="51" customWidth="1"/>
    <col min="5698" max="5749" width="1.44140625" style="51" customWidth="1"/>
    <col min="5750" max="5887" width="8.88671875" style="51"/>
    <col min="5888" max="5952" width="1.44140625" style="51" customWidth="1"/>
    <col min="5953" max="5953" width="4.77734375" style="51" customWidth="1"/>
    <col min="5954" max="6005" width="1.44140625" style="51" customWidth="1"/>
    <col min="6006" max="6143" width="8.88671875" style="51"/>
    <col min="6144" max="6208" width="1.44140625" style="51" customWidth="1"/>
    <col min="6209" max="6209" width="4.77734375" style="51" customWidth="1"/>
    <col min="6210" max="6261" width="1.44140625" style="51" customWidth="1"/>
    <col min="6262" max="6399" width="8.88671875" style="51"/>
    <col min="6400" max="6464" width="1.44140625" style="51" customWidth="1"/>
    <col min="6465" max="6465" width="4.77734375" style="51" customWidth="1"/>
    <col min="6466" max="6517" width="1.44140625" style="51" customWidth="1"/>
    <col min="6518" max="6655" width="8.88671875" style="51"/>
    <col min="6656" max="6720" width="1.44140625" style="51" customWidth="1"/>
    <col min="6721" max="6721" width="4.77734375" style="51" customWidth="1"/>
    <col min="6722" max="6773" width="1.44140625" style="51" customWidth="1"/>
    <col min="6774" max="6911" width="8.88671875" style="51"/>
    <col min="6912" max="6976" width="1.44140625" style="51" customWidth="1"/>
    <col min="6977" max="6977" width="4.77734375" style="51" customWidth="1"/>
    <col min="6978" max="7029" width="1.44140625" style="51" customWidth="1"/>
    <col min="7030" max="7167" width="8.88671875" style="51"/>
    <col min="7168" max="7232" width="1.44140625" style="51" customWidth="1"/>
    <col min="7233" max="7233" width="4.77734375" style="51" customWidth="1"/>
    <col min="7234" max="7285" width="1.44140625" style="51" customWidth="1"/>
    <col min="7286" max="7423" width="8.88671875" style="51"/>
    <col min="7424" max="7488" width="1.44140625" style="51" customWidth="1"/>
    <col min="7489" max="7489" width="4.77734375" style="51" customWidth="1"/>
    <col min="7490" max="7541" width="1.44140625" style="51" customWidth="1"/>
    <col min="7542" max="7679" width="8.88671875" style="51"/>
    <col min="7680" max="7744" width="1.44140625" style="51" customWidth="1"/>
    <col min="7745" max="7745" width="4.77734375" style="51" customWidth="1"/>
    <col min="7746" max="7797" width="1.44140625" style="51" customWidth="1"/>
    <col min="7798" max="7935" width="8.88671875" style="51"/>
    <col min="7936" max="8000" width="1.44140625" style="51" customWidth="1"/>
    <col min="8001" max="8001" width="4.77734375" style="51" customWidth="1"/>
    <col min="8002" max="8053" width="1.44140625" style="51" customWidth="1"/>
    <col min="8054" max="8191" width="8.88671875" style="51"/>
    <col min="8192" max="8256" width="1.44140625" style="51" customWidth="1"/>
    <col min="8257" max="8257" width="4.77734375" style="51" customWidth="1"/>
    <col min="8258" max="8309" width="1.44140625" style="51" customWidth="1"/>
    <col min="8310" max="8447" width="8.88671875" style="51"/>
    <col min="8448" max="8512" width="1.44140625" style="51" customWidth="1"/>
    <col min="8513" max="8513" width="4.77734375" style="51" customWidth="1"/>
    <col min="8514" max="8565" width="1.44140625" style="51" customWidth="1"/>
    <col min="8566" max="8703" width="8.88671875" style="51"/>
    <col min="8704" max="8768" width="1.44140625" style="51" customWidth="1"/>
    <col min="8769" max="8769" width="4.77734375" style="51" customWidth="1"/>
    <col min="8770" max="8821" width="1.44140625" style="51" customWidth="1"/>
    <col min="8822" max="8959" width="8.88671875" style="51"/>
    <col min="8960" max="9024" width="1.44140625" style="51" customWidth="1"/>
    <col min="9025" max="9025" width="4.77734375" style="51" customWidth="1"/>
    <col min="9026" max="9077" width="1.44140625" style="51" customWidth="1"/>
    <col min="9078" max="9215" width="8.88671875" style="51"/>
    <col min="9216" max="9280" width="1.44140625" style="51" customWidth="1"/>
    <col min="9281" max="9281" width="4.77734375" style="51" customWidth="1"/>
    <col min="9282" max="9333" width="1.44140625" style="51" customWidth="1"/>
    <col min="9334" max="9471" width="8.88671875" style="51"/>
    <col min="9472" max="9536" width="1.44140625" style="51" customWidth="1"/>
    <col min="9537" max="9537" width="4.77734375" style="51" customWidth="1"/>
    <col min="9538" max="9589" width="1.44140625" style="51" customWidth="1"/>
    <col min="9590" max="9727" width="8.88671875" style="51"/>
    <col min="9728" max="9792" width="1.44140625" style="51" customWidth="1"/>
    <col min="9793" max="9793" width="4.77734375" style="51" customWidth="1"/>
    <col min="9794" max="9845" width="1.44140625" style="51" customWidth="1"/>
    <col min="9846" max="9983" width="8.88671875" style="51"/>
    <col min="9984" max="10048" width="1.44140625" style="51" customWidth="1"/>
    <col min="10049" max="10049" width="4.77734375" style="51" customWidth="1"/>
    <col min="10050" max="10101" width="1.44140625" style="51" customWidth="1"/>
    <col min="10102" max="10239" width="8.88671875" style="51"/>
    <col min="10240" max="10304" width="1.44140625" style="51" customWidth="1"/>
    <col min="10305" max="10305" width="4.77734375" style="51" customWidth="1"/>
    <col min="10306" max="10357" width="1.44140625" style="51" customWidth="1"/>
    <col min="10358" max="10495" width="8.88671875" style="51"/>
    <col min="10496" max="10560" width="1.44140625" style="51" customWidth="1"/>
    <col min="10561" max="10561" width="4.77734375" style="51" customWidth="1"/>
    <col min="10562" max="10613" width="1.44140625" style="51" customWidth="1"/>
    <col min="10614" max="10751" width="8.88671875" style="51"/>
    <col min="10752" max="10816" width="1.44140625" style="51" customWidth="1"/>
    <col min="10817" max="10817" width="4.77734375" style="51" customWidth="1"/>
    <col min="10818" max="10869" width="1.44140625" style="51" customWidth="1"/>
    <col min="10870" max="11007" width="8.88671875" style="51"/>
    <col min="11008" max="11072" width="1.44140625" style="51" customWidth="1"/>
    <col min="11073" max="11073" width="4.77734375" style="51" customWidth="1"/>
    <col min="11074" max="11125" width="1.44140625" style="51" customWidth="1"/>
    <col min="11126" max="11263" width="8.88671875" style="51"/>
    <col min="11264" max="11328" width="1.44140625" style="51" customWidth="1"/>
    <col min="11329" max="11329" width="4.77734375" style="51" customWidth="1"/>
    <col min="11330" max="11381" width="1.44140625" style="51" customWidth="1"/>
    <col min="11382" max="11519" width="8.88671875" style="51"/>
    <col min="11520" max="11584" width="1.44140625" style="51" customWidth="1"/>
    <col min="11585" max="11585" width="4.77734375" style="51" customWidth="1"/>
    <col min="11586" max="11637" width="1.44140625" style="51" customWidth="1"/>
    <col min="11638" max="11775" width="8.88671875" style="51"/>
    <col min="11776" max="11840" width="1.44140625" style="51" customWidth="1"/>
    <col min="11841" max="11841" width="4.77734375" style="51" customWidth="1"/>
    <col min="11842" max="11893" width="1.44140625" style="51" customWidth="1"/>
    <col min="11894" max="12031" width="8.88671875" style="51"/>
    <col min="12032" max="12096" width="1.44140625" style="51" customWidth="1"/>
    <col min="12097" max="12097" width="4.77734375" style="51" customWidth="1"/>
    <col min="12098" max="12149" width="1.44140625" style="51" customWidth="1"/>
    <col min="12150" max="12287" width="8.88671875" style="51"/>
    <col min="12288" max="12352" width="1.44140625" style="51" customWidth="1"/>
    <col min="12353" max="12353" width="4.77734375" style="51" customWidth="1"/>
    <col min="12354" max="12405" width="1.44140625" style="51" customWidth="1"/>
    <col min="12406" max="12543" width="8.88671875" style="51"/>
    <col min="12544" max="12608" width="1.44140625" style="51" customWidth="1"/>
    <col min="12609" max="12609" width="4.77734375" style="51" customWidth="1"/>
    <col min="12610" max="12661" width="1.44140625" style="51" customWidth="1"/>
    <col min="12662" max="12799" width="8.88671875" style="51"/>
    <col min="12800" max="12864" width="1.44140625" style="51" customWidth="1"/>
    <col min="12865" max="12865" width="4.77734375" style="51" customWidth="1"/>
    <col min="12866" max="12917" width="1.44140625" style="51" customWidth="1"/>
    <col min="12918" max="13055" width="8.88671875" style="51"/>
    <col min="13056" max="13120" width="1.44140625" style="51" customWidth="1"/>
    <col min="13121" max="13121" width="4.77734375" style="51" customWidth="1"/>
    <col min="13122" max="13173" width="1.44140625" style="51" customWidth="1"/>
    <col min="13174" max="13311" width="8.88671875" style="51"/>
    <col min="13312" max="13376" width="1.44140625" style="51" customWidth="1"/>
    <col min="13377" max="13377" width="4.77734375" style="51" customWidth="1"/>
    <col min="13378" max="13429" width="1.44140625" style="51" customWidth="1"/>
    <col min="13430" max="13567" width="8.88671875" style="51"/>
    <col min="13568" max="13632" width="1.44140625" style="51" customWidth="1"/>
    <col min="13633" max="13633" width="4.77734375" style="51" customWidth="1"/>
    <col min="13634" max="13685" width="1.44140625" style="51" customWidth="1"/>
    <col min="13686" max="13823" width="8.88671875" style="51"/>
    <col min="13824" max="13888" width="1.44140625" style="51" customWidth="1"/>
    <col min="13889" max="13889" width="4.77734375" style="51" customWidth="1"/>
    <col min="13890" max="13941" width="1.44140625" style="51" customWidth="1"/>
    <col min="13942" max="14079" width="8.88671875" style="51"/>
    <col min="14080" max="14144" width="1.44140625" style="51" customWidth="1"/>
    <col min="14145" max="14145" width="4.77734375" style="51" customWidth="1"/>
    <col min="14146" max="14197" width="1.44140625" style="51" customWidth="1"/>
    <col min="14198" max="14335" width="8.88671875" style="51"/>
    <col min="14336" max="14400" width="1.44140625" style="51" customWidth="1"/>
    <col min="14401" max="14401" width="4.77734375" style="51" customWidth="1"/>
    <col min="14402" max="14453" width="1.44140625" style="51" customWidth="1"/>
    <col min="14454" max="14591" width="8.88671875" style="51"/>
    <col min="14592" max="14656" width="1.44140625" style="51" customWidth="1"/>
    <col min="14657" max="14657" width="4.77734375" style="51" customWidth="1"/>
    <col min="14658" max="14709" width="1.44140625" style="51" customWidth="1"/>
    <col min="14710" max="14847" width="8.88671875" style="51"/>
    <col min="14848" max="14912" width="1.44140625" style="51" customWidth="1"/>
    <col min="14913" max="14913" width="4.77734375" style="51" customWidth="1"/>
    <col min="14914" max="14965" width="1.44140625" style="51" customWidth="1"/>
    <col min="14966" max="15103" width="8.88671875" style="51"/>
    <col min="15104" max="15168" width="1.44140625" style="51" customWidth="1"/>
    <col min="15169" max="15169" width="4.77734375" style="51" customWidth="1"/>
    <col min="15170" max="15221" width="1.44140625" style="51" customWidth="1"/>
    <col min="15222" max="15359" width="8.88671875" style="51"/>
    <col min="15360" max="15424" width="1.44140625" style="51" customWidth="1"/>
    <col min="15425" max="15425" width="4.77734375" style="51" customWidth="1"/>
    <col min="15426" max="15477" width="1.44140625" style="51" customWidth="1"/>
    <col min="15478" max="15615" width="8.88671875" style="51"/>
    <col min="15616" max="15680" width="1.44140625" style="51" customWidth="1"/>
    <col min="15681" max="15681" width="4.77734375" style="51" customWidth="1"/>
    <col min="15682" max="15733" width="1.44140625" style="51" customWidth="1"/>
    <col min="15734" max="15871" width="8.88671875" style="51"/>
    <col min="15872" max="15936" width="1.44140625" style="51" customWidth="1"/>
    <col min="15937" max="15937" width="4.77734375" style="51" customWidth="1"/>
    <col min="15938" max="15989" width="1.44140625" style="51" customWidth="1"/>
    <col min="15990" max="16127" width="8.88671875" style="51"/>
    <col min="16128" max="16192" width="1.44140625" style="51" customWidth="1"/>
    <col min="16193" max="16193" width="4.77734375" style="51" customWidth="1"/>
    <col min="16194" max="16245" width="1.44140625" style="51" customWidth="1"/>
    <col min="16246" max="16384" width="8.88671875" style="51"/>
  </cols>
  <sheetData>
    <row r="1" spans="1:77" ht="36.75" customHeight="1" thickTop="1">
      <c r="A1" s="47"/>
      <c r="B1" s="48"/>
      <c r="C1" s="48"/>
      <c r="D1" s="48"/>
      <c r="E1" s="48"/>
      <c r="F1" s="48"/>
      <c r="G1" s="48"/>
      <c r="H1" s="48"/>
      <c r="I1" s="48"/>
      <c r="J1" s="48"/>
      <c r="K1" s="48"/>
      <c r="L1" s="49"/>
      <c r="M1" s="49"/>
      <c r="N1" s="50"/>
      <c r="O1" s="438" t="s">
        <v>69</v>
      </c>
      <c r="P1" s="439"/>
      <c r="Q1" s="439"/>
      <c r="R1" s="439"/>
      <c r="S1" s="439"/>
      <c r="T1" s="439"/>
      <c r="U1" s="439"/>
      <c r="V1" s="439"/>
      <c r="W1" s="439"/>
      <c r="X1" s="439"/>
      <c r="Y1" s="439"/>
      <c r="Z1" s="439"/>
      <c r="AA1" s="439"/>
      <c r="AB1" s="439"/>
      <c r="AC1" s="439"/>
      <c r="AD1" s="439"/>
      <c r="AE1" s="439"/>
      <c r="AF1" s="439"/>
      <c r="AG1" s="439"/>
      <c r="AH1" s="439"/>
      <c r="AI1" s="439"/>
      <c r="AJ1" s="439"/>
      <c r="AK1" s="439"/>
      <c r="AL1" s="439"/>
      <c r="AM1" s="439"/>
      <c r="AN1" s="439"/>
      <c r="AO1" s="439"/>
      <c r="AP1" s="439"/>
      <c r="AQ1" s="439"/>
      <c r="AR1" s="439"/>
      <c r="AS1" s="439"/>
      <c r="AT1" s="439"/>
      <c r="AU1" s="439"/>
      <c r="AV1" s="439"/>
      <c r="AW1" s="439"/>
      <c r="AX1" s="439"/>
      <c r="AY1" s="440"/>
      <c r="AZ1" s="444" t="s">
        <v>35</v>
      </c>
      <c r="BA1" s="445"/>
      <c r="BB1" s="445"/>
      <c r="BC1" s="445"/>
      <c r="BD1" s="445"/>
      <c r="BE1" s="445"/>
      <c r="BF1" s="445"/>
      <c r="BG1" s="444" t="s">
        <v>37</v>
      </c>
      <c r="BH1" s="445"/>
      <c r="BI1" s="445"/>
      <c r="BJ1" s="445"/>
      <c r="BK1" s="445"/>
      <c r="BL1" s="445"/>
      <c r="BM1" s="445"/>
      <c r="BN1" s="444" t="s">
        <v>185</v>
      </c>
      <c r="BO1" s="444"/>
      <c r="BP1" s="444"/>
      <c r="BQ1" s="444"/>
      <c r="BR1" s="444"/>
      <c r="BS1" s="444"/>
      <c r="BT1" s="444"/>
      <c r="BU1" s="446" t="s">
        <v>113</v>
      </c>
      <c r="BV1" s="447"/>
      <c r="BW1" s="447"/>
      <c r="BX1" s="447"/>
      <c r="BY1" s="448"/>
    </row>
    <row r="2" spans="1:77" ht="38.25" customHeight="1" thickBot="1">
      <c r="A2" s="52"/>
      <c r="B2" s="53"/>
      <c r="C2" s="53"/>
      <c r="D2" s="53"/>
      <c r="E2" s="53"/>
      <c r="F2" s="53"/>
      <c r="G2" s="53"/>
      <c r="H2" s="53"/>
      <c r="I2" s="53"/>
      <c r="J2" s="53"/>
      <c r="K2" s="53"/>
      <c r="L2" s="54"/>
      <c r="M2" s="54"/>
      <c r="N2" s="55"/>
      <c r="O2" s="441"/>
      <c r="P2" s="442"/>
      <c r="Q2" s="442"/>
      <c r="R2" s="442"/>
      <c r="S2" s="442"/>
      <c r="T2" s="442"/>
      <c r="U2" s="442"/>
      <c r="V2" s="442"/>
      <c r="W2" s="442"/>
      <c r="X2" s="442"/>
      <c r="Y2" s="442"/>
      <c r="Z2" s="442"/>
      <c r="AA2" s="442"/>
      <c r="AB2" s="442"/>
      <c r="AC2" s="442"/>
      <c r="AD2" s="442"/>
      <c r="AE2" s="442"/>
      <c r="AF2" s="442"/>
      <c r="AG2" s="442"/>
      <c r="AH2" s="442"/>
      <c r="AI2" s="442"/>
      <c r="AJ2" s="442"/>
      <c r="AK2" s="442"/>
      <c r="AL2" s="442"/>
      <c r="AM2" s="442"/>
      <c r="AN2" s="442"/>
      <c r="AO2" s="442"/>
      <c r="AP2" s="442"/>
      <c r="AQ2" s="442"/>
      <c r="AR2" s="442"/>
      <c r="AS2" s="442"/>
      <c r="AT2" s="442"/>
      <c r="AU2" s="442"/>
      <c r="AV2" s="442"/>
      <c r="AW2" s="442"/>
      <c r="AX2" s="442"/>
      <c r="AY2" s="443"/>
      <c r="AZ2" s="449" t="s">
        <v>36</v>
      </c>
      <c r="BA2" s="450"/>
      <c r="BB2" s="450"/>
      <c r="BC2" s="450"/>
      <c r="BD2" s="450"/>
      <c r="BE2" s="450"/>
      <c r="BF2" s="450"/>
      <c r="BG2" s="451" t="s">
        <v>112</v>
      </c>
      <c r="BH2" s="451"/>
      <c r="BI2" s="451"/>
      <c r="BJ2" s="451"/>
      <c r="BK2" s="451"/>
      <c r="BL2" s="451"/>
      <c r="BM2" s="451"/>
      <c r="BN2" s="449" t="s">
        <v>38</v>
      </c>
      <c r="BO2" s="450"/>
      <c r="BP2" s="450"/>
      <c r="BQ2" s="450"/>
      <c r="BR2" s="450"/>
      <c r="BS2" s="450"/>
      <c r="BT2" s="450"/>
      <c r="BU2" s="452" t="s">
        <v>4</v>
      </c>
      <c r="BV2" s="451"/>
      <c r="BW2" s="451"/>
      <c r="BX2" s="451"/>
      <c r="BY2" s="453"/>
    </row>
    <row r="3" spans="1:77" ht="16.5" customHeight="1">
      <c r="A3" s="56"/>
      <c r="B3" s="57"/>
      <c r="C3" s="57"/>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8"/>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c r="BN3" s="57"/>
      <c r="BO3" s="57"/>
      <c r="BP3" s="57"/>
      <c r="BQ3" s="57"/>
      <c r="BR3" s="57"/>
      <c r="BS3" s="57"/>
      <c r="BT3" s="57"/>
      <c r="BU3" s="57"/>
      <c r="BV3" s="57"/>
      <c r="BW3" s="57"/>
      <c r="BX3" s="57"/>
      <c r="BY3" s="59"/>
    </row>
    <row r="4" spans="1:77" ht="16.5" customHeight="1">
      <c r="A4" s="434" t="s">
        <v>191</v>
      </c>
      <c r="B4" s="435"/>
      <c r="C4" s="435"/>
      <c r="D4" s="435"/>
      <c r="E4" s="435"/>
      <c r="F4" s="435"/>
      <c r="G4" s="435"/>
      <c r="H4" s="435"/>
      <c r="I4" s="435"/>
      <c r="J4" s="435"/>
      <c r="K4" s="435"/>
      <c r="L4" s="435"/>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6"/>
      <c r="AM4" s="60"/>
      <c r="AN4" s="61"/>
      <c r="AO4" s="61"/>
      <c r="AP4" s="437"/>
      <c r="AQ4" s="437"/>
      <c r="AR4" s="437"/>
      <c r="AS4" s="437"/>
      <c r="AT4" s="437"/>
      <c r="AU4" s="437"/>
      <c r="AV4" s="437"/>
      <c r="AW4" s="437"/>
      <c r="AX4" s="437"/>
      <c r="AY4" s="437"/>
      <c r="AZ4" s="437"/>
      <c r="BA4" s="437"/>
      <c r="BB4" s="437"/>
      <c r="BC4" s="437"/>
      <c r="BD4" s="437"/>
      <c r="BE4" s="437"/>
      <c r="BF4" s="437"/>
      <c r="BG4" s="437"/>
      <c r="BH4" s="437"/>
      <c r="BI4" s="437"/>
      <c r="BJ4" s="437"/>
      <c r="BK4" s="437"/>
      <c r="BL4" s="437"/>
      <c r="BM4" s="437"/>
      <c r="BN4" s="437"/>
      <c r="BO4" s="437"/>
      <c r="BP4" s="437"/>
      <c r="BQ4" s="437"/>
      <c r="BR4" s="437"/>
      <c r="BS4" s="437"/>
      <c r="BT4" s="437"/>
      <c r="BU4" s="437"/>
      <c r="BV4" s="437"/>
      <c r="BW4" s="437"/>
      <c r="BX4" s="61"/>
      <c r="BY4" s="62"/>
    </row>
    <row r="5" spans="1:77" ht="33" customHeight="1" thickBot="1">
      <c r="A5" s="275"/>
      <c r="B5" s="276"/>
      <c r="C5" s="276" t="s">
        <v>192</v>
      </c>
      <c r="D5" s="276"/>
      <c r="E5" s="276"/>
      <c r="F5" s="276"/>
      <c r="G5" s="276"/>
      <c r="H5" s="276"/>
      <c r="I5" s="276"/>
      <c r="J5" s="276"/>
      <c r="K5" s="276"/>
      <c r="L5" s="276"/>
      <c r="M5" s="276"/>
      <c r="N5" s="276"/>
      <c r="O5" s="276"/>
      <c r="P5" s="276"/>
      <c r="Q5" s="276"/>
      <c r="R5" s="276"/>
      <c r="S5" s="276"/>
      <c r="T5" s="276"/>
      <c r="U5" s="276"/>
      <c r="V5" s="276"/>
      <c r="W5" s="276"/>
      <c r="X5" s="276"/>
      <c r="Y5" s="276"/>
      <c r="Z5" s="276"/>
      <c r="AA5" s="276"/>
      <c r="AB5" s="276"/>
      <c r="AC5" s="276"/>
      <c r="AD5" s="276"/>
      <c r="AE5" s="276"/>
      <c r="AF5" s="276"/>
      <c r="AG5" s="276"/>
      <c r="AH5" s="276"/>
      <c r="AI5" s="276"/>
      <c r="AJ5" s="276"/>
      <c r="AK5" s="276"/>
      <c r="AL5" s="276"/>
      <c r="AM5" s="60"/>
      <c r="AN5" s="61"/>
      <c r="AO5" s="61"/>
      <c r="AP5" s="437"/>
      <c r="AQ5" s="437"/>
      <c r="AR5" s="437"/>
      <c r="AS5" s="437"/>
      <c r="AT5" s="437"/>
      <c r="AU5" s="437"/>
      <c r="AV5" s="437"/>
      <c r="AW5" s="437"/>
      <c r="AX5" s="437"/>
      <c r="AY5" s="437"/>
      <c r="AZ5" s="437"/>
      <c r="BA5" s="437"/>
      <c r="BB5" s="437"/>
      <c r="BC5" s="437"/>
      <c r="BD5" s="437"/>
      <c r="BE5" s="437"/>
      <c r="BF5" s="437"/>
      <c r="BG5" s="437"/>
      <c r="BH5" s="437"/>
      <c r="BI5" s="437"/>
      <c r="BJ5" s="437"/>
      <c r="BK5" s="437"/>
      <c r="BL5" s="437"/>
      <c r="BM5" s="437"/>
      <c r="BN5" s="437"/>
      <c r="BO5" s="437"/>
      <c r="BP5" s="437"/>
      <c r="BQ5" s="437"/>
      <c r="BR5" s="437"/>
      <c r="BS5" s="437"/>
      <c r="BT5" s="437"/>
      <c r="BU5" s="437"/>
      <c r="BV5" s="437"/>
      <c r="BW5" s="437"/>
      <c r="BX5" s="61"/>
      <c r="BY5" s="62"/>
    </row>
    <row r="6" spans="1:77" ht="35.25" customHeight="1">
      <c r="A6" s="64"/>
      <c r="B6" s="65"/>
      <c r="C6" s="65"/>
      <c r="D6" s="466" t="s">
        <v>57</v>
      </c>
      <c r="E6" s="467"/>
      <c r="F6" s="467"/>
      <c r="G6" s="467"/>
      <c r="H6" s="467"/>
      <c r="I6" s="467"/>
      <c r="J6" s="467"/>
      <c r="K6" s="467"/>
      <c r="L6" s="467"/>
      <c r="M6" s="467"/>
      <c r="N6" s="467"/>
      <c r="O6" s="467"/>
      <c r="P6" s="467" t="s">
        <v>58</v>
      </c>
      <c r="Q6" s="467"/>
      <c r="R6" s="467"/>
      <c r="S6" s="467"/>
      <c r="T6" s="467"/>
      <c r="U6" s="467"/>
      <c r="V6" s="467"/>
      <c r="W6" s="467"/>
      <c r="X6" s="467"/>
      <c r="Y6" s="467"/>
      <c r="Z6" s="467"/>
      <c r="AA6" s="467"/>
      <c r="AB6" s="468" t="s">
        <v>59</v>
      </c>
      <c r="AC6" s="469"/>
      <c r="AD6" s="469"/>
      <c r="AE6" s="469"/>
      <c r="AF6" s="469"/>
      <c r="AG6" s="469"/>
      <c r="AH6" s="469"/>
      <c r="AI6" s="469"/>
      <c r="AJ6" s="470"/>
      <c r="AK6" s="65"/>
      <c r="AL6" s="65"/>
      <c r="AM6" s="66"/>
      <c r="AN6" s="65"/>
      <c r="AO6" s="65"/>
      <c r="AP6" s="437"/>
      <c r="AQ6" s="437"/>
      <c r="AR6" s="437"/>
      <c r="AS6" s="437"/>
      <c r="AT6" s="437"/>
      <c r="AU6" s="437"/>
      <c r="AV6" s="437"/>
      <c r="AW6" s="437"/>
      <c r="AX6" s="437"/>
      <c r="AY6" s="437"/>
      <c r="AZ6" s="437"/>
      <c r="BA6" s="437"/>
      <c r="BB6" s="437"/>
      <c r="BC6" s="437"/>
      <c r="BD6" s="437"/>
      <c r="BE6" s="437"/>
      <c r="BF6" s="437"/>
      <c r="BG6" s="437"/>
      <c r="BH6" s="437"/>
      <c r="BI6" s="437"/>
      <c r="BJ6" s="437"/>
      <c r="BK6" s="437"/>
      <c r="BL6" s="437"/>
      <c r="BM6" s="437"/>
      <c r="BN6" s="437"/>
      <c r="BO6" s="437"/>
      <c r="BP6" s="437"/>
      <c r="BQ6" s="437"/>
      <c r="BR6" s="437"/>
      <c r="BS6" s="437"/>
      <c r="BT6" s="437"/>
      <c r="BU6" s="437"/>
      <c r="BV6" s="437"/>
      <c r="BW6" s="437"/>
      <c r="BX6" s="65"/>
      <c r="BY6" s="67"/>
    </row>
    <row r="7" spans="1:77" ht="35.25" customHeight="1">
      <c r="A7" s="68"/>
      <c r="B7" s="69"/>
      <c r="C7" s="69"/>
      <c r="D7" s="454" t="s">
        <v>186</v>
      </c>
      <c r="E7" s="471"/>
      <c r="F7" s="471"/>
      <c r="G7" s="471"/>
      <c r="H7" s="471"/>
      <c r="I7" s="471"/>
      <c r="J7" s="471"/>
      <c r="K7" s="471"/>
      <c r="L7" s="471"/>
      <c r="M7" s="471"/>
      <c r="N7" s="471"/>
      <c r="O7" s="471"/>
      <c r="P7" s="456" t="s">
        <v>60</v>
      </c>
      <c r="Q7" s="456"/>
      <c r="R7" s="456"/>
      <c r="S7" s="456"/>
      <c r="T7" s="456"/>
      <c r="U7" s="456"/>
      <c r="V7" s="456"/>
      <c r="W7" s="456"/>
      <c r="X7" s="456"/>
      <c r="Y7" s="456"/>
      <c r="Z7" s="456"/>
      <c r="AA7" s="456"/>
      <c r="AB7" s="457" t="s">
        <v>61</v>
      </c>
      <c r="AC7" s="458"/>
      <c r="AD7" s="458"/>
      <c r="AE7" s="458"/>
      <c r="AF7" s="458"/>
      <c r="AG7" s="458"/>
      <c r="AH7" s="458"/>
      <c r="AI7" s="458"/>
      <c r="AJ7" s="459"/>
      <c r="AK7" s="69"/>
      <c r="AL7" s="69"/>
      <c r="AM7" s="70"/>
      <c r="AN7" s="69"/>
      <c r="AO7" s="69"/>
      <c r="AP7" s="437"/>
      <c r="AQ7" s="437"/>
      <c r="AR7" s="437"/>
      <c r="AS7" s="437"/>
      <c r="AT7" s="437"/>
      <c r="AU7" s="437"/>
      <c r="AV7" s="437"/>
      <c r="AW7" s="437"/>
      <c r="AX7" s="437"/>
      <c r="AY7" s="437"/>
      <c r="AZ7" s="437"/>
      <c r="BA7" s="437"/>
      <c r="BB7" s="437"/>
      <c r="BC7" s="437"/>
      <c r="BD7" s="437"/>
      <c r="BE7" s="437"/>
      <c r="BF7" s="437"/>
      <c r="BG7" s="437"/>
      <c r="BH7" s="437"/>
      <c r="BI7" s="437"/>
      <c r="BJ7" s="437"/>
      <c r="BK7" s="437"/>
      <c r="BL7" s="437"/>
      <c r="BM7" s="437"/>
      <c r="BN7" s="437"/>
      <c r="BO7" s="437"/>
      <c r="BP7" s="437"/>
      <c r="BQ7" s="437"/>
      <c r="BR7" s="437"/>
      <c r="BS7" s="437"/>
      <c r="BT7" s="437"/>
      <c r="BU7" s="437"/>
      <c r="BV7" s="437"/>
      <c r="BW7" s="437"/>
      <c r="BX7" s="69"/>
      <c r="BY7" s="71"/>
    </row>
    <row r="8" spans="1:77" ht="35.25" customHeight="1">
      <c r="A8" s="68"/>
      <c r="B8" s="69"/>
      <c r="C8" s="69"/>
      <c r="D8" s="454" t="s">
        <v>187</v>
      </c>
      <c r="E8" s="455"/>
      <c r="F8" s="455"/>
      <c r="G8" s="455"/>
      <c r="H8" s="455"/>
      <c r="I8" s="455"/>
      <c r="J8" s="455"/>
      <c r="K8" s="455"/>
      <c r="L8" s="455"/>
      <c r="M8" s="455"/>
      <c r="N8" s="455"/>
      <c r="O8" s="455"/>
      <c r="P8" s="456" t="s">
        <v>62</v>
      </c>
      <c r="Q8" s="456"/>
      <c r="R8" s="456"/>
      <c r="S8" s="456"/>
      <c r="T8" s="456"/>
      <c r="U8" s="456"/>
      <c r="V8" s="456"/>
      <c r="W8" s="456"/>
      <c r="X8" s="456"/>
      <c r="Y8" s="456"/>
      <c r="Z8" s="456"/>
      <c r="AA8" s="456"/>
      <c r="AB8" s="457" t="s">
        <v>63</v>
      </c>
      <c r="AC8" s="458"/>
      <c r="AD8" s="458"/>
      <c r="AE8" s="458"/>
      <c r="AF8" s="458"/>
      <c r="AG8" s="458"/>
      <c r="AH8" s="458"/>
      <c r="AI8" s="458"/>
      <c r="AJ8" s="459"/>
      <c r="AK8" s="69"/>
      <c r="AL8" s="69"/>
      <c r="AM8" s="70"/>
      <c r="AN8" s="69"/>
      <c r="AO8" s="69"/>
      <c r="AP8" s="437"/>
      <c r="AQ8" s="437"/>
      <c r="AR8" s="437"/>
      <c r="AS8" s="437"/>
      <c r="AT8" s="437"/>
      <c r="AU8" s="437"/>
      <c r="AV8" s="437"/>
      <c r="AW8" s="437"/>
      <c r="AX8" s="437"/>
      <c r="AY8" s="437"/>
      <c r="AZ8" s="437"/>
      <c r="BA8" s="437"/>
      <c r="BB8" s="437"/>
      <c r="BC8" s="437"/>
      <c r="BD8" s="437"/>
      <c r="BE8" s="437"/>
      <c r="BF8" s="437"/>
      <c r="BG8" s="437"/>
      <c r="BH8" s="437"/>
      <c r="BI8" s="437"/>
      <c r="BJ8" s="437"/>
      <c r="BK8" s="437"/>
      <c r="BL8" s="437"/>
      <c r="BM8" s="437"/>
      <c r="BN8" s="437"/>
      <c r="BO8" s="437"/>
      <c r="BP8" s="437"/>
      <c r="BQ8" s="437"/>
      <c r="BR8" s="437"/>
      <c r="BS8" s="437"/>
      <c r="BT8" s="437"/>
      <c r="BU8" s="437"/>
      <c r="BV8" s="437"/>
      <c r="BW8" s="437"/>
      <c r="BX8" s="69"/>
      <c r="BY8" s="71"/>
    </row>
    <row r="9" spans="1:77" ht="35.25" customHeight="1">
      <c r="A9" s="68"/>
      <c r="B9" s="69"/>
      <c r="C9" s="69"/>
      <c r="D9" s="454" t="s">
        <v>188</v>
      </c>
      <c r="E9" s="455"/>
      <c r="F9" s="455"/>
      <c r="G9" s="455"/>
      <c r="H9" s="455"/>
      <c r="I9" s="455"/>
      <c r="J9" s="455"/>
      <c r="K9" s="455"/>
      <c r="L9" s="455"/>
      <c r="M9" s="455"/>
      <c r="N9" s="455"/>
      <c r="O9" s="455"/>
      <c r="P9" s="456" t="s">
        <v>64</v>
      </c>
      <c r="Q9" s="456"/>
      <c r="R9" s="456"/>
      <c r="S9" s="456"/>
      <c r="T9" s="456"/>
      <c r="U9" s="456"/>
      <c r="V9" s="456"/>
      <c r="W9" s="456"/>
      <c r="X9" s="456"/>
      <c r="Y9" s="456"/>
      <c r="Z9" s="456"/>
      <c r="AA9" s="456"/>
      <c r="AB9" s="457" t="s">
        <v>89</v>
      </c>
      <c r="AC9" s="458"/>
      <c r="AD9" s="458"/>
      <c r="AE9" s="458"/>
      <c r="AF9" s="458"/>
      <c r="AG9" s="458"/>
      <c r="AH9" s="458"/>
      <c r="AI9" s="458"/>
      <c r="AJ9" s="459"/>
      <c r="AK9" s="69"/>
      <c r="AL9" s="69"/>
      <c r="AM9" s="70"/>
      <c r="AN9" s="69"/>
      <c r="AO9" s="69"/>
      <c r="AP9" s="437"/>
      <c r="AQ9" s="437"/>
      <c r="AR9" s="437"/>
      <c r="AS9" s="437"/>
      <c r="AT9" s="437"/>
      <c r="AU9" s="437"/>
      <c r="AV9" s="437"/>
      <c r="AW9" s="437"/>
      <c r="AX9" s="437"/>
      <c r="AY9" s="437"/>
      <c r="AZ9" s="437"/>
      <c r="BA9" s="437"/>
      <c r="BB9" s="437"/>
      <c r="BC9" s="437"/>
      <c r="BD9" s="437"/>
      <c r="BE9" s="437"/>
      <c r="BF9" s="437"/>
      <c r="BG9" s="437"/>
      <c r="BH9" s="437"/>
      <c r="BI9" s="437"/>
      <c r="BJ9" s="437"/>
      <c r="BK9" s="437"/>
      <c r="BL9" s="437"/>
      <c r="BM9" s="437"/>
      <c r="BN9" s="437"/>
      <c r="BO9" s="437"/>
      <c r="BP9" s="437"/>
      <c r="BQ9" s="437"/>
      <c r="BR9" s="437"/>
      <c r="BS9" s="437"/>
      <c r="BT9" s="437"/>
      <c r="BU9" s="437"/>
      <c r="BV9" s="437"/>
      <c r="BW9" s="437"/>
      <c r="BX9" s="69"/>
      <c r="BY9" s="71"/>
    </row>
    <row r="10" spans="1:77" ht="35.25" customHeight="1">
      <c r="A10" s="68"/>
      <c r="B10" s="69"/>
      <c r="C10" s="69"/>
      <c r="D10" s="454" t="s">
        <v>189</v>
      </c>
      <c r="E10" s="471"/>
      <c r="F10" s="471"/>
      <c r="G10" s="471"/>
      <c r="H10" s="471"/>
      <c r="I10" s="471"/>
      <c r="J10" s="471"/>
      <c r="K10" s="471"/>
      <c r="L10" s="471"/>
      <c r="M10" s="471"/>
      <c r="N10" s="471"/>
      <c r="O10" s="471"/>
      <c r="P10" s="456" t="s">
        <v>65</v>
      </c>
      <c r="Q10" s="456"/>
      <c r="R10" s="456"/>
      <c r="S10" s="456"/>
      <c r="T10" s="456"/>
      <c r="U10" s="456"/>
      <c r="V10" s="456"/>
      <c r="W10" s="456"/>
      <c r="X10" s="456"/>
      <c r="Y10" s="456"/>
      <c r="Z10" s="456"/>
      <c r="AA10" s="456"/>
      <c r="AB10" s="457" t="s">
        <v>66</v>
      </c>
      <c r="AC10" s="458"/>
      <c r="AD10" s="458"/>
      <c r="AE10" s="458"/>
      <c r="AF10" s="458"/>
      <c r="AG10" s="458"/>
      <c r="AH10" s="458"/>
      <c r="AI10" s="458"/>
      <c r="AJ10" s="459"/>
      <c r="AK10" s="69"/>
      <c r="AL10" s="69"/>
      <c r="AM10" s="70"/>
      <c r="AN10" s="69"/>
      <c r="AO10" s="69"/>
      <c r="AP10" s="437"/>
      <c r="AQ10" s="437"/>
      <c r="AR10" s="437"/>
      <c r="AS10" s="437"/>
      <c r="AT10" s="437"/>
      <c r="AU10" s="437"/>
      <c r="AV10" s="437"/>
      <c r="AW10" s="437"/>
      <c r="AX10" s="437"/>
      <c r="AY10" s="437"/>
      <c r="AZ10" s="437"/>
      <c r="BA10" s="437"/>
      <c r="BB10" s="437"/>
      <c r="BC10" s="437"/>
      <c r="BD10" s="437"/>
      <c r="BE10" s="437"/>
      <c r="BF10" s="437"/>
      <c r="BG10" s="437"/>
      <c r="BH10" s="437"/>
      <c r="BI10" s="437"/>
      <c r="BJ10" s="437"/>
      <c r="BK10" s="437"/>
      <c r="BL10" s="437"/>
      <c r="BM10" s="437"/>
      <c r="BN10" s="437"/>
      <c r="BO10" s="437"/>
      <c r="BP10" s="437"/>
      <c r="BQ10" s="437"/>
      <c r="BR10" s="437"/>
      <c r="BS10" s="437"/>
      <c r="BT10" s="437"/>
      <c r="BU10" s="437"/>
      <c r="BV10" s="437"/>
      <c r="BW10" s="437"/>
      <c r="BX10" s="69"/>
      <c r="BY10" s="71"/>
    </row>
    <row r="11" spans="1:77" ht="35.25" customHeight="1" thickBot="1">
      <c r="A11" s="104"/>
      <c r="B11" s="105"/>
      <c r="C11" s="105"/>
      <c r="D11" s="475" t="s">
        <v>190</v>
      </c>
      <c r="E11" s="476"/>
      <c r="F11" s="476"/>
      <c r="G11" s="476"/>
      <c r="H11" s="476"/>
      <c r="I11" s="476"/>
      <c r="J11" s="476"/>
      <c r="K11" s="476"/>
      <c r="L11" s="476"/>
      <c r="M11" s="476"/>
      <c r="N11" s="476"/>
      <c r="O11" s="476"/>
      <c r="P11" s="477" t="s">
        <v>67</v>
      </c>
      <c r="Q11" s="477"/>
      <c r="R11" s="477"/>
      <c r="S11" s="477"/>
      <c r="T11" s="477"/>
      <c r="U11" s="477"/>
      <c r="V11" s="477"/>
      <c r="W11" s="477"/>
      <c r="X11" s="477"/>
      <c r="Y11" s="477"/>
      <c r="Z11" s="477"/>
      <c r="AA11" s="477"/>
      <c r="AB11" s="478" t="s">
        <v>68</v>
      </c>
      <c r="AC11" s="479"/>
      <c r="AD11" s="479"/>
      <c r="AE11" s="479"/>
      <c r="AF11" s="479"/>
      <c r="AG11" s="479"/>
      <c r="AH11" s="479"/>
      <c r="AI11" s="479"/>
      <c r="AJ11" s="480"/>
      <c r="AK11" s="105"/>
      <c r="AL11" s="106"/>
      <c r="AM11" s="60"/>
      <c r="AN11" s="61"/>
      <c r="AO11" s="61"/>
      <c r="AP11" s="61"/>
      <c r="AQ11" s="61"/>
      <c r="AR11" s="460"/>
      <c r="AS11" s="460"/>
      <c r="AT11" s="460"/>
      <c r="AU11" s="460"/>
      <c r="AV11" s="460"/>
      <c r="AW11" s="460"/>
      <c r="AX11" s="460"/>
      <c r="AY11" s="460"/>
      <c r="AZ11" s="460"/>
      <c r="BA11" s="460"/>
      <c r="BB11" s="460"/>
      <c r="BC11" s="460"/>
      <c r="BD11" s="460"/>
      <c r="BE11" s="460"/>
      <c r="BF11" s="460"/>
      <c r="BG11" s="460"/>
      <c r="BH11" s="460"/>
      <c r="BI11" s="460"/>
      <c r="BJ11" s="460"/>
      <c r="BK11" s="460"/>
      <c r="BL11" s="460"/>
      <c r="BM11" s="460"/>
      <c r="BN11" s="460"/>
      <c r="BO11" s="460"/>
      <c r="BP11" s="460"/>
      <c r="BQ11" s="460"/>
      <c r="BR11" s="460"/>
      <c r="BS11" s="460"/>
      <c r="BT11" s="460"/>
      <c r="BU11" s="460"/>
      <c r="BV11" s="460"/>
      <c r="BW11" s="460"/>
      <c r="BX11" s="460"/>
      <c r="BY11" s="62"/>
    </row>
    <row r="12" spans="1:77" ht="16.5" customHeight="1">
      <c r="A12" s="63"/>
      <c r="B12" s="61"/>
      <c r="C12" s="61"/>
      <c r="D12" s="107"/>
      <c r="E12" s="108"/>
      <c r="F12" s="108"/>
      <c r="G12" s="108"/>
      <c r="H12" s="108"/>
      <c r="I12" s="108"/>
      <c r="J12" s="108"/>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9"/>
      <c r="AM12" s="60"/>
      <c r="AN12" s="61"/>
      <c r="AO12" s="61"/>
      <c r="AP12" s="61"/>
      <c r="AQ12" s="61"/>
      <c r="AR12" s="460"/>
      <c r="AS12" s="460"/>
      <c r="AT12" s="460"/>
      <c r="AU12" s="460"/>
      <c r="AV12" s="460"/>
      <c r="AW12" s="460"/>
      <c r="AX12" s="460"/>
      <c r="AY12" s="460"/>
      <c r="AZ12" s="460"/>
      <c r="BA12" s="460"/>
      <c r="BB12" s="460"/>
      <c r="BC12" s="460"/>
      <c r="BD12" s="460"/>
      <c r="BE12" s="460"/>
      <c r="BF12" s="460"/>
      <c r="BG12" s="461"/>
      <c r="BH12" s="461"/>
      <c r="BI12" s="461"/>
      <c r="BJ12" s="461"/>
      <c r="BK12" s="461"/>
      <c r="BL12" s="461"/>
      <c r="BM12" s="461"/>
      <c r="BN12" s="461"/>
      <c r="BO12" s="461"/>
      <c r="BP12" s="461"/>
      <c r="BQ12" s="461"/>
      <c r="BR12" s="461"/>
      <c r="BS12" s="461"/>
      <c r="BT12" s="461"/>
      <c r="BU12" s="461"/>
      <c r="BV12" s="461"/>
      <c r="BW12" s="461"/>
      <c r="BX12" s="461"/>
      <c r="BY12" s="62"/>
    </row>
    <row r="13" spans="1:77" ht="16.5" customHeight="1">
      <c r="A13" s="472" t="s">
        <v>193</v>
      </c>
      <c r="B13" s="473"/>
      <c r="C13" s="473"/>
      <c r="D13" s="473"/>
      <c r="E13" s="473"/>
      <c r="F13" s="473"/>
      <c r="G13" s="473"/>
      <c r="H13" s="473"/>
      <c r="I13" s="473"/>
      <c r="J13" s="473"/>
      <c r="K13" s="473"/>
      <c r="L13" s="473"/>
      <c r="M13" s="473"/>
      <c r="N13" s="473"/>
      <c r="O13" s="473"/>
      <c r="P13" s="473"/>
      <c r="Q13" s="473"/>
      <c r="R13" s="473"/>
      <c r="S13" s="473"/>
      <c r="T13" s="473"/>
      <c r="U13" s="473"/>
      <c r="V13" s="473"/>
      <c r="W13" s="473"/>
      <c r="X13" s="473"/>
      <c r="Y13" s="473"/>
      <c r="Z13" s="473"/>
      <c r="AA13" s="473"/>
      <c r="AB13" s="473"/>
      <c r="AC13" s="473"/>
      <c r="AD13" s="473"/>
      <c r="AE13" s="473"/>
      <c r="AF13" s="473"/>
      <c r="AG13" s="473"/>
      <c r="AH13" s="473"/>
      <c r="AI13" s="473"/>
      <c r="AJ13" s="473"/>
      <c r="AK13" s="473"/>
      <c r="AL13" s="474"/>
      <c r="AM13" s="70"/>
      <c r="AN13" s="69"/>
      <c r="AO13" s="69"/>
      <c r="AP13" s="69"/>
      <c r="AQ13" s="69"/>
      <c r="AR13" s="460"/>
      <c r="AS13" s="460"/>
      <c r="AT13" s="460"/>
      <c r="AU13" s="460"/>
      <c r="AV13" s="460"/>
      <c r="AW13" s="460"/>
      <c r="AX13" s="460"/>
      <c r="AY13" s="460"/>
      <c r="AZ13" s="460"/>
      <c r="BA13" s="460"/>
      <c r="BB13" s="460"/>
      <c r="BC13" s="460"/>
      <c r="BD13" s="460"/>
      <c r="BE13" s="460"/>
      <c r="BF13" s="460"/>
      <c r="BG13" s="461"/>
      <c r="BH13" s="461"/>
      <c r="BI13" s="461"/>
      <c r="BJ13" s="461"/>
      <c r="BK13" s="461"/>
      <c r="BL13" s="461"/>
      <c r="BM13" s="461"/>
      <c r="BN13" s="461"/>
      <c r="BO13" s="461"/>
      <c r="BP13" s="461"/>
      <c r="BQ13" s="461"/>
      <c r="BR13" s="461"/>
      <c r="BS13" s="461"/>
      <c r="BT13" s="461"/>
      <c r="BU13" s="461"/>
      <c r="BV13" s="461"/>
      <c r="BW13" s="461"/>
      <c r="BX13" s="461"/>
      <c r="BY13" s="71"/>
    </row>
    <row r="14" spans="1:77" ht="16.5" customHeight="1">
      <c r="A14" s="68"/>
      <c r="B14" s="69"/>
      <c r="C14" s="69"/>
      <c r="D14" s="116" t="s">
        <v>194</v>
      </c>
      <c r="E14" s="108"/>
      <c r="F14" s="108"/>
      <c r="G14" s="108"/>
      <c r="H14" s="108"/>
      <c r="I14" s="108"/>
      <c r="J14" s="108"/>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9"/>
      <c r="AM14" s="70"/>
      <c r="AN14" s="69"/>
      <c r="AO14" s="69"/>
      <c r="AP14" s="69"/>
      <c r="AQ14" s="69"/>
      <c r="AR14" s="460"/>
      <c r="AS14" s="460"/>
      <c r="AT14" s="460"/>
      <c r="AU14" s="460"/>
      <c r="AV14" s="460"/>
      <c r="AW14" s="460"/>
      <c r="AX14" s="460"/>
      <c r="AY14" s="460"/>
      <c r="AZ14" s="460"/>
      <c r="BA14" s="460"/>
      <c r="BB14" s="460"/>
      <c r="BC14" s="460"/>
      <c r="BD14" s="460"/>
      <c r="BE14" s="460"/>
      <c r="BF14" s="460"/>
      <c r="BG14" s="461"/>
      <c r="BH14" s="461"/>
      <c r="BI14" s="461"/>
      <c r="BJ14" s="461"/>
      <c r="BK14" s="461"/>
      <c r="BL14" s="461"/>
      <c r="BM14" s="461"/>
      <c r="BN14" s="461"/>
      <c r="BO14" s="461"/>
      <c r="BP14" s="461"/>
      <c r="BQ14" s="461"/>
      <c r="BR14" s="461"/>
      <c r="BS14" s="461"/>
      <c r="BT14" s="461"/>
      <c r="BU14" s="461"/>
      <c r="BV14" s="461"/>
      <c r="BW14" s="461"/>
      <c r="BX14" s="461"/>
      <c r="BY14" s="71"/>
    </row>
    <row r="15" spans="1:77" ht="16.5" customHeight="1">
      <c r="A15" s="68"/>
      <c r="B15" s="69"/>
      <c r="C15" s="69"/>
      <c r="D15" s="116"/>
      <c r="E15" s="108"/>
      <c r="F15" s="108"/>
      <c r="G15" s="108"/>
      <c r="H15" s="108"/>
      <c r="I15" s="108"/>
      <c r="J15" s="108"/>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9"/>
      <c r="AM15" s="70"/>
      <c r="AN15" s="69"/>
      <c r="AO15" s="69"/>
      <c r="AP15" s="69"/>
      <c r="AQ15" s="69"/>
      <c r="AR15" s="460"/>
      <c r="AS15" s="460"/>
      <c r="AT15" s="460"/>
      <c r="AU15" s="460"/>
      <c r="AV15" s="460"/>
      <c r="AW15" s="460"/>
      <c r="AX15" s="460"/>
      <c r="AY15" s="460"/>
      <c r="AZ15" s="460"/>
      <c r="BA15" s="460"/>
      <c r="BB15" s="460"/>
      <c r="BC15" s="460"/>
      <c r="BD15" s="460"/>
      <c r="BE15" s="460"/>
      <c r="BF15" s="460"/>
      <c r="BG15" s="461"/>
      <c r="BH15" s="461"/>
      <c r="BI15" s="461"/>
      <c r="BJ15" s="461"/>
      <c r="BK15" s="461"/>
      <c r="BL15" s="461"/>
      <c r="BM15" s="461"/>
      <c r="BN15" s="461"/>
      <c r="BO15" s="461"/>
      <c r="BP15" s="461"/>
      <c r="BQ15" s="461"/>
      <c r="BR15" s="461"/>
      <c r="BS15" s="461"/>
      <c r="BT15" s="461"/>
      <c r="BU15" s="461"/>
      <c r="BV15" s="461"/>
      <c r="BW15" s="461"/>
      <c r="BX15" s="461"/>
      <c r="BY15" s="71"/>
    </row>
    <row r="16" spans="1:77" ht="16.5" customHeight="1">
      <c r="A16" s="104"/>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c r="AA16" s="105"/>
      <c r="AB16" s="105"/>
      <c r="AC16" s="105"/>
      <c r="AD16" s="105"/>
      <c r="AE16" s="105"/>
      <c r="AF16" s="105"/>
      <c r="AG16" s="105"/>
      <c r="AH16" s="105"/>
      <c r="AI16" s="105"/>
      <c r="AJ16" s="105"/>
      <c r="AK16" s="105"/>
      <c r="AL16" s="106"/>
      <c r="AM16" s="70"/>
      <c r="AN16" s="69"/>
      <c r="AO16" s="69"/>
      <c r="AP16" s="69"/>
      <c r="AQ16" s="69"/>
      <c r="AR16" s="460"/>
      <c r="AS16" s="460"/>
      <c r="AT16" s="460"/>
      <c r="AU16" s="460"/>
      <c r="AV16" s="460"/>
      <c r="AW16" s="460"/>
      <c r="AX16" s="460"/>
      <c r="AY16" s="460"/>
      <c r="AZ16" s="460"/>
      <c r="BA16" s="460"/>
      <c r="BB16" s="460"/>
      <c r="BC16" s="460"/>
      <c r="BD16" s="460"/>
      <c r="BE16" s="460"/>
      <c r="BF16" s="460"/>
      <c r="BG16" s="461"/>
      <c r="BH16" s="461"/>
      <c r="BI16" s="461"/>
      <c r="BJ16" s="461"/>
      <c r="BK16" s="461"/>
      <c r="BL16" s="461"/>
      <c r="BM16" s="461"/>
      <c r="BN16" s="461"/>
      <c r="BO16" s="461"/>
      <c r="BP16" s="461"/>
      <c r="BQ16" s="461"/>
      <c r="BR16" s="461"/>
      <c r="BS16" s="461"/>
      <c r="BT16" s="461"/>
      <c r="BU16" s="461"/>
      <c r="BV16" s="461"/>
      <c r="BW16" s="461"/>
      <c r="BX16" s="461"/>
      <c r="BY16" s="71"/>
    </row>
    <row r="17" spans="1:77" ht="16.5" customHeight="1">
      <c r="A17" s="63"/>
      <c r="B17" s="61"/>
      <c r="C17" s="61"/>
      <c r="D17" s="107"/>
      <c r="E17" s="108"/>
      <c r="F17" s="108"/>
      <c r="G17" s="108"/>
      <c r="H17" s="108"/>
      <c r="I17" s="108"/>
      <c r="J17" s="108"/>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9"/>
      <c r="AM17" s="70"/>
      <c r="AN17" s="69"/>
      <c r="AO17" s="69"/>
      <c r="AP17" s="69"/>
      <c r="AQ17" s="69"/>
      <c r="AR17" s="460"/>
      <c r="AS17" s="460"/>
      <c r="AT17" s="460"/>
      <c r="AU17" s="460"/>
      <c r="AV17" s="460"/>
      <c r="AW17" s="460"/>
      <c r="AX17" s="460"/>
      <c r="AY17" s="460"/>
      <c r="AZ17" s="460"/>
      <c r="BA17" s="460"/>
      <c r="BB17" s="460"/>
      <c r="BC17" s="460"/>
      <c r="BD17" s="460"/>
      <c r="BE17" s="460"/>
      <c r="BF17" s="460"/>
      <c r="BG17" s="461"/>
      <c r="BH17" s="461"/>
      <c r="BI17" s="461"/>
      <c r="BJ17" s="461"/>
      <c r="BK17" s="461"/>
      <c r="BL17" s="461"/>
      <c r="BM17" s="461"/>
      <c r="BN17" s="461"/>
      <c r="BO17" s="461"/>
      <c r="BP17" s="461"/>
      <c r="BQ17" s="461"/>
      <c r="BR17" s="461"/>
      <c r="BS17" s="461"/>
      <c r="BT17" s="461"/>
      <c r="BU17" s="461"/>
      <c r="BV17" s="461"/>
      <c r="BW17" s="461"/>
      <c r="BX17" s="461"/>
      <c r="BY17" s="71"/>
    </row>
    <row r="18" spans="1:77" ht="16.5" customHeight="1">
      <c r="A18" s="68"/>
      <c r="B18" s="69"/>
      <c r="C18" s="69"/>
      <c r="D18" s="108"/>
      <c r="E18" s="108"/>
      <c r="F18" s="108"/>
      <c r="G18" s="108"/>
      <c r="H18" s="108"/>
      <c r="I18" s="108"/>
      <c r="J18" s="108"/>
      <c r="K18" s="108"/>
      <c r="L18" s="108"/>
      <c r="M18" s="108"/>
      <c r="N18" s="108"/>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8"/>
      <c r="AL18" s="109"/>
      <c r="AM18" s="70"/>
      <c r="AN18" s="69"/>
      <c r="AO18" s="69"/>
      <c r="AP18" s="69"/>
      <c r="AQ18" s="69"/>
      <c r="AR18" s="460"/>
      <c r="AS18" s="460"/>
      <c r="AT18" s="460"/>
      <c r="AU18" s="460"/>
      <c r="AV18" s="460"/>
      <c r="AW18" s="460"/>
      <c r="AX18" s="460"/>
      <c r="AY18" s="460"/>
      <c r="AZ18" s="460"/>
      <c r="BA18" s="460"/>
      <c r="BB18" s="460"/>
      <c r="BC18" s="460"/>
      <c r="BD18" s="460"/>
      <c r="BE18" s="460"/>
      <c r="BF18" s="460"/>
      <c r="BG18" s="461"/>
      <c r="BH18" s="461"/>
      <c r="BI18" s="461"/>
      <c r="BJ18" s="461"/>
      <c r="BK18" s="461"/>
      <c r="BL18" s="461"/>
      <c r="BM18" s="461"/>
      <c r="BN18" s="461"/>
      <c r="BO18" s="461"/>
      <c r="BP18" s="461"/>
      <c r="BQ18" s="461"/>
      <c r="BR18" s="461"/>
      <c r="BS18" s="461"/>
      <c r="BT18" s="461"/>
      <c r="BU18" s="461"/>
      <c r="BV18" s="461"/>
      <c r="BW18" s="461"/>
      <c r="BX18" s="461"/>
      <c r="BY18" s="71"/>
    </row>
    <row r="19" spans="1:77" ht="16.5" customHeight="1">
      <c r="A19" s="68"/>
      <c r="B19" s="69"/>
      <c r="C19" s="69"/>
      <c r="D19" s="108"/>
      <c r="E19" s="108"/>
      <c r="F19" s="108"/>
      <c r="G19" s="108"/>
      <c r="H19" s="108"/>
      <c r="I19" s="108"/>
      <c r="J19" s="108"/>
      <c r="K19" s="108"/>
      <c r="L19" s="108"/>
      <c r="M19" s="108"/>
      <c r="N19" s="108"/>
      <c r="O19" s="108"/>
      <c r="P19" s="108"/>
      <c r="Q19" s="108"/>
      <c r="R19" s="108"/>
      <c r="S19" s="108"/>
      <c r="T19" s="108"/>
      <c r="U19" s="108"/>
      <c r="V19" s="108"/>
      <c r="W19" s="108"/>
      <c r="X19" s="108"/>
      <c r="Y19" s="108"/>
      <c r="Z19" s="108"/>
      <c r="AA19" s="108"/>
      <c r="AB19" s="108"/>
      <c r="AC19" s="108"/>
      <c r="AD19" s="108"/>
      <c r="AE19" s="108"/>
      <c r="AF19" s="108"/>
      <c r="AG19" s="108"/>
      <c r="AH19" s="108"/>
      <c r="AI19" s="108"/>
      <c r="AJ19" s="108"/>
      <c r="AK19" s="108"/>
      <c r="AL19" s="109"/>
      <c r="AM19" s="70"/>
      <c r="AN19" s="69"/>
      <c r="AO19" s="69"/>
      <c r="AP19" s="69"/>
      <c r="AQ19" s="69"/>
      <c r="AR19" s="460"/>
      <c r="AS19" s="460"/>
      <c r="AT19" s="460"/>
      <c r="AU19" s="460"/>
      <c r="AV19" s="460"/>
      <c r="AW19" s="460"/>
      <c r="AX19" s="460"/>
      <c r="AY19" s="460"/>
      <c r="AZ19" s="460"/>
      <c r="BA19" s="460"/>
      <c r="BB19" s="460"/>
      <c r="BC19" s="460"/>
      <c r="BD19" s="460"/>
      <c r="BE19" s="460"/>
      <c r="BF19" s="460"/>
      <c r="BG19" s="461"/>
      <c r="BH19" s="461"/>
      <c r="BI19" s="461"/>
      <c r="BJ19" s="461"/>
      <c r="BK19" s="461"/>
      <c r="BL19" s="461"/>
      <c r="BM19" s="461"/>
      <c r="BN19" s="461"/>
      <c r="BO19" s="461"/>
      <c r="BP19" s="461"/>
      <c r="BQ19" s="461"/>
      <c r="BR19" s="461"/>
      <c r="BS19" s="461"/>
      <c r="BT19" s="461"/>
      <c r="BU19" s="461"/>
      <c r="BV19" s="461"/>
      <c r="BW19" s="461"/>
      <c r="BX19" s="461"/>
      <c r="BY19" s="71"/>
    </row>
    <row r="20" spans="1:77" ht="16.5" customHeight="1">
      <c r="A20" s="68"/>
      <c r="B20" s="69"/>
      <c r="C20" s="69"/>
      <c r="D20" s="108"/>
      <c r="E20" s="108"/>
      <c r="F20" s="108"/>
      <c r="G20" s="108"/>
      <c r="H20" s="108"/>
      <c r="I20" s="108"/>
      <c r="J20" s="108"/>
      <c r="K20" s="108"/>
      <c r="L20" s="108"/>
      <c r="M20" s="108"/>
      <c r="N20" s="108"/>
      <c r="O20" s="108" t="s">
        <v>0</v>
      </c>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9"/>
      <c r="AM20" s="70"/>
      <c r="AN20" s="69"/>
      <c r="AO20" s="69"/>
      <c r="AP20" s="69"/>
      <c r="AQ20" s="69"/>
      <c r="AR20" s="460"/>
      <c r="AS20" s="460"/>
      <c r="AT20" s="460"/>
      <c r="AU20" s="460"/>
      <c r="AV20" s="460"/>
      <c r="AW20" s="460"/>
      <c r="AX20" s="460"/>
      <c r="AY20" s="460"/>
      <c r="AZ20" s="460"/>
      <c r="BA20" s="460"/>
      <c r="BB20" s="460"/>
      <c r="BC20" s="460"/>
      <c r="BD20" s="460"/>
      <c r="BE20" s="460"/>
      <c r="BF20" s="460"/>
      <c r="BG20" s="461"/>
      <c r="BH20" s="461"/>
      <c r="BI20" s="461"/>
      <c r="BJ20" s="461"/>
      <c r="BK20" s="461"/>
      <c r="BL20" s="461"/>
      <c r="BM20" s="461"/>
      <c r="BN20" s="461"/>
      <c r="BO20" s="461"/>
      <c r="BP20" s="461"/>
      <c r="BQ20" s="461"/>
      <c r="BR20" s="461"/>
      <c r="BS20" s="461"/>
      <c r="BT20" s="461"/>
      <c r="BU20" s="461"/>
      <c r="BV20" s="461"/>
      <c r="BW20" s="461"/>
      <c r="BX20" s="461"/>
      <c r="BY20" s="71"/>
    </row>
    <row r="21" spans="1:77" ht="16.5" customHeight="1">
      <c r="A21" s="462"/>
      <c r="B21" s="463"/>
      <c r="C21" s="463"/>
      <c r="D21" s="463"/>
      <c r="E21" s="463"/>
      <c r="F21" s="463"/>
      <c r="G21" s="463"/>
      <c r="H21" s="463"/>
      <c r="I21" s="463"/>
      <c r="J21" s="463"/>
      <c r="K21" s="463"/>
      <c r="L21" s="463"/>
      <c r="M21" s="463"/>
      <c r="N21" s="463"/>
      <c r="O21" s="463"/>
      <c r="P21" s="463"/>
      <c r="Q21" s="463"/>
      <c r="R21" s="463"/>
      <c r="S21" s="463"/>
      <c r="T21" s="463"/>
      <c r="U21" s="463"/>
      <c r="V21" s="463"/>
      <c r="W21" s="463"/>
      <c r="X21" s="463"/>
      <c r="Y21" s="463"/>
      <c r="Z21" s="463"/>
      <c r="AA21" s="463"/>
      <c r="AB21" s="463"/>
      <c r="AC21" s="463"/>
      <c r="AD21" s="463"/>
      <c r="AE21" s="463"/>
      <c r="AF21" s="463"/>
      <c r="AG21" s="463"/>
      <c r="AH21" s="463"/>
      <c r="AI21" s="463"/>
      <c r="AJ21" s="463"/>
      <c r="AK21" s="463"/>
      <c r="AL21" s="464"/>
      <c r="AM21" s="70"/>
      <c r="AN21" s="69"/>
      <c r="AO21" s="69"/>
      <c r="AP21" s="69"/>
      <c r="AQ21" s="69"/>
      <c r="AR21" s="460"/>
      <c r="AS21" s="460"/>
      <c r="AT21" s="460"/>
      <c r="AU21" s="460"/>
      <c r="AV21" s="460"/>
      <c r="AW21" s="460"/>
      <c r="AX21" s="460"/>
      <c r="AY21" s="460"/>
      <c r="AZ21" s="460"/>
      <c r="BA21" s="460"/>
      <c r="BB21" s="460"/>
      <c r="BC21" s="460"/>
      <c r="BD21" s="460"/>
      <c r="BE21" s="460"/>
      <c r="BF21" s="460"/>
      <c r="BG21" s="461"/>
      <c r="BH21" s="461"/>
      <c r="BI21" s="461"/>
      <c r="BJ21" s="461"/>
      <c r="BK21" s="461"/>
      <c r="BL21" s="461"/>
      <c r="BM21" s="461"/>
      <c r="BN21" s="461"/>
      <c r="BO21" s="461"/>
      <c r="BP21" s="461"/>
      <c r="BQ21" s="461"/>
      <c r="BR21" s="461"/>
      <c r="BS21" s="461"/>
      <c r="BT21" s="461"/>
      <c r="BU21" s="461"/>
      <c r="BV21" s="461"/>
      <c r="BW21" s="461"/>
      <c r="BX21" s="461"/>
      <c r="BY21" s="71"/>
    </row>
    <row r="22" spans="1:77" ht="16.5" customHeight="1">
      <c r="A22" s="63"/>
      <c r="B22" s="61"/>
      <c r="C22" s="61"/>
      <c r="D22" s="437"/>
      <c r="E22" s="437"/>
      <c r="F22" s="437"/>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65"/>
      <c r="AM22" s="70"/>
      <c r="AN22" s="69"/>
      <c r="AO22" s="69"/>
      <c r="AP22" s="69"/>
      <c r="AQ22" s="69"/>
      <c r="AR22" s="460"/>
      <c r="AS22" s="460"/>
      <c r="AT22" s="460"/>
      <c r="AU22" s="460"/>
      <c r="AV22" s="460"/>
      <c r="AW22" s="460"/>
      <c r="AX22" s="460"/>
      <c r="AY22" s="460"/>
      <c r="AZ22" s="460"/>
      <c r="BA22" s="460"/>
      <c r="BB22" s="460"/>
      <c r="BC22" s="460"/>
      <c r="BD22" s="460"/>
      <c r="BE22" s="460"/>
      <c r="BF22" s="460"/>
      <c r="BG22" s="461"/>
      <c r="BH22" s="461"/>
      <c r="BI22" s="461"/>
      <c r="BJ22" s="461"/>
      <c r="BK22" s="461"/>
      <c r="BL22" s="461"/>
      <c r="BM22" s="461"/>
      <c r="BN22" s="461"/>
      <c r="BO22" s="461"/>
      <c r="BP22" s="461"/>
      <c r="BQ22" s="461"/>
      <c r="BR22" s="461"/>
      <c r="BS22" s="461"/>
      <c r="BT22" s="461"/>
      <c r="BU22" s="461"/>
      <c r="BV22" s="461"/>
      <c r="BW22" s="461"/>
      <c r="BX22" s="461"/>
      <c r="BY22" s="71"/>
    </row>
    <row r="23" spans="1:77" ht="16.5" customHeight="1">
      <c r="A23" s="68"/>
      <c r="B23" s="69"/>
      <c r="C23" s="69"/>
      <c r="D23" s="437"/>
      <c r="E23" s="437"/>
      <c r="F23" s="437"/>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65"/>
      <c r="AM23" s="70"/>
      <c r="AN23" s="69"/>
      <c r="AO23" s="69"/>
      <c r="AP23" s="69"/>
      <c r="AQ23" s="69"/>
      <c r="AR23" s="460"/>
      <c r="AS23" s="460"/>
      <c r="AT23" s="460"/>
      <c r="AU23" s="460"/>
      <c r="AV23" s="460"/>
      <c r="AW23" s="460"/>
      <c r="AX23" s="460"/>
      <c r="AY23" s="460"/>
      <c r="AZ23" s="460"/>
      <c r="BA23" s="460"/>
      <c r="BB23" s="460"/>
      <c r="BC23" s="460"/>
      <c r="BD23" s="460"/>
      <c r="BE23" s="460"/>
      <c r="BF23" s="460"/>
      <c r="BG23" s="461"/>
      <c r="BH23" s="461"/>
      <c r="BI23" s="461"/>
      <c r="BJ23" s="461"/>
      <c r="BK23" s="461"/>
      <c r="BL23" s="461"/>
      <c r="BM23" s="461"/>
      <c r="BN23" s="461"/>
      <c r="BO23" s="461"/>
      <c r="BP23" s="461"/>
      <c r="BQ23" s="461"/>
      <c r="BR23" s="461"/>
      <c r="BS23" s="461"/>
      <c r="BT23" s="461"/>
      <c r="BU23" s="461"/>
      <c r="BV23" s="461"/>
      <c r="BW23" s="461"/>
      <c r="BX23" s="461"/>
      <c r="BY23" s="71"/>
    </row>
    <row r="24" spans="1:77" ht="16.5" customHeight="1">
      <c r="A24" s="68"/>
      <c r="B24" s="69"/>
      <c r="C24" s="69"/>
      <c r="D24" s="437"/>
      <c r="E24" s="437"/>
      <c r="F24" s="437"/>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65"/>
      <c r="AM24" s="70"/>
      <c r="AN24" s="69"/>
      <c r="AO24" s="69"/>
      <c r="AP24" s="69"/>
      <c r="AQ24" s="69"/>
      <c r="AR24" s="460"/>
      <c r="AS24" s="460"/>
      <c r="AT24" s="460"/>
      <c r="AU24" s="460"/>
      <c r="AV24" s="460"/>
      <c r="AW24" s="460"/>
      <c r="AX24" s="460"/>
      <c r="AY24" s="460"/>
      <c r="AZ24" s="460"/>
      <c r="BA24" s="460"/>
      <c r="BB24" s="460"/>
      <c r="BC24" s="460"/>
      <c r="BD24" s="460"/>
      <c r="BE24" s="460"/>
      <c r="BF24" s="460"/>
      <c r="BG24" s="461"/>
      <c r="BH24" s="461"/>
      <c r="BI24" s="461"/>
      <c r="BJ24" s="461"/>
      <c r="BK24" s="461"/>
      <c r="BL24" s="461"/>
      <c r="BM24" s="461"/>
      <c r="BN24" s="461"/>
      <c r="BO24" s="461"/>
      <c r="BP24" s="461"/>
      <c r="BQ24" s="461"/>
      <c r="BR24" s="461"/>
      <c r="BS24" s="461"/>
      <c r="BT24" s="461"/>
      <c r="BU24" s="461"/>
      <c r="BV24" s="461"/>
      <c r="BW24" s="461"/>
      <c r="BX24" s="461"/>
      <c r="BY24" s="71"/>
    </row>
    <row r="25" spans="1:77" ht="16.5" customHeight="1">
      <c r="A25" s="68"/>
      <c r="B25" s="69"/>
      <c r="C25" s="69"/>
      <c r="D25" s="437"/>
      <c r="E25" s="437"/>
      <c r="F25" s="437"/>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65"/>
      <c r="AM25" s="70"/>
      <c r="AN25" s="69"/>
      <c r="AO25" s="69"/>
      <c r="AP25" s="69"/>
      <c r="AQ25" s="69"/>
      <c r="AR25" s="460"/>
      <c r="AS25" s="460"/>
      <c r="AT25" s="460"/>
      <c r="AU25" s="460"/>
      <c r="AV25" s="460"/>
      <c r="AW25" s="460"/>
      <c r="AX25" s="460"/>
      <c r="AY25" s="460"/>
      <c r="AZ25" s="460"/>
      <c r="BA25" s="460"/>
      <c r="BB25" s="460"/>
      <c r="BC25" s="460"/>
      <c r="BD25" s="460"/>
      <c r="BE25" s="460"/>
      <c r="BF25" s="460"/>
      <c r="BG25" s="461"/>
      <c r="BH25" s="461"/>
      <c r="BI25" s="461"/>
      <c r="BJ25" s="461"/>
      <c r="BK25" s="461"/>
      <c r="BL25" s="461"/>
      <c r="BM25" s="461"/>
      <c r="BN25" s="461"/>
      <c r="BO25" s="461"/>
      <c r="BP25" s="461"/>
      <c r="BQ25" s="461"/>
      <c r="BR25" s="461"/>
      <c r="BS25" s="461"/>
      <c r="BT25" s="461"/>
      <c r="BU25" s="461"/>
      <c r="BV25" s="461"/>
      <c r="BW25" s="461"/>
      <c r="BX25" s="461"/>
      <c r="BY25" s="71"/>
    </row>
    <row r="26" spans="1:77" ht="16.5" customHeight="1">
      <c r="A26" s="68"/>
      <c r="B26" s="69"/>
      <c r="C26" s="69"/>
      <c r="D26" s="437"/>
      <c r="E26" s="437"/>
      <c r="F26" s="437"/>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65"/>
      <c r="AM26" s="70"/>
      <c r="AN26" s="69"/>
      <c r="AO26" s="69"/>
      <c r="AP26" s="69"/>
      <c r="AQ26" s="69"/>
      <c r="AR26" s="460"/>
      <c r="AS26" s="460"/>
      <c r="AT26" s="460"/>
      <c r="AU26" s="460"/>
      <c r="AV26" s="460"/>
      <c r="AW26" s="460"/>
      <c r="AX26" s="460"/>
      <c r="AY26" s="460"/>
      <c r="AZ26" s="460"/>
      <c r="BA26" s="460"/>
      <c r="BB26" s="460"/>
      <c r="BC26" s="460"/>
      <c r="BD26" s="460"/>
      <c r="BE26" s="460"/>
      <c r="BF26" s="460"/>
      <c r="BG26" s="461"/>
      <c r="BH26" s="461"/>
      <c r="BI26" s="461"/>
      <c r="BJ26" s="461"/>
      <c r="BK26" s="461"/>
      <c r="BL26" s="461"/>
      <c r="BM26" s="461"/>
      <c r="BN26" s="461"/>
      <c r="BO26" s="461"/>
      <c r="BP26" s="461"/>
      <c r="BQ26" s="461"/>
      <c r="BR26" s="461"/>
      <c r="BS26" s="461"/>
      <c r="BT26" s="461"/>
      <c r="BU26" s="461"/>
      <c r="BV26" s="461"/>
      <c r="BW26" s="461"/>
      <c r="BX26" s="461"/>
      <c r="BY26" s="71"/>
    </row>
    <row r="27" spans="1:77" ht="16.5" customHeight="1">
      <c r="A27" s="68"/>
      <c r="B27" s="69"/>
      <c r="C27" s="69"/>
      <c r="D27" s="437"/>
      <c r="E27" s="437"/>
      <c r="F27" s="437"/>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65"/>
      <c r="AM27" s="70"/>
      <c r="AN27" s="69"/>
      <c r="AO27" s="69"/>
      <c r="AP27" s="69"/>
      <c r="AQ27" s="69"/>
      <c r="AR27" s="460"/>
      <c r="AS27" s="460"/>
      <c r="AT27" s="460"/>
      <c r="AU27" s="460"/>
      <c r="AV27" s="460"/>
      <c r="AW27" s="460"/>
      <c r="AX27" s="460"/>
      <c r="AY27" s="460"/>
      <c r="AZ27" s="460"/>
      <c r="BA27" s="460"/>
      <c r="BB27" s="460"/>
      <c r="BC27" s="460"/>
      <c r="BD27" s="460"/>
      <c r="BE27" s="460"/>
      <c r="BF27" s="460"/>
      <c r="BG27" s="461"/>
      <c r="BH27" s="461"/>
      <c r="BI27" s="461"/>
      <c r="BJ27" s="461"/>
      <c r="BK27" s="461"/>
      <c r="BL27" s="461"/>
      <c r="BM27" s="461"/>
      <c r="BN27" s="461"/>
      <c r="BO27" s="461"/>
      <c r="BP27" s="461"/>
      <c r="BQ27" s="461"/>
      <c r="BR27" s="461"/>
      <c r="BS27" s="461"/>
      <c r="BT27" s="461"/>
      <c r="BU27" s="461"/>
      <c r="BV27" s="461"/>
      <c r="BW27" s="461"/>
      <c r="BX27" s="461"/>
      <c r="BY27" s="71"/>
    </row>
    <row r="28" spans="1:77" ht="16.5" customHeight="1">
      <c r="A28" s="68"/>
      <c r="B28" s="69"/>
      <c r="C28" s="69"/>
      <c r="D28" s="437"/>
      <c r="E28" s="437"/>
      <c r="F28" s="437"/>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65"/>
      <c r="AM28" s="70"/>
      <c r="AN28" s="69"/>
      <c r="AO28" s="69"/>
      <c r="AP28" s="69"/>
      <c r="AQ28" s="69"/>
      <c r="AR28" s="460"/>
      <c r="AS28" s="460"/>
      <c r="AT28" s="460"/>
      <c r="AU28" s="460"/>
      <c r="AV28" s="460"/>
      <c r="AW28" s="460"/>
      <c r="AX28" s="460"/>
      <c r="AY28" s="460"/>
      <c r="AZ28" s="460"/>
      <c r="BA28" s="460"/>
      <c r="BB28" s="460"/>
      <c r="BC28" s="460"/>
      <c r="BD28" s="460"/>
      <c r="BE28" s="460"/>
      <c r="BF28" s="460"/>
      <c r="BG28" s="461"/>
      <c r="BH28" s="461"/>
      <c r="BI28" s="461"/>
      <c r="BJ28" s="461"/>
      <c r="BK28" s="461"/>
      <c r="BL28" s="461"/>
      <c r="BM28" s="461"/>
      <c r="BN28" s="461"/>
      <c r="BO28" s="461"/>
      <c r="BP28" s="461"/>
      <c r="BQ28" s="461"/>
      <c r="BR28" s="461"/>
      <c r="BS28" s="461"/>
      <c r="BT28" s="461"/>
      <c r="BU28" s="461"/>
      <c r="BV28" s="461"/>
      <c r="BW28" s="461"/>
      <c r="BX28" s="461"/>
      <c r="BY28" s="71"/>
    </row>
    <row r="29" spans="1:77" ht="16.5" customHeight="1">
      <c r="A29" s="68"/>
      <c r="B29" s="69"/>
      <c r="C29" s="69"/>
      <c r="D29" s="437"/>
      <c r="E29" s="437"/>
      <c r="F29" s="437"/>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65"/>
      <c r="AM29" s="70"/>
      <c r="AN29" s="69"/>
      <c r="AO29" s="69"/>
      <c r="AP29" s="69"/>
      <c r="AQ29" s="69"/>
      <c r="AR29" s="460"/>
      <c r="AS29" s="460"/>
      <c r="AT29" s="460"/>
      <c r="AU29" s="460"/>
      <c r="AV29" s="460"/>
      <c r="AW29" s="460"/>
      <c r="AX29" s="460"/>
      <c r="AY29" s="460"/>
      <c r="AZ29" s="460"/>
      <c r="BA29" s="460"/>
      <c r="BB29" s="460"/>
      <c r="BC29" s="460"/>
      <c r="BD29" s="460"/>
      <c r="BE29" s="460"/>
      <c r="BF29" s="460"/>
      <c r="BG29" s="461"/>
      <c r="BH29" s="461"/>
      <c r="BI29" s="461"/>
      <c r="BJ29" s="461"/>
      <c r="BK29" s="461"/>
      <c r="BL29" s="461"/>
      <c r="BM29" s="461"/>
      <c r="BN29" s="461"/>
      <c r="BO29" s="461"/>
      <c r="BP29" s="461"/>
      <c r="BQ29" s="461"/>
      <c r="BR29" s="461"/>
      <c r="BS29" s="461"/>
      <c r="BT29" s="461"/>
      <c r="BU29" s="461"/>
      <c r="BV29" s="461"/>
      <c r="BW29" s="461"/>
      <c r="BX29" s="461"/>
      <c r="BY29" s="71"/>
    </row>
    <row r="30" spans="1:77" ht="16.5" customHeight="1">
      <c r="A30" s="68"/>
      <c r="B30" s="69"/>
      <c r="C30" s="69"/>
      <c r="D30" s="437"/>
      <c r="E30" s="437"/>
      <c r="F30" s="437"/>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65"/>
      <c r="AM30" s="70"/>
      <c r="AN30" s="69"/>
      <c r="AO30" s="69"/>
      <c r="AP30" s="69"/>
      <c r="AQ30" s="69"/>
      <c r="AR30" s="69"/>
      <c r="AS30" s="69"/>
      <c r="AT30" s="69"/>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c r="BY30" s="71"/>
    </row>
    <row r="31" spans="1:77" ht="16.5" customHeight="1">
      <c r="A31" s="68"/>
      <c r="B31" s="69"/>
      <c r="C31" s="69"/>
      <c r="D31" s="437"/>
      <c r="E31" s="437"/>
      <c r="F31" s="437"/>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65"/>
      <c r="AM31" s="70"/>
      <c r="AN31" s="69"/>
      <c r="AO31" s="69"/>
      <c r="AP31" s="69"/>
      <c r="AQ31" s="69"/>
      <c r="AR31" s="69"/>
      <c r="AS31" s="69"/>
      <c r="AT31" s="6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71"/>
    </row>
    <row r="32" spans="1:77" ht="16.5" customHeight="1" thickBot="1">
      <c r="A32" s="72"/>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4"/>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5"/>
    </row>
    <row r="33" ht="16.5" customHeight="1" thickTop="1"/>
    <row r="34" ht="16.5" customHeight="1"/>
    <row r="35" ht="16.5" customHeight="1"/>
  </sheetData>
  <mergeCells count="58">
    <mergeCell ref="A13:AL13"/>
    <mergeCell ref="D10:O10"/>
    <mergeCell ref="P10:AA10"/>
    <mergeCell ref="AB10:AJ10"/>
    <mergeCell ref="D11:O11"/>
    <mergeCell ref="P11:AA11"/>
    <mergeCell ref="AB11:AJ11"/>
    <mergeCell ref="AB9:AJ9"/>
    <mergeCell ref="D6:O6"/>
    <mergeCell ref="P6:AA6"/>
    <mergeCell ref="AB6:AJ6"/>
    <mergeCell ref="D7:O7"/>
    <mergeCell ref="P7:AA7"/>
    <mergeCell ref="AB7:AJ7"/>
    <mergeCell ref="BC27:BF29"/>
    <mergeCell ref="BG27:BX29"/>
    <mergeCell ref="A21:AL21"/>
    <mergeCell ref="AW21:BB23"/>
    <mergeCell ref="BC21:BF23"/>
    <mergeCell ref="BG21:BX23"/>
    <mergeCell ref="D22:AL31"/>
    <mergeCell ref="AR24:AV29"/>
    <mergeCell ref="AW24:BB26"/>
    <mergeCell ref="BC24:BF26"/>
    <mergeCell ref="BG24:BX26"/>
    <mergeCell ref="AW27:BB29"/>
    <mergeCell ref="AR15:AV17"/>
    <mergeCell ref="AW15:BB17"/>
    <mergeCell ref="BC15:BF17"/>
    <mergeCell ref="BG15:BX17"/>
    <mergeCell ref="AR18:AV23"/>
    <mergeCell ref="AW18:BB20"/>
    <mergeCell ref="BC18:BF20"/>
    <mergeCell ref="BG18:BX20"/>
    <mergeCell ref="AR12:AV14"/>
    <mergeCell ref="AW12:BB14"/>
    <mergeCell ref="BC12:BF14"/>
    <mergeCell ref="BG12:BX14"/>
    <mergeCell ref="AR11:AV11"/>
    <mergeCell ref="AW11:BB11"/>
    <mergeCell ref="BC11:BF11"/>
    <mergeCell ref="BG11:BX11"/>
    <mergeCell ref="A4:AL4"/>
    <mergeCell ref="AP4:BW10"/>
    <mergeCell ref="O1:AY2"/>
    <mergeCell ref="AZ1:BF1"/>
    <mergeCell ref="BG1:BM1"/>
    <mergeCell ref="BN1:BT1"/>
    <mergeCell ref="BU1:BY1"/>
    <mergeCell ref="AZ2:BF2"/>
    <mergeCell ref="BG2:BM2"/>
    <mergeCell ref="BN2:BT2"/>
    <mergeCell ref="BU2:BY2"/>
    <mergeCell ref="D8:O8"/>
    <mergeCell ref="P8:AA8"/>
    <mergeCell ref="AB8:AJ8"/>
    <mergeCell ref="D9:O9"/>
    <mergeCell ref="P9:AA9"/>
  </mergeCells>
  <phoneticPr fontId="1" type="noConversion"/>
  <pageMargins left="1.3385826771653544" right="0.23622047244094491" top="0.55118110236220474" bottom="0.19685039370078741" header="0.31496062992125984" footer="0.15748031496062992"/>
  <pageSetup paperSize="9" scale="7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L19"/>
  <sheetViews>
    <sheetView tabSelected="1" view="pageBreakPreview" zoomScale="85" zoomScaleNormal="85" zoomScaleSheetLayoutView="85" workbookViewId="0">
      <selection activeCell="H13" sqref="H13:J14"/>
    </sheetView>
  </sheetViews>
  <sheetFormatPr defaultRowHeight="14.25"/>
  <cols>
    <col min="1" max="1" width="5.5546875" style="113" customWidth="1"/>
    <col min="2" max="3" width="5.77734375" style="113" customWidth="1"/>
    <col min="4" max="7" width="8.21875" style="113" customWidth="1"/>
    <col min="8" max="8" width="14.88671875" style="113" customWidth="1"/>
    <col min="9" max="9" width="37.44140625" style="113" customWidth="1"/>
    <col min="10" max="10" width="12.6640625" style="113" customWidth="1"/>
    <col min="11" max="11" width="25" style="113" customWidth="1"/>
    <col min="12" max="12" width="14.21875" style="113" customWidth="1"/>
    <col min="13" max="13" width="4.77734375" style="113" customWidth="1"/>
    <col min="14" max="15" width="5.77734375" style="113" customWidth="1"/>
    <col min="16" max="20" width="8.21875" style="113" customWidth="1"/>
    <col min="21" max="21" width="37.44140625" style="113" customWidth="1"/>
    <col min="22" max="22" width="12.6640625" style="113" customWidth="1"/>
    <col min="23" max="23" width="17.6640625" style="113" customWidth="1"/>
    <col min="24" max="24" width="12" style="113" customWidth="1"/>
    <col min="25" max="268" width="8.88671875" style="113"/>
    <col min="269" max="269" width="4.77734375" style="113" customWidth="1"/>
    <col min="270" max="271" width="5.77734375" style="113" customWidth="1"/>
    <col min="272" max="276" width="8.21875" style="113" customWidth="1"/>
    <col min="277" max="277" width="37.44140625" style="113" customWidth="1"/>
    <col min="278" max="278" width="12.6640625" style="113" customWidth="1"/>
    <col min="279" max="279" width="17.6640625" style="113" customWidth="1"/>
    <col min="280" max="280" width="12" style="113" customWidth="1"/>
    <col min="281" max="524" width="8.88671875" style="113"/>
    <col min="525" max="525" width="4.77734375" style="113" customWidth="1"/>
    <col min="526" max="527" width="5.77734375" style="113" customWidth="1"/>
    <col min="528" max="532" width="8.21875" style="113" customWidth="1"/>
    <col min="533" max="533" width="37.44140625" style="113" customWidth="1"/>
    <col min="534" max="534" width="12.6640625" style="113" customWidth="1"/>
    <col min="535" max="535" width="17.6640625" style="113" customWidth="1"/>
    <col min="536" max="536" width="12" style="113" customWidth="1"/>
    <col min="537" max="780" width="8.88671875" style="113"/>
    <col min="781" max="781" width="4.77734375" style="113" customWidth="1"/>
    <col min="782" max="783" width="5.77734375" style="113" customWidth="1"/>
    <col min="784" max="788" width="8.21875" style="113" customWidth="1"/>
    <col min="789" max="789" width="37.44140625" style="113" customWidth="1"/>
    <col min="790" max="790" width="12.6640625" style="113" customWidth="1"/>
    <col min="791" max="791" width="17.6640625" style="113" customWidth="1"/>
    <col min="792" max="792" width="12" style="113" customWidth="1"/>
    <col min="793" max="1036" width="8.88671875" style="113"/>
    <col min="1037" max="1037" width="4.77734375" style="113" customWidth="1"/>
    <col min="1038" max="1039" width="5.77734375" style="113" customWidth="1"/>
    <col min="1040" max="1044" width="8.21875" style="113" customWidth="1"/>
    <col min="1045" max="1045" width="37.44140625" style="113" customWidth="1"/>
    <col min="1046" max="1046" width="12.6640625" style="113" customWidth="1"/>
    <col min="1047" max="1047" width="17.6640625" style="113" customWidth="1"/>
    <col min="1048" max="1048" width="12" style="113" customWidth="1"/>
    <col min="1049" max="1292" width="8.88671875" style="113"/>
    <col min="1293" max="1293" width="4.77734375" style="113" customWidth="1"/>
    <col min="1294" max="1295" width="5.77734375" style="113" customWidth="1"/>
    <col min="1296" max="1300" width="8.21875" style="113" customWidth="1"/>
    <col min="1301" max="1301" width="37.44140625" style="113" customWidth="1"/>
    <col min="1302" max="1302" width="12.6640625" style="113" customWidth="1"/>
    <col min="1303" max="1303" width="17.6640625" style="113" customWidth="1"/>
    <col min="1304" max="1304" width="12" style="113" customWidth="1"/>
    <col min="1305" max="1548" width="8.88671875" style="113"/>
    <col min="1549" max="1549" width="4.77734375" style="113" customWidth="1"/>
    <col min="1550" max="1551" width="5.77734375" style="113" customWidth="1"/>
    <col min="1552" max="1556" width="8.21875" style="113" customWidth="1"/>
    <col min="1557" max="1557" width="37.44140625" style="113" customWidth="1"/>
    <col min="1558" max="1558" width="12.6640625" style="113" customWidth="1"/>
    <col min="1559" max="1559" width="17.6640625" style="113" customWidth="1"/>
    <col min="1560" max="1560" width="12" style="113" customWidth="1"/>
    <col min="1561" max="1804" width="8.88671875" style="113"/>
    <col min="1805" max="1805" width="4.77734375" style="113" customWidth="1"/>
    <col min="1806" max="1807" width="5.77734375" style="113" customWidth="1"/>
    <col min="1808" max="1812" width="8.21875" style="113" customWidth="1"/>
    <col min="1813" max="1813" width="37.44140625" style="113" customWidth="1"/>
    <col min="1814" max="1814" width="12.6640625" style="113" customWidth="1"/>
    <col min="1815" max="1815" width="17.6640625" style="113" customWidth="1"/>
    <col min="1816" max="1816" width="12" style="113" customWidth="1"/>
    <col min="1817" max="2060" width="8.88671875" style="113"/>
    <col min="2061" max="2061" width="4.77734375" style="113" customWidth="1"/>
    <col min="2062" max="2063" width="5.77734375" style="113" customWidth="1"/>
    <col min="2064" max="2068" width="8.21875" style="113" customWidth="1"/>
    <col min="2069" max="2069" width="37.44140625" style="113" customWidth="1"/>
    <col min="2070" max="2070" width="12.6640625" style="113" customWidth="1"/>
    <col min="2071" max="2071" width="17.6640625" style="113" customWidth="1"/>
    <col min="2072" max="2072" width="12" style="113" customWidth="1"/>
    <col min="2073" max="2316" width="8.88671875" style="113"/>
    <col min="2317" max="2317" width="4.77734375" style="113" customWidth="1"/>
    <col min="2318" max="2319" width="5.77734375" style="113" customWidth="1"/>
    <col min="2320" max="2324" width="8.21875" style="113" customWidth="1"/>
    <col min="2325" max="2325" width="37.44140625" style="113" customWidth="1"/>
    <col min="2326" max="2326" width="12.6640625" style="113" customWidth="1"/>
    <col min="2327" max="2327" width="17.6640625" style="113" customWidth="1"/>
    <col min="2328" max="2328" width="12" style="113" customWidth="1"/>
    <col min="2329" max="2572" width="8.88671875" style="113"/>
    <col min="2573" max="2573" width="4.77734375" style="113" customWidth="1"/>
    <col min="2574" max="2575" width="5.77734375" style="113" customWidth="1"/>
    <col min="2576" max="2580" width="8.21875" style="113" customWidth="1"/>
    <col min="2581" max="2581" width="37.44140625" style="113" customWidth="1"/>
    <col min="2582" max="2582" width="12.6640625" style="113" customWidth="1"/>
    <col min="2583" max="2583" width="17.6640625" style="113" customWidth="1"/>
    <col min="2584" max="2584" width="12" style="113" customWidth="1"/>
    <col min="2585" max="2828" width="8.88671875" style="113"/>
    <col min="2829" max="2829" width="4.77734375" style="113" customWidth="1"/>
    <col min="2830" max="2831" width="5.77734375" style="113" customWidth="1"/>
    <col min="2832" max="2836" width="8.21875" style="113" customWidth="1"/>
    <col min="2837" max="2837" width="37.44140625" style="113" customWidth="1"/>
    <col min="2838" max="2838" width="12.6640625" style="113" customWidth="1"/>
    <col min="2839" max="2839" width="17.6640625" style="113" customWidth="1"/>
    <col min="2840" max="2840" width="12" style="113" customWidth="1"/>
    <col min="2841" max="3084" width="8.88671875" style="113"/>
    <col min="3085" max="3085" width="4.77734375" style="113" customWidth="1"/>
    <col min="3086" max="3087" width="5.77734375" style="113" customWidth="1"/>
    <col min="3088" max="3092" width="8.21875" style="113" customWidth="1"/>
    <col min="3093" max="3093" width="37.44140625" style="113" customWidth="1"/>
    <col min="3094" max="3094" width="12.6640625" style="113" customWidth="1"/>
    <col min="3095" max="3095" width="17.6640625" style="113" customWidth="1"/>
    <col min="3096" max="3096" width="12" style="113" customWidth="1"/>
    <col min="3097" max="3340" width="8.88671875" style="113"/>
    <col min="3341" max="3341" width="4.77734375" style="113" customWidth="1"/>
    <col min="3342" max="3343" width="5.77734375" style="113" customWidth="1"/>
    <col min="3344" max="3348" width="8.21875" style="113" customWidth="1"/>
    <col min="3349" max="3349" width="37.44140625" style="113" customWidth="1"/>
    <col min="3350" max="3350" width="12.6640625" style="113" customWidth="1"/>
    <col min="3351" max="3351" width="17.6640625" style="113" customWidth="1"/>
    <col min="3352" max="3352" width="12" style="113" customWidth="1"/>
    <col min="3353" max="3596" width="8.88671875" style="113"/>
    <col min="3597" max="3597" width="4.77734375" style="113" customWidth="1"/>
    <col min="3598" max="3599" width="5.77734375" style="113" customWidth="1"/>
    <col min="3600" max="3604" width="8.21875" style="113" customWidth="1"/>
    <col min="3605" max="3605" width="37.44140625" style="113" customWidth="1"/>
    <col min="3606" max="3606" width="12.6640625" style="113" customWidth="1"/>
    <col min="3607" max="3607" width="17.6640625" style="113" customWidth="1"/>
    <col min="3608" max="3608" width="12" style="113" customWidth="1"/>
    <col min="3609" max="3852" width="8.88671875" style="113"/>
    <col min="3853" max="3853" width="4.77734375" style="113" customWidth="1"/>
    <col min="3854" max="3855" width="5.77734375" style="113" customWidth="1"/>
    <col min="3856" max="3860" width="8.21875" style="113" customWidth="1"/>
    <col min="3861" max="3861" width="37.44140625" style="113" customWidth="1"/>
    <col min="3862" max="3862" width="12.6640625" style="113" customWidth="1"/>
    <col min="3863" max="3863" width="17.6640625" style="113" customWidth="1"/>
    <col min="3864" max="3864" width="12" style="113" customWidth="1"/>
    <col min="3865" max="4108" width="8.88671875" style="113"/>
    <col min="4109" max="4109" width="4.77734375" style="113" customWidth="1"/>
    <col min="4110" max="4111" width="5.77734375" style="113" customWidth="1"/>
    <col min="4112" max="4116" width="8.21875" style="113" customWidth="1"/>
    <col min="4117" max="4117" width="37.44140625" style="113" customWidth="1"/>
    <col min="4118" max="4118" width="12.6640625" style="113" customWidth="1"/>
    <col min="4119" max="4119" width="17.6640625" style="113" customWidth="1"/>
    <col min="4120" max="4120" width="12" style="113" customWidth="1"/>
    <col min="4121" max="4364" width="8.88671875" style="113"/>
    <col min="4365" max="4365" width="4.77734375" style="113" customWidth="1"/>
    <col min="4366" max="4367" width="5.77734375" style="113" customWidth="1"/>
    <col min="4368" max="4372" width="8.21875" style="113" customWidth="1"/>
    <col min="4373" max="4373" width="37.44140625" style="113" customWidth="1"/>
    <col min="4374" max="4374" width="12.6640625" style="113" customWidth="1"/>
    <col min="4375" max="4375" width="17.6640625" style="113" customWidth="1"/>
    <col min="4376" max="4376" width="12" style="113" customWidth="1"/>
    <col min="4377" max="4620" width="8.88671875" style="113"/>
    <col min="4621" max="4621" width="4.77734375" style="113" customWidth="1"/>
    <col min="4622" max="4623" width="5.77734375" style="113" customWidth="1"/>
    <col min="4624" max="4628" width="8.21875" style="113" customWidth="1"/>
    <col min="4629" max="4629" width="37.44140625" style="113" customWidth="1"/>
    <col min="4630" max="4630" width="12.6640625" style="113" customWidth="1"/>
    <col min="4631" max="4631" width="17.6640625" style="113" customWidth="1"/>
    <col min="4632" max="4632" width="12" style="113" customWidth="1"/>
    <col min="4633" max="4876" width="8.88671875" style="113"/>
    <col min="4877" max="4877" width="4.77734375" style="113" customWidth="1"/>
    <col min="4878" max="4879" width="5.77734375" style="113" customWidth="1"/>
    <col min="4880" max="4884" width="8.21875" style="113" customWidth="1"/>
    <col min="4885" max="4885" width="37.44140625" style="113" customWidth="1"/>
    <col min="4886" max="4886" width="12.6640625" style="113" customWidth="1"/>
    <col min="4887" max="4887" width="17.6640625" style="113" customWidth="1"/>
    <col min="4888" max="4888" width="12" style="113" customWidth="1"/>
    <col min="4889" max="5132" width="8.88671875" style="113"/>
    <col min="5133" max="5133" width="4.77734375" style="113" customWidth="1"/>
    <col min="5134" max="5135" width="5.77734375" style="113" customWidth="1"/>
    <col min="5136" max="5140" width="8.21875" style="113" customWidth="1"/>
    <col min="5141" max="5141" width="37.44140625" style="113" customWidth="1"/>
    <col min="5142" max="5142" width="12.6640625" style="113" customWidth="1"/>
    <col min="5143" max="5143" width="17.6640625" style="113" customWidth="1"/>
    <col min="5144" max="5144" width="12" style="113" customWidth="1"/>
    <col min="5145" max="5388" width="8.88671875" style="113"/>
    <col min="5389" max="5389" width="4.77734375" style="113" customWidth="1"/>
    <col min="5390" max="5391" width="5.77734375" style="113" customWidth="1"/>
    <col min="5392" max="5396" width="8.21875" style="113" customWidth="1"/>
    <col min="5397" max="5397" width="37.44140625" style="113" customWidth="1"/>
    <col min="5398" max="5398" width="12.6640625" style="113" customWidth="1"/>
    <col min="5399" max="5399" width="17.6640625" style="113" customWidth="1"/>
    <col min="5400" max="5400" width="12" style="113" customWidth="1"/>
    <col min="5401" max="5644" width="8.88671875" style="113"/>
    <col min="5645" max="5645" width="4.77734375" style="113" customWidth="1"/>
    <col min="5646" max="5647" width="5.77734375" style="113" customWidth="1"/>
    <col min="5648" max="5652" width="8.21875" style="113" customWidth="1"/>
    <col min="5653" max="5653" width="37.44140625" style="113" customWidth="1"/>
    <col min="5654" max="5654" width="12.6640625" style="113" customWidth="1"/>
    <col min="5655" max="5655" width="17.6640625" style="113" customWidth="1"/>
    <col min="5656" max="5656" width="12" style="113" customWidth="1"/>
    <col min="5657" max="5900" width="8.88671875" style="113"/>
    <col min="5901" max="5901" width="4.77734375" style="113" customWidth="1"/>
    <col min="5902" max="5903" width="5.77734375" style="113" customWidth="1"/>
    <col min="5904" max="5908" width="8.21875" style="113" customWidth="1"/>
    <col min="5909" max="5909" width="37.44140625" style="113" customWidth="1"/>
    <col min="5910" max="5910" width="12.6640625" style="113" customWidth="1"/>
    <col min="5911" max="5911" width="17.6640625" style="113" customWidth="1"/>
    <col min="5912" max="5912" width="12" style="113" customWidth="1"/>
    <col min="5913" max="6156" width="8.88671875" style="113"/>
    <col min="6157" max="6157" width="4.77734375" style="113" customWidth="1"/>
    <col min="6158" max="6159" width="5.77734375" style="113" customWidth="1"/>
    <col min="6160" max="6164" width="8.21875" style="113" customWidth="1"/>
    <col min="6165" max="6165" width="37.44140625" style="113" customWidth="1"/>
    <col min="6166" max="6166" width="12.6640625" style="113" customWidth="1"/>
    <col min="6167" max="6167" width="17.6640625" style="113" customWidth="1"/>
    <col min="6168" max="6168" width="12" style="113" customWidth="1"/>
    <col min="6169" max="6412" width="8.88671875" style="113"/>
    <col min="6413" max="6413" width="4.77734375" style="113" customWidth="1"/>
    <col min="6414" max="6415" width="5.77734375" style="113" customWidth="1"/>
    <col min="6416" max="6420" width="8.21875" style="113" customWidth="1"/>
    <col min="6421" max="6421" width="37.44140625" style="113" customWidth="1"/>
    <col min="6422" max="6422" width="12.6640625" style="113" customWidth="1"/>
    <col min="6423" max="6423" width="17.6640625" style="113" customWidth="1"/>
    <col min="6424" max="6424" width="12" style="113" customWidth="1"/>
    <col min="6425" max="6668" width="8.88671875" style="113"/>
    <col min="6669" max="6669" width="4.77734375" style="113" customWidth="1"/>
    <col min="6670" max="6671" width="5.77734375" style="113" customWidth="1"/>
    <col min="6672" max="6676" width="8.21875" style="113" customWidth="1"/>
    <col min="6677" max="6677" width="37.44140625" style="113" customWidth="1"/>
    <col min="6678" max="6678" width="12.6640625" style="113" customWidth="1"/>
    <col min="6679" max="6679" width="17.6640625" style="113" customWidth="1"/>
    <col min="6680" max="6680" width="12" style="113" customWidth="1"/>
    <col min="6681" max="6924" width="8.88671875" style="113"/>
    <col min="6925" max="6925" width="4.77734375" style="113" customWidth="1"/>
    <col min="6926" max="6927" width="5.77734375" style="113" customWidth="1"/>
    <col min="6928" max="6932" width="8.21875" style="113" customWidth="1"/>
    <col min="6933" max="6933" width="37.44140625" style="113" customWidth="1"/>
    <col min="6934" max="6934" width="12.6640625" style="113" customWidth="1"/>
    <col min="6935" max="6935" width="17.6640625" style="113" customWidth="1"/>
    <col min="6936" max="6936" width="12" style="113" customWidth="1"/>
    <col min="6937" max="7180" width="8.88671875" style="113"/>
    <col min="7181" max="7181" width="4.77734375" style="113" customWidth="1"/>
    <col min="7182" max="7183" width="5.77734375" style="113" customWidth="1"/>
    <col min="7184" max="7188" width="8.21875" style="113" customWidth="1"/>
    <col min="7189" max="7189" width="37.44140625" style="113" customWidth="1"/>
    <col min="7190" max="7190" width="12.6640625" style="113" customWidth="1"/>
    <col min="7191" max="7191" width="17.6640625" style="113" customWidth="1"/>
    <col min="7192" max="7192" width="12" style="113" customWidth="1"/>
    <col min="7193" max="7436" width="8.88671875" style="113"/>
    <col min="7437" max="7437" width="4.77734375" style="113" customWidth="1"/>
    <col min="7438" max="7439" width="5.77734375" style="113" customWidth="1"/>
    <col min="7440" max="7444" width="8.21875" style="113" customWidth="1"/>
    <col min="7445" max="7445" width="37.44140625" style="113" customWidth="1"/>
    <col min="7446" max="7446" width="12.6640625" style="113" customWidth="1"/>
    <col min="7447" max="7447" width="17.6640625" style="113" customWidth="1"/>
    <col min="7448" max="7448" width="12" style="113" customWidth="1"/>
    <col min="7449" max="7692" width="8.88671875" style="113"/>
    <col min="7693" max="7693" width="4.77734375" style="113" customWidth="1"/>
    <col min="7694" max="7695" width="5.77734375" style="113" customWidth="1"/>
    <col min="7696" max="7700" width="8.21875" style="113" customWidth="1"/>
    <col min="7701" max="7701" width="37.44140625" style="113" customWidth="1"/>
    <col min="7702" max="7702" width="12.6640625" style="113" customWidth="1"/>
    <col min="7703" max="7703" width="17.6640625" style="113" customWidth="1"/>
    <col min="7704" max="7704" width="12" style="113" customWidth="1"/>
    <col min="7705" max="7948" width="8.88671875" style="113"/>
    <col min="7949" max="7949" width="4.77734375" style="113" customWidth="1"/>
    <col min="7950" max="7951" width="5.77734375" style="113" customWidth="1"/>
    <col min="7952" max="7956" width="8.21875" style="113" customWidth="1"/>
    <col min="7957" max="7957" width="37.44140625" style="113" customWidth="1"/>
    <col min="7958" max="7958" width="12.6640625" style="113" customWidth="1"/>
    <col min="7959" max="7959" width="17.6640625" style="113" customWidth="1"/>
    <col min="7960" max="7960" width="12" style="113" customWidth="1"/>
    <col min="7961" max="8204" width="8.88671875" style="113"/>
    <col min="8205" max="8205" width="4.77734375" style="113" customWidth="1"/>
    <col min="8206" max="8207" width="5.77734375" style="113" customWidth="1"/>
    <col min="8208" max="8212" width="8.21875" style="113" customWidth="1"/>
    <col min="8213" max="8213" width="37.44140625" style="113" customWidth="1"/>
    <col min="8214" max="8214" width="12.6640625" style="113" customWidth="1"/>
    <col min="8215" max="8215" width="17.6640625" style="113" customWidth="1"/>
    <col min="8216" max="8216" width="12" style="113" customWidth="1"/>
    <col min="8217" max="8460" width="8.88671875" style="113"/>
    <col min="8461" max="8461" width="4.77734375" style="113" customWidth="1"/>
    <col min="8462" max="8463" width="5.77734375" style="113" customWidth="1"/>
    <col min="8464" max="8468" width="8.21875" style="113" customWidth="1"/>
    <col min="8469" max="8469" width="37.44140625" style="113" customWidth="1"/>
    <col min="8470" max="8470" width="12.6640625" style="113" customWidth="1"/>
    <col min="8471" max="8471" width="17.6640625" style="113" customWidth="1"/>
    <col min="8472" max="8472" width="12" style="113" customWidth="1"/>
    <col min="8473" max="8716" width="8.88671875" style="113"/>
    <col min="8717" max="8717" width="4.77734375" style="113" customWidth="1"/>
    <col min="8718" max="8719" width="5.77734375" style="113" customWidth="1"/>
    <col min="8720" max="8724" width="8.21875" style="113" customWidth="1"/>
    <col min="8725" max="8725" width="37.44140625" style="113" customWidth="1"/>
    <col min="8726" max="8726" width="12.6640625" style="113" customWidth="1"/>
    <col min="8727" max="8727" width="17.6640625" style="113" customWidth="1"/>
    <col min="8728" max="8728" width="12" style="113" customWidth="1"/>
    <col min="8729" max="8972" width="8.88671875" style="113"/>
    <col min="8973" max="8973" width="4.77734375" style="113" customWidth="1"/>
    <col min="8974" max="8975" width="5.77734375" style="113" customWidth="1"/>
    <col min="8976" max="8980" width="8.21875" style="113" customWidth="1"/>
    <col min="8981" max="8981" width="37.44140625" style="113" customWidth="1"/>
    <col min="8982" max="8982" width="12.6640625" style="113" customWidth="1"/>
    <col min="8983" max="8983" width="17.6640625" style="113" customWidth="1"/>
    <col min="8984" max="8984" width="12" style="113" customWidth="1"/>
    <col min="8985" max="9228" width="8.88671875" style="113"/>
    <col min="9229" max="9229" width="4.77734375" style="113" customWidth="1"/>
    <col min="9230" max="9231" width="5.77734375" style="113" customWidth="1"/>
    <col min="9232" max="9236" width="8.21875" style="113" customWidth="1"/>
    <col min="9237" max="9237" width="37.44140625" style="113" customWidth="1"/>
    <col min="9238" max="9238" width="12.6640625" style="113" customWidth="1"/>
    <col min="9239" max="9239" width="17.6640625" style="113" customWidth="1"/>
    <col min="9240" max="9240" width="12" style="113" customWidth="1"/>
    <col min="9241" max="9484" width="8.88671875" style="113"/>
    <col min="9485" max="9485" width="4.77734375" style="113" customWidth="1"/>
    <col min="9486" max="9487" width="5.77734375" style="113" customWidth="1"/>
    <col min="9488" max="9492" width="8.21875" style="113" customWidth="1"/>
    <col min="9493" max="9493" width="37.44140625" style="113" customWidth="1"/>
    <col min="9494" max="9494" width="12.6640625" style="113" customWidth="1"/>
    <col min="9495" max="9495" width="17.6640625" style="113" customWidth="1"/>
    <col min="9496" max="9496" width="12" style="113" customWidth="1"/>
    <col min="9497" max="9740" width="8.88671875" style="113"/>
    <col min="9741" max="9741" width="4.77734375" style="113" customWidth="1"/>
    <col min="9742" max="9743" width="5.77734375" style="113" customWidth="1"/>
    <col min="9744" max="9748" width="8.21875" style="113" customWidth="1"/>
    <col min="9749" max="9749" width="37.44140625" style="113" customWidth="1"/>
    <col min="9750" max="9750" width="12.6640625" style="113" customWidth="1"/>
    <col min="9751" max="9751" width="17.6640625" style="113" customWidth="1"/>
    <col min="9752" max="9752" width="12" style="113" customWidth="1"/>
    <col min="9753" max="9996" width="8.88671875" style="113"/>
    <col min="9997" max="9997" width="4.77734375" style="113" customWidth="1"/>
    <col min="9998" max="9999" width="5.77734375" style="113" customWidth="1"/>
    <col min="10000" max="10004" width="8.21875" style="113" customWidth="1"/>
    <col min="10005" max="10005" width="37.44140625" style="113" customWidth="1"/>
    <col min="10006" max="10006" width="12.6640625" style="113" customWidth="1"/>
    <col min="10007" max="10007" width="17.6640625" style="113" customWidth="1"/>
    <col min="10008" max="10008" width="12" style="113" customWidth="1"/>
    <col min="10009" max="10252" width="8.88671875" style="113"/>
    <col min="10253" max="10253" width="4.77734375" style="113" customWidth="1"/>
    <col min="10254" max="10255" width="5.77734375" style="113" customWidth="1"/>
    <col min="10256" max="10260" width="8.21875" style="113" customWidth="1"/>
    <col min="10261" max="10261" width="37.44140625" style="113" customWidth="1"/>
    <col min="10262" max="10262" width="12.6640625" style="113" customWidth="1"/>
    <col min="10263" max="10263" width="17.6640625" style="113" customWidth="1"/>
    <col min="10264" max="10264" width="12" style="113" customWidth="1"/>
    <col min="10265" max="10508" width="8.88671875" style="113"/>
    <col min="10509" max="10509" width="4.77734375" style="113" customWidth="1"/>
    <col min="10510" max="10511" width="5.77734375" style="113" customWidth="1"/>
    <col min="10512" max="10516" width="8.21875" style="113" customWidth="1"/>
    <col min="10517" max="10517" width="37.44140625" style="113" customWidth="1"/>
    <col min="10518" max="10518" width="12.6640625" style="113" customWidth="1"/>
    <col min="10519" max="10519" width="17.6640625" style="113" customWidth="1"/>
    <col min="10520" max="10520" width="12" style="113" customWidth="1"/>
    <col min="10521" max="10764" width="8.88671875" style="113"/>
    <col min="10765" max="10765" width="4.77734375" style="113" customWidth="1"/>
    <col min="10766" max="10767" width="5.77734375" style="113" customWidth="1"/>
    <col min="10768" max="10772" width="8.21875" style="113" customWidth="1"/>
    <col min="10773" max="10773" width="37.44140625" style="113" customWidth="1"/>
    <col min="10774" max="10774" width="12.6640625" style="113" customWidth="1"/>
    <col min="10775" max="10775" width="17.6640625" style="113" customWidth="1"/>
    <col min="10776" max="10776" width="12" style="113" customWidth="1"/>
    <col min="10777" max="11020" width="8.88671875" style="113"/>
    <col min="11021" max="11021" width="4.77734375" style="113" customWidth="1"/>
    <col min="11022" max="11023" width="5.77734375" style="113" customWidth="1"/>
    <col min="11024" max="11028" width="8.21875" style="113" customWidth="1"/>
    <col min="11029" max="11029" width="37.44140625" style="113" customWidth="1"/>
    <col min="11030" max="11030" width="12.6640625" style="113" customWidth="1"/>
    <col min="11031" max="11031" width="17.6640625" style="113" customWidth="1"/>
    <col min="11032" max="11032" width="12" style="113" customWidth="1"/>
    <col min="11033" max="11276" width="8.88671875" style="113"/>
    <col min="11277" max="11277" width="4.77734375" style="113" customWidth="1"/>
    <col min="11278" max="11279" width="5.77734375" style="113" customWidth="1"/>
    <col min="11280" max="11284" width="8.21875" style="113" customWidth="1"/>
    <col min="11285" max="11285" width="37.44140625" style="113" customWidth="1"/>
    <col min="11286" max="11286" width="12.6640625" style="113" customWidth="1"/>
    <col min="11287" max="11287" width="17.6640625" style="113" customWidth="1"/>
    <col min="11288" max="11288" width="12" style="113" customWidth="1"/>
    <col min="11289" max="11532" width="8.88671875" style="113"/>
    <col min="11533" max="11533" width="4.77734375" style="113" customWidth="1"/>
    <col min="11534" max="11535" width="5.77734375" style="113" customWidth="1"/>
    <col min="11536" max="11540" width="8.21875" style="113" customWidth="1"/>
    <col min="11541" max="11541" width="37.44140625" style="113" customWidth="1"/>
    <col min="11542" max="11542" width="12.6640625" style="113" customWidth="1"/>
    <col min="11543" max="11543" width="17.6640625" style="113" customWidth="1"/>
    <col min="11544" max="11544" width="12" style="113" customWidth="1"/>
    <col min="11545" max="11788" width="8.88671875" style="113"/>
    <col min="11789" max="11789" width="4.77734375" style="113" customWidth="1"/>
    <col min="11790" max="11791" width="5.77734375" style="113" customWidth="1"/>
    <col min="11792" max="11796" width="8.21875" style="113" customWidth="1"/>
    <col min="11797" max="11797" width="37.44140625" style="113" customWidth="1"/>
    <col min="11798" max="11798" width="12.6640625" style="113" customWidth="1"/>
    <col min="11799" max="11799" width="17.6640625" style="113" customWidth="1"/>
    <col min="11800" max="11800" width="12" style="113" customWidth="1"/>
    <col min="11801" max="12044" width="8.88671875" style="113"/>
    <col min="12045" max="12045" width="4.77734375" style="113" customWidth="1"/>
    <col min="12046" max="12047" width="5.77734375" style="113" customWidth="1"/>
    <col min="12048" max="12052" width="8.21875" style="113" customWidth="1"/>
    <col min="12053" max="12053" width="37.44140625" style="113" customWidth="1"/>
    <col min="12054" max="12054" width="12.6640625" style="113" customWidth="1"/>
    <col min="12055" max="12055" width="17.6640625" style="113" customWidth="1"/>
    <col min="12056" max="12056" width="12" style="113" customWidth="1"/>
    <col min="12057" max="12300" width="8.88671875" style="113"/>
    <col min="12301" max="12301" width="4.77734375" style="113" customWidth="1"/>
    <col min="12302" max="12303" width="5.77734375" style="113" customWidth="1"/>
    <col min="12304" max="12308" width="8.21875" style="113" customWidth="1"/>
    <col min="12309" max="12309" width="37.44140625" style="113" customWidth="1"/>
    <col min="12310" max="12310" width="12.6640625" style="113" customWidth="1"/>
    <col min="12311" max="12311" width="17.6640625" style="113" customWidth="1"/>
    <col min="12312" max="12312" width="12" style="113" customWidth="1"/>
    <col min="12313" max="12556" width="8.88671875" style="113"/>
    <col min="12557" max="12557" width="4.77734375" style="113" customWidth="1"/>
    <col min="12558" max="12559" width="5.77734375" style="113" customWidth="1"/>
    <col min="12560" max="12564" width="8.21875" style="113" customWidth="1"/>
    <col min="12565" max="12565" width="37.44140625" style="113" customWidth="1"/>
    <col min="12566" max="12566" width="12.6640625" style="113" customWidth="1"/>
    <col min="12567" max="12567" width="17.6640625" style="113" customWidth="1"/>
    <col min="12568" max="12568" width="12" style="113" customWidth="1"/>
    <col min="12569" max="12812" width="8.88671875" style="113"/>
    <col min="12813" max="12813" width="4.77734375" style="113" customWidth="1"/>
    <col min="12814" max="12815" width="5.77734375" style="113" customWidth="1"/>
    <col min="12816" max="12820" width="8.21875" style="113" customWidth="1"/>
    <col min="12821" max="12821" width="37.44140625" style="113" customWidth="1"/>
    <col min="12822" max="12822" width="12.6640625" style="113" customWidth="1"/>
    <col min="12823" max="12823" width="17.6640625" style="113" customWidth="1"/>
    <col min="12824" max="12824" width="12" style="113" customWidth="1"/>
    <col min="12825" max="13068" width="8.88671875" style="113"/>
    <col min="13069" max="13069" width="4.77734375" style="113" customWidth="1"/>
    <col min="13070" max="13071" width="5.77734375" style="113" customWidth="1"/>
    <col min="13072" max="13076" width="8.21875" style="113" customWidth="1"/>
    <col min="13077" max="13077" width="37.44140625" style="113" customWidth="1"/>
    <col min="13078" max="13078" width="12.6640625" style="113" customWidth="1"/>
    <col min="13079" max="13079" width="17.6640625" style="113" customWidth="1"/>
    <col min="13080" max="13080" width="12" style="113" customWidth="1"/>
    <col min="13081" max="13324" width="8.88671875" style="113"/>
    <col min="13325" max="13325" width="4.77734375" style="113" customWidth="1"/>
    <col min="13326" max="13327" width="5.77734375" style="113" customWidth="1"/>
    <col min="13328" max="13332" width="8.21875" style="113" customWidth="1"/>
    <col min="13333" max="13333" width="37.44140625" style="113" customWidth="1"/>
    <col min="13334" max="13334" width="12.6640625" style="113" customWidth="1"/>
    <col min="13335" max="13335" width="17.6640625" style="113" customWidth="1"/>
    <col min="13336" max="13336" width="12" style="113" customWidth="1"/>
    <col min="13337" max="13580" width="8.88671875" style="113"/>
    <col min="13581" max="13581" width="4.77734375" style="113" customWidth="1"/>
    <col min="13582" max="13583" width="5.77734375" style="113" customWidth="1"/>
    <col min="13584" max="13588" width="8.21875" style="113" customWidth="1"/>
    <col min="13589" max="13589" width="37.44140625" style="113" customWidth="1"/>
    <col min="13590" max="13590" width="12.6640625" style="113" customWidth="1"/>
    <col min="13591" max="13591" width="17.6640625" style="113" customWidth="1"/>
    <col min="13592" max="13592" width="12" style="113" customWidth="1"/>
    <col min="13593" max="13836" width="8.88671875" style="113"/>
    <col min="13837" max="13837" width="4.77734375" style="113" customWidth="1"/>
    <col min="13838" max="13839" width="5.77734375" style="113" customWidth="1"/>
    <col min="13840" max="13844" width="8.21875" style="113" customWidth="1"/>
    <col min="13845" max="13845" width="37.44140625" style="113" customWidth="1"/>
    <col min="13846" max="13846" width="12.6640625" style="113" customWidth="1"/>
    <col min="13847" max="13847" width="17.6640625" style="113" customWidth="1"/>
    <col min="13848" max="13848" width="12" style="113" customWidth="1"/>
    <col min="13849" max="14092" width="8.88671875" style="113"/>
    <col min="14093" max="14093" width="4.77734375" style="113" customWidth="1"/>
    <col min="14094" max="14095" width="5.77734375" style="113" customWidth="1"/>
    <col min="14096" max="14100" width="8.21875" style="113" customWidth="1"/>
    <col min="14101" max="14101" width="37.44140625" style="113" customWidth="1"/>
    <col min="14102" max="14102" width="12.6640625" style="113" customWidth="1"/>
    <col min="14103" max="14103" width="17.6640625" style="113" customWidth="1"/>
    <col min="14104" max="14104" width="12" style="113" customWidth="1"/>
    <col min="14105" max="14348" width="8.88671875" style="113"/>
    <col min="14349" max="14349" width="4.77734375" style="113" customWidth="1"/>
    <col min="14350" max="14351" width="5.77734375" style="113" customWidth="1"/>
    <col min="14352" max="14356" width="8.21875" style="113" customWidth="1"/>
    <col min="14357" max="14357" width="37.44140625" style="113" customWidth="1"/>
    <col min="14358" max="14358" width="12.6640625" style="113" customWidth="1"/>
    <col min="14359" max="14359" width="17.6640625" style="113" customWidth="1"/>
    <col min="14360" max="14360" width="12" style="113" customWidth="1"/>
    <col min="14361" max="14604" width="8.88671875" style="113"/>
    <col min="14605" max="14605" width="4.77734375" style="113" customWidth="1"/>
    <col min="14606" max="14607" width="5.77734375" style="113" customWidth="1"/>
    <col min="14608" max="14612" width="8.21875" style="113" customWidth="1"/>
    <col min="14613" max="14613" width="37.44140625" style="113" customWidth="1"/>
    <col min="14614" max="14614" width="12.6640625" style="113" customWidth="1"/>
    <col min="14615" max="14615" width="17.6640625" style="113" customWidth="1"/>
    <col min="14616" max="14616" width="12" style="113" customWidth="1"/>
    <col min="14617" max="14860" width="8.88671875" style="113"/>
    <col min="14861" max="14861" width="4.77734375" style="113" customWidth="1"/>
    <col min="14862" max="14863" width="5.77734375" style="113" customWidth="1"/>
    <col min="14864" max="14868" width="8.21875" style="113" customWidth="1"/>
    <col min="14869" max="14869" width="37.44140625" style="113" customWidth="1"/>
    <col min="14870" max="14870" width="12.6640625" style="113" customWidth="1"/>
    <col min="14871" max="14871" width="17.6640625" style="113" customWidth="1"/>
    <col min="14872" max="14872" width="12" style="113" customWidth="1"/>
    <col min="14873" max="15116" width="8.88671875" style="113"/>
    <col min="15117" max="15117" width="4.77734375" style="113" customWidth="1"/>
    <col min="15118" max="15119" width="5.77734375" style="113" customWidth="1"/>
    <col min="15120" max="15124" width="8.21875" style="113" customWidth="1"/>
    <col min="15125" max="15125" width="37.44140625" style="113" customWidth="1"/>
    <col min="15126" max="15126" width="12.6640625" style="113" customWidth="1"/>
    <col min="15127" max="15127" width="17.6640625" style="113" customWidth="1"/>
    <col min="15128" max="15128" width="12" style="113" customWidth="1"/>
    <col min="15129" max="15372" width="8.88671875" style="113"/>
    <col min="15373" max="15373" width="4.77734375" style="113" customWidth="1"/>
    <col min="15374" max="15375" width="5.77734375" style="113" customWidth="1"/>
    <col min="15376" max="15380" width="8.21875" style="113" customWidth="1"/>
    <col min="15381" max="15381" width="37.44140625" style="113" customWidth="1"/>
    <col min="15382" max="15382" width="12.6640625" style="113" customWidth="1"/>
    <col min="15383" max="15383" width="17.6640625" style="113" customWidth="1"/>
    <col min="15384" max="15384" width="12" style="113" customWidth="1"/>
    <col min="15385" max="15628" width="8.88671875" style="113"/>
    <col min="15629" max="15629" width="4.77734375" style="113" customWidth="1"/>
    <col min="15630" max="15631" width="5.77734375" style="113" customWidth="1"/>
    <col min="15632" max="15636" width="8.21875" style="113" customWidth="1"/>
    <col min="15637" max="15637" width="37.44140625" style="113" customWidth="1"/>
    <col min="15638" max="15638" width="12.6640625" style="113" customWidth="1"/>
    <col min="15639" max="15639" width="17.6640625" style="113" customWidth="1"/>
    <col min="15640" max="15640" width="12" style="113" customWidth="1"/>
    <col min="15641" max="15884" width="8.88671875" style="113"/>
    <col min="15885" max="15885" width="4.77734375" style="113" customWidth="1"/>
    <col min="15886" max="15887" width="5.77734375" style="113" customWidth="1"/>
    <col min="15888" max="15892" width="8.21875" style="113" customWidth="1"/>
    <col min="15893" max="15893" width="37.44140625" style="113" customWidth="1"/>
    <col min="15894" max="15894" width="12.6640625" style="113" customWidth="1"/>
    <col min="15895" max="15895" width="17.6640625" style="113" customWidth="1"/>
    <col min="15896" max="15896" width="12" style="113" customWidth="1"/>
    <col min="15897" max="16384" width="8.88671875" style="113"/>
  </cols>
  <sheetData>
    <row r="1" spans="1:12" ht="38.25" customHeight="1" thickTop="1">
      <c r="A1" s="484"/>
      <c r="B1" s="485"/>
      <c r="C1" s="485"/>
      <c r="D1" s="485"/>
      <c r="E1" s="488" t="s">
        <v>77</v>
      </c>
      <c r="F1" s="489"/>
      <c r="G1" s="489"/>
      <c r="H1" s="489"/>
      <c r="I1" s="489"/>
      <c r="J1" s="110" t="s">
        <v>35</v>
      </c>
      <c r="K1" s="111" t="s">
        <v>74</v>
      </c>
      <c r="L1" s="112" t="s">
        <v>38</v>
      </c>
    </row>
    <row r="2" spans="1:12" ht="34.5" customHeight="1">
      <c r="A2" s="486"/>
      <c r="B2" s="487"/>
      <c r="C2" s="487"/>
      <c r="D2" s="487"/>
      <c r="E2" s="490"/>
      <c r="F2" s="490"/>
      <c r="G2" s="490"/>
      <c r="H2" s="490"/>
      <c r="I2" s="490"/>
      <c r="J2" s="114" t="s">
        <v>36</v>
      </c>
      <c r="K2" s="124" t="s">
        <v>112</v>
      </c>
      <c r="L2" s="115" t="s">
        <v>75</v>
      </c>
    </row>
    <row r="3" spans="1:12" ht="35.25" customHeight="1">
      <c r="A3" s="491" t="s">
        <v>76</v>
      </c>
      <c r="B3" s="492"/>
      <c r="C3" s="492"/>
      <c r="D3" s="492"/>
      <c r="E3" s="492"/>
      <c r="F3" s="492"/>
      <c r="G3" s="492"/>
      <c r="H3" s="492"/>
      <c r="I3" s="492"/>
      <c r="J3" s="492"/>
      <c r="K3" s="493"/>
      <c r="L3" s="494"/>
    </row>
    <row r="4" spans="1:12" ht="21" customHeight="1">
      <c r="A4" s="121" t="s">
        <v>91</v>
      </c>
      <c r="B4" s="495" t="s">
        <v>195</v>
      </c>
      <c r="C4" s="496"/>
      <c r="D4" s="496"/>
      <c r="E4" s="496"/>
      <c r="F4" s="497"/>
      <c r="G4" s="495" t="s">
        <v>196</v>
      </c>
      <c r="H4" s="497"/>
      <c r="I4" s="501" t="s">
        <v>120</v>
      </c>
      <c r="J4" s="503" t="s">
        <v>197</v>
      </c>
      <c r="K4" s="504"/>
      <c r="L4" s="505" t="s">
        <v>198</v>
      </c>
    </row>
    <row r="5" spans="1:12" ht="27" customHeight="1">
      <c r="A5" s="121"/>
      <c r="B5" s="498"/>
      <c r="C5" s="499"/>
      <c r="D5" s="499"/>
      <c r="E5" s="499"/>
      <c r="F5" s="500"/>
      <c r="G5" s="498"/>
      <c r="H5" s="500"/>
      <c r="I5" s="502"/>
      <c r="J5" s="277" t="s">
        <v>199</v>
      </c>
      <c r="K5" s="278" t="s">
        <v>200</v>
      </c>
      <c r="L5" s="506"/>
    </row>
    <row r="6" spans="1:12" ht="33.75" customHeight="1">
      <c r="A6" s="121">
        <v>1</v>
      </c>
      <c r="B6" s="481" t="s">
        <v>206</v>
      </c>
      <c r="C6" s="482"/>
      <c r="D6" s="482"/>
      <c r="E6" s="482"/>
      <c r="F6" s="483"/>
      <c r="G6" s="481" t="s">
        <v>107</v>
      </c>
      <c r="H6" s="483"/>
      <c r="I6" s="150" t="s">
        <v>207</v>
      </c>
      <c r="J6" s="151"/>
      <c r="K6" s="152" t="s">
        <v>211</v>
      </c>
      <c r="L6" s="282" t="s">
        <v>212</v>
      </c>
    </row>
    <row r="7" spans="1:12" ht="33.75" customHeight="1">
      <c r="A7" s="121">
        <v>2</v>
      </c>
      <c r="B7" s="481" t="s">
        <v>208</v>
      </c>
      <c r="C7" s="482"/>
      <c r="D7" s="482"/>
      <c r="E7" s="482"/>
      <c r="F7" s="483"/>
      <c r="G7" s="481" t="s">
        <v>108</v>
      </c>
      <c r="H7" s="483"/>
      <c r="I7" s="150" t="s">
        <v>207</v>
      </c>
      <c r="J7" s="151"/>
      <c r="K7" s="152" t="s">
        <v>211</v>
      </c>
      <c r="L7" s="282" t="s">
        <v>212</v>
      </c>
    </row>
    <row r="8" spans="1:12" ht="33.75" customHeight="1">
      <c r="A8" s="121">
        <v>3</v>
      </c>
      <c r="B8" s="481" t="s">
        <v>209</v>
      </c>
      <c r="C8" s="482"/>
      <c r="D8" s="482"/>
      <c r="E8" s="482"/>
      <c r="F8" s="483"/>
      <c r="G8" s="481" t="s">
        <v>103</v>
      </c>
      <c r="H8" s="483"/>
      <c r="I8" s="150" t="s">
        <v>207</v>
      </c>
      <c r="J8" s="151"/>
      <c r="K8" s="152" t="s">
        <v>211</v>
      </c>
      <c r="L8" s="282" t="s">
        <v>212</v>
      </c>
    </row>
    <row r="9" spans="1:12" ht="33.75" customHeight="1">
      <c r="A9" s="121">
        <v>4</v>
      </c>
      <c r="B9" s="481" t="s">
        <v>210</v>
      </c>
      <c r="C9" s="482"/>
      <c r="D9" s="482"/>
      <c r="E9" s="482"/>
      <c r="F9" s="483"/>
      <c r="G9" s="481" t="s">
        <v>109</v>
      </c>
      <c r="H9" s="483"/>
      <c r="I9" s="150" t="s">
        <v>207</v>
      </c>
      <c r="J9" s="151"/>
      <c r="K9" s="152" t="s">
        <v>211</v>
      </c>
      <c r="L9" s="282" t="s">
        <v>212</v>
      </c>
    </row>
    <row r="10" spans="1:12" ht="33.75" customHeight="1" thickBot="1">
      <c r="A10" s="153"/>
      <c r="B10" s="154"/>
      <c r="C10" s="154"/>
      <c r="D10" s="154"/>
      <c r="E10" s="154"/>
      <c r="F10" s="154"/>
      <c r="G10" s="154"/>
      <c r="H10" s="154"/>
      <c r="I10" s="154"/>
      <c r="J10" s="154"/>
      <c r="K10" s="154"/>
      <c r="L10" s="154"/>
    </row>
    <row r="11" spans="1:12" ht="24" customHeight="1" thickTop="1">
      <c r="A11" s="507" t="s">
        <v>201</v>
      </c>
      <c r="B11" s="508"/>
      <c r="C11" s="508"/>
      <c r="D11" s="508"/>
      <c r="E11" s="508"/>
      <c r="F11" s="508"/>
      <c r="G11" s="508"/>
      <c r="H11" s="508"/>
      <c r="I11" s="508"/>
      <c r="J11" s="508"/>
      <c r="K11" s="508"/>
      <c r="L11" s="509"/>
    </row>
    <row r="12" spans="1:12" ht="26.25" customHeight="1">
      <c r="A12" s="279" t="s">
        <v>91</v>
      </c>
      <c r="B12" s="510" t="s">
        <v>202</v>
      </c>
      <c r="C12" s="510"/>
      <c r="D12" s="510"/>
      <c r="E12" s="510"/>
      <c r="F12" s="510"/>
      <c r="G12" s="510"/>
      <c r="H12" s="510" t="s">
        <v>203</v>
      </c>
      <c r="I12" s="510"/>
      <c r="J12" s="510"/>
      <c r="K12" s="280" t="s">
        <v>120</v>
      </c>
      <c r="L12" s="281" t="s">
        <v>204</v>
      </c>
    </row>
    <row r="13" spans="1:12">
      <c r="A13" s="486">
        <v>1</v>
      </c>
      <c r="B13" s="511" t="s">
        <v>213</v>
      </c>
      <c r="C13" s="487"/>
      <c r="D13" s="487"/>
      <c r="E13" s="487"/>
      <c r="F13" s="487"/>
      <c r="G13" s="487"/>
      <c r="H13" s="511" t="s">
        <v>214</v>
      </c>
      <c r="I13" s="487"/>
      <c r="J13" s="487"/>
      <c r="K13" s="510" t="str">
        <f>I9</f>
        <v>R&amp;D Department</v>
      </c>
      <c r="L13" s="512" t="s">
        <v>205</v>
      </c>
    </row>
    <row r="14" spans="1:12" ht="19.5" customHeight="1">
      <c r="A14" s="486"/>
      <c r="B14" s="487"/>
      <c r="C14" s="487"/>
      <c r="D14" s="487"/>
      <c r="E14" s="487"/>
      <c r="F14" s="487"/>
      <c r="G14" s="487"/>
      <c r="H14" s="487"/>
      <c r="I14" s="487"/>
      <c r="J14" s="487"/>
      <c r="K14" s="510"/>
      <c r="L14" s="512"/>
    </row>
    <row r="15" spans="1:12">
      <c r="A15" s="486"/>
      <c r="B15" s="487"/>
      <c r="C15" s="487"/>
      <c r="D15" s="487"/>
      <c r="E15" s="487"/>
      <c r="F15" s="487"/>
      <c r="G15" s="487"/>
      <c r="H15" s="487"/>
      <c r="I15" s="487"/>
      <c r="J15" s="487"/>
      <c r="K15" s="487"/>
      <c r="L15" s="515"/>
    </row>
    <row r="16" spans="1:12">
      <c r="A16" s="486"/>
      <c r="B16" s="487"/>
      <c r="C16" s="487"/>
      <c r="D16" s="487"/>
      <c r="E16" s="487"/>
      <c r="F16" s="487"/>
      <c r="G16" s="487"/>
      <c r="H16" s="487"/>
      <c r="I16" s="487"/>
      <c r="J16" s="487"/>
      <c r="K16" s="487"/>
      <c r="L16" s="515"/>
    </row>
    <row r="17" spans="1:12">
      <c r="A17" s="486"/>
      <c r="B17" s="487"/>
      <c r="C17" s="487"/>
      <c r="D17" s="487"/>
      <c r="E17" s="487"/>
      <c r="F17" s="487"/>
      <c r="G17" s="487"/>
      <c r="H17" s="487"/>
      <c r="I17" s="487"/>
      <c r="J17" s="487"/>
      <c r="K17" s="487"/>
      <c r="L17" s="515"/>
    </row>
    <row r="18" spans="1:12" ht="15" thickBot="1">
      <c r="A18" s="513"/>
      <c r="B18" s="514"/>
      <c r="C18" s="514"/>
      <c r="D18" s="514"/>
      <c r="E18" s="514"/>
      <c r="F18" s="514"/>
      <c r="G18" s="514"/>
      <c r="H18" s="514"/>
      <c r="I18" s="514"/>
      <c r="J18" s="514"/>
      <c r="K18" s="514"/>
      <c r="L18" s="516"/>
    </row>
    <row r="19" spans="1:12" ht="15" thickTop="1"/>
  </sheetData>
  <mergeCells count="34">
    <mergeCell ref="K13:K14"/>
    <mergeCell ref="L13:L14"/>
    <mergeCell ref="A17:A18"/>
    <mergeCell ref="B17:G18"/>
    <mergeCell ref="H17:J18"/>
    <mergeCell ref="K17:K18"/>
    <mergeCell ref="L17:L18"/>
    <mergeCell ref="A15:A16"/>
    <mergeCell ref="B15:G16"/>
    <mergeCell ref="H15:J16"/>
    <mergeCell ref="K15:K16"/>
    <mergeCell ref="L15:L16"/>
    <mergeCell ref="B12:G12"/>
    <mergeCell ref="H12:J12"/>
    <mergeCell ref="A13:A14"/>
    <mergeCell ref="B13:G14"/>
    <mergeCell ref="H13:J14"/>
    <mergeCell ref="B8:F8"/>
    <mergeCell ref="G8:H8"/>
    <mergeCell ref="B9:F9"/>
    <mergeCell ref="G9:H9"/>
    <mergeCell ref="A11:L11"/>
    <mergeCell ref="B6:F6"/>
    <mergeCell ref="G6:H6"/>
    <mergeCell ref="B7:F7"/>
    <mergeCell ref="G7:H7"/>
    <mergeCell ref="A1:D2"/>
    <mergeCell ref="E1:I2"/>
    <mergeCell ref="A3:L3"/>
    <mergeCell ref="B4:F5"/>
    <mergeCell ref="G4:H5"/>
    <mergeCell ref="I4:I5"/>
    <mergeCell ref="J4:K4"/>
    <mergeCell ref="L4:L5"/>
  </mergeCells>
  <pageMargins left="0.7" right="0.7" top="0.75" bottom="0.75" header="0.3" footer="0.3"/>
  <pageSetup paperSize="9" scale="74" fitToHeight="0" orientation="landscape" r:id="rId1"/>
  <colBreaks count="1" manualBreakCount="1">
    <brk id="12"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L19"/>
  <sheetViews>
    <sheetView showGridLines="0" view="pageBreakPreview" zoomScale="85" zoomScaleNormal="85" zoomScaleSheetLayoutView="85" workbookViewId="0">
      <pane xSplit="5" ySplit="6" topLeftCell="F7" activePane="bottomRight" state="frozen"/>
      <selection pane="topRight" activeCell="F1" sqref="F1"/>
      <selection pane="bottomLeft" activeCell="A7" sqref="A7"/>
      <selection pane="bottomRight" activeCell="B19" sqref="B19:D19"/>
    </sheetView>
  </sheetViews>
  <sheetFormatPr defaultRowHeight="14.25"/>
  <cols>
    <col min="1" max="1" width="1.33203125" style="253" customWidth="1"/>
    <col min="2" max="2" width="9.33203125" style="251" customWidth="1"/>
    <col min="3" max="3" width="5.21875" style="251" bestFit="1" customWidth="1"/>
    <col min="4" max="4" width="14.88671875" style="273" bestFit="1" customWidth="1"/>
    <col min="5" max="5" width="7.109375" style="253" bestFit="1" customWidth="1"/>
    <col min="6" max="35" width="3.6640625" style="253" customWidth="1"/>
    <col min="36" max="36" width="5.77734375" style="251" customWidth="1"/>
    <col min="37" max="37" width="31.88671875" style="253" bestFit="1" customWidth="1"/>
    <col min="38" max="38" width="13.33203125" style="253" customWidth="1"/>
    <col min="39" max="256" width="8.88671875" style="253"/>
    <col min="257" max="257" width="1.33203125" style="253" customWidth="1"/>
    <col min="258" max="258" width="9.33203125" style="253" customWidth="1"/>
    <col min="259" max="259" width="5.21875" style="253" bestFit="1" customWidth="1"/>
    <col min="260" max="260" width="14.88671875" style="253" bestFit="1" customWidth="1"/>
    <col min="261" max="261" width="7.109375" style="253" bestFit="1" customWidth="1"/>
    <col min="262" max="291" width="3.6640625" style="253" customWidth="1"/>
    <col min="292" max="292" width="5.77734375" style="253" customWidth="1"/>
    <col min="293" max="293" width="31.88671875" style="253" bestFit="1" customWidth="1"/>
    <col min="294" max="294" width="13.33203125" style="253" customWidth="1"/>
    <col min="295" max="512" width="8.88671875" style="253"/>
    <col min="513" max="513" width="1.33203125" style="253" customWidth="1"/>
    <col min="514" max="514" width="9.33203125" style="253" customWidth="1"/>
    <col min="515" max="515" width="5.21875" style="253" bestFit="1" customWidth="1"/>
    <col min="516" max="516" width="14.88671875" style="253" bestFit="1" customWidth="1"/>
    <col min="517" max="517" width="7.109375" style="253" bestFit="1" customWidth="1"/>
    <col min="518" max="547" width="3.6640625" style="253" customWidth="1"/>
    <col min="548" max="548" width="5.77734375" style="253" customWidth="1"/>
    <col min="549" max="549" width="31.88671875" style="253" bestFit="1" customWidth="1"/>
    <col min="550" max="550" width="13.33203125" style="253" customWidth="1"/>
    <col min="551" max="768" width="8.88671875" style="253"/>
    <col min="769" max="769" width="1.33203125" style="253" customWidth="1"/>
    <col min="770" max="770" width="9.33203125" style="253" customWidth="1"/>
    <col min="771" max="771" width="5.21875" style="253" bestFit="1" customWidth="1"/>
    <col min="772" max="772" width="14.88671875" style="253" bestFit="1" customWidth="1"/>
    <col min="773" max="773" width="7.109375" style="253" bestFit="1" customWidth="1"/>
    <col min="774" max="803" width="3.6640625" style="253" customWidth="1"/>
    <col min="804" max="804" width="5.77734375" style="253" customWidth="1"/>
    <col min="805" max="805" width="31.88671875" style="253" bestFit="1" customWidth="1"/>
    <col min="806" max="806" width="13.33203125" style="253" customWidth="1"/>
    <col min="807" max="1024" width="8.88671875" style="253"/>
    <col min="1025" max="1025" width="1.33203125" style="253" customWidth="1"/>
    <col min="1026" max="1026" width="9.33203125" style="253" customWidth="1"/>
    <col min="1027" max="1027" width="5.21875" style="253" bestFit="1" customWidth="1"/>
    <col min="1028" max="1028" width="14.88671875" style="253" bestFit="1" customWidth="1"/>
    <col min="1029" max="1029" width="7.109375" style="253" bestFit="1" customWidth="1"/>
    <col min="1030" max="1059" width="3.6640625" style="253" customWidth="1"/>
    <col min="1060" max="1060" width="5.77734375" style="253" customWidth="1"/>
    <col min="1061" max="1061" width="31.88671875" style="253" bestFit="1" customWidth="1"/>
    <col min="1062" max="1062" width="13.33203125" style="253" customWidth="1"/>
    <col min="1063" max="1280" width="8.88671875" style="253"/>
    <col min="1281" max="1281" width="1.33203125" style="253" customWidth="1"/>
    <col min="1282" max="1282" width="9.33203125" style="253" customWidth="1"/>
    <col min="1283" max="1283" width="5.21875" style="253" bestFit="1" customWidth="1"/>
    <col min="1284" max="1284" width="14.88671875" style="253" bestFit="1" customWidth="1"/>
    <col min="1285" max="1285" width="7.109375" style="253" bestFit="1" customWidth="1"/>
    <col min="1286" max="1315" width="3.6640625" style="253" customWidth="1"/>
    <col min="1316" max="1316" width="5.77734375" style="253" customWidth="1"/>
    <col min="1317" max="1317" width="31.88671875" style="253" bestFit="1" customWidth="1"/>
    <col min="1318" max="1318" width="13.33203125" style="253" customWidth="1"/>
    <col min="1319" max="1536" width="8.88671875" style="253"/>
    <col min="1537" max="1537" width="1.33203125" style="253" customWidth="1"/>
    <col min="1538" max="1538" width="9.33203125" style="253" customWidth="1"/>
    <col min="1539" max="1539" width="5.21875" style="253" bestFit="1" customWidth="1"/>
    <col min="1540" max="1540" width="14.88671875" style="253" bestFit="1" customWidth="1"/>
    <col min="1541" max="1541" width="7.109375" style="253" bestFit="1" customWidth="1"/>
    <col min="1542" max="1571" width="3.6640625" style="253" customWidth="1"/>
    <col min="1572" max="1572" width="5.77734375" style="253" customWidth="1"/>
    <col min="1573" max="1573" width="31.88671875" style="253" bestFit="1" customWidth="1"/>
    <col min="1574" max="1574" width="13.33203125" style="253" customWidth="1"/>
    <col min="1575" max="1792" width="8.88671875" style="253"/>
    <col min="1793" max="1793" width="1.33203125" style="253" customWidth="1"/>
    <col min="1794" max="1794" width="9.33203125" style="253" customWidth="1"/>
    <col min="1795" max="1795" width="5.21875" style="253" bestFit="1" customWidth="1"/>
    <col min="1796" max="1796" width="14.88671875" style="253" bestFit="1" customWidth="1"/>
    <col min="1797" max="1797" width="7.109375" style="253" bestFit="1" customWidth="1"/>
    <col min="1798" max="1827" width="3.6640625" style="253" customWidth="1"/>
    <col min="1828" max="1828" width="5.77734375" style="253" customWidth="1"/>
    <col min="1829" max="1829" width="31.88671875" style="253" bestFit="1" customWidth="1"/>
    <col min="1830" max="1830" width="13.33203125" style="253" customWidth="1"/>
    <col min="1831" max="2048" width="8.88671875" style="253"/>
    <col min="2049" max="2049" width="1.33203125" style="253" customWidth="1"/>
    <col min="2050" max="2050" width="9.33203125" style="253" customWidth="1"/>
    <col min="2051" max="2051" width="5.21875" style="253" bestFit="1" customWidth="1"/>
    <col min="2052" max="2052" width="14.88671875" style="253" bestFit="1" customWidth="1"/>
    <col min="2053" max="2053" width="7.109375" style="253" bestFit="1" customWidth="1"/>
    <col min="2054" max="2083" width="3.6640625" style="253" customWidth="1"/>
    <col min="2084" max="2084" width="5.77734375" style="253" customWidth="1"/>
    <col min="2085" max="2085" width="31.88671875" style="253" bestFit="1" customWidth="1"/>
    <col min="2086" max="2086" width="13.33203125" style="253" customWidth="1"/>
    <col min="2087" max="2304" width="8.88671875" style="253"/>
    <col min="2305" max="2305" width="1.33203125" style="253" customWidth="1"/>
    <col min="2306" max="2306" width="9.33203125" style="253" customWidth="1"/>
    <col min="2307" max="2307" width="5.21875" style="253" bestFit="1" customWidth="1"/>
    <col min="2308" max="2308" width="14.88671875" style="253" bestFit="1" customWidth="1"/>
    <col min="2309" max="2309" width="7.109375" style="253" bestFit="1" customWidth="1"/>
    <col min="2310" max="2339" width="3.6640625" style="253" customWidth="1"/>
    <col min="2340" max="2340" width="5.77734375" style="253" customWidth="1"/>
    <col min="2341" max="2341" width="31.88671875" style="253" bestFit="1" customWidth="1"/>
    <col min="2342" max="2342" width="13.33203125" style="253" customWidth="1"/>
    <col min="2343" max="2560" width="8.88671875" style="253"/>
    <col min="2561" max="2561" width="1.33203125" style="253" customWidth="1"/>
    <col min="2562" max="2562" width="9.33203125" style="253" customWidth="1"/>
    <col min="2563" max="2563" width="5.21875" style="253" bestFit="1" customWidth="1"/>
    <col min="2564" max="2564" width="14.88671875" style="253" bestFit="1" customWidth="1"/>
    <col min="2565" max="2565" width="7.109375" style="253" bestFit="1" customWidth="1"/>
    <col min="2566" max="2595" width="3.6640625" style="253" customWidth="1"/>
    <col min="2596" max="2596" width="5.77734375" style="253" customWidth="1"/>
    <col min="2597" max="2597" width="31.88671875" style="253" bestFit="1" customWidth="1"/>
    <col min="2598" max="2598" width="13.33203125" style="253" customWidth="1"/>
    <col min="2599" max="2816" width="8.88671875" style="253"/>
    <col min="2817" max="2817" width="1.33203125" style="253" customWidth="1"/>
    <col min="2818" max="2818" width="9.33203125" style="253" customWidth="1"/>
    <col min="2819" max="2819" width="5.21875" style="253" bestFit="1" customWidth="1"/>
    <col min="2820" max="2820" width="14.88671875" style="253" bestFit="1" customWidth="1"/>
    <col min="2821" max="2821" width="7.109375" style="253" bestFit="1" customWidth="1"/>
    <col min="2822" max="2851" width="3.6640625" style="253" customWidth="1"/>
    <col min="2852" max="2852" width="5.77734375" style="253" customWidth="1"/>
    <col min="2853" max="2853" width="31.88671875" style="253" bestFit="1" customWidth="1"/>
    <col min="2854" max="2854" width="13.33203125" style="253" customWidth="1"/>
    <col min="2855" max="3072" width="8.88671875" style="253"/>
    <col min="3073" max="3073" width="1.33203125" style="253" customWidth="1"/>
    <col min="3074" max="3074" width="9.33203125" style="253" customWidth="1"/>
    <col min="3075" max="3075" width="5.21875" style="253" bestFit="1" customWidth="1"/>
    <col min="3076" max="3076" width="14.88671875" style="253" bestFit="1" customWidth="1"/>
    <col min="3077" max="3077" width="7.109375" style="253" bestFit="1" customWidth="1"/>
    <col min="3078" max="3107" width="3.6640625" style="253" customWidth="1"/>
    <col min="3108" max="3108" width="5.77734375" style="253" customWidth="1"/>
    <col min="3109" max="3109" width="31.88671875" style="253" bestFit="1" customWidth="1"/>
    <col min="3110" max="3110" width="13.33203125" style="253" customWidth="1"/>
    <col min="3111" max="3328" width="8.88671875" style="253"/>
    <col min="3329" max="3329" width="1.33203125" style="253" customWidth="1"/>
    <col min="3330" max="3330" width="9.33203125" style="253" customWidth="1"/>
    <col min="3331" max="3331" width="5.21875" style="253" bestFit="1" customWidth="1"/>
    <col min="3332" max="3332" width="14.88671875" style="253" bestFit="1" customWidth="1"/>
    <col min="3333" max="3333" width="7.109375" style="253" bestFit="1" customWidth="1"/>
    <col min="3334" max="3363" width="3.6640625" style="253" customWidth="1"/>
    <col min="3364" max="3364" width="5.77734375" style="253" customWidth="1"/>
    <col min="3365" max="3365" width="31.88671875" style="253" bestFit="1" customWidth="1"/>
    <col min="3366" max="3366" width="13.33203125" style="253" customWidth="1"/>
    <col min="3367" max="3584" width="8.88671875" style="253"/>
    <col min="3585" max="3585" width="1.33203125" style="253" customWidth="1"/>
    <col min="3586" max="3586" width="9.33203125" style="253" customWidth="1"/>
    <col min="3587" max="3587" width="5.21875" style="253" bestFit="1" customWidth="1"/>
    <col min="3588" max="3588" width="14.88671875" style="253" bestFit="1" customWidth="1"/>
    <col min="3589" max="3589" width="7.109375" style="253" bestFit="1" customWidth="1"/>
    <col min="3590" max="3619" width="3.6640625" style="253" customWidth="1"/>
    <col min="3620" max="3620" width="5.77734375" style="253" customWidth="1"/>
    <col min="3621" max="3621" width="31.88671875" style="253" bestFit="1" customWidth="1"/>
    <col min="3622" max="3622" width="13.33203125" style="253" customWidth="1"/>
    <col min="3623" max="3840" width="8.88671875" style="253"/>
    <col min="3841" max="3841" width="1.33203125" style="253" customWidth="1"/>
    <col min="3842" max="3842" width="9.33203125" style="253" customWidth="1"/>
    <col min="3843" max="3843" width="5.21875" style="253" bestFit="1" customWidth="1"/>
    <col min="3844" max="3844" width="14.88671875" style="253" bestFit="1" customWidth="1"/>
    <col min="3845" max="3845" width="7.109375" style="253" bestFit="1" customWidth="1"/>
    <col min="3846" max="3875" width="3.6640625" style="253" customWidth="1"/>
    <col min="3876" max="3876" width="5.77734375" style="253" customWidth="1"/>
    <col min="3877" max="3877" width="31.88671875" style="253" bestFit="1" customWidth="1"/>
    <col min="3878" max="3878" width="13.33203125" style="253" customWidth="1"/>
    <col min="3879" max="4096" width="8.88671875" style="253"/>
    <col min="4097" max="4097" width="1.33203125" style="253" customWidth="1"/>
    <col min="4098" max="4098" width="9.33203125" style="253" customWidth="1"/>
    <col min="4099" max="4099" width="5.21875" style="253" bestFit="1" customWidth="1"/>
    <col min="4100" max="4100" width="14.88671875" style="253" bestFit="1" customWidth="1"/>
    <col min="4101" max="4101" width="7.109375" style="253" bestFit="1" customWidth="1"/>
    <col min="4102" max="4131" width="3.6640625" style="253" customWidth="1"/>
    <col min="4132" max="4132" width="5.77734375" style="253" customWidth="1"/>
    <col min="4133" max="4133" width="31.88671875" style="253" bestFit="1" customWidth="1"/>
    <col min="4134" max="4134" width="13.33203125" style="253" customWidth="1"/>
    <col min="4135" max="4352" width="8.88671875" style="253"/>
    <col min="4353" max="4353" width="1.33203125" style="253" customWidth="1"/>
    <col min="4354" max="4354" width="9.33203125" style="253" customWidth="1"/>
    <col min="4355" max="4355" width="5.21875" style="253" bestFit="1" customWidth="1"/>
    <col min="4356" max="4356" width="14.88671875" style="253" bestFit="1" customWidth="1"/>
    <col min="4357" max="4357" width="7.109375" style="253" bestFit="1" customWidth="1"/>
    <col min="4358" max="4387" width="3.6640625" style="253" customWidth="1"/>
    <col min="4388" max="4388" width="5.77734375" style="253" customWidth="1"/>
    <col min="4389" max="4389" width="31.88671875" style="253" bestFit="1" customWidth="1"/>
    <col min="4390" max="4390" width="13.33203125" style="253" customWidth="1"/>
    <col min="4391" max="4608" width="8.88671875" style="253"/>
    <col min="4609" max="4609" width="1.33203125" style="253" customWidth="1"/>
    <col min="4610" max="4610" width="9.33203125" style="253" customWidth="1"/>
    <col min="4611" max="4611" width="5.21875" style="253" bestFit="1" customWidth="1"/>
    <col min="4612" max="4612" width="14.88671875" style="253" bestFit="1" customWidth="1"/>
    <col min="4613" max="4613" width="7.109375" style="253" bestFit="1" customWidth="1"/>
    <col min="4614" max="4643" width="3.6640625" style="253" customWidth="1"/>
    <col min="4644" max="4644" width="5.77734375" style="253" customWidth="1"/>
    <col min="4645" max="4645" width="31.88671875" style="253" bestFit="1" customWidth="1"/>
    <col min="4646" max="4646" width="13.33203125" style="253" customWidth="1"/>
    <col min="4647" max="4864" width="8.88671875" style="253"/>
    <col min="4865" max="4865" width="1.33203125" style="253" customWidth="1"/>
    <col min="4866" max="4866" width="9.33203125" style="253" customWidth="1"/>
    <col min="4867" max="4867" width="5.21875" style="253" bestFit="1" customWidth="1"/>
    <col min="4868" max="4868" width="14.88671875" style="253" bestFit="1" customWidth="1"/>
    <col min="4869" max="4869" width="7.109375" style="253" bestFit="1" customWidth="1"/>
    <col min="4870" max="4899" width="3.6640625" style="253" customWidth="1"/>
    <col min="4900" max="4900" width="5.77734375" style="253" customWidth="1"/>
    <col min="4901" max="4901" width="31.88671875" style="253" bestFit="1" customWidth="1"/>
    <col min="4902" max="4902" width="13.33203125" style="253" customWidth="1"/>
    <col min="4903" max="5120" width="8.88671875" style="253"/>
    <col min="5121" max="5121" width="1.33203125" style="253" customWidth="1"/>
    <col min="5122" max="5122" width="9.33203125" style="253" customWidth="1"/>
    <col min="5123" max="5123" width="5.21875" style="253" bestFit="1" customWidth="1"/>
    <col min="5124" max="5124" width="14.88671875" style="253" bestFit="1" customWidth="1"/>
    <col min="5125" max="5125" width="7.109375" style="253" bestFit="1" customWidth="1"/>
    <col min="5126" max="5155" width="3.6640625" style="253" customWidth="1"/>
    <col min="5156" max="5156" width="5.77734375" style="253" customWidth="1"/>
    <col min="5157" max="5157" width="31.88671875" style="253" bestFit="1" customWidth="1"/>
    <col min="5158" max="5158" width="13.33203125" style="253" customWidth="1"/>
    <col min="5159" max="5376" width="8.88671875" style="253"/>
    <col min="5377" max="5377" width="1.33203125" style="253" customWidth="1"/>
    <col min="5378" max="5378" width="9.33203125" style="253" customWidth="1"/>
    <col min="5379" max="5379" width="5.21875" style="253" bestFit="1" customWidth="1"/>
    <col min="5380" max="5380" width="14.88671875" style="253" bestFit="1" customWidth="1"/>
    <col min="5381" max="5381" width="7.109375" style="253" bestFit="1" customWidth="1"/>
    <col min="5382" max="5411" width="3.6640625" style="253" customWidth="1"/>
    <col min="5412" max="5412" width="5.77734375" style="253" customWidth="1"/>
    <col min="5413" max="5413" width="31.88671875" style="253" bestFit="1" customWidth="1"/>
    <col min="5414" max="5414" width="13.33203125" style="253" customWidth="1"/>
    <col min="5415" max="5632" width="8.88671875" style="253"/>
    <col min="5633" max="5633" width="1.33203125" style="253" customWidth="1"/>
    <col min="5634" max="5634" width="9.33203125" style="253" customWidth="1"/>
    <col min="5635" max="5635" width="5.21875" style="253" bestFit="1" customWidth="1"/>
    <col min="5636" max="5636" width="14.88671875" style="253" bestFit="1" customWidth="1"/>
    <col min="5637" max="5637" width="7.109375" style="253" bestFit="1" customWidth="1"/>
    <col min="5638" max="5667" width="3.6640625" style="253" customWidth="1"/>
    <col min="5668" max="5668" width="5.77734375" style="253" customWidth="1"/>
    <col min="5669" max="5669" width="31.88671875" style="253" bestFit="1" customWidth="1"/>
    <col min="5670" max="5670" width="13.33203125" style="253" customWidth="1"/>
    <col min="5671" max="5888" width="8.88671875" style="253"/>
    <col min="5889" max="5889" width="1.33203125" style="253" customWidth="1"/>
    <col min="5890" max="5890" width="9.33203125" style="253" customWidth="1"/>
    <col min="5891" max="5891" width="5.21875" style="253" bestFit="1" customWidth="1"/>
    <col min="5892" max="5892" width="14.88671875" style="253" bestFit="1" customWidth="1"/>
    <col min="5893" max="5893" width="7.109375" style="253" bestFit="1" customWidth="1"/>
    <col min="5894" max="5923" width="3.6640625" style="253" customWidth="1"/>
    <col min="5924" max="5924" width="5.77734375" style="253" customWidth="1"/>
    <col min="5925" max="5925" width="31.88671875" style="253" bestFit="1" customWidth="1"/>
    <col min="5926" max="5926" width="13.33203125" style="253" customWidth="1"/>
    <col min="5927" max="6144" width="8.88671875" style="253"/>
    <col min="6145" max="6145" width="1.33203125" style="253" customWidth="1"/>
    <col min="6146" max="6146" width="9.33203125" style="253" customWidth="1"/>
    <col min="6147" max="6147" width="5.21875" style="253" bestFit="1" customWidth="1"/>
    <col min="6148" max="6148" width="14.88671875" style="253" bestFit="1" customWidth="1"/>
    <col min="6149" max="6149" width="7.109375" style="253" bestFit="1" customWidth="1"/>
    <col min="6150" max="6179" width="3.6640625" style="253" customWidth="1"/>
    <col min="6180" max="6180" width="5.77734375" style="253" customWidth="1"/>
    <col min="6181" max="6181" width="31.88671875" style="253" bestFit="1" customWidth="1"/>
    <col min="6182" max="6182" width="13.33203125" style="253" customWidth="1"/>
    <col min="6183" max="6400" width="8.88671875" style="253"/>
    <col min="6401" max="6401" width="1.33203125" style="253" customWidth="1"/>
    <col min="6402" max="6402" width="9.33203125" style="253" customWidth="1"/>
    <col min="6403" max="6403" width="5.21875" style="253" bestFit="1" customWidth="1"/>
    <col min="6404" max="6404" width="14.88671875" style="253" bestFit="1" customWidth="1"/>
    <col min="6405" max="6405" width="7.109375" style="253" bestFit="1" customWidth="1"/>
    <col min="6406" max="6435" width="3.6640625" style="253" customWidth="1"/>
    <col min="6436" max="6436" width="5.77734375" style="253" customWidth="1"/>
    <col min="6437" max="6437" width="31.88671875" style="253" bestFit="1" customWidth="1"/>
    <col min="6438" max="6438" width="13.33203125" style="253" customWidth="1"/>
    <col min="6439" max="6656" width="8.88671875" style="253"/>
    <col min="6657" max="6657" width="1.33203125" style="253" customWidth="1"/>
    <col min="6658" max="6658" width="9.33203125" style="253" customWidth="1"/>
    <col min="6659" max="6659" width="5.21875" style="253" bestFit="1" customWidth="1"/>
    <col min="6660" max="6660" width="14.88671875" style="253" bestFit="1" customWidth="1"/>
    <col min="6661" max="6661" width="7.109375" style="253" bestFit="1" customWidth="1"/>
    <col min="6662" max="6691" width="3.6640625" style="253" customWidth="1"/>
    <col min="6692" max="6692" width="5.77734375" style="253" customWidth="1"/>
    <col min="6693" max="6693" width="31.88671875" style="253" bestFit="1" customWidth="1"/>
    <col min="6694" max="6694" width="13.33203125" style="253" customWidth="1"/>
    <col min="6695" max="6912" width="8.88671875" style="253"/>
    <col min="6913" max="6913" width="1.33203125" style="253" customWidth="1"/>
    <col min="6914" max="6914" width="9.33203125" style="253" customWidth="1"/>
    <col min="6915" max="6915" width="5.21875" style="253" bestFit="1" customWidth="1"/>
    <col min="6916" max="6916" width="14.88671875" style="253" bestFit="1" customWidth="1"/>
    <col min="6917" max="6917" width="7.109375" style="253" bestFit="1" customWidth="1"/>
    <col min="6918" max="6947" width="3.6640625" style="253" customWidth="1"/>
    <col min="6948" max="6948" width="5.77734375" style="253" customWidth="1"/>
    <col min="6949" max="6949" width="31.88671875" style="253" bestFit="1" customWidth="1"/>
    <col min="6950" max="6950" width="13.33203125" style="253" customWidth="1"/>
    <col min="6951" max="7168" width="8.88671875" style="253"/>
    <col min="7169" max="7169" width="1.33203125" style="253" customWidth="1"/>
    <col min="7170" max="7170" width="9.33203125" style="253" customWidth="1"/>
    <col min="7171" max="7171" width="5.21875" style="253" bestFit="1" customWidth="1"/>
    <col min="7172" max="7172" width="14.88671875" style="253" bestFit="1" customWidth="1"/>
    <col min="7173" max="7173" width="7.109375" style="253" bestFit="1" customWidth="1"/>
    <col min="7174" max="7203" width="3.6640625" style="253" customWidth="1"/>
    <col min="7204" max="7204" width="5.77734375" style="253" customWidth="1"/>
    <col min="7205" max="7205" width="31.88671875" style="253" bestFit="1" customWidth="1"/>
    <col min="7206" max="7206" width="13.33203125" style="253" customWidth="1"/>
    <col min="7207" max="7424" width="8.88671875" style="253"/>
    <col min="7425" max="7425" width="1.33203125" style="253" customWidth="1"/>
    <col min="7426" max="7426" width="9.33203125" style="253" customWidth="1"/>
    <col min="7427" max="7427" width="5.21875" style="253" bestFit="1" customWidth="1"/>
    <col min="7428" max="7428" width="14.88671875" style="253" bestFit="1" customWidth="1"/>
    <col min="7429" max="7429" width="7.109375" style="253" bestFit="1" customWidth="1"/>
    <col min="7430" max="7459" width="3.6640625" style="253" customWidth="1"/>
    <col min="7460" max="7460" width="5.77734375" style="253" customWidth="1"/>
    <col min="7461" max="7461" width="31.88671875" style="253" bestFit="1" customWidth="1"/>
    <col min="7462" max="7462" width="13.33203125" style="253" customWidth="1"/>
    <col min="7463" max="7680" width="8.88671875" style="253"/>
    <col min="7681" max="7681" width="1.33203125" style="253" customWidth="1"/>
    <col min="7682" max="7682" width="9.33203125" style="253" customWidth="1"/>
    <col min="7683" max="7683" width="5.21875" style="253" bestFit="1" customWidth="1"/>
    <col min="7684" max="7684" width="14.88671875" style="253" bestFit="1" customWidth="1"/>
    <col min="7685" max="7685" width="7.109375" style="253" bestFit="1" customWidth="1"/>
    <col min="7686" max="7715" width="3.6640625" style="253" customWidth="1"/>
    <col min="7716" max="7716" width="5.77734375" style="253" customWidth="1"/>
    <col min="7717" max="7717" width="31.88671875" style="253" bestFit="1" customWidth="1"/>
    <col min="7718" max="7718" width="13.33203125" style="253" customWidth="1"/>
    <col min="7719" max="7936" width="8.88671875" style="253"/>
    <col min="7937" max="7937" width="1.33203125" style="253" customWidth="1"/>
    <col min="7938" max="7938" width="9.33203125" style="253" customWidth="1"/>
    <col min="7939" max="7939" width="5.21875" style="253" bestFit="1" customWidth="1"/>
    <col min="7940" max="7940" width="14.88671875" style="253" bestFit="1" customWidth="1"/>
    <col min="7941" max="7941" width="7.109375" style="253" bestFit="1" customWidth="1"/>
    <col min="7942" max="7971" width="3.6640625" style="253" customWidth="1"/>
    <col min="7972" max="7972" width="5.77734375" style="253" customWidth="1"/>
    <col min="7973" max="7973" width="31.88671875" style="253" bestFit="1" customWidth="1"/>
    <col min="7974" max="7974" width="13.33203125" style="253" customWidth="1"/>
    <col min="7975" max="8192" width="8.88671875" style="253"/>
    <col min="8193" max="8193" width="1.33203125" style="253" customWidth="1"/>
    <col min="8194" max="8194" width="9.33203125" style="253" customWidth="1"/>
    <col min="8195" max="8195" width="5.21875" style="253" bestFit="1" customWidth="1"/>
    <col min="8196" max="8196" width="14.88671875" style="253" bestFit="1" customWidth="1"/>
    <col min="8197" max="8197" width="7.109375" style="253" bestFit="1" customWidth="1"/>
    <col min="8198" max="8227" width="3.6640625" style="253" customWidth="1"/>
    <col min="8228" max="8228" width="5.77734375" style="253" customWidth="1"/>
    <col min="8229" max="8229" width="31.88671875" style="253" bestFit="1" customWidth="1"/>
    <col min="8230" max="8230" width="13.33203125" style="253" customWidth="1"/>
    <col min="8231" max="8448" width="8.88671875" style="253"/>
    <col min="8449" max="8449" width="1.33203125" style="253" customWidth="1"/>
    <col min="8450" max="8450" width="9.33203125" style="253" customWidth="1"/>
    <col min="8451" max="8451" width="5.21875" style="253" bestFit="1" customWidth="1"/>
    <col min="8452" max="8452" width="14.88671875" style="253" bestFit="1" customWidth="1"/>
    <col min="8453" max="8453" width="7.109375" style="253" bestFit="1" customWidth="1"/>
    <col min="8454" max="8483" width="3.6640625" style="253" customWidth="1"/>
    <col min="8484" max="8484" width="5.77734375" style="253" customWidth="1"/>
    <col min="8485" max="8485" width="31.88671875" style="253" bestFit="1" customWidth="1"/>
    <col min="8486" max="8486" width="13.33203125" style="253" customWidth="1"/>
    <col min="8487" max="8704" width="8.88671875" style="253"/>
    <col min="8705" max="8705" width="1.33203125" style="253" customWidth="1"/>
    <col min="8706" max="8706" width="9.33203125" style="253" customWidth="1"/>
    <col min="8707" max="8707" width="5.21875" style="253" bestFit="1" customWidth="1"/>
    <col min="8708" max="8708" width="14.88671875" style="253" bestFit="1" customWidth="1"/>
    <col min="8709" max="8709" width="7.109375" style="253" bestFit="1" customWidth="1"/>
    <col min="8710" max="8739" width="3.6640625" style="253" customWidth="1"/>
    <col min="8740" max="8740" width="5.77734375" style="253" customWidth="1"/>
    <col min="8741" max="8741" width="31.88671875" style="253" bestFit="1" customWidth="1"/>
    <col min="8742" max="8742" width="13.33203125" style="253" customWidth="1"/>
    <col min="8743" max="8960" width="8.88671875" style="253"/>
    <col min="8961" max="8961" width="1.33203125" style="253" customWidth="1"/>
    <col min="8962" max="8962" width="9.33203125" style="253" customWidth="1"/>
    <col min="8963" max="8963" width="5.21875" style="253" bestFit="1" customWidth="1"/>
    <col min="8964" max="8964" width="14.88671875" style="253" bestFit="1" customWidth="1"/>
    <col min="8965" max="8965" width="7.109375" style="253" bestFit="1" customWidth="1"/>
    <col min="8966" max="8995" width="3.6640625" style="253" customWidth="1"/>
    <col min="8996" max="8996" width="5.77734375" style="253" customWidth="1"/>
    <col min="8997" max="8997" width="31.88671875" style="253" bestFit="1" customWidth="1"/>
    <col min="8998" max="8998" width="13.33203125" style="253" customWidth="1"/>
    <col min="8999" max="9216" width="8.88671875" style="253"/>
    <col min="9217" max="9217" width="1.33203125" style="253" customWidth="1"/>
    <col min="9218" max="9218" width="9.33203125" style="253" customWidth="1"/>
    <col min="9219" max="9219" width="5.21875" style="253" bestFit="1" customWidth="1"/>
    <col min="9220" max="9220" width="14.88671875" style="253" bestFit="1" customWidth="1"/>
    <col min="9221" max="9221" width="7.109375" style="253" bestFit="1" customWidth="1"/>
    <col min="9222" max="9251" width="3.6640625" style="253" customWidth="1"/>
    <col min="9252" max="9252" width="5.77734375" style="253" customWidth="1"/>
    <col min="9253" max="9253" width="31.88671875" style="253" bestFit="1" customWidth="1"/>
    <col min="9254" max="9254" width="13.33203125" style="253" customWidth="1"/>
    <col min="9255" max="9472" width="8.88671875" style="253"/>
    <col min="9473" max="9473" width="1.33203125" style="253" customWidth="1"/>
    <col min="9474" max="9474" width="9.33203125" style="253" customWidth="1"/>
    <col min="9475" max="9475" width="5.21875" style="253" bestFit="1" customWidth="1"/>
    <col min="9476" max="9476" width="14.88671875" style="253" bestFit="1" customWidth="1"/>
    <col min="9477" max="9477" width="7.109375" style="253" bestFit="1" customWidth="1"/>
    <col min="9478" max="9507" width="3.6640625" style="253" customWidth="1"/>
    <col min="9508" max="9508" width="5.77734375" style="253" customWidth="1"/>
    <col min="9509" max="9509" width="31.88671875" style="253" bestFit="1" customWidth="1"/>
    <col min="9510" max="9510" width="13.33203125" style="253" customWidth="1"/>
    <col min="9511" max="9728" width="8.88671875" style="253"/>
    <col min="9729" max="9729" width="1.33203125" style="253" customWidth="1"/>
    <col min="9730" max="9730" width="9.33203125" style="253" customWidth="1"/>
    <col min="9731" max="9731" width="5.21875" style="253" bestFit="1" customWidth="1"/>
    <col min="9732" max="9732" width="14.88671875" style="253" bestFit="1" customWidth="1"/>
    <col min="9733" max="9733" width="7.109375" style="253" bestFit="1" customWidth="1"/>
    <col min="9734" max="9763" width="3.6640625" style="253" customWidth="1"/>
    <col min="9764" max="9764" width="5.77734375" style="253" customWidth="1"/>
    <col min="9765" max="9765" width="31.88671875" style="253" bestFit="1" customWidth="1"/>
    <col min="9766" max="9766" width="13.33203125" style="253" customWidth="1"/>
    <col min="9767" max="9984" width="8.88671875" style="253"/>
    <col min="9985" max="9985" width="1.33203125" style="253" customWidth="1"/>
    <col min="9986" max="9986" width="9.33203125" style="253" customWidth="1"/>
    <col min="9987" max="9987" width="5.21875" style="253" bestFit="1" customWidth="1"/>
    <col min="9988" max="9988" width="14.88671875" style="253" bestFit="1" customWidth="1"/>
    <col min="9989" max="9989" width="7.109375" style="253" bestFit="1" customWidth="1"/>
    <col min="9990" max="10019" width="3.6640625" style="253" customWidth="1"/>
    <col min="10020" max="10020" width="5.77734375" style="253" customWidth="1"/>
    <col min="10021" max="10021" width="31.88671875" style="253" bestFit="1" customWidth="1"/>
    <col min="10022" max="10022" width="13.33203125" style="253" customWidth="1"/>
    <col min="10023" max="10240" width="8.88671875" style="253"/>
    <col min="10241" max="10241" width="1.33203125" style="253" customWidth="1"/>
    <col min="10242" max="10242" width="9.33203125" style="253" customWidth="1"/>
    <col min="10243" max="10243" width="5.21875" style="253" bestFit="1" customWidth="1"/>
    <col min="10244" max="10244" width="14.88671875" style="253" bestFit="1" customWidth="1"/>
    <col min="10245" max="10245" width="7.109375" style="253" bestFit="1" customWidth="1"/>
    <col min="10246" max="10275" width="3.6640625" style="253" customWidth="1"/>
    <col min="10276" max="10276" width="5.77734375" style="253" customWidth="1"/>
    <col min="10277" max="10277" width="31.88671875" style="253" bestFit="1" customWidth="1"/>
    <col min="10278" max="10278" width="13.33203125" style="253" customWidth="1"/>
    <col min="10279" max="10496" width="8.88671875" style="253"/>
    <col min="10497" max="10497" width="1.33203125" style="253" customWidth="1"/>
    <col min="10498" max="10498" width="9.33203125" style="253" customWidth="1"/>
    <col min="10499" max="10499" width="5.21875" style="253" bestFit="1" customWidth="1"/>
    <col min="10500" max="10500" width="14.88671875" style="253" bestFit="1" customWidth="1"/>
    <col min="10501" max="10501" width="7.109375" style="253" bestFit="1" customWidth="1"/>
    <col min="10502" max="10531" width="3.6640625" style="253" customWidth="1"/>
    <col min="10532" max="10532" width="5.77734375" style="253" customWidth="1"/>
    <col min="10533" max="10533" width="31.88671875" style="253" bestFit="1" customWidth="1"/>
    <col min="10534" max="10534" width="13.33203125" style="253" customWidth="1"/>
    <col min="10535" max="10752" width="8.88671875" style="253"/>
    <col min="10753" max="10753" width="1.33203125" style="253" customWidth="1"/>
    <col min="10754" max="10754" width="9.33203125" style="253" customWidth="1"/>
    <col min="10755" max="10755" width="5.21875" style="253" bestFit="1" customWidth="1"/>
    <col min="10756" max="10756" width="14.88671875" style="253" bestFit="1" customWidth="1"/>
    <col min="10757" max="10757" width="7.109375" style="253" bestFit="1" customWidth="1"/>
    <col min="10758" max="10787" width="3.6640625" style="253" customWidth="1"/>
    <col min="10788" max="10788" width="5.77734375" style="253" customWidth="1"/>
    <col min="10789" max="10789" width="31.88671875" style="253" bestFit="1" customWidth="1"/>
    <col min="10790" max="10790" width="13.33203125" style="253" customWidth="1"/>
    <col min="10791" max="11008" width="8.88671875" style="253"/>
    <col min="11009" max="11009" width="1.33203125" style="253" customWidth="1"/>
    <col min="11010" max="11010" width="9.33203125" style="253" customWidth="1"/>
    <col min="11011" max="11011" width="5.21875" style="253" bestFit="1" customWidth="1"/>
    <col min="11012" max="11012" width="14.88671875" style="253" bestFit="1" customWidth="1"/>
    <col min="11013" max="11013" width="7.109375" style="253" bestFit="1" customWidth="1"/>
    <col min="11014" max="11043" width="3.6640625" style="253" customWidth="1"/>
    <col min="11044" max="11044" width="5.77734375" style="253" customWidth="1"/>
    <col min="11045" max="11045" width="31.88671875" style="253" bestFit="1" customWidth="1"/>
    <col min="11046" max="11046" width="13.33203125" style="253" customWidth="1"/>
    <col min="11047" max="11264" width="8.88671875" style="253"/>
    <col min="11265" max="11265" width="1.33203125" style="253" customWidth="1"/>
    <col min="11266" max="11266" width="9.33203125" style="253" customWidth="1"/>
    <col min="11267" max="11267" width="5.21875" style="253" bestFit="1" customWidth="1"/>
    <col min="11268" max="11268" width="14.88671875" style="253" bestFit="1" customWidth="1"/>
    <col min="11269" max="11269" width="7.109375" style="253" bestFit="1" customWidth="1"/>
    <col min="11270" max="11299" width="3.6640625" style="253" customWidth="1"/>
    <col min="11300" max="11300" width="5.77734375" style="253" customWidth="1"/>
    <col min="11301" max="11301" width="31.88671875" style="253" bestFit="1" customWidth="1"/>
    <col min="11302" max="11302" width="13.33203125" style="253" customWidth="1"/>
    <col min="11303" max="11520" width="8.88671875" style="253"/>
    <col min="11521" max="11521" width="1.33203125" style="253" customWidth="1"/>
    <col min="11522" max="11522" width="9.33203125" style="253" customWidth="1"/>
    <col min="11523" max="11523" width="5.21875" style="253" bestFit="1" customWidth="1"/>
    <col min="11524" max="11524" width="14.88671875" style="253" bestFit="1" customWidth="1"/>
    <col min="11525" max="11525" width="7.109375" style="253" bestFit="1" customWidth="1"/>
    <col min="11526" max="11555" width="3.6640625" style="253" customWidth="1"/>
    <col min="11556" max="11556" width="5.77734375" style="253" customWidth="1"/>
    <col min="11557" max="11557" width="31.88671875" style="253" bestFit="1" customWidth="1"/>
    <col min="11558" max="11558" width="13.33203125" style="253" customWidth="1"/>
    <col min="11559" max="11776" width="8.88671875" style="253"/>
    <col min="11777" max="11777" width="1.33203125" style="253" customWidth="1"/>
    <col min="11778" max="11778" width="9.33203125" style="253" customWidth="1"/>
    <col min="11779" max="11779" width="5.21875" style="253" bestFit="1" customWidth="1"/>
    <col min="11780" max="11780" width="14.88671875" style="253" bestFit="1" customWidth="1"/>
    <col min="11781" max="11781" width="7.109375" style="253" bestFit="1" customWidth="1"/>
    <col min="11782" max="11811" width="3.6640625" style="253" customWidth="1"/>
    <col min="11812" max="11812" width="5.77734375" style="253" customWidth="1"/>
    <col min="11813" max="11813" width="31.88671875" style="253" bestFit="1" customWidth="1"/>
    <col min="11814" max="11814" width="13.33203125" style="253" customWidth="1"/>
    <col min="11815" max="12032" width="8.88671875" style="253"/>
    <col min="12033" max="12033" width="1.33203125" style="253" customWidth="1"/>
    <col min="12034" max="12034" width="9.33203125" style="253" customWidth="1"/>
    <col min="12035" max="12035" width="5.21875" style="253" bestFit="1" customWidth="1"/>
    <col min="12036" max="12036" width="14.88671875" style="253" bestFit="1" customWidth="1"/>
    <col min="12037" max="12037" width="7.109375" style="253" bestFit="1" customWidth="1"/>
    <col min="12038" max="12067" width="3.6640625" style="253" customWidth="1"/>
    <col min="12068" max="12068" width="5.77734375" style="253" customWidth="1"/>
    <col min="12069" max="12069" width="31.88671875" style="253" bestFit="1" customWidth="1"/>
    <col min="12070" max="12070" width="13.33203125" style="253" customWidth="1"/>
    <col min="12071" max="12288" width="8.88671875" style="253"/>
    <col min="12289" max="12289" width="1.33203125" style="253" customWidth="1"/>
    <col min="12290" max="12290" width="9.33203125" style="253" customWidth="1"/>
    <col min="12291" max="12291" width="5.21875" style="253" bestFit="1" customWidth="1"/>
    <col min="12292" max="12292" width="14.88671875" style="253" bestFit="1" customWidth="1"/>
    <col min="12293" max="12293" width="7.109375" style="253" bestFit="1" customWidth="1"/>
    <col min="12294" max="12323" width="3.6640625" style="253" customWidth="1"/>
    <col min="12324" max="12324" width="5.77734375" style="253" customWidth="1"/>
    <col min="12325" max="12325" width="31.88671875" style="253" bestFit="1" customWidth="1"/>
    <col min="12326" max="12326" width="13.33203125" style="253" customWidth="1"/>
    <col min="12327" max="12544" width="8.88671875" style="253"/>
    <col min="12545" max="12545" width="1.33203125" style="253" customWidth="1"/>
    <col min="12546" max="12546" width="9.33203125" style="253" customWidth="1"/>
    <col min="12547" max="12547" width="5.21875" style="253" bestFit="1" customWidth="1"/>
    <col min="12548" max="12548" width="14.88671875" style="253" bestFit="1" customWidth="1"/>
    <col min="12549" max="12549" width="7.109375" style="253" bestFit="1" customWidth="1"/>
    <col min="12550" max="12579" width="3.6640625" style="253" customWidth="1"/>
    <col min="12580" max="12580" width="5.77734375" style="253" customWidth="1"/>
    <col min="12581" max="12581" width="31.88671875" style="253" bestFit="1" customWidth="1"/>
    <col min="12582" max="12582" width="13.33203125" style="253" customWidth="1"/>
    <col min="12583" max="12800" width="8.88671875" style="253"/>
    <col min="12801" max="12801" width="1.33203125" style="253" customWidth="1"/>
    <col min="12802" max="12802" width="9.33203125" style="253" customWidth="1"/>
    <col min="12803" max="12803" width="5.21875" style="253" bestFit="1" customWidth="1"/>
    <col min="12804" max="12804" width="14.88671875" style="253" bestFit="1" customWidth="1"/>
    <col min="12805" max="12805" width="7.109375" style="253" bestFit="1" customWidth="1"/>
    <col min="12806" max="12835" width="3.6640625" style="253" customWidth="1"/>
    <col min="12836" max="12836" width="5.77734375" style="253" customWidth="1"/>
    <col min="12837" max="12837" width="31.88671875" style="253" bestFit="1" customWidth="1"/>
    <col min="12838" max="12838" width="13.33203125" style="253" customWidth="1"/>
    <col min="12839" max="13056" width="8.88671875" style="253"/>
    <col min="13057" max="13057" width="1.33203125" style="253" customWidth="1"/>
    <col min="13058" max="13058" width="9.33203125" style="253" customWidth="1"/>
    <col min="13059" max="13059" width="5.21875" style="253" bestFit="1" customWidth="1"/>
    <col min="13060" max="13060" width="14.88671875" style="253" bestFit="1" customWidth="1"/>
    <col min="13061" max="13061" width="7.109375" style="253" bestFit="1" customWidth="1"/>
    <col min="13062" max="13091" width="3.6640625" style="253" customWidth="1"/>
    <col min="13092" max="13092" width="5.77734375" style="253" customWidth="1"/>
    <col min="13093" max="13093" width="31.88671875" style="253" bestFit="1" customWidth="1"/>
    <col min="13094" max="13094" width="13.33203125" style="253" customWidth="1"/>
    <col min="13095" max="13312" width="8.88671875" style="253"/>
    <col min="13313" max="13313" width="1.33203125" style="253" customWidth="1"/>
    <col min="13314" max="13314" width="9.33203125" style="253" customWidth="1"/>
    <col min="13315" max="13315" width="5.21875" style="253" bestFit="1" customWidth="1"/>
    <col min="13316" max="13316" width="14.88671875" style="253" bestFit="1" customWidth="1"/>
    <col min="13317" max="13317" width="7.109375" style="253" bestFit="1" customWidth="1"/>
    <col min="13318" max="13347" width="3.6640625" style="253" customWidth="1"/>
    <col min="13348" max="13348" width="5.77734375" style="253" customWidth="1"/>
    <col min="13349" max="13349" width="31.88671875" style="253" bestFit="1" customWidth="1"/>
    <col min="13350" max="13350" width="13.33203125" style="253" customWidth="1"/>
    <col min="13351" max="13568" width="8.88671875" style="253"/>
    <col min="13569" max="13569" width="1.33203125" style="253" customWidth="1"/>
    <col min="13570" max="13570" width="9.33203125" style="253" customWidth="1"/>
    <col min="13571" max="13571" width="5.21875" style="253" bestFit="1" customWidth="1"/>
    <col min="13572" max="13572" width="14.88671875" style="253" bestFit="1" customWidth="1"/>
    <col min="13573" max="13573" width="7.109375" style="253" bestFit="1" customWidth="1"/>
    <col min="13574" max="13603" width="3.6640625" style="253" customWidth="1"/>
    <col min="13604" max="13604" width="5.77734375" style="253" customWidth="1"/>
    <col min="13605" max="13605" width="31.88671875" style="253" bestFit="1" customWidth="1"/>
    <col min="13606" max="13606" width="13.33203125" style="253" customWidth="1"/>
    <col min="13607" max="13824" width="8.88671875" style="253"/>
    <col min="13825" max="13825" width="1.33203125" style="253" customWidth="1"/>
    <col min="13826" max="13826" width="9.33203125" style="253" customWidth="1"/>
    <col min="13827" max="13827" width="5.21875" style="253" bestFit="1" customWidth="1"/>
    <col min="13828" max="13828" width="14.88671875" style="253" bestFit="1" customWidth="1"/>
    <col min="13829" max="13829" width="7.109375" style="253" bestFit="1" customWidth="1"/>
    <col min="13830" max="13859" width="3.6640625" style="253" customWidth="1"/>
    <col min="13860" max="13860" width="5.77734375" style="253" customWidth="1"/>
    <col min="13861" max="13861" width="31.88671875" style="253" bestFit="1" customWidth="1"/>
    <col min="13862" max="13862" width="13.33203125" style="253" customWidth="1"/>
    <col min="13863" max="14080" width="8.88671875" style="253"/>
    <col min="14081" max="14081" width="1.33203125" style="253" customWidth="1"/>
    <col min="14082" max="14082" width="9.33203125" style="253" customWidth="1"/>
    <col min="14083" max="14083" width="5.21875" style="253" bestFit="1" customWidth="1"/>
    <col min="14084" max="14084" width="14.88671875" style="253" bestFit="1" customWidth="1"/>
    <col min="14085" max="14085" width="7.109375" style="253" bestFit="1" customWidth="1"/>
    <col min="14086" max="14115" width="3.6640625" style="253" customWidth="1"/>
    <col min="14116" max="14116" width="5.77734375" style="253" customWidth="1"/>
    <col min="14117" max="14117" width="31.88671875" style="253" bestFit="1" customWidth="1"/>
    <col min="14118" max="14118" width="13.33203125" style="253" customWidth="1"/>
    <col min="14119" max="14336" width="8.88671875" style="253"/>
    <col min="14337" max="14337" width="1.33203125" style="253" customWidth="1"/>
    <col min="14338" max="14338" width="9.33203125" style="253" customWidth="1"/>
    <col min="14339" max="14339" width="5.21875" style="253" bestFit="1" customWidth="1"/>
    <col min="14340" max="14340" width="14.88671875" style="253" bestFit="1" customWidth="1"/>
    <col min="14341" max="14341" width="7.109375" style="253" bestFit="1" customWidth="1"/>
    <col min="14342" max="14371" width="3.6640625" style="253" customWidth="1"/>
    <col min="14372" max="14372" width="5.77734375" style="253" customWidth="1"/>
    <col min="14373" max="14373" width="31.88671875" style="253" bestFit="1" customWidth="1"/>
    <col min="14374" max="14374" width="13.33203125" style="253" customWidth="1"/>
    <col min="14375" max="14592" width="8.88671875" style="253"/>
    <col min="14593" max="14593" width="1.33203125" style="253" customWidth="1"/>
    <col min="14594" max="14594" width="9.33203125" style="253" customWidth="1"/>
    <col min="14595" max="14595" width="5.21875" style="253" bestFit="1" customWidth="1"/>
    <col min="14596" max="14596" width="14.88671875" style="253" bestFit="1" customWidth="1"/>
    <col min="14597" max="14597" width="7.109375" style="253" bestFit="1" customWidth="1"/>
    <col min="14598" max="14627" width="3.6640625" style="253" customWidth="1"/>
    <col min="14628" max="14628" width="5.77734375" style="253" customWidth="1"/>
    <col min="14629" max="14629" width="31.88671875" style="253" bestFit="1" customWidth="1"/>
    <col min="14630" max="14630" width="13.33203125" style="253" customWidth="1"/>
    <col min="14631" max="14848" width="8.88671875" style="253"/>
    <col min="14849" max="14849" width="1.33203125" style="253" customWidth="1"/>
    <col min="14850" max="14850" width="9.33203125" style="253" customWidth="1"/>
    <col min="14851" max="14851" width="5.21875" style="253" bestFit="1" customWidth="1"/>
    <col min="14852" max="14852" width="14.88671875" style="253" bestFit="1" customWidth="1"/>
    <col min="14853" max="14853" width="7.109375" style="253" bestFit="1" customWidth="1"/>
    <col min="14854" max="14883" width="3.6640625" style="253" customWidth="1"/>
    <col min="14884" max="14884" width="5.77734375" style="253" customWidth="1"/>
    <col min="14885" max="14885" width="31.88671875" style="253" bestFit="1" customWidth="1"/>
    <col min="14886" max="14886" width="13.33203125" style="253" customWidth="1"/>
    <col min="14887" max="15104" width="8.88671875" style="253"/>
    <col min="15105" max="15105" width="1.33203125" style="253" customWidth="1"/>
    <col min="15106" max="15106" width="9.33203125" style="253" customWidth="1"/>
    <col min="15107" max="15107" width="5.21875" style="253" bestFit="1" customWidth="1"/>
    <col min="15108" max="15108" width="14.88671875" style="253" bestFit="1" customWidth="1"/>
    <col min="15109" max="15109" width="7.109375" style="253" bestFit="1" customWidth="1"/>
    <col min="15110" max="15139" width="3.6640625" style="253" customWidth="1"/>
    <col min="15140" max="15140" width="5.77734375" style="253" customWidth="1"/>
    <col min="15141" max="15141" width="31.88671875" style="253" bestFit="1" customWidth="1"/>
    <col min="15142" max="15142" width="13.33203125" style="253" customWidth="1"/>
    <col min="15143" max="15360" width="8.88671875" style="253"/>
    <col min="15361" max="15361" width="1.33203125" style="253" customWidth="1"/>
    <col min="15362" max="15362" width="9.33203125" style="253" customWidth="1"/>
    <col min="15363" max="15363" width="5.21875" style="253" bestFit="1" customWidth="1"/>
    <col min="15364" max="15364" width="14.88671875" style="253" bestFit="1" customWidth="1"/>
    <col min="15365" max="15365" width="7.109375" style="253" bestFit="1" customWidth="1"/>
    <col min="15366" max="15395" width="3.6640625" style="253" customWidth="1"/>
    <col min="15396" max="15396" width="5.77734375" style="253" customWidth="1"/>
    <col min="15397" max="15397" width="31.88671875" style="253" bestFit="1" customWidth="1"/>
    <col min="15398" max="15398" width="13.33203125" style="253" customWidth="1"/>
    <col min="15399" max="15616" width="8.88671875" style="253"/>
    <col min="15617" max="15617" width="1.33203125" style="253" customWidth="1"/>
    <col min="15618" max="15618" width="9.33203125" style="253" customWidth="1"/>
    <col min="15619" max="15619" width="5.21875" style="253" bestFit="1" customWidth="1"/>
    <col min="15620" max="15620" width="14.88671875" style="253" bestFit="1" customWidth="1"/>
    <col min="15621" max="15621" width="7.109375" style="253" bestFit="1" customWidth="1"/>
    <col min="15622" max="15651" width="3.6640625" style="253" customWidth="1"/>
    <col min="15652" max="15652" width="5.77734375" style="253" customWidth="1"/>
    <col min="15653" max="15653" width="31.88671875" style="253" bestFit="1" customWidth="1"/>
    <col min="15654" max="15654" width="13.33203125" style="253" customWidth="1"/>
    <col min="15655" max="15872" width="8.88671875" style="253"/>
    <col min="15873" max="15873" width="1.33203125" style="253" customWidth="1"/>
    <col min="15874" max="15874" width="9.33203125" style="253" customWidth="1"/>
    <col min="15875" max="15875" width="5.21875" style="253" bestFit="1" customWidth="1"/>
    <col min="15876" max="15876" width="14.88671875" style="253" bestFit="1" customWidth="1"/>
    <col min="15877" max="15877" width="7.109375" style="253" bestFit="1" customWidth="1"/>
    <col min="15878" max="15907" width="3.6640625" style="253" customWidth="1"/>
    <col min="15908" max="15908" width="5.77734375" style="253" customWidth="1"/>
    <col min="15909" max="15909" width="31.88671875" style="253" bestFit="1" customWidth="1"/>
    <col min="15910" max="15910" width="13.33203125" style="253" customWidth="1"/>
    <col min="15911" max="16128" width="8.88671875" style="253"/>
    <col min="16129" max="16129" width="1.33203125" style="253" customWidth="1"/>
    <col min="16130" max="16130" width="9.33203125" style="253" customWidth="1"/>
    <col min="16131" max="16131" width="5.21875" style="253" bestFit="1" customWidth="1"/>
    <col min="16132" max="16132" width="14.88671875" style="253" bestFit="1" customWidth="1"/>
    <col min="16133" max="16133" width="7.109375" style="253" bestFit="1" customWidth="1"/>
    <col min="16134" max="16163" width="3.6640625" style="253" customWidth="1"/>
    <col min="16164" max="16164" width="5.77734375" style="253" customWidth="1"/>
    <col min="16165" max="16165" width="31.88671875" style="253" bestFit="1" customWidth="1"/>
    <col min="16166" max="16166" width="13.33203125" style="253" customWidth="1"/>
    <col min="16167" max="16384" width="8.88671875" style="253"/>
  </cols>
  <sheetData>
    <row r="1" spans="2:38" ht="57" customHeight="1">
      <c r="D1" s="252"/>
      <c r="G1" s="529" t="s">
        <v>100</v>
      </c>
      <c r="H1" s="529"/>
      <c r="I1" s="529"/>
      <c r="J1" s="529"/>
      <c r="K1" s="529"/>
      <c r="L1" s="529"/>
      <c r="M1" s="529"/>
      <c r="N1" s="529"/>
      <c r="O1" s="529"/>
      <c r="P1" s="529"/>
      <c r="Q1" s="529"/>
      <c r="R1" s="529"/>
      <c r="S1" s="529"/>
      <c r="T1" s="529"/>
      <c r="U1" s="529"/>
      <c r="V1" s="254"/>
      <c r="W1" s="254"/>
      <c r="X1" s="254"/>
      <c r="Y1" s="254"/>
      <c r="Z1" s="254"/>
      <c r="AA1" s="254"/>
      <c r="AB1" s="254"/>
      <c r="AC1" s="254"/>
      <c r="AD1" s="254"/>
      <c r="AE1" s="254"/>
      <c r="AF1" s="254"/>
      <c r="AG1" s="254"/>
      <c r="AH1" s="254"/>
      <c r="AI1" s="254"/>
    </row>
    <row r="2" spans="2:38">
      <c r="B2" s="531" t="s">
        <v>101</v>
      </c>
      <c r="C2" s="531"/>
      <c r="D2" s="531"/>
      <c r="E2" s="255"/>
      <c r="F2" s="255"/>
      <c r="G2" s="255"/>
      <c r="H2" s="255"/>
      <c r="I2" s="255"/>
      <c r="J2" s="255"/>
      <c r="K2" s="256"/>
      <c r="L2" s="256"/>
      <c r="M2" s="256"/>
      <c r="N2" s="256"/>
      <c r="O2" s="256"/>
      <c r="P2" s="256"/>
      <c r="Q2" s="256"/>
      <c r="R2" s="256"/>
      <c r="S2" s="256"/>
      <c r="T2" s="256"/>
      <c r="U2" s="256"/>
    </row>
    <row r="3" spans="2:38">
      <c r="B3" s="532" t="s">
        <v>102</v>
      </c>
      <c r="C3" s="532"/>
      <c r="D3" s="532"/>
      <c r="E3" s="257"/>
      <c r="F3" s="257"/>
      <c r="G3" s="257"/>
      <c r="H3" s="257"/>
      <c r="I3" s="257"/>
      <c r="J3" s="257"/>
      <c r="K3" s="258"/>
      <c r="L3" s="258"/>
      <c r="M3" s="258"/>
      <c r="N3" s="258"/>
      <c r="O3" s="258"/>
      <c r="P3" s="258"/>
      <c r="Q3" s="258"/>
      <c r="R3" s="258"/>
      <c r="S3" s="258"/>
      <c r="T3" s="258"/>
      <c r="U3" s="258"/>
    </row>
    <row r="4" spans="2:38" ht="23.25" customHeight="1">
      <c r="B4" s="526" t="s">
        <v>5</v>
      </c>
      <c r="C4" s="526" t="s">
        <v>91</v>
      </c>
      <c r="D4" s="526" t="s">
        <v>6</v>
      </c>
      <c r="E4" s="259" t="s">
        <v>92</v>
      </c>
      <c r="F4" s="259"/>
      <c r="G4" s="259"/>
      <c r="H4" s="259"/>
      <c r="I4" s="259"/>
      <c r="J4" s="259"/>
      <c r="K4" s="259"/>
      <c r="L4" s="259"/>
      <c r="M4" s="259"/>
      <c r="N4" s="259"/>
      <c r="O4" s="259"/>
      <c r="P4" s="259"/>
      <c r="Q4" s="259"/>
      <c r="R4" s="259"/>
      <c r="S4" s="259"/>
      <c r="T4" s="259"/>
      <c r="U4" s="259"/>
      <c r="V4" s="259"/>
      <c r="W4" s="259"/>
      <c r="X4" s="259"/>
      <c r="Y4" s="259"/>
      <c r="Z4" s="259"/>
      <c r="AA4" s="259"/>
      <c r="AB4" s="259"/>
      <c r="AC4" s="259"/>
      <c r="AD4" s="259"/>
      <c r="AE4" s="259"/>
      <c r="AF4" s="259"/>
      <c r="AG4" s="259"/>
      <c r="AH4" s="259"/>
      <c r="AI4" s="259"/>
      <c r="AJ4" s="517" t="s">
        <v>93</v>
      </c>
      <c r="AK4" s="517" t="s">
        <v>94</v>
      </c>
      <c r="AL4" s="517" t="s">
        <v>95</v>
      </c>
    </row>
    <row r="5" spans="2:38" ht="23.25" customHeight="1">
      <c r="B5" s="527"/>
      <c r="C5" s="527"/>
      <c r="D5" s="527"/>
      <c r="E5" s="259" t="s">
        <v>96</v>
      </c>
      <c r="F5" s="260"/>
      <c r="G5" s="260"/>
      <c r="H5" s="260"/>
      <c r="I5" s="260"/>
      <c r="J5" s="260"/>
      <c r="K5" s="260"/>
      <c r="L5" s="260"/>
      <c r="M5" s="260"/>
      <c r="N5" s="260"/>
      <c r="O5" s="260"/>
      <c r="P5" s="260"/>
      <c r="Q5" s="260"/>
      <c r="R5" s="260"/>
      <c r="S5" s="260"/>
      <c r="T5" s="260"/>
      <c r="U5" s="260"/>
      <c r="V5" s="260"/>
      <c r="W5" s="260"/>
      <c r="X5" s="260"/>
      <c r="Y5" s="260"/>
      <c r="Z5" s="260"/>
      <c r="AA5" s="260"/>
      <c r="AB5" s="260"/>
      <c r="AC5" s="260"/>
      <c r="AD5" s="260"/>
      <c r="AE5" s="260"/>
      <c r="AF5" s="260"/>
      <c r="AG5" s="260"/>
      <c r="AH5" s="260"/>
      <c r="AI5" s="260"/>
      <c r="AJ5" s="518"/>
      <c r="AK5" s="518"/>
      <c r="AL5" s="518"/>
    </row>
    <row r="6" spans="2:38" ht="23.25" customHeight="1">
      <c r="B6" s="528"/>
      <c r="C6" s="528"/>
      <c r="D6" s="528"/>
      <c r="E6" s="261" t="s">
        <v>97</v>
      </c>
      <c r="F6" s="262"/>
      <c r="G6" s="262"/>
      <c r="H6" s="262"/>
      <c r="I6" s="262"/>
      <c r="J6" s="262"/>
      <c r="K6" s="262"/>
      <c r="L6" s="262"/>
      <c r="M6" s="262"/>
      <c r="N6" s="262"/>
      <c r="O6" s="262"/>
      <c r="P6" s="262"/>
      <c r="Q6" s="262"/>
      <c r="R6" s="262"/>
      <c r="S6" s="262"/>
      <c r="T6" s="262"/>
      <c r="U6" s="262"/>
      <c r="V6" s="262"/>
      <c r="W6" s="262"/>
      <c r="X6" s="262"/>
      <c r="Y6" s="262"/>
      <c r="Z6" s="262"/>
      <c r="AA6" s="262"/>
      <c r="AB6" s="262"/>
      <c r="AC6" s="262"/>
      <c r="AD6" s="262"/>
      <c r="AE6" s="262"/>
      <c r="AF6" s="262"/>
      <c r="AG6" s="262"/>
      <c r="AH6" s="262"/>
      <c r="AI6" s="262"/>
      <c r="AJ6" s="519"/>
      <c r="AK6" s="519"/>
      <c r="AL6" s="519"/>
    </row>
    <row r="7" spans="2:38" ht="17.25" customHeight="1">
      <c r="B7" s="520"/>
      <c r="C7" s="523"/>
      <c r="D7" s="524"/>
      <c r="E7" s="263" t="s">
        <v>98</v>
      </c>
      <c r="F7" s="264"/>
      <c r="G7" s="265"/>
      <c r="H7" s="265"/>
      <c r="I7" s="266"/>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8">
        <f t="shared" ref="AJ7:AJ18" si="0">SUM(I7:AB7)</f>
        <v>0</v>
      </c>
      <c r="AK7" s="265"/>
      <c r="AL7" s="269"/>
    </row>
    <row r="8" spans="2:38" ht="17.25" customHeight="1">
      <c r="B8" s="521"/>
      <c r="C8" s="522"/>
      <c r="D8" s="525"/>
      <c r="E8" s="263" t="s">
        <v>99</v>
      </c>
      <c r="F8" s="264"/>
      <c r="G8" s="265"/>
      <c r="H8" s="265"/>
      <c r="I8" s="266"/>
      <c r="J8" s="267"/>
      <c r="K8" s="267"/>
      <c r="L8" s="267"/>
      <c r="M8" s="267"/>
      <c r="N8" s="267"/>
      <c r="O8" s="267"/>
      <c r="P8" s="267"/>
      <c r="Q8" s="267"/>
      <c r="R8" s="267"/>
      <c r="S8" s="267"/>
      <c r="T8" s="267"/>
      <c r="U8" s="267"/>
      <c r="V8" s="267"/>
      <c r="W8" s="267"/>
      <c r="X8" s="267"/>
      <c r="Y8" s="267"/>
      <c r="Z8" s="267"/>
      <c r="AA8" s="267"/>
      <c r="AB8" s="267"/>
      <c r="AC8" s="267"/>
      <c r="AD8" s="267"/>
      <c r="AE8" s="267"/>
      <c r="AF8" s="267"/>
      <c r="AG8" s="267"/>
      <c r="AH8" s="267"/>
      <c r="AI8" s="267"/>
      <c r="AJ8" s="271">
        <f t="shared" si="0"/>
        <v>0</v>
      </c>
      <c r="AK8" s="270"/>
      <c r="AL8" s="272"/>
    </row>
    <row r="9" spans="2:38" ht="17.25" customHeight="1">
      <c r="B9" s="521"/>
      <c r="C9" s="523"/>
      <c r="D9" s="524"/>
      <c r="E9" s="263" t="s">
        <v>98</v>
      </c>
      <c r="F9" s="264"/>
      <c r="G9" s="265"/>
      <c r="H9" s="265"/>
      <c r="I9" s="266"/>
      <c r="J9" s="267"/>
      <c r="K9" s="267"/>
      <c r="L9" s="267"/>
      <c r="M9" s="267"/>
      <c r="N9" s="267"/>
      <c r="O9" s="267"/>
      <c r="P9" s="267"/>
      <c r="Q9" s="267"/>
      <c r="R9" s="267"/>
      <c r="S9" s="267"/>
      <c r="T9" s="267"/>
      <c r="U9" s="267"/>
      <c r="V9" s="267"/>
      <c r="W9" s="267"/>
      <c r="X9" s="267"/>
      <c r="Y9" s="267"/>
      <c r="Z9" s="267"/>
      <c r="AA9" s="267"/>
      <c r="AB9" s="267"/>
      <c r="AC9" s="267"/>
      <c r="AD9" s="267"/>
      <c r="AE9" s="267"/>
      <c r="AF9" s="267"/>
      <c r="AG9" s="267"/>
      <c r="AH9" s="267"/>
      <c r="AI9" s="267"/>
      <c r="AJ9" s="271">
        <f t="shared" si="0"/>
        <v>0</v>
      </c>
      <c r="AK9" s="270"/>
      <c r="AL9" s="272"/>
    </row>
    <row r="10" spans="2:38" ht="17.25" customHeight="1">
      <c r="B10" s="521"/>
      <c r="C10" s="522"/>
      <c r="D10" s="525"/>
      <c r="E10" s="263" t="s">
        <v>99</v>
      </c>
      <c r="F10" s="264"/>
      <c r="G10" s="265"/>
      <c r="H10" s="265"/>
      <c r="I10" s="266"/>
      <c r="J10" s="267"/>
      <c r="K10" s="267"/>
      <c r="L10" s="267"/>
      <c r="M10" s="267"/>
      <c r="N10" s="267"/>
      <c r="O10" s="267"/>
      <c r="P10" s="267"/>
      <c r="Q10" s="267"/>
      <c r="R10" s="267"/>
      <c r="S10" s="267"/>
      <c r="T10" s="267"/>
      <c r="U10" s="267"/>
      <c r="V10" s="267"/>
      <c r="W10" s="267"/>
      <c r="X10" s="267"/>
      <c r="Y10" s="267"/>
      <c r="Z10" s="267"/>
      <c r="AA10" s="267"/>
      <c r="AB10" s="267"/>
      <c r="AC10" s="267"/>
      <c r="AD10" s="267"/>
      <c r="AE10" s="267"/>
      <c r="AF10" s="267"/>
      <c r="AG10" s="267"/>
      <c r="AH10" s="267"/>
      <c r="AI10" s="267"/>
      <c r="AJ10" s="271">
        <f t="shared" si="0"/>
        <v>0</v>
      </c>
      <c r="AK10" s="270"/>
      <c r="AL10" s="272"/>
    </row>
    <row r="11" spans="2:38" ht="17.25" customHeight="1">
      <c r="B11" s="521"/>
      <c r="C11" s="523"/>
      <c r="D11" s="524"/>
      <c r="E11" s="263" t="s">
        <v>98</v>
      </c>
      <c r="F11" s="264"/>
      <c r="G11" s="265"/>
      <c r="H11" s="265"/>
      <c r="I11" s="266"/>
      <c r="J11" s="267"/>
      <c r="K11" s="267"/>
      <c r="L11" s="267"/>
      <c r="M11" s="267"/>
      <c r="N11" s="267"/>
      <c r="O11" s="267"/>
      <c r="P11" s="267"/>
      <c r="Q11" s="267"/>
      <c r="R11" s="267"/>
      <c r="S11" s="267"/>
      <c r="T11" s="267"/>
      <c r="U11" s="267"/>
      <c r="V11" s="267"/>
      <c r="W11" s="267"/>
      <c r="X11" s="267"/>
      <c r="Y11" s="267"/>
      <c r="Z11" s="267"/>
      <c r="AA11" s="267"/>
      <c r="AB11" s="267"/>
      <c r="AC11" s="267"/>
      <c r="AD11" s="267"/>
      <c r="AE11" s="267"/>
      <c r="AF11" s="267"/>
      <c r="AG11" s="267"/>
      <c r="AH11" s="267"/>
      <c r="AI11" s="267"/>
      <c r="AJ11" s="271">
        <f t="shared" si="0"/>
        <v>0</v>
      </c>
      <c r="AK11" s="270"/>
      <c r="AL11" s="272"/>
    </row>
    <row r="12" spans="2:38" ht="17.25" customHeight="1">
      <c r="B12" s="521"/>
      <c r="C12" s="522"/>
      <c r="D12" s="525"/>
      <c r="E12" s="263" t="s">
        <v>99</v>
      </c>
      <c r="F12" s="264"/>
      <c r="G12" s="265"/>
      <c r="H12" s="265"/>
      <c r="I12" s="266"/>
      <c r="J12" s="267"/>
      <c r="K12" s="267"/>
      <c r="L12" s="267"/>
      <c r="M12" s="267"/>
      <c r="N12" s="267"/>
      <c r="O12" s="267"/>
      <c r="P12" s="267"/>
      <c r="Q12" s="267"/>
      <c r="R12" s="267"/>
      <c r="S12" s="267"/>
      <c r="T12" s="267"/>
      <c r="U12" s="267"/>
      <c r="V12" s="267"/>
      <c r="W12" s="267"/>
      <c r="X12" s="267"/>
      <c r="Y12" s="267"/>
      <c r="Z12" s="267"/>
      <c r="AA12" s="267"/>
      <c r="AB12" s="267"/>
      <c r="AC12" s="267"/>
      <c r="AD12" s="267"/>
      <c r="AE12" s="267"/>
      <c r="AF12" s="267"/>
      <c r="AG12" s="267"/>
      <c r="AH12" s="267"/>
      <c r="AI12" s="267"/>
      <c r="AJ12" s="271">
        <f t="shared" si="0"/>
        <v>0</v>
      </c>
      <c r="AK12" s="270"/>
      <c r="AL12" s="272"/>
    </row>
    <row r="13" spans="2:38" ht="17.25" customHeight="1">
      <c r="B13" s="521"/>
      <c r="C13" s="523"/>
      <c r="D13" s="524"/>
      <c r="E13" s="263" t="s">
        <v>98</v>
      </c>
      <c r="F13" s="264"/>
      <c r="G13" s="265"/>
      <c r="H13" s="265"/>
      <c r="I13" s="266"/>
      <c r="J13" s="267"/>
      <c r="K13" s="267"/>
      <c r="L13" s="267"/>
      <c r="M13" s="267"/>
      <c r="N13" s="267"/>
      <c r="O13" s="267"/>
      <c r="P13" s="267"/>
      <c r="Q13" s="267"/>
      <c r="R13" s="267"/>
      <c r="S13" s="267"/>
      <c r="T13" s="267"/>
      <c r="U13" s="267"/>
      <c r="V13" s="267"/>
      <c r="W13" s="267"/>
      <c r="X13" s="267"/>
      <c r="Y13" s="267"/>
      <c r="Z13" s="267"/>
      <c r="AA13" s="267"/>
      <c r="AB13" s="267"/>
      <c r="AC13" s="267"/>
      <c r="AD13" s="267"/>
      <c r="AE13" s="267"/>
      <c r="AF13" s="267"/>
      <c r="AG13" s="267"/>
      <c r="AH13" s="267"/>
      <c r="AI13" s="267"/>
      <c r="AJ13" s="271">
        <f t="shared" si="0"/>
        <v>0</v>
      </c>
      <c r="AK13" s="270"/>
      <c r="AL13" s="272"/>
    </row>
    <row r="14" spans="2:38" ht="17.25" customHeight="1">
      <c r="B14" s="521"/>
      <c r="C14" s="522"/>
      <c r="D14" s="525"/>
      <c r="E14" s="263" t="s">
        <v>99</v>
      </c>
      <c r="F14" s="264"/>
      <c r="G14" s="265"/>
      <c r="H14" s="265"/>
      <c r="I14" s="266"/>
      <c r="J14" s="267"/>
      <c r="K14" s="267"/>
      <c r="L14" s="267"/>
      <c r="M14" s="267"/>
      <c r="N14" s="267"/>
      <c r="O14" s="267"/>
      <c r="P14" s="267"/>
      <c r="Q14" s="267"/>
      <c r="R14" s="267"/>
      <c r="S14" s="267"/>
      <c r="T14" s="267"/>
      <c r="U14" s="267"/>
      <c r="V14" s="267"/>
      <c r="W14" s="267"/>
      <c r="X14" s="267"/>
      <c r="Y14" s="267"/>
      <c r="Z14" s="267"/>
      <c r="AA14" s="267"/>
      <c r="AB14" s="267"/>
      <c r="AC14" s="267"/>
      <c r="AD14" s="267"/>
      <c r="AE14" s="267"/>
      <c r="AF14" s="267"/>
      <c r="AG14" s="267"/>
      <c r="AH14" s="267"/>
      <c r="AI14" s="267"/>
      <c r="AJ14" s="271">
        <f t="shared" si="0"/>
        <v>0</v>
      </c>
      <c r="AK14" s="270"/>
      <c r="AL14" s="272"/>
    </row>
    <row r="15" spans="2:38" ht="17.25" customHeight="1">
      <c r="B15" s="521"/>
      <c r="C15" s="523"/>
      <c r="D15" s="524"/>
      <c r="E15" s="263" t="s">
        <v>98</v>
      </c>
      <c r="F15" s="264"/>
      <c r="G15" s="265"/>
      <c r="H15" s="265"/>
      <c r="I15" s="266"/>
      <c r="J15" s="267"/>
      <c r="K15" s="267"/>
      <c r="L15" s="267"/>
      <c r="M15" s="267"/>
      <c r="N15" s="267"/>
      <c r="O15" s="267"/>
      <c r="P15" s="267"/>
      <c r="Q15" s="267"/>
      <c r="R15" s="267"/>
      <c r="S15" s="267"/>
      <c r="T15" s="267"/>
      <c r="U15" s="267"/>
      <c r="V15" s="267"/>
      <c r="W15" s="267"/>
      <c r="X15" s="267"/>
      <c r="Y15" s="267"/>
      <c r="Z15" s="267"/>
      <c r="AA15" s="267"/>
      <c r="AB15" s="267"/>
      <c r="AC15" s="267"/>
      <c r="AD15" s="267"/>
      <c r="AE15" s="267"/>
      <c r="AF15" s="267"/>
      <c r="AG15" s="267"/>
      <c r="AH15" s="267"/>
      <c r="AI15" s="267"/>
      <c r="AJ15" s="271">
        <f t="shared" si="0"/>
        <v>0</v>
      </c>
      <c r="AK15" s="270"/>
      <c r="AL15" s="272"/>
    </row>
    <row r="16" spans="2:38" ht="17.25" customHeight="1">
      <c r="B16" s="521"/>
      <c r="C16" s="522"/>
      <c r="D16" s="525"/>
      <c r="E16" s="263" t="s">
        <v>99</v>
      </c>
      <c r="F16" s="264"/>
      <c r="G16" s="265"/>
      <c r="H16" s="265"/>
      <c r="I16" s="266"/>
      <c r="J16" s="267"/>
      <c r="K16" s="267"/>
      <c r="L16" s="267"/>
      <c r="M16" s="267"/>
      <c r="N16" s="267"/>
      <c r="O16" s="267"/>
      <c r="P16" s="267"/>
      <c r="Q16" s="267"/>
      <c r="R16" s="267"/>
      <c r="S16" s="267"/>
      <c r="T16" s="267"/>
      <c r="U16" s="267"/>
      <c r="V16" s="267"/>
      <c r="W16" s="267"/>
      <c r="X16" s="267"/>
      <c r="Y16" s="267"/>
      <c r="Z16" s="267"/>
      <c r="AA16" s="267"/>
      <c r="AB16" s="267"/>
      <c r="AC16" s="267"/>
      <c r="AD16" s="267"/>
      <c r="AE16" s="267"/>
      <c r="AF16" s="267"/>
      <c r="AG16" s="267"/>
      <c r="AH16" s="267"/>
      <c r="AI16" s="267"/>
      <c r="AJ16" s="271">
        <f t="shared" si="0"/>
        <v>0</v>
      </c>
      <c r="AK16" s="270"/>
      <c r="AL16" s="272"/>
    </row>
    <row r="17" spans="2:38" ht="17.25" customHeight="1">
      <c r="B17" s="521"/>
      <c r="C17" s="523"/>
      <c r="D17" s="524"/>
      <c r="E17" s="263" t="s">
        <v>98</v>
      </c>
      <c r="F17" s="264"/>
      <c r="G17" s="265"/>
      <c r="H17" s="265"/>
      <c r="I17" s="266"/>
      <c r="J17" s="267"/>
      <c r="K17" s="267"/>
      <c r="L17" s="267"/>
      <c r="M17" s="267"/>
      <c r="N17" s="267"/>
      <c r="O17" s="267"/>
      <c r="P17" s="267"/>
      <c r="Q17" s="267"/>
      <c r="R17" s="267"/>
      <c r="S17" s="267"/>
      <c r="T17" s="267"/>
      <c r="U17" s="267"/>
      <c r="V17" s="267"/>
      <c r="W17" s="267"/>
      <c r="X17" s="267"/>
      <c r="Y17" s="267"/>
      <c r="Z17" s="267"/>
      <c r="AA17" s="267"/>
      <c r="AB17" s="267"/>
      <c r="AC17" s="267"/>
      <c r="AD17" s="267"/>
      <c r="AE17" s="267"/>
      <c r="AF17" s="267"/>
      <c r="AG17" s="267"/>
      <c r="AH17" s="267"/>
      <c r="AI17" s="267"/>
      <c r="AJ17" s="271">
        <f t="shared" si="0"/>
        <v>0</v>
      </c>
      <c r="AK17" s="270"/>
      <c r="AL17" s="272"/>
    </row>
    <row r="18" spans="2:38" ht="17.25" customHeight="1">
      <c r="B18" s="522"/>
      <c r="C18" s="522"/>
      <c r="D18" s="525"/>
      <c r="E18" s="263" t="s">
        <v>99</v>
      </c>
      <c r="F18" s="264"/>
      <c r="G18" s="265"/>
      <c r="H18" s="265"/>
      <c r="I18" s="266"/>
      <c r="J18" s="267"/>
      <c r="K18" s="267"/>
      <c r="L18" s="267"/>
      <c r="M18" s="267"/>
      <c r="N18" s="267"/>
      <c r="O18" s="267"/>
      <c r="P18" s="267"/>
      <c r="Q18" s="267"/>
      <c r="R18" s="267"/>
      <c r="S18" s="267"/>
      <c r="T18" s="267"/>
      <c r="U18" s="267"/>
      <c r="V18" s="267"/>
      <c r="W18" s="267"/>
      <c r="X18" s="267"/>
      <c r="Y18" s="267"/>
      <c r="Z18" s="267"/>
      <c r="AA18" s="267"/>
      <c r="AB18" s="267"/>
      <c r="AC18" s="267"/>
      <c r="AD18" s="267"/>
      <c r="AE18" s="267"/>
      <c r="AF18" s="267"/>
      <c r="AG18" s="267"/>
      <c r="AH18" s="267"/>
      <c r="AI18" s="267"/>
      <c r="AJ18" s="271">
        <f t="shared" si="0"/>
        <v>0</v>
      </c>
      <c r="AK18" s="270"/>
      <c r="AL18" s="272"/>
    </row>
    <row r="19" spans="2:38">
      <c r="B19" s="530" t="s">
        <v>110</v>
      </c>
      <c r="C19" s="530"/>
      <c r="D19" s="530"/>
    </row>
  </sheetData>
  <mergeCells count="23">
    <mergeCell ref="G1:U1"/>
    <mergeCell ref="B19:D19"/>
    <mergeCell ref="C13:C14"/>
    <mergeCell ref="D13:D14"/>
    <mergeCell ref="C15:C16"/>
    <mergeCell ref="D15:D16"/>
    <mergeCell ref="C17:C18"/>
    <mergeCell ref="D17:D18"/>
    <mergeCell ref="B2:D2"/>
    <mergeCell ref="B3:D3"/>
    <mergeCell ref="AJ4:AJ6"/>
    <mergeCell ref="AK4:AK6"/>
    <mergeCell ref="AL4:AL6"/>
    <mergeCell ref="B7:B18"/>
    <mergeCell ref="C7:C8"/>
    <mergeCell ref="D7:D8"/>
    <mergeCell ref="C9:C10"/>
    <mergeCell ref="D9:D10"/>
    <mergeCell ref="C11:C12"/>
    <mergeCell ref="D11:D12"/>
    <mergeCell ref="B4:B6"/>
    <mergeCell ref="C4:C6"/>
    <mergeCell ref="D4:D6"/>
  </mergeCells>
  <pageMargins left="0.7" right="0.7" top="0.75" bottom="0.75" header="0.3" footer="0.3"/>
  <pageSetup paperSize="9" scale="57"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99"/>
  <sheetViews>
    <sheetView view="pageBreakPreview" zoomScale="55" zoomScaleNormal="55" zoomScaleSheetLayoutView="55" workbookViewId="0">
      <selection activeCell="AB10" sqref="AB10"/>
    </sheetView>
  </sheetViews>
  <sheetFormatPr defaultColWidth="17.6640625" defaultRowHeight="10.5"/>
  <cols>
    <col min="1" max="1" width="10.88671875" style="155" customWidth="1"/>
    <col min="2" max="2" width="9.33203125" style="164" customWidth="1"/>
    <col min="3" max="3" width="11.6640625" style="155" customWidth="1"/>
    <col min="4" max="4" width="10.44140625" style="155" customWidth="1"/>
    <col min="5" max="5" width="10.109375" style="155" customWidth="1"/>
    <col min="6" max="6" width="9.21875" style="155" customWidth="1"/>
    <col min="7" max="7" width="7.44140625" style="155" customWidth="1"/>
    <col min="8" max="24" width="7.109375" style="155" customWidth="1"/>
    <col min="25" max="25" width="6.33203125" style="155" customWidth="1"/>
    <col min="26" max="26" width="7.109375" style="155" customWidth="1"/>
    <col min="27" max="27" width="9.88671875" style="155" customWidth="1"/>
    <col min="28" max="28" width="7.109375" style="155" customWidth="1"/>
    <col min="29" max="29" width="11.109375" style="155" customWidth="1"/>
    <col min="30" max="32" width="7.109375" style="155" customWidth="1"/>
    <col min="33" max="33" width="7.44140625" style="155" customWidth="1"/>
    <col min="34" max="54" width="7.109375" style="155" customWidth="1"/>
    <col min="55" max="256" width="17.6640625" style="155"/>
    <col min="257" max="257" width="10.88671875" style="155" customWidth="1"/>
    <col min="258" max="258" width="9.33203125" style="155" customWidth="1"/>
    <col min="259" max="259" width="11.6640625" style="155" customWidth="1"/>
    <col min="260" max="260" width="10.44140625" style="155" customWidth="1"/>
    <col min="261" max="261" width="10.109375" style="155" customWidth="1"/>
    <col min="262" max="262" width="9.21875" style="155" customWidth="1"/>
    <col min="263" max="263" width="7.44140625" style="155" customWidth="1"/>
    <col min="264" max="280" width="7.109375" style="155" customWidth="1"/>
    <col min="281" max="281" width="6.33203125" style="155" customWidth="1"/>
    <col min="282" max="282" width="7.109375" style="155" customWidth="1"/>
    <col min="283" max="283" width="9.88671875" style="155" customWidth="1"/>
    <col min="284" max="284" width="7.109375" style="155" customWidth="1"/>
    <col min="285" max="285" width="11.109375" style="155" customWidth="1"/>
    <col min="286" max="288" width="7.109375" style="155" customWidth="1"/>
    <col min="289" max="289" width="7.44140625" style="155" customWidth="1"/>
    <col min="290" max="310" width="7.109375" style="155" customWidth="1"/>
    <col min="311" max="512" width="17.6640625" style="155"/>
    <col min="513" max="513" width="10.88671875" style="155" customWidth="1"/>
    <col min="514" max="514" width="9.33203125" style="155" customWidth="1"/>
    <col min="515" max="515" width="11.6640625" style="155" customWidth="1"/>
    <col min="516" max="516" width="10.44140625" style="155" customWidth="1"/>
    <col min="517" max="517" width="10.109375" style="155" customWidth="1"/>
    <col min="518" max="518" width="9.21875" style="155" customWidth="1"/>
    <col min="519" max="519" width="7.44140625" style="155" customWidth="1"/>
    <col min="520" max="536" width="7.109375" style="155" customWidth="1"/>
    <col min="537" max="537" width="6.33203125" style="155" customWidth="1"/>
    <col min="538" max="538" width="7.109375" style="155" customWidth="1"/>
    <col min="539" max="539" width="9.88671875" style="155" customWidth="1"/>
    <col min="540" max="540" width="7.109375" style="155" customWidth="1"/>
    <col min="541" max="541" width="11.109375" style="155" customWidth="1"/>
    <col min="542" max="544" width="7.109375" style="155" customWidth="1"/>
    <col min="545" max="545" width="7.44140625" style="155" customWidth="1"/>
    <col min="546" max="566" width="7.109375" style="155" customWidth="1"/>
    <col min="567" max="768" width="17.6640625" style="155"/>
    <col min="769" max="769" width="10.88671875" style="155" customWidth="1"/>
    <col min="770" max="770" width="9.33203125" style="155" customWidth="1"/>
    <col min="771" max="771" width="11.6640625" style="155" customWidth="1"/>
    <col min="772" max="772" width="10.44140625" style="155" customWidth="1"/>
    <col min="773" max="773" width="10.109375" style="155" customWidth="1"/>
    <col min="774" max="774" width="9.21875" style="155" customWidth="1"/>
    <col min="775" max="775" width="7.44140625" style="155" customWidth="1"/>
    <col min="776" max="792" width="7.109375" style="155" customWidth="1"/>
    <col min="793" max="793" width="6.33203125" style="155" customWidth="1"/>
    <col min="794" max="794" width="7.109375" style="155" customWidth="1"/>
    <col min="795" max="795" width="9.88671875" style="155" customWidth="1"/>
    <col min="796" max="796" width="7.109375" style="155" customWidth="1"/>
    <col min="797" max="797" width="11.109375" style="155" customWidth="1"/>
    <col min="798" max="800" width="7.109375" style="155" customWidth="1"/>
    <col min="801" max="801" width="7.44140625" style="155" customWidth="1"/>
    <col min="802" max="822" width="7.109375" style="155" customWidth="1"/>
    <col min="823" max="1024" width="17.6640625" style="155"/>
    <col min="1025" max="1025" width="10.88671875" style="155" customWidth="1"/>
    <col min="1026" max="1026" width="9.33203125" style="155" customWidth="1"/>
    <col min="1027" max="1027" width="11.6640625" style="155" customWidth="1"/>
    <col min="1028" max="1028" width="10.44140625" style="155" customWidth="1"/>
    <col min="1029" max="1029" width="10.109375" style="155" customWidth="1"/>
    <col min="1030" max="1030" width="9.21875" style="155" customWidth="1"/>
    <col min="1031" max="1031" width="7.44140625" style="155" customWidth="1"/>
    <col min="1032" max="1048" width="7.109375" style="155" customWidth="1"/>
    <col min="1049" max="1049" width="6.33203125" style="155" customWidth="1"/>
    <col min="1050" max="1050" width="7.109375" style="155" customWidth="1"/>
    <col min="1051" max="1051" width="9.88671875" style="155" customWidth="1"/>
    <col min="1052" max="1052" width="7.109375" style="155" customWidth="1"/>
    <col min="1053" max="1053" width="11.109375" style="155" customWidth="1"/>
    <col min="1054" max="1056" width="7.109375" style="155" customWidth="1"/>
    <col min="1057" max="1057" width="7.44140625" style="155" customWidth="1"/>
    <col min="1058" max="1078" width="7.109375" style="155" customWidth="1"/>
    <col min="1079" max="1280" width="17.6640625" style="155"/>
    <col min="1281" max="1281" width="10.88671875" style="155" customWidth="1"/>
    <col min="1282" max="1282" width="9.33203125" style="155" customWidth="1"/>
    <col min="1283" max="1283" width="11.6640625" style="155" customWidth="1"/>
    <col min="1284" max="1284" width="10.44140625" style="155" customWidth="1"/>
    <col min="1285" max="1285" width="10.109375" style="155" customWidth="1"/>
    <col min="1286" max="1286" width="9.21875" style="155" customWidth="1"/>
    <col min="1287" max="1287" width="7.44140625" style="155" customWidth="1"/>
    <col min="1288" max="1304" width="7.109375" style="155" customWidth="1"/>
    <col min="1305" max="1305" width="6.33203125" style="155" customWidth="1"/>
    <col min="1306" max="1306" width="7.109375" style="155" customWidth="1"/>
    <col min="1307" max="1307" width="9.88671875" style="155" customWidth="1"/>
    <col min="1308" max="1308" width="7.109375" style="155" customWidth="1"/>
    <col min="1309" max="1309" width="11.109375" style="155" customWidth="1"/>
    <col min="1310" max="1312" width="7.109375" style="155" customWidth="1"/>
    <col min="1313" max="1313" width="7.44140625" style="155" customWidth="1"/>
    <col min="1314" max="1334" width="7.109375" style="155" customWidth="1"/>
    <col min="1335" max="1536" width="17.6640625" style="155"/>
    <col min="1537" max="1537" width="10.88671875" style="155" customWidth="1"/>
    <col min="1538" max="1538" width="9.33203125" style="155" customWidth="1"/>
    <col min="1539" max="1539" width="11.6640625" style="155" customWidth="1"/>
    <col min="1540" max="1540" width="10.44140625" style="155" customWidth="1"/>
    <col min="1541" max="1541" width="10.109375" style="155" customWidth="1"/>
    <col min="1542" max="1542" width="9.21875" style="155" customWidth="1"/>
    <col min="1543" max="1543" width="7.44140625" style="155" customWidth="1"/>
    <col min="1544" max="1560" width="7.109375" style="155" customWidth="1"/>
    <col min="1561" max="1561" width="6.33203125" style="155" customWidth="1"/>
    <col min="1562" max="1562" width="7.109375" style="155" customWidth="1"/>
    <col min="1563" max="1563" width="9.88671875" style="155" customWidth="1"/>
    <col min="1564" max="1564" width="7.109375" style="155" customWidth="1"/>
    <col min="1565" max="1565" width="11.109375" style="155" customWidth="1"/>
    <col min="1566" max="1568" width="7.109375" style="155" customWidth="1"/>
    <col min="1569" max="1569" width="7.44140625" style="155" customWidth="1"/>
    <col min="1570" max="1590" width="7.109375" style="155" customWidth="1"/>
    <col min="1591" max="1792" width="17.6640625" style="155"/>
    <col min="1793" max="1793" width="10.88671875" style="155" customWidth="1"/>
    <col min="1794" max="1794" width="9.33203125" style="155" customWidth="1"/>
    <col min="1795" max="1795" width="11.6640625" style="155" customWidth="1"/>
    <col min="1796" max="1796" width="10.44140625" style="155" customWidth="1"/>
    <col min="1797" max="1797" width="10.109375" style="155" customWidth="1"/>
    <col min="1798" max="1798" width="9.21875" style="155" customWidth="1"/>
    <col min="1799" max="1799" width="7.44140625" style="155" customWidth="1"/>
    <col min="1800" max="1816" width="7.109375" style="155" customWidth="1"/>
    <col min="1817" max="1817" width="6.33203125" style="155" customWidth="1"/>
    <col min="1818" max="1818" width="7.109375" style="155" customWidth="1"/>
    <col min="1819" max="1819" width="9.88671875" style="155" customWidth="1"/>
    <col min="1820" max="1820" width="7.109375" style="155" customWidth="1"/>
    <col min="1821" max="1821" width="11.109375" style="155" customWidth="1"/>
    <col min="1822" max="1824" width="7.109375" style="155" customWidth="1"/>
    <col min="1825" max="1825" width="7.44140625" style="155" customWidth="1"/>
    <col min="1826" max="1846" width="7.109375" style="155" customWidth="1"/>
    <col min="1847" max="2048" width="17.6640625" style="155"/>
    <col min="2049" max="2049" width="10.88671875" style="155" customWidth="1"/>
    <col min="2050" max="2050" width="9.33203125" style="155" customWidth="1"/>
    <col min="2051" max="2051" width="11.6640625" style="155" customWidth="1"/>
    <col min="2052" max="2052" width="10.44140625" style="155" customWidth="1"/>
    <col min="2053" max="2053" width="10.109375" style="155" customWidth="1"/>
    <col min="2054" max="2054" width="9.21875" style="155" customWidth="1"/>
    <col min="2055" max="2055" width="7.44140625" style="155" customWidth="1"/>
    <col min="2056" max="2072" width="7.109375" style="155" customWidth="1"/>
    <col min="2073" max="2073" width="6.33203125" style="155" customWidth="1"/>
    <col min="2074" max="2074" width="7.109375" style="155" customWidth="1"/>
    <col min="2075" max="2075" width="9.88671875" style="155" customWidth="1"/>
    <col min="2076" max="2076" width="7.109375" style="155" customWidth="1"/>
    <col min="2077" max="2077" width="11.109375" style="155" customWidth="1"/>
    <col min="2078" max="2080" width="7.109375" style="155" customWidth="1"/>
    <col min="2081" max="2081" width="7.44140625" style="155" customWidth="1"/>
    <col min="2082" max="2102" width="7.109375" style="155" customWidth="1"/>
    <col min="2103" max="2304" width="17.6640625" style="155"/>
    <col min="2305" max="2305" width="10.88671875" style="155" customWidth="1"/>
    <col min="2306" max="2306" width="9.33203125" style="155" customWidth="1"/>
    <col min="2307" max="2307" width="11.6640625" style="155" customWidth="1"/>
    <col min="2308" max="2308" width="10.44140625" style="155" customWidth="1"/>
    <col min="2309" max="2309" width="10.109375" style="155" customWidth="1"/>
    <col min="2310" max="2310" width="9.21875" style="155" customWidth="1"/>
    <col min="2311" max="2311" width="7.44140625" style="155" customWidth="1"/>
    <col min="2312" max="2328" width="7.109375" style="155" customWidth="1"/>
    <col min="2329" max="2329" width="6.33203125" style="155" customWidth="1"/>
    <col min="2330" max="2330" width="7.109375" style="155" customWidth="1"/>
    <col min="2331" max="2331" width="9.88671875" style="155" customWidth="1"/>
    <col min="2332" max="2332" width="7.109375" style="155" customWidth="1"/>
    <col min="2333" max="2333" width="11.109375" style="155" customWidth="1"/>
    <col min="2334" max="2336" width="7.109375" style="155" customWidth="1"/>
    <col min="2337" max="2337" width="7.44140625" style="155" customWidth="1"/>
    <col min="2338" max="2358" width="7.109375" style="155" customWidth="1"/>
    <col min="2359" max="2560" width="17.6640625" style="155"/>
    <col min="2561" max="2561" width="10.88671875" style="155" customWidth="1"/>
    <col min="2562" max="2562" width="9.33203125" style="155" customWidth="1"/>
    <col min="2563" max="2563" width="11.6640625" style="155" customWidth="1"/>
    <col min="2564" max="2564" width="10.44140625" style="155" customWidth="1"/>
    <col min="2565" max="2565" width="10.109375" style="155" customWidth="1"/>
    <col min="2566" max="2566" width="9.21875" style="155" customWidth="1"/>
    <col min="2567" max="2567" width="7.44140625" style="155" customWidth="1"/>
    <col min="2568" max="2584" width="7.109375" style="155" customWidth="1"/>
    <col min="2585" max="2585" width="6.33203125" style="155" customWidth="1"/>
    <col min="2586" max="2586" width="7.109375" style="155" customWidth="1"/>
    <col min="2587" max="2587" width="9.88671875" style="155" customWidth="1"/>
    <col min="2588" max="2588" width="7.109375" style="155" customWidth="1"/>
    <col min="2589" max="2589" width="11.109375" style="155" customWidth="1"/>
    <col min="2590" max="2592" width="7.109375" style="155" customWidth="1"/>
    <col min="2593" max="2593" width="7.44140625" style="155" customWidth="1"/>
    <col min="2594" max="2614" width="7.109375" style="155" customWidth="1"/>
    <col min="2615" max="2816" width="17.6640625" style="155"/>
    <col min="2817" max="2817" width="10.88671875" style="155" customWidth="1"/>
    <col min="2818" max="2818" width="9.33203125" style="155" customWidth="1"/>
    <col min="2819" max="2819" width="11.6640625" style="155" customWidth="1"/>
    <col min="2820" max="2820" width="10.44140625" style="155" customWidth="1"/>
    <col min="2821" max="2821" width="10.109375" style="155" customWidth="1"/>
    <col min="2822" max="2822" width="9.21875" style="155" customWidth="1"/>
    <col min="2823" max="2823" width="7.44140625" style="155" customWidth="1"/>
    <col min="2824" max="2840" width="7.109375" style="155" customWidth="1"/>
    <col min="2841" max="2841" width="6.33203125" style="155" customWidth="1"/>
    <col min="2842" max="2842" width="7.109375" style="155" customWidth="1"/>
    <col min="2843" max="2843" width="9.88671875" style="155" customWidth="1"/>
    <col min="2844" max="2844" width="7.109375" style="155" customWidth="1"/>
    <col min="2845" max="2845" width="11.109375" style="155" customWidth="1"/>
    <col min="2846" max="2848" width="7.109375" style="155" customWidth="1"/>
    <col min="2849" max="2849" width="7.44140625" style="155" customWidth="1"/>
    <col min="2850" max="2870" width="7.109375" style="155" customWidth="1"/>
    <col min="2871" max="3072" width="17.6640625" style="155"/>
    <col min="3073" max="3073" width="10.88671875" style="155" customWidth="1"/>
    <col min="3074" max="3074" width="9.33203125" style="155" customWidth="1"/>
    <col min="3075" max="3075" width="11.6640625" style="155" customWidth="1"/>
    <col min="3076" max="3076" width="10.44140625" style="155" customWidth="1"/>
    <col min="3077" max="3077" width="10.109375" style="155" customWidth="1"/>
    <col min="3078" max="3078" width="9.21875" style="155" customWidth="1"/>
    <col min="3079" max="3079" width="7.44140625" style="155" customWidth="1"/>
    <col min="3080" max="3096" width="7.109375" style="155" customWidth="1"/>
    <col min="3097" max="3097" width="6.33203125" style="155" customWidth="1"/>
    <col min="3098" max="3098" width="7.109375" style="155" customWidth="1"/>
    <col min="3099" max="3099" width="9.88671875" style="155" customWidth="1"/>
    <col min="3100" max="3100" width="7.109375" style="155" customWidth="1"/>
    <col min="3101" max="3101" width="11.109375" style="155" customWidth="1"/>
    <col min="3102" max="3104" width="7.109375" style="155" customWidth="1"/>
    <col min="3105" max="3105" width="7.44140625" style="155" customWidth="1"/>
    <col min="3106" max="3126" width="7.109375" style="155" customWidth="1"/>
    <col min="3127" max="3328" width="17.6640625" style="155"/>
    <col min="3329" max="3329" width="10.88671875" style="155" customWidth="1"/>
    <col min="3330" max="3330" width="9.33203125" style="155" customWidth="1"/>
    <col min="3331" max="3331" width="11.6640625" style="155" customWidth="1"/>
    <col min="3332" max="3332" width="10.44140625" style="155" customWidth="1"/>
    <col min="3333" max="3333" width="10.109375" style="155" customWidth="1"/>
    <col min="3334" max="3334" width="9.21875" style="155" customWidth="1"/>
    <col min="3335" max="3335" width="7.44140625" style="155" customWidth="1"/>
    <col min="3336" max="3352" width="7.109375" style="155" customWidth="1"/>
    <col min="3353" max="3353" width="6.33203125" style="155" customWidth="1"/>
    <col min="3354" max="3354" width="7.109375" style="155" customWidth="1"/>
    <col min="3355" max="3355" width="9.88671875" style="155" customWidth="1"/>
    <col min="3356" max="3356" width="7.109375" style="155" customWidth="1"/>
    <col min="3357" max="3357" width="11.109375" style="155" customWidth="1"/>
    <col min="3358" max="3360" width="7.109375" style="155" customWidth="1"/>
    <col min="3361" max="3361" width="7.44140625" style="155" customWidth="1"/>
    <col min="3362" max="3382" width="7.109375" style="155" customWidth="1"/>
    <col min="3383" max="3584" width="17.6640625" style="155"/>
    <col min="3585" max="3585" width="10.88671875" style="155" customWidth="1"/>
    <col min="3586" max="3586" width="9.33203125" style="155" customWidth="1"/>
    <col min="3587" max="3587" width="11.6640625" style="155" customWidth="1"/>
    <col min="3588" max="3588" width="10.44140625" style="155" customWidth="1"/>
    <col min="3589" max="3589" width="10.109375" style="155" customWidth="1"/>
    <col min="3590" max="3590" width="9.21875" style="155" customWidth="1"/>
    <col min="3591" max="3591" width="7.44140625" style="155" customWidth="1"/>
    <col min="3592" max="3608" width="7.109375" style="155" customWidth="1"/>
    <col min="3609" max="3609" width="6.33203125" style="155" customWidth="1"/>
    <col min="3610" max="3610" width="7.109375" style="155" customWidth="1"/>
    <col min="3611" max="3611" width="9.88671875" style="155" customWidth="1"/>
    <col min="3612" max="3612" width="7.109375" style="155" customWidth="1"/>
    <col min="3613" max="3613" width="11.109375" style="155" customWidth="1"/>
    <col min="3614" max="3616" width="7.109375" style="155" customWidth="1"/>
    <col min="3617" max="3617" width="7.44140625" style="155" customWidth="1"/>
    <col min="3618" max="3638" width="7.109375" style="155" customWidth="1"/>
    <col min="3639" max="3840" width="17.6640625" style="155"/>
    <col min="3841" max="3841" width="10.88671875" style="155" customWidth="1"/>
    <col min="3842" max="3842" width="9.33203125" style="155" customWidth="1"/>
    <col min="3843" max="3843" width="11.6640625" style="155" customWidth="1"/>
    <col min="3844" max="3844" width="10.44140625" style="155" customWidth="1"/>
    <col min="3845" max="3845" width="10.109375" style="155" customWidth="1"/>
    <col min="3846" max="3846" width="9.21875" style="155" customWidth="1"/>
    <col min="3847" max="3847" width="7.44140625" style="155" customWidth="1"/>
    <col min="3848" max="3864" width="7.109375" style="155" customWidth="1"/>
    <col min="3865" max="3865" width="6.33203125" style="155" customWidth="1"/>
    <col min="3866" max="3866" width="7.109375" style="155" customWidth="1"/>
    <col min="3867" max="3867" width="9.88671875" style="155" customWidth="1"/>
    <col min="3868" max="3868" width="7.109375" style="155" customWidth="1"/>
    <col min="3869" max="3869" width="11.109375" style="155" customWidth="1"/>
    <col min="3870" max="3872" width="7.109375" style="155" customWidth="1"/>
    <col min="3873" max="3873" width="7.44140625" style="155" customWidth="1"/>
    <col min="3874" max="3894" width="7.109375" style="155" customWidth="1"/>
    <col min="3895" max="4096" width="17.6640625" style="155"/>
    <col min="4097" max="4097" width="10.88671875" style="155" customWidth="1"/>
    <col min="4098" max="4098" width="9.33203125" style="155" customWidth="1"/>
    <col min="4099" max="4099" width="11.6640625" style="155" customWidth="1"/>
    <col min="4100" max="4100" width="10.44140625" style="155" customWidth="1"/>
    <col min="4101" max="4101" width="10.109375" style="155" customWidth="1"/>
    <col min="4102" max="4102" width="9.21875" style="155" customWidth="1"/>
    <col min="4103" max="4103" width="7.44140625" style="155" customWidth="1"/>
    <col min="4104" max="4120" width="7.109375" style="155" customWidth="1"/>
    <col min="4121" max="4121" width="6.33203125" style="155" customWidth="1"/>
    <col min="4122" max="4122" width="7.109375" style="155" customWidth="1"/>
    <col min="4123" max="4123" width="9.88671875" style="155" customWidth="1"/>
    <col min="4124" max="4124" width="7.109375" style="155" customWidth="1"/>
    <col min="4125" max="4125" width="11.109375" style="155" customWidth="1"/>
    <col min="4126" max="4128" width="7.109375" style="155" customWidth="1"/>
    <col min="4129" max="4129" width="7.44140625" style="155" customWidth="1"/>
    <col min="4130" max="4150" width="7.109375" style="155" customWidth="1"/>
    <col min="4151" max="4352" width="17.6640625" style="155"/>
    <col min="4353" max="4353" width="10.88671875" style="155" customWidth="1"/>
    <col min="4354" max="4354" width="9.33203125" style="155" customWidth="1"/>
    <col min="4355" max="4355" width="11.6640625" style="155" customWidth="1"/>
    <col min="4356" max="4356" width="10.44140625" style="155" customWidth="1"/>
    <col min="4357" max="4357" width="10.109375" style="155" customWidth="1"/>
    <col min="4358" max="4358" width="9.21875" style="155" customWidth="1"/>
    <col min="4359" max="4359" width="7.44140625" style="155" customWidth="1"/>
    <col min="4360" max="4376" width="7.109375" style="155" customWidth="1"/>
    <col min="4377" max="4377" width="6.33203125" style="155" customWidth="1"/>
    <col min="4378" max="4378" width="7.109375" style="155" customWidth="1"/>
    <col min="4379" max="4379" width="9.88671875" style="155" customWidth="1"/>
    <col min="4380" max="4380" width="7.109375" style="155" customWidth="1"/>
    <col min="4381" max="4381" width="11.109375" style="155" customWidth="1"/>
    <col min="4382" max="4384" width="7.109375" style="155" customWidth="1"/>
    <col min="4385" max="4385" width="7.44140625" style="155" customWidth="1"/>
    <col min="4386" max="4406" width="7.109375" style="155" customWidth="1"/>
    <col min="4407" max="4608" width="17.6640625" style="155"/>
    <col min="4609" max="4609" width="10.88671875" style="155" customWidth="1"/>
    <col min="4610" max="4610" width="9.33203125" style="155" customWidth="1"/>
    <col min="4611" max="4611" width="11.6640625" style="155" customWidth="1"/>
    <col min="4612" max="4612" width="10.44140625" style="155" customWidth="1"/>
    <col min="4613" max="4613" width="10.109375" style="155" customWidth="1"/>
    <col min="4614" max="4614" width="9.21875" style="155" customWidth="1"/>
    <col min="4615" max="4615" width="7.44140625" style="155" customWidth="1"/>
    <col min="4616" max="4632" width="7.109375" style="155" customWidth="1"/>
    <col min="4633" max="4633" width="6.33203125" style="155" customWidth="1"/>
    <col min="4634" max="4634" width="7.109375" style="155" customWidth="1"/>
    <col min="4635" max="4635" width="9.88671875" style="155" customWidth="1"/>
    <col min="4636" max="4636" width="7.109375" style="155" customWidth="1"/>
    <col min="4637" max="4637" width="11.109375" style="155" customWidth="1"/>
    <col min="4638" max="4640" width="7.109375" style="155" customWidth="1"/>
    <col min="4641" max="4641" width="7.44140625" style="155" customWidth="1"/>
    <col min="4642" max="4662" width="7.109375" style="155" customWidth="1"/>
    <col min="4663" max="4864" width="17.6640625" style="155"/>
    <col min="4865" max="4865" width="10.88671875" style="155" customWidth="1"/>
    <col min="4866" max="4866" width="9.33203125" style="155" customWidth="1"/>
    <col min="4867" max="4867" width="11.6640625" style="155" customWidth="1"/>
    <col min="4868" max="4868" width="10.44140625" style="155" customWidth="1"/>
    <col min="4869" max="4869" width="10.109375" style="155" customWidth="1"/>
    <col min="4870" max="4870" width="9.21875" style="155" customWidth="1"/>
    <col min="4871" max="4871" width="7.44140625" style="155" customWidth="1"/>
    <col min="4872" max="4888" width="7.109375" style="155" customWidth="1"/>
    <col min="4889" max="4889" width="6.33203125" style="155" customWidth="1"/>
    <col min="4890" max="4890" width="7.109375" style="155" customWidth="1"/>
    <col min="4891" max="4891" width="9.88671875" style="155" customWidth="1"/>
    <col min="4892" max="4892" width="7.109375" style="155" customWidth="1"/>
    <col min="4893" max="4893" width="11.109375" style="155" customWidth="1"/>
    <col min="4894" max="4896" width="7.109375" style="155" customWidth="1"/>
    <col min="4897" max="4897" width="7.44140625" style="155" customWidth="1"/>
    <col min="4898" max="4918" width="7.109375" style="155" customWidth="1"/>
    <col min="4919" max="5120" width="17.6640625" style="155"/>
    <col min="5121" max="5121" width="10.88671875" style="155" customWidth="1"/>
    <col min="5122" max="5122" width="9.33203125" style="155" customWidth="1"/>
    <col min="5123" max="5123" width="11.6640625" style="155" customWidth="1"/>
    <col min="5124" max="5124" width="10.44140625" style="155" customWidth="1"/>
    <col min="5125" max="5125" width="10.109375" style="155" customWidth="1"/>
    <col min="5126" max="5126" width="9.21875" style="155" customWidth="1"/>
    <col min="5127" max="5127" width="7.44140625" style="155" customWidth="1"/>
    <col min="5128" max="5144" width="7.109375" style="155" customWidth="1"/>
    <col min="5145" max="5145" width="6.33203125" style="155" customWidth="1"/>
    <col min="5146" max="5146" width="7.109375" style="155" customWidth="1"/>
    <col min="5147" max="5147" width="9.88671875" style="155" customWidth="1"/>
    <col min="5148" max="5148" width="7.109375" style="155" customWidth="1"/>
    <col min="5149" max="5149" width="11.109375" style="155" customWidth="1"/>
    <col min="5150" max="5152" width="7.109375" style="155" customWidth="1"/>
    <col min="5153" max="5153" width="7.44140625" style="155" customWidth="1"/>
    <col min="5154" max="5174" width="7.109375" style="155" customWidth="1"/>
    <col min="5175" max="5376" width="17.6640625" style="155"/>
    <col min="5377" max="5377" width="10.88671875" style="155" customWidth="1"/>
    <col min="5378" max="5378" width="9.33203125" style="155" customWidth="1"/>
    <col min="5379" max="5379" width="11.6640625" style="155" customWidth="1"/>
    <col min="5380" max="5380" width="10.44140625" style="155" customWidth="1"/>
    <col min="5381" max="5381" width="10.109375" style="155" customWidth="1"/>
    <col min="5382" max="5382" width="9.21875" style="155" customWidth="1"/>
    <col min="5383" max="5383" width="7.44140625" style="155" customWidth="1"/>
    <col min="5384" max="5400" width="7.109375" style="155" customWidth="1"/>
    <col min="5401" max="5401" width="6.33203125" style="155" customWidth="1"/>
    <col min="5402" max="5402" width="7.109375" style="155" customWidth="1"/>
    <col min="5403" max="5403" width="9.88671875" style="155" customWidth="1"/>
    <col min="5404" max="5404" width="7.109375" style="155" customWidth="1"/>
    <col min="5405" max="5405" width="11.109375" style="155" customWidth="1"/>
    <col min="5406" max="5408" width="7.109375" style="155" customWidth="1"/>
    <col min="5409" max="5409" width="7.44140625" style="155" customWidth="1"/>
    <col min="5410" max="5430" width="7.109375" style="155" customWidth="1"/>
    <col min="5431" max="5632" width="17.6640625" style="155"/>
    <col min="5633" max="5633" width="10.88671875" style="155" customWidth="1"/>
    <col min="5634" max="5634" width="9.33203125" style="155" customWidth="1"/>
    <col min="5635" max="5635" width="11.6640625" style="155" customWidth="1"/>
    <col min="5636" max="5636" width="10.44140625" style="155" customWidth="1"/>
    <col min="5637" max="5637" width="10.109375" style="155" customWidth="1"/>
    <col min="5638" max="5638" width="9.21875" style="155" customWidth="1"/>
    <col min="5639" max="5639" width="7.44140625" style="155" customWidth="1"/>
    <col min="5640" max="5656" width="7.109375" style="155" customWidth="1"/>
    <col min="5657" max="5657" width="6.33203125" style="155" customWidth="1"/>
    <col min="5658" max="5658" width="7.109375" style="155" customWidth="1"/>
    <col min="5659" max="5659" width="9.88671875" style="155" customWidth="1"/>
    <col min="5660" max="5660" width="7.109375" style="155" customWidth="1"/>
    <col min="5661" max="5661" width="11.109375" style="155" customWidth="1"/>
    <col min="5662" max="5664" width="7.109375" style="155" customWidth="1"/>
    <col min="5665" max="5665" width="7.44140625" style="155" customWidth="1"/>
    <col min="5666" max="5686" width="7.109375" style="155" customWidth="1"/>
    <col min="5687" max="5888" width="17.6640625" style="155"/>
    <col min="5889" max="5889" width="10.88671875" style="155" customWidth="1"/>
    <col min="5890" max="5890" width="9.33203125" style="155" customWidth="1"/>
    <col min="5891" max="5891" width="11.6640625" style="155" customWidth="1"/>
    <col min="5892" max="5892" width="10.44140625" style="155" customWidth="1"/>
    <col min="5893" max="5893" width="10.109375" style="155" customWidth="1"/>
    <col min="5894" max="5894" width="9.21875" style="155" customWidth="1"/>
    <col min="5895" max="5895" width="7.44140625" style="155" customWidth="1"/>
    <col min="5896" max="5912" width="7.109375" style="155" customWidth="1"/>
    <col min="5913" max="5913" width="6.33203125" style="155" customWidth="1"/>
    <col min="5914" max="5914" width="7.109375" style="155" customWidth="1"/>
    <col min="5915" max="5915" width="9.88671875" style="155" customWidth="1"/>
    <col min="5916" max="5916" width="7.109375" style="155" customWidth="1"/>
    <col min="5917" max="5917" width="11.109375" style="155" customWidth="1"/>
    <col min="5918" max="5920" width="7.109375" style="155" customWidth="1"/>
    <col min="5921" max="5921" width="7.44140625" style="155" customWidth="1"/>
    <col min="5922" max="5942" width="7.109375" style="155" customWidth="1"/>
    <col min="5943" max="6144" width="17.6640625" style="155"/>
    <col min="6145" max="6145" width="10.88671875" style="155" customWidth="1"/>
    <col min="6146" max="6146" width="9.33203125" style="155" customWidth="1"/>
    <col min="6147" max="6147" width="11.6640625" style="155" customWidth="1"/>
    <col min="6148" max="6148" width="10.44140625" style="155" customWidth="1"/>
    <col min="6149" max="6149" width="10.109375" style="155" customWidth="1"/>
    <col min="6150" max="6150" width="9.21875" style="155" customWidth="1"/>
    <col min="6151" max="6151" width="7.44140625" style="155" customWidth="1"/>
    <col min="6152" max="6168" width="7.109375" style="155" customWidth="1"/>
    <col min="6169" max="6169" width="6.33203125" style="155" customWidth="1"/>
    <col min="6170" max="6170" width="7.109375" style="155" customWidth="1"/>
    <col min="6171" max="6171" width="9.88671875" style="155" customWidth="1"/>
    <col min="6172" max="6172" width="7.109375" style="155" customWidth="1"/>
    <col min="6173" max="6173" width="11.109375" style="155" customWidth="1"/>
    <col min="6174" max="6176" width="7.109375" style="155" customWidth="1"/>
    <col min="6177" max="6177" width="7.44140625" style="155" customWidth="1"/>
    <col min="6178" max="6198" width="7.109375" style="155" customWidth="1"/>
    <col min="6199" max="6400" width="17.6640625" style="155"/>
    <col min="6401" max="6401" width="10.88671875" style="155" customWidth="1"/>
    <col min="6402" max="6402" width="9.33203125" style="155" customWidth="1"/>
    <col min="6403" max="6403" width="11.6640625" style="155" customWidth="1"/>
    <col min="6404" max="6404" width="10.44140625" style="155" customWidth="1"/>
    <col min="6405" max="6405" width="10.109375" style="155" customWidth="1"/>
    <col min="6406" max="6406" width="9.21875" style="155" customWidth="1"/>
    <col min="6407" max="6407" width="7.44140625" style="155" customWidth="1"/>
    <col min="6408" max="6424" width="7.109375" style="155" customWidth="1"/>
    <col min="6425" max="6425" width="6.33203125" style="155" customWidth="1"/>
    <col min="6426" max="6426" width="7.109375" style="155" customWidth="1"/>
    <col min="6427" max="6427" width="9.88671875" style="155" customWidth="1"/>
    <col min="6428" max="6428" width="7.109375" style="155" customWidth="1"/>
    <col min="6429" max="6429" width="11.109375" style="155" customWidth="1"/>
    <col min="6430" max="6432" width="7.109375" style="155" customWidth="1"/>
    <col min="6433" max="6433" width="7.44140625" style="155" customWidth="1"/>
    <col min="6434" max="6454" width="7.109375" style="155" customWidth="1"/>
    <col min="6455" max="6656" width="17.6640625" style="155"/>
    <col min="6657" max="6657" width="10.88671875" style="155" customWidth="1"/>
    <col min="6658" max="6658" width="9.33203125" style="155" customWidth="1"/>
    <col min="6659" max="6659" width="11.6640625" style="155" customWidth="1"/>
    <col min="6660" max="6660" width="10.44140625" style="155" customWidth="1"/>
    <col min="6661" max="6661" width="10.109375" style="155" customWidth="1"/>
    <col min="6662" max="6662" width="9.21875" style="155" customWidth="1"/>
    <col min="6663" max="6663" width="7.44140625" style="155" customWidth="1"/>
    <col min="6664" max="6680" width="7.109375" style="155" customWidth="1"/>
    <col min="6681" max="6681" width="6.33203125" style="155" customWidth="1"/>
    <col min="6682" max="6682" width="7.109375" style="155" customWidth="1"/>
    <col min="6683" max="6683" width="9.88671875" style="155" customWidth="1"/>
    <col min="6684" max="6684" width="7.109375" style="155" customWidth="1"/>
    <col min="6685" max="6685" width="11.109375" style="155" customWidth="1"/>
    <col min="6686" max="6688" width="7.109375" style="155" customWidth="1"/>
    <col min="6689" max="6689" width="7.44140625" style="155" customWidth="1"/>
    <col min="6690" max="6710" width="7.109375" style="155" customWidth="1"/>
    <col min="6711" max="6912" width="17.6640625" style="155"/>
    <col min="6913" max="6913" width="10.88671875" style="155" customWidth="1"/>
    <col min="6914" max="6914" width="9.33203125" style="155" customWidth="1"/>
    <col min="6915" max="6915" width="11.6640625" style="155" customWidth="1"/>
    <col min="6916" max="6916" width="10.44140625" style="155" customWidth="1"/>
    <col min="6917" max="6917" width="10.109375" style="155" customWidth="1"/>
    <col min="6918" max="6918" width="9.21875" style="155" customWidth="1"/>
    <col min="6919" max="6919" width="7.44140625" style="155" customWidth="1"/>
    <col min="6920" max="6936" width="7.109375" style="155" customWidth="1"/>
    <col min="6937" max="6937" width="6.33203125" style="155" customWidth="1"/>
    <col min="6938" max="6938" width="7.109375" style="155" customWidth="1"/>
    <col min="6939" max="6939" width="9.88671875" style="155" customWidth="1"/>
    <col min="6940" max="6940" width="7.109375" style="155" customWidth="1"/>
    <col min="6941" max="6941" width="11.109375" style="155" customWidth="1"/>
    <col min="6942" max="6944" width="7.109375" style="155" customWidth="1"/>
    <col min="6945" max="6945" width="7.44140625" style="155" customWidth="1"/>
    <col min="6946" max="6966" width="7.109375" style="155" customWidth="1"/>
    <col min="6967" max="7168" width="17.6640625" style="155"/>
    <col min="7169" max="7169" width="10.88671875" style="155" customWidth="1"/>
    <col min="7170" max="7170" width="9.33203125" style="155" customWidth="1"/>
    <col min="7171" max="7171" width="11.6640625" style="155" customWidth="1"/>
    <col min="7172" max="7172" width="10.44140625" style="155" customWidth="1"/>
    <col min="7173" max="7173" width="10.109375" style="155" customWidth="1"/>
    <col min="7174" max="7174" width="9.21875" style="155" customWidth="1"/>
    <col min="7175" max="7175" width="7.44140625" style="155" customWidth="1"/>
    <col min="7176" max="7192" width="7.109375" style="155" customWidth="1"/>
    <col min="7193" max="7193" width="6.33203125" style="155" customWidth="1"/>
    <col min="7194" max="7194" width="7.109375" style="155" customWidth="1"/>
    <col min="7195" max="7195" width="9.88671875" style="155" customWidth="1"/>
    <col min="7196" max="7196" width="7.109375" style="155" customWidth="1"/>
    <col min="7197" max="7197" width="11.109375" style="155" customWidth="1"/>
    <col min="7198" max="7200" width="7.109375" style="155" customWidth="1"/>
    <col min="7201" max="7201" width="7.44140625" style="155" customWidth="1"/>
    <col min="7202" max="7222" width="7.109375" style="155" customWidth="1"/>
    <col min="7223" max="7424" width="17.6640625" style="155"/>
    <col min="7425" max="7425" width="10.88671875" style="155" customWidth="1"/>
    <col min="7426" max="7426" width="9.33203125" style="155" customWidth="1"/>
    <col min="7427" max="7427" width="11.6640625" style="155" customWidth="1"/>
    <col min="7428" max="7428" width="10.44140625" style="155" customWidth="1"/>
    <col min="7429" max="7429" width="10.109375" style="155" customWidth="1"/>
    <col min="7430" max="7430" width="9.21875" style="155" customWidth="1"/>
    <col min="7431" max="7431" width="7.44140625" style="155" customWidth="1"/>
    <col min="7432" max="7448" width="7.109375" style="155" customWidth="1"/>
    <col min="7449" max="7449" width="6.33203125" style="155" customWidth="1"/>
    <col min="7450" max="7450" width="7.109375" style="155" customWidth="1"/>
    <col min="7451" max="7451" width="9.88671875" style="155" customWidth="1"/>
    <col min="7452" max="7452" width="7.109375" style="155" customWidth="1"/>
    <col min="7453" max="7453" width="11.109375" style="155" customWidth="1"/>
    <col min="7454" max="7456" width="7.109375" style="155" customWidth="1"/>
    <col min="7457" max="7457" width="7.44140625" style="155" customWidth="1"/>
    <col min="7458" max="7478" width="7.109375" style="155" customWidth="1"/>
    <col min="7479" max="7680" width="17.6640625" style="155"/>
    <col min="7681" max="7681" width="10.88671875" style="155" customWidth="1"/>
    <col min="7682" max="7682" width="9.33203125" style="155" customWidth="1"/>
    <col min="7683" max="7683" width="11.6640625" style="155" customWidth="1"/>
    <col min="7684" max="7684" width="10.44140625" style="155" customWidth="1"/>
    <col min="7685" max="7685" width="10.109375" style="155" customWidth="1"/>
    <col min="7686" max="7686" width="9.21875" style="155" customWidth="1"/>
    <col min="7687" max="7687" width="7.44140625" style="155" customWidth="1"/>
    <col min="7688" max="7704" width="7.109375" style="155" customWidth="1"/>
    <col min="7705" max="7705" width="6.33203125" style="155" customWidth="1"/>
    <col min="7706" max="7706" width="7.109375" style="155" customWidth="1"/>
    <col min="7707" max="7707" width="9.88671875" style="155" customWidth="1"/>
    <col min="7708" max="7708" width="7.109375" style="155" customWidth="1"/>
    <col min="7709" max="7709" width="11.109375" style="155" customWidth="1"/>
    <col min="7710" max="7712" width="7.109375" style="155" customWidth="1"/>
    <col min="7713" max="7713" width="7.44140625" style="155" customWidth="1"/>
    <col min="7714" max="7734" width="7.109375" style="155" customWidth="1"/>
    <col min="7735" max="7936" width="17.6640625" style="155"/>
    <col min="7937" max="7937" width="10.88671875" style="155" customWidth="1"/>
    <col min="7938" max="7938" width="9.33203125" style="155" customWidth="1"/>
    <col min="7939" max="7939" width="11.6640625" style="155" customWidth="1"/>
    <col min="7940" max="7940" width="10.44140625" style="155" customWidth="1"/>
    <col min="7941" max="7941" width="10.109375" style="155" customWidth="1"/>
    <col min="7942" max="7942" width="9.21875" style="155" customWidth="1"/>
    <col min="7943" max="7943" width="7.44140625" style="155" customWidth="1"/>
    <col min="7944" max="7960" width="7.109375" style="155" customWidth="1"/>
    <col min="7961" max="7961" width="6.33203125" style="155" customWidth="1"/>
    <col min="7962" max="7962" width="7.109375" style="155" customWidth="1"/>
    <col min="7963" max="7963" width="9.88671875" style="155" customWidth="1"/>
    <col min="7964" max="7964" width="7.109375" style="155" customWidth="1"/>
    <col min="7965" max="7965" width="11.109375" style="155" customWidth="1"/>
    <col min="7966" max="7968" width="7.109375" style="155" customWidth="1"/>
    <col min="7969" max="7969" width="7.44140625" style="155" customWidth="1"/>
    <col min="7970" max="7990" width="7.109375" style="155" customWidth="1"/>
    <col min="7991" max="8192" width="17.6640625" style="155"/>
    <col min="8193" max="8193" width="10.88671875" style="155" customWidth="1"/>
    <col min="8194" max="8194" width="9.33203125" style="155" customWidth="1"/>
    <col min="8195" max="8195" width="11.6640625" style="155" customWidth="1"/>
    <col min="8196" max="8196" width="10.44140625" style="155" customWidth="1"/>
    <col min="8197" max="8197" width="10.109375" style="155" customWidth="1"/>
    <col min="8198" max="8198" width="9.21875" style="155" customWidth="1"/>
    <col min="8199" max="8199" width="7.44140625" style="155" customWidth="1"/>
    <col min="8200" max="8216" width="7.109375" style="155" customWidth="1"/>
    <col min="8217" max="8217" width="6.33203125" style="155" customWidth="1"/>
    <col min="8218" max="8218" width="7.109375" style="155" customWidth="1"/>
    <col min="8219" max="8219" width="9.88671875" style="155" customWidth="1"/>
    <col min="8220" max="8220" width="7.109375" style="155" customWidth="1"/>
    <col min="8221" max="8221" width="11.109375" style="155" customWidth="1"/>
    <col min="8222" max="8224" width="7.109375" style="155" customWidth="1"/>
    <col min="8225" max="8225" width="7.44140625" style="155" customWidth="1"/>
    <col min="8226" max="8246" width="7.109375" style="155" customWidth="1"/>
    <col min="8247" max="8448" width="17.6640625" style="155"/>
    <col min="8449" max="8449" width="10.88671875" style="155" customWidth="1"/>
    <col min="8450" max="8450" width="9.33203125" style="155" customWidth="1"/>
    <col min="8451" max="8451" width="11.6640625" style="155" customWidth="1"/>
    <col min="8452" max="8452" width="10.44140625" style="155" customWidth="1"/>
    <col min="8453" max="8453" width="10.109375" style="155" customWidth="1"/>
    <col min="8454" max="8454" width="9.21875" style="155" customWidth="1"/>
    <col min="8455" max="8455" width="7.44140625" style="155" customWidth="1"/>
    <col min="8456" max="8472" width="7.109375" style="155" customWidth="1"/>
    <col min="8473" max="8473" width="6.33203125" style="155" customWidth="1"/>
    <col min="8474" max="8474" width="7.109375" style="155" customWidth="1"/>
    <col min="8475" max="8475" width="9.88671875" style="155" customWidth="1"/>
    <col min="8476" max="8476" width="7.109375" style="155" customWidth="1"/>
    <col min="8477" max="8477" width="11.109375" style="155" customWidth="1"/>
    <col min="8478" max="8480" width="7.109375" style="155" customWidth="1"/>
    <col min="8481" max="8481" width="7.44140625" style="155" customWidth="1"/>
    <col min="8482" max="8502" width="7.109375" style="155" customWidth="1"/>
    <col min="8503" max="8704" width="17.6640625" style="155"/>
    <col min="8705" max="8705" width="10.88671875" style="155" customWidth="1"/>
    <col min="8706" max="8706" width="9.33203125" style="155" customWidth="1"/>
    <col min="8707" max="8707" width="11.6640625" style="155" customWidth="1"/>
    <col min="8708" max="8708" width="10.44140625" style="155" customWidth="1"/>
    <col min="8709" max="8709" width="10.109375" style="155" customWidth="1"/>
    <col min="8710" max="8710" width="9.21875" style="155" customWidth="1"/>
    <col min="8711" max="8711" width="7.44140625" style="155" customWidth="1"/>
    <col min="8712" max="8728" width="7.109375" style="155" customWidth="1"/>
    <col min="8729" max="8729" width="6.33203125" style="155" customWidth="1"/>
    <col min="8730" max="8730" width="7.109375" style="155" customWidth="1"/>
    <col min="8731" max="8731" width="9.88671875" style="155" customWidth="1"/>
    <col min="8732" max="8732" width="7.109375" style="155" customWidth="1"/>
    <col min="8733" max="8733" width="11.109375" style="155" customWidth="1"/>
    <col min="8734" max="8736" width="7.109375" style="155" customWidth="1"/>
    <col min="8737" max="8737" width="7.44140625" style="155" customWidth="1"/>
    <col min="8738" max="8758" width="7.109375" style="155" customWidth="1"/>
    <col min="8759" max="8960" width="17.6640625" style="155"/>
    <col min="8961" max="8961" width="10.88671875" style="155" customWidth="1"/>
    <col min="8962" max="8962" width="9.33203125" style="155" customWidth="1"/>
    <col min="8963" max="8963" width="11.6640625" style="155" customWidth="1"/>
    <col min="8964" max="8964" width="10.44140625" style="155" customWidth="1"/>
    <col min="8965" max="8965" width="10.109375" style="155" customWidth="1"/>
    <col min="8966" max="8966" width="9.21875" style="155" customWidth="1"/>
    <col min="8967" max="8967" width="7.44140625" style="155" customWidth="1"/>
    <col min="8968" max="8984" width="7.109375" style="155" customWidth="1"/>
    <col min="8985" max="8985" width="6.33203125" style="155" customWidth="1"/>
    <col min="8986" max="8986" width="7.109375" style="155" customWidth="1"/>
    <col min="8987" max="8987" width="9.88671875" style="155" customWidth="1"/>
    <col min="8988" max="8988" width="7.109375" style="155" customWidth="1"/>
    <col min="8989" max="8989" width="11.109375" style="155" customWidth="1"/>
    <col min="8990" max="8992" width="7.109375" style="155" customWidth="1"/>
    <col min="8993" max="8993" width="7.44140625" style="155" customWidth="1"/>
    <col min="8994" max="9014" width="7.109375" style="155" customWidth="1"/>
    <col min="9015" max="9216" width="17.6640625" style="155"/>
    <col min="9217" max="9217" width="10.88671875" style="155" customWidth="1"/>
    <col min="9218" max="9218" width="9.33203125" style="155" customWidth="1"/>
    <col min="9219" max="9219" width="11.6640625" style="155" customWidth="1"/>
    <col min="9220" max="9220" width="10.44140625" style="155" customWidth="1"/>
    <col min="9221" max="9221" width="10.109375" style="155" customWidth="1"/>
    <col min="9222" max="9222" width="9.21875" style="155" customWidth="1"/>
    <col min="9223" max="9223" width="7.44140625" style="155" customWidth="1"/>
    <col min="9224" max="9240" width="7.109375" style="155" customWidth="1"/>
    <col min="9241" max="9241" width="6.33203125" style="155" customWidth="1"/>
    <col min="9242" max="9242" width="7.109375" style="155" customWidth="1"/>
    <col min="9243" max="9243" width="9.88671875" style="155" customWidth="1"/>
    <col min="9244" max="9244" width="7.109375" style="155" customWidth="1"/>
    <col min="9245" max="9245" width="11.109375" style="155" customWidth="1"/>
    <col min="9246" max="9248" width="7.109375" style="155" customWidth="1"/>
    <col min="9249" max="9249" width="7.44140625" style="155" customWidth="1"/>
    <col min="9250" max="9270" width="7.109375" style="155" customWidth="1"/>
    <col min="9271" max="9472" width="17.6640625" style="155"/>
    <col min="9473" max="9473" width="10.88671875" style="155" customWidth="1"/>
    <col min="9474" max="9474" width="9.33203125" style="155" customWidth="1"/>
    <col min="9475" max="9475" width="11.6640625" style="155" customWidth="1"/>
    <col min="9476" max="9476" width="10.44140625" style="155" customWidth="1"/>
    <col min="9477" max="9477" width="10.109375" style="155" customWidth="1"/>
    <col min="9478" max="9478" width="9.21875" style="155" customWidth="1"/>
    <col min="9479" max="9479" width="7.44140625" style="155" customWidth="1"/>
    <col min="9480" max="9496" width="7.109375" style="155" customWidth="1"/>
    <col min="9497" max="9497" width="6.33203125" style="155" customWidth="1"/>
    <col min="9498" max="9498" width="7.109375" style="155" customWidth="1"/>
    <col min="9499" max="9499" width="9.88671875" style="155" customWidth="1"/>
    <col min="9500" max="9500" width="7.109375" style="155" customWidth="1"/>
    <col min="9501" max="9501" width="11.109375" style="155" customWidth="1"/>
    <col min="9502" max="9504" width="7.109375" style="155" customWidth="1"/>
    <col min="9505" max="9505" width="7.44140625" style="155" customWidth="1"/>
    <col min="9506" max="9526" width="7.109375" style="155" customWidth="1"/>
    <col min="9527" max="9728" width="17.6640625" style="155"/>
    <col min="9729" max="9729" width="10.88671875" style="155" customWidth="1"/>
    <col min="9730" max="9730" width="9.33203125" style="155" customWidth="1"/>
    <col min="9731" max="9731" width="11.6640625" style="155" customWidth="1"/>
    <col min="9732" max="9732" width="10.44140625" style="155" customWidth="1"/>
    <col min="9733" max="9733" width="10.109375" style="155" customWidth="1"/>
    <col min="9734" max="9734" width="9.21875" style="155" customWidth="1"/>
    <col min="9735" max="9735" width="7.44140625" style="155" customWidth="1"/>
    <col min="9736" max="9752" width="7.109375" style="155" customWidth="1"/>
    <col min="9753" max="9753" width="6.33203125" style="155" customWidth="1"/>
    <col min="9754" max="9754" width="7.109375" style="155" customWidth="1"/>
    <col min="9755" max="9755" width="9.88671875" style="155" customWidth="1"/>
    <col min="9756" max="9756" width="7.109375" style="155" customWidth="1"/>
    <col min="9757" max="9757" width="11.109375" style="155" customWidth="1"/>
    <col min="9758" max="9760" width="7.109375" style="155" customWidth="1"/>
    <col min="9761" max="9761" width="7.44140625" style="155" customWidth="1"/>
    <col min="9762" max="9782" width="7.109375" style="155" customWidth="1"/>
    <col min="9783" max="9984" width="17.6640625" style="155"/>
    <col min="9985" max="9985" width="10.88671875" style="155" customWidth="1"/>
    <col min="9986" max="9986" width="9.33203125" style="155" customWidth="1"/>
    <col min="9987" max="9987" width="11.6640625" style="155" customWidth="1"/>
    <col min="9988" max="9988" width="10.44140625" style="155" customWidth="1"/>
    <col min="9989" max="9989" width="10.109375" style="155" customWidth="1"/>
    <col min="9990" max="9990" width="9.21875" style="155" customWidth="1"/>
    <col min="9991" max="9991" width="7.44140625" style="155" customWidth="1"/>
    <col min="9992" max="10008" width="7.109375" style="155" customWidth="1"/>
    <col min="10009" max="10009" width="6.33203125" style="155" customWidth="1"/>
    <col min="10010" max="10010" width="7.109375" style="155" customWidth="1"/>
    <col min="10011" max="10011" width="9.88671875" style="155" customWidth="1"/>
    <col min="10012" max="10012" width="7.109375" style="155" customWidth="1"/>
    <col min="10013" max="10013" width="11.109375" style="155" customWidth="1"/>
    <col min="10014" max="10016" width="7.109375" style="155" customWidth="1"/>
    <col min="10017" max="10017" width="7.44140625" style="155" customWidth="1"/>
    <col min="10018" max="10038" width="7.109375" style="155" customWidth="1"/>
    <col min="10039" max="10240" width="17.6640625" style="155"/>
    <col min="10241" max="10241" width="10.88671875" style="155" customWidth="1"/>
    <col min="10242" max="10242" width="9.33203125" style="155" customWidth="1"/>
    <col min="10243" max="10243" width="11.6640625" style="155" customWidth="1"/>
    <col min="10244" max="10244" width="10.44140625" style="155" customWidth="1"/>
    <col min="10245" max="10245" width="10.109375" style="155" customWidth="1"/>
    <col min="10246" max="10246" width="9.21875" style="155" customWidth="1"/>
    <col min="10247" max="10247" width="7.44140625" style="155" customWidth="1"/>
    <col min="10248" max="10264" width="7.109375" style="155" customWidth="1"/>
    <col min="10265" max="10265" width="6.33203125" style="155" customWidth="1"/>
    <col min="10266" max="10266" width="7.109375" style="155" customWidth="1"/>
    <col min="10267" max="10267" width="9.88671875" style="155" customWidth="1"/>
    <col min="10268" max="10268" width="7.109375" style="155" customWidth="1"/>
    <col min="10269" max="10269" width="11.109375" style="155" customWidth="1"/>
    <col min="10270" max="10272" width="7.109375" style="155" customWidth="1"/>
    <col min="10273" max="10273" width="7.44140625" style="155" customWidth="1"/>
    <col min="10274" max="10294" width="7.109375" style="155" customWidth="1"/>
    <col min="10295" max="10496" width="17.6640625" style="155"/>
    <col min="10497" max="10497" width="10.88671875" style="155" customWidth="1"/>
    <col min="10498" max="10498" width="9.33203125" style="155" customWidth="1"/>
    <col min="10499" max="10499" width="11.6640625" style="155" customWidth="1"/>
    <col min="10500" max="10500" width="10.44140625" style="155" customWidth="1"/>
    <col min="10501" max="10501" width="10.109375" style="155" customWidth="1"/>
    <col min="10502" max="10502" width="9.21875" style="155" customWidth="1"/>
    <col min="10503" max="10503" width="7.44140625" style="155" customWidth="1"/>
    <col min="10504" max="10520" width="7.109375" style="155" customWidth="1"/>
    <col min="10521" max="10521" width="6.33203125" style="155" customWidth="1"/>
    <col min="10522" max="10522" width="7.109375" style="155" customWidth="1"/>
    <col min="10523" max="10523" width="9.88671875" style="155" customWidth="1"/>
    <col min="10524" max="10524" width="7.109375" style="155" customWidth="1"/>
    <col min="10525" max="10525" width="11.109375" style="155" customWidth="1"/>
    <col min="10526" max="10528" width="7.109375" style="155" customWidth="1"/>
    <col min="10529" max="10529" width="7.44140625" style="155" customWidth="1"/>
    <col min="10530" max="10550" width="7.109375" style="155" customWidth="1"/>
    <col min="10551" max="10752" width="17.6640625" style="155"/>
    <col min="10753" max="10753" width="10.88671875" style="155" customWidth="1"/>
    <col min="10754" max="10754" width="9.33203125" style="155" customWidth="1"/>
    <col min="10755" max="10755" width="11.6640625" style="155" customWidth="1"/>
    <col min="10756" max="10756" width="10.44140625" style="155" customWidth="1"/>
    <col min="10757" max="10757" width="10.109375" style="155" customWidth="1"/>
    <col min="10758" max="10758" width="9.21875" style="155" customWidth="1"/>
    <col min="10759" max="10759" width="7.44140625" style="155" customWidth="1"/>
    <col min="10760" max="10776" width="7.109375" style="155" customWidth="1"/>
    <col min="10777" max="10777" width="6.33203125" style="155" customWidth="1"/>
    <col min="10778" max="10778" width="7.109375" style="155" customWidth="1"/>
    <col min="10779" max="10779" width="9.88671875" style="155" customWidth="1"/>
    <col min="10780" max="10780" width="7.109375" style="155" customWidth="1"/>
    <col min="10781" max="10781" width="11.109375" style="155" customWidth="1"/>
    <col min="10782" max="10784" width="7.109375" style="155" customWidth="1"/>
    <col min="10785" max="10785" width="7.44140625" style="155" customWidth="1"/>
    <col min="10786" max="10806" width="7.109375" style="155" customWidth="1"/>
    <col min="10807" max="11008" width="17.6640625" style="155"/>
    <col min="11009" max="11009" width="10.88671875" style="155" customWidth="1"/>
    <col min="11010" max="11010" width="9.33203125" style="155" customWidth="1"/>
    <col min="11011" max="11011" width="11.6640625" style="155" customWidth="1"/>
    <col min="11012" max="11012" width="10.44140625" style="155" customWidth="1"/>
    <col min="11013" max="11013" width="10.109375" style="155" customWidth="1"/>
    <col min="11014" max="11014" width="9.21875" style="155" customWidth="1"/>
    <col min="11015" max="11015" width="7.44140625" style="155" customWidth="1"/>
    <col min="11016" max="11032" width="7.109375" style="155" customWidth="1"/>
    <col min="11033" max="11033" width="6.33203125" style="155" customWidth="1"/>
    <col min="11034" max="11034" width="7.109375" style="155" customWidth="1"/>
    <col min="11035" max="11035" width="9.88671875" style="155" customWidth="1"/>
    <col min="11036" max="11036" width="7.109375" style="155" customWidth="1"/>
    <col min="11037" max="11037" width="11.109375" style="155" customWidth="1"/>
    <col min="11038" max="11040" width="7.109375" style="155" customWidth="1"/>
    <col min="11041" max="11041" width="7.44140625" style="155" customWidth="1"/>
    <col min="11042" max="11062" width="7.109375" style="155" customWidth="1"/>
    <col min="11063" max="11264" width="17.6640625" style="155"/>
    <col min="11265" max="11265" width="10.88671875" style="155" customWidth="1"/>
    <col min="11266" max="11266" width="9.33203125" style="155" customWidth="1"/>
    <col min="11267" max="11267" width="11.6640625" style="155" customWidth="1"/>
    <col min="11268" max="11268" width="10.44140625" style="155" customWidth="1"/>
    <col min="11269" max="11269" width="10.109375" style="155" customWidth="1"/>
    <col min="11270" max="11270" width="9.21875" style="155" customWidth="1"/>
    <col min="11271" max="11271" width="7.44140625" style="155" customWidth="1"/>
    <col min="11272" max="11288" width="7.109375" style="155" customWidth="1"/>
    <col min="11289" max="11289" width="6.33203125" style="155" customWidth="1"/>
    <col min="11290" max="11290" width="7.109375" style="155" customWidth="1"/>
    <col min="11291" max="11291" width="9.88671875" style="155" customWidth="1"/>
    <col min="11292" max="11292" width="7.109375" style="155" customWidth="1"/>
    <col min="11293" max="11293" width="11.109375" style="155" customWidth="1"/>
    <col min="11294" max="11296" width="7.109375" style="155" customWidth="1"/>
    <col min="11297" max="11297" width="7.44140625" style="155" customWidth="1"/>
    <col min="11298" max="11318" width="7.109375" style="155" customWidth="1"/>
    <col min="11319" max="11520" width="17.6640625" style="155"/>
    <col min="11521" max="11521" width="10.88671875" style="155" customWidth="1"/>
    <col min="11522" max="11522" width="9.33203125" style="155" customWidth="1"/>
    <col min="11523" max="11523" width="11.6640625" style="155" customWidth="1"/>
    <col min="11524" max="11524" width="10.44140625" style="155" customWidth="1"/>
    <col min="11525" max="11525" width="10.109375" style="155" customWidth="1"/>
    <col min="11526" max="11526" width="9.21875" style="155" customWidth="1"/>
    <col min="11527" max="11527" width="7.44140625" style="155" customWidth="1"/>
    <col min="11528" max="11544" width="7.109375" style="155" customWidth="1"/>
    <col min="11545" max="11545" width="6.33203125" style="155" customWidth="1"/>
    <col min="11546" max="11546" width="7.109375" style="155" customWidth="1"/>
    <col min="11547" max="11547" width="9.88671875" style="155" customWidth="1"/>
    <col min="11548" max="11548" width="7.109375" style="155" customWidth="1"/>
    <col min="11549" max="11549" width="11.109375" style="155" customWidth="1"/>
    <col min="11550" max="11552" width="7.109375" style="155" customWidth="1"/>
    <col min="11553" max="11553" width="7.44140625" style="155" customWidth="1"/>
    <col min="11554" max="11574" width="7.109375" style="155" customWidth="1"/>
    <col min="11575" max="11776" width="17.6640625" style="155"/>
    <col min="11777" max="11777" width="10.88671875" style="155" customWidth="1"/>
    <col min="11778" max="11778" width="9.33203125" style="155" customWidth="1"/>
    <col min="11779" max="11779" width="11.6640625" style="155" customWidth="1"/>
    <col min="11780" max="11780" width="10.44140625" style="155" customWidth="1"/>
    <col min="11781" max="11781" width="10.109375" style="155" customWidth="1"/>
    <col min="11782" max="11782" width="9.21875" style="155" customWidth="1"/>
    <col min="11783" max="11783" width="7.44140625" style="155" customWidth="1"/>
    <col min="11784" max="11800" width="7.109375" style="155" customWidth="1"/>
    <col min="11801" max="11801" width="6.33203125" style="155" customWidth="1"/>
    <col min="11802" max="11802" width="7.109375" style="155" customWidth="1"/>
    <col min="11803" max="11803" width="9.88671875" style="155" customWidth="1"/>
    <col min="11804" max="11804" width="7.109375" style="155" customWidth="1"/>
    <col min="11805" max="11805" width="11.109375" style="155" customWidth="1"/>
    <col min="11806" max="11808" width="7.109375" style="155" customWidth="1"/>
    <col min="11809" max="11809" width="7.44140625" style="155" customWidth="1"/>
    <col min="11810" max="11830" width="7.109375" style="155" customWidth="1"/>
    <col min="11831" max="12032" width="17.6640625" style="155"/>
    <col min="12033" max="12033" width="10.88671875" style="155" customWidth="1"/>
    <col min="12034" max="12034" width="9.33203125" style="155" customWidth="1"/>
    <col min="12035" max="12035" width="11.6640625" style="155" customWidth="1"/>
    <col min="12036" max="12036" width="10.44140625" style="155" customWidth="1"/>
    <col min="12037" max="12037" width="10.109375" style="155" customWidth="1"/>
    <col min="12038" max="12038" width="9.21875" style="155" customWidth="1"/>
    <col min="12039" max="12039" width="7.44140625" style="155" customWidth="1"/>
    <col min="12040" max="12056" width="7.109375" style="155" customWidth="1"/>
    <col min="12057" max="12057" width="6.33203125" style="155" customWidth="1"/>
    <col min="12058" max="12058" width="7.109375" style="155" customWidth="1"/>
    <col min="12059" max="12059" width="9.88671875" style="155" customWidth="1"/>
    <col min="12060" max="12060" width="7.109375" style="155" customWidth="1"/>
    <col min="12061" max="12061" width="11.109375" style="155" customWidth="1"/>
    <col min="12062" max="12064" width="7.109375" style="155" customWidth="1"/>
    <col min="12065" max="12065" width="7.44140625" style="155" customWidth="1"/>
    <col min="12066" max="12086" width="7.109375" style="155" customWidth="1"/>
    <col min="12087" max="12288" width="17.6640625" style="155"/>
    <col min="12289" max="12289" width="10.88671875" style="155" customWidth="1"/>
    <col min="12290" max="12290" width="9.33203125" style="155" customWidth="1"/>
    <col min="12291" max="12291" width="11.6640625" style="155" customWidth="1"/>
    <col min="12292" max="12292" width="10.44140625" style="155" customWidth="1"/>
    <col min="12293" max="12293" width="10.109375" style="155" customWidth="1"/>
    <col min="12294" max="12294" width="9.21875" style="155" customWidth="1"/>
    <col min="12295" max="12295" width="7.44140625" style="155" customWidth="1"/>
    <col min="12296" max="12312" width="7.109375" style="155" customWidth="1"/>
    <col min="12313" max="12313" width="6.33203125" style="155" customWidth="1"/>
    <col min="12314" max="12314" width="7.109375" style="155" customWidth="1"/>
    <col min="12315" max="12315" width="9.88671875" style="155" customWidth="1"/>
    <col min="12316" max="12316" width="7.109375" style="155" customWidth="1"/>
    <col min="12317" max="12317" width="11.109375" style="155" customWidth="1"/>
    <col min="12318" max="12320" width="7.109375" style="155" customWidth="1"/>
    <col min="12321" max="12321" width="7.44140625" style="155" customWidth="1"/>
    <col min="12322" max="12342" width="7.109375" style="155" customWidth="1"/>
    <col min="12343" max="12544" width="17.6640625" style="155"/>
    <col min="12545" max="12545" width="10.88671875" style="155" customWidth="1"/>
    <col min="12546" max="12546" width="9.33203125" style="155" customWidth="1"/>
    <col min="12547" max="12547" width="11.6640625" style="155" customWidth="1"/>
    <col min="12548" max="12548" width="10.44140625" style="155" customWidth="1"/>
    <col min="12549" max="12549" width="10.109375" style="155" customWidth="1"/>
    <col min="12550" max="12550" width="9.21875" style="155" customWidth="1"/>
    <col min="12551" max="12551" width="7.44140625" style="155" customWidth="1"/>
    <col min="12552" max="12568" width="7.109375" style="155" customWidth="1"/>
    <col min="12569" max="12569" width="6.33203125" style="155" customWidth="1"/>
    <col min="12570" max="12570" width="7.109375" style="155" customWidth="1"/>
    <col min="12571" max="12571" width="9.88671875" style="155" customWidth="1"/>
    <col min="12572" max="12572" width="7.109375" style="155" customWidth="1"/>
    <col min="12573" max="12573" width="11.109375" style="155" customWidth="1"/>
    <col min="12574" max="12576" width="7.109375" style="155" customWidth="1"/>
    <col min="12577" max="12577" width="7.44140625" style="155" customWidth="1"/>
    <col min="12578" max="12598" width="7.109375" style="155" customWidth="1"/>
    <col min="12599" max="12800" width="17.6640625" style="155"/>
    <col min="12801" max="12801" width="10.88671875" style="155" customWidth="1"/>
    <col min="12802" max="12802" width="9.33203125" style="155" customWidth="1"/>
    <col min="12803" max="12803" width="11.6640625" style="155" customWidth="1"/>
    <col min="12804" max="12804" width="10.44140625" style="155" customWidth="1"/>
    <col min="12805" max="12805" width="10.109375" style="155" customWidth="1"/>
    <col min="12806" max="12806" width="9.21875" style="155" customWidth="1"/>
    <col min="12807" max="12807" width="7.44140625" style="155" customWidth="1"/>
    <col min="12808" max="12824" width="7.109375" style="155" customWidth="1"/>
    <col min="12825" max="12825" width="6.33203125" style="155" customWidth="1"/>
    <col min="12826" max="12826" width="7.109375" style="155" customWidth="1"/>
    <col min="12827" max="12827" width="9.88671875" style="155" customWidth="1"/>
    <col min="12828" max="12828" width="7.109375" style="155" customWidth="1"/>
    <col min="12829" max="12829" width="11.109375" style="155" customWidth="1"/>
    <col min="12830" max="12832" width="7.109375" style="155" customWidth="1"/>
    <col min="12833" max="12833" width="7.44140625" style="155" customWidth="1"/>
    <col min="12834" max="12854" width="7.109375" style="155" customWidth="1"/>
    <col min="12855" max="13056" width="17.6640625" style="155"/>
    <col min="13057" max="13057" width="10.88671875" style="155" customWidth="1"/>
    <col min="13058" max="13058" width="9.33203125" style="155" customWidth="1"/>
    <col min="13059" max="13059" width="11.6640625" style="155" customWidth="1"/>
    <col min="13060" max="13060" width="10.44140625" style="155" customWidth="1"/>
    <col min="13061" max="13061" width="10.109375" style="155" customWidth="1"/>
    <col min="13062" max="13062" width="9.21875" style="155" customWidth="1"/>
    <col min="13063" max="13063" width="7.44140625" style="155" customWidth="1"/>
    <col min="13064" max="13080" width="7.109375" style="155" customWidth="1"/>
    <col min="13081" max="13081" width="6.33203125" style="155" customWidth="1"/>
    <col min="13082" max="13082" width="7.109375" style="155" customWidth="1"/>
    <col min="13083" max="13083" width="9.88671875" style="155" customWidth="1"/>
    <col min="13084" max="13084" width="7.109375" style="155" customWidth="1"/>
    <col min="13085" max="13085" width="11.109375" style="155" customWidth="1"/>
    <col min="13086" max="13088" width="7.109375" style="155" customWidth="1"/>
    <col min="13089" max="13089" width="7.44140625" style="155" customWidth="1"/>
    <col min="13090" max="13110" width="7.109375" style="155" customWidth="1"/>
    <col min="13111" max="13312" width="17.6640625" style="155"/>
    <col min="13313" max="13313" width="10.88671875" style="155" customWidth="1"/>
    <col min="13314" max="13314" width="9.33203125" style="155" customWidth="1"/>
    <col min="13315" max="13315" width="11.6640625" style="155" customWidth="1"/>
    <col min="13316" max="13316" width="10.44140625" style="155" customWidth="1"/>
    <col min="13317" max="13317" width="10.109375" style="155" customWidth="1"/>
    <col min="13318" max="13318" width="9.21875" style="155" customWidth="1"/>
    <col min="13319" max="13319" width="7.44140625" style="155" customWidth="1"/>
    <col min="13320" max="13336" width="7.109375" style="155" customWidth="1"/>
    <col min="13337" max="13337" width="6.33203125" style="155" customWidth="1"/>
    <col min="13338" max="13338" width="7.109375" style="155" customWidth="1"/>
    <col min="13339" max="13339" width="9.88671875" style="155" customWidth="1"/>
    <col min="13340" max="13340" width="7.109375" style="155" customWidth="1"/>
    <col min="13341" max="13341" width="11.109375" style="155" customWidth="1"/>
    <col min="13342" max="13344" width="7.109375" style="155" customWidth="1"/>
    <col min="13345" max="13345" width="7.44140625" style="155" customWidth="1"/>
    <col min="13346" max="13366" width="7.109375" style="155" customWidth="1"/>
    <col min="13367" max="13568" width="17.6640625" style="155"/>
    <col min="13569" max="13569" width="10.88671875" style="155" customWidth="1"/>
    <col min="13570" max="13570" width="9.33203125" style="155" customWidth="1"/>
    <col min="13571" max="13571" width="11.6640625" style="155" customWidth="1"/>
    <col min="13572" max="13572" width="10.44140625" style="155" customWidth="1"/>
    <col min="13573" max="13573" width="10.109375" style="155" customWidth="1"/>
    <col min="13574" max="13574" width="9.21875" style="155" customWidth="1"/>
    <col min="13575" max="13575" width="7.44140625" style="155" customWidth="1"/>
    <col min="13576" max="13592" width="7.109375" style="155" customWidth="1"/>
    <col min="13593" max="13593" width="6.33203125" style="155" customWidth="1"/>
    <col min="13594" max="13594" width="7.109375" style="155" customWidth="1"/>
    <col min="13595" max="13595" width="9.88671875" style="155" customWidth="1"/>
    <col min="13596" max="13596" width="7.109375" style="155" customWidth="1"/>
    <col min="13597" max="13597" width="11.109375" style="155" customWidth="1"/>
    <col min="13598" max="13600" width="7.109375" style="155" customWidth="1"/>
    <col min="13601" max="13601" width="7.44140625" style="155" customWidth="1"/>
    <col min="13602" max="13622" width="7.109375" style="155" customWidth="1"/>
    <col min="13623" max="13824" width="17.6640625" style="155"/>
    <col min="13825" max="13825" width="10.88671875" style="155" customWidth="1"/>
    <col min="13826" max="13826" width="9.33203125" style="155" customWidth="1"/>
    <col min="13827" max="13827" width="11.6640625" style="155" customWidth="1"/>
    <col min="13828" max="13828" width="10.44140625" style="155" customWidth="1"/>
    <col min="13829" max="13829" width="10.109375" style="155" customWidth="1"/>
    <col min="13830" max="13830" width="9.21875" style="155" customWidth="1"/>
    <col min="13831" max="13831" width="7.44140625" style="155" customWidth="1"/>
    <col min="13832" max="13848" width="7.109375" style="155" customWidth="1"/>
    <col min="13849" max="13849" width="6.33203125" style="155" customWidth="1"/>
    <col min="13850" max="13850" width="7.109375" style="155" customWidth="1"/>
    <col min="13851" max="13851" width="9.88671875" style="155" customWidth="1"/>
    <col min="13852" max="13852" width="7.109375" style="155" customWidth="1"/>
    <col min="13853" max="13853" width="11.109375" style="155" customWidth="1"/>
    <col min="13854" max="13856" width="7.109375" style="155" customWidth="1"/>
    <col min="13857" max="13857" width="7.44140625" style="155" customWidth="1"/>
    <col min="13858" max="13878" width="7.109375" style="155" customWidth="1"/>
    <col min="13879" max="14080" width="17.6640625" style="155"/>
    <col min="14081" max="14081" width="10.88671875" style="155" customWidth="1"/>
    <col min="14082" max="14082" width="9.33203125" style="155" customWidth="1"/>
    <col min="14083" max="14083" width="11.6640625" style="155" customWidth="1"/>
    <col min="14084" max="14084" width="10.44140625" style="155" customWidth="1"/>
    <col min="14085" max="14085" width="10.109375" style="155" customWidth="1"/>
    <col min="14086" max="14086" width="9.21875" style="155" customWidth="1"/>
    <col min="14087" max="14087" width="7.44140625" style="155" customWidth="1"/>
    <col min="14088" max="14104" width="7.109375" style="155" customWidth="1"/>
    <col min="14105" max="14105" width="6.33203125" style="155" customWidth="1"/>
    <col min="14106" max="14106" width="7.109375" style="155" customWidth="1"/>
    <col min="14107" max="14107" width="9.88671875" style="155" customWidth="1"/>
    <col min="14108" max="14108" width="7.109375" style="155" customWidth="1"/>
    <col min="14109" max="14109" width="11.109375" style="155" customWidth="1"/>
    <col min="14110" max="14112" width="7.109375" style="155" customWidth="1"/>
    <col min="14113" max="14113" width="7.44140625" style="155" customWidth="1"/>
    <col min="14114" max="14134" width="7.109375" style="155" customWidth="1"/>
    <col min="14135" max="14336" width="17.6640625" style="155"/>
    <col min="14337" max="14337" width="10.88671875" style="155" customWidth="1"/>
    <col min="14338" max="14338" width="9.33203125" style="155" customWidth="1"/>
    <col min="14339" max="14339" width="11.6640625" style="155" customWidth="1"/>
    <col min="14340" max="14340" width="10.44140625" style="155" customWidth="1"/>
    <col min="14341" max="14341" width="10.109375" style="155" customWidth="1"/>
    <col min="14342" max="14342" width="9.21875" style="155" customWidth="1"/>
    <col min="14343" max="14343" width="7.44140625" style="155" customWidth="1"/>
    <col min="14344" max="14360" width="7.109375" style="155" customWidth="1"/>
    <col min="14361" max="14361" width="6.33203125" style="155" customWidth="1"/>
    <col min="14362" max="14362" width="7.109375" style="155" customWidth="1"/>
    <col min="14363" max="14363" width="9.88671875" style="155" customWidth="1"/>
    <col min="14364" max="14364" width="7.109375" style="155" customWidth="1"/>
    <col min="14365" max="14365" width="11.109375" style="155" customWidth="1"/>
    <col min="14366" max="14368" width="7.109375" style="155" customWidth="1"/>
    <col min="14369" max="14369" width="7.44140625" style="155" customWidth="1"/>
    <col min="14370" max="14390" width="7.109375" style="155" customWidth="1"/>
    <col min="14391" max="14592" width="17.6640625" style="155"/>
    <col min="14593" max="14593" width="10.88671875" style="155" customWidth="1"/>
    <col min="14594" max="14594" width="9.33203125" style="155" customWidth="1"/>
    <col min="14595" max="14595" width="11.6640625" style="155" customWidth="1"/>
    <col min="14596" max="14596" width="10.44140625" style="155" customWidth="1"/>
    <col min="14597" max="14597" width="10.109375" style="155" customWidth="1"/>
    <col min="14598" max="14598" width="9.21875" style="155" customWidth="1"/>
    <col min="14599" max="14599" width="7.44140625" style="155" customWidth="1"/>
    <col min="14600" max="14616" width="7.109375" style="155" customWidth="1"/>
    <col min="14617" max="14617" width="6.33203125" style="155" customWidth="1"/>
    <col min="14618" max="14618" width="7.109375" style="155" customWidth="1"/>
    <col min="14619" max="14619" width="9.88671875" style="155" customWidth="1"/>
    <col min="14620" max="14620" width="7.109375" style="155" customWidth="1"/>
    <col min="14621" max="14621" width="11.109375" style="155" customWidth="1"/>
    <col min="14622" max="14624" width="7.109375" style="155" customWidth="1"/>
    <col min="14625" max="14625" width="7.44140625" style="155" customWidth="1"/>
    <col min="14626" max="14646" width="7.109375" style="155" customWidth="1"/>
    <col min="14647" max="14848" width="17.6640625" style="155"/>
    <col min="14849" max="14849" width="10.88671875" style="155" customWidth="1"/>
    <col min="14850" max="14850" width="9.33203125" style="155" customWidth="1"/>
    <col min="14851" max="14851" width="11.6640625" style="155" customWidth="1"/>
    <col min="14852" max="14852" width="10.44140625" style="155" customWidth="1"/>
    <col min="14853" max="14853" width="10.109375" style="155" customWidth="1"/>
    <col min="14854" max="14854" width="9.21875" style="155" customWidth="1"/>
    <col min="14855" max="14855" width="7.44140625" style="155" customWidth="1"/>
    <col min="14856" max="14872" width="7.109375" style="155" customWidth="1"/>
    <col min="14873" max="14873" width="6.33203125" style="155" customWidth="1"/>
    <col min="14874" max="14874" width="7.109375" style="155" customWidth="1"/>
    <col min="14875" max="14875" width="9.88671875" style="155" customWidth="1"/>
    <col min="14876" max="14876" width="7.109375" style="155" customWidth="1"/>
    <col min="14877" max="14877" width="11.109375" style="155" customWidth="1"/>
    <col min="14878" max="14880" width="7.109375" style="155" customWidth="1"/>
    <col min="14881" max="14881" width="7.44140625" style="155" customWidth="1"/>
    <col min="14882" max="14902" width="7.109375" style="155" customWidth="1"/>
    <col min="14903" max="15104" width="17.6640625" style="155"/>
    <col min="15105" max="15105" width="10.88671875" style="155" customWidth="1"/>
    <col min="15106" max="15106" width="9.33203125" style="155" customWidth="1"/>
    <col min="15107" max="15107" width="11.6640625" style="155" customWidth="1"/>
    <col min="15108" max="15108" width="10.44140625" style="155" customWidth="1"/>
    <col min="15109" max="15109" width="10.109375" style="155" customWidth="1"/>
    <col min="15110" max="15110" width="9.21875" style="155" customWidth="1"/>
    <col min="15111" max="15111" width="7.44140625" style="155" customWidth="1"/>
    <col min="15112" max="15128" width="7.109375" style="155" customWidth="1"/>
    <col min="15129" max="15129" width="6.33203125" style="155" customWidth="1"/>
    <col min="15130" max="15130" width="7.109375" style="155" customWidth="1"/>
    <col min="15131" max="15131" width="9.88671875" style="155" customWidth="1"/>
    <col min="15132" max="15132" width="7.109375" style="155" customWidth="1"/>
    <col min="15133" max="15133" width="11.109375" style="155" customWidth="1"/>
    <col min="15134" max="15136" width="7.109375" style="155" customWidth="1"/>
    <col min="15137" max="15137" width="7.44140625" style="155" customWidth="1"/>
    <col min="15138" max="15158" width="7.109375" style="155" customWidth="1"/>
    <col min="15159" max="15360" width="17.6640625" style="155"/>
    <col min="15361" max="15361" width="10.88671875" style="155" customWidth="1"/>
    <col min="15362" max="15362" width="9.33203125" style="155" customWidth="1"/>
    <col min="15363" max="15363" width="11.6640625" style="155" customWidth="1"/>
    <col min="15364" max="15364" width="10.44140625" style="155" customWidth="1"/>
    <col min="15365" max="15365" width="10.109375" style="155" customWidth="1"/>
    <col min="15366" max="15366" width="9.21875" style="155" customWidth="1"/>
    <col min="15367" max="15367" width="7.44140625" style="155" customWidth="1"/>
    <col min="15368" max="15384" width="7.109375" style="155" customWidth="1"/>
    <col min="15385" max="15385" width="6.33203125" style="155" customWidth="1"/>
    <col min="15386" max="15386" width="7.109375" style="155" customWidth="1"/>
    <col min="15387" max="15387" width="9.88671875" style="155" customWidth="1"/>
    <col min="15388" max="15388" width="7.109375" style="155" customWidth="1"/>
    <col min="15389" max="15389" width="11.109375" style="155" customWidth="1"/>
    <col min="15390" max="15392" width="7.109375" style="155" customWidth="1"/>
    <col min="15393" max="15393" width="7.44140625" style="155" customWidth="1"/>
    <col min="15394" max="15414" width="7.109375" style="155" customWidth="1"/>
    <col min="15415" max="15616" width="17.6640625" style="155"/>
    <col min="15617" max="15617" width="10.88671875" style="155" customWidth="1"/>
    <col min="15618" max="15618" width="9.33203125" style="155" customWidth="1"/>
    <col min="15619" max="15619" width="11.6640625" style="155" customWidth="1"/>
    <col min="15620" max="15620" width="10.44140625" style="155" customWidth="1"/>
    <col min="15621" max="15621" width="10.109375" style="155" customWidth="1"/>
    <col min="15622" max="15622" width="9.21875" style="155" customWidth="1"/>
    <col min="15623" max="15623" width="7.44140625" style="155" customWidth="1"/>
    <col min="15624" max="15640" width="7.109375" style="155" customWidth="1"/>
    <col min="15641" max="15641" width="6.33203125" style="155" customWidth="1"/>
    <col min="15642" max="15642" width="7.109375" style="155" customWidth="1"/>
    <col min="15643" max="15643" width="9.88671875" style="155" customWidth="1"/>
    <col min="15644" max="15644" width="7.109375" style="155" customWidth="1"/>
    <col min="15645" max="15645" width="11.109375" style="155" customWidth="1"/>
    <col min="15646" max="15648" width="7.109375" style="155" customWidth="1"/>
    <col min="15649" max="15649" width="7.44140625" style="155" customWidth="1"/>
    <col min="15650" max="15670" width="7.109375" style="155" customWidth="1"/>
    <col min="15671" max="15872" width="17.6640625" style="155"/>
    <col min="15873" max="15873" width="10.88671875" style="155" customWidth="1"/>
    <col min="15874" max="15874" width="9.33203125" style="155" customWidth="1"/>
    <col min="15875" max="15875" width="11.6640625" style="155" customWidth="1"/>
    <col min="15876" max="15876" width="10.44140625" style="155" customWidth="1"/>
    <col min="15877" max="15877" width="10.109375" style="155" customWidth="1"/>
    <col min="15878" max="15878" width="9.21875" style="155" customWidth="1"/>
    <col min="15879" max="15879" width="7.44140625" style="155" customWidth="1"/>
    <col min="15880" max="15896" width="7.109375" style="155" customWidth="1"/>
    <col min="15897" max="15897" width="6.33203125" style="155" customWidth="1"/>
    <col min="15898" max="15898" width="7.109375" style="155" customWidth="1"/>
    <col min="15899" max="15899" width="9.88671875" style="155" customWidth="1"/>
    <col min="15900" max="15900" width="7.109375" style="155" customWidth="1"/>
    <col min="15901" max="15901" width="11.109375" style="155" customWidth="1"/>
    <col min="15902" max="15904" width="7.109375" style="155" customWidth="1"/>
    <col min="15905" max="15905" width="7.44140625" style="155" customWidth="1"/>
    <col min="15906" max="15926" width="7.109375" style="155" customWidth="1"/>
    <col min="15927" max="16128" width="17.6640625" style="155"/>
    <col min="16129" max="16129" width="10.88671875" style="155" customWidth="1"/>
    <col min="16130" max="16130" width="9.33203125" style="155" customWidth="1"/>
    <col min="16131" max="16131" width="11.6640625" style="155" customWidth="1"/>
    <col min="16132" max="16132" width="10.44140625" style="155" customWidth="1"/>
    <col min="16133" max="16133" width="10.109375" style="155" customWidth="1"/>
    <col min="16134" max="16134" width="9.21875" style="155" customWidth="1"/>
    <col min="16135" max="16135" width="7.44140625" style="155" customWidth="1"/>
    <col min="16136" max="16152" width="7.109375" style="155" customWidth="1"/>
    <col min="16153" max="16153" width="6.33203125" style="155" customWidth="1"/>
    <col min="16154" max="16154" width="7.109375" style="155" customWidth="1"/>
    <col min="16155" max="16155" width="9.88671875" style="155" customWidth="1"/>
    <col min="16156" max="16156" width="7.109375" style="155" customWidth="1"/>
    <col min="16157" max="16157" width="11.109375" style="155" customWidth="1"/>
    <col min="16158" max="16160" width="7.109375" style="155" customWidth="1"/>
    <col min="16161" max="16161" width="7.44140625" style="155" customWidth="1"/>
    <col min="16162" max="16182" width="7.109375" style="155" customWidth="1"/>
    <col min="16183" max="16384" width="17.6640625" style="155"/>
  </cols>
  <sheetData>
    <row r="1" spans="1:60" ht="45.75" customHeight="1">
      <c r="A1" s="533"/>
      <c r="B1" s="534"/>
      <c r="C1" s="534"/>
      <c r="D1" s="535"/>
      <c r="E1" s="539" t="s">
        <v>87</v>
      </c>
      <c r="F1" s="540"/>
      <c r="G1" s="540"/>
      <c r="H1" s="540"/>
      <c r="I1" s="540"/>
      <c r="J1" s="540"/>
      <c r="K1" s="540"/>
      <c r="L1" s="540"/>
      <c r="M1" s="540"/>
      <c r="N1" s="540"/>
      <c r="O1" s="540"/>
      <c r="P1" s="540"/>
      <c r="Q1" s="540"/>
      <c r="R1" s="540"/>
      <c r="S1" s="540"/>
      <c r="T1" s="540"/>
      <c r="U1" s="540"/>
      <c r="V1" s="541"/>
      <c r="W1" s="545" t="s">
        <v>71</v>
      </c>
      <c r="X1" s="546"/>
      <c r="Y1" s="547"/>
      <c r="Z1" s="548" t="s">
        <v>72</v>
      </c>
      <c r="AA1" s="547"/>
      <c r="AB1" s="548" t="s">
        <v>73</v>
      </c>
      <c r="AC1" s="549"/>
    </row>
    <row r="2" spans="1:60" ht="50.25" customHeight="1" thickBot="1">
      <c r="A2" s="536"/>
      <c r="B2" s="537"/>
      <c r="C2" s="537"/>
      <c r="D2" s="538"/>
      <c r="E2" s="542"/>
      <c r="F2" s="543"/>
      <c r="G2" s="543"/>
      <c r="H2" s="543"/>
      <c r="I2" s="543"/>
      <c r="J2" s="543"/>
      <c r="K2" s="543"/>
      <c r="L2" s="543"/>
      <c r="M2" s="543"/>
      <c r="N2" s="543"/>
      <c r="O2" s="543"/>
      <c r="P2" s="543"/>
      <c r="Q2" s="543"/>
      <c r="R2" s="543"/>
      <c r="S2" s="543"/>
      <c r="T2" s="543"/>
      <c r="U2" s="543"/>
      <c r="V2" s="544"/>
      <c r="W2" s="550"/>
      <c r="X2" s="551"/>
      <c r="Y2" s="552"/>
      <c r="Z2" s="553"/>
      <c r="AA2" s="552"/>
      <c r="AB2" s="553"/>
      <c r="AC2" s="554"/>
      <c r="BC2" s="156">
        <f>COUNT($E5:$AC5,$E7:$AC7)</f>
        <v>0</v>
      </c>
      <c r="BD2" s="156">
        <f>COUNT($E9:$AC9,$E11:$AC11)</f>
        <v>0</v>
      </c>
      <c r="BE2" s="156">
        <f>COUNT($E13:$AC13,$E15:$AC15)</f>
        <v>0</v>
      </c>
      <c r="BF2" s="156">
        <f>COUNT(#REF!,#REF!)</f>
        <v>0</v>
      </c>
      <c r="BG2" s="156">
        <f>COUNT(#REF!,#REF!)</f>
        <v>0</v>
      </c>
      <c r="BH2" s="156"/>
    </row>
    <row r="3" spans="1:60" ht="32.25" customHeight="1" thickBot="1">
      <c r="A3" s="555" t="s">
        <v>7</v>
      </c>
      <c r="B3" s="556"/>
      <c r="C3" s="556"/>
      <c r="D3" s="556"/>
      <c r="E3" s="157"/>
      <c r="F3" s="534"/>
      <c r="G3" s="534"/>
      <c r="H3" s="534"/>
      <c r="I3" s="157"/>
      <c r="J3" s="157"/>
      <c r="K3" s="157"/>
      <c r="L3" s="157"/>
      <c r="M3" s="157"/>
      <c r="N3" s="157"/>
      <c r="O3" s="157"/>
      <c r="P3" s="157"/>
      <c r="Q3" s="157"/>
      <c r="R3" s="157"/>
      <c r="S3" s="157"/>
      <c r="T3" s="157"/>
      <c r="U3" s="157"/>
      <c r="V3" s="157"/>
      <c r="W3" s="157"/>
      <c r="X3" s="157"/>
      <c r="Y3" s="157"/>
      <c r="Z3" s="157"/>
      <c r="AA3" s="157"/>
      <c r="AB3" s="157"/>
      <c r="AC3" s="158"/>
      <c r="BC3" s="156"/>
      <c r="BD3" s="156"/>
      <c r="BE3" s="156"/>
      <c r="BF3" s="156"/>
      <c r="BG3" s="156"/>
      <c r="BH3" s="156"/>
    </row>
    <row r="4" spans="1:60" s="164" customFormat="1" ht="25.5" customHeight="1">
      <c r="A4" s="159" t="s">
        <v>8</v>
      </c>
      <c r="B4" s="160" t="s">
        <v>9</v>
      </c>
      <c r="C4" s="161" t="s">
        <v>10</v>
      </c>
      <c r="D4" s="161" t="s">
        <v>11</v>
      </c>
      <c r="E4" s="162">
        <v>1</v>
      </c>
      <c r="F4" s="162">
        <v>2</v>
      </c>
      <c r="G4" s="162">
        <v>3</v>
      </c>
      <c r="H4" s="162">
        <v>4</v>
      </c>
      <c r="I4" s="162">
        <v>5</v>
      </c>
      <c r="J4" s="162">
        <v>6</v>
      </c>
      <c r="K4" s="162">
        <v>7</v>
      </c>
      <c r="L4" s="162">
        <v>8</v>
      </c>
      <c r="M4" s="162">
        <v>9</v>
      </c>
      <c r="N4" s="162">
        <v>10</v>
      </c>
      <c r="O4" s="162">
        <v>11</v>
      </c>
      <c r="P4" s="162">
        <v>12</v>
      </c>
      <c r="Q4" s="162">
        <v>13</v>
      </c>
      <c r="R4" s="162">
        <v>14</v>
      </c>
      <c r="S4" s="162">
        <v>15</v>
      </c>
      <c r="T4" s="162">
        <v>16</v>
      </c>
      <c r="U4" s="162">
        <v>17</v>
      </c>
      <c r="V4" s="162">
        <v>18</v>
      </c>
      <c r="W4" s="162">
        <v>19</v>
      </c>
      <c r="X4" s="162">
        <v>20</v>
      </c>
      <c r="Y4" s="162">
        <v>21</v>
      </c>
      <c r="Z4" s="162">
        <v>22</v>
      </c>
      <c r="AA4" s="162">
        <v>23</v>
      </c>
      <c r="AB4" s="162">
        <v>24</v>
      </c>
      <c r="AC4" s="163">
        <v>25</v>
      </c>
      <c r="AD4" s="155"/>
      <c r="BC4" s="165"/>
      <c r="BD4" s="165"/>
      <c r="BE4" s="165"/>
      <c r="BF4" s="165"/>
      <c r="BG4" s="165"/>
      <c r="BH4" s="165"/>
    </row>
    <row r="5" spans="1:60" s="164" customFormat="1" ht="14.1" customHeight="1" thickBot="1">
      <c r="A5" s="557">
        <v>1</v>
      </c>
      <c r="B5" s="559"/>
      <c r="C5" s="561"/>
      <c r="D5" s="561"/>
      <c r="E5" s="166"/>
      <c r="F5" s="166"/>
      <c r="G5" s="166"/>
      <c r="H5" s="166"/>
      <c r="I5" s="166"/>
      <c r="J5" s="166"/>
      <c r="K5" s="166"/>
      <c r="L5" s="166"/>
      <c r="M5" s="166"/>
      <c r="N5" s="166"/>
      <c r="O5" s="166"/>
      <c r="P5" s="166"/>
      <c r="Q5" s="166"/>
      <c r="R5" s="166"/>
      <c r="S5" s="166"/>
      <c r="T5" s="166"/>
      <c r="U5" s="166"/>
      <c r="V5" s="166"/>
      <c r="W5" s="166"/>
      <c r="X5" s="166"/>
      <c r="Y5" s="166"/>
      <c r="Z5" s="166"/>
      <c r="AA5" s="166"/>
      <c r="AB5" s="166"/>
      <c r="AC5" s="167"/>
      <c r="BC5" s="165"/>
      <c r="BD5" s="165"/>
      <c r="BE5" s="165"/>
      <c r="BF5" s="165"/>
      <c r="BG5" s="165"/>
      <c r="BH5" s="165"/>
    </row>
    <row r="6" spans="1:60" s="164" customFormat="1" ht="14.1" customHeight="1" thickTop="1" thickBot="1">
      <c r="A6" s="558"/>
      <c r="B6" s="560"/>
      <c r="C6" s="562"/>
      <c r="D6" s="562"/>
      <c r="E6" s="168"/>
      <c r="F6" s="168"/>
      <c r="G6" s="168"/>
      <c r="H6" s="168"/>
      <c r="I6" s="168"/>
      <c r="J6" s="168"/>
      <c r="K6" s="168"/>
      <c r="L6" s="168"/>
      <c r="M6" s="168"/>
      <c r="N6" s="168"/>
      <c r="O6" s="168"/>
      <c r="P6" s="168"/>
      <c r="Q6" s="168"/>
      <c r="R6" s="168"/>
      <c r="S6" s="168"/>
      <c r="T6" s="168"/>
      <c r="U6" s="168"/>
      <c r="V6" s="168"/>
      <c r="W6" s="168"/>
      <c r="X6" s="168"/>
      <c r="Y6" s="168"/>
      <c r="Z6" s="168"/>
      <c r="AA6" s="168"/>
      <c r="AB6" s="168"/>
      <c r="AC6" s="169"/>
      <c r="BC6" s="165"/>
      <c r="BD6" s="165"/>
      <c r="BE6" s="165"/>
      <c r="BF6" s="165"/>
      <c r="BG6" s="165"/>
      <c r="BH6" s="165"/>
    </row>
    <row r="7" spans="1:60" s="164" customFormat="1" ht="14.1" customHeight="1" thickTop="1" thickBot="1">
      <c r="A7" s="558"/>
      <c r="B7" s="560"/>
      <c r="C7" s="562"/>
      <c r="D7" s="562"/>
      <c r="E7" s="166"/>
      <c r="F7" s="166"/>
      <c r="G7" s="166"/>
      <c r="H7" s="166"/>
      <c r="I7" s="166"/>
      <c r="J7" s="170"/>
      <c r="K7" s="171"/>
      <c r="L7" s="171"/>
      <c r="M7" s="172"/>
      <c r="N7" s="172"/>
      <c r="O7" s="172"/>
      <c r="P7" s="172"/>
      <c r="Q7" s="172"/>
      <c r="R7" s="172"/>
      <c r="S7" s="172"/>
      <c r="T7" s="172"/>
      <c r="U7" s="172"/>
      <c r="V7" s="172"/>
      <c r="W7" s="172"/>
      <c r="X7" s="172"/>
      <c r="Y7" s="172"/>
      <c r="Z7" s="172"/>
      <c r="AA7" s="172"/>
      <c r="AB7" s="172"/>
      <c r="AC7" s="173"/>
      <c r="AD7" s="174"/>
      <c r="BC7" s="165"/>
      <c r="BD7" s="165"/>
      <c r="BE7" s="165"/>
      <c r="BF7" s="165"/>
      <c r="BG7" s="165"/>
      <c r="BH7" s="165"/>
    </row>
    <row r="8" spans="1:60" s="164" customFormat="1" ht="14.1" customHeight="1" thickTop="1" thickBot="1">
      <c r="A8" s="558">
        <v>2</v>
      </c>
      <c r="B8" s="560"/>
      <c r="C8" s="562"/>
      <c r="D8" s="562"/>
      <c r="E8" s="175"/>
      <c r="F8" s="175"/>
      <c r="G8" s="175"/>
      <c r="H8" s="175"/>
      <c r="I8" s="175"/>
      <c r="J8" s="175"/>
      <c r="K8" s="175"/>
      <c r="L8" s="175"/>
      <c r="M8" s="175"/>
      <c r="N8" s="175"/>
      <c r="O8" s="175"/>
      <c r="P8" s="175"/>
      <c r="Q8" s="175"/>
      <c r="R8" s="175"/>
      <c r="S8" s="175"/>
      <c r="T8" s="175"/>
      <c r="U8" s="175"/>
      <c r="V8" s="175"/>
      <c r="W8" s="175"/>
      <c r="X8" s="175"/>
      <c r="Y8" s="175"/>
      <c r="Z8" s="175"/>
      <c r="AA8" s="175"/>
      <c r="AB8" s="175"/>
      <c r="AC8" s="176"/>
      <c r="AD8" s="174"/>
      <c r="BC8" s="165"/>
      <c r="BD8" s="165"/>
      <c r="BE8" s="165"/>
      <c r="BF8" s="165"/>
      <c r="BG8" s="165"/>
      <c r="BH8" s="165"/>
    </row>
    <row r="9" spans="1:60" s="164" customFormat="1" ht="14.1" customHeight="1" thickTop="1" thickBot="1">
      <c r="A9" s="558"/>
      <c r="B9" s="560"/>
      <c r="C9" s="562"/>
      <c r="D9" s="562"/>
      <c r="E9" s="166"/>
      <c r="F9" s="166"/>
      <c r="G9" s="166"/>
      <c r="H9" s="166"/>
      <c r="I9" s="166"/>
      <c r="J9" s="166"/>
      <c r="K9" s="166"/>
      <c r="L9" s="166"/>
      <c r="M9" s="166"/>
      <c r="N9" s="166"/>
      <c r="O9" s="166"/>
      <c r="P9" s="166"/>
      <c r="Q9" s="166"/>
      <c r="R9" s="166"/>
      <c r="S9" s="166"/>
      <c r="T9" s="166"/>
      <c r="U9" s="166"/>
      <c r="V9" s="166"/>
      <c r="W9" s="166"/>
      <c r="X9" s="166"/>
      <c r="Y9" s="166"/>
      <c r="Z9" s="166"/>
      <c r="AA9" s="166"/>
      <c r="AB9" s="166"/>
      <c r="AC9" s="167"/>
      <c r="BC9" s="165"/>
      <c r="BD9" s="165"/>
      <c r="BE9" s="165"/>
      <c r="BF9" s="165"/>
      <c r="BG9" s="165"/>
      <c r="BH9" s="165"/>
    </row>
    <row r="10" spans="1:60" s="164" customFormat="1" ht="14.1" customHeight="1" thickTop="1" thickBot="1">
      <c r="A10" s="558"/>
      <c r="B10" s="560"/>
      <c r="C10" s="562"/>
      <c r="D10" s="562"/>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9"/>
      <c r="BC10" s="165"/>
      <c r="BD10" s="165"/>
      <c r="BE10" s="165"/>
      <c r="BF10" s="165"/>
      <c r="BG10" s="165"/>
      <c r="BH10" s="165"/>
    </row>
    <row r="11" spans="1:60" s="164" customFormat="1" ht="14.1" customHeight="1" thickTop="1" thickBot="1">
      <c r="A11" s="558"/>
      <c r="B11" s="560"/>
      <c r="C11" s="562"/>
      <c r="D11" s="562"/>
      <c r="E11" s="177"/>
      <c r="F11" s="177"/>
      <c r="G11" s="177"/>
      <c r="H11" s="177"/>
      <c r="I11" s="177"/>
      <c r="J11" s="177"/>
      <c r="K11" s="177"/>
      <c r="L11" s="177"/>
      <c r="M11" s="177"/>
      <c r="N11" s="177"/>
      <c r="O11" s="178"/>
      <c r="P11" s="178"/>
      <c r="Q11" s="178"/>
      <c r="R11" s="178"/>
      <c r="S11" s="178"/>
      <c r="T11" s="178"/>
      <c r="U11" s="178"/>
      <c r="V11" s="178"/>
      <c r="W11" s="178"/>
      <c r="X11" s="178"/>
      <c r="Y11" s="178"/>
      <c r="Z11" s="178"/>
      <c r="AA11" s="178"/>
      <c r="AB11" s="178"/>
      <c r="AC11" s="179"/>
      <c r="AD11" s="174"/>
      <c r="BC11" s="165"/>
      <c r="BD11" s="165"/>
      <c r="BE11" s="165"/>
      <c r="BF11" s="165"/>
      <c r="BG11" s="165"/>
      <c r="BH11" s="165"/>
    </row>
    <row r="12" spans="1:60" s="164" customFormat="1" ht="14.1" customHeight="1" thickTop="1" thickBot="1">
      <c r="A12" s="563">
        <v>3</v>
      </c>
      <c r="B12" s="560"/>
      <c r="C12" s="562"/>
      <c r="D12" s="562"/>
      <c r="E12" s="180"/>
      <c r="F12" s="180"/>
      <c r="G12" s="180"/>
      <c r="H12" s="180"/>
      <c r="I12" s="180"/>
      <c r="J12" s="180"/>
      <c r="K12" s="180"/>
      <c r="L12" s="180"/>
      <c r="M12" s="180"/>
      <c r="N12" s="180"/>
      <c r="O12" s="180"/>
      <c r="P12" s="180"/>
      <c r="Q12" s="180"/>
      <c r="R12" s="180"/>
      <c r="S12" s="180"/>
      <c r="T12" s="180"/>
      <c r="U12" s="180"/>
      <c r="V12" s="180"/>
      <c r="W12" s="180"/>
      <c r="X12" s="180"/>
      <c r="Y12" s="180"/>
      <c r="Z12" s="180"/>
      <c r="AA12" s="180"/>
      <c r="AB12" s="180"/>
      <c r="AC12" s="181"/>
      <c r="AD12" s="174"/>
      <c r="BC12" s="165"/>
      <c r="BD12" s="165"/>
      <c r="BE12" s="165"/>
      <c r="BF12" s="165"/>
      <c r="BG12" s="165"/>
      <c r="BH12" s="165"/>
    </row>
    <row r="13" spans="1:60" s="164" customFormat="1" ht="14.1" customHeight="1" thickTop="1" thickBot="1">
      <c r="A13" s="564"/>
      <c r="B13" s="560"/>
      <c r="C13" s="562"/>
      <c r="D13" s="562"/>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7"/>
      <c r="BC13" s="165"/>
      <c r="BD13" s="165"/>
      <c r="BE13" s="165"/>
      <c r="BF13" s="165"/>
      <c r="BG13" s="165"/>
      <c r="BH13" s="165"/>
    </row>
    <row r="14" spans="1:60" s="164" customFormat="1" ht="14.1" customHeight="1" thickTop="1" thickBot="1">
      <c r="A14" s="564"/>
      <c r="B14" s="560"/>
      <c r="C14" s="562"/>
      <c r="D14" s="562"/>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9"/>
      <c r="BC14" s="165"/>
      <c r="BD14" s="165"/>
      <c r="BE14" s="165"/>
      <c r="BF14" s="165"/>
      <c r="BG14" s="165"/>
      <c r="BH14" s="165"/>
    </row>
    <row r="15" spans="1:60" s="164" customFormat="1" ht="14.1" customHeight="1" thickTop="1" thickBot="1">
      <c r="A15" s="565"/>
      <c r="B15" s="566"/>
      <c r="C15" s="567"/>
      <c r="D15" s="567"/>
      <c r="E15" s="182"/>
      <c r="F15" s="182"/>
      <c r="G15" s="182"/>
      <c r="H15" s="182"/>
      <c r="I15" s="182"/>
      <c r="J15" s="182"/>
      <c r="K15" s="182"/>
      <c r="L15" s="182"/>
      <c r="M15" s="182"/>
      <c r="N15" s="182"/>
      <c r="O15" s="183"/>
      <c r="P15" s="183"/>
      <c r="Q15" s="183"/>
      <c r="R15" s="183"/>
      <c r="S15" s="183"/>
      <c r="T15" s="183"/>
      <c r="U15" s="183"/>
      <c r="V15" s="183"/>
      <c r="W15" s="183"/>
      <c r="X15" s="183"/>
      <c r="Y15" s="183"/>
      <c r="Z15" s="183"/>
      <c r="AA15" s="183"/>
      <c r="AB15" s="183"/>
      <c r="AC15" s="184"/>
      <c r="BC15" s="165"/>
      <c r="BD15" s="165"/>
      <c r="BE15" s="165"/>
      <c r="BF15" s="165"/>
      <c r="BG15" s="165"/>
      <c r="BH15" s="165"/>
    </row>
    <row r="16" spans="1:60" s="164" customFormat="1" ht="14.1" customHeight="1">
      <c r="A16" s="185"/>
      <c r="B16" s="186"/>
      <c r="C16" s="187"/>
      <c r="D16" s="187"/>
      <c r="E16" s="188"/>
      <c r="F16" s="188"/>
      <c r="G16" s="188"/>
      <c r="H16" s="188"/>
      <c r="I16" s="188"/>
      <c r="J16" s="188"/>
      <c r="K16" s="188"/>
      <c r="L16" s="188"/>
      <c r="M16" s="188"/>
      <c r="N16" s="188"/>
      <c r="O16" s="189"/>
      <c r="P16" s="189"/>
      <c r="Q16" s="189"/>
      <c r="R16" s="189"/>
      <c r="S16" s="189"/>
      <c r="T16" s="189"/>
      <c r="U16" s="189"/>
      <c r="V16" s="189"/>
      <c r="W16" s="189"/>
      <c r="X16" s="189"/>
      <c r="Y16" s="189"/>
      <c r="Z16" s="189"/>
      <c r="AA16" s="189"/>
      <c r="AB16" s="189"/>
      <c r="AC16" s="190"/>
      <c r="BC16" s="165"/>
      <c r="BD16" s="165"/>
      <c r="BE16" s="165"/>
      <c r="BF16" s="165"/>
      <c r="BG16" s="165"/>
      <c r="BH16" s="165"/>
    </row>
    <row r="17" spans="1:60" s="164" customFormat="1" ht="5.25" customHeight="1">
      <c r="A17" s="191"/>
      <c r="B17" s="192"/>
      <c r="C17" s="193"/>
      <c r="D17" s="193"/>
      <c r="E17" s="194"/>
      <c r="F17" s="194"/>
      <c r="G17" s="194"/>
      <c r="H17" s="194"/>
      <c r="I17" s="194"/>
      <c r="J17" s="194"/>
      <c r="K17" s="194"/>
      <c r="L17" s="194"/>
      <c r="M17" s="194"/>
      <c r="N17" s="194"/>
      <c r="O17" s="195"/>
      <c r="P17" s="195"/>
      <c r="Q17" s="195"/>
      <c r="R17" s="195"/>
      <c r="S17" s="195"/>
      <c r="T17" s="195"/>
      <c r="U17" s="195"/>
      <c r="V17" s="195"/>
      <c r="W17" s="195"/>
      <c r="X17" s="195"/>
      <c r="Y17" s="195"/>
      <c r="Z17" s="195"/>
      <c r="AA17" s="195"/>
      <c r="AB17" s="195"/>
      <c r="AC17" s="196"/>
      <c r="BC17" s="165"/>
      <c r="BD17" s="165"/>
      <c r="BE17" s="165"/>
      <c r="BF17" s="165"/>
      <c r="BG17" s="165"/>
      <c r="BH17" s="165"/>
    </row>
    <row r="18" spans="1:60" s="164" customFormat="1" ht="15.75" customHeight="1">
      <c r="A18" s="197"/>
      <c r="E18" s="198"/>
      <c r="F18" s="198"/>
      <c r="G18" s="198"/>
      <c r="H18" s="199"/>
      <c r="I18" s="199" t="s">
        <v>12</v>
      </c>
      <c r="J18" s="199"/>
      <c r="K18" s="199"/>
      <c r="L18" s="199"/>
      <c r="M18" s="199"/>
      <c r="N18" s="199"/>
      <c r="O18" s="199"/>
      <c r="P18" s="199"/>
      <c r="Q18" s="199"/>
      <c r="R18" s="199"/>
      <c r="S18" s="199"/>
      <c r="T18" s="199"/>
      <c r="U18" s="199"/>
      <c r="V18" s="199"/>
      <c r="W18" s="199"/>
      <c r="X18" s="199"/>
      <c r="Y18" s="199"/>
      <c r="Z18" s="199"/>
      <c r="AA18" s="199"/>
      <c r="AB18" s="199"/>
      <c r="AC18" s="200"/>
      <c r="AD18" s="199"/>
      <c r="AE18" s="155"/>
      <c r="AF18" s="155"/>
      <c r="AG18" s="201"/>
      <c r="AH18" s="202"/>
      <c r="AJ18" s="155"/>
      <c r="AK18" s="155"/>
      <c r="AL18" s="155"/>
      <c r="AM18" s="155"/>
      <c r="AN18" s="155"/>
      <c r="AO18" s="155"/>
      <c r="AP18" s="155"/>
      <c r="AQ18" s="155"/>
      <c r="AR18" s="155"/>
      <c r="AS18" s="155"/>
      <c r="BC18" s="165"/>
      <c r="BD18" s="156"/>
      <c r="BE18" s="165"/>
      <c r="BF18" s="165"/>
      <c r="BG18" s="165"/>
      <c r="BH18" s="165"/>
    </row>
    <row r="19" spans="1:60">
      <c r="A19" s="203"/>
      <c r="M19" s="199"/>
      <c r="N19" s="199"/>
      <c r="O19" s="199"/>
      <c r="P19" s="199"/>
      <c r="Q19" s="199"/>
      <c r="R19" s="199"/>
      <c r="S19" s="199"/>
      <c r="T19" s="199"/>
      <c r="AC19" s="204"/>
      <c r="AG19" s="201"/>
      <c r="AH19" s="202"/>
      <c r="AI19" s="164"/>
      <c r="BC19" s="156"/>
      <c r="BD19" s="156" t="str">
        <f t="shared" ref="BD19:BD31" si="0">"&gt;"&amp;TEXT($K21,"0.000")</f>
        <v>&gt;</v>
      </c>
      <c r="BE19" s="156">
        <f t="shared" ref="BE19:BE31" si="1">COUNTIF($E$5:$AC$5,$BD19)+COUNTIF($E$7:$AC$7,$BD19)</f>
        <v>0</v>
      </c>
      <c r="BF19" s="156"/>
      <c r="BG19" s="156"/>
      <c r="BH19" s="156"/>
    </row>
    <row r="20" spans="1:60" ht="16.5" customHeight="1">
      <c r="A20" s="205" t="s">
        <v>13</v>
      </c>
      <c r="J20" s="206"/>
      <c r="K20" s="207"/>
      <c r="L20" s="207"/>
      <c r="AC20" s="204"/>
      <c r="AG20" s="201"/>
      <c r="AH20" s="202"/>
      <c r="AI20" s="164"/>
      <c r="BC20" s="156"/>
      <c r="BD20" s="156" t="str">
        <f t="shared" si="0"/>
        <v>&gt;</v>
      </c>
      <c r="BE20" s="156">
        <f t="shared" si="1"/>
        <v>0</v>
      </c>
      <c r="BF20" s="156"/>
      <c r="BG20" s="156"/>
      <c r="BH20" s="156"/>
    </row>
    <row r="21" spans="1:60" ht="20.25" customHeight="1">
      <c r="A21" s="570" t="s">
        <v>14</v>
      </c>
      <c r="B21" s="571"/>
      <c r="C21" s="571"/>
      <c r="D21" s="571"/>
      <c r="E21" s="571"/>
      <c r="F21" s="208"/>
      <c r="G21" s="209"/>
      <c r="J21" s="206"/>
      <c r="K21" s="210" t="str">
        <f>IF(ISBLANK($E$5),"",K22-J24)</f>
        <v/>
      </c>
      <c r="L21" s="207" t="str">
        <f t="shared" ref="L21:L33" si="2">IF(ISBLANK($E$5),"",(IF($BE19-$BE20=0,"",$BE19-$BE20)))</f>
        <v/>
      </c>
      <c r="AC21" s="204"/>
      <c r="AG21" s="201"/>
      <c r="AH21" s="202"/>
      <c r="AI21" s="164"/>
      <c r="BC21" s="156"/>
      <c r="BD21" s="156" t="str">
        <f t="shared" si="0"/>
        <v>&gt;</v>
      </c>
      <c r="BE21" s="156">
        <f t="shared" si="1"/>
        <v>0</v>
      </c>
      <c r="BF21" s="156"/>
      <c r="BG21" s="156"/>
      <c r="BH21" s="156"/>
    </row>
    <row r="22" spans="1:60" ht="20.100000000000001" customHeight="1">
      <c r="A22" s="568" t="s">
        <v>15</v>
      </c>
      <c r="B22" s="569"/>
      <c r="C22" s="211">
        <f>IF($A5=0,"",$A5)</f>
        <v>1</v>
      </c>
      <c r="D22" s="211">
        <f>IF($A8=0,"",$A8)</f>
        <v>2</v>
      </c>
      <c r="E22" s="211">
        <v>3</v>
      </c>
      <c r="F22" s="212"/>
      <c r="G22" s="209"/>
      <c r="J22" s="206"/>
      <c r="K22" s="210" t="str">
        <f>IF(ISBLANK($E$5),"",K23-J24)</f>
        <v/>
      </c>
      <c r="L22" s="207" t="str">
        <f t="shared" si="2"/>
        <v/>
      </c>
      <c r="AC22" s="204"/>
      <c r="AG22" s="201"/>
      <c r="AH22" s="202"/>
      <c r="AI22" s="164"/>
      <c r="BC22" s="156"/>
      <c r="BD22" s="156" t="str">
        <f t="shared" si="0"/>
        <v>&gt;</v>
      </c>
      <c r="BE22" s="156">
        <f t="shared" si="1"/>
        <v>0</v>
      </c>
      <c r="BF22" s="156"/>
      <c r="BG22" s="156"/>
      <c r="BH22" s="156"/>
    </row>
    <row r="23" spans="1:60" ht="20.100000000000001" customHeight="1">
      <c r="A23" s="568" t="s">
        <v>16</v>
      </c>
      <c r="B23" s="569"/>
      <c r="C23" s="213"/>
      <c r="D23" s="214"/>
      <c r="E23" s="214"/>
      <c r="F23" s="215"/>
      <c r="G23" s="209"/>
      <c r="H23" s="216"/>
      <c r="I23" s="164"/>
      <c r="J23" s="217" t="str">
        <f>IF(ISBLANK(E5),"",C35)</f>
        <v/>
      </c>
      <c r="K23" s="210" t="str">
        <f>IF(ISBLANK($E$5),"",J23-0.005)</f>
        <v/>
      </c>
      <c r="L23" s="207" t="str">
        <f t="shared" si="2"/>
        <v/>
      </c>
      <c r="AC23" s="204"/>
      <c r="AG23" s="201"/>
      <c r="AH23" s="202"/>
      <c r="AI23" s="164"/>
      <c r="BC23" s="156"/>
      <c r="BD23" s="156" t="str">
        <f t="shared" si="0"/>
        <v>&gt;</v>
      </c>
      <c r="BE23" s="156">
        <f t="shared" si="1"/>
        <v>0</v>
      </c>
      <c r="BF23" s="156"/>
      <c r="BG23" s="156"/>
      <c r="BH23" s="156"/>
    </row>
    <row r="24" spans="1:60" ht="20.100000000000001" customHeight="1">
      <c r="A24" s="568" t="s">
        <v>17</v>
      </c>
      <c r="B24" s="569"/>
      <c r="C24" s="214"/>
      <c r="D24" s="214"/>
      <c r="E24" s="214"/>
      <c r="F24" s="215"/>
      <c r="G24" s="209"/>
      <c r="I24" s="164"/>
      <c r="J24" s="218" t="str">
        <f>IF(ISBLANK(E5),"",(C34-C35)/6)</f>
        <v/>
      </c>
      <c r="K24" s="210" t="str">
        <f t="shared" ref="K24:K33" si="3">IF(ISBLANK($E$5),"",K23+J$24)</f>
        <v/>
      </c>
      <c r="L24" s="207" t="str">
        <f t="shared" si="2"/>
        <v/>
      </c>
      <c r="AC24" s="204"/>
      <c r="AG24" s="201"/>
      <c r="AH24" s="202"/>
      <c r="BC24" s="156"/>
      <c r="BD24" s="156" t="str">
        <f t="shared" si="0"/>
        <v>&gt;</v>
      </c>
      <c r="BE24" s="156">
        <f t="shared" si="1"/>
        <v>0</v>
      </c>
      <c r="BF24" s="156"/>
      <c r="BG24" s="156"/>
      <c r="BH24" s="156"/>
    </row>
    <row r="25" spans="1:60" ht="20.100000000000001" customHeight="1">
      <c r="A25" s="568" t="s">
        <v>18</v>
      </c>
      <c r="B25" s="569"/>
      <c r="C25" s="214"/>
      <c r="D25" s="214"/>
      <c r="E25" s="214"/>
      <c r="F25" s="215"/>
      <c r="G25" s="209"/>
      <c r="J25" s="219"/>
      <c r="K25" s="210" t="str">
        <f t="shared" si="3"/>
        <v/>
      </c>
      <c r="L25" s="207" t="str">
        <f t="shared" si="2"/>
        <v/>
      </c>
      <c r="M25" s="164" t="str">
        <f>IF(M$23="","",M22+M23)</f>
        <v/>
      </c>
      <c r="AC25" s="204"/>
      <c r="AH25" s="202"/>
      <c r="AI25" s="164"/>
      <c r="BC25" s="156"/>
      <c r="BD25" s="156" t="str">
        <f t="shared" si="0"/>
        <v>&gt;</v>
      </c>
      <c r="BE25" s="156">
        <f t="shared" si="1"/>
        <v>0</v>
      </c>
      <c r="BF25" s="156"/>
      <c r="BG25" s="156"/>
      <c r="BH25" s="156"/>
    </row>
    <row r="26" spans="1:60" ht="20.100000000000001" customHeight="1">
      <c r="A26" s="568" t="s">
        <v>19</v>
      </c>
      <c r="B26" s="569"/>
      <c r="C26" s="213"/>
      <c r="D26" s="213"/>
      <c r="E26" s="213"/>
      <c r="F26" s="220"/>
      <c r="G26" s="209"/>
      <c r="J26" s="219"/>
      <c r="K26" s="210" t="str">
        <f t="shared" si="3"/>
        <v/>
      </c>
      <c r="L26" s="207" t="str">
        <f t="shared" si="2"/>
        <v/>
      </c>
      <c r="M26" s="164" t="str">
        <f>IF(M22="","",M22-M24)</f>
        <v/>
      </c>
      <c r="AC26" s="204"/>
      <c r="AF26" s="221"/>
      <c r="AH26" s="174"/>
      <c r="BC26" s="156"/>
      <c r="BD26" s="156" t="str">
        <f t="shared" si="0"/>
        <v>&gt;</v>
      </c>
      <c r="BE26" s="156">
        <f t="shared" si="1"/>
        <v>0</v>
      </c>
      <c r="BF26" s="156"/>
      <c r="BG26" s="156"/>
      <c r="BH26" s="156"/>
    </row>
    <row r="27" spans="1:60" ht="20.100000000000001" customHeight="1">
      <c r="A27" s="568" t="s">
        <v>20</v>
      </c>
      <c r="B27" s="569"/>
      <c r="C27" s="213"/>
      <c r="D27" s="213"/>
      <c r="E27" s="213"/>
      <c r="F27" s="220"/>
      <c r="G27" s="209"/>
      <c r="J27" s="219"/>
      <c r="K27" s="210" t="str">
        <f t="shared" si="3"/>
        <v/>
      </c>
      <c r="L27" s="207" t="str">
        <f t="shared" si="2"/>
        <v/>
      </c>
      <c r="AC27" s="204"/>
      <c r="BC27" s="156"/>
      <c r="BD27" s="156" t="str">
        <f t="shared" si="0"/>
        <v>&gt;</v>
      </c>
      <c r="BE27" s="156">
        <f t="shared" si="1"/>
        <v>0</v>
      </c>
      <c r="BF27" s="156"/>
      <c r="BG27" s="156"/>
      <c r="BH27" s="156"/>
    </row>
    <row r="28" spans="1:60" ht="24" customHeight="1">
      <c r="A28" s="572" t="s">
        <v>21</v>
      </c>
      <c r="B28" s="573"/>
      <c r="C28" s="573"/>
      <c r="D28" s="573"/>
      <c r="E28" s="573"/>
      <c r="F28" s="222"/>
      <c r="G28" s="209"/>
      <c r="J28" s="219"/>
      <c r="K28" s="210" t="str">
        <f t="shared" si="3"/>
        <v/>
      </c>
      <c r="L28" s="207" t="str">
        <f t="shared" si="2"/>
        <v/>
      </c>
      <c r="AC28" s="204"/>
      <c r="AH28" s="164"/>
      <c r="AI28" s="164"/>
      <c r="BC28" s="156"/>
      <c r="BD28" s="156" t="str">
        <f t="shared" si="0"/>
        <v>&gt;</v>
      </c>
      <c r="BE28" s="156">
        <f t="shared" si="1"/>
        <v>0</v>
      </c>
      <c r="BF28" s="156"/>
      <c r="BG28" s="156"/>
      <c r="BH28" s="156"/>
    </row>
    <row r="29" spans="1:60" ht="20.100000000000001" customHeight="1">
      <c r="A29" s="568" t="s">
        <v>15</v>
      </c>
      <c r="B29" s="569"/>
      <c r="C29" s="211">
        <f>C22</f>
        <v>1</v>
      </c>
      <c r="D29" s="211">
        <f>D22</f>
        <v>2</v>
      </c>
      <c r="E29" s="211">
        <f>E22</f>
        <v>3</v>
      </c>
      <c r="F29" s="212"/>
      <c r="G29" s="209"/>
      <c r="J29" s="219"/>
      <c r="K29" s="210" t="str">
        <f t="shared" si="3"/>
        <v/>
      </c>
      <c r="L29" s="207" t="str">
        <f t="shared" si="2"/>
        <v/>
      </c>
      <c r="AC29" s="204"/>
      <c r="AF29" s="201"/>
      <c r="AH29" s="223"/>
      <c r="AI29" s="164"/>
      <c r="BC29" s="156"/>
      <c r="BD29" s="156" t="str">
        <f t="shared" si="0"/>
        <v>&gt;</v>
      </c>
      <c r="BE29" s="156">
        <f t="shared" si="1"/>
        <v>0</v>
      </c>
      <c r="BF29" s="156"/>
      <c r="BG29" s="156"/>
      <c r="BH29" s="156"/>
    </row>
    <row r="30" spans="1:60" ht="20.100000000000001" customHeight="1">
      <c r="A30" s="568" t="s">
        <v>22</v>
      </c>
      <c r="B30" s="569"/>
      <c r="C30" s="224" t="str">
        <f>IF(E5=0,"",AVERAGE($E5:$AC5,$E7:$AC7))</f>
        <v/>
      </c>
      <c r="D30" s="224" t="str">
        <f>IF($E9=0,"",AVERAGE(E9:AC9,E11:AC11))</f>
        <v/>
      </c>
      <c r="E30" s="224" t="str">
        <f>IF($E13=0,"",AVERAGE($E13:$AC13,$E15:$AC15))</f>
        <v/>
      </c>
      <c r="F30" s="225"/>
      <c r="H30" s="209"/>
      <c r="I30" s="226"/>
      <c r="J30" s="219"/>
      <c r="K30" s="210" t="str">
        <f t="shared" si="3"/>
        <v/>
      </c>
      <c r="L30" s="207" t="str">
        <f t="shared" si="2"/>
        <v/>
      </c>
      <c r="AC30" s="204"/>
      <c r="AE30" s="216"/>
      <c r="AG30" s="227"/>
      <c r="AH30" s="223"/>
      <c r="AI30" s="164"/>
      <c r="BC30" s="156"/>
      <c r="BD30" s="156" t="str">
        <f t="shared" si="0"/>
        <v>&gt;</v>
      </c>
      <c r="BE30" s="156">
        <f t="shared" si="1"/>
        <v>0</v>
      </c>
      <c r="BF30" s="156"/>
      <c r="BG30" s="156"/>
      <c r="BH30" s="156"/>
    </row>
    <row r="31" spans="1:60" ht="30.75" customHeight="1">
      <c r="A31" s="574" t="s">
        <v>23</v>
      </c>
      <c r="B31" s="569"/>
      <c r="C31" s="224" t="str">
        <f>IF(E5=0,"",STDEV($E5:$AC5,$E7:$AC7))</f>
        <v/>
      </c>
      <c r="D31" s="224" t="str">
        <f>IF(E9=0,"",STDEV($E9:$AC9,$E11:$AC11))</f>
        <v/>
      </c>
      <c r="E31" s="224" t="str">
        <f>IF(F13=0,"",STDEV($E13:$AC13,$E15:$AC15))</f>
        <v/>
      </c>
      <c r="F31" s="225"/>
      <c r="G31" s="209"/>
      <c r="J31" s="219"/>
      <c r="K31" s="210" t="str">
        <f t="shared" si="3"/>
        <v/>
      </c>
      <c r="L31" s="207" t="str">
        <f t="shared" si="2"/>
        <v/>
      </c>
      <c r="AC31" s="204"/>
      <c r="AF31" s="164"/>
      <c r="AG31" s="202"/>
      <c r="AH31" s="223"/>
      <c r="AI31" s="164"/>
      <c r="BC31" s="156"/>
      <c r="BD31" s="156" t="str">
        <f t="shared" si="0"/>
        <v>&gt;</v>
      </c>
      <c r="BE31" s="156">
        <f t="shared" si="1"/>
        <v>0</v>
      </c>
      <c r="BF31" s="156"/>
      <c r="BG31" s="156"/>
      <c r="BH31" s="156"/>
    </row>
    <row r="32" spans="1:60" ht="20.100000000000001" customHeight="1">
      <c r="A32" s="568" t="s">
        <v>24</v>
      </c>
      <c r="B32" s="569"/>
      <c r="C32" s="224" t="str">
        <f>IF(E5=0,"",MEDIAN($E5:$AC5,$E7:$AC7))</f>
        <v/>
      </c>
      <c r="D32" s="224" t="str">
        <f>IF(E9=0,"",MEDIAN($E9:$AC9,$E11:$AC11))</f>
        <v/>
      </c>
      <c r="E32" s="224" t="str">
        <f>IF(F13=0,"",MEDIAN($E13:$AC13,$E15:$AC15))</f>
        <v/>
      </c>
      <c r="F32" s="225"/>
      <c r="G32" s="209"/>
      <c r="J32" s="219"/>
      <c r="K32" s="210" t="str">
        <f t="shared" si="3"/>
        <v/>
      </c>
      <c r="L32" s="207" t="str">
        <f t="shared" si="2"/>
        <v/>
      </c>
      <c r="AC32" s="204"/>
      <c r="AF32" s="164"/>
      <c r="AG32" s="164"/>
      <c r="AH32" s="223"/>
      <c r="AI32" s="164"/>
      <c r="BC32" s="156"/>
      <c r="BD32" s="156"/>
      <c r="BE32" s="156"/>
      <c r="BF32" s="156"/>
      <c r="BG32" s="156"/>
      <c r="BH32" s="156"/>
    </row>
    <row r="33" spans="1:60" ht="20.100000000000001" customHeight="1">
      <c r="A33" s="568" t="s">
        <v>25</v>
      </c>
      <c r="B33" s="569"/>
      <c r="C33" s="224" t="str">
        <f>IF(E5=0,"",MODE($E5:$AC5,$E7:$AC7))</f>
        <v/>
      </c>
      <c r="D33" s="224" t="str">
        <f>IF(E9=0,"",MODE($E9:$AC9,$E11:$AC11))</f>
        <v/>
      </c>
      <c r="E33" s="224" t="str">
        <f>IF(F13=0,"",MODE($E13:$AC13,$E15:$AC15))</f>
        <v/>
      </c>
      <c r="F33" s="225"/>
      <c r="G33" s="209"/>
      <c r="J33" s="206"/>
      <c r="K33" s="210" t="str">
        <f t="shared" si="3"/>
        <v/>
      </c>
      <c r="L33" s="207" t="str">
        <f t="shared" si="2"/>
        <v/>
      </c>
      <c r="AC33" s="204"/>
      <c r="AG33" s="201"/>
      <c r="AH33" s="223"/>
      <c r="AI33" s="164"/>
      <c r="BC33" s="156"/>
      <c r="BD33" s="156" t="str">
        <f t="shared" ref="BD33:BD45" si="4">"&gt;"&amp;TEXT($K38,"0.000")</f>
        <v>&gt;</v>
      </c>
      <c r="BE33" s="156">
        <f t="shared" ref="BE33:BE45" si="5">COUNTIF($E$9:$AC$9,$BD33)+COUNTIF($E$11:$AC$11,$BD33)</f>
        <v>0</v>
      </c>
      <c r="BF33" s="156"/>
      <c r="BG33" s="156"/>
      <c r="BH33" s="156"/>
    </row>
    <row r="34" spans="1:60" ht="20.100000000000001" customHeight="1">
      <c r="A34" s="568" t="s">
        <v>26</v>
      </c>
      <c r="B34" s="569"/>
      <c r="C34" s="224" t="str">
        <f>IF(E5=0,"",MAX($E5:$AC5,$E7:$AC7))</f>
        <v/>
      </c>
      <c r="D34" s="224" t="str">
        <f>IF(E9=0,"",MAX($E9:$AC9,$E11:$AC11))</f>
        <v/>
      </c>
      <c r="E34" s="224" t="str">
        <f>IF(F13=0,"",MAX($E13:$AC13,$E15:$AC15))</f>
        <v/>
      </c>
      <c r="F34" s="225"/>
      <c r="J34" s="206"/>
      <c r="K34" s="206"/>
      <c r="L34" s="206"/>
      <c r="AC34" s="204"/>
      <c r="AG34" s="201"/>
      <c r="AH34" s="223"/>
      <c r="AI34" s="164"/>
      <c r="BC34" s="156"/>
      <c r="BD34" s="156" t="str">
        <f t="shared" si="4"/>
        <v>&gt;</v>
      </c>
      <c r="BE34" s="156">
        <f t="shared" si="5"/>
        <v>0</v>
      </c>
      <c r="BF34" s="156"/>
      <c r="BG34" s="156"/>
      <c r="BH34" s="156"/>
    </row>
    <row r="35" spans="1:60" ht="20.100000000000001" customHeight="1">
      <c r="A35" s="568" t="s">
        <v>27</v>
      </c>
      <c r="B35" s="569"/>
      <c r="C35" s="224" t="str">
        <f>IF(E5=0,"",MIN($E5:$AC5,$E7:$AC7))</f>
        <v/>
      </c>
      <c r="D35" s="224" t="str">
        <f>IF(E9=0,"",MIN($E9:$AC9,$E11:$AC11))</f>
        <v/>
      </c>
      <c r="E35" s="224" t="str">
        <f>IF(F13=0,"",MIN($E13:$AC13,$E15:$AC15))</f>
        <v/>
      </c>
      <c r="F35" s="225"/>
      <c r="G35" s="209"/>
      <c r="J35" s="206"/>
      <c r="K35" s="228"/>
      <c r="L35" s="229"/>
      <c r="AC35" s="204"/>
      <c r="AG35" s="201"/>
      <c r="AH35" s="223"/>
      <c r="AI35" s="164"/>
      <c r="BC35" s="156"/>
      <c r="BD35" s="156" t="str">
        <f t="shared" si="4"/>
        <v>&gt;</v>
      </c>
      <c r="BE35" s="156">
        <f t="shared" si="5"/>
        <v>0</v>
      </c>
      <c r="BF35" s="156"/>
      <c r="BG35" s="156"/>
      <c r="BH35" s="156"/>
    </row>
    <row r="36" spans="1:60" ht="20.100000000000001" customHeight="1">
      <c r="A36" s="575" t="s">
        <v>28</v>
      </c>
      <c r="B36" s="211" t="s">
        <v>29</v>
      </c>
      <c r="C36" s="230" t="str">
        <f>IF(C$31="","",(C$32-C$23)/((C$26-C$27)/2))</f>
        <v/>
      </c>
      <c r="D36" s="230" t="str">
        <f>IF(D$31="","",(D$32-D$23)/((D$26-D$27)/2))</f>
        <v/>
      </c>
      <c r="E36" s="230" t="str">
        <f>IF(E$31="","",(E$32-E$23)/((E$26-E$27)/2))</f>
        <v/>
      </c>
      <c r="F36" s="231"/>
      <c r="G36" s="209"/>
      <c r="J36" s="206"/>
      <c r="K36" s="206"/>
      <c r="L36" s="206"/>
      <c r="AC36" s="204"/>
      <c r="AG36" s="201"/>
      <c r="AH36" s="223"/>
      <c r="AI36" s="164"/>
      <c r="BC36" s="156"/>
      <c r="BD36" s="156" t="str">
        <f t="shared" si="4"/>
        <v>&gt;</v>
      </c>
      <c r="BE36" s="156">
        <f t="shared" si="5"/>
        <v>0</v>
      </c>
      <c r="BF36" s="156"/>
      <c r="BG36" s="156"/>
      <c r="BH36" s="156"/>
    </row>
    <row r="37" spans="1:60" ht="20.100000000000001" customHeight="1">
      <c r="A37" s="576"/>
      <c r="B37" s="211" t="s">
        <v>30</v>
      </c>
      <c r="C37" s="230" t="str">
        <f>IF(C$31="","",ABS((C$26-C$27))/(6*C$31))</f>
        <v/>
      </c>
      <c r="D37" s="230" t="str">
        <f>IF(D$31="","",ABS((D$26-D$27))/(6*D$31))</f>
        <v/>
      </c>
      <c r="E37" s="230" t="str">
        <f>IF(E$31="","",ABS((E$26-E$27))/(6*E$31))</f>
        <v/>
      </c>
      <c r="F37" s="231"/>
      <c r="G37" s="209"/>
      <c r="J37" s="206"/>
      <c r="K37" s="207"/>
      <c r="L37" s="207"/>
      <c r="AC37" s="204"/>
      <c r="AG37" s="201"/>
      <c r="AH37" s="223"/>
      <c r="AI37" s="164"/>
      <c r="BC37" s="156"/>
      <c r="BD37" s="156" t="str">
        <f t="shared" si="4"/>
        <v>&gt;</v>
      </c>
      <c r="BE37" s="156">
        <f t="shared" si="5"/>
        <v>0</v>
      </c>
      <c r="BF37" s="156"/>
      <c r="BG37" s="156"/>
      <c r="BH37" s="156"/>
    </row>
    <row r="38" spans="1:60" ht="20.100000000000001" customHeight="1">
      <c r="A38" s="576"/>
      <c r="B38" s="232" t="s">
        <v>31</v>
      </c>
      <c r="C38" s="233" t="str">
        <f>IF(C$31="","",(1-ABS(C$36))*C$37)</f>
        <v/>
      </c>
      <c r="D38" s="233" t="str">
        <f>IF(D$31="","",(1-ABS(D$36))*D$37)</f>
        <v/>
      </c>
      <c r="E38" s="233" t="str">
        <f>IF(E$31="","",(1-ABS(E$36))*E$37)</f>
        <v/>
      </c>
      <c r="F38" s="234"/>
      <c r="G38" s="209"/>
      <c r="I38" s="201"/>
      <c r="J38" s="206"/>
      <c r="K38" s="210" t="str">
        <f>IF(ISBLANK($E$9),"",K39-J$40)</f>
        <v/>
      </c>
      <c r="L38" s="207" t="str">
        <f t="shared" ref="L38:L50" si="6">IF(ISBLANK($E$9),"",(IF($BE33-$BE34=0,"",$BE33-$BE34)))</f>
        <v/>
      </c>
      <c r="AC38" s="204"/>
      <c r="AG38" s="201"/>
      <c r="AH38" s="223"/>
      <c r="AI38" s="164"/>
      <c r="BC38" s="156"/>
      <c r="BD38" s="156" t="str">
        <f t="shared" si="4"/>
        <v>&gt;</v>
      </c>
      <c r="BE38" s="156">
        <f t="shared" si="5"/>
        <v>0</v>
      </c>
      <c r="BF38" s="156"/>
      <c r="BG38" s="156"/>
      <c r="BH38" s="156"/>
    </row>
    <row r="39" spans="1:60" ht="12.95" customHeight="1">
      <c r="A39" s="235"/>
      <c r="B39" s="209"/>
      <c r="C39" s="209"/>
      <c r="D39" s="209"/>
      <c r="E39" s="209"/>
      <c r="F39" s="209"/>
      <c r="G39" s="209"/>
      <c r="H39" s="236" t="str">
        <f>IF(ISBLANK($E$9),"",D22)</f>
        <v/>
      </c>
      <c r="I39" s="164"/>
      <c r="J39" s="217" t="str">
        <f>IF(ISBLANK($E$9),"",D35)</f>
        <v/>
      </c>
      <c r="K39" s="210" t="str">
        <f>IF(ISBLANK($E$9),"",K40-J$40)</f>
        <v/>
      </c>
      <c r="L39" s="207" t="str">
        <f t="shared" si="6"/>
        <v/>
      </c>
      <c r="V39" s="164"/>
      <c r="AC39" s="204"/>
      <c r="AG39" s="201"/>
      <c r="AH39" s="223"/>
      <c r="BC39" s="156"/>
      <c r="BD39" s="156" t="str">
        <f t="shared" si="4"/>
        <v>&gt;</v>
      </c>
      <c r="BE39" s="156">
        <f t="shared" si="5"/>
        <v>0</v>
      </c>
      <c r="BF39" s="156"/>
      <c r="BG39" s="156"/>
      <c r="BH39" s="156"/>
    </row>
    <row r="40" spans="1:60" ht="12.95" customHeight="1">
      <c r="A40" s="235"/>
      <c r="B40" s="209"/>
      <c r="C40" s="209"/>
      <c r="D40" s="209"/>
      <c r="E40" s="209"/>
      <c r="F40" s="209"/>
      <c r="G40" s="209"/>
      <c r="I40" s="164"/>
      <c r="J40" s="237" t="str">
        <f>IF(ISBLANK($E$9),"",(D34-D35)/6)</f>
        <v/>
      </c>
      <c r="K40" s="210" t="str">
        <f>IF(ISBLANK($E$9),"",J39-0.005)</f>
        <v/>
      </c>
      <c r="L40" s="207" t="str">
        <f t="shared" si="6"/>
        <v/>
      </c>
      <c r="V40" s="164"/>
      <c r="AC40" s="204"/>
      <c r="AH40" s="223"/>
      <c r="AI40" s="164"/>
      <c r="BC40" s="156"/>
      <c r="BD40" s="156" t="str">
        <f t="shared" si="4"/>
        <v>&gt;</v>
      </c>
      <c r="BE40" s="156">
        <f t="shared" si="5"/>
        <v>0</v>
      </c>
      <c r="BF40" s="156"/>
      <c r="BG40" s="156"/>
      <c r="BH40" s="156"/>
    </row>
    <row r="41" spans="1:60" ht="12.95" customHeight="1">
      <c r="A41" s="235"/>
      <c r="B41" s="209"/>
      <c r="C41" s="209"/>
      <c r="D41" s="209"/>
      <c r="E41" s="209"/>
      <c r="F41" s="209"/>
      <c r="G41" s="209"/>
      <c r="I41" s="164" t="str">
        <f>IF(I37="","",I37-I39)</f>
        <v/>
      </c>
      <c r="J41" s="207" t="str">
        <f>IF(J37="","",J37-J39)</f>
        <v/>
      </c>
      <c r="K41" s="210" t="str">
        <f t="shared" ref="K41:K50" si="7">IF(ISBLANK($E$9),"",K40+J$40)</f>
        <v/>
      </c>
      <c r="L41" s="207" t="str">
        <f t="shared" si="6"/>
        <v/>
      </c>
      <c r="AC41" s="204"/>
      <c r="BC41" s="156"/>
      <c r="BD41" s="156" t="str">
        <f t="shared" si="4"/>
        <v>&gt;</v>
      </c>
      <c r="BE41" s="156">
        <f t="shared" si="5"/>
        <v>0</v>
      </c>
      <c r="BF41" s="156"/>
      <c r="BG41" s="156"/>
      <c r="BH41" s="156"/>
    </row>
    <row r="42" spans="1:60" ht="12.95" customHeight="1">
      <c r="A42" s="235"/>
      <c r="B42" s="209"/>
      <c r="C42" s="238"/>
      <c r="D42" s="238"/>
      <c r="E42" s="238"/>
      <c r="F42" s="209"/>
      <c r="G42" s="209"/>
      <c r="J42" s="219"/>
      <c r="K42" s="210" t="str">
        <f t="shared" si="7"/>
        <v/>
      </c>
      <c r="L42" s="207" t="str">
        <f t="shared" si="6"/>
        <v/>
      </c>
      <c r="U42" s="239"/>
      <c r="AC42" s="204"/>
      <c r="BC42" s="156"/>
      <c r="BD42" s="156" t="str">
        <f t="shared" si="4"/>
        <v>&gt;</v>
      </c>
      <c r="BE42" s="156">
        <f t="shared" si="5"/>
        <v>0</v>
      </c>
      <c r="BF42" s="156"/>
      <c r="BG42" s="156"/>
      <c r="BH42" s="156"/>
    </row>
    <row r="43" spans="1:60" ht="12.95" customHeight="1">
      <c r="A43" s="235"/>
      <c r="B43" s="209"/>
      <c r="C43" s="209"/>
      <c r="D43" s="209"/>
      <c r="E43" s="209"/>
      <c r="F43" s="209"/>
      <c r="G43" s="209"/>
      <c r="J43" s="219"/>
      <c r="K43" s="210" t="str">
        <f t="shared" si="7"/>
        <v/>
      </c>
      <c r="L43" s="207" t="str">
        <f t="shared" si="6"/>
        <v/>
      </c>
      <c r="U43" s="216"/>
      <c r="AC43" s="204"/>
      <c r="BC43" s="156"/>
      <c r="BD43" s="156" t="str">
        <f t="shared" si="4"/>
        <v>&gt;</v>
      </c>
      <c r="BE43" s="156">
        <f t="shared" si="5"/>
        <v>0</v>
      </c>
      <c r="BF43" s="156"/>
      <c r="BG43" s="156"/>
      <c r="BH43" s="156"/>
    </row>
    <row r="44" spans="1:60" ht="12.95" customHeight="1">
      <c r="A44" s="235"/>
      <c r="B44" s="209"/>
      <c r="C44" s="209"/>
      <c r="D44" s="209"/>
      <c r="E44" s="209"/>
      <c r="F44" s="209"/>
      <c r="G44" s="209"/>
      <c r="J44" s="219"/>
      <c r="K44" s="210" t="str">
        <f t="shared" si="7"/>
        <v/>
      </c>
      <c r="L44" s="207" t="str">
        <f t="shared" si="6"/>
        <v/>
      </c>
      <c r="AC44" s="204"/>
      <c r="BC44" s="156"/>
      <c r="BD44" s="156" t="str">
        <f t="shared" si="4"/>
        <v>&gt;</v>
      </c>
      <c r="BE44" s="156">
        <f t="shared" si="5"/>
        <v>0</v>
      </c>
      <c r="BF44" s="156"/>
      <c r="BG44" s="156"/>
      <c r="BH44" s="156"/>
    </row>
    <row r="45" spans="1:60" ht="12.95" customHeight="1">
      <c r="A45" s="240"/>
      <c r="B45" s="226"/>
      <c r="C45" s="226"/>
      <c r="D45" s="226"/>
      <c r="E45" s="226"/>
      <c r="F45" s="226"/>
      <c r="G45" s="226"/>
      <c r="J45" s="219"/>
      <c r="K45" s="210" t="str">
        <f t="shared" si="7"/>
        <v/>
      </c>
      <c r="L45" s="207" t="str">
        <f t="shared" si="6"/>
        <v/>
      </c>
      <c r="AC45" s="204"/>
      <c r="BC45" s="156"/>
      <c r="BD45" s="156" t="str">
        <f t="shared" si="4"/>
        <v>&gt;</v>
      </c>
      <c r="BE45" s="156">
        <f t="shared" si="5"/>
        <v>0</v>
      </c>
      <c r="BF45" s="156"/>
      <c r="BG45" s="156"/>
      <c r="BH45" s="156"/>
    </row>
    <row r="46" spans="1:60" ht="12.95" customHeight="1">
      <c r="A46" s="203"/>
      <c r="J46" s="219"/>
      <c r="K46" s="210" t="str">
        <f t="shared" si="7"/>
        <v/>
      </c>
      <c r="L46" s="207" t="str">
        <f t="shared" si="6"/>
        <v/>
      </c>
      <c r="AC46" s="204"/>
      <c r="BC46" s="156"/>
      <c r="BD46" s="156"/>
      <c r="BE46" s="156"/>
      <c r="BF46" s="156"/>
      <c r="BG46" s="156"/>
      <c r="BH46" s="156"/>
    </row>
    <row r="47" spans="1:60" ht="12.95" customHeight="1">
      <c r="A47" s="203"/>
      <c r="J47" s="219"/>
      <c r="K47" s="210" t="str">
        <f t="shared" si="7"/>
        <v/>
      </c>
      <c r="L47" s="207" t="str">
        <f t="shared" si="6"/>
        <v/>
      </c>
      <c r="AC47" s="204"/>
      <c r="BC47" s="156"/>
      <c r="BD47" s="156"/>
      <c r="BE47" s="156"/>
      <c r="BF47" s="156"/>
      <c r="BG47" s="156"/>
      <c r="BH47" s="156"/>
    </row>
    <row r="48" spans="1:60" ht="12.95" customHeight="1">
      <c r="A48" s="203"/>
      <c r="J48" s="219"/>
      <c r="K48" s="210" t="str">
        <f t="shared" si="7"/>
        <v/>
      </c>
      <c r="L48" s="207" t="str">
        <f t="shared" si="6"/>
        <v/>
      </c>
      <c r="AC48" s="204"/>
      <c r="BC48" s="156"/>
      <c r="BD48" s="156"/>
      <c r="BE48" s="156"/>
      <c r="BF48" s="156"/>
      <c r="BG48" s="156"/>
      <c r="BH48" s="156"/>
    </row>
    <row r="49" spans="1:60" ht="12.95" customHeight="1">
      <c r="A49" s="203"/>
      <c r="J49" s="206"/>
      <c r="K49" s="210" t="str">
        <f t="shared" si="7"/>
        <v/>
      </c>
      <c r="L49" s="207" t="str">
        <f t="shared" si="6"/>
        <v/>
      </c>
      <c r="AC49" s="204"/>
      <c r="BC49" s="156"/>
      <c r="BD49" s="156"/>
      <c r="BE49" s="156"/>
      <c r="BF49" s="156"/>
      <c r="BG49" s="156"/>
      <c r="BH49" s="156"/>
    </row>
    <row r="50" spans="1:60" ht="12.95" customHeight="1">
      <c r="A50" s="203"/>
      <c r="J50" s="206"/>
      <c r="K50" s="210" t="str">
        <f t="shared" si="7"/>
        <v/>
      </c>
      <c r="L50" s="207" t="str">
        <f t="shared" si="6"/>
        <v/>
      </c>
      <c r="AC50" s="204"/>
      <c r="BC50" s="156"/>
      <c r="BD50" s="156"/>
      <c r="BE50" s="156"/>
      <c r="BF50" s="156"/>
      <c r="BG50" s="156"/>
      <c r="BH50" s="156"/>
    </row>
    <row r="51" spans="1:60" ht="12.95" customHeight="1">
      <c r="A51" s="203"/>
      <c r="J51" s="206"/>
      <c r="K51" s="206"/>
      <c r="L51" s="206"/>
      <c r="AC51" s="204"/>
      <c r="BC51" s="156"/>
      <c r="BD51" s="156"/>
      <c r="BE51" s="156"/>
      <c r="BF51" s="156"/>
      <c r="BG51" s="156"/>
      <c r="BH51" s="156"/>
    </row>
    <row r="52" spans="1:60" ht="12.95" customHeight="1">
      <c r="A52" s="203"/>
      <c r="J52" s="206"/>
      <c r="K52" s="206"/>
      <c r="L52" s="206"/>
      <c r="AC52" s="204"/>
      <c r="BC52" s="156"/>
      <c r="BD52" s="156"/>
      <c r="BE52" s="156"/>
      <c r="BF52" s="156"/>
      <c r="BG52" s="156"/>
      <c r="BH52" s="156"/>
    </row>
    <row r="53" spans="1:60" ht="12.95" customHeight="1">
      <c r="A53" s="203"/>
      <c r="G53" s="209"/>
      <c r="J53" s="206"/>
      <c r="K53" s="206"/>
      <c r="L53" s="206"/>
      <c r="AC53" s="204"/>
      <c r="BC53" s="156"/>
      <c r="BD53" s="156"/>
      <c r="BE53" s="156"/>
      <c r="BF53" s="156"/>
      <c r="BG53" s="156"/>
      <c r="BH53" s="156"/>
    </row>
    <row r="54" spans="1:60" ht="14.1" customHeight="1">
      <c r="A54" s="203"/>
      <c r="F54" s="164"/>
      <c r="G54" s="209"/>
      <c r="J54" s="206"/>
      <c r="K54" s="206"/>
      <c r="L54" s="206"/>
      <c r="AC54" s="204"/>
      <c r="BC54" s="156"/>
      <c r="BD54" s="156"/>
      <c r="BE54" s="156"/>
      <c r="BF54" s="156"/>
      <c r="BG54" s="156"/>
      <c r="BH54" s="156"/>
    </row>
    <row r="55" spans="1:60" ht="14.1" customHeight="1">
      <c r="A55" s="203"/>
      <c r="G55" s="209"/>
      <c r="J55" s="206"/>
      <c r="K55" s="218"/>
      <c r="L55" s="218"/>
      <c r="M55" s="199"/>
      <c r="N55" s="199"/>
      <c r="O55" s="199"/>
      <c r="P55" s="199"/>
      <c r="Q55" s="199"/>
      <c r="AC55" s="204"/>
      <c r="BC55" s="156" t="str">
        <f t="shared" ref="BC55:BC67" si="8">"&gt;"&amp;TEXT(K57,"0.000")</f>
        <v>&gt;</v>
      </c>
      <c r="BD55" s="156">
        <f t="shared" ref="BD55:BD67" si="9">COUNTIF($E$13:$AC$13,$BC55)+COUNTIF($E$15:$AC$15,$BC55)</f>
        <v>0</v>
      </c>
      <c r="BE55" s="156"/>
      <c r="BF55" s="156"/>
      <c r="BG55" s="156"/>
      <c r="BH55" s="156"/>
    </row>
    <row r="56" spans="1:60" ht="14.1" customHeight="1">
      <c r="A56" s="203"/>
      <c r="G56" s="209"/>
      <c r="J56" s="206"/>
      <c r="K56" s="207"/>
      <c r="L56" s="207"/>
      <c r="AC56" s="204"/>
      <c r="BC56" s="156" t="str">
        <f t="shared" si="8"/>
        <v>&gt;</v>
      </c>
      <c r="BD56" s="156">
        <f t="shared" si="9"/>
        <v>0</v>
      </c>
      <c r="BE56" s="156"/>
      <c r="BF56" s="156"/>
      <c r="BG56" s="156"/>
      <c r="BH56" s="156"/>
    </row>
    <row r="57" spans="1:60" ht="14.1" customHeight="1">
      <c r="A57" s="203"/>
      <c r="G57" s="209"/>
      <c r="J57" s="206"/>
      <c r="K57" s="210" t="str">
        <f>IF(ISBLANK($E$13),"",K58-J60)</f>
        <v/>
      </c>
      <c r="L57" s="207" t="str">
        <f t="shared" ref="L57:L69" si="10">IF(ISBLANK($E$13),"",(IF($BD55-$BD56=0,"",$BD55-$BD56)))</f>
        <v/>
      </c>
      <c r="AC57" s="204"/>
      <c r="BC57" s="156" t="str">
        <f t="shared" si="8"/>
        <v>&gt;</v>
      </c>
      <c r="BD57" s="156">
        <f t="shared" si="9"/>
        <v>0</v>
      </c>
      <c r="BE57" s="156"/>
      <c r="BF57" s="156"/>
      <c r="BG57" s="156"/>
      <c r="BH57" s="156"/>
    </row>
    <row r="58" spans="1:60" ht="14.1" customHeight="1">
      <c r="A58" s="203"/>
      <c r="G58" s="209"/>
      <c r="I58" s="201"/>
      <c r="J58" s="206"/>
      <c r="K58" s="210" t="str">
        <f>IF(ISBLANK($E$13),"",K59-J60)</f>
        <v/>
      </c>
      <c r="L58" s="207" t="str">
        <f t="shared" si="10"/>
        <v/>
      </c>
      <c r="AC58" s="204"/>
      <c r="BC58" s="156" t="str">
        <f t="shared" si="8"/>
        <v>&gt;</v>
      </c>
      <c r="BD58" s="156">
        <f t="shared" si="9"/>
        <v>0</v>
      </c>
      <c r="BE58" s="156"/>
      <c r="BF58" s="156"/>
      <c r="BG58" s="156"/>
      <c r="BH58" s="156"/>
    </row>
    <row r="59" spans="1:60" ht="14.1" customHeight="1">
      <c r="A59" s="203"/>
      <c r="G59" s="209"/>
      <c r="H59" s="236" t="str">
        <f>IF(ISBLANK($E$13),"",E22)</f>
        <v/>
      </c>
      <c r="I59" s="164"/>
      <c r="J59" s="217" t="str">
        <f>IF(ISBLANK($E$13),"",E35)</f>
        <v/>
      </c>
      <c r="K59" s="210" t="str">
        <f>IF(ISBLANK($E$13),"",J59-0.005)</f>
        <v/>
      </c>
      <c r="L59" s="207" t="str">
        <f t="shared" si="10"/>
        <v/>
      </c>
      <c r="AC59" s="204"/>
      <c r="BC59" s="156" t="str">
        <f t="shared" si="8"/>
        <v>&gt;</v>
      </c>
      <c r="BD59" s="156">
        <f t="shared" si="9"/>
        <v>0</v>
      </c>
      <c r="BE59" s="156"/>
      <c r="BF59" s="156"/>
      <c r="BG59" s="156"/>
      <c r="BH59" s="156"/>
    </row>
    <row r="60" spans="1:60" ht="14.1" customHeight="1">
      <c r="A60" s="203"/>
      <c r="G60" s="209"/>
      <c r="I60" s="164"/>
      <c r="J60" s="237" t="str">
        <f>IF(ISBLANK($E$13),"",(E34-E35)/6)</f>
        <v/>
      </c>
      <c r="K60" s="210" t="str">
        <f>IF(ISBLANK($E$13),"",K59+J60)</f>
        <v/>
      </c>
      <c r="L60" s="207" t="str">
        <f t="shared" si="10"/>
        <v/>
      </c>
      <c r="AC60" s="204"/>
      <c r="BC60" s="156" t="str">
        <f t="shared" si="8"/>
        <v>&gt;</v>
      </c>
      <c r="BD60" s="156">
        <f t="shared" si="9"/>
        <v>0</v>
      </c>
      <c r="BE60" s="156"/>
      <c r="BF60" s="156"/>
      <c r="BG60" s="156"/>
      <c r="BH60" s="156"/>
    </row>
    <row r="61" spans="1:60" ht="9.75" customHeight="1">
      <c r="A61" s="203"/>
      <c r="G61" s="209"/>
      <c r="I61" s="164" t="str">
        <f>IF(I57="","",I57-I59)</f>
        <v/>
      </c>
      <c r="J61" s="207" t="str">
        <f>IF(J57="","",J57-J59)</f>
        <v/>
      </c>
      <c r="K61" s="210" t="str">
        <f t="shared" ref="K61:K69" si="11">IF(ISBLANK($E$13),"",K60+J$60)</f>
        <v/>
      </c>
      <c r="L61" s="207" t="str">
        <f t="shared" si="10"/>
        <v/>
      </c>
      <c r="AC61" s="204"/>
      <c r="BC61" s="156" t="str">
        <f t="shared" si="8"/>
        <v>&gt;</v>
      </c>
      <c r="BD61" s="156">
        <f t="shared" si="9"/>
        <v>0</v>
      </c>
      <c r="BE61" s="156"/>
      <c r="BF61" s="156"/>
      <c r="BG61" s="156"/>
      <c r="BH61" s="156"/>
    </row>
    <row r="62" spans="1:60" ht="13.5" hidden="1" customHeight="1">
      <c r="A62" s="203"/>
      <c r="G62" s="209"/>
      <c r="J62" s="219"/>
      <c r="K62" s="210" t="str">
        <f t="shared" si="11"/>
        <v/>
      </c>
      <c r="L62" s="207" t="str">
        <f t="shared" si="10"/>
        <v/>
      </c>
      <c r="AC62" s="204"/>
      <c r="BC62" s="156" t="str">
        <f t="shared" si="8"/>
        <v>&gt;</v>
      </c>
      <c r="BD62" s="156">
        <f t="shared" si="9"/>
        <v>0</v>
      </c>
      <c r="BE62" s="156"/>
      <c r="BF62" s="156"/>
      <c r="BG62" s="156"/>
      <c r="BH62" s="156"/>
    </row>
    <row r="63" spans="1:60" ht="14.1" customHeight="1">
      <c r="A63" s="203"/>
      <c r="G63" s="209"/>
      <c r="J63" s="219"/>
      <c r="K63" s="210" t="str">
        <f t="shared" si="11"/>
        <v/>
      </c>
      <c r="L63" s="207" t="str">
        <f t="shared" si="10"/>
        <v/>
      </c>
      <c r="AC63" s="204"/>
      <c r="BC63" s="156" t="str">
        <f t="shared" si="8"/>
        <v>&gt;</v>
      </c>
      <c r="BD63" s="156">
        <f t="shared" si="9"/>
        <v>0</v>
      </c>
      <c r="BE63" s="156"/>
      <c r="BF63" s="156"/>
      <c r="BG63" s="156"/>
      <c r="BH63" s="156"/>
    </row>
    <row r="64" spans="1:60" ht="14.1" customHeight="1" thickBot="1">
      <c r="A64" s="241"/>
      <c r="B64" s="242"/>
      <c r="C64" s="243"/>
      <c r="D64" s="243"/>
      <c r="E64" s="243"/>
      <c r="F64" s="243"/>
      <c r="G64" s="244"/>
      <c r="H64" s="243"/>
      <c r="I64" s="243"/>
      <c r="J64" s="245"/>
      <c r="K64" s="246" t="str">
        <f t="shared" si="11"/>
        <v/>
      </c>
      <c r="L64" s="247" t="str">
        <f t="shared" si="10"/>
        <v/>
      </c>
      <c r="M64" s="243"/>
      <c r="N64" s="243"/>
      <c r="O64" s="243"/>
      <c r="P64" s="243"/>
      <c r="Q64" s="243"/>
      <c r="R64" s="243"/>
      <c r="S64" s="243"/>
      <c r="T64" s="243"/>
      <c r="U64" s="243"/>
      <c r="V64" s="243"/>
      <c r="W64" s="243"/>
      <c r="X64" s="243"/>
      <c r="Y64" s="243"/>
      <c r="Z64" s="243"/>
      <c r="AA64" s="243"/>
      <c r="AB64" s="243"/>
      <c r="AC64" s="248"/>
      <c r="BC64" s="156" t="str">
        <f t="shared" si="8"/>
        <v>&gt;</v>
      </c>
      <c r="BD64" s="156">
        <f t="shared" si="9"/>
        <v>0</v>
      </c>
      <c r="BE64" s="156"/>
      <c r="BF64" s="156"/>
      <c r="BG64" s="156"/>
      <c r="BH64" s="156"/>
    </row>
    <row r="65" spans="1:60" ht="21.75" customHeight="1">
      <c r="A65" s="577" t="s">
        <v>111</v>
      </c>
      <c r="B65" s="577"/>
      <c r="C65" s="577"/>
      <c r="D65" s="577"/>
      <c r="G65" s="249"/>
      <c r="J65" s="219"/>
      <c r="K65" s="210" t="str">
        <f t="shared" si="11"/>
        <v/>
      </c>
      <c r="L65" s="207" t="s">
        <v>88</v>
      </c>
      <c r="M65" s="250" t="s">
        <v>90</v>
      </c>
      <c r="BC65" s="156" t="str">
        <f t="shared" si="8"/>
        <v>&gt;</v>
      </c>
      <c r="BD65" s="156">
        <f t="shared" si="9"/>
        <v>0</v>
      </c>
      <c r="BE65" s="156"/>
      <c r="BF65" s="156"/>
      <c r="BG65" s="156"/>
      <c r="BH65" s="156"/>
    </row>
    <row r="66" spans="1:60" ht="14.1" customHeight="1">
      <c r="A66" s="578"/>
      <c r="B66" s="578"/>
      <c r="C66" s="578"/>
      <c r="D66" s="578"/>
      <c r="G66" s="249"/>
      <c r="J66" s="219"/>
      <c r="K66" s="210" t="str">
        <f t="shared" si="11"/>
        <v/>
      </c>
      <c r="L66" s="207" t="str">
        <f t="shared" si="10"/>
        <v/>
      </c>
      <c r="BC66" s="156" t="str">
        <f t="shared" si="8"/>
        <v>&gt;</v>
      </c>
      <c r="BD66" s="156">
        <f t="shared" si="9"/>
        <v>0</v>
      </c>
      <c r="BE66" s="156"/>
      <c r="BF66" s="156"/>
      <c r="BG66" s="156"/>
      <c r="BH66" s="156"/>
    </row>
    <row r="67" spans="1:60" ht="14.1" customHeight="1">
      <c r="G67" s="249"/>
      <c r="J67" s="219"/>
      <c r="K67" s="210" t="str">
        <f t="shared" si="11"/>
        <v/>
      </c>
      <c r="L67" s="207" t="str">
        <f t="shared" si="10"/>
        <v/>
      </c>
      <c r="BC67" s="156" t="str">
        <f t="shared" si="8"/>
        <v>&gt;</v>
      </c>
      <c r="BD67" s="156">
        <f t="shared" si="9"/>
        <v>0</v>
      </c>
      <c r="BE67" s="156"/>
      <c r="BF67" s="156"/>
      <c r="BG67" s="156"/>
      <c r="BH67" s="156"/>
    </row>
    <row r="68" spans="1:60" ht="14.1" customHeight="1">
      <c r="G68" s="249"/>
      <c r="J68" s="219"/>
      <c r="K68" s="210" t="str">
        <f t="shared" si="11"/>
        <v/>
      </c>
      <c r="L68" s="207" t="str">
        <f t="shared" si="10"/>
        <v/>
      </c>
      <c r="BC68" s="156"/>
      <c r="BD68" s="156"/>
      <c r="BE68" s="156"/>
      <c r="BF68" s="156"/>
      <c r="BG68" s="156"/>
      <c r="BH68" s="156"/>
    </row>
    <row r="69" spans="1:60" ht="14.1" customHeight="1">
      <c r="G69" s="249"/>
      <c r="J69" s="206"/>
      <c r="K69" s="210" t="str">
        <f t="shared" si="11"/>
        <v/>
      </c>
      <c r="L69" s="207" t="str">
        <f t="shared" si="10"/>
        <v/>
      </c>
      <c r="BC69" s="156"/>
      <c r="BD69" s="156"/>
      <c r="BE69" s="156"/>
      <c r="BF69" s="156"/>
      <c r="BG69" s="156"/>
      <c r="BH69" s="156"/>
    </row>
    <row r="70" spans="1:60" ht="14.1" customHeight="1">
      <c r="G70" s="249"/>
      <c r="J70" s="207"/>
      <c r="K70" s="206"/>
      <c r="L70" s="206"/>
      <c r="BC70" s="156"/>
      <c r="BD70" s="156"/>
      <c r="BE70" s="156"/>
      <c r="BF70" s="156"/>
      <c r="BG70" s="156"/>
      <c r="BH70" s="156"/>
    </row>
    <row r="71" spans="1:60" ht="20.25" customHeight="1">
      <c r="G71" s="249"/>
      <c r="J71" s="164"/>
      <c r="BC71" s="156"/>
      <c r="BD71" s="156"/>
      <c r="BE71" s="156"/>
      <c r="BF71" s="156"/>
      <c r="BG71" s="156"/>
      <c r="BH71" s="156"/>
    </row>
    <row r="72" spans="1:60" s="249" customFormat="1" ht="14.1" customHeight="1"/>
    <row r="73" spans="1:60" s="249" customFormat="1" ht="14.1" customHeight="1"/>
    <row r="74" spans="1:60" s="249" customFormat="1" ht="14.1" customHeight="1"/>
    <row r="75" spans="1:60" s="249" customFormat="1" ht="14.1" customHeight="1"/>
    <row r="76" spans="1:60" s="249" customFormat="1" ht="14.1" customHeight="1"/>
    <row r="77" spans="1:60" s="249" customFormat="1" ht="14.1" customHeight="1"/>
    <row r="78" spans="1:60" s="249" customFormat="1" ht="14.1" customHeight="1"/>
    <row r="79" spans="1:60" s="249" customFormat="1" ht="14.1" customHeight="1"/>
    <row r="80" spans="1:60" s="249" customFormat="1" ht="14.1" customHeight="1"/>
    <row r="81" s="249" customFormat="1" ht="14.1" customHeight="1"/>
    <row r="82" s="249" customFormat="1" ht="14.1" customHeight="1"/>
    <row r="83" s="249" customFormat="1" ht="14.1" customHeight="1"/>
    <row r="84" s="249" customFormat="1" ht="14.1" customHeight="1"/>
    <row r="85" s="249" customFormat="1" ht="14.1" customHeight="1"/>
    <row r="86" s="249" customFormat="1" ht="14.1" customHeight="1"/>
    <row r="87" s="249" customFormat="1" ht="14.1" customHeight="1"/>
    <row r="88" s="249" customFormat="1" ht="14.1" customHeight="1"/>
    <row r="89" s="249" customFormat="1" ht="14.1" customHeight="1"/>
    <row r="90" s="249" customFormat="1" ht="14.1" customHeight="1"/>
    <row r="91" s="249" customFormat="1" ht="14.1" customHeight="1"/>
    <row r="92" s="249" customFormat="1" ht="14.1" customHeight="1"/>
    <row r="93" s="249" customFormat="1" ht="14.1" customHeight="1"/>
    <row r="94" s="249" customFormat="1" ht="14.1" customHeight="1"/>
    <row r="95" s="249" customFormat="1" ht="14.1" customHeight="1"/>
    <row r="96" s="249" customFormat="1" ht="14.1" customHeight="1"/>
    <row r="97" spans="55:60" s="249" customFormat="1" ht="14.1" customHeight="1"/>
    <row r="98" spans="55:60" s="249" customFormat="1" ht="14.1" customHeight="1"/>
    <row r="99" spans="55:60" s="249" customFormat="1" ht="14.1" customHeight="1"/>
    <row r="100" spans="55:60" s="249" customFormat="1" ht="14.1" customHeight="1"/>
    <row r="101" spans="55:60" s="249" customFormat="1" ht="14.1" customHeight="1"/>
    <row r="102" spans="55:60" s="249" customFormat="1" ht="14.1" customHeight="1"/>
    <row r="103" spans="55:60" s="249" customFormat="1" ht="14.1" customHeight="1"/>
    <row r="104" spans="55:60" s="249" customFormat="1" ht="14.1" customHeight="1"/>
    <row r="105" spans="55:60" s="249" customFormat="1" ht="14.1" customHeight="1"/>
    <row r="106" spans="55:60" s="249" customFormat="1" ht="14.1" customHeight="1"/>
    <row r="107" spans="55:60" s="249" customFormat="1" ht="14.1" customHeight="1"/>
    <row r="108" spans="55:60" s="249" customFormat="1" ht="14.1" customHeight="1"/>
    <row r="109" spans="55:60" s="249" customFormat="1" ht="14.1" customHeight="1"/>
    <row r="110" spans="55:60" s="249" customFormat="1" ht="14.1" customHeight="1"/>
    <row r="111" spans="55:60" s="249" customFormat="1" ht="14.1" customHeight="1"/>
    <row r="112" spans="55:60" ht="14.1" customHeight="1">
      <c r="BC112" s="156"/>
      <c r="BD112" s="156"/>
      <c r="BE112" s="156"/>
      <c r="BF112" s="156"/>
      <c r="BG112" s="156"/>
      <c r="BH112" s="156"/>
    </row>
    <row r="113" spans="55:60" ht="14.1" customHeight="1">
      <c r="BC113" s="156"/>
      <c r="BD113" s="156"/>
      <c r="BE113" s="156"/>
      <c r="BF113" s="156"/>
      <c r="BG113" s="156"/>
      <c r="BH113" s="156"/>
    </row>
    <row r="114" spans="55:60" ht="14.1" customHeight="1">
      <c r="BC114" s="156"/>
      <c r="BD114" s="156"/>
      <c r="BE114" s="156"/>
      <c r="BF114" s="156"/>
      <c r="BG114" s="156"/>
      <c r="BH114" s="156"/>
    </row>
    <row r="115" spans="55:60">
      <c r="BC115" s="156"/>
      <c r="BD115" s="156"/>
      <c r="BE115" s="156"/>
      <c r="BF115" s="156"/>
      <c r="BG115" s="156"/>
      <c r="BH115" s="156"/>
    </row>
    <row r="116" spans="55:60">
      <c r="BC116" s="156"/>
      <c r="BD116" s="156"/>
      <c r="BE116" s="156"/>
      <c r="BF116" s="156"/>
      <c r="BG116" s="156"/>
      <c r="BH116" s="156"/>
    </row>
    <row r="117" spans="55:60">
      <c r="BC117" s="156"/>
      <c r="BD117" s="156"/>
      <c r="BE117" s="156"/>
      <c r="BF117" s="156"/>
      <c r="BG117" s="156"/>
      <c r="BH117" s="156"/>
    </row>
    <row r="118" spans="55:60">
      <c r="BC118" s="156"/>
      <c r="BD118" s="156"/>
      <c r="BE118" s="156"/>
      <c r="BF118" s="156"/>
      <c r="BG118" s="156"/>
      <c r="BH118" s="156"/>
    </row>
    <row r="119" spans="55:60">
      <c r="BC119" s="156"/>
      <c r="BD119" s="156"/>
      <c r="BE119" s="156"/>
      <c r="BF119" s="156"/>
      <c r="BG119" s="156"/>
      <c r="BH119" s="156"/>
    </row>
    <row r="120" spans="55:60">
      <c r="BC120" s="156"/>
      <c r="BD120" s="156"/>
      <c r="BE120" s="156"/>
      <c r="BF120" s="156"/>
      <c r="BG120" s="156"/>
      <c r="BH120" s="156"/>
    </row>
    <row r="121" spans="55:60">
      <c r="BC121" s="156"/>
      <c r="BD121" s="156"/>
      <c r="BE121" s="156"/>
      <c r="BF121" s="156"/>
      <c r="BG121" s="156"/>
      <c r="BH121" s="156"/>
    </row>
    <row r="122" spans="55:60">
      <c r="BC122" s="156"/>
      <c r="BD122" s="156"/>
      <c r="BE122" s="156"/>
      <c r="BF122" s="156"/>
      <c r="BG122" s="156"/>
      <c r="BH122" s="156"/>
    </row>
    <row r="123" spans="55:60">
      <c r="BC123" s="156"/>
      <c r="BD123" s="156"/>
      <c r="BE123" s="156"/>
      <c r="BF123" s="156"/>
      <c r="BG123" s="156"/>
      <c r="BH123" s="156"/>
    </row>
    <row r="124" spans="55:60">
      <c r="BC124" s="156"/>
      <c r="BD124" s="156"/>
      <c r="BE124" s="156"/>
      <c r="BF124" s="156"/>
      <c r="BG124" s="156"/>
      <c r="BH124" s="156"/>
    </row>
    <row r="125" spans="55:60">
      <c r="BC125" s="156"/>
      <c r="BD125" s="156"/>
      <c r="BE125" s="156"/>
      <c r="BF125" s="156"/>
      <c r="BG125" s="156"/>
      <c r="BH125" s="156"/>
    </row>
    <row r="126" spans="55:60">
      <c r="BC126" s="156"/>
      <c r="BD126" s="156"/>
      <c r="BE126" s="156"/>
      <c r="BF126" s="156"/>
      <c r="BG126" s="156"/>
      <c r="BH126" s="156"/>
    </row>
    <row r="127" spans="55:60">
      <c r="BC127" s="156"/>
      <c r="BD127" s="156"/>
      <c r="BE127" s="156"/>
      <c r="BF127" s="156"/>
      <c r="BG127" s="156"/>
      <c r="BH127" s="156"/>
    </row>
    <row r="128" spans="55:60">
      <c r="BC128" s="156"/>
      <c r="BD128" s="156"/>
      <c r="BE128" s="156"/>
      <c r="BF128" s="156"/>
      <c r="BG128" s="156"/>
      <c r="BH128" s="156"/>
    </row>
    <row r="129" spans="55:60">
      <c r="BC129" s="156"/>
      <c r="BD129" s="156"/>
      <c r="BE129" s="156"/>
      <c r="BF129" s="156"/>
      <c r="BG129" s="156"/>
      <c r="BH129" s="156"/>
    </row>
    <row r="130" spans="55:60">
      <c r="BC130" s="156"/>
      <c r="BD130" s="156"/>
      <c r="BE130" s="156"/>
      <c r="BF130" s="156"/>
      <c r="BG130" s="156"/>
      <c r="BH130" s="156"/>
    </row>
    <row r="131" spans="55:60">
      <c r="BC131" s="156"/>
      <c r="BD131" s="156"/>
      <c r="BE131" s="156"/>
      <c r="BF131" s="156"/>
      <c r="BG131" s="156"/>
      <c r="BH131" s="156"/>
    </row>
    <row r="132" spans="55:60">
      <c r="BC132" s="156"/>
      <c r="BD132" s="156"/>
      <c r="BE132" s="156"/>
      <c r="BF132" s="156"/>
      <c r="BG132" s="156"/>
      <c r="BH132" s="156"/>
    </row>
    <row r="133" spans="55:60">
      <c r="BC133" s="156"/>
      <c r="BD133" s="156"/>
      <c r="BE133" s="156"/>
      <c r="BF133" s="156"/>
      <c r="BG133" s="156"/>
      <c r="BH133" s="156"/>
    </row>
    <row r="134" spans="55:60">
      <c r="BC134" s="156"/>
      <c r="BD134" s="156"/>
      <c r="BE134" s="156"/>
      <c r="BF134" s="156"/>
      <c r="BG134" s="156"/>
      <c r="BH134" s="156"/>
    </row>
    <row r="135" spans="55:60">
      <c r="BC135" s="156"/>
      <c r="BD135" s="156"/>
      <c r="BE135" s="156"/>
      <c r="BF135" s="156"/>
      <c r="BG135" s="156"/>
      <c r="BH135" s="156"/>
    </row>
    <row r="136" spans="55:60">
      <c r="BC136" s="156"/>
      <c r="BD136" s="156"/>
      <c r="BE136" s="156"/>
      <c r="BF136" s="156"/>
      <c r="BG136" s="156"/>
      <c r="BH136" s="156"/>
    </row>
    <row r="137" spans="55:60">
      <c r="BC137" s="156"/>
      <c r="BD137" s="156"/>
      <c r="BE137" s="156"/>
      <c r="BF137" s="156"/>
      <c r="BG137" s="156"/>
      <c r="BH137" s="156"/>
    </row>
    <row r="138" spans="55:60">
      <c r="BC138" s="156"/>
      <c r="BD138" s="156"/>
      <c r="BE138" s="156"/>
      <c r="BF138" s="156"/>
      <c r="BG138" s="156"/>
      <c r="BH138" s="156"/>
    </row>
    <row r="139" spans="55:60">
      <c r="BC139" s="156"/>
      <c r="BD139" s="156"/>
      <c r="BE139" s="156"/>
      <c r="BF139" s="156"/>
      <c r="BG139" s="156"/>
      <c r="BH139" s="156"/>
    </row>
    <row r="140" spans="55:60">
      <c r="BC140" s="156"/>
      <c r="BD140" s="156"/>
      <c r="BE140" s="156"/>
      <c r="BF140" s="156"/>
      <c r="BG140" s="156"/>
      <c r="BH140" s="156"/>
    </row>
    <row r="141" spans="55:60">
      <c r="BC141" s="156"/>
      <c r="BD141" s="156"/>
      <c r="BE141" s="156"/>
      <c r="BF141" s="156"/>
      <c r="BG141" s="156"/>
      <c r="BH141" s="156"/>
    </row>
    <row r="142" spans="55:60">
      <c r="BC142" s="156"/>
      <c r="BD142" s="156"/>
      <c r="BE142" s="156"/>
      <c r="BF142" s="156"/>
      <c r="BG142" s="156"/>
      <c r="BH142" s="156"/>
    </row>
    <row r="143" spans="55:60">
      <c r="BC143" s="156"/>
      <c r="BD143" s="156"/>
      <c r="BE143" s="156"/>
      <c r="BF143" s="156"/>
      <c r="BG143" s="156"/>
      <c r="BH143" s="156"/>
    </row>
    <row r="144" spans="55:60">
      <c r="BC144" s="156"/>
      <c r="BD144" s="156"/>
      <c r="BE144" s="156"/>
      <c r="BF144" s="156"/>
      <c r="BG144" s="156"/>
      <c r="BH144" s="156"/>
    </row>
    <row r="145" spans="55:60">
      <c r="BC145" s="156"/>
      <c r="BD145" s="156"/>
      <c r="BE145" s="156"/>
      <c r="BF145" s="156"/>
      <c r="BG145" s="156"/>
      <c r="BH145" s="156"/>
    </row>
    <row r="146" spans="55:60">
      <c r="BC146" s="156"/>
      <c r="BD146" s="156"/>
      <c r="BE146" s="156"/>
      <c r="BF146" s="156"/>
      <c r="BG146" s="156"/>
      <c r="BH146" s="156"/>
    </row>
    <row r="147" spans="55:60">
      <c r="BC147" s="156"/>
      <c r="BD147" s="156"/>
      <c r="BE147" s="156"/>
      <c r="BF147" s="156"/>
      <c r="BG147" s="156"/>
      <c r="BH147" s="156"/>
    </row>
    <row r="148" spans="55:60">
      <c r="BC148" s="156"/>
      <c r="BD148" s="156"/>
      <c r="BE148" s="156"/>
      <c r="BF148" s="156"/>
      <c r="BG148" s="156"/>
      <c r="BH148" s="156"/>
    </row>
    <row r="149" spans="55:60">
      <c r="BC149" s="156"/>
      <c r="BD149" s="156"/>
      <c r="BE149" s="156"/>
      <c r="BF149" s="156"/>
      <c r="BG149" s="156"/>
      <c r="BH149" s="156"/>
    </row>
    <row r="150" spans="55:60">
      <c r="BC150" s="156"/>
      <c r="BD150" s="156"/>
      <c r="BE150" s="156"/>
      <c r="BF150" s="156"/>
      <c r="BG150" s="156"/>
      <c r="BH150" s="156"/>
    </row>
    <row r="151" spans="55:60">
      <c r="BC151" s="156"/>
      <c r="BD151" s="156"/>
      <c r="BE151" s="156"/>
      <c r="BF151" s="156"/>
      <c r="BG151" s="156"/>
      <c r="BH151" s="156"/>
    </row>
    <row r="152" spans="55:60">
      <c r="BC152" s="156"/>
      <c r="BD152" s="156"/>
      <c r="BE152" s="156"/>
      <c r="BF152" s="156"/>
      <c r="BG152" s="156"/>
      <c r="BH152" s="156"/>
    </row>
    <row r="153" spans="55:60">
      <c r="BC153" s="156"/>
      <c r="BD153" s="156"/>
      <c r="BE153" s="156"/>
      <c r="BF153" s="156"/>
      <c r="BG153" s="156"/>
      <c r="BH153" s="156"/>
    </row>
    <row r="154" spans="55:60">
      <c r="BC154" s="156"/>
      <c r="BD154" s="156"/>
      <c r="BE154" s="156"/>
      <c r="BF154" s="156"/>
      <c r="BG154" s="156"/>
      <c r="BH154" s="156"/>
    </row>
    <row r="155" spans="55:60">
      <c r="BC155" s="156"/>
      <c r="BD155" s="156"/>
      <c r="BE155" s="156"/>
      <c r="BF155" s="156"/>
      <c r="BG155" s="156"/>
      <c r="BH155" s="156"/>
    </row>
    <row r="156" spans="55:60">
      <c r="BC156" s="156"/>
      <c r="BD156" s="156"/>
      <c r="BE156" s="156"/>
      <c r="BF156" s="156"/>
      <c r="BG156" s="156"/>
      <c r="BH156" s="156"/>
    </row>
    <row r="157" spans="55:60">
      <c r="BC157" s="156"/>
      <c r="BD157" s="156"/>
      <c r="BE157" s="156"/>
      <c r="BF157" s="156"/>
      <c r="BG157" s="156"/>
      <c r="BH157" s="156"/>
    </row>
    <row r="158" spans="55:60">
      <c r="BC158" s="156"/>
      <c r="BD158" s="156"/>
      <c r="BE158" s="156"/>
      <c r="BF158" s="156"/>
      <c r="BG158" s="156"/>
      <c r="BH158" s="156"/>
    </row>
    <row r="159" spans="55:60">
      <c r="BC159" s="156"/>
      <c r="BD159" s="156"/>
      <c r="BE159" s="156"/>
      <c r="BF159" s="156"/>
      <c r="BG159" s="156"/>
      <c r="BH159" s="156"/>
    </row>
    <row r="160" spans="55:60">
      <c r="BC160" s="156"/>
      <c r="BD160" s="156"/>
      <c r="BE160" s="156"/>
      <c r="BF160" s="156"/>
      <c r="BG160" s="156"/>
      <c r="BH160" s="156"/>
    </row>
    <row r="161" spans="55:60">
      <c r="BC161" s="156"/>
      <c r="BD161" s="156"/>
      <c r="BE161" s="156"/>
      <c r="BF161" s="156"/>
      <c r="BG161" s="156"/>
      <c r="BH161" s="156"/>
    </row>
    <row r="162" spans="55:60">
      <c r="BC162" s="156"/>
      <c r="BD162" s="156"/>
      <c r="BE162" s="156"/>
      <c r="BF162" s="156"/>
      <c r="BG162" s="156"/>
      <c r="BH162" s="156"/>
    </row>
    <row r="163" spans="55:60">
      <c r="BC163" s="156"/>
      <c r="BD163" s="156"/>
      <c r="BE163" s="156"/>
      <c r="BF163" s="156"/>
      <c r="BG163" s="156"/>
      <c r="BH163" s="156"/>
    </row>
    <row r="164" spans="55:60">
      <c r="BC164" s="156"/>
      <c r="BD164" s="156"/>
      <c r="BE164" s="156"/>
      <c r="BF164" s="156"/>
      <c r="BG164" s="156"/>
      <c r="BH164" s="156"/>
    </row>
    <row r="165" spans="55:60">
      <c r="BC165" s="156"/>
      <c r="BD165" s="156"/>
      <c r="BE165" s="156"/>
      <c r="BF165" s="156"/>
      <c r="BG165" s="156"/>
      <c r="BH165" s="156"/>
    </row>
    <row r="166" spans="55:60">
      <c r="BC166" s="156"/>
      <c r="BD166" s="156"/>
      <c r="BE166" s="156"/>
      <c r="BF166" s="156"/>
      <c r="BG166" s="156"/>
      <c r="BH166" s="156"/>
    </row>
    <row r="167" spans="55:60">
      <c r="BC167" s="156"/>
      <c r="BD167" s="156"/>
      <c r="BE167" s="156"/>
      <c r="BF167" s="156"/>
      <c r="BG167" s="156"/>
      <c r="BH167" s="156"/>
    </row>
    <row r="168" spans="55:60">
      <c r="BC168" s="156"/>
      <c r="BD168" s="156"/>
      <c r="BE168" s="156"/>
      <c r="BF168" s="156"/>
      <c r="BG168" s="156"/>
      <c r="BH168" s="156"/>
    </row>
    <row r="169" spans="55:60">
      <c r="BC169" s="156"/>
      <c r="BD169" s="156"/>
      <c r="BE169" s="156"/>
      <c r="BF169" s="156"/>
      <c r="BG169" s="156"/>
      <c r="BH169" s="156"/>
    </row>
    <row r="170" spans="55:60">
      <c r="BC170" s="156"/>
      <c r="BD170" s="156"/>
      <c r="BE170" s="156"/>
      <c r="BF170" s="156"/>
      <c r="BG170" s="156"/>
      <c r="BH170" s="156"/>
    </row>
    <row r="171" spans="55:60">
      <c r="BC171" s="156"/>
      <c r="BD171" s="156"/>
      <c r="BE171" s="156"/>
      <c r="BF171" s="156"/>
      <c r="BG171" s="156"/>
      <c r="BH171" s="156"/>
    </row>
    <row r="172" spans="55:60">
      <c r="BC172" s="156"/>
      <c r="BD172" s="156"/>
      <c r="BE172" s="156"/>
      <c r="BF172" s="156"/>
      <c r="BG172" s="156"/>
      <c r="BH172" s="156"/>
    </row>
    <row r="173" spans="55:60">
      <c r="BC173" s="156"/>
      <c r="BD173" s="156"/>
      <c r="BE173" s="156"/>
      <c r="BF173" s="156"/>
      <c r="BG173" s="156"/>
      <c r="BH173" s="156"/>
    </row>
    <row r="174" spans="55:60">
      <c r="BC174" s="156"/>
      <c r="BD174" s="156"/>
      <c r="BE174" s="156"/>
      <c r="BF174" s="156"/>
      <c r="BG174" s="156"/>
      <c r="BH174" s="156"/>
    </row>
    <row r="175" spans="55:60">
      <c r="BC175" s="156"/>
      <c r="BD175" s="156"/>
      <c r="BE175" s="156"/>
      <c r="BF175" s="156"/>
      <c r="BG175" s="156"/>
      <c r="BH175" s="156"/>
    </row>
    <row r="176" spans="55:60">
      <c r="BC176" s="156"/>
      <c r="BD176" s="156"/>
      <c r="BE176" s="156"/>
      <c r="BF176" s="156"/>
      <c r="BG176" s="156"/>
      <c r="BH176" s="156"/>
    </row>
    <row r="177" spans="55:60">
      <c r="BC177" s="156"/>
      <c r="BD177" s="156"/>
      <c r="BE177" s="156"/>
      <c r="BF177" s="156"/>
      <c r="BG177" s="156"/>
      <c r="BH177" s="156"/>
    </row>
    <row r="178" spans="55:60">
      <c r="BC178" s="156"/>
      <c r="BD178" s="156"/>
      <c r="BE178" s="156"/>
      <c r="BF178" s="156"/>
      <c r="BG178" s="156"/>
      <c r="BH178" s="156"/>
    </row>
    <row r="179" spans="55:60">
      <c r="BC179" s="156"/>
      <c r="BD179" s="156"/>
      <c r="BE179" s="156"/>
      <c r="BF179" s="156"/>
      <c r="BG179" s="156"/>
      <c r="BH179" s="156"/>
    </row>
    <row r="180" spans="55:60">
      <c r="BC180" s="156"/>
      <c r="BD180" s="156"/>
      <c r="BE180" s="156"/>
      <c r="BF180" s="156"/>
      <c r="BG180" s="156"/>
      <c r="BH180" s="156"/>
    </row>
    <row r="181" spans="55:60">
      <c r="BC181" s="156"/>
      <c r="BD181" s="156"/>
      <c r="BE181" s="156"/>
      <c r="BF181" s="156"/>
      <c r="BG181" s="156"/>
      <c r="BH181" s="156"/>
    </row>
    <row r="182" spans="55:60">
      <c r="BC182" s="156"/>
      <c r="BD182" s="156"/>
      <c r="BE182" s="156"/>
      <c r="BF182" s="156"/>
      <c r="BG182" s="156"/>
      <c r="BH182" s="156"/>
    </row>
    <row r="183" spans="55:60">
      <c r="BC183" s="156"/>
      <c r="BD183" s="156"/>
      <c r="BE183" s="156"/>
      <c r="BF183" s="156"/>
      <c r="BG183" s="156"/>
      <c r="BH183" s="156"/>
    </row>
    <row r="184" spans="55:60">
      <c r="BC184" s="156"/>
      <c r="BD184" s="156"/>
      <c r="BE184" s="156"/>
      <c r="BF184" s="156"/>
      <c r="BG184" s="156"/>
      <c r="BH184" s="156"/>
    </row>
    <row r="185" spans="55:60">
      <c r="BC185" s="156"/>
      <c r="BD185" s="156"/>
      <c r="BE185" s="156"/>
      <c r="BF185" s="156"/>
      <c r="BG185" s="156"/>
      <c r="BH185" s="156"/>
    </row>
    <row r="186" spans="55:60">
      <c r="BC186" s="156"/>
      <c r="BD186" s="156"/>
      <c r="BE186" s="156"/>
      <c r="BF186" s="156"/>
      <c r="BG186" s="156"/>
      <c r="BH186" s="156"/>
    </row>
    <row r="187" spans="55:60">
      <c r="BC187" s="156"/>
      <c r="BD187" s="156"/>
      <c r="BE187" s="156"/>
      <c r="BF187" s="156"/>
      <c r="BG187" s="156"/>
      <c r="BH187" s="156"/>
    </row>
    <row r="188" spans="55:60">
      <c r="BC188" s="156"/>
      <c r="BD188" s="156"/>
      <c r="BE188" s="156"/>
      <c r="BF188" s="156"/>
      <c r="BG188" s="156"/>
      <c r="BH188" s="156"/>
    </row>
    <row r="189" spans="55:60">
      <c r="BC189" s="156"/>
      <c r="BD189" s="156"/>
      <c r="BE189" s="156"/>
      <c r="BF189" s="156"/>
      <c r="BG189" s="156"/>
      <c r="BH189" s="156"/>
    </row>
    <row r="190" spans="55:60">
      <c r="BC190" s="156"/>
      <c r="BD190" s="156"/>
      <c r="BE190" s="156"/>
      <c r="BF190" s="156"/>
      <c r="BG190" s="156"/>
      <c r="BH190" s="156"/>
    </row>
    <row r="191" spans="55:60">
      <c r="BC191" s="156"/>
      <c r="BD191" s="156"/>
      <c r="BE191" s="156"/>
      <c r="BF191" s="156"/>
      <c r="BG191" s="156"/>
      <c r="BH191" s="156"/>
    </row>
    <row r="192" spans="55:60">
      <c r="BC192" s="156"/>
      <c r="BD192" s="156"/>
      <c r="BE192" s="156"/>
      <c r="BF192" s="156"/>
      <c r="BG192" s="156"/>
      <c r="BH192" s="156"/>
    </row>
    <row r="193" spans="55:60">
      <c r="BC193" s="156"/>
      <c r="BD193" s="156"/>
      <c r="BE193" s="156"/>
      <c r="BF193" s="156"/>
      <c r="BG193" s="156"/>
      <c r="BH193" s="156"/>
    </row>
    <row r="194" spans="55:60">
      <c r="BC194" s="156"/>
      <c r="BD194" s="156"/>
      <c r="BE194" s="156"/>
      <c r="BF194" s="156"/>
      <c r="BG194" s="156"/>
      <c r="BH194" s="156"/>
    </row>
    <row r="195" spans="55:60">
      <c r="BC195" s="156"/>
      <c r="BD195" s="156"/>
      <c r="BE195" s="156"/>
      <c r="BF195" s="156"/>
      <c r="BG195" s="156"/>
      <c r="BH195" s="156"/>
    </row>
    <row r="196" spans="55:60">
      <c r="BC196" s="156"/>
      <c r="BD196" s="156"/>
      <c r="BE196" s="156"/>
      <c r="BF196" s="156"/>
      <c r="BG196" s="156"/>
      <c r="BH196" s="156"/>
    </row>
    <row r="197" spans="55:60">
      <c r="BC197" s="156"/>
      <c r="BD197" s="156"/>
      <c r="BE197" s="156"/>
      <c r="BF197" s="156"/>
      <c r="BG197" s="156"/>
      <c r="BH197" s="156"/>
    </row>
    <row r="198" spans="55:60">
      <c r="BC198" s="156"/>
      <c r="BD198" s="156"/>
      <c r="BE198" s="156"/>
      <c r="BF198" s="156"/>
      <c r="BG198" s="156"/>
      <c r="BH198" s="156"/>
    </row>
    <row r="199" spans="55:60">
      <c r="BC199" s="156"/>
      <c r="BD199" s="156"/>
      <c r="BE199" s="156"/>
      <c r="BF199" s="156"/>
      <c r="BG199" s="156"/>
      <c r="BH199" s="156"/>
    </row>
  </sheetData>
  <mergeCells count="39">
    <mergeCell ref="A33:B33"/>
    <mergeCell ref="A34:B34"/>
    <mergeCell ref="A35:B35"/>
    <mergeCell ref="A36:A38"/>
    <mergeCell ref="A65:D66"/>
    <mergeCell ref="A32:B32"/>
    <mergeCell ref="A21:E21"/>
    <mergeCell ref="A22:B22"/>
    <mergeCell ref="A23:B23"/>
    <mergeCell ref="A24:B24"/>
    <mergeCell ref="A25:B25"/>
    <mergeCell ref="A26:B26"/>
    <mergeCell ref="A27:B27"/>
    <mergeCell ref="A28:E28"/>
    <mergeCell ref="A29:B29"/>
    <mergeCell ref="A30:B30"/>
    <mergeCell ref="A31:B31"/>
    <mergeCell ref="A8:A11"/>
    <mergeCell ref="B8:B11"/>
    <mergeCell ref="C8:C11"/>
    <mergeCell ref="D8:D11"/>
    <mergeCell ref="A12:A15"/>
    <mergeCell ref="B12:B15"/>
    <mergeCell ref="C12:C15"/>
    <mergeCell ref="D12:D15"/>
    <mergeCell ref="A3:D3"/>
    <mergeCell ref="F3:H3"/>
    <mergeCell ref="A5:A7"/>
    <mergeCell ref="B5:B7"/>
    <mergeCell ref="C5:C7"/>
    <mergeCell ref="D5:D7"/>
    <mergeCell ref="A1:D2"/>
    <mergeCell ref="E1:V2"/>
    <mergeCell ref="W1:Y1"/>
    <mergeCell ref="Z1:AA1"/>
    <mergeCell ref="AB1:AC1"/>
    <mergeCell ref="W2:Y2"/>
    <mergeCell ref="Z2:AA2"/>
    <mergeCell ref="AB2:AC2"/>
  </mergeCells>
  <printOptions horizontalCentered="1" verticalCentered="1"/>
  <pageMargins left="0.11811023622047245" right="0" top="0.78740157480314965" bottom="0.39370078740157483" header="0.51181102362204722" footer="0.51181102362204722"/>
  <pageSetup paperSize="9" scale="45" fitToHeight="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Convert</vt:lpstr>
      <vt:lpstr>1</vt:lpstr>
      <vt:lpstr>2</vt:lpstr>
      <vt:lpstr>3</vt:lpstr>
      <vt:lpstr>4</vt:lpstr>
      <vt:lpstr>Schedule</vt:lpstr>
      <vt:lpstr>RD-PR-006-003 </vt:lpstr>
      <vt:lpstr>'1'!Print_Area</vt:lpstr>
      <vt:lpstr>'RD-PR-006-003 '!Print_Area</vt:lpstr>
      <vt:lpstr>Schedule!Print_Area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HSP</dc:creator>
  <cp:lastModifiedBy>Doan Thi Yen</cp:lastModifiedBy>
  <cp:lastPrinted>2020-03-14T11:19:45Z</cp:lastPrinted>
  <dcterms:created xsi:type="dcterms:W3CDTF">2001-07-09T07:05:35Z</dcterms:created>
  <dcterms:modified xsi:type="dcterms:W3CDTF">2020-03-14T11:19:46Z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VID2F1E1603">
    <vt:lpwstr/>
  </property>
  <property fmtid="{D5CDD505-2E9C-101B-9397-08002B2CF9AE}" pid="3" name="IVIDC">
    <vt:lpwstr/>
  </property>
  <property fmtid="{D5CDD505-2E9C-101B-9397-08002B2CF9AE}" pid="4" name="IVID362F13E8">
    <vt:lpwstr/>
  </property>
  <property fmtid="{D5CDD505-2E9C-101B-9397-08002B2CF9AE}" pid="5" name="IVID3A3618F1">
    <vt:lpwstr/>
  </property>
  <property fmtid="{D5CDD505-2E9C-101B-9397-08002B2CF9AE}" pid="6" name="IVID15E41318">
    <vt:lpwstr/>
  </property>
  <property fmtid="{D5CDD505-2E9C-101B-9397-08002B2CF9AE}" pid="7" name="IVID181914D9">
    <vt:lpwstr/>
  </property>
  <property fmtid="{D5CDD505-2E9C-101B-9397-08002B2CF9AE}" pid="8" name="IVID155815FB">
    <vt:lpwstr/>
  </property>
  <property fmtid="{D5CDD505-2E9C-101B-9397-08002B2CF9AE}" pid="9" name="IVIDD091BF0">
    <vt:lpwstr/>
  </property>
  <property fmtid="{D5CDD505-2E9C-101B-9397-08002B2CF9AE}" pid="10" name="IVID344CCFFC">
    <vt:lpwstr/>
  </property>
  <property fmtid="{D5CDD505-2E9C-101B-9397-08002B2CF9AE}" pid="11" name="IVID1A7D12ED">
    <vt:lpwstr/>
  </property>
  <property fmtid="{D5CDD505-2E9C-101B-9397-08002B2CF9AE}" pid="12" name="IVID1B2115FE">
    <vt:lpwstr/>
  </property>
  <property fmtid="{D5CDD505-2E9C-101B-9397-08002B2CF9AE}" pid="13" name="IVID35431BD0">
    <vt:lpwstr/>
  </property>
  <property fmtid="{D5CDD505-2E9C-101B-9397-08002B2CF9AE}" pid="14" name="IVID4637A884">
    <vt:lpwstr/>
  </property>
  <property fmtid="{D5CDD505-2E9C-101B-9397-08002B2CF9AE}" pid="15" name="IVID127C14F5">
    <vt:lpwstr/>
  </property>
  <property fmtid="{D5CDD505-2E9C-101B-9397-08002B2CF9AE}" pid="16" name="IVID1834F0DD">
    <vt:lpwstr/>
  </property>
  <property fmtid="{D5CDD505-2E9C-101B-9397-08002B2CF9AE}" pid="17" name="IVID312119E0">
    <vt:lpwstr/>
  </property>
  <property fmtid="{D5CDD505-2E9C-101B-9397-08002B2CF9AE}" pid="18" name="IVID1C5812DA">
    <vt:lpwstr/>
  </property>
  <property fmtid="{D5CDD505-2E9C-101B-9397-08002B2CF9AE}" pid="19" name="IVID173907ED">
    <vt:lpwstr/>
  </property>
  <property fmtid="{D5CDD505-2E9C-101B-9397-08002B2CF9AE}" pid="20" name="IVID1D3F17E2">
    <vt:lpwstr/>
  </property>
  <property fmtid="{D5CDD505-2E9C-101B-9397-08002B2CF9AE}" pid="21" name="IVID13451200">
    <vt:lpwstr/>
  </property>
  <property fmtid="{D5CDD505-2E9C-101B-9397-08002B2CF9AE}" pid="22" name="IVID121617DE">
    <vt:lpwstr/>
  </property>
  <property fmtid="{D5CDD505-2E9C-101B-9397-08002B2CF9AE}" pid="23" name="IVID13691AF2">
    <vt:lpwstr/>
  </property>
  <property fmtid="{D5CDD505-2E9C-101B-9397-08002B2CF9AE}" pid="24" name="IVID1A3B0AF0">
    <vt:lpwstr/>
  </property>
  <property fmtid="{D5CDD505-2E9C-101B-9397-08002B2CF9AE}" pid="25" name="IVID373F12DB">
    <vt:lpwstr/>
  </property>
  <property fmtid="{D5CDD505-2E9C-101B-9397-08002B2CF9AE}" pid="26" name="IVID274B1CF5">
    <vt:lpwstr/>
  </property>
  <property fmtid="{D5CDD505-2E9C-101B-9397-08002B2CF9AE}" pid="27" name="IVID2B4E17FA">
    <vt:lpwstr/>
  </property>
  <property fmtid="{D5CDD505-2E9C-101B-9397-08002B2CF9AE}" pid="28" name="IVID253D11EF">
    <vt:lpwstr/>
  </property>
  <property fmtid="{D5CDD505-2E9C-101B-9397-08002B2CF9AE}" pid="29" name="IVID102124BA">
    <vt:lpwstr/>
  </property>
  <property fmtid="{D5CDD505-2E9C-101B-9397-08002B2CF9AE}" pid="30" name="IVID3D1509D0">
    <vt:lpwstr/>
  </property>
  <property fmtid="{D5CDD505-2E9C-101B-9397-08002B2CF9AE}" pid="31" name="IVID35641901">
    <vt:lpwstr/>
  </property>
  <property fmtid="{D5CDD505-2E9C-101B-9397-08002B2CF9AE}" pid="32" name="IVID45E1ED9">
    <vt:lpwstr/>
  </property>
  <property fmtid="{D5CDD505-2E9C-101B-9397-08002B2CF9AE}" pid="33" name="IVID324113D1">
    <vt:lpwstr/>
  </property>
  <property fmtid="{D5CDD505-2E9C-101B-9397-08002B2CF9AE}" pid="34" name="IVID1A2D1903">
    <vt:lpwstr/>
  </property>
  <property fmtid="{D5CDD505-2E9C-101B-9397-08002B2CF9AE}" pid="35" name="IVID222F6E42">
    <vt:lpwstr/>
  </property>
  <property fmtid="{D5CDD505-2E9C-101B-9397-08002B2CF9AE}" pid="36" name="IVID137012E9">
    <vt:lpwstr/>
  </property>
  <property fmtid="{D5CDD505-2E9C-101B-9397-08002B2CF9AE}" pid="37" name="IVID3D4D17F3">
    <vt:lpwstr/>
  </property>
  <property fmtid="{D5CDD505-2E9C-101B-9397-08002B2CF9AE}" pid="38" name="IVID2F2214CF">
    <vt:lpwstr/>
  </property>
  <property fmtid="{D5CDD505-2E9C-101B-9397-08002B2CF9AE}" pid="39" name="IVID212812E2">
    <vt:lpwstr/>
  </property>
  <property fmtid="{D5CDD505-2E9C-101B-9397-08002B2CF9AE}" pid="40" name="IVID174513DF">
    <vt:lpwstr/>
  </property>
  <property fmtid="{D5CDD505-2E9C-101B-9397-08002B2CF9AE}" pid="41" name="IVID33601201">
    <vt:lpwstr/>
  </property>
  <property fmtid="{D5CDD505-2E9C-101B-9397-08002B2CF9AE}" pid="42" name="IVID28741007">
    <vt:lpwstr/>
  </property>
  <property fmtid="{D5CDD505-2E9C-101B-9397-08002B2CF9AE}" pid="43" name="IVID19350FF3">
    <vt:lpwstr/>
  </property>
  <property fmtid="{D5CDD505-2E9C-101B-9397-08002B2CF9AE}" pid="44" name="IVID173E1206">
    <vt:lpwstr/>
  </property>
  <property fmtid="{D5CDD505-2E9C-101B-9397-08002B2CF9AE}" pid="45" name="IVID232310EC">
    <vt:lpwstr/>
  </property>
  <property fmtid="{D5CDD505-2E9C-101B-9397-08002B2CF9AE}" pid="46" name="IVID133D1AE5">
    <vt:lpwstr/>
  </property>
  <property fmtid="{D5CDD505-2E9C-101B-9397-08002B2CF9AE}" pid="47" name="IVIDF6113D9">
    <vt:lpwstr/>
  </property>
  <property fmtid="{D5CDD505-2E9C-101B-9397-08002B2CF9AE}" pid="48" name="IVID362E14DB">
    <vt:lpwstr/>
  </property>
  <property fmtid="{D5CDD505-2E9C-101B-9397-08002B2CF9AE}" pid="49" name="IVID1F6511DB">
    <vt:lpwstr/>
  </property>
  <property fmtid="{D5CDD505-2E9C-101B-9397-08002B2CF9AE}" pid="50" name="IVID3F1D10E8">
    <vt:lpwstr/>
  </property>
  <property fmtid="{D5CDD505-2E9C-101B-9397-08002B2CF9AE}" pid="51" name="IVID144313EE">
    <vt:lpwstr/>
  </property>
  <property fmtid="{D5CDD505-2E9C-101B-9397-08002B2CF9AE}" pid="52" name="IVID272C0FEF">
    <vt:lpwstr/>
  </property>
  <property fmtid="{D5CDD505-2E9C-101B-9397-08002B2CF9AE}" pid="53" name="IVID240A1504">
    <vt:lpwstr/>
  </property>
  <property fmtid="{D5CDD505-2E9C-101B-9397-08002B2CF9AE}" pid="54" name="IVID2E511106">
    <vt:lpwstr/>
  </property>
  <property fmtid="{D5CDD505-2E9C-101B-9397-08002B2CF9AE}" pid="55" name="IVID2A6D14EB">
    <vt:lpwstr/>
  </property>
  <property fmtid="{D5CDD505-2E9C-101B-9397-08002B2CF9AE}" pid="56" name="IVID386F14FA">
    <vt:lpwstr/>
  </property>
  <property fmtid="{D5CDD505-2E9C-101B-9397-08002B2CF9AE}" pid="57" name="IVIDA1B07F3">
    <vt:lpwstr/>
  </property>
  <property fmtid="{D5CDD505-2E9C-101B-9397-08002B2CF9AE}" pid="58" name="IVID2A6715D8">
    <vt:lpwstr/>
  </property>
  <property fmtid="{D5CDD505-2E9C-101B-9397-08002B2CF9AE}" pid="59" name="IVID222D19FF">
    <vt:lpwstr/>
  </property>
  <property fmtid="{D5CDD505-2E9C-101B-9397-08002B2CF9AE}" pid="60" name="IVID1F611602">
    <vt:lpwstr/>
  </property>
  <property fmtid="{D5CDD505-2E9C-101B-9397-08002B2CF9AE}" pid="61" name="IVID1E032323">
    <vt:lpwstr/>
  </property>
  <property fmtid="{D5CDD505-2E9C-101B-9397-08002B2CF9AE}" pid="62" name="IVID475611CF">
    <vt:lpwstr/>
  </property>
  <property fmtid="{D5CDD505-2E9C-101B-9397-08002B2CF9AE}" pid="63" name="IVID302D13DA">
    <vt:lpwstr/>
  </property>
  <property fmtid="{D5CDD505-2E9C-101B-9397-08002B2CF9AE}" pid="64" name="IVIDD5915D9">
    <vt:lpwstr/>
  </property>
  <property fmtid="{D5CDD505-2E9C-101B-9397-08002B2CF9AE}" pid="65" name="IVID17F6384A">
    <vt:lpwstr/>
  </property>
  <property fmtid="{D5CDD505-2E9C-101B-9397-08002B2CF9AE}" pid="66" name="IVID3B5A10EA">
    <vt:lpwstr/>
  </property>
  <property fmtid="{D5CDD505-2E9C-101B-9397-08002B2CF9AE}" pid="67" name="IVID3D0F16E3">
    <vt:lpwstr/>
  </property>
  <property fmtid="{D5CDD505-2E9C-101B-9397-08002B2CF9AE}" pid="68" name="IVID30260FFC">
    <vt:lpwstr/>
  </property>
  <property fmtid="{D5CDD505-2E9C-101B-9397-08002B2CF9AE}" pid="69" name="IVID2F301BED">
    <vt:lpwstr/>
  </property>
  <property fmtid="{D5CDD505-2E9C-101B-9397-08002B2CF9AE}" pid="70" name="IVID2F1117F5">
    <vt:lpwstr/>
  </property>
  <property fmtid="{D5CDD505-2E9C-101B-9397-08002B2CF9AE}" pid="71" name="IVID14481408">
    <vt:lpwstr/>
  </property>
  <property fmtid="{D5CDD505-2E9C-101B-9397-08002B2CF9AE}" pid="72" name="IVID2E670A05">
    <vt:lpwstr/>
  </property>
  <property fmtid="{D5CDD505-2E9C-101B-9397-08002B2CF9AE}" pid="73" name="IVID2A161305">
    <vt:lpwstr/>
  </property>
  <property fmtid="{D5CDD505-2E9C-101B-9397-08002B2CF9AE}" pid="74" name="IVID2D4D15EB">
    <vt:lpwstr/>
  </property>
  <property fmtid="{D5CDD505-2E9C-101B-9397-08002B2CF9AE}" pid="75" name="IVID80A173A">
    <vt:lpwstr/>
  </property>
  <property fmtid="{D5CDD505-2E9C-101B-9397-08002B2CF9AE}" pid="76" name="IVID2B741205">
    <vt:lpwstr/>
  </property>
  <property fmtid="{D5CDD505-2E9C-101B-9397-08002B2CF9AE}" pid="77" name="IVID203A1108">
    <vt:lpwstr/>
  </property>
  <property fmtid="{D5CDD505-2E9C-101B-9397-08002B2CF9AE}" pid="78" name="IVID1A3517F4">
    <vt:lpwstr/>
  </property>
  <property fmtid="{D5CDD505-2E9C-101B-9397-08002B2CF9AE}" pid="79" name="IVID2B0E1302">
    <vt:lpwstr/>
  </property>
  <property fmtid="{D5CDD505-2E9C-101B-9397-08002B2CF9AE}" pid="80" name="IVID332E19D7">
    <vt:lpwstr/>
  </property>
  <property fmtid="{D5CDD505-2E9C-101B-9397-08002B2CF9AE}" pid="81" name="IVID22261800">
    <vt:lpwstr/>
  </property>
  <property fmtid="{D5CDD505-2E9C-101B-9397-08002B2CF9AE}" pid="82" name="IVID325116DE">
    <vt:lpwstr/>
  </property>
  <property fmtid="{D5CDD505-2E9C-101B-9397-08002B2CF9AE}" pid="83" name="IVID81113D2">
    <vt:lpwstr/>
  </property>
  <property fmtid="{D5CDD505-2E9C-101B-9397-08002B2CF9AE}" pid="84" name="IVID1D231201">
    <vt:lpwstr/>
  </property>
  <property fmtid="{D5CDD505-2E9C-101B-9397-08002B2CF9AE}" pid="85" name="IVID366A14F0">
    <vt:lpwstr/>
  </property>
  <property fmtid="{D5CDD505-2E9C-101B-9397-08002B2CF9AE}" pid="86" name="IVID316311F9">
    <vt:lpwstr/>
  </property>
  <property fmtid="{D5CDD505-2E9C-101B-9397-08002B2CF9AE}" pid="87" name="IVIDE0715F1">
    <vt:lpwstr/>
  </property>
  <property fmtid="{D5CDD505-2E9C-101B-9397-08002B2CF9AE}" pid="88" name="IVID3B5816EC">
    <vt:lpwstr/>
  </property>
  <property fmtid="{D5CDD505-2E9C-101B-9397-08002B2CF9AE}" pid="89" name="IVID351414F8">
    <vt:lpwstr/>
  </property>
  <property fmtid="{D5CDD505-2E9C-101B-9397-08002B2CF9AE}" pid="90" name="IVID2F251AE7">
    <vt:lpwstr/>
  </property>
  <property fmtid="{D5CDD505-2E9C-101B-9397-08002B2CF9AE}" pid="91" name="IVID2A5E1D03">
    <vt:lpwstr/>
  </property>
  <property fmtid="{D5CDD505-2E9C-101B-9397-08002B2CF9AE}" pid="92" name="IVID306310DF">
    <vt:lpwstr/>
  </property>
  <property fmtid="{D5CDD505-2E9C-101B-9397-08002B2CF9AE}" pid="93" name="IVID266F16CF">
    <vt:lpwstr/>
  </property>
  <property fmtid="{D5CDD505-2E9C-101B-9397-08002B2CF9AE}" pid="94" name="IVID307414D1">
    <vt:lpwstr/>
  </property>
  <property fmtid="{D5CDD505-2E9C-101B-9397-08002B2CF9AE}" pid="95" name="IVID344B1400">
    <vt:lpwstr/>
  </property>
  <property fmtid="{D5CDD505-2E9C-101B-9397-08002B2CF9AE}" pid="96" name="IVID135B1DF5">
    <vt:lpwstr/>
  </property>
  <property fmtid="{D5CDD505-2E9C-101B-9397-08002B2CF9AE}" pid="97" name="IVID1A3716D3">
    <vt:lpwstr/>
  </property>
  <property fmtid="{D5CDD505-2E9C-101B-9397-08002B2CF9AE}" pid="98" name="IVIDD1916DB">
    <vt:lpwstr/>
  </property>
  <property fmtid="{D5CDD505-2E9C-101B-9397-08002B2CF9AE}" pid="99" name="IVID11431AF1">
    <vt:lpwstr/>
  </property>
  <property fmtid="{D5CDD505-2E9C-101B-9397-08002B2CF9AE}" pid="100" name="IVID1B2C19F3">
    <vt:lpwstr/>
  </property>
  <property fmtid="{D5CDD505-2E9C-101B-9397-08002B2CF9AE}" pid="101" name="IVIDD5E0FE6">
    <vt:lpwstr/>
  </property>
  <property fmtid="{D5CDD505-2E9C-101B-9397-08002B2CF9AE}" pid="102" name="IVID162D1605">
    <vt:lpwstr/>
  </property>
  <property fmtid="{D5CDD505-2E9C-101B-9397-08002B2CF9AE}" pid="103" name="IVID2A3614FA">
    <vt:lpwstr/>
  </property>
  <property fmtid="{D5CDD505-2E9C-101B-9397-08002B2CF9AE}" pid="104" name="IVID2E481703">
    <vt:lpwstr/>
  </property>
  <property fmtid="{D5CDD505-2E9C-101B-9397-08002B2CF9AE}" pid="105" name="IVID417511F3">
    <vt:lpwstr/>
  </property>
  <property fmtid="{D5CDD505-2E9C-101B-9397-08002B2CF9AE}" pid="106" name="IVID22500FDB">
    <vt:lpwstr/>
  </property>
  <property fmtid="{D5CDD505-2E9C-101B-9397-08002B2CF9AE}" pid="107" name="IVID84A16D4">
    <vt:lpwstr/>
  </property>
  <property fmtid="{D5CDD505-2E9C-101B-9397-08002B2CF9AE}" pid="108" name="IVID12401A08">
    <vt:lpwstr/>
  </property>
  <property fmtid="{D5CDD505-2E9C-101B-9397-08002B2CF9AE}" pid="109" name="IVID423516F6">
    <vt:lpwstr/>
  </property>
  <property fmtid="{D5CDD505-2E9C-101B-9397-08002B2CF9AE}" pid="110" name="IVID454217EE">
    <vt:lpwstr/>
  </property>
  <property fmtid="{D5CDD505-2E9C-101B-9397-08002B2CF9AE}" pid="111" name="IVID1A731EDF">
    <vt:lpwstr/>
  </property>
  <property fmtid="{D5CDD505-2E9C-101B-9397-08002B2CF9AE}" pid="112" name="IVID336018D3">
    <vt:lpwstr/>
  </property>
  <property fmtid="{D5CDD505-2E9C-101B-9397-08002B2CF9AE}" pid="113" name="IVID10D33C18">
    <vt:lpwstr/>
  </property>
  <property fmtid="{D5CDD505-2E9C-101B-9397-08002B2CF9AE}" pid="114" name="IVID18E8171C">
    <vt:lpwstr/>
  </property>
  <property fmtid="{D5CDD505-2E9C-101B-9397-08002B2CF9AE}" pid="115" name="IVID381D17E7">
    <vt:lpwstr/>
  </property>
  <property fmtid="{D5CDD505-2E9C-101B-9397-08002B2CF9AE}" pid="116" name="IVID327B17E9">
    <vt:lpwstr/>
  </property>
  <property fmtid="{D5CDD505-2E9C-101B-9397-08002B2CF9AE}" pid="117" name="IVID86714FA">
    <vt:lpwstr/>
  </property>
  <property fmtid="{D5CDD505-2E9C-101B-9397-08002B2CF9AE}" pid="118" name="IVID132318D6">
    <vt:lpwstr/>
  </property>
  <property fmtid="{D5CDD505-2E9C-101B-9397-08002B2CF9AE}" pid="119" name="_AdHocReviewCycleID">
    <vt:i4>-1008768892</vt:i4>
  </property>
  <property fmtid="{D5CDD505-2E9C-101B-9397-08002B2CF9AE}" pid="120" name="_EmailSubject">
    <vt:lpwstr>프로맵 작성 서식 및 참고 프로세스</vt:lpwstr>
  </property>
  <property fmtid="{D5CDD505-2E9C-101B-9397-08002B2CF9AE}" pid="121" name="_AuthorEmail">
    <vt:lpwstr>hsp@msconsulting.co.kr</vt:lpwstr>
  </property>
  <property fmtid="{D5CDD505-2E9C-101B-9397-08002B2CF9AE}" pid="122" name="_AuthorEmailDisplayName">
    <vt:lpwstr>박호순</vt:lpwstr>
  </property>
  <property fmtid="{D5CDD505-2E9C-101B-9397-08002B2CF9AE}" pid="123" name="_ReviewingToolsShownOnce">
    <vt:lpwstr/>
  </property>
</Properties>
</file>